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ERCE SALES ANALYSIS\Excel_cleaning\"/>
    </mc:Choice>
  </mc:AlternateContent>
  <xr:revisionPtr revIDLastSave="0" documentId="13_ncr:1_{A0F80DA2-B340-491A-817F-5318EA1C350C}" xr6:coauthVersionLast="47" xr6:coauthVersionMax="47" xr10:uidLastSave="{00000000-0000-0000-0000-000000000000}"/>
  <bookViews>
    <workbookView xWindow="-98" yWindow="-98" windowWidth="21795" windowHeight="12975" xr2:uid="{26CF0BAD-7356-4B37-A448-84787F3AA9E6}"/>
  </bookViews>
  <sheets>
    <sheet name="Ecommerce_Sales_9000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2" i="1"/>
</calcChain>
</file>

<file path=xl/sharedStrings.xml><?xml version="1.0" encoding="utf-8"?>
<sst xmlns="http://schemas.openxmlformats.org/spreadsheetml/2006/main" count="63014" uniqueCount="14766">
  <si>
    <t>Order ID</t>
  </si>
  <si>
    <t>Order Date</t>
  </si>
  <si>
    <t>Customer ID</t>
  </si>
  <si>
    <t>Customer Segment</t>
  </si>
  <si>
    <t>Product Category</t>
  </si>
  <si>
    <t>Product Name</t>
  </si>
  <si>
    <t>Quantity</t>
  </si>
  <si>
    <t>Sales</t>
  </si>
  <si>
    <t>Profit</t>
  </si>
  <si>
    <t>Region</t>
  </si>
  <si>
    <t>Payment Mode</t>
  </si>
  <si>
    <t>ORD100000</t>
  </si>
  <si>
    <t>CUST8141</t>
  </si>
  <si>
    <t>Consumer</t>
  </si>
  <si>
    <t>Electronics</t>
  </si>
  <si>
    <t>Smart Watch</t>
  </si>
  <si>
    <t>East</t>
  </si>
  <si>
    <t>UPI</t>
  </si>
  <si>
    <t>ORD100001</t>
  </si>
  <si>
    <t>CUST6398</t>
  </si>
  <si>
    <t>Furniture</t>
  </si>
  <si>
    <t>Sofa</t>
  </si>
  <si>
    <t>North</t>
  </si>
  <si>
    <t>COD</t>
  </si>
  <si>
    <t>ORD100002</t>
  </si>
  <si>
    <t>CUST8521</t>
  </si>
  <si>
    <t>Corporate</t>
  </si>
  <si>
    <t>Table</t>
  </si>
  <si>
    <t>South</t>
  </si>
  <si>
    <t>Card</t>
  </si>
  <si>
    <t>ORD100003</t>
  </si>
  <si>
    <t>CUST9604</t>
  </si>
  <si>
    <t>Headphones</t>
  </si>
  <si>
    <t>Net Banking</t>
  </si>
  <si>
    <t>ORD100004</t>
  </si>
  <si>
    <t>CUST3831</t>
  </si>
  <si>
    <t>Clothing</t>
  </si>
  <si>
    <t>Shoes</t>
  </si>
  <si>
    <t>ORD100005</t>
  </si>
  <si>
    <t>CUST3233</t>
  </si>
  <si>
    <t>Laptop</t>
  </si>
  <si>
    <t>ORD100006</t>
  </si>
  <si>
    <t>CUST6619</t>
  </si>
  <si>
    <t>Bed</t>
  </si>
  <si>
    <t>ORD100007</t>
  </si>
  <si>
    <t>CUST1381</t>
  </si>
  <si>
    <t>Jeans</t>
  </si>
  <si>
    <t>Central</t>
  </si>
  <si>
    <t>ORD100008</t>
  </si>
  <si>
    <t>CUST1944</t>
  </si>
  <si>
    <t>Chair</t>
  </si>
  <si>
    <t>ORD100009</t>
  </si>
  <si>
    <t>CUST8495</t>
  </si>
  <si>
    <t>Jacket</t>
  </si>
  <si>
    <t>ORD100010</t>
  </si>
  <si>
    <t>CUST9009</t>
  </si>
  <si>
    <t>Home Office</t>
  </si>
  <si>
    <t>Mobile Phone</t>
  </si>
  <si>
    <t>ORD100011</t>
  </si>
  <si>
    <t>CUST7165</t>
  </si>
  <si>
    <t>ORD100012</t>
  </si>
  <si>
    <t>CUST1926</t>
  </si>
  <si>
    <t>ORD100013</t>
  </si>
  <si>
    <t>CUST6868</t>
  </si>
  <si>
    <t>T-Shirt</t>
  </si>
  <si>
    <t>ORD100014</t>
  </si>
  <si>
    <t>CUST1234</t>
  </si>
  <si>
    <t>ORD100015</t>
  </si>
  <si>
    <t>CUST3046</t>
  </si>
  <si>
    <t>ORD100016</t>
  </si>
  <si>
    <t>CUST9008</t>
  </si>
  <si>
    <t>West</t>
  </si>
  <si>
    <t>ORD100017</t>
  </si>
  <si>
    <t>CUST2083</t>
  </si>
  <si>
    <t>ORD100018</t>
  </si>
  <si>
    <t>CUST2508</t>
  </si>
  <si>
    <t>ORD100019</t>
  </si>
  <si>
    <t>CUST9527</t>
  </si>
  <si>
    <t>ORD100020</t>
  </si>
  <si>
    <t>CUST1113</t>
  </si>
  <si>
    <t>ORD100021</t>
  </si>
  <si>
    <t>CUST1972</t>
  </si>
  <si>
    <t>ORD100022</t>
  </si>
  <si>
    <t>CUST1587</t>
  </si>
  <si>
    <t>ORD100023</t>
  </si>
  <si>
    <t>CUST8074</t>
  </si>
  <si>
    <t>ORD100024</t>
  </si>
  <si>
    <t>CUST9298</t>
  </si>
  <si>
    <t>ORD100025</t>
  </si>
  <si>
    <t>CUST4868</t>
  </si>
  <si>
    <t>ORD100026</t>
  </si>
  <si>
    <t>CUST1708</t>
  </si>
  <si>
    <t>ORD100027</t>
  </si>
  <si>
    <t>CUST9091</t>
  </si>
  <si>
    <t>ORD100028</t>
  </si>
  <si>
    <t>CUST5665</t>
  </si>
  <si>
    <t>ORD100029</t>
  </si>
  <si>
    <t>CUST1873</t>
  </si>
  <si>
    <t>ORD100030</t>
  </si>
  <si>
    <t>CUST7931</t>
  </si>
  <si>
    <t>ORD100031</t>
  </si>
  <si>
    <t>CUST8125</t>
  </si>
  <si>
    <t>ORD100032</t>
  </si>
  <si>
    <t>CUST6580</t>
  </si>
  <si>
    <t>ORD100033</t>
  </si>
  <si>
    <t>CUST2534</t>
  </si>
  <si>
    <t>ORD100034</t>
  </si>
  <si>
    <t>CUST7158</t>
  </si>
  <si>
    <t>ORD100035</t>
  </si>
  <si>
    <t>CUST9158</t>
  </si>
  <si>
    <t>ORD100036</t>
  </si>
  <si>
    <t>CUST2426</t>
  </si>
  <si>
    <t>ORD100037</t>
  </si>
  <si>
    <t>CUST3806</t>
  </si>
  <si>
    <t>ORD100038</t>
  </si>
  <si>
    <t>CUST8236</t>
  </si>
  <si>
    <t>ORD100039</t>
  </si>
  <si>
    <t>CUST2931</t>
  </si>
  <si>
    <t>ORD100040</t>
  </si>
  <si>
    <t>CUST4449</t>
  </si>
  <si>
    <t>ORD100041</t>
  </si>
  <si>
    <t>CUST9616</t>
  </si>
  <si>
    <t>ORD100042</t>
  </si>
  <si>
    <t>CUST6585</t>
  </si>
  <si>
    <t>ORD100043</t>
  </si>
  <si>
    <t>ORD100044</t>
  </si>
  <si>
    <t>CUST8593</t>
  </si>
  <si>
    <t>ORD100045</t>
  </si>
  <si>
    <t>CUST6638</t>
  </si>
  <si>
    <t>ORD100046</t>
  </si>
  <si>
    <t>CUST3974</t>
  </si>
  <si>
    <t>ORD100047</t>
  </si>
  <si>
    <t>CUST2851</t>
  </si>
  <si>
    <t>ORD100048</t>
  </si>
  <si>
    <t>CUST1500</t>
  </si>
  <si>
    <t>ORD100049</t>
  </si>
  <si>
    <t>CUST9612</t>
  </si>
  <si>
    <t>ORD100050</t>
  </si>
  <si>
    <t>CUST5081</t>
  </si>
  <si>
    <t>ORD100051</t>
  </si>
  <si>
    <t>CUST8868</t>
  </si>
  <si>
    <t>ORD100052</t>
  </si>
  <si>
    <t>CUST8193</t>
  </si>
  <si>
    <t>ORD100053</t>
  </si>
  <si>
    <t>CUST5296</t>
  </si>
  <si>
    <t>ORD100054</t>
  </si>
  <si>
    <t>CUST1125</t>
  </si>
  <si>
    <t>ORD100055</t>
  </si>
  <si>
    <t>CUST3400</t>
  </si>
  <si>
    <t>ORD100056</t>
  </si>
  <si>
    <t>CUST5224</t>
  </si>
  <si>
    <t>ORD100057</t>
  </si>
  <si>
    <t>CUST5006</t>
  </si>
  <si>
    <t>ORD100058</t>
  </si>
  <si>
    <t>CUST7230</t>
  </si>
  <si>
    <t>ORD100059</t>
  </si>
  <si>
    <t>CUST6912</t>
  </si>
  <si>
    <t>ORD100060</t>
  </si>
  <si>
    <t>CUST6662</t>
  </si>
  <si>
    <t>ORD100061</t>
  </si>
  <si>
    <t>CUST4311</t>
  </si>
  <si>
    <t>ORD100062</t>
  </si>
  <si>
    <t>CUST2196</t>
  </si>
  <si>
    <t>ORD100063</t>
  </si>
  <si>
    <t>CUST7251</t>
  </si>
  <si>
    <t>ORD100064</t>
  </si>
  <si>
    <t>CUST2102</t>
  </si>
  <si>
    <t>ORD100065</t>
  </si>
  <si>
    <t>CUST1848</t>
  </si>
  <si>
    <t>ORD100066</t>
  </si>
  <si>
    <t>CUST1643</t>
  </si>
  <si>
    <t>ORD100067</t>
  </si>
  <si>
    <t>CUST8764</t>
  </si>
  <si>
    <t>ORD100068</t>
  </si>
  <si>
    <t>CUST1903</t>
  </si>
  <si>
    <t>ORD100069</t>
  </si>
  <si>
    <t>CUST8235</t>
  </si>
  <si>
    <t>ORD100070</t>
  </si>
  <si>
    <t>CUST4404</t>
  </si>
  <si>
    <t>ORD100071</t>
  </si>
  <si>
    <t>CUST3676</t>
  </si>
  <si>
    <t>ORD100072</t>
  </si>
  <si>
    <t>CUST9168</t>
  </si>
  <si>
    <t>ORD100073</t>
  </si>
  <si>
    <t>CUST1221</t>
  </si>
  <si>
    <t>ORD100074</t>
  </si>
  <si>
    <t>CUST4714</t>
  </si>
  <si>
    <t>ORD100075</t>
  </si>
  <si>
    <t>CUST3150</t>
  </si>
  <si>
    <t>ORD100076</t>
  </si>
  <si>
    <t>CUST8137</t>
  </si>
  <si>
    <t>ORD100077</t>
  </si>
  <si>
    <t>CUST3997</t>
  </si>
  <si>
    <t>ORD100078</t>
  </si>
  <si>
    <t>CUST5371</t>
  </si>
  <si>
    <t>ORD100079</t>
  </si>
  <si>
    <t>CUST3913</t>
  </si>
  <si>
    <t>ORD100080</t>
  </si>
  <si>
    <t>CUST6728</t>
  </si>
  <si>
    <t>ORD100081</t>
  </si>
  <si>
    <t>CUST6370</t>
  </si>
  <si>
    <t>ORD100082</t>
  </si>
  <si>
    <t>CUST7863</t>
  </si>
  <si>
    <t>ORD100083</t>
  </si>
  <si>
    <t>CUST9766</t>
  </si>
  <si>
    <t>ORD100084</t>
  </si>
  <si>
    <t>CUST9709</t>
  </si>
  <si>
    <t>ORD100085</t>
  </si>
  <si>
    <t>CUST3644</t>
  </si>
  <si>
    <t>ORD100086</t>
  </si>
  <si>
    <t>CUST6629</t>
  </si>
  <si>
    <t>ORD100087</t>
  </si>
  <si>
    <t>CUST7830</t>
  </si>
  <si>
    <t>ORD100088</t>
  </si>
  <si>
    <t>CUST9682</t>
  </si>
  <si>
    <t>ORD100089</t>
  </si>
  <si>
    <t>CUST1828</t>
  </si>
  <si>
    <t>ORD100090</t>
  </si>
  <si>
    <t>CUST9815</t>
  </si>
  <si>
    <t>ORD100091</t>
  </si>
  <si>
    <t>CUST9958</t>
  </si>
  <si>
    <t>ORD100092</t>
  </si>
  <si>
    <t>CUST3231</t>
  </si>
  <si>
    <t>ORD100093</t>
  </si>
  <si>
    <t>CUST8946</t>
  </si>
  <si>
    <t>ORD100094</t>
  </si>
  <si>
    <t>CUST2329</t>
  </si>
  <si>
    <t>ORD100095</t>
  </si>
  <si>
    <t>CUST5596</t>
  </si>
  <si>
    <t>ORD100096</t>
  </si>
  <si>
    <t>CUST5183</t>
  </si>
  <si>
    <t>ORD100097</t>
  </si>
  <si>
    <t>CUST1889</t>
  </si>
  <si>
    <t>ORD100098</t>
  </si>
  <si>
    <t>CUST2189</t>
  </si>
  <si>
    <t>ORD100099</t>
  </si>
  <si>
    <t>CUST9643</t>
  </si>
  <si>
    <t>ORD100100</t>
  </si>
  <si>
    <t>CUST1291</t>
  </si>
  <si>
    <t>ORD100101</t>
  </si>
  <si>
    <t>CUST5954</t>
  </si>
  <si>
    <t>ORD100102</t>
  </si>
  <si>
    <t>CUST2320</t>
  </si>
  <si>
    <t>ORD100103</t>
  </si>
  <si>
    <t>CUST8543</t>
  </si>
  <si>
    <t>ORD100104</t>
  </si>
  <si>
    <t>CUST7299</t>
  </si>
  <si>
    <t>ORD100105</t>
  </si>
  <si>
    <t>CUST3927</t>
  </si>
  <si>
    <t>ORD100106</t>
  </si>
  <si>
    <t>ORD100107</t>
  </si>
  <si>
    <t>CUST2613</t>
  </si>
  <si>
    <t>ORD100108</t>
  </si>
  <si>
    <t>CUST8612</t>
  </si>
  <si>
    <t>ORD100109</t>
  </si>
  <si>
    <t>CUST6951</t>
  </si>
  <si>
    <t>ORD100110</t>
  </si>
  <si>
    <t>CUST9112</t>
  </si>
  <si>
    <t>ORD100111</t>
  </si>
  <si>
    <t>CUST3807</t>
  </si>
  <si>
    <t>ORD100112</t>
  </si>
  <si>
    <t>CUST7855</t>
  </si>
  <si>
    <t>ORD100113</t>
  </si>
  <si>
    <t>CUST8591</t>
  </si>
  <si>
    <t>ORD100114</t>
  </si>
  <si>
    <t>CUST6053</t>
  </si>
  <si>
    <t>ORD100115</t>
  </si>
  <si>
    <t>CUST1097</t>
  </si>
  <si>
    <t>ORD100116</t>
  </si>
  <si>
    <t>CUST4734</t>
  </si>
  <si>
    <t>ORD100117</t>
  </si>
  <si>
    <t>CUST7023</t>
  </si>
  <si>
    <t>ORD100118</t>
  </si>
  <si>
    <t>CUST8359</t>
  </si>
  <si>
    <t>ORD100119</t>
  </si>
  <si>
    <t>CUST7765</t>
  </si>
  <si>
    <t>ORD100120</t>
  </si>
  <si>
    <t>CUST5040</t>
  </si>
  <si>
    <t>ORD100121</t>
  </si>
  <si>
    <t>CUST7950</t>
  </si>
  <si>
    <t>ORD100122</t>
  </si>
  <si>
    <t>CUST3363</t>
  </si>
  <si>
    <t>ORD100123</t>
  </si>
  <si>
    <t>CUST4255</t>
  </si>
  <si>
    <t>ORD100124</t>
  </si>
  <si>
    <t>CUST8854</t>
  </si>
  <si>
    <t>ORD100125</t>
  </si>
  <si>
    <t>CUST5593</t>
  </si>
  <si>
    <t>ORD100126</t>
  </si>
  <si>
    <t>CUST9755</t>
  </si>
  <si>
    <t>ORD100127</t>
  </si>
  <si>
    <t>CUST9716</t>
  </si>
  <si>
    <t>ORD100128</t>
  </si>
  <si>
    <t>CUST3433</t>
  </si>
  <si>
    <t>ORD100129</t>
  </si>
  <si>
    <t>CUST3625</t>
  </si>
  <si>
    <t>ORD100130</t>
  </si>
  <si>
    <t>CUST1209</t>
  </si>
  <si>
    <t>ORD100131</t>
  </si>
  <si>
    <t>CUST2181</t>
  </si>
  <si>
    <t>ORD100132</t>
  </si>
  <si>
    <t>CUST4572</t>
  </si>
  <si>
    <t>ORD100133</t>
  </si>
  <si>
    <t>CUST4966</t>
  </si>
  <si>
    <t>ORD100134</t>
  </si>
  <si>
    <t>CUST1067</t>
  </si>
  <si>
    <t>ORD100135</t>
  </si>
  <si>
    <t>CUST2834</t>
  </si>
  <si>
    <t>ORD100136</t>
  </si>
  <si>
    <t>CUST2992</t>
  </si>
  <si>
    <t>ORD100137</t>
  </si>
  <si>
    <t>CUST5921</t>
  </si>
  <si>
    <t>ORD100138</t>
  </si>
  <si>
    <t>CUST6352</t>
  </si>
  <si>
    <t>ORD100139</t>
  </si>
  <si>
    <t>CUST8723</t>
  </si>
  <si>
    <t>ORD100140</t>
  </si>
  <si>
    <t>CUST8650</t>
  </si>
  <si>
    <t>ORD100141</t>
  </si>
  <si>
    <t>CUST5570</t>
  </si>
  <si>
    <t>ORD100142</t>
  </si>
  <si>
    <t>CUST2935</t>
  </si>
  <si>
    <t>ORD100143</t>
  </si>
  <si>
    <t>CUST5205</t>
  </si>
  <si>
    <t>ORD100144</t>
  </si>
  <si>
    <t>CUST9098</t>
  </si>
  <si>
    <t>ORD100145</t>
  </si>
  <si>
    <t>CUST9472</t>
  </si>
  <si>
    <t>ORD100146</t>
  </si>
  <si>
    <t>CUST6698</t>
  </si>
  <si>
    <t>ORD100147</t>
  </si>
  <si>
    <t>CUST1345</t>
  </si>
  <si>
    <t>ORD100148</t>
  </si>
  <si>
    <t>CUST8944</t>
  </si>
  <si>
    <t>ORD100149</t>
  </si>
  <si>
    <t>CUST1816</t>
  </si>
  <si>
    <t>ORD100150</t>
  </si>
  <si>
    <t>CUST5682</t>
  </si>
  <si>
    <t>ORD100151</t>
  </si>
  <si>
    <t>CUST2497</t>
  </si>
  <si>
    <t>ORD100152</t>
  </si>
  <si>
    <t>CUST7222</t>
  </si>
  <si>
    <t>ORD100153</t>
  </si>
  <si>
    <t>CUST6769</t>
  </si>
  <si>
    <t>ORD100154</t>
  </si>
  <si>
    <t>CUST7013</t>
  </si>
  <si>
    <t>ORD100155</t>
  </si>
  <si>
    <t>CUST4706</t>
  </si>
  <si>
    <t>ORD100156</t>
  </si>
  <si>
    <t>CUST3618</t>
  </si>
  <si>
    <t>ORD100157</t>
  </si>
  <si>
    <t>CUST5987</t>
  </si>
  <si>
    <t>ORD100158</t>
  </si>
  <si>
    <t>CUST2736</t>
  </si>
  <si>
    <t>ORD100159</t>
  </si>
  <si>
    <t>CUST2365</t>
  </si>
  <si>
    <t>ORD100160</t>
  </si>
  <si>
    <t>CUST8782</t>
  </si>
  <si>
    <t>ORD100161</t>
  </si>
  <si>
    <t>CUST9479</t>
  </si>
  <si>
    <t>ORD100162</t>
  </si>
  <si>
    <t>CUST3560</t>
  </si>
  <si>
    <t>ORD100163</t>
  </si>
  <si>
    <t>CUST5048</t>
  </si>
  <si>
    <t>ORD100164</t>
  </si>
  <si>
    <t>CUST1784</t>
  </si>
  <si>
    <t>ORD100165</t>
  </si>
  <si>
    <t>CUST3578</t>
  </si>
  <si>
    <t>ORD100166</t>
  </si>
  <si>
    <t>CUST6581</t>
  </si>
  <si>
    <t>ORD100167</t>
  </si>
  <si>
    <t>CUST3448</t>
  </si>
  <si>
    <t>ORD100168</t>
  </si>
  <si>
    <t>CUST6280</t>
  </si>
  <si>
    <t>ORD100169</t>
  </si>
  <si>
    <t>CUST4179</t>
  </si>
  <si>
    <t>ORD100170</t>
  </si>
  <si>
    <t>CUST5993</t>
  </si>
  <si>
    <t>ORD100171</t>
  </si>
  <si>
    <t>CUST6775</t>
  </si>
  <si>
    <t>ORD100172</t>
  </si>
  <si>
    <t>CUST1051</t>
  </si>
  <si>
    <t>ORD100173</t>
  </si>
  <si>
    <t>CUST6413</t>
  </si>
  <si>
    <t>ORD100174</t>
  </si>
  <si>
    <t>CUST4859</t>
  </si>
  <si>
    <t>ORD100175</t>
  </si>
  <si>
    <t>CUST7848</t>
  </si>
  <si>
    <t>ORD100176</t>
  </si>
  <si>
    <t>CUST5815</t>
  </si>
  <si>
    <t>ORD100177</t>
  </si>
  <si>
    <t>CUST8027</t>
  </si>
  <si>
    <t>ORD100178</t>
  </si>
  <si>
    <t>CUST4736</t>
  </si>
  <si>
    <t>ORD100179</t>
  </si>
  <si>
    <t>CUST8055</t>
  </si>
  <si>
    <t>ORD100180</t>
  </si>
  <si>
    <t>CUST4598</t>
  </si>
  <si>
    <t>ORD100181</t>
  </si>
  <si>
    <t>CUST8324</t>
  </si>
  <si>
    <t>ORD100182</t>
  </si>
  <si>
    <t>CUST4041</t>
  </si>
  <si>
    <t>ORD100183</t>
  </si>
  <si>
    <t>CUST4911</t>
  </si>
  <si>
    <t>ORD100184</t>
  </si>
  <si>
    <t>CUST4333</t>
  </si>
  <si>
    <t>ORD100185</t>
  </si>
  <si>
    <t>CUST6335</t>
  </si>
  <si>
    <t>ORD100186</t>
  </si>
  <si>
    <t>CUST2608</t>
  </si>
  <si>
    <t>ORD100187</t>
  </si>
  <si>
    <t>CUST6794</t>
  </si>
  <si>
    <t>ORD100188</t>
  </si>
  <si>
    <t>CUST5910</t>
  </si>
  <si>
    <t>ORD100189</t>
  </si>
  <si>
    <t>CUST9283</t>
  </si>
  <si>
    <t>ORD100190</t>
  </si>
  <si>
    <t>CUST6611</t>
  </si>
  <si>
    <t>ORD100191</t>
  </si>
  <si>
    <t>CUST4989</t>
  </si>
  <si>
    <t>ORD100192</t>
  </si>
  <si>
    <t>CUST8872</t>
  </si>
  <si>
    <t>ORD100193</t>
  </si>
  <si>
    <t>CUST2294</t>
  </si>
  <si>
    <t>ORD100194</t>
  </si>
  <si>
    <t>CUST7129</t>
  </si>
  <si>
    <t>ORD100195</t>
  </si>
  <si>
    <t>CUST6571</t>
  </si>
  <si>
    <t>ORD100196</t>
  </si>
  <si>
    <t>CUST6813</t>
  </si>
  <si>
    <t>ORD100197</t>
  </si>
  <si>
    <t>CUST2530</t>
  </si>
  <si>
    <t>ORD100198</t>
  </si>
  <si>
    <t>CUST1672</t>
  </si>
  <si>
    <t>ORD100199</t>
  </si>
  <si>
    <t>CUST2780</t>
  </si>
  <si>
    <t>ORD100200</t>
  </si>
  <si>
    <t>CUST1223</t>
  </si>
  <si>
    <t>ORD100201</t>
  </si>
  <si>
    <t>ORD100202</t>
  </si>
  <si>
    <t>CUST6758</t>
  </si>
  <si>
    <t>ORD100203</t>
  </si>
  <si>
    <t>CUST5726</t>
  </si>
  <si>
    <t>ORD100204</t>
  </si>
  <si>
    <t>CUST4418</t>
  </si>
  <si>
    <t>ORD100205</t>
  </si>
  <si>
    <t>CUST7076</t>
  </si>
  <si>
    <t>ORD100206</t>
  </si>
  <si>
    <t>CUST3103</t>
  </si>
  <si>
    <t>ORD100207</t>
  </si>
  <si>
    <t>CUST7372</t>
  </si>
  <si>
    <t>ORD100208</t>
  </si>
  <si>
    <t>CUST1979</t>
  </si>
  <si>
    <t>ORD100209</t>
  </si>
  <si>
    <t>CUST7919</t>
  </si>
  <si>
    <t>ORD100210</t>
  </si>
  <si>
    <t>CUST2615</t>
  </si>
  <si>
    <t>ORD100211</t>
  </si>
  <si>
    <t>CUST5362</t>
  </si>
  <si>
    <t>ORD100212</t>
  </si>
  <si>
    <t>CUST7839</t>
  </si>
  <si>
    <t>ORD100213</t>
  </si>
  <si>
    <t>CUST7796</t>
  </si>
  <si>
    <t>ORD100214</t>
  </si>
  <si>
    <t>CUST9519</t>
  </si>
  <si>
    <t>ORD100215</t>
  </si>
  <si>
    <t>CUST3257</t>
  </si>
  <si>
    <t>ORD100216</t>
  </si>
  <si>
    <t>CUST6256</t>
  </si>
  <si>
    <t>ORD100217</t>
  </si>
  <si>
    <t>CUST2161</t>
  </si>
  <si>
    <t>ORD100218</t>
  </si>
  <si>
    <t>CUST8099</t>
  </si>
  <si>
    <t>ORD100219</t>
  </si>
  <si>
    <t>CUST4396</t>
  </si>
  <si>
    <t>ORD100220</t>
  </si>
  <si>
    <t>CUST8272</t>
  </si>
  <si>
    <t>ORD100221</t>
  </si>
  <si>
    <t>CUST3762</t>
  </si>
  <si>
    <t>ORD100222</t>
  </si>
  <si>
    <t>CUST2499</t>
  </si>
  <si>
    <t>ORD100223</t>
  </si>
  <si>
    <t>CUST8725</t>
  </si>
  <si>
    <t>ORD100224</t>
  </si>
  <si>
    <t>CUST9478</t>
  </si>
  <si>
    <t>ORD100225</t>
  </si>
  <si>
    <t>CUST3057</t>
  </si>
  <si>
    <t>ORD100226</t>
  </si>
  <si>
    <t>CUST9524</t>
  </si>
  <si>
    <t>ORD100227</t>
  </si>
  <si>
    <t>CUST3980</t>
  </si>
  <si>
    <t>ORD100228</t>
  </si>
  <si>
    <t>CUST9793</t>
  </si>
  <si>
    <t>ORD100229</t>
  </si>
  <si>
    <t>CUST1474</t>
  </si>
  <si>
    <t>ORD100230</t>
  </si>
  <si>
    <t>CUST6450</t>
  </si>
  <si>
    <t>ORD100231</t>
  </si>
  <si>
    <t>CUST9590</t>
  </si>
  <si>
    <t>ORD100232</t>
  </si>
  <si>
    <t>CUST2251</t>
  </si>
  <si>
    <t>ORD100233</t>
  </si>
  <si>
    <t>CUST5561</t>
  </si>
  <si>
    <t>ORD100234</t>
  </si>
  <si>
    <t>CUST7889</t>
  </si>
  <si>
    <t>ORD100235</t>
  </si>
  <si>
    <t>CUST5606</t>
  </si>
  <si>
    <t>ORD100236</t>
  </si>
  <si>
    <t>CUST8703</t>
  </si>
  <si>
    <t>ORD100237</t>
  </si>
  <si>
    <t>CUST2302</t>
  </si>
  <si>
    <t>ORD100238</t>
  </si>
  <si>
    <t>CUST7846</t>
  </si>
  <si>
    <t>ORD100239</t>
  </si>
  <si>
    <t>CUST1143</t>
  </si>
  <si>
    <t>ORD100240</t>
  </si>
  <si>
    <t>CUST4256</t>
  </si>
  <si>
    <t>ORD100241</t>
  </si>
  <si>
    <t>CUST8432</t>
  </si>
  <si>
    <t>ORD100242</t>
  </si>
  <si>
    <t>CUST3696</t>
  </si>
  <si>
    <t>ORD100243</t>
  </si>
  <si>
    <t>CUST7787</t>
  </si>
  <si>
    <t>ORD100244</t>
  </si>
  <si>
    <t>CUST3614</t>
  </si>
  <si>
    <t>ORD100245</t>
  </si>
  <si>
    <t>CUST3042</t>
  </si>
  <si>
    <t>ORD100246</t>
  </si>
  <si>
    <t>ORD100247</t>
  </si>
  <si>
    <t>CUST7956</t>
  </si>
  <si>
    <t>ORD100248</t>
  </si>
  <si>
    <t>CUST3655</t>
  </si>
  <si>
    <t>ORD100249</t>
  </si>
  <si>
    <t>CUST3890</t>
  </si>
  <si>
    <t>ORD100250</t>
  </si>
  <si>
    <t>CUST9405</t>
  </si>
  <si>
    <t>ORD100251</t>
  </si>
  <si>
    <t>CUST5441</t>
  </si>
  <si>
    <t>ORD100252</t>
  </si>
  <si>
    <t>CUST1058</t>
  </si>
  <si>
    <t>ORD100253</t>
  </si>
  <si>
    <t>CUST6513</t>
  </si>
  <si>
    <t>ORD100254</t>
  </si>
  <si>
    <t>CUST3432</t>
  </si>
  <si>
    <t>ORD100255</t>
  </si>
  <si>
    <t>CUST6876</t>
  </si>
  <si>
    <t>ORD100256</t>
  </si>
  <si>
    <t>CUST1279</t>
  </si>
  <si>
    <t>ORD100257</t>
  </si>
  <si>
    <t>CUST5778</t>
  </si>
  <si>
    <t>ORD100258</t>
  </si>
  <si>
    <t>CUST2232</t>
  </si>
  <si>
    <t>ORD100259</t>
  </si>
  <si>
    <t>CUST7596</t>
  </si>
  <si>
    <t>ORD100260</t>
  </si>
  <si>
    <t>ORD100261</t>
  </si>
  <si>
    <t>CUST9007</t>
  </si>
  <si>
    <t>ORD100262</t>
  </si>
  <si>
    <t>CUST6392</t>
  </si>
  <si>
    <t>ORD100263</t>
  </si>
  <si>
    <t>CUST5446</t>
  </si>
  <si>
    <t>ORD100264</t>
  </si>
  <si>
    <t>CUST4284</t>
  </si>
  <si>
    <t>ORD100265</t>
  </si>
  <si>
    <t>CUST6221</t>
  </si>
  <si>
    <t>ORD100266</t>
  </si>
  <si>
    <t>CUST6633</t>
  </si>
  <si>
    <t>ORD100267</t>
  </si>
  <si>
    <t>CUST1030</t>
  </si>
  <si>
    <t>ORD100268</t>
  </si>
  <si>
    <t>CUST3331</t>
  </si>
  <si>
    <t>ORD100269</t>
  </si>
  <si>
    <t>CUST4903</t>
  </si>
  <si>
    <t>ORD100270</t>
  </si>
  <si>
    <t>CUST2002</t>
  </si>
  <si>
    <t>ORD100271</t>
  </si>
  <si>
    <t>CUST1025</t>
  </si>
  <si>
    <t>ORD100272</t>
  </si>
  <si>
    <t>CUST8356</t>
  </si>
  <si>
    <t>ORD100273</t>
  </si>
  <si>
    <t>CUST4953</t>
  </si>
  <si>
    <t>ORD100274</t>
  </si>
  <si>
    <t>CUST9494</t>
  </si>
  <si>
    <t>ORD100275</t>
  </si>
  <si>
    <t>CUST2086</t>
  </si>
  <si>
    <t>ORD100276</t>
  </si>
  <si>
    <t>ORD100277</t>
  </si>
  <si>
    <t>CUST7477</t>
  </si>
  <si>
    <t>ORD100278</t>
  </si>
  <si>
    <t>ORD100279</t>
  </si>
  <si>
    <t>CUST1660</t>
  </si>
  <si>
    <t>ORD100280</t>
  </si>
  <si>
    <t>CUST5849</t>
  </si>
  <si>
    <t>ORD100281</t>
  </si>
  <si>
    <t>CUST1766</t>
  </si>
  <si>
    <t>ORD100282</t>
  </si>
  <si>
    <t>CUST9534</t>
  </si>
  <si>
    <t>ORD100283</t>
  </si>
  <si>
    <t>CUST6705</t>
  </si>
  <si>
    <t>ORD100284</t>
  </si>
  <si>
    <t>CUST3875</t>
  </si>
  <si>
    <t>ORD100285</t>
  </si>
  <si>
    <t>CUST2619</t>
  </si>
  <si>
    <t>ORD100286</t>
  </si>
  <si>
    <t>CUST2433</t>
  </si>
  <si>
    <t>ORD100287</t>
  </si>
  <si>
    <t>CUST3420</t>
  </si>
  <si>
    <t>ORD100288</t>
  </si>
  <si>
    <t>CUST3494</t>
  </si>
  <si>
    <t>ORD100289</t>
  </si>
  <si>
    <t>CUST3090</t>
  </si>
  <si>
    <t>ORD100290</t>
  </si>
  <si>
    <t>CUST2612</t>
  </si>
  <si>
    <t>ORD100291</t>
  </si>
  <si>
    <t>CUST3391</t>
  </si>
  <si>
    <t>ORD100292</t>
  </si>
  <si>
    <t>CUST6179</t>
  </si>
  <si>
    <t>ORD100293</t>
  </si>
  <si>
    <t>CUST6324</t>
  </si>
  <si>
    <t>ORD100294</t>
  </si>
  <si>
    <t>CUST1831</t>
  </si>
  <si>
    <t>ORD100295</t>
  </si>
  <si>
    <t>CUST1655</t>
  </si>
  <si>
    <t>ORD100296</t>
  </si>
  <si>
    <t>CUST2806</t>
  </si>
  <si>
    <t>ORD100297</t>
  </si>
  <si>
    <t>CUST1756</t>
  </si>
  <si>
    <t>ORD100298</t>
  </si>
  <si>
    <t>CUST2327</t>
  </si>
  <si>
    <t>ORD100299</t>
  </si>
  <si>
    <t>CUST8655</t>
  </si>
  <si>
    <t>ORD100300</t>
  </si>
  <si>
    <t>CUST2984</t>
  </si>
  <si>
    <t>ORD100301</t>
  </si>
  <si>
    <t>CUST8241</t>
  </si>
  <si>
    <t>ORD100302</t>
  </si>
  <si>
    <t>CUST8622</t>
  </si>
  <si>
    <t>ORD100303</t>
  </si>
  <si>
    <t>CUST8851</t>
  </si>
  <si>
    <t>ORD100304</t>
  </si>
  <si>
    <t>CUST5369</t>
  </si>
  <si>
    <t>ORD100305</t>
  </si>
  <si>
    <t>CUST6274</t>
  </si>
  <si>
    <t>ORD100306</t>
  </si>
  <si>
    <t>CUST1600</t>
  </si>
  <si>
    <t>ORD100307</t>
  </si>
  <si>
    <t>CUST9185</t>
  </si>
  <si>
    <t>ORD100308</t>
  </si>
  <si>
    <t>CUST1777</t>
  </si>
  <si>
    <t>ORD100309</t>
  </si>
  <si>
    <t>CUST9092</t>
  </si>
  <si>
    <t>ORD100310</t>
  </si>
  <si>
    <t>CUST3018</t>
  </si>
  <si>
    <t>ORD100311</t>
  </si>
  <si>
    <t>CUST3957</t>
  </si>
  <si>
    <t>ORD100312</t>
  </si>
  <si>
    <t>CUST4835</t>
  </si>
  <si>
    <t>ORD100313</t>
  </si>
  <si>
    <t>CUST2923</t>
  </si>
  <si>
    <t>ORD100314</t>
  </si>
  <si>
    <t>CUST3603</t>
  </si>
  <si>
    <t>ORD100315</t>
  </si>
  <si>
    <t>CUST6831</t>
  </si>
  <si>
    <t>ORD100316</t>
  </si>
  <si>
    <t>CUST8082</t>
  </si>
  <si>
    <t>ORD100317</t>
  </si>
  <si>
    <t>CUST1066</t>
  </si>
  <si>
    <t>ORD100318</t>
  </si>
  <si>
    <t>CUST2881</t>
  </si>
  <si>
    <t>ORD100319</t>
  </si>
  <si>
    <t>CUST9189</t>
  </si>
  <si>
    <t>ORD100320</t>
  </si>
  <si>
    <t>CUST3744</t>
  </si>
  <si>
    <t>ORD100321</t>
  </si>
  <si>
    <t>CUST3198</t>
  </si>
  <si>
    <t>ORD100322</t>
  </si>
  <si>
    <t>CUST5609</t>
  </si>
  <si>
    <t>ORD100323</t>
  </si>
  <si>
    <t>CUST1142</t>
  </si>
  <si>
    <t>ORD100324</t>
  </si>
  <si>
    <t>CUST7336</t>
  </si>
  <si>
    <t>ORD100325</t>
  </si>
  <si>
    <t>CUST1354</t>
  </si>
  <si>
    <t>ORD100326</t>
  </si>
  <si>
    <t>CUST6432</t>
  </si>
  <si>
    <t>ORD100327</t>
  </si>
  <si>
    <t>CUST2813</t>
  </si>
  <si>
    <t>ORD100328</t>
  </si>
  <si>
    <t>CUST6615</t>
  </si>
  <si>
    <t>ORD100329</t>
  </si>
  <si>
    <t>CUST5872</t>
  </si>
  <si>
    <t>ORD100330</t>
  </si>
  <si>
    <t>CUST2140</t>
  </si>
  <si>
    <t>ORD100331</t>
  </si>
  <si>
    <t>CUST5420</t>
  </si>
  <si>
    <t>ORD100332</t>
  </si>
  <si>
    <t>CUST4901</t>
  </si>
  <si>
    <t>ORD100333</t>
  </si>
  <si>
    <t>CUST8277</t>
  </si>
  <si>
    <t>ORD100334</t>
  </si>
  <si>
    <t>CUST7183</t>
  </si>
  <si>
    <t>ORD100335</t>
  </si>
  <si>
    <t>CUST3844</t>
  </si>
  <si>
    <t>ORD100336</t>
  </si>
  <si>
    <t>CUST5572</t>
  </si>
  <si>
    <t>ORD100337</t>
  </si>
  <si>
    <t>CUST4692</t>
  </si>
  <si>
    <t>ORD100338</t>
  </si>
  <si>
    <t>CUST8081</t>
  </si>
  <si>
    <t>ORD100339</t>
  </si>
  <si>
    <t>CUST1483</t>
  </si>
  <si>
    <t>ORD100340</t>
  </si>
  <si>
    <t>CUST1442</t>
  </si>
  <si>
    <t>ORD100341</t>
  </si>
  <si>
    <t>CUST5795</t>
  </si>
  <si>
    <t>ORD100342</t>
  </si>
  <si>
    <t>CUST5704</t>
  </si>
  <si>
    <t>ORD100343</t>
  </si>
  <si>
    <t>CUST2502</t>
  </si>
  <si>
    <t>ORD100344</t>
  </si>
  <si>
    <t>CUST3925</t>
  </si>
  <si>
    <t>ORD100345</t>
  </si>
  <si>
    <t>CUST2156</t>
  </si>
  <si>
    <t>ORD100346</t>
  </si>
  <si>
    <t>CUST7731</t>
  </si>
  <si>
    <t>ORD100347</t>
  </si>
  <si>
    <t>CUST4054</t>
  </si>
  <si>
    <t>ORD100348</t>
  </si>
  <si>
    <t>CUST5912</t>
  </si>
  <si>
    <t>ORD100349</t>
  </si>
  <si>
    <t>CUST6746</t>
  </si>
  <si>
    <t>ORD100350</t>
  </si>
  <si>
    <t>CUST2356</t>
  </si>
  <si>
    <t>ORD100351</t>
  </si>
  <si>
    <t>CUST8167</t>
  </si>
  <si>
    <t>ORD100352</t>
  </si>
  <si>
    <t>CUST5398</t>
  </si>
  <si>
    <t>ORD100353</t>
  </si>
  <si>
    <t>CUST2243</t>
  </si>
  <si>
    <t>ORD100354</t>
  </si>
  <si>
    <t>CUST6031</t>
  </si>
  <si>
    <t>ORD100355</t>
  </si>
  <si>
    <t>CUST9625</t>
  </si>
  <si>
    <t>ORD100356</t>
  </si>
  <si>
    <t>CUST6083</t>
  </si>
  <si>
    <t>ORD100357</t>
  </si>
  <si>
    <t>CUST1943</t>
  </si>
  <si>
    <t>ORD100358</t>
  </si>
  <si>
    <t>CUST6680</t>
  </si>
  <si>
    <t>ORD100359</t>
  </si>
  <si>
    <t>CUST3067</t>
  </si>
  <si>
    <t>ORD100360</t>
  </si>
  <si>
    <t>ORD100361</t>
  </si>
  <si>
    <t>CUST4038</t>
  </si>
  <si>
    <t>ORD100362</t>
  </si>
  <si>
    <t>CUST6721</t>
  </si>
  <si>
    <t>ORD100363</t>
  </si>
  <si>
    <t>CUST4652</t>
  </si>
  <si>
    <t>ORD100364</t>
  </si>
  <si>
    <t>CUST9638</t>
  </si>
  <si>
    <t>ORD100365</t>
  </si>
  <si>
    <t>CUST5600</t>
  </si>
  <si>
    <t>ORD100366</t>
  </si>
  <si>
    <t>CUST5543</t>
  </si>
  <si>
    <t>ORD100367</t>
  </si>
  <si>
    <t>CUST8094</t>
  </si>
  <si>
    <t>ORD100368</t>
  </si>
  <si>
    <t>CUST3397</t>
  </si>
  <si>
    <t>ORD100369</t>
  </si>
  <si>
    <t>CUST4344</t>
  </si>
  <si>
    <t>ORD100370</t>
  </si>
  <si>
    <t>CUST3358</t>
  </si>
  <si>
    <t>ORD100371</t>
  </si>
  <si>
    <t>CUST3500</t>
  </si>
  <si>
    <t>ORD100372</t>
  </si>
  <si>
    <t>CUST1636</t>
  </si>
  <si>
    <t>ORD100373</t>
  </si>
  <si>
    <t>CUST4405</t>
  </si>
  <si>
    <t>ORD100374</t>
  </si>
  <si>
    <t>CUST1049</t>
  </si>
  <si>
    <t>ORD100375</t>
  </si>
  <si>
    <t>CUST9480</t>
  </si>
  <si>
    <t>ORD100376</t>
  </si>
  <si>
    <t>CUST4756</t>
  </si>
  <si>
    <t>ORD100377</t>
  </si>
  <si>
    <t>CUST7635</t>
  </si>
  <si>
    <t>ORD100378</t>
  </si>
  <si>
    <t>CUST4684</t>
  </si>
  <si>
    <t>ORD100379</t>
  </si>
  <si>
    <t>CUST3003</t>
  </si>
  <si>
    <t>ORD100380</t>
  </si>
  <si>
    <t>CUST8071</t>
  </si>
  <si>
    <t>ORD100381</t>
  </si>
  <si>
    <t>CUST2233</t>
  </si>
  <si>
    <t>ORD100382</t>
  </si>
  <si>
    <t>CUST1671</t>
  </si>
  <si>
    <t>ORD100383</t>
  </si>
  <si>
    <t>ORD100384</t>
  </si>
  <si>
    <t>CUST9209</t>
  </si>
  <si>
    <t>ORD100385</t>
  </si>
  <si>
    <t>CUST1330</t>
  </si>
  <si>
    <t>ORD100386</t>
  </si>
  <si>
    <t>CUST1285</t>
  </si>
  <si>
    <t>ORD100387</t>
  </si>
  <si>
    <t>CUST5594</t>
  </si>
  <si>
    <t>ORD100388</t>
  </si>
  <si>
    <t>CUST8553</t>
  </si>
  <si>
    <t>ORD100389</t>
  </si>
  <si>
    <t>CUST7130</t>
  </si>
  <si>
    <t>ORD100390</t>
  </si>
  <si>
    <t>ORD100391</t>
  </si>
  <si>
    <t>CUST9055</t>
  </si>
  <si>
    <t>ORD100392</t>
  </si>
  <si>
    <t>CUST1569</t>
  </si>
  <si>
    <t>ORD100393</t>
  </si>
  <si>
    <t>ORD100394</t>
  </si>
  <si>
    <t>CUST3592</t>
  </si>
  <si>
    <t>ORD100395</t>
  </si>
  <si>
    <t>CUST3549</t>
  </si>
  <si>
    <t>ORD100396</t>
  </si>
  <si>
    <t>CUST9269</t>
  </si>
  <si>
    <t>ORD100397</t>
  </si>
  <si>
    <t>CUST3493</t>
  </si>
  <si>
    <t>ORD100398</t>
  </si>
  <si>
    <t>CUST9777</t>
  </si>
  <si>
    <t>ORD100399</t>
  </si>
  <si>
    <t>CUST2012</t>
  </si>
  <si>
    <t>ORD100400</t>
  </si>
  <si>
    <t>CUST9165</t>
  </si>
  <si>
    <t>ORD100401</t>
  </si>
  <si>
    <t>CUST7625</t>
  </si>
  <si>
    <t>ORD100402</t>
  </si>
  <si>
    <t>CUST5178</t>
  </si>
  <si>
    <t>ORD100403</t>
  </si>
  <si>
    <t>CUST2003</t>
  </si>
  <si>
    <t>ORD100404</t>
  </si>
  <si>
    <t>CUST7134</t>
  </si>
  <si>
    <t>ORD100405</t>
  </si>
  <si>
    <t>CUST3878</t>
  </si>
  <si>
    <t>ORD100406</t>
  </si>
  <si>
    <t>CUST6309</t>
  </si>
  <si>
    <t>ORD100407</t>
  </si>
  <si>
    <t>CUST6626</t>
  </si>
  <si>
    <t>ORD100408</t>
  </si>
  <si>
    <t>CUST9172</t>
  </si>
  <si>
    <t>ORD100409</t>
  </si>
  <si>
    <t>CUST7828</t>
  </si>
  <si>
    <t>ORD100410</t>
  </si>
  <si>
    <t>CUST9516</t>
  </si>
  <si>
    <t>ORD100411</t>
  </si>
  <si>
    <t>CUST4744</t>
  </si>
  <si>
    <t>ORD100412</t>
  </si>
  <si>
    <t>CUST5976</t>
  </si>
  <si>
    <t>ORD100413</t>
  </si>
  <si>
    <t>CUST6625</t>
  </si>
  <si>
    <t>ORD100414</t>
  </si>
  <si>
    <t>CUST4637</t>
  </si>
  <si>
    <t>ORD100415</t>
  </si>
  <si>
    <t>CUST8233</t>
  </si>
  <si>
    <t>ORD100416</t>
  </si>
  <si>
    <t>CUST1072</t>
  </si>
  <si>
    <t>ORD100417</t>
  </si>
  <si>
    <t>CUST2686</t>
  </si>
  <si>
    <t>ORD100418</t>
  </si>
  <si>
    <t>ORD100419</t>
  </si>
  <si>
    <t>CUST8320</t>
  </si>
  <si>
    <t>ORD100420</t>
  </si>
  <si>
    <t>CUST6979</t>
  </si>
  <si>
    <t>ORD100421</t>
  </si>
  <si>
    <t>CUST2150</t>
  </si>
  <si>
    <t>ORD100422</t>
  </si>
  <si>
    <t>CUST1517</t>
  </si>
  <si>
    <t>ORD100423</t>
  </si>
  <si>
    <t>CUST1548</t>
  </si>
  <si>
    <t>ORD100424</t>
  </si>
  <si>
    <t>CUST2654</t>
  </si>
  <si>
    <t>ORD100425</t>
  </si>
  <si>
    <t>CUST3423</t>
  </si>
  <si>
    <t>ORD100426</t>
  </si>
  <si>
    <t>CUST1697</t>
  </si>
  <si>
    <t>ORD100427</t>
  </si>
  <si>
    <t>CUST1224</t>
  </si>
  <si>
    <t>ORD100428</t>
  </si>
  <si>
    <t>CUST4260</t>
  </si>
  <si>
    <t>ORD100429</t>
  </si>
  <si>
    <t>CUST2913</t>
  </si>
  <si>
    <t>ORD100430</t>
  </si>
  <si>
    <t>CUST3089</t>
  </si>
  <si>
    <t>ORD100431</t>
  </si>
  <si>
    <t>CUST5071</t>
  </si>
  <si>
    <t>ORD100432</t>
  </si>
  <si>
    <t>CUST3308</t>
  </si>
  <si>
    <t>ORD100433</t>
  </si>
  <si>
    <t>CUST4436</t>
  </si>
  <si>
    <t>ORD100434</t>
  </si>
  <si>
    <t>CUST9204</t>
  </si>
  <si>
    <t>ORD100435</t>
  </si>
  <si>
    <t>CUST3851</t>
  </si>
  <si>
    <t>ORD100436</t>
  </si>
  <si>
    <t>CUST5344</t>
  </si>
  <si>
    <t>ORD100437</t>
  </si>
  <si>
    <t>CUST3188</t>
  </si>
  <si>
    <t>ORD100438</t>
  </si>
  <si>
    <t>CUST1076</t>
  </si>
  <si>
    <t>ORD100439</t>
  </si>
  <si>
    <t>CUST6345</t>
  </si>
  <si>
    <t>ORD100440</t>
  </si>
  <si>
    <t>CUST1353</t>
  </si>
  <si>
    <t>ORD100441</t>
  </si>
  <si>
    <t>CUST2786</t>
  </si>
  <si>
    <t>ORD100442</t>
  </si>
  <si>
    <t>CUST1021</t>
  </si>
  <si>
    <t>ORD100443</t>
  </si>
  <si>
    <t>CUST2797</t>
  </si>
  <si>
    <t>ORD100444</t>
  </si>
  <si>
    <t>CUST8169</t>
  </si>
  <si>
    <t>ORD100445</t>
  </si>
  <si>
    <t>CUST6697</t>
  </si>
  <si>
    <t>ORD100446</t>
  </si>
  <si>
    <t>CUST2562</t>
  </si>
  <si>
    <t>ORD100447</t>
  </si>
  <si>
    <t>CUST1107</t>
  </si>
  <si>
    <t>ORD100448</t>
  </si>
  <si>
    <t>CUST6549</t>
  </si>
  <si>
    <t>ORD100449</t>
  </si>
  <si>
    <t>CUST5984</t>
  </si>
  <si>
    <t>ORD100450</t>
  </si>
  <si>
    <t>CUST5376</t>
  </si>
  <si>
    <t>ORD100451</t>
  </si>
  <si>
    <t>CUST8539</t>
  </si>
  <si>
    <t>ORD100452</t>
  </si>
  <si>
    <t>CUST8646</t>
  </si>
  <si>
    <t>ORD100453</t>
  </si>
  <si>
    <t>CUST7893</t>
  </si>
  <si>
    <t>ORD100454</t>
  </si>
  <si>
    <t>CUST4578</t>
  </si>
  <si>
    <t>ORD100455</t>
  </si>
  <si>
    <t>CUST3981</t>
  </si>
  <si>
    <t>ORD100456</t>
  </si>
  <si>
    <t>CUST5448</t>
  </si>
  <si>
    <t>ORD100457</t>
  </si>
  <si>
    <t>ORD100458</t>
  </si>
  <si>
    <t>CUST6684</t>
  </si>
  <si>
    <t>ORD100459</t>
  </si>
  <si>
    <t>CUST4420</t>
  </si>
  <si>
    <t>ORD100460</t>
  </si>
  <si>
    <t>CUST2431</t>
  </si>
  <si>
    <t>ORD100461</t>
  </si>
  <si>
    <t>CUST8873</t>
  </si>
  <si>
    <t>ORD100462</t>
  </si>
  <si>
    <t>CUST1183</t>
  </si>
  <si>
    <t>ORD100463</t>
  </si>
  <si>
    <t>CUST9873</t>
  </si>
  <si>
    <t>ORD100464</t>
  </si>
  <si>
    <t>CUST5258</t>
  </si>
  <si>
    <t>ORD100465</t>
  </si>
  <si>
    <t>CUST8523</t>
  </si>
  <si>
    <t>ORD100466</t>
  </si>
  <si>
    <t>CUST6446</t>
  </si>
  <si>
    <t>ORD100467</t>
  </si>
  <si>
    <t>CUST2986</t>
  </si>
  <si>
    <t>ORD100468</t>
  </si>
  <si>
    <t>CUST5151</t>
  </si>
  <si>
    <t>ORD100469</t>
  </si>
  <si>
    <t>CUST8196</t>
  </si>
  <si>
    <t>ORD100470</t>
  </si>
  <si>
    <t>CUST4789</t>
  </si>
  <si>
    <t>ORD100471</t>
  </si>
  <si>
    <t>CUST9376</t>
  </si>
  <si>
    <t>ORD100472</t>
  </si>
  <si>
    <t>CUST9561</t>
  </si>
  <si>
    <t>ORD100473</t>
  </si>
  <si>
    <t>CUST6147</t>
  </si>
  <si>
    <t>ORD100474</t>
  </si>
  <si>
    <t>CUST9884</t>
  </si>
  <si>
    <t>ORD100475</t>
  </si>
  <si>
    <t>CUST9106</t>
  </si>
  <si>
    <t>ORD100476</t>
  </si>
  <si>
    <t>CUST2861</t>
  </si>
  <si>
    <t>ORD100477</t>
  </si>
  <si>
    <t>CUST2388</t>
  </si>
  <si>
    <t>ORD100478</t>
  </si>
  <si>
    <t>CUST7210</t>
  </si>
  <si>
    <t>ORD100479</t>
  </si>
  <si>
    <t>CUST4682</t>
  </si>
  <si>
    <t>ORD100480</t>
  </si>
  <si>
    <t>CUST5835</t>
  </si>
  <si>
    <t>ORD100481</t>
  </si>
  <si>
    <t>CUST7850</t>
  </si>
  <si>
    <t>ORD100482</t>
  </si>
  <si>
    <t>CUST8124</t>
  </si>
  <si>
    <t>ORD100483</t>
  </si>
  <si>
    <t>CUST5261</t>
  </si>
  <si>
    <t>ORD100484</t>
  </si>
  <si>
    <t>CUST6929</t>
  </si>
  <si>
    <t>ORD100485</t>
  </si>
  <si>
    <t>CUST5209</t>
  </si>
  <si>
    <t>ORD100486</t>
  </si>
  <si>
    <t>CUST8509</t>
  </si>
  <si>
    <t>ORD100487</t>
  </si>
  <si>
    <t>CUST6534</t>
  </si>
  <si>
    <t>ORD100488</t>
  </si>
  <si>
    <t>CUST7135</t>
  </si>
  <si>
    <t>ORD100489</t>
  </si>
  <si>
    <t>ORD100490</t>
  </si>
  <si>
    <t>CUST5409</t>
  </si>
  <si>
    <t>ORD100491</t>
  </si>
  <si>
    <t>CUST7552</t>
  </si>
  <si>
    <t>ORD100492</t>
  </si>
  <si>
    <t>CUST7649</t>
  </si>
  <si>
    <t>ORD100493</t>
  </si>
  <si>
    <t>CUST2628</t>
  </si>
  <si>
    <t>ORD100494</t>
  </si>
  <si>
    <t>CUST8986</t>
  </si>
  <si>
    <t>ORD100495</t>
  </si>
  <si>
    <t>CUST5453</t>
  </si>
  <si>
    <t>ORD100496</t>
  </si>
  <si>
    <t>CUST9592</t>
  </si>
  <si>
    <t>ORD100497</t>
  </si>
  <si>
    <t>ORD100498</t>
  </si>
  <si>
    <t>CUST2025</t>
  </si>
  <si>
    <t>ORD100499</t>
  </si>
  <si>
    <t>CUST7756</t>
  </si>
  <si>
    <t>ORD100500</t>
  </si>
  <si>
    <t>CUST9078</t>
  </si>
  <si>
    <t>ORD100501</t>
  </si>
  <si>
    <t>CUST6325</t>
  </si>
  <si>
    <t>ORD100502</t>
  </si>
  <si>
    <t>CUST6984</t>
  </si>
  <si>
    <t>ORD100503</t>
  </si>
  <si>
    <t>CUST5723</t>
  </si>
  <si>
    <t>ORD100504</t>
  </si>
  <si>
    <t>CUST7814</t>
  </si>
  <si>
    <t>ORD100505</t>
  </si>
  <si>
    <t>CUST9511</t>
  </si>
  <si>
    <t>ORD100506</t>
  </si>
  <si>
    <t>CUST8020</t>
  </si>
  <si>
    <t>ORD100507</t>
  </si>
  <si>
    <t>CUST9910</t>
  </si>
  <si>
    <t>ORD100508</t>
  </si>
  <si>
    <t>CUST4654</t>
  </si>
  <si>
    <t>ORD100509</t>
  </si>
  <si>
    <t>CUST1389</t>
  </si>
  <si>
    <t>ORD100510</t>
  </si>
  <si>
    <t>CUST6288</t>
  </si>
  <si>
    <t>ORD100511</t>
  </si>
  <si>
    <t>CUST7007</t>
  </si>
  <si>
    <t>ORD100512</t>
  </si>
  <si>
    <t>CUST7485</t>
  </si>
  <si>
    <t>ORD100513</t>
  </si>
  <si>
    <t>CUST2313</t>
  </si>
  <si>
    <t>ORD100514</t>
  </si>
  <si>
    <t>CUST9025</t>
  </si>
  <si>
    <t>ORD100515</t>
  </si>
  <si>
    <t>CUST9737</t>
  </si>
  <si>
    <t>ORD100516</t>
  </si>
  <si>
    <t>CUST1017</t>
  </si>
  <si>
    <t>ORD100517</t>
  </si>
  <si>
    <t>CUST4176</t>
  </si>
  <si>
    <t>ORD100518</t>
  </si>
  <si>
    <t>ORD100519</t>
  </si>
  <si>
    <t>CUST8201</t>
  </si>
  <si>
    <t>ORD100520</t>
  </si>
  <si>
    <t>CUST3007</t>
  </si>
  <si>
    <t>ORD100521</t>
  </si>
  <si>
    <t>CUST1868</t>
  </si>
  <si>
    <t>ORD100522</t>
  </si>
  <si>
    <t>CUST3915</t>
  </si>
  <si>
    <t>ORD100523</t>
  </si>
  <si>
    <t>CUST2601</t>
  </si>
  <si>
    <t>ORD100524</t>
  </si>
  <si>
    <t>ORD100525</t>
  </si>
  <si>
    <t>CUST6108</t>
  </si>
  <si>
    <t>ORD100526</t>
  </si>
  <si>
    <t>ORD100527</t>
  </si>
  <si>
    <t>CUST2821</t>
  </si>
  <si>
    <t>ORD100528</t>
  </si>
  <si>
    <t>CUST7487</t>
  </si>
  <si>
    <t>ORD100529</t>
  </si>
  <si>
    <t>ORD100530</t>
  </si>
  <si>
    <t>CUST2298</t>
  </si>
  <si>
    <t>ORD100531</t>
  </si>
  <si>
    <t>CUST3095</t>
  </si>
  <si>
    <t>ORD100532</t>
  </si>
  <si>
    <t>CUST9933</t>
  </si>
  <si>
    <t>ORD100533</t>
  </si>
  <si>
    <t>CUST8314</t>
  </si>
  <si>
    <t>ORD100534</t>
  </si>
  <si>
    <t>CUST9559</t>
  </si>
  <si>
    <t>ORD100535</t>
  </si>
  <si>
    <t>CUST5121</t>
  </si>
  <si>
    <t>ORD100536</t>
  </si>
  <si>
    <t>CUST9010</t>
  </si>
  <si>
    <t>ORD100537</t>
  </si>
  <si>
    <t>CUST3574</t>
  </si>
  <si>
    <t>ORD100538</t>
  </si>
  <si>
    <t>CUST5118</t>
  </si>
  <si>
    <t>ORD100539</t>
  </si>
  <si>
    <t>CUST5065</t>
  </si>
  <si>
    <t>ORD100540</t>
  </si>
  <si>
    <t>CUST5510</t>
  </si>
  <si>
    <t>ORD100541</t>
  </si>
  <si>
    <t>ORD100542</t>
  </si>
  <si>
    <t>CUST4797</t>
  </si>
  <si>
    <t>ORD100543</t>
  </si>
  <si>
    <t>CUST4428</t>
  </si>
  <si>
    <t>ORD100544</t>
  </si>
  <si>
    <t>CUST1302</t>
  </si>
  <si>
    <t>ORD100545</t>
  </si>
  <si>
    <t>CUST3489</t>
  </si>
  <si>
    <t>ORD100546</t>
  </si>
  <si>
    <t>CUST1965</t>
  </si>
  <si>
    <t>ORD100547</t>
  </si>
  <si>
    <t>CUST8666</t>
  </si>
  <si>
    <t>ORD100548</t>
  </si>
  <si>
    <t>CUST8298</t>
  </si>
  <si>
    <t>ORD100549</t>
  </si>
  <si>
    <t>ORD100550</t>
  </si>
  <si>
    <t>CUST4644</t>
  </si>
  <si>
    <t>ORD100551</t>
  </si>
  <si>
    <t>CUST6382</t>
  </si>
  <si>
    <t>ORD100552</t>
  </si>
  <si>
    <t>CUST1803</t>
  </si>
  <si>
    <t>ORD100553</t>
  </si>
  <si>
    <t>CUST3914</t>
  </si>
  <si>
    <t>ORD100554</t>
  </si>
  <si>
    <t>CUST8798</t>
  </si>
  <si>
    <t>ORD100555</t>
  </si>
  <si>
    <t>CUST2199</t>
  </si>
  <si>
    <t>ORD100556</t>
  </si>
  <si>
    <t>ORD100557</t>
  </si>
  <si>
    <t>CUST8392</t>
  </si>
  <si>
    <t>ORD100558</t>
  </si>
  <si>
    <t>CUST8767</t>
  </si>
  <si>
    <t>ORD100559</t>
  </si>
  <si>
    <t>CUST1374</t>
  </si>
  <si>
    <t>ORD100560</t>
  </si>
  <si>
    <t>CUST9437</t>
  </si>
  <si>
    <t>ORD100561</t>
  </si>
  <si>
    <t>CUST2805</t>
  </si>
  <si>
    <t>ORD100562</t>
  </si>
  <si>
    <t>CUST1119</t>
  </si>
  <si>
    <t>ORD100563</t>
  </si>
  <si>
    <t>CUST3130</t>
  </si>
  <si>
    <t>ORD100564</t>
  </si>
  <si>
    <t>CUST4346</t>
  </si>
  <si>
    <t>ORD100565</t>
  </si>
  <si>
    <t>CUST7952</t>
  </si>
  <si>
    <t>ORD100566</t>
  </si>
  <si>
    <t>CUST2129</t>
  </si>
  <si>
    <t>ORD100567</t>
  </si>
  <si>
    <t>CUST1268</t>
  </si>
  <si>
    <t>ORD100568</t>
  </si>
  <si>
    <t>CUST1835</t>
  </si>
  <si>
    <t>ORD100569</t>
  </si>
  <si>
    <t>CUST7658</t>
  </si>
  <si>
    <t>ORD100570</t>
  </si>
  <si>
    <t>CUST7193</t>
  </si>
  <si>
    <t>ORD100571</t>
  </si>
  <si>
    <t>CUST9753</t>
  </si>
  <si>
    <t>ORD100572</t>
  </si>
  <si>
    <t>CUST9895</t>
  </si>
  <si>
    <t>ORD100573</t>
  </si>
  <si>
    <t>CUST2325</t>
  </si>
  <si>
    <t>ORD100574</t>
  </si>
  <si>
    <t>CUST1361</t>
  </si>
  <si>
    <t>ORD100575</t>
  </si>
  <si>
    <t>CUST3945</t>
  </si>
  <si>
    <t>ORD100576</t>
  </si>
  <si>
    <t>CUST5312</t>
  </si>
  <si>
    <t>ORD100577</t>
  </si>
  <si>
    <t>CUST6972</t>
  </si>
  <si>
    <t>ORD100578</t>
  </si>
  <si>
    <t>CUST3854</t>
  </si>
  <si>
    <t>ORD100579</t>
  </si>
  <si>
    <t>CUST1665</t>
  </si>
  <si>
    <t>ORD100580</t>
  </si>
  <si>
    <t>CUST9214</t>
  </si>
  <si>
    <t>ORD100581</t>
  </si>
  <si>
    <t>CUST6808</t>
  </si>
  <si>
    <t>ORD100582</t>
  </si>
  <si>
    <t>CUST4366</t>
  </si>
  <si>
    <t>ORD100583</t>
  </si>
  <si>
    <t>CUST6146</t>
  </si>
  <si>
    <t>ORD100584</t>
  </si>
  <si>
    <t>CUST7673</t>
  </si>
  <si>
    <t>ORD100585</t>
  </si>
  <si>
    <t>ORD100586</t>
  </si>
  <si>
    <t>CUST3184</t>
  </si>
  <si>
    <t>ORD100587</t>
  </si>
  <si>
    <t>CUST7015</t>
  </si>
  <si>
    <t>ORD100588</t>
  </si>
  <si>
    <t>CUST9096</t>
  </si>
  <si>
    <t>ORD100589</t>
  </si>
  <si>
    <t>CUST8389</t>
  </si>
  <si>
    <t>ORD100590</t>
  </si>
  <si>
    <t>CUST4832</t>
  </si>
  <si>
    <t>ORD100591</t>
  </si>
  <si>
    <t>CUST2261</t>
  </si>
  <si>
    <t>ORD100592</t>
  </si>
  <si>
    <t>CUST2355</t>
  </si>
  <si>
    <t>ORD100593</t>
  </si>
  <si>
    <t>CUST6161</t>
  </si>
  <si>
    <t>ORD100594</t>
  </si>
  <si>
    <t>CUST9728</t>
  </si>
  <si>
    <t>ORD100595</t>
  </si>
  <si>
    <t>CUST2869</t>
  </si>
  <si>
    <t>ORD100596</t>
  </si>
  <si>
    <t>CUST4619</t>
  </si>
  <si>
    <t>ORD100597</t>
  </si>
  <si>
    <t>CUST1130</t>
  </si>
  <si>
    <t>ORD100598</t>
  </si>
  <si>
    <t>CUST3429</t>
  </si>
  <si>
    <t>ORD100599</t>
  </si>
  <si>
    <t>CUST8788</t>
  </si>
  <si>
    <t>ORD100600</t>
  </si>
  <si>
    <t>CUST7729</t>
  </si>
  <si>
    <t>ORD100601</t>
  </si>
  <si>
    <t>CUST3335</t>
  </si>
  <si>
    <t>ORD100602</t>
  </si>
  <si>
    <t>CUST6458</t>
  </si>
  <si>
    <t>ORD100603</t>
  </si>
  <si>
    <t>CUST8121</t>
  </si>
  <si>
    <t>ORD100604</t>
  </si>
  <si>
    <t>CUST7909</t>
  </si>
  <si>
    <t>ORD100605</t>
  </si>
  <si>
    <t>CUST2104</t>
  </si>
  <si>
    <t>ORD100606</t>
  </si>
  <si>
    <t>CUST6727</t>
  </si>
  <si>
    <t>ORD100607</t>
  </si>
  <si>
    <t>CUST7638</t>
  </si>
  <si>
    <t>ORD100608</t>
  </si>
  <si>
    <t>CUST7868</t>
  </si>
  <si>
    <t>ORD100609</t>
  </si>
  <si>
    <t>CUST2600</t>
  </si>
  <si>
    <t>ORD100610</t>
  </si>
  <si>
    <t>CUST4050</t>
  </si>
  <si>
    <t>ORD100611</t>
  </si>
  <si>
    <t>CUST1744</t>
  </si>
  <si>
    <t>ORD100612</t>
  </si>
  <si>
    <t>CUST6411</t>
  </si>
  <si>
    <t>ORD100613</t>
  </si>
  <si>
    <t>CUST8726</t>
  </si>
  <si>
    <t>ORD100614</t>
  </si>
  <si>
    <t>CUST4834</t>
  </si>
  <si>
    <t>ORD100615</t>
  </si>
  <si>
    <t>CUST5003</t>
  </si>
  <si>
    <t>ORD100616</t>
  </si>
  <si>
    <t>CUST4607</t>
  </si>
  <si>
    <t>ORD100617</t>
  </si>
  <si>
    <t>CUST2879</t>
  </si>
  <si>
    <t>ORD100618</t>
  </si>
  <si>
    <t>CUST1534</t>
  </si>
  <si>
    <t>ORD100619</t>
  </si>
  <si>
    <t>CUST2882</t>
  </si>
  <si>
    <t>ORD100620</t>
  </si>
  <si>
    <t>CUST4053</t>
  </si>
  <si>
    <t>ORD100621</t>
  </si>
  <si>
    <t>CUST2480</t>
  </si>
  <si>
    <t>ORD100622</t>
  </si>
  <si>
    <t>CUST6061</t>
  </si>
  <si>
    <t>ORD100623</t>
  </si>
  <si>
    <t>CUST3577</t>
  </si>
  <si>
    <t>ORD100624</t>
  </si>
  <si>
    <t>CUST1212</t>
  </si>
  <si>
    <t>ORD100625</t>
  </si>
  <si>
    <t>CUST6008</t>
  </si>
  <si>
    <t>ORD100626</t>
  </si>
  <si>
    <t>CUST4988</t>
  </si>
  <si>
    <t>ORD100627</t>
  </si>
  <si>
    <t>CUST1002</t>
  </si>
  <si>
    <t>ORD100628</t>
  </si>
  <si>
    <t>CUST9433</t>
  </si>
  <si>
    <t>ORD100629</t>
  </si>
  <si>
    <t>CUST7111</t>
  </si>
  <si>
    <t>ORD100630</t>
  </si>
  <si>
    <t>CUST4286</t>
  </si>
  <si>
    <t>ORD100631</t>
  </si>
  <si>
    <t>CUST2044</t>
  </si>
  <si>
    <t>ORD100632</t>
  </si>
  <si>
    <t>CUST6139</t>
  </si>
  <si>
    <t>ORD100633</t>
  </si>
  <si>
    <t>CUST3787</t>
  </si>
  <si>
    <t>ORD100634</t>
  </si>
  <si>
    <t>CUST7467</t>
  </si>
  <si>
    <t>ORD100635</t>
  </si>
  <si>
    <t>CUST9837</t>
  </si>
  <si>
    <t>ORD100636</t>
  </si>
  <si>
    <t>CUST3113</t>
  </si>
  <si>
    <t>ORD100637</t>
  </si>
  <si>
    <t>CUST9940</t>
  </si>
  <si>
    <t>ORD100638</t>
  </si>
  <si>
    <t>CUST3591</t>
  </si>
  <si>
    <t>ORD100639</t>
  </si>
  <si>
    <t>CUST2782</t>
  </si>
  <si>
    <t>ORD100640</t>
  </si>
  <si>
    <t>CUST8780</t>
  </si>
  <si>
    <t>ORD100641</t>
  </si>
  <si>
    <t>CUST8998</t>
  </si>
  <si>
    <t>ORD100642</t>
  </si>
  <si>
    <t>CUST9995</t>
  </si>
  <si>
    <t>ORD100643</t>
  </si>
  <si>
    <t>CUST6749</t>
  </si>
  <si>
    <t>ORD100644</t>
  </si>
  <si>
    <t>CUST5358</t>
  </si>
  <si>
    <t>ORD100645</t>
  </si>
  <si>
    <t>CUST2645</t>
  </si>
  <si>
    <t>ORD100646</t>
  </si>
  <si>
    <t>CUST7738</t>
  </si>
  <si>
    <t>ORD100647</t>
  </si>
  <si>
    <t>CUST5105</t>
  </si>
  <si>
    <t>ORD100648</t>
  </si>
  <si>
    <t>CUST4580</t>
  </si>
  <si>
    <t>ORD100649</t>
  </si>
  <si>
    <t>ORD100650</t>
  </si>
  <si>
    <t>CUST6181</t>
  </si>
  <si>
    <t>ORD100651</t>
  </si>
  <si>
    <t>CUST6186</t>
  </si>
  <si>
    <t>ORD100652</t>
  </si>
  <si>
    <t>CUST8718</t>
  </si>
  <si>
    <t>ORD100653</t>
  </si>
  <si>
    <t>CUST5623</t>
  </si>
  <si>
    <t>ORD100654</t>
  </si>
  <si>
    <t>CUST2994</t>
  </si>
  <si>
    <t>ORD100655</t>
  </si>
  <si>
    <t>CUST4567</t>
  </si>
  <si>
    <t>ORD100656</t>
  </si>
  <si>
    <t>CUST7284</t>
  </si>
  <si>
    <t>ORD100657</t>
  </si>
  <si>
    <t>CUST1510</t>
  </si>
  <si>
    <t>ORD100658</t>
  </si>
  <si>
    <t>CUST4909</t>
  </si>
  <si>
    <t>ORD100659</t>
  </si>
  <si>
    <t>CUST8540</t>
  </si>
  <si>
    <t>ORD100660</t>
  </si>
  <si>
    <t>CUST7149</t>
  </si>
  <si>
    <t>ORD100661</t>
  </si>
  <si>
    <t>CUST8429</t>
  </si>
  <si>
    <t>ORD100662</t>
  </si>
  <si>
    <t>ORD100663</t>
  </si>
  <si>
    <t>CUST8842</t>
  </si>
  <si>
    <t>ORD100664</t>
  </si>
  <si>
    <t>CUST1787</t>
  </si>
  <si>
    <t>ORD100665</t>
  </si>
  <si>
    <t>CUST9014</t>
  </si>
  <si>
    <t>ORD100666</t>
  </si>
  <si>
    <t>CUST6999</t>
  </si>
  <si>
    <t>ORD100667</t>
  </si>
  <si>
    <t>CUST6759</t>
  </si>
  <si>
    <t>ORD100668</t>
  </si>
  <si>
    <t>CUST5208</t>
  </si>
  <si>
    <t>ORD100669</t>
  </si>
  <si>
    <t>CUST7178</t>
  </si>
  <si>
    <t>ORD100670</t>
  </si>
  <si>
    <t>CUST8212</t>
  </si>
  <si>
    <t>ORD100671</t>
  </si>
  <si>
    <t>CUST9247</t>
  </si>
  <si>
    <t>ORD100672</t>
  </si>
  <si>
    <t>CUST7087</t>
  </si>
  <si>
    <t>ORD100673</t>
  </si>
  <si>
    <t>CUST7813</t>
  </si>
  <si>
    <t>ORD100674</t>
  </si>
  <si>
    <t>CUST1899</t>
  </si>
  <si>
    <t>ORD100675</t>
  </si>
  <si>
    <t>CUST9492</t>
  </si>
  <si>
    <t>ORD100676</t>
  </si>
  <si>
    <t>CUST7009</t>
  </si>
  <si>
    <t>ORD100677</t>
  </si>
  <si>
    <t>CUST2015</t>
  </si>
  <si>
    <t>ORD100678</t>
  </si>
  <si>
    <t>CUST8300</t>
  </si>
  <si>
    <t>ORD100679</t>
  </si>
  <si>
    <t>CUST5708</t>
  </si>
  <si>
    <t>ORD100680</t>
  </si>
  <si>
    <t>CUST6543</t>
  </si>
  <si>
    <t>ORD100681</t>
  </si>
  <si>
    <t>CUST2322</t>
  </si>
  <si>
    <t>ORD100682</t>
  </si>
  <si>
    <t>CUST5110</t>
  </si>
  <si>
    <t>ORD100683</t>
  </si>
  <si>
    <t>CUST9305</t>
  </si>
  <si>
    <t>ORD100684</t>
  </si>
  <si>
    <t>CUST8891</t>
  </si>
  <si>
    <t>ORD100685</t>
  </si>
  <si>
    <t>CUST1916</t>
  </si>
  <si>
    <t>ORD100686</t>
  </si>
  <si>
    <t>CUST7905</t>
  </si>
  <si>
    <t>ORD100687</t>
  </si>
  <si>
    <t>CUST3101</t>
  </si>
  <si>
    <t>ORD100688</t>
  </si>
  <si>
    <t>CUST1985</t>
  </si>
  <si>
    <t>ORD100689</t>
  </si>
  <si>
    <t>CUST3252</t>
  </si>
  <si>
    <t>ORD100690</t>
  </si>
  <si>
    <t>CUST6658</t>
  </si>
  <si>
    <t>ORD100691</t>
  </si>
  <si>
    <t>CUST4819</t>
  </si>
  <si>
    <t>ORD100692</t>
  </si>
  <si>
    <t>CUST6016</t>
  </si>
  <si>
    <t>ORD100693</t>
  </si>
  <si>
    <t>CUST2402</t>
  </si>
  <si>
    <t>ORD100694</t>
  </si>
  <si>
    <t>CUST6880</t>
  </si>
  <si>
    <t>ORD100695</t>
  </si>
  <si>
    <t>CUST5114</t>
  </si>
  <si>
    <t>ORD100696</t>
  </si>
  <si>
    <t>CUST7621</t>
  </si>
  <si>
    <t>ORD100697</t>
  </si>
  <si>
    <t>CUST7864</t>
  </si>
  <si>
    <t>ORD100698</t>
  </si>
  <si>
    <t>CUST1222</t>
  </si>
  <si>
    <t>ORD100699</t>
  </si>
  <si>
    <t>CUST6214</t>
  </si>
  <si>
    <t>ORD100700</t>
  </si>
  <si>
    <t>CUST5861</t>
  </si>
  <si>
    <t>ORD100701</t>
  </si>
  <si>
    <t>CUST4545</t>
  </si>
  <si>
    <t>ORD100702</t>
  </si>
  <si>
    <t>CUST6780</t>
  </si>
  <si>
    <t>ORD100703</t>
  </si>
  <si>
    <t>CUST4845</t>
  </si>
  <si>
    <t>ORD100704</t>
  </si>
  <si>
    <t>CUST6169</t>
  </si>
  <si>
    <t>ORD100705</t>
  </si>
  <si>
    <t>CUST1080</t>
  </si>
  <si>
    <t>ORD100706</t>
  </si>
  <si>
    <t>CUST3467</t>
  </si>
  <si>
    <t>ORD100707</t>
  </si>
  <si>
    <t>CUST5556</t>
  </si>
  <si>
    <t>ORD100708</t>
  </si>
  <si>
    <t>CUST8504</t>
  </si>
  <si>
    <t>ORD100709</t>
  </si>
  <si>
    <t>CUST3852</t>
  </si>
  <si>
    <t>ORD100710</t>
  </si>
  <si>
    <t>CUST6023</t>
  </si>
  <si>
    <t>ORD100711</t>
  </si>
  <si>
    <t>ORD100712</t>
  </si>
  <si>
    <t>CUST5225</t>
  </si>
  <si>
    <t>ORD100713</t>
  </si>
  <si>
    <t>CUST4920</t>
  </si>
  <si>
    <t>ORD100714</t>
  </si>
  <si>
    <t>CUST7039</t>
  </si>
  <si>
    <t>ORD100715</t>
  </si>
  <si>
    <t>ORD100716</t>
  </si>
  <si>
    <t>CUST5532</t>
  </si>
  <si>
    <t>ORD100717</t>
  </si>
  <si>
    <t>CUST3027</t>
  </si>
  <si>
    <t>ORD100718</t>
  </si>
  <si>
    <t>CUST9355</t>
  </si>
  <si>
    <t>ORD100719</t>
  </si>
  <si>
    <t>CUST9694</t>
  </si>
  <si>
    <t>ORD100720</t>
  </si>
  <si>
    <t>CUST5970</t>
  </si>
  <si>
    <t>ORD100721</t>
  </si>
  <si>
    <t>CUST1575</t>
  </si>
  <si>
    <t>ORD100722</t>
  </si>
  <si>
    <t>CUST3520</t>
  </si>
  <si>
    <t>ORD100723</t>
  </si>
  <si>
    <t>CUST5263</t>
  </si>
  <si>
    <t>ORD100724</t>
  </si>
  <si>
    <t>CUST5616</t>
  </si>
  <si>
    <t>ORD100725</t>
  </si>
  <si>
    <t>CUST7747</t>
  </si>
  <si>
    <t>ORD100726</t>
  </si>
  <si>
    <t>CUST3777</t>
  </si>
  <si>
    <t>ORD100727</t>
  </si>
  <si>
    <t>CUST9690</t>
  </si>
  <si>
    <t>ORD100728</t>
  </si>
  <si>
    <t>CUST3436</t>
  </si>
  <si>
    <t>ORD100729</t>
  </si>
  <si>
    <t>CUST7807</t>
  </si>
  <si>
    <t>ORD100730</t>
  </si>
  <si>
    <t>CUST4771</t>
  </si>
  <si>
    <t>ORD100731</t>
  </si>
  <si>
    <t>CUST8029</t>
  </si>
  <si>
    <t>ORD100732</t>
  </si>
  <si>
    <t>CUST1528</t>
  </si>
  <si>
    <t>ORD100733</t>
  </si>
  <si>
    <t>CUST3312</t>
  </si>
  <si>
    <t>ORD100734</t>
  </si>
  <si>
    <t>CUST6887</t>
  </si>
  <si>
    <t>ORD100735</t>
  </si>
  <si>
    <t>CUST9304</t>
  </si>
  <si>
    <t>ORD100736</t>
  </si>
  <si>
    <t>CUST9343</t>
  </si>
  <si>
    <t>ORD100737</t>
  </si>
  <si>
    <t>CUST2120</t>
  </si>
  <si>
    <t>ORD100738</t>
  </si>
  <si>
    <t>CUST8405</t>
  </si>
  <si>
    <t>ORD100739</t>
  </si>
  <si>
    <t>CUST8907</t>
  </si>
  <si>
    <t>ORD100740</t>
  </si>
  <si>
    <t>CUST3303</t>
  </si>
  <si>
    <t>ORD100741</t>
  </si>
  <si>
    <t>CUST5254</t>
  </si>
  <si>
    <t>ORD100742</t>
  </si>
  <si>
    <t>CUST6465</t>
  </si>
  <si>
    <t>ORD100743</t>
  </si>
  <si>
    <t>CUST3841</t>
  </si>
  <si>
    <t>ORD100744</t>
  </si>
  <si>
    <t>CUST5509</t>
  </si>
  <si>
    <t>ORD100745</t>
  </si>
  <si>
    <t>CUST5285</t>
  </si>
  <si>
    <t>ORD100746</t>
  </si>
  <si>
    <t>CUST1537</t>
  </si>
  <si>
    <t>ORD100747</t>
  </si>
  <si>
    <t>CUST7987</t>
  </si>
  <si>
    <t>ORD100748</t>
  </si>
  <si>
    <t>CUST3823</t>
  </si>
  <si>
    <t>ORD100749</t>
  </si>
  <si>
    <t>CUST1300</t>
  </si>
  <si>
    <t>ORD100750</t>
  </si>
  <si>
    <t>CUST3473</t>
  </si>
  <si>
    <t>ORD100751</t>
  </si>
  <si>
    <t>CUST1785</t>
  </si>
  <si>
    <t>ORD100752</t>
  </si>
  <si>
    <t>CUST5660</t>
  </si>
  <si>
    <t>ORD100753</t>
  </si>
  <si>
    <t>CUST9564</t>
  </si>
  <si>
    <t>ORD100754</t>
  </si>
  <si>
    <t>CUST1158</t>
  </si>
  <si>
    <t>ORD100755</t>
  </si>
  <si>
    <t>CUST6211</t>
  </si>
  <si>
    <t>ORD100756</t>
  </si>
  <si>
    <t>CUST5166</t>
  </si>
  <si>
    <t>ORD100757</t>
  </si>
  <si>
    <t>CUST5326</t>
  </si>
  <si>
    <t>ORD100758</t>
  </si>
  <si>
    <t>CUST8077</t>
  </si>
  <si>
    <t>ORD100759</t>
  </si>
  <si>
    <t>CUST8407</t>
  </si>
  <si>
    <t>ORD100760</t>
  </si>
  <si>
    <t>CUST5966</t>
  </si>
  <si>
    <t>ORD100761</t>
  </si>
  <si>
    <t>CUST5460</t>
  </si>
  <si>
    <t>ORD100762</t>
  </si>
  <si>
    <t>CUST1437</t>
  </si>
  <si>
    <t>ORD100763</t>
  </si>
  <si>
    <t>CUST2528</t>
  </si>
  <si>
    <t>ORD100764</t>
  </si>
  <si>
    <t>CUST9718</t>
  </si>
  <si>
    <t>ORD100765</t>
  </si>
  <si>
    <t>CUST4172</t>
  </si>
  <si>
    <t>ORD100766</t>
  </si>
  <si>
    <t>CUST1524</t>
  </si>
  <si>
    <t>ORD100767</t>
  </si>
  <si>
    <t>CUST4887</t>
  </si>
  <si>
    <t>ORD100768</t>
  </si>
  <si>
    <t>CUST3045</t>
  </si>
  <si>
    <t>ORD100769</t>
  </si>
  <si>
    <t>CUST6971</t>
  </si>
  <si>
    <t>ORD100770</t>
  </si>
  <si>
    <t>ORD100771</t>
  </si>
  <si>
    <t>CUST6440</t>
  </si>
  <si>
    <t>ORD100772</t>
  </si>
  <si>
    <t>CUST7573</t>
  </si>
  <si>
    <t>ORD100773</t>
  </si>
  <si>
    <t>CUST4754</t>
  </si>
  <si>
    <t>ORD100774</t>
  </si>
  <si>
    <t>CUST9650</t>
  </si>
  <si>
    <t>ORD100775</t>
  </si>
  <si>
    <t>CUST8505</t>
  </si>
  <si>
    <t>ORD100776</t>
  </si>
  <si>
    <t>CUST6913</t>
  </si>
  <si>
    <t>ORD100777</t>
  </si>
  <si>
    <t>CUST4603</t>
  </si>
  <si>
    <t>ORD100778</t>
  </si>
  <si>
    <t>CUST2531</t>
  </si>
  <si>
    <t>ORD100779</t>
  </si>
  <si>
    <t>CUST2167</t>
  </si>
  <si>
    <t>ORD100780</t>
  </si>
  <si>
    <t>CUST1145</t>
  </si>
  <si>
    <t>ORD100781</t>
  </si>
  <si>
    <t>CUST7598</t>
  </si>
  <si>
    <t>ORD100782</t>
  </si>
  <si>
    <t>CUST1559</t>
  </si>
  <si>
    <t>ORD100783</t>
  </si>
  <si>
    <t>CUST4576</t>
  </si>
  <si>
    <t>ORD100784</t>
  </si>
  <si>
    <t>CUST3795</t>
  </si>
  <si>
    <t>ORD100785</t>
  </si>
  <si>
    <t>CUST6796</t>
  </si>
  <si>
    <t>ORD100786</t>
  </si>
  <si>
    <t>CUST5638</t>
  </si>
  <si>
    <t>ORD100787</t>
  </si>
  <si>
    <t>CUST2977</t>
  </si>
  <si>
    <t>ORD100788</t>
  </si>
  <si>
    <t>CUST8301</t>
  </si>
  <si>
    <t>ORD100789</t>
  </si>
  <si>
    <t>CUST7261</t>
  </si>
  <si>
    <t>ORD100790</t>
  </si>
  <si>
    <t>CUST4570</t>
  </si>
  <si>
    <t>ORD100791</t>
  </si>
  <si>
    <t>CUST6688</t>
  </si>
  <si>
    <t>ORD100792</t>
  </si>
  <si>
    <t>CUST6531</t>
  </si>
  <si>
    <t>ORD100793</t>
  </si>
  <si>
    <t>CUST4699</t>
  </si>
  <si>
    <t>ORD100794</t>
  </si>
  <si>
    <t>CUST5163</t>
  </si>
  <si>
    <t>ORD100795</t>
  </si>
  <si>
    <t>CUST2060</t>
  </si>
  <si>
    <t>ORD100796</t>
  </si>
  <si>
    <t>ORD100797</t>
  </si>
  <si>
    <t>CUST5074</t>
  </si>
  <si>
    <t>ORD100798</t>
  </si>
  <si>
    <t>CUST1723</t>
  </si>
  <si>
    <t>ORD100799</t>
  </si>
  <si>
    <t>ORD100800</t>
  </si>
  <si>
    <t>CUST4249</t>
  </si>
  <si>
    <t>ORD100801</t>
  </si>
  <si>
    <t>CUST8080</t>
  </si>
  <si>
    <t>ORD100802</t>
  </si>
  <si>
    <t>ORD100803</t>
  </si>
  <si>
    <t>CUST2301</t>
  </si>
  <si>
    <t>ORD100804</t>
  </si>
  <si>
    <t>CUST6933</t>
  </si>
  <si>
    <t>ORD100805</t>
  </si>
  <si>
    <t>CUST1170</t>
  </si>
  <si>
    <t>ORD100806</t>
  </si>
  <si>
    <t>CUST5793</t>
  </si>
  <si>
    <t>ORD100807</t>
  </si>
  <si>
    <t>CUST2683</t>
  </si>
  <si>
    <t>ORD100808</t>
  </si>
  <si>
    <t>ORD100809</t>
  </si>
  <si>
    <t>CUST1918</t>
  </si>
  <si>
    <t>ORD100810</t>
  </si>
  <si>
    <t>CUST1734</t>
  </si>
  <si>
    <t>ORD100811</t>
  </si>
  <si>
    <t>CUST7085</t>
  </si>
  <si>
    <t>ORD100812</t>
  </si>
  <si>
    <t>CUST2675</t>
  </si>
  <si>
    <t>ORD100813</t>
  </si>
  <si>
    <t>CUST4907</t>
  </si>
  <si>
    <t>ORD100814</t>
  </si>
  <si>
    <t>CUST4902</t>
  </si>
  <si>
    <t>ORD100815</t>
  </si>
  <si>
    <t>CUST3967</t>
  </si>
  <si>
    <t>ORD100816</t>
  </si>
  <si>
    <t>ORD100817</t>
  </si>
  <si>
    <t>CUST8841</t>
  </si>
  <si>
    <t>ORD100818</t>
  </si>
  <si>
    <t>CUST1312</t>
  </si>
  <si>
    <t>ORD100819</t>
  </si>
  <si>
    <t>CUST4489</t>
  </si>
  <si>
    <t>ORD100820</t>
  </si>
  <si>
    <t>CUST5628</t>
  </si>
  <si>
    <t>ORD100821</t>
  </si>
  <si>
    <t>CUST4720</t>
  </si>
  <si>
    <t>ORD100822</t>
  </si>
  <si>
    <t>CUST7153</t>
  </si>
  <si>
    <t>ORD100823</t>
  </si>
  <si>
    <t>CUST8311</t>
  </si>
  <si>
    <t>ORD100824</t>
  </si>
  <si>
    <t>CUST7626</t>
  </si>
  <si>
    <t>ORD100825</t>
  </si>
  <si>
    <t>ORD100826</t>
  </si>
  <si>
    <t>ORD100827</t>
  </si>
  <si>
    <t>CUST6009</t>
  </si>
  <si>
    <t>ORD100828</t>
  </si>
  <si>
    <t>CUST6970</t>
  </si>
  <si>
    <t>ORD100829</t>
  </si>
  <si>
    <t>CUST9533</t>
  </si>
  <si>
    <t>ORD100830</t>
  </si>
  <si>
    <t>CUST2386</t>
  </si>
  <si>
    <t>ORD100831</t>
  </si>
  <si>
    <t>CUST7819</t>
  </si>
  <si>
    <t>ORD100832</t>
  </si>
  <si>
    <t>CUST8791</t>
  </si>
  <si>
    <t>ORD100833</t>
  </si>
  <si>
    <t>ORD100834</t>
  </si>
  <si>
    <t>CUST7766</t>
  </si>
  <si>
    <t>ORD100835</t>
  </si>
  <si>
    <t>CUST6570</t>
  </si>
  <si>
    <t>ORD100836</t>
  </si>
  <si>
    <t>CUST5434</t>
  </si>
  <si>
    <t>ORD100837</t>
  </si>
  <si>
    <t>CUST4932</t>
  </si>
  <si>
    <t>ORD100838</t>
  </si>
  <si>
    <t>CUST6654</t>
  </si>
  <si>
    <t>ORD100839</t>
  </si>
  <si>
    <t>CUST2397</t>
  </si>
  <si>
    <t>ORD100840</t>
  </si>
  <si>
    <t>CUST1519</t>
  </si>
  <si>
    <t>ORD100841</t>
  </si>
  <si>
    <t>CUST1148</t>
  </si>
  <si>
    <t>ORD100842</t>
  </si>
  <si>
    <t>CUST8763</t>
  </si>
  <si>
    <t>ORD100843</t>
  </si>
  <si>
    <t>ORD100844</t>
  </si>
  <si>
    <t>CUST9865</t>
  </si>
  <si>
    <t>ORD100845</t>
  </si>
  <si>
    <t>CUST1941</t>
  </si>
  <si>
    <t>ORD100846</t>
  </si>
  <si>
    <t>CUST8781</t>
  </si>
  <si>
    <t>ORD100847</t>
  </si>
  <si>
    <t>CUST5787</t>
  </si>
  <si>
    <t>ORD100848</t>
  </si>
  <si>
    <t>CUST9680</t>
  </si>
  <si>
    <t>ORD100849</t>
  </si>
  <si>
    <t>CUST7810</t>
  </si>
  <si>
    <t>ORD100850</t>
  </si>
  <si>
    <t>CUST3212</t>
  </si>
  <si>
    <t>ORD100851</t>
  </si>
  <si>
    <t>CUST4000</t>
  </si>
  <si>
    <t>ORD100852</t>
  </si>
  <si>
    <t>CUST1348</t>
  </si>
  <si>
    <t>ORD100853</t>
  </si>
  <si>
    <t>CUST1103</t>
  </si>
  <si>
    <t>ORD100854</t>
  </si>
  <si>
    <t>CUST2803</t>
  </si>
  <si>
    <t>ORD100855</t>
  </si>
  <si>
    <t>CUST7683</t>
  </si>
  <si>
    <t>ORD100856</t>
  </si>
  <si>
    <t>CUST4808</t>
  </si>
  <si>
    <t>ORD100857</t>
  </si>
  <si>
    <t>CUST6485</t>
  </si>
  <si>
    <t>ORD100858</t>
  </si>
  <si>
    <t>CUST8087</t>
  </si>
  <si>
    <t>ORD100859</t>
  </si>
  <si>
    <t>CUST7453</t>
  </si>
  <si>
    <t>ORD100860</t>
  </si>
  <si>
    <t>CUST9073</t>
  </si>
  <si>
    <t>ORD100861</t>
  </si>
  <si>
    <t>CUST5522</t>
  </si>
  <si>
    <t>ORD100862</t>
  </si>
  <si>
    <t>CUST3403</t>
  </si>
  <si>
    <t>ORD100863</t>
  </si>
  <si>
    <t>CUST4828</t>
  </si>
  <si>
    <t>ORD100864</t>
  </si>
  <si>
    <t>CUST5947</t>
  </si>
  <si>
    <t>ORD100865</t>
  </si>
  <si>
    <t>CUST1934</t>
  </si>
  <si>
    <t>ORD100866</t>
  </si>
  <si>
    <t>CUST7594</t>
  </si>
  <si>
    <t>ORD100867</t>
  </si>
  <si>
    <t>CUST8230</t>
  </si>
  <si>
    <t>ORD100868</t>
  </si>
  <si>
    <t>CUST2696</t>
  </si>
  <si>
    <t>ORD100869</t>
  </si>
  <si>
    <t>CUST2825</t>
  </si>
  <si>
    <t>ORD100870</t>
  </si>
  <si>
    <t>CUST2880</t>
  </si>
  <si>
    <t>ORD100871</t>
  </si>
  <si>
    <t>CUST5113</t>
  </si>
  <si>
    <t>ORD100872</t>
  </si>
  <si>
    <t>CUST8262</t>
  </si>
  <si>
    <t>ORD100873</t>
  </si>
  <si>
    <t>CUST3947</t>
  </si>
  <si>
    <t>ORD100874</t>
  </si>
  <si>
    <t>CUST7942</t>
  </si>
  <si>
    <t>ORD100875</t>
  </si>
  <si>
    <t>CUST6376</t>
  </si>
  <si>
    <t>ORD100876</t>
  </si>
  <si>
    <t>CUST1405</t>
  </si>
  <si>
    <t>ORD100877</t>
  </si>
  <si>
    <t>CUST8705</t>
  </si>
  <si>
    <t>ORD100878</t>
  </si>
  <si>
    <t>CUST7908</t>
  </si>
  <si>
    <t>ORD100879</t>
  </si>
  <si>
    <t>CUST1411</t>
  </si>
  <si>
    <t>ORD100880</t>
  </si>
  <si>
    <t>CUST2154</t>
  </si>
  <si>
    <t>ORD100881</t>
  </si>
  <si>
    <t>CUST7633</t>
  </si>
  <si>
    <t>ORD100882</t>
  </si>
  <si>
    <t>CUST5301</t>
  </si>
  <si>
    <t>ORD100883</t>
  </si>
  <si>
    <t>CUST6015</t>
  </si>
  <si>
    <t>ORD100884</t>
  </si>
  <si>
    <t>CUST4095</t>
  </si>
  <si>
    <t>ORD100885</t>
  </si>
  <si>
    <t>CUST6041</t>
  </si>
  <si>
    <t>ORD100886</t>
  </si>
  <si>
    <t>CUST5754</t>
  </si>
  <si>
    <t>ORD100887</t>
  </si>
  <si>
    <t>CUST7300</t>
  </si>
  <si>
    <t>ORD100888</t>
  </si>
  <si>
    <t>CUST4575</t>
  </si>
  <si>
    <t>ORD100889</t>
  </si>
  <si>
    <t>CUST6869</t>
  </si>
  <si>
    <t>ORD100890</t>
  </si>
  <si>
    <t>CUST9006</t>
  </si>
  <si>
    <t>ORD100891</t>
  </si>
  <si>
    <t>CUST5046</t>
  </si>
  <si>
    <t>ORD100892</t>
  </si>
  <si>
    <t>CUST7275</t>
  </si>
  <si>
    <t>ORD100893</t>
  </si>
  <si>
    <t>CUST7752</t>
  </si>
  <si>
    <t>ORD100894</t>
  </si>
  <si>
    <t>CUST1948</t>
  </si>
  <si>
    <t>ORD100895</t>
  </si>
  <si>
    <t>CUST2524</t>
  </si>
  <si>
    <t>ORD100896</t>
  </si>
  <si>
    <t>CUST9904</t>
  </si>
  <si>
    <t>ORD100897</t>
  </si>
  <si>
    <t>CUST1211</t>
  </si>
  <si>
    <t>ORD100898</t>
  </si>
  <si>
    <t>CUST3590</t>
  </si>
  <si>
    <t>ORD100899</t>
  </si>
  <si>
    <t>CUST8661</t>
  </si>
  <si>
    <t>ORD100900</t>
  </si>
  <si>
    <t>CUST9249</t>
  </si>
  <si>
    <t>ORD100901</t>
  </si>
  <si>
    <t>CUST1135</t>
  </si>
  <si>
    <t>ORD100902</t>
  </si>
  <si>
    <t>CUST3160</t>
  </si>
  <si>
    <t>ORD100903</t>
  </si>
  <si>
    <t>CUST6596</t>
  </si>
  <si>
    <t>ORD100904</t>
  </si>
  <si>
    <t>CUST4438</t>
  </si>
  <si>
    <t>ORD100905</t>
  </si>
  <si>
    <t>CUST5245</t>
  </si>
  <si>
    <t>ORD100906</t>
  </si>
  <si>
    <t>CUST8153</t>
  </si>
  <si>
    <t>ORD100907</t>
  </si>
  <si>
    <t>ORD100908</t>
  </si>
  <si>
    <t>ORD100909</t>
  </si>
  <si>
    <t>CUST9367</t>
  </si>
  <si>
    <t>ORD100910</t>
  </si>
  <si>
    <t>CUST6874</t>
  </si>
  <si>
    <t>ORD100911</t>
  </si>
  <si>
    <t>CUST1098</t>
  </si>
  <si>
    <t>ORD100912</t>
  </si>
  <si>
    <t>CUST7457</t>
  </si>
  <si>
    <t>ORD100913</t>
  </si>
  <si>
    <t>CUST1178</t>
  </si>
  <si>
    <t>ORD100914</t>
  </si>
  <si>
    <t>CUST5649</t>
  </si>
  <si>
    <t>ORD100915</t>
  </si>
  <si>
    <t>CUST8215</t>
  </si>
  <si>
    <t>ORD100916</t>
  </si>
  <si>
    <t>ORD100917</t>
  </si>
  <si>
    <t>CUST3843</t>
  </si>
  <si>
    <t>ORD100918</t>
  </si>
  <si>
    <t>ORD100919</t>
  </si>
  <si>
    <t>CUST1511</t>
  </si>
  <si>
    <t>ORD100920</t>
  </si>
  <si>
    <t>CUST3114</t>
  </si>
  <si>
    <t>ORD100921</t>
  </si>
  <si>
    <t>CUST5363</t>
  </si>
  <si>
    <t>ORD100922</t>
  </si>
  <si>
    <t>CUST5972</t>
  </si>
  <si>
    <t>ORD100923</t>
  </si>
  <si>
    <t>CUST8351</t>
  </si>
  <si>
    <t>ORD100924</t>
  </si>
  <si>
    <t>CUST4058</t>
  </si>
  <si>
    <t>ORD100925</t>
  </si>
  <si>
    <t>CUST1745</t>
  </si>
  <si>
    <t>ORD100926</t>
  </si>
  <si>
    <t>CUST4033</t>
  </si>
  <si>
    <t>ORD100927</t>
  </si>
  <si>
    <t>CUST2244</t>
  </si>
  <si>
    <t>ORD100928</t>
  </si>
  <si>
    <t>CUST6138</t>
  </si>
  <si>
    <t>ORD100929</t>
  </si>
  <si>
    <t>CUST8223</t>
  </si>
  <si>
    <t>ORD100930</t>
  </si>
  <si>
    <t>CUST3671</t>
  </si>
  <si>
    <t>ORD100931</t>
  </si>
  <si>
    <t>CUST3265</t>
  </si>
  <si>
    <t>ORD100932</t>
  </si>
  <si>
    <t>CUST1857</t>
  </si>
  <si>
    <t>ORD100933</t>
  </si>
  <si>
    <t>ORD100934</t>
  </si>
  <si>
    <t>CUST9224</t>
  </si>
  <si>
    <t>ORD100935</t>
  </si>
  <si>
    <t>CUST1410</t>
  </si>
  <si>
    <t>ORD100936</t>
  </si>
  <si>
    <t>ORD100937</t>
  </si>
  <si>
    <t>CUST3747</t>
  </si>
  <si>
    <t>ORD100938</t>
  </si>
  <si>
    <t>CUST9671</t>
  </si>
  <si>
    <t>ORD100939</t>
  </si>
  <si>
    <t>CUST4323</t>
  </si>
  <si>
    <t>ORD100940</t>
  </si>
  <si>
    <t>CUST9164</t>
  </si>
  <si>
    <t>ORD100941</t>
  </si>
  <si>
    <t>CUST1690</t>
  </si>
  <si>
    <t>ORD100942</t>
  </si>
  <si>
    <t>CUST6123</t>
  </si>
  <si>
    <t>ORD100943</t>
  </si>
  <si>
    <t>CUST6038</t>
  </si>
  <si>
    <t>ORD100944</t>
  </si>
  <si>
    <t>CUST8353</t>
  </si>
  <si>
    <t>ORD100945</t>
  </si>
  <si>
    <t>CUST2483</t>
  </si>
  <si>
    <t>ORD100946</t>
  </si>
  <si>
    <t>CUST5489</t>
  </si>
  <si>
    <t>ORD100947</t>
  </si>
  <si>
    <t>CUST8656</t>
  </si>
  <si>
    <t>ORD100948</t>
  </si>
  <si>
    <t>CUST9210</t>
  </si>
  <si>
    <t>ORD100949</t>
  </si>
  <si>
    <t>CUST7733</t>
  </si>
  <si>
    <t>ORD100950</t>
  </si>
  <si>
    <t>CUST7091</t>
  </si>
  <si>
    <t>ORD100951</t>
  </si>
  <si>
    <t>CUST3217</t>
  </si>
  <si>
    <t>ORD100952</t>
  </si>
  <si>
    <t>CUST9679</t>
  </si>
  <si>
    <t>ORD100953</t>
  </si>
  <si>
    <t>CUST1360</t>
  </si>
  <si>
    <t>ORD100954</t>
  </si>
  <si>
    <t>CUST3781</t>
  </si>
  <si>
    <t>ORD100955</t>
  </si>
  <si>
    <t>CUST8441</t>
  </si>
  <si>
    <t>ORD100956</t>
  </si>
  <si>
    <t>CUST1523</t>
  </si>
  <si>
    <t>ORD100957</t>
  </si>
  <si>
    <t>ORD100958</t>
  </si>
  <si>
    <t>CUST6336</t>
  </si>
  <si>
    <t>ORD100959</t>
  </si>
  <si>
    <t>CUST8993</t>
  </si>
  <si>
    <t>ORD100960</t>
  </si>
  <si>
    <t>CUST4564</t>
  </si>
  <si>
    <t>ORD100961</t>
  </si>
  <si>
    <t>CUST9763</t>
  </si>
  <si>
    <t>ORD100962</t>
  </si>
  <si>
    <t>CUST5311</t>
  </si>
  <si>
    <t>ORD100963</t>
  </si>
  <si>
    <t>CUST4127</t>
  </si>
  <si>
    <t>ORD100964</t>
  </si>
  <si>
    <t>CUST3425</t>
  </si>
  <si>
    <t>ORD100965</t>
  </si>
  <si>
    <t>ORD100966</t>
  </si>
  <si>
    <t>CUST2311</t>
  </si>
  <si>
    <t>ORD100967</t>
  </si>
  <si>
    <t>CUST1583</t>
  </si>
  <si>
    <t>ORD100968</t>
  </si>
  <si>
    <t>CUST5098</t>
  </si>
  <si>
    <t>ORD100969</t>
  </si>
  <si>
    <t>CUST2285</t>
  </si>
  <si>
    <t>ORD100970</t>
  </si>
  <si>
    <t>CUST4419</t>
  </si>
  <si>
    <t>ORD100971</t>
  </si>
  <si>
    <t>CUST2052</t>
  </si>
  <si>
    <t>ORD100972</t>
  </si>
  <si>
    <t>CUST1293</t>
  </si>
  <si>
    <t>ORD100973</t>
  </si>
  <si>
    <t>CUST1401</t>
  </si>
  <si>
    <t>ORD100974</t>
  </si>
  <si>
    <t>CUST9872</t>
  </si>
  <si>
    <t>ORD100975</t>
  </si>
  <si>
    <t>CUST7184</t>
  </si>
  <si>
    <t>ORD100976</t>
  </si>
  <si>
    <t>CUST2727</t>
  </si>
  <si>
    <t>ORD100977</t>
  </si>
  <si>
    <t>CUST9156</t>
  </si>
  <si>
    <t>ORD100978</t>
  </si>
  <si>
    <t>CUST7285</t>
  </si>
  <si>
    <t>ORD100979</t>
  </si>
  <si>
    <t>CUST7476</t>
  </si>
  <si>
    <t>ORD100980</t>
  </si>
  <si>
    <t>CUST6302</t>
  </si>
  <si>
    <t>ORD100981</t>
  </si>
  <si>
    <t>CUST7279</t>
  </si>
  <si>
    <t>ORD100982</t>
  </si>
  <si>
    <t>CUST1704</t>
  </si>
  <si>
    <t>ORD100983</t>
  </si>
  <si>
    <t>CUST3483</t>
  </si>
  <si>
    <t>ORD100984</t>
  </si>
  <si>
    <t>CUST4016</t>
  </si>
  <si>
    <t>ORD100985</t>
  </si>
  <si>
    <t>CUST1277</t>
  </si>
  <si>
    <t>ORD100986</t>
  </si>
  <si>
    <t>CUST4569</t>
  </si>
  <si>
    <t>ORD100987</t>
  </si>
  <si>
    <t>ORD100988</t>
  </si>
  <si>
    <t>CUST9862</t>
  </si>
  <si>
    <t>ORD100989</t>
  </si>
  <si>
    <t>CUST2622</t>
  </si>
  <si>
    <t>ORD100990</t>
  </si>
  <si>
    <t>CUST1564</t>
  </si>
  <si>
    <t>ORD100991</t>
  </si>
  <si>
    <t>CUST4519</t>
  </si>
  <si>
    <t>ORD100992</t>
  </si>
  <si>
    <t>CUST6768</t>
  </si>
  <si>
    <t>ORD100993</t>
  </si>
  <si>
    <t>CUST2908</t>
  </si>
  <si>
    <t>ORD100994</t>
  </si>
  <si>
    <t>ORD100995</t>
  </si>
  <si>
    <t>CUST3760</t>
  </si>
  <si>
    <t>ORD100996</t>
  </si>
  <si>
    <t>CUST3600</t>
  </si>
  <si>
    <t>ORD100997</t>
  </si>
  <si>
    <t>CUST5899</t>
  </si>
  <si>
    <t>ORD100998</t>
  </si>
  <si>
    <t>CUST4315</t>
  </si>
  <si>
    <t>ORD100999</t>
  </si>
  <si>
    <t>CUST7510</t>
  </si>
  <si>
    <t>ORD101000</t>
  </si>
  <si>
    <t>CUST2014</t>
  </si>
  <si>
    <t>ORD101001</t>
  </si>
  <si>
    <t>CUST9194</t>
  </si>
  <si>
    <t>ORD101002</t>
  </si>
  <si>
    <t>CUST3953</t>
  </si>
  <si>
    <t>ORD101003</t>
  </si>
  <si>
    <t>CUST1623</t>
  </si>
  <si>
    <t>ORD101004</t>
  </si>
  <si>
    <t>ORD101005</t>
  </si>
  <si>
    <t>CUST4549</t>
  </si>
  <si>
    <t>ORD101006</t>
  </si>
  <si>
    <t>CUST1974</t>
  </si>
  <si>
    <t>ORD101007</t>
  </si>
  <si>
    <t>CUST8724</t>
  </si>
  <si>
    <t>ORD101008</t>
  </si>
  <si>
    <t>ORD101009</t>
  </si>
  <si>
    <t>CUST1867</t>
  </si>
  <si>
    <t>ORD101010</t>
  </si>
  <si>
    <t>ORD101011</t>
  </si>
  <si>
    <t>CUST9032</t>
  </si>
  <si>
    <t>ORD101012</t>
  </si>
  <si>
    <t>CUST6137</t>
  </si>
  <si>
    <t>ORD101013</t>
  </si>
  <si>
    <t>CUST5576</t>
  </si>
  <si>
    <t>ORD101014</t>
  </si>
  <si>
    <t>CUST9215</t>
  </si>
  <si>
    <t>ORD101015</t>
  </si>
  <si>
    <t>ORD101016</t>
  </si>
  <si>
    <t>CUST6699</t>
  </si>
  <si>
    <t>ORD101017</t>
  </si>
  <si>
    <t>CUST8955</t>
  </si>
  <si>
    <t>ORD101018</t>
  </si>
  <si>
    <t>CUST9839</t>
  </si>
  <si>
    <t>ORD101019</t>
  </si>
  <si>
    <t>ORD101020</t>
  </si>
  <si>
    <t>CUST2627</t>
  </si>
  <si>
    <t>ORD101021</t>
  </si>
  <si>
    <t>CUST6064</t>
  </si>
  <si>
    <t>ORD101022</t>
  </si>
  <si>
    <t>CUST6369</t>
  </si>
  <si>
    <t>ORD101023</t>
  </si>
  <si>
    <t>CUST4147</t>
  </si>
  <si>
    <t>ORD101024</t>
  </si>
  <si>
    <t>CUST4934</t>
  </si>
  <si>
    <t>ORD101025</t>
  </si>
  <si>
    <t>CUST6973</t>
  </si>
  <si>
    <t>ORD101026</t>
  </si>
  <si>
    <t>CUST8838</t>
  </si>
  <si>
    <t>ORD101027</t>
  </si>
  <si>
    <t>CUST5067</t>
  </si>
  <si>
    <t>ORD101028</t>
  </si>
  <si>
    <t>CUST1251</t>
  </si>
  <si>
    <t>ORD101029</t>
  </si>
  <si>
    <t>CUST5619</t>
  </si>
  <si>
    <t>ORD101030</t>
  </si>
  <si>
    <t>CUST2767</t>
  </si>
  <si>
    <t>ORD101031</t>
  </si>
  <si>
    <t>CUST4801</t>
  </si>
  <si>
    <t>ORD101032</t>
  </si>
  <si>
    <t>CUST6422</t>
  </si>
  <si>
    <t>ORD101033</t>
  </si>
  <si>
    <t>CUST9037</t>
  </si>
  <si>
    <t>ORD101034</t>
  </si>
  <si>
    <t>CUST2689</t>
  </si>
  <si>
    <t>ORD101035</t>
  </si>
  <si>
    <t>ORD101036</t>
  </si>
  <si>
    <t>CUST1404</t>
  </si>
  <si>
    <t>ORD101037</t>
  </si>
  <si>
    <t>CUST8895</t>
  </si>
  <si>
    <t>ORD101038</t>
  </si>
  <si>
    <t>CUST1441</t>
  </si>
  <si>
    <t>ORD101039</t>
  </si>
  <si>
    <t>CUST8902</t>
  </si>
  <si>
    <t>ORD101040</t>
  </si>
  <si>
    <t>CUST1677</t>
  </si>
  <si>
    <t>ORD101041</t>
  </si>
  <si>
    <t>CUST5187</t>
  </si>
  <si>
    <t>ORD101042</t>
  </si>
  <si>
    <t>CUST2031</t>
  </si>
  <si>
    <t>ORD101043</t>
  </si>
  <si>
    <t>CUST5826</t>
  </si>
  <si>
    <t>ORD101044</t>
  </si>
  <si>
    <t>ORD101045</t>
  </si>
  <si>
    <t>CUST9390</t>
  </si>
  <si>
    <t>ORD101046</t>
  </si>
  <si>
    <t>CUST3673</t>
  </si>
  <si>
    <t>ORD101047</t>
  </si>
  <si>
    <t>CUST9575</t>
  </si>
  <si>
    <t>ORD101048</t>
  </si>
  <si>
    <t>CUST5086</t>
  </si>
  <si>
    <t>ORD101049</t>
  </si>
  <si>
    <t>CUST2469</t>
  </si>
  <si>
    <t>ORD101050</t>
  </si>
  <si>
    <t>CUST7037</t>
  </si>
  <si>
    <t>ORD101051</t>
  </si>
  <si>
    <t>CUST6515</t>
  </si>
  <si>
    <t>ORD101052</t>
  </si>
  <si>
    <t>CUST7797</t>
  </si>
  <si>
    <t>ORD101053</t>
  </si>
  <si>
    <t>CUST4252</t>
  </si>
  <si>
    <t>ORD101054</t>
  </si>
  <si>
    <t>CUST3159</t>
  </si>
  <si>
    <t>ORD101055</t>
  </si>
  <si>
    <t>CUST6434</t>
  </si>
  <si>
    <t>ORD101056</t>
  </si>
  <si>
    <t>CUST7252</t>
  </si>
  <si>
    <t>ORD101057</t>
  </si>
  <si>
    <t>CUST1328</t>
  </si>
  <si>
    <t>ORD101058</t>
  </si>
  <si>
    <t>CUST1013</t>
  </si>
  <si>
    <t>ORD101059</t>
  </si>
  <si>
    <t>CUST9307</t>
  </si>
  <si>
    <t>ORD101060</t>
  </si>
  <si>
    <t>CUST3554</t>
  </si>
  <si>
    <t>ORD101061</t>
  </si>
  <si>
    <t>CUST4068</t>
  </si>
  <si>
    <t>ORD101062</t>
  </si>
  <si>
    <t>CUST9721</t>
  </si>
  <si>
    <t>ORD101063</t>
  </si>
  <si>
    <t>CUST1728</t>
  </si>
  <si>
    <t>ORD101064</t>
  </si>
  <si>
    <t>CUST6275</t>
  </si>
  <si>
    <t>ORD101065</t>
  </si>
  <si>
    <t>CUST4550</t>
  </si>
  <si>
    <t>ORD101066</t>
  </si>
  <si>
    <t>CUST2318</t>
  </si>
  <si>
    <t>ORD101067</t>
  </si>
  <si>
    <t>CUST8367</t>
  </si>
  <si>
    <t>ORD101068</t>
  </si>
  <si>
    <t>ORD101069</t>
  </si>
  <si>
    <t>CUST5626</t>
  </si>
  <si>
    <t>ORD101070</t>
  </si>
  <si>
    <t>CUST8615</t>
  </si>
  <si>
    <t>ORD101071</t>
  </si>
  <si>
    <t>CUST1375</t>
  </si>
  <si>
    <t>ORD101072</t>
  </si>
  <si>
    <t>ORD101073</t>
  </si>
  <si>
    <t>CUST9270</t>
  </si>
  <si>
    <t>ORD101074</t>
  </si>
  <si>
    <t>CUST6856</t>
  </si>
  <si>
    <t>ORD101075</t>
  </si>
  <si>
    <t>CUST3033</t>
  </si>
  <si>
    <t>ORD101076</t>
  </si>
  <si>
    <t>CUST2893</t>
  </si>
  <si>
    <t>ORD101077</t>
  </si>
  <si>
    <t>CUST4102</t>
  </si>
  <si>
    <t>ORD101078</t>
  </si>
  <si>
    <t>CUST7006</t>
  </si>
  <si>
    <t>ORD101079</t>
  </si>
  <si>
    <t>CUST5766</t>
  </si>
  <si>
    <t>ORD101080</t>
  </si>
  <si>
    <t>CUST7196</t>
  </si>
  <si>
    <t>ORD101081</t>
  </si>
  <si>
    <t>CUST2519</t>
  </si>
  <si>
    <t>ORD101082</t>
  </si>
  <si>
    <t>ORD101083</t>
  </si>
  <si>
    <t>CUST5021</t>
  </si>
  <si>
    <t>ORD101084</t>
  </si>
  <si>
    <t>CUST5497</t>
  </si>
  <si>
    <t>ORD101085</t>
  </si>
  <si>
    <t>CUST2136</t>
  </si>
  <si>
    <t>ORD101086</t>
  </si>
  <si>
    <t>CUST4468</t>
  </si>
  <si>
    <t>ORD101087</t>
  </si>
  <si>
    <t>ORD101088</t>
  </si>
  <si>
    <t>CUST3780</t>
  </si>
  <si>
    <t>ORD101089</t>
  </si>
  <si>
    <t>CUST7389</t>
  </si>
  <si>
    <t>ORD101090</t>
  </si>
  <si>
    <t>CUST7917</t>
  </si>
  <si>
    <t>ORD101091</t>
  </si>
  <si>
    <t>CUST4241</t>
  </si>
  <si>
    <t>ORD101092</t>
  </si>
  <si>
    <t>CUST7357</t>
  </si>
  <si>
    <t>ORD101093</t>
  </si>
  <si>
    <t>CUST8671</t>
  </si>
  <si>
    <t>ORD101094</t>
  </si>
  <si>
    <t>CUST7821</t>
  </si>
  <si>
    <t>ORD101095</t>
  </si>
  <si>
    <t>CUST8458</t>
  </si>
  <si>
    <t>ORD101096</t>
  </si>
  <si>
    <t>ORD101097</t>
  </si>
  <si>
    <t>CUST6862</t>
  </si>
  <si>
    <t>ORD101098</t>
  </si>
  <si>
    <t>CUST2835</t>
  </si>
  <si>
    <t>ORD101099</t>
  </si>
  <si>
    <t>CUST6582</t>
  </si>
  <si>
    <t>ORD101100</t>
  </si>
  <si>
    <t>CUST3183</t>
  </si>
  <si>
    <t>ORD101101</t>
  </si>
  <si>
    <t>CUST5607</t>
  </si>
  <si>
    <t>ORD101102</t>
  </si>
  <si>
    <t>CUST3784</t>
  </si>
  <si>
    <t>ORD101103</t>
  </si>
  <si>
    <t>ORD101104</t>
  </si>
  <si>
    <t>CUST8028</t>
  </si>
  <si>
    <t>ORD101105</t>
  </si>
  <si>
    <t>CUST7354</t>
  </si>
  <si>
    <t>ORD101106</t>
  </si>
  <si>
    <t>CUST5011</t>
  </si>
  <si>
    <t>ORD101107</t>
  </si>
  <si>
    <t>CUST1514</t>
  </si>
  <si>
    <t>ORD101108</t>
  </si>
  <si>
    <t>CUST9023</t>
  </si>
  <si>
    <t>ORD101109</t>
  </si>
  <si>
    <t>CUST7378</t>
  </si>
  <si>
    <t>ORD101110</t>
  </si>
  <si>
    <t>CUST6996</t>
  </si>
  <si>
    <t>ORD101111</t>
  </si>
  <si>
    <t>CUST6588</t>
  </si>
  <si>
    <t>ORD101112</t>
  </si>
  <si>
    <t>CUST6722</t>
  </si>
  <si>
    <t>ORD101113</t>
  </si>
  <si>
    <t>CUST2544</t>
  </si>
  <si>
    <t>ORD101114</t>
  </si>
  <si>
    <t>ORD101115</t>
  </si>
  <si>
    <t>CUST6750</t>
  </si>
  <si>
    <t>ORD101116</t>
  </si>
  <si>
    <t>CUST8164</t>
  </si>
  <si>
    <t>ORD101117</t>
  </si>
  <si>
    <t>CUST2192</t>
  </si>
  <si>
    <t>ORD101118</t>
  </si>
  <si>
    <t>CUST9624</t>
  </si>
  <si>
    <t>ORD101119</t>
  </si>
  <si>
    <t>CUST5798</t>
  </si>
  <si>
    <t>ORD101120</t>
  </si>
  <si>
    <t>CUST1914</t>
  </si>
  <si>
    <t>ORD101121</t>
  </si>
  <si>
    <t>CUST5424</t>
  </si>
  <si>
    <t>ORD101122</t>
  </si>
  <si>
    <t>CUST7471</t>
  </si>
  <si>
    <t>ORD101123</t>
  </si>
  <si>
    <t>CUST3361</t>
  </si>
  <si>
    <t>ORD101124</t>
  </si>
  <si>
    <t>CUST7034</t>
  </si>
  <si>
    <t>ORD101125</t>
  </si>
  <si>
    <t>CUST5168</t>
  </si>
  <si>
    <t>ORD101126</t>
  </si>
  <si>
    <t>ORD101127</t>
  </si>
  <si>
    <t>CUST2991</t>
  </si>
  <si>
    <t>ORD101128</t>
  </si>
  <si>
    <t>CUST6066</t>
  </si>
  <si>
    <t>ORD101129</t>
  </si>
  <si>
    <t>CUST6656</t>
  </si>
  <si>
    <t>ORD101130</t>
  </si>
  <si>
    <t>CUST8672</t>
  </si>
  <si>
    <t>ORD101131</t>
  </si>
  <si>
    <t>ORD101132</t>
  </si>
  <si>
    <t>CUST2506</t>
  </si>
  <si>
    <t>ORD101133</t>
  </si>
  <si>
    <t>CUST2904</t>
  </si>
  <si>
    <t>ORD101134</t>
  </si>
  <si>
    <t>CUST4266</t>
  </si>
  <si>
    <t>ORD101135</t>
  </si>
  <si>
    <t>CUST4594</t>
  </si>
  <si>
    <t>ORD101136</t>
  </si>
  <si>
    <t>CUST1309</t>
  </si>
  <si>
    <t>ORD101137</t>
  </si>
  <si>
    <t>CUST6942</t>
  </si>
  <si>
    <t>ORD101138</t>
  </si>
  <si>
    <t>CUST9965</t>
  </si>
  <si>
    <t>ORD101139</t>
  </si>
  <si>
    <t>CUST3486</t>
  </si>
  <si>
    <t>ORD101140</t>
  </si>
  <si>
    <t>CUST4596</t>
  </si>
  <si>
    <t>ORD101141</t>
  </si>
  <si>
    <t>CUST3926</t>
  </si>
  <si>
    <t>ORD101142</t>
  </si>
  <si>
    <t>CUST2408</t>
  </si>
  <si>
    <t>ORD101143</t>
  </si>
  <si>
    <t>CUST6806</t>
  </si>
  <si>
    <t>ORD101144</t>
  </si>
  <si>
    <t>CUST7677</t>
  </si>
  <si>
    <t>ORD101145</t>
  </si>
  <si>
    <t>CUST9282</t>
  </si>
  <si>
    <t>ORD101146</t>
  </si>
  <si>
    <t>CUST1695</t>
  </si>
  <si>
    <t>ORD101147</t>
  </si>
  <si>
    <t>CUST9434</t>
  </si>
  <si>
    <t>ORD101148</t>
  </si>
  <si>
    <t>CUST6632</t>
  </si>
  <si>
    <t>ORD101149</t>
  </si>
  <si>
    <t>CUST8086</t>
  </si>
  <si>
    <t>ORD101150</t>
  </si>
  <si>
    <t>CUST4908</t>
  </si>
  <si>
    <t>ORD101151</t>
  </si>
  <si>
    <t>CUST1580</t>
  </si>
  <si>
    <t>ORD101152</t>
  </si>
  <si>
    <t>CUST7374</t>
  </si>
  <si>
    <t>ORD101153</t>
  </si>
  <si>
    <t>ORD101154</t>
  </si>
  <si>
    <t>ORD101155</t>
  </si>
  <si>
    <t>CUST2552</t>
  </si>
  <si>
    <t>ORD101156</t>
  </si>
  <si>
    <t>CUST5367</t>
  </si>
  <si>
    <t>ORD101157</t>
  </si>
  <si>
    <t>CUST5728</t>
  </si>
  <si>
    <t>ORD101158</t>
  </si>
  <si>
    <t>CUST3791</t>
  </si>
  <si>
    <t>ORD101159</t>
  </si>
  <si>
    <t>CUST6878</t>
  </si>
  <si>
    <t>ORD101160</t>
  </si>
  <si>
    <t>CUST5605</t>
  </si>
  <si>
    <t>ORD101161</t>
  </si>
  <si>
    <t>ORD101162</t>
  </si>
  <si>
    <t>CUST5651</t>
  </si>
  <si>
    <t>ORD101163</t>
  </si>
  <si>
    <t>CUST1685</t>
  </si>
  <si>
    <t>ORD101164</t>
  </si>
  <si>
    <t>CUST3064</t>
  </si>
  <si>
    <t>ORD101165</t>
  </si>
  <si>
    <t>CUST1937</t>
  </si>
  <si>
    <t>ORD101166</t>
  </si>
  <si>
    <t>CUST5029</t>
  </si>
  <si>
    <t>ORD101167</t>
  </si>
  <si>
    <t>CUST3868</t>
  </si>
  <si>
    <t>ORD101168</t>
  </si>
  <si>
    <t>CUST4527</t>
  </si>
  <si>
    <t>ORD101169</t>
  </si>
  <si>
    <t>CUST9875</t>
  </si>
  <si>
    <t>ORD101170</t>
  </si>
  <si>
    <t>ORD101171</t>
  </si>
  <si>
    <t>CUST5013</t>
  </si>
  <si>
    <t>ORD101172</t>
  </si>
  <si>
    <t>CUST2108</t>
  </si>
  <si>
    <t>ORD101173</t>
  </si>
  <si>
    <t>CUST9074</t>
  </si>
  <si>
    <t>ORD101174</t>
  </si>
  <si>
    <t>CUST1315</t>
  </si>
  <si>
    <t>ORD101175</t>
  </si>
  <si>
    <t>CUST2625</t>
  </si>
  <si>
    <t>ORD101176</t>
  </si>
  <si>
    <t>CUST6641</t>
  </si>
  <si>
    <t>ORD101177</t>
  </si>
  <si>
    <t>CUST1368</t>
  </si>
  <si>
    <t>ORD101178</t>
  </si>
  <si>
    <t>CUST3559</t>
  </si>
  <si>
    <t>ORD101179</t>
  </si>
  <si>
    <t>CUST5520</t>
  </si>
  <si>
    <t>ORD101180</t>
  </si>
  <si>
    <t>CUST7954</t>
  </si>
  <si>
    <t>ORD101181</t>
  </si>
  <si>
    <t>CUST4748</t>
  </si>
  <si>
    <t>ORD101182</t>
  </si>
  <si>
    <t>CUST9234</t>
  </si>
  <si>
    <t>ORD101183</t>
  </si>
  <si>
    <t>CUST2859</t>
  </si>
  <si>
    <t>ORD101184</t>
  </si>
  <si>
    <t>CUST6287</t>
  </si>
  <si>
    <t>ORD101185</t>
  </si>
  <si>
    <t>CUST4999</t>
  </si>
  <si>
    <t>ORD101186</t>
  </si>
  <si>
    <t>ORD101187</t>
  </si>
  <si>
    <t>CUST8770</t>
  </si>
  <si>
    <t>ORD101188</t>
  </si>
  <si>
    <t>CUST2537</t>
  </si>
  <si>
    <t>ORD101189</t>
  </si>
  <si>
    <t>CUST3343</t>
  </si>
  <si>
    <t>ORD101190</t>
  </si>
  <si>
    <t>CUST7263</t>
  </si>
  <si>
    <t>ORD101191</t>
  </si>
  <si>
    <t>CUST9216</t>
  </si>
  <si>
    <t>ORD101192</t>
  </si>
  <si>
    <t>CUST2849</t>
  </si>
  <si>
    <t>ORD101193</t>
  </si>
  <si>
    <t>CUST4374</t>
  </si>
  <si>
    <t>ORD101194</t>
  </si>
  <si>
    <t>CUST4723</t>
  </si>
  <si>
    <t>ORD101195</t>
  </si>
  <si>
    <t>CUST1727</t>
  </si>
  <si>
    <t>ORD101196</t>
  </si>
  <si>
    <t>CUST5293</t>
  </si>
  <si>
    <t>ORD101197</t>
  </si>
  <si>
    <t>ORD101198</t>
  </si>
  <si>
    <t>CUST7572</t>
  </si>
  <si>
    <t>ORD101199</t>
  </si>
  <si>
    <t>CUST5161</t>
  </si>
  <si>
    <t>ORD101200</t>
  </si>
  <si>
    <t>CUST4693</t>
  </si>
  <si>
    <t>ORD101201</t>
  </si>
  <si>
    <t>CUST6239</t>
  </si>
  <si>
    <t>ORD101202</t>
  </si>
  <si>
    <t>CUST2309</t>
  </si>
  <si>
    <t>ORD101203</t>
  </si>
  <si>
    <t>CUST9724</t>
  </si>
  <si>
    <t>ORD101204</t>
  </si>
  <si>
    <t>CUST9771</t>
  </si>
  <si>
    <t>ORD101205</t>
  </si>
  <si>
    <t>CUST8338</t>
  </si>
  <si>
    <t>ORD101206</t>
  </si>
  <si>
    <t>CUST6837</t>
  </si>
  <si>
    <t>ORD101207</t>
  </si>
  <si>
    <t>CUST8263</t>
  </si>
  <si>
    <t>ORD101208</t>
  </si>
  <si>
    <t>CUST1798</t>
  </si>
  <si>
    <t>ORD101209</t>
  </si>
  <si>
    <t>CUST2391</t>
  </si>
  <si>
    <t>ORD101210</t>
  </si>
  <si>
    <t>ORD101211</t>
  </si>
  <si>
    <t>CUST5959</t>
  </si>
  <si>
    <t>ORD101212</t>
  </si>
  <si>
    <t>CUST2577</t>
  </si>
  <si>
    <t>ORD101213</t>
  </si>
  <si>
    <t>CUST4215</t>
  </si>
  <si>
    <t>ORD101214</t>
  </si>
  <si>
    <t>CUST5784</t>
  </si>
  <si>
    <t>ORD101215</t>
  </si>
  <si>
    <t>CUST1912</t>
  </si>
  <si>
    <t>ORD101216</t>
  </si>
  <si>
    <t>CUST3633</t>
  </si>
  <si>
    <t>ORD101217</t>
  </si>
  <si>
    <t>CUST1620</t>
  </si>
  <si>
    <t>ORD101218</t>
  </si>
  <si>
    <t>CUST9986</t>
  </si>
  <si>
    <t>ORD101219</t>
  </si>
  <si>
    <t>ORD101220</t>
  </si>
  <si>
    <t>CUST1832</t>
  </si>
  <si>
    <t>ORD101221</t>
  </si>
  <si>
    <t>CUST4499</t>
  </si>
  <si>
    <t>ORD101222</t>
  </si>
  <si>
    <t>CUST7792</t>
  </si>
  <si>
    <t>ORD101223</t>
  </si>
  <si>
    <t>CUST9987</t>
  </si>
  <si>
    <t>ORD101224</t>
  </si>
  <si>
    <t>CUST8438</t>
  </si>
  <si>
    <t>ORD101225</t>
  </si>
  <si>
    <t>ORD101226</t>
  </si>
  <si>
    <t>CUST1438</t>
  </si>
  <si>
    <t>ORD101227</t>
  </si>
  <si>
    <t>CUST7770</t>
  </si>
  <si>
    <t>ORD101228</t>
  </si>
  <si>
    <t>CUST7557</t>
  </si>
  <si>
    <t>ORD101229</t>
  </si>
  <si>
    <t>CUST1484</t>
  </si>
  <si>
    <t>ORD101230</t>
  </si>
  <si>
    <t>CUST1715</t>
  </si>
  <si>
    <t>ORD101231</t>
  </si>
  <si>
    <t>CUST8579</t>
  </si>
  <si>
    <t>ORD101232</t>
  </si>
  <si>
    <t>CUST4379</t>
  </si>
  <si>
    <t>ORD101233</t>
  </si>
  <si>
    <t>CUST5652</t>
  </si>
  <si>
    <t>ORD101234</t>
  </si>
  <si>
    <t>CUST3743</t>
  </si>
  <si>
    <t>ORD101235</t>
  </si>
  <si>
    <t>CUST5268</t>
  </si>
  <si>
    <t>ORD101236</t>
  </si>
  <si>
    <t>CUST3372</t>
  </si>
  <si>
    <t>ORD101237</t>
  </si>
  <si>
    <t>CUST7717</t>
  </si>
  <si>
    <t>ORD101238</t>
  </si>
  <si>
    <t>CUST4521</t>
  </si>
  <si>
    <t>ORD101239</t>
  </si>
  <si>
    <t>CUST5567</t>
  </si>
  <si>
    <t>ORD101240</t>
  </si>
  <si>
    <t>CUST8008</t>
  </si>
  <si>
    <t>ORD101241</t>
  </si>
  <si>
    <t>CUST1791</t>
  </si>
  <si>
    <t>ORD101242</t>
  </si>
  <si>
    <t>CUST8634</t>
  </si>
  <si>
    <t>ORD101243</t>
  </si>
  <si>
    <t>CUST4165</t>
  </si>
  <si>
    <t>ORD101244</t>
  </si>
  <si>
    <t>CUST2646</t>
  </si>
  <si>
    <t>ORD101245</t>
  </si>
  <si>
    <t>CUST5806</t>
  </si>
  <si>
    <t>ORD101246</t>
  </si>
  <si>
    <t>CUST9219</t>
  </si>
  <si>
    <t>ORD101247</t>
  </si>
  <si>
    <t>CUST2723</t>
  </si>
  <si>
    <t>ORD101248</t>
  </si>
  <si>
    <t>CUST6065</t>
  </si>
  <si>
    <t>ORD101249</t>
  </si>
  <si>
    <t>CUST9859</t>
  </si>
  <si>
    <t>ORD101250</t>
  </si>
  <si>
    <t>CUST7981</t>
  </si>
  <si>
    <t>ORD101251</t>
  </si>
  <si>
    <t>CUST5917</t>
  </si>
  <si>
    <t>ORD101252</t>
  </si>
  <si>
    <t>CUST3882</t>
  </si>
  <si>
    <t>ORD101253</t>
  </si>
  <si>
    <t>CUST3398</t>
  </si>
  <si>
    <t>ORD101254</t>
  </si>
  <si>
    <t>CUST7305</t>
  </si>
  <si>
    <t>ORD101255</t>
  </si>
  <si>
    <t>CUST1507</t>
  </si>
  <si>
    <t>ORD101256</t>
  </si>
  <si>
    <t>ORD101257</t>
  </si>
  <si>
    <t>ORD101258</t>
  </si>
  <si>
    <t>CUST6537</t>
  </si>
  <si>
    <t>ORD101259</t>
  </si>
  <si>
    <t>CUST8360</t>
  </si>
  <si>
    <t>ORD101260</t>
  </si>
  <si>
    <t>ORD101261</t>
  </si>
  <si>
    <t>CUST6636</t>
  </si>
  <si>
    <t>ORD101262</t>
  </si>
  <si>
    <t>CUST4763</t>
  </si>
  <si>
    <t>ORD101263</t>
  </si>
  <si>
    <t>CUST6754</t>
  </si>
  <si>
    <t>ORD101264</t>
  </si>
  <si>
    <t>CUST5393</t>
  </si>
  <si>
    <t>ORD101265</t>
  </si>
  <si>
    <t>ORD101266</t>
  </si>
  <si>
    <t>CUST3628</t>
  </si>
  <si>
    <t>ORD101267</t>
  </si>
  <si>
    <t>CUST9381</t>
  </si>
  <si>
    <t>ORD101268</t>
  </si>
  <si>
    <t>CUST4456</t>
  </si>
  <si>
    <t>ORD101269</t>
  </si>
  <si>
    <t>CUST4104</t>
  </si>
  <si>
    <t>ORD101270</t>
  </si>
  <si>
    <t>CUST1851</t>
  </si>
  <si>
    <t>ORD101271</t>
  </si>
  <si>
    <t>CUST6154</t>
  </si>
  <si>
    <t>ORD101272</t>
  </si>
  <si>
    <t>CUST8040</t>
  </si>
  <si>
    <t>ORD101273</t>
  </si>
  <si>
    <t>CUST4402</t>
  </si>
  <si>
    <t>ORD101274</t>
  </si>
  <si>
    <t>CUST7964</t>
  </si>
  <si>
    <t>ORD101275</t>
  </si>
  <si>
    <t>CUST3128</t>
  </si>
  <si>
    <t>ORD101276</t>
  </si>
  <si>
    <t>CUST8486</t>
  </si>
  <si>
    <t>ORD101277</t>
  </si>
  <si>
    <t>CUST7004</t>
  </si>
  <si>
    <t>ORD101278</t>
  </si>
  <si>
    <t>CUST9979</t>
  </si>
  <si>
    <t>ORD101279</t>
  </si>
  <si>
    <t>CUST6553</t>
  </si>
  <si>
    <t>ORD101280</t>
  </si>
  <si>
    <t>CUST9946</t>
  </si>
  <si>
    <t>ORD101281</t>
  </si>
  <si>
    <t>CUST1428</t>
  </si>
  <si>
    <t>ORD101282</t>
  </si>
  <si>
    <t>CUST7391</t>
  </si>
  <si>
    <t>ORD101283</t>
  </si>
  <si>
    <t>CUST3714</t>
  </si>
  <si>
    <t>ORD101284</t>
  </si>
  <si>
    <t>CUST9102</t>
  </si>
  <si>
    <t>ORD101285</t>
  </si>
  <si>
    <t>CUST8939</t>
  </si>
  <si>
    <t>ORD101286</t>
  </si>
  <si>
    <t>CUST2059</t>
  </si>
  <si>
    <t>ORD101287</t>
  </si>
  <si>
    <t>CUST8800</t>
  </si>
  <si>
    <t>ORD101288</t>
  </si>
  <si>
    <t>CUST6906</t>
  </si>
  <si>
    <t>ORD101289</t>
  </si>
  <si>
    <t>CUST2245</t>
  </si>
  <si>
    <t>ORD101290</t>
  </si>
  <si>
    <t>CUST6501</t>
  </si>
  <si>
    <t>ORD101291</t>
  </si>
  <si>
    <t>CUST8348</t>
  </si>
  <si>
    <t>ORD101292</t>
  </si>
  <si>
    <t>ORD101293</t>
  </si>
  <si>
    <t>ORD101294</t>
  </si>
  <si>
    <t>CUST3597</t>
  </si>
  <si>
    <t>ORD101295</t>
  </si>
  <si>
    <t>CUST4862</t>
  </si>
  <si>
    <t>ORD101296</t>
  </si>
  <si>
    <t>CUST1731</t>
  </si>
  <si>
    <t>ORD101297</t>
  </si>
  <si>
    <t>CUST9380</t>
  </si>
  <si>
    <t>ORD101298</t>
  </si>
  <si>
    <t>CUST7319</t>
  </si>
  <si>
    <t>ORD101299</t>
  </si>
  <si>
    <t>CUST6362</t>
  </si>
  <si>
    <t>ORD101300</t>
  </si>
  <si>
    <t>CUST9645</t>
  </si>
  <si>
    <t>ORD101301</t>
  </si>
  <si>
    <t>CUST3896</t>
  </si>
  <si>
    <t>ORD101302</t>
  </si>
  <si>
    <t>CUST1814</t>
  </si>
  <si>
    <t>ORD101303</t>
  </si>
  <si>
    <t>CUST9842</t>
  </si>
  <si>
    <t>ORD101304</t>
  </si>
  <si>
    <t>ORD101305</t>
  </si>
  <si>
    <t>CUST6799</t>
  </si>
  <si>
    <t>ORD101306</t>
  </si>
  <si>
    <t>CUST8528</t>
  </si>
  <si>
    <t>ORD101307</t>
  </si>
  <si>
    <t>CUST9547</t>
  </si>
  <si>
    <t>ORD101308</t>
  </si>
  <si>
    <t>CUST6340</t>
  </si>
  <si>
    <t>ORD101309</t>
  </si>
  <si>
    <t>CUST4188</t>
  </si>
  <si>
    <t>ORD101310</t>
  </si>
  <si>
    <t>CUST9580</t>
  </si>
  <si>
    <t>ORD101311</t>
  </si>
  <si>
    <t>ORD101312</t>
  </si>
  <si>
    <t>CUST1230</t>
  </si>
  <si>
    <t>ORD101313</t>
  </si>
  <si>
    <t>CUST9620</t>
  </si>
  <si>
    <t>ORD101314</t>
  </si>
  <si>
    <t>CUST3692</t>
  </si>
  <si>
    <t>ORD101315</t>
  </si>
  <si>
    <t>CUST9628</t>
  </si>
  <si>
    <t>ORD101316</t>
  </si>
  <si>
    <t>CUST8684</t>
  </si>
  <si>
    <t>ORD101317</t>
  </si>
  <si>
    <t>CUST7297</t>
  </si>
  <si>
    <t>ORD101318</t>
  </si>
  <si>
    <t>ORD101319</t>
  </si>
  <si>
    <t>CUST7081</t>
  </si>
  <si>
    <t>ORD101320</t>
  </si>
  <si>
    <t>CUST6550</t>
  </si>
  <si>
    <t>ORD101321</t>
  </si>
  <si>
    <t>CUST7489</t>
  </si>
  <si>
    <t>ORD101322</t>
  </si>
  <si>
    <t>CUST1155</t>
  </si>
  <si>
    <t>ORD101323</t>
  </si>
  <si>
    <t>CUST2067</t>
  </si>
  <si>
    <t>ORD101324</t>
  </si>
  <si>
    <t>CUST6660</t>
  </si>
  <si>
    <t>ORD101325</t>
  </si>
  <si>
    <t>CUST3898</t>
  </si>
  <si>
    <t>ORD101326</t>
  </si>
  <si>
    <t>CUST9891</t>
  </si>
  <si>
    <t>ORD101327</t>
  </si>
  <si>
    <t>CUST6851</t>
  </si>
  <si>
    <t>ORD101328</t>
  </si>
  <si>
    <t>CUST7601</t>
  </si>
  <si>
    <t>ORD101329</t>
  </si>
  <si>
    <t>CUST1670</t>
  </si>
  <si>
    <t>ORD101330</t>
  </si>
  <si>
    <t>ORD101331</t>
  </si>
  <si>
    <t>CUST3292</t>
  </si>
  <si>
    <t>ORD101332</t>
  </si>
  <si>
    <t>CUST9676</t>
  </si>
  <si>
    <t>ORD101333</t>
  </si>
  <si>
    <t>ORD101334</t>
  </si>
  <si>
    <t>ORD101335</t>
  </si>
  <si>
    <t>CUST2840</t>
  </si>
  <si>
    <t>ORD101336</t>
  </si>
  <si>
    <t>CUST5327</t>
  </si>
  <si>
    <t>ORD101337</t>
  </si>
  <si>
    <t>CUST9482</t>
  </si>
  <si>
    <t>ORD101338</t>
  </si>
  <si>
    <t>CUST5934</t>
  </si>
  <si>
    <t>ORD101339</t>
  </si>
  <si>
    <t>CUST9486</t>
  </si>
  <si>
    <t>ORD101340</t>
  </si>
  <si>
    <t>CUST8037</t>
  </si>
  <si>
    <t>ORD101341</t>
  </si>
  <si>
    <t>CUST4153</t>
  </si>
  <si>
    <t>ORD101342</t>
  </si>
  <si>
    <t>CUST8963</t>
  </si>
  <si>
    <t>ORD101343</t>
  </si>
  <si>
    <t>CUST2373</t>
  </si>
  <si>
    <t>ORD101344</t>
  </si>
  <si>
    <t>ORD101345</t>
  </si>
  <si>
    <t>CUST3741</t>
  </si>
  <si>
    <t>ORD101346</t>
  </si>
  <si>
    <t>CUST4704</t>
  </si>
  <si>
    <t>ORD101347</t>
  </si>
  <si>
    <t>CUST4306</t>
  </si>
  <si>
    <t>ORD101348</t>
  </si>
  <si>
    <t>CUST2954</t>
  </si>
  <si>
    <t>ORD101349</t>
  </si>
  <si>
    <t>CUST8333</t>
  </si>
  <si>
    <t>ORD101350</t>
  </si>
  <si>
    <t>CUST2456</t>
  </si>
  <si>
    <t>ORD101351</t>
  </si>
  <si>
    <t>CUST4305</t>
  </si>
  <si>
    <t>ORD101352</t>
  </si>
  <si>
    <t>ORD101353</t>
  </si>
  <si>
    <t>CUST2089</t>
  </si>
  <si>
    <t>ORD101354</t>
  </si>
  <si>
    <t>CUST1821</t>
  </si>
  <si>
    <t>ORD101355</t>
  </si>
  <si>
    <t>CUST2576</t>
  </si>
  <si>
    <t>ORD101356</t>
  </si>
  <si>
    <t>CUST2132</t>
  </si>
  <si>
    <t>ORD101357</t>
  </si>
  <si>
    <t>CUST6522</t>
  </si>
  <si>
    <t>ORD101358</t>
  </si>
  <si>
    <t>CUST9377</t>
  </si>
  <si>
    <t>ORD101359</t>
  </si>
  <si>
    <t>CUST6470</t>
  </si>
  <si>
    <t>ORD101360</t>
  </si>
  <si>
    <t>CUST7684</t>
  </si>
  <si>
    <t>ORD101361</t>
  </si>
  <si>
    <t>CUST1654</t>
  </si>
  <si>
    <t>ORD101362</t>
  </si>
  <si>
    <t>CUST3779</t>
  </si>
  <si>
    <t>ORD101363</t>
  </si>
  <si>
    <t>CUST7900</t>
  </si>
  <si>
    <t>ORD101364</t>
  </si>
  <si>
    <t>CUST1924</t>
  </si>
  <si>
    <t>ORD101365</t>
  </si>
  <si>
    <t>CUST3389</t>
  </si>
  <si>
    <t>ORD101366</t>
  </si>
  <si>
    <t>CUST4987</t>
  </si>
  <si>
    <t>ORD101367</t>
  </si>
  <si>
    <t>CUST6857</t>
  </si>
  <si>
    <t>ORD101368</t>
  </si>
  <si>
    <t>CUST4461</t>
  </si>
  <si>
    <t>ORD101369</t>
  </si>
  <si>
    <t>CUST7915</t>
  </si>
  <si>
    <t>ORD101370</t>
  </si>
  <si>
    <t>CUST8947</t>
  </si>
  <si>
    <t>ORD101371</t>
  </si>
  <si>
    <t>CUST1666</t>
  </si>
  <si>
    <t>ORD101372</t>
  </si>
  <si>
    <t>CUST3170</t>
  </si>
  <si>
    <t>ORD101373</t>
  </si>
  <si>
    <t>ORD101374</t>
  </si>
  <si>
    <t>CUST4548</t>
  </si>
  <si>
    <t>ORD101375</t>
  </si>
  <si>
    <t>CUST5670</t>
  </si>
  <si>
    <t>ORD101376</t>
  </si>
  <si>
    <t>CUST5830</t>
  </si>
  <si>
    <t>ORD101377</t>
  </si>
  <si>
    <t>CUST5252</t>
  </si>
  <si>
    <t>ORD101378</t>
  </si>
  <si>
    <t>CUST8606</t>
  </si>
  <si>
    <t>ORD101379</t>
  </si>
  <si>
    <t>CUST7541</t>
  </si>
  <si>
    <t>ORD101380</t>
  </si>
  <si>
    <t>CUST8771</t>
  </si>
  <si>
    <t>ORD101381</t>
  </si>
  <si>
    <t>CUST9685</t>
  </si>
  <si>
    <t>ORD101382</t>
  </si>
  <si>
    <t>CUST1400</t>
  </si>
  <si>
    <t>ORD101383</t>
  </si>
  <si>
    <t>CUST3126</t>
  </si>
  <si>
    <t>ORD101384</t>
  </si>
  <si>
    <t>ORD101385</t>
  </si>
  <si>
    <t>CUST9438</t>
  </si>
  <si>
    <t>ORD101386</t>
  </si>
  <si>
    <t>CUST3719</t>
  </si>
  <si>
    <t>ORD101387</t>
  </si>
  <si>
    <t>CUST5884</t>
  </si>
  <si>
    <t>ORD101388</t>
  </si>
  <si>
    <t>CUST7096</t>
  </si>
  <si>
    <t>ORD101389</t>
  </si>
  <si>
    <t>CUST8789</t>
  </si>
  <si>
    <t>ORD101390</t>
  </si>
  <si>
    <t>CUST6967</t>
  </si>
  <si>
    <t>ORD101391</t>
  </si>
  <si>
    <t>CUST6776</t>
  </si>
  <si>
    <t>ORD101392</t>
  </si>
  <si>
    <t>CUST3930</t>
  </si>
  <si>
    <t>ORD101393</t>
  </si>
  <si>
    <t>CUST4957</t>
  </si>
  <si>
    <t>ORD101394</t>
  </si>
  <si>
    <t>CUST1709</t>
  </si>
  <si>
    <t>ORD101395</t>
  </si>
  <si>
    <t>CUST4042</t>
  </si>
  <si>
    <t>ORD101396</t>
  </si>
  <si>
    <t>CUST5997</t>
  </si>
  <si>
    <t>ORD101397</t>
  </si>
  <si>
    <t>ORD101398</t>
  </si>
  <si>
    <t>CUST8551</t>
  </si>
  <si>
    <t>ORD101399</t>
  </si>
  <si>
    <t>CUST1394</t>
  </si>
  <si>
    <t>ORD101400</t>
  </si>
  <si>
    <t>CUST1423</t>
  </si>
  <si>
    <t>ORD101401</t>
  </si>
  <si>
    <t>CUST8384</t>
  </si>
  <si>
    <t>ORD101402</t>
  </si>
  <si>
    <t>CUST4225</t>
  </si>
  <si>
    <t>ORD101403</t>
  </si>
  <si>
    <t>CUST1081</t>
  </si>
  <si>
    <t>ORD101404</t>
  </si>
  <si>
    <t>ORD101405</t>
  </si>
  <si>
    <t>CUST4487</t>
  </si>
  <si>
    <t>ORD101406</t>
  </si>
  <si>
    <t>CUST5451</t>
  </si>
  <si>
    <t>ORD101407</t>
  </si>
  <si>
    <t>CUST9085</t>
  </si>
  <si>
    <t>ORD101408</t>
  </si>
  <si>
    <t>CUST3116</t>
  </si>
  <si>
    <t>ORD101409</t>
  </si>
  <si>
    <t>CUST9597</t>
  </si>
  <si>
    <t>ORD101410</t>
  </si>
  <si>
    <t>CUST4647</t>
  </si>
  <si>
    <t>ORD101411</t>
  </si>
  <si>
    <t>CUST7138</t>
  </si>
  <si>
    <t>ORD101412</t>
  </si>
  <si>
    <t>CUST3847</t>
  </si>
  <si>
    <t>ORD101413</t>
  </si>
  <si>
    <t>CUST4940</t>
  </si>
  <si>
    <t>ORD101414</t>
  </si>
  <si>
    <t>CUST4992</t>
  </si>
  <si>
    <t>ORD101415</t>
  </si>
  <si>
    <t>CUST8693</t>
  </si>
  <si>
    <t>ORD101416</t>
  </si>
  <si>
    <t>CUST8482</t>
  </si>
  <si>
    <t>ORD101417</t>
  </si>
  <si>
    <t>CUST3737</t>
  </si>
  <si>
    <t>ORD101418</t>
  </si>
  <si>
    <t>CUST9122</t>
  </si>
  <si>
    <t>ORD101419</t>
  </si>
  <si>
    <t>CUST2712</t>
  </si>
  <si>
    <t>ORD101420</t>
  </si>
  <si>
    <t>CUST7754</t>
  </si>
  <si>
    <t>ORD101421</t>
  </si>
  <si>
    <t>CUST9508</t>
  </si>
  <si>
    <t>ORD101422</t>
  </si>
  <si>
    <t>CUST6919</t>
  </si>
  <si>
    <t>ORD101423</t>
  </si>
  <si>
    <t>CUST8813</t>
  </si>
  <si>
    <t>ORD101424</t>
  </si>
  <si>
    <t>ORD101425</t>
  </si>
  <si>
    <t>CUST9864</t>
  </si>
  <si>
    <t>ORD101426</t>
  </si>
  <si>
    <t>CUST7976</t>
  </si>
  <si>
    <t>ORD101427</t>
  </si>
  <si>
    <t>ORD101428</t>
  </si>
  <si>
    <t>CUST1141</t>
  </si>
  <si>
    <t>ORD101429</t>
  </si>
  <si>
    <t>ORD101430</t>
  </si>
  <si>
    <t>CUST2223</t>
  </si>
  <si>
    <t>ORD101431</t>
  </si>
  <si>
    <t>CUST7000</t>
  </si>
  <si>
    <t>ORD101432</t>
  </si>
  <si>
    <t>CUST2511</t>
  </si>
  <si>
    <t>ORD101433</t>
  </si>
  <si>
    <t>ORD101434</t>
  </si>
  <si>
    <t>CUST8556</t>
  </si>
  <si>
    <t>ORD101435</t>
  </si>
  <si>
    <t>CUST1931</t>
  </si>
  <si>
    <t>ORD101436</t>
  </si>
  <si>
    <t>CUST7699</t>
  </si>
  <si>
    <t>ORD101437</t>
  </si>
  <si>
    <t>CUST9465</t>
  </si>
  <si>
    <t>ORD101438</t>
  </si>
  <si>
    <t>CUST3030</t>
  </si>
  <si>
    <t>ORD101439</t>
  </si>
  <si>
    <t>CUST1104</t>
  </si>
  <si>
    <t>ORD101440</t>
  </si>
  <si>
    <t>CUST9782</t>
  </si>
  <si>
    <t>ORD101441</t>
  </si>
  <si>
    <t>CUST8053</t>
  </si>
  <si>
    <t>ORD101442</t>
  </si>
  <si>
    <t>ORD101443</t>
  </si>
  <si>
    <t>CUST9954</t>
  </si>
  <si>
    <t>ORD101444</t>
  </si>
  <si>
    <t>CUST4319</t>
  </si>
  <si>
    <t>ORD101445</t>
  </si>
  <si>
    <t>CUST1134</t>
  </si>
  <si>
    <t>ORD101446</t>
  </si>
  <si>
    <t>CUST7771</t>
  </si>
  <si>
    <t>ORD101447</t>
  </si>
  <si>
    <t>CUST8552</t>
  </si>
  <si>
    <t>ORD101448</t>
  </si>
  <si>
    <t>ORD101449</t>
  </si>
  <si>
    <t>CUST1127</t>
  </si>
  <si>
    <t>ORD101450</t>
  </si>
  <si>
    <t>CUST2152</t>
  </si>
  <si>
    <t>ORD101451</t>
  </si>
  <si>
    <t>CUST3632</t>
  </si>
  <si>
    <t>ORD101452</t>
  </si>
  <si>
    <t>CUST6272</t>
  </si>
  <si>
    <t>ORD101453</t>
  </si>
  <si>
    <t>CUST8848</t>
  </si>
  <si>
    <t>ORD101454</t>
  </si>
  <si>
    <t>CUST5231</t>
  </si>
  <si>
    <t>ORD101455</t>
  </si>
  <si>
    <t>CUST2610</t>
  </si>
  <si>
    <t>ORD101456</t>
  </si>
  <si>
    <t>CUST1982</t>
  </si>
  <si>
    <t>ORD101457</t>
  </si>
  <si>
    <t>ORD101458</t>
  </si>
  <si>
    <t>CUST4641</t>
  </si>
  <si>
    <t>ORD101459</t>
  </si>
  <si>
    <t>CUST2916</t>
  </si>
  <si>
    <t>ORD101460</t>
  </si>
  <si>
    <t>CUST1846</t>
  </si>
  <si>
    <t>ORD101461</t>
  </si>
  <si>
    <t>CUST8527</t>
  </si>
  <si>
    <t>ORD101462</t>
  </si>
  <si>
    <t>CUST6717</t>
  </si>
  <si>
    <t>ORD101463</t>
  </si>
  <si>
    <t>CUST7430</t>
  </si>
  <si>
    <t>ORD101464</t>
  </si>
  <si>
    <t>CUST6620</t>
  </si>
  <si>
    <t>ORD101465</t>
  </si>
  <si>
    <t>ORD101466</t>
  </si>
  <si>
    <t>CUST4390</t>
  </si>
  <si>
    <t>ORD101467</t>
  </si>
  <si>
    <t>ORD101468</t>
  </si>
  <si>
    <t>CUST7093</t>
  </si>
  <si>
    <t>ORD101469</t>
  </si>
  <si>
    <t>CUST9969</t>
  </si>
  <si>
    <t>ORD101470</t>
  </si>
  <si>
    <t>CUST8487</t>
  </si>
  <si>
    <t>ORD101471</t>
  </si>
  <si>
    <t>CUST7436</t>
  </si>
  <si>
    <t>ORD101472</t>
  </si>
  <si>
    <t>CUST7166</t>
  </si>
  <si>
    <t>ORD101473</t>
  </si>
  <si>
    <t>ORD101474</t>
  </si>
  <si>
    <t>CUST6814</t>
  </si>
  <si>
    <t>ORD101475</t>
  </si>
  <si>
    <t>CUST8034</t>
  </si>
  <si>
    <t>ORD101476</t>
  </si>
  <si>
    <t>ORD101477</t>
  </si>
  <si>
    <t>CUST3227</t>
  </si>
  <si>
    <t>ORD101478</t>
  </si>
  <si>
    <t>CUST8828</t>
  </si>
  <si>
    <t>ORD101479</t>
  </si>
  <si>
    <t>CUST7309</t>
  </si>
  <si>
    <t>ORD101480</t>
  </si>
  <si>
    <t>CUST6259</t>
  </si>
  <si>
    <t>ORD101481</t>
  </si>
  <si>
    <t>CUST6649</t>
  </si>
  <si>
    <t>ORD101482</t>
  </si>
  <si>
    <t>CUST8024</t>
  </si>
  <si>
    <t>ORD101483</t>
  </si>
  <si>
    <t>ORD101484</t>
  </si>
  <si>
    <t>CUST3385</t>
  </si>
  <si>
    <t>ORD101485</t>
  </si>
  <si>
    <t>CUST9700</t>
  </si>
  <si>
    <t>ORD101486</t>
  </si>
  <si>
    <t>CUST9504</t>
  </si>
  <si>
    <t>ORD101487</t>
  </si>
  <si>
    <t>CUST3934</t>
  </si>
  <si>
    <t>ORD101488</t>
  </si>
  <si>
    <t>CUST1661</t>
  </si>
  <si>
    <t>ORD101489</t>
  </si>
  <si>
    <t>CUST6821</t>
  </si>
  <si>
    <t>ORD101490</t>
  </si>
  <si>
    <t>CUST4341</t>
  </si>
  <si>
    <t>ORD101491</t>
  </si>
  <si>
    <t>CUST7447</t>
  </si>
  <si>
    <t>ORD101492</t>
  </si>
  <si>
    <t>CUST8114</t>
  </si>
  <si>
    <t>ORD101493</t>
  </si>
  <si>
    <t>CUST9057</t>
  </si>
  <si>
    <t>ORD101494</t>
  </si>
  <si>
    <t>CUST4384</t>
  </si>
  <si>
    <t>ORD101495</t>
  </si>
  <si>
    <t>CUST2605</t>
  </si>
  <si>
    <t>ORD101496</t>
  </si>
  <si>
    <t>CUST9600</t>
  </si>
  <si>
    <t>ORD101497</t>
  </si>
  <si>
    <t>CUST2201</t>
  </si>
  <si>
    <t>ORD101498</t>
  </si>
  <si>
    <t>ORD101499</t>
  </si>
  <si>
    <t>CUST7254</t>
  </si>
  <si>
    <t>ORD101500</t>
  </si>
  <si>
    <t>CUST7339</t>
  </si>
  <si>
    <t>ORD101501</t>
  </si>
  <si>
    <t>CUST3093</t>
  </si>
  <si>
    <t>ORD101502</t>
  </si>
  <si>
    <t>CUST9291</t>
  </si>
  <si>
    <t>ORD101503</t>
  </si>
  <si>
    <t>ORD101504</t>
  </si>
  <si>
    <t>CUST3450</t>
  </si>
  <si>
    <t>ORD101505</t>
  </si>
  <si>
    <t>CUST4324</t>
  </si>
  <si>
    <t>ORD101506</t>
  </si>
  <si>
    <t>CUST8574</t>
  </si>
  <si>
    <t>ORD101507</t>
  </si>
  <si>
    <t>CUST6033</t>
  </si>
  <si>
    <t>ORD101508</t>
  </si>
  <si>
    <t>CUST3905</t>
  </si>
  <si>
    <t>ORD101509</t>
  </si>
  <si>
    <t>CUST8538</t>
  </si>
  <si>
    <t>ORD101510</t>
  </si>
  <si>
    <t>CUST8303</t>
  </si>
  <si>
    <t>ORD101511</t>
  </si>
  <si>
    <t>CUST3355</t>
  </si>
  <si>
    <t>ORD101512</t>
  </si>
  <si>
    <t>CUST9911</t>
  </si>
  <si>
    <t>ORD101513</t>
  </si>
  <si>
    <t>CUST7945</t>
  </si>
  <si>
    <t>ORD101514</t>
  </si>
  <si>
    <t>CUST5688</t>
  </si>
  <si>
    <t>ORD101515</t>
  </si>
  <si>
    <t>ORD101516</t>
  </si>
  <si>
    <t>CUST2047</t>
  </si>
  <si>
    <t>ORD101517</t>
  </si>
  <si>
    <t>CUST6686</t>
  </si>
  <si>
    <t>ORD101518</t>
  </si>
  <si>
    <t>CUST6628</t>
  </si>
  <si>
    <t>ORD101519</t>
  </si>
  <si>
    <t>CUST8266</t>
  </si>
  <si>
    <t>ORD101520</t>
  </si>
  <si>
    <t>CUST1151</t>
  </si>
  <si>
    <t>ORD101521</t>
  </si>
  <si>
    <t>CUST7605</t>
  </si>
  <si>
    <t>ORD101522</t>
  </si>
  <si>
    <t>ORD101523</t>
  </si>
  <si>
    <t>CUST3517</t>
  </si>
  <si>
    <t>ORD101524</t>
  </si>
  <si>
    <t>CUST1324</t>
  </si>
  <si>
    <t>ORD101525</t>
  </si>
  <si>
    <t>CUST3181</t>
  </si>
  <si>
    <t>ORD101526</t>
  </si>
  <si>
    <t>CUST5853</t>
  </si>
  <si>
    <t>ORD101527</t>
  </si>
  <si>
    <t>CUST3530</t>
  </si>
  <si>
    <t>ORD101528</t>
  </si>
  <si>
    <t>ORD101529</t>
  </si>
  <si>
    <t>CUST5797</t>
  </si>
  <si>
    <t>ORD101530</t>
  </si>
  <si>
    <t>CUST4233</t>
  </si>
  <si>
    <t>ORD101531</t>
  </si>
  <si>
    <t>CUST1711</t>
  </si>
  <si>
    <t>ORD101532</t>
  </si>
  <si>
    <t>ORD101533</t>
  </si>
  <si>
    <t>CUST8959</t>
  </si>
  <si>
    <t>ORD101534</t>
  </si>
  <si>
    <t>CUST8824</t>
  </si>
  <si>
    <t>ORD101535</t>
  </si>
  <si>
    <t>CUST5138</t>
  </si>
  <si>
    <t>ORD101536</t>
  </si>
  <si>
    <t>ORD101537</t>
  </si>
  <si>
    <t>CUST3772</t>
  </si>
  <si>
    <t>ORD101538</t>
  </si>
  <si>
    <t>CUST9192</t>
  </si>
  <si>
    <t>ORD101539</t>
  </si>
  <si>
    <t>ORD101540</t>
  </si>
  <si>
    <t>CUST9384</t>
  </si>
  <si>
    <t>ORD101541</t>
  </si>
  <si>
    <t>CUST2206</t>
  </si>
  <si>
    <t>ORD101542</t>
  </si>
  <si>
    <t>ORD101543</t>
  </si>
  <si>
    <t>CUST1778</t>
  </si>
  <si>
    <t>ORD101544</t>
  </si>
  <si>
    <t>CUST4685</t>
  </si>
  <si>
    <t>ORD101545</t>
  </si>
  <si>
    <t>CUST4732</t>
  </si>
  <si>
    <t>ORD101546</t>
  </si>
  <si>
    <t>CUST8171</t>
  </si>
  <si>
    <t>ORD101547</t>
  </si>
  <si>
    <t>CUST3586</t>
  </si>
  <si>
    <t>ORD101548</t>
  </si>
  <si>
    <t>CUST2379</t>
  </si>
  <si>
    <t>ORD101549</t>
  </si>
  <si>
    <t>ORD101550</t>
  </si>
  <si>
    <t>CUST4722</t>
  </si>
  <si>
    <t>ORD101551</t>
  </si>
  <si>
    <t>CUST6701</t>
  </si>
  <si>
    <t>ORD101552</t>
  </si>
  <si>
    <t>CUST5291</t>
  </si>
  <si>
    <t>ORD101553</t>
  </si>
  <si>
    <t>CUST8856</t>
  </si>
  <si>
    <t>ORD101554</t>
  </si>
  <si>
    <t>CUST3933</t>
  </si>
  <si>
    <t>ORD101555</t>
  </si>
  <si>
    <t>CUST8783</t>
  </si>
  <si>
    <t>ORD101556</t>
  </si>
  <si>
    <t>ORD101557</t>
  </si>
  <si>
    <t>CUST9806</t>
  </si>
  <si>
    <t>ORD101558</t>
  </si>
  <si>
    <t>CUST1133</t>
  </si>
  <si>
    <t>ORD101559</t>
  </si>
  <si>
    <t>CUST1042</t>
  </si>
  <si>
    <t>ORD101560</t>
  </si>
  <si>
    <t>CUST5642</t>
  </si>
  <si>
    <t>ORD101561</t>
  </si>
  <si>
    <t>CUST8715</t>
  </si>
  <si>
    <t>ORD101562</t>
  </si>
  <si>
    <t>CUST3428</t>
  </si>
  <si>
    <t>ORD101563</t>
  </si>
  <si>
    <t>CUST2160</t>
  </si>
  <si>
    <t>ORD101564</t>
  </si>
  <si>
    <t>CUST4278</t>
  </si>
  <si>
    <t>ORD101565</t>
  </si>
  <si>
    <t>CUST5220</t>
  </si>
  <si>
    <t>ORD101566</t>
  </si>
  <si>
    <t>CUST9520</t>
  </si>
  <si>
    <t>ORD101567</t>
  </si>
  <si>
    <t>CUST3996</t>
  </si>
  <si>
    <t>ORD101568</t>
  </si>
  <si>
    <t>CUST1509</t>
  </si>
  <si>
    <t>ORD101569</t>
  </si>
  <si>
    <t>CUST3856</t>
  </si>
  <si>
    <t>ORD101570</t>
  </si>
  <si>
    <t>CUST1836</t>
  </si>
  <si>
    <t>ORD101571</t>
  </si>
  <si>
    <t>CUST2046</t>
  </si>
  <si>
    <t>ORD101572</t>
  </si>
  <si>
    <t>CUST5132</t>
  </si>
  <si>
    <t>ORD101573</t>
  </si>
  <si>
    <t>CUST9064</t>
  </si>
  <si>
    <t>ORD101574</t>
  </si>
  <si>
    <t>ORD101575</t>
  </si>
  <si>
    <t>CUST1737</t>
  </si>
  <si>
    <t>ORD101576</t>
  </si>
  <si>
    <t>CUST4363</t>
  </si>
  <si>
    <t>ORD101577</t>
  </si>
  <si>
    <t>ORD101578</t>
  </si>
  <si>
    <t>CUST7512</t>
  </si>
  <si>
    <t>ORD101579</t>
  </si>
  <si>
    <t>CUST2523</t>
  </si>
  <si>
    <t>ORD101580</t>
  </si>
  <si>
    <t>CUST8265</t>
  </si>
  <si>
    <t>ORD101581</t>
  </si>
  <si>
    <t>CUST6700</t>
  </si>
  <si>
    <t>ORD101582</t>
  </si>
  <si>
    <t>ORD101583</t>
  </si>
  <si>
    <t>ORD101584</t>
  </si>
  <si>
    <t>CUST7559</t>
  </si>
  <si>
    <t>ORD101585</t>
  </si>
  <si>
    <t>CUST5474</t>
  </si>
  <si>
    <t>ORD101586</t>
  </si>
  <si>
    <t>CUST8449</t>
  </si>
  <si>
    <t>ORD101587</t>
  </si>
  <si>
    <t>CUST8085</t>
  </si>
  <si>
    <t>ORD101588</t>
  </si>
  <si>
    <t>CUST1550</t>
  </si>
  <si>
    <t>ORD101589</t>
  </si>
  <si>
    <t>CUST6174</t>
  </si>
  <si>
    <t>ORD101590</t>
  </si>
  <si>
    <t>CUST3735</t>
  </si>
  <si>
    <t>ORD101591</t>
  </si>
  <si>
    <t>CUST2843</t>
  </si>
  <si>
    <t>ORD101592</t>
  </si>
  <si>
    <t>CUST2905</t>
  </si>
  <si>
    <t>ORD101593</t>
  </si>
  <si>
    <t>CUST4853</t>
  </si>
  <si>
    <t>ORD101594</t>
  </si>
  <si>
    <t>CUST4125</t>
  </si>
  <si>
    <t>ORD101595</t>
  </si>
  <si>
    <t>CUST8403</t>
  </si>
  <si>
    <t>ORD101596</t>
  </si>
  <si>
    <t>CUST5322</t>
  </si>
  <si>
    <t>ORD101597</t>
  </si>
  <si>
    <t>ORD101598</t>
  </si>
  <si>
    <t>CUST9153</t>
  </si>
  <si>
    <t>ORD101599</t>
  </si>
  <si>
    <t>CUST9049</t>
  </si>
  <si>
    <t>ORD101600</t>
  </si>
  <si>
    <t>CUST7978</t>
  </si>
  <si>
    <t>ORD101601</t>
  </si>
  <si>
    <t>CUST2681</t>
  </si>
  <si>
    <t>ORD101602</t>
  </si>
  <si>
    <t>CUST6001</t>
  </si>
  <si>
    <t>ORD101603</t>
  </si>
  <si>
    <t>CUST2050</t>
  </si>
  <si>
    <t>ORD101604</t>
  </si>
  <si>
    <t>CUST2909</t>
  </si>
  <si>
    <t>ORD101605</t>
  </si>
  <si>
    <t>CUST4709</t>
  </si>
  <si>
    <t>ORD101606</t>
  </si>
  <si>
    <t>CUST8779</t>
  </si>
  <si>
    <t>ORD101607</t>
  </si>
  <si>
    <t>CUST5495</t>
  </si>
  <si>
    <t>ORD101608</t>
  </si>
  <si>
    <t>CUST8056</t>
  </si>
  <si>
    <t>ORD101609</t>
  </si>
  <si>
    <t>CUST8700</t>
  </si>
  <si>
    <t>ORD101610</t>
  </si>
  <si>
    <t>CUST6609</t>
  </si>
  <si>
    <t>ORD101611</t>
  </si>
  <si>
    <t>ORD101612</t>
  </si>
  <si>
    <t>CUST4443</t>
  </si>
  <si>
    <t>ORD101613</t>
  </si>
  <si>
    <t>CUST5827</t>
  </si>
  <si>
    <t>ORD101614</t>
  </si>
  <si>
    <t>CUST1445</t>
  </si>
  <si>
    <t>ORD101615</t>
  </si>
  <si>
    <t>CUST5750</t>
  </si>
  <si>
    <t>ORD101616</t>
  </si>
  <si>
    <t>CUST5404</t>
  </si>
  <si>
    <t>ORD101617</t>
  </si>
  <si>
    <t>CUST9100</t>
  </si>
  <si>
    <t>ORD101618</t>
  </si>
  <si>
    <t>CUST3672</t>
  </si>
  <si>
    <t>ORD101619</t>
  </si>
  <si>
    <t>CUST8361</t>
  </si>
  <si>
    <t>ORD101620</t>
  </si>
  <si>
    <t>CUST8502</t>
  </si>
  <si>
    <t>ORD101621</t>
  </si>
  <si>
    <t>CUST7396</t>
  </si>
  <si>
    <t>ORD101622</t>
  </si>
  <si>
    <t>CUST9868</t>
  </si>
  <si>
    <t>ORD101623</t>
  </si>
  <si>
    <t>CUST8621</t>
  </si>
  <si>
    <t>ORD101624</t>
  </si>
  <si>
    <t>CUST9242</t>
  </si>
  <si>
    <t>ORD101625</t>
  </si>
  <si>
    <t>CUST9807</t>
  </si>
  <si>
    <t>ORD101626</t>
  </si>
  <si>
    <t>CUST4553</t>
  </si>
  <si>
    <t>ORD101627</t>
  </si>
  <si>
    <t>CUST1024</t>
  </si>
  <si>
    <t>ORD101628</t>
  </si>
  <si>
    <t>CUST3036</t>
  </si>
  <si>
    <t>ORD101629</t>
  </si>
  <si>
    <t>CUST5204</t>
  </si>
  <si>
    <t>ORD101630</t>
  </si>
  <si>
    <t>CUST5260</t>
  </si>
  <si>
    <t>ORD101631</t>
  </si>
  <si>
    <t>CUST3569</t>
  </si>
  <si>
    <t>ORD101632</t>
  </si>
  <si>
    <t>CUST5457</t>
  </si>
  <si>
    <t>ORD101633</t>
  </si>
  <si>
    <t>ORD101634</t>
  </si>
  <si>
    <t>CUST2110</t>
  </si>
  <si>
    <t>ORD101635</t>
  </si>
  <si>
    <t>CUST2177</t>
  </si>
  <si>
    <t>ORD101636</t>
  </si>
  <si>
    <t>CUST7997</t>
  </si>
  <si>
    <t>ORD101637</t>
  </si>
  <si>
    <t>CUST1917</t>
  </si>
  <si>
    <t>ORD101638</t>
  </si>
  <si>
    <t>CUST7887</t>
  </si>
  <si>
    <t>ORD101639</t>
  </si>
  <si>
    <t>CUST4397</t>
  </si>
  <si>
    <t>ORD101640</t>
  </si>
  <si>
    <t>CUST4511</t>
  </si>
  <si>
    <t>ORD101641</t>
  </si>
  <si>
    <t>ORD101642</t>
  </si>
  <si>
    <t>CUST7837</t>
  </si>
  <si>
    <t>ORD101643</t>
  </si>
  <si>
    <t>CUST7989</t>
  </si>
  <si>
    <t>ORD101644</t>
  </si>
  <si>
    <t>CUST7239</t>
  </si>
  <si>
    <t>ORD101645</t>
  </si>
  <si>
    <t>CUST1706</t>
  </si>
  <si>
    <t>ORD101646</t>
  </si>
  <si>
    <t>CUST6230</t>
  </si>
  <si>
    <t>ORD101647</t>
  </si>
  <si>
    <t>CUST6126</t>
  </si>
  <si>
    <t>ORD101648</t>
  </si>
  <si>
    <t>CUST2112</t>
  </si>
  <si>
    <t>ORD101649</t>
  </si>
  <si>
    <t>ORD101650</t>
  </si>
  <si>
    <t>CUST9375</t>
  </si>
  <si>
    <t>ORD101651</t>
  </si>
  <si>
    <t>CUST2755</t>
  </si>
  <si>
    <t>ORD101652</t>
  </si>
  <si>
    <t>ORD101653</t>
  </si>
  <si>
    <t>CUST5743</t>
  </si>
  <si>
    <t>ORD101654</t>
  </si>
  <si>
    <t>CUST8961</t>
  </si>
  <si>
    <t>ORD101655</t>
  </si>
  <si>
    <t>CUST7499</t>
  </si>
  <si>
    <t>ORD101656</t>
  </si>
  <si>
    <t>CUST9871</t>
  </si>
  <si>
    <t>ORD101657</t>
  </si>
  <si>
    <t>CUST9311</t>
  </si>
  <si>
    <t>ORD101658</t>
  </si>
  <si>
    <t>CUST3277</t>
  </si>
  <si>
    <t>ORD101659</t>
  </si>
  <si>
    <t>CUST7847</t>
  </si>
  <si>
    <t>ORD101660</t>
  </si>
  <si>
    <t>CUST5916</t>
  </si>
  <si>
    <t>ORD101661</t>
  </si>
  <si>
    <t>CUST7580</t>
  </si>
  <si>
    <t>ORD101662</t>
  </si>
  <si>
    <t>CUST3867</t>
  </si>
  <si>
    <t>ORD101663</t>
  </si>
  <si>
    <t>CUST1679</t>
  </si>
  <si>
    <t>ORD101664</t>
  </si>
  <si>
    <t>CUST9909</t>
  </si>
  <si>
    <t>ORD101665</t>
  </si>
  <si>
    <t>CUST7481</t>
  </si>
  <si>
    <t>ORD101666</t>
  </si>
  <si>
    <t>ORD101667</t>
  </si>
  <si>
    <t>CUST9040</t>
  </si>
  <si>
    <t>ORD101668</t>
  </si>
  <si>
    <t>CUST3360</t>
  </si>
  <si>
    <t>ORD101669</t>
  </si>
  <si>
    <t>ORD101670</t>
  </si>
  <si>
    <t>CUST3891</t>
  </si>
  <si>
    <t>ORD101671</t>
  </si>
  <si>
    <t>CUST5738</t>
  </si>
  <si>
    <t>ORD101672</t>
  </si>
  <si>
    <t>CUST3083</t>
  </si>
  <si>
    <t>ORD101673</t>
  </si>
  <si>
    <t>ORD101674</t>
  </si>
  <si>
    <t>CUST5914</t>
  </si>
  <si>
    <t>ORD101675</t>
  </si>
  <si>
    <t>CUST1213</t>
  </si>
  <si>
    <t>ORD101676</t>
  </si>
  <si>
    <t>CUST7340</t>
  </si>
  <si>
    <t>ORD101677</t>
  </si>
  <si>
    <t>CUST8971</t>
  </si>
  <si>
    <t>ORD101678</t>
  </si>
  <si>
    <t>CUST8958</t>
  </si>
  <si>
    <t>ORD101679</t>
  </si>
  <si>
    <t>ORD101680</t>
  </si>
  <si>
    <t>CUST2972</t>
  </si>
  <si>
    <t>ORD101681</t>
  </si>
  <si>
    <t>ORD101682</t>
  </si>
  <si>
    <t>CUST9017</t>
  </si>
  <si>
    <t>ORD101683</t>
  </si>
  <si>
    <t>CUST3939</t>
  </si>
  <si>
    <t>ORD101684</t>
  </si>
  <si>
    <t>CUST2952</t>
  </si>
  <si>
    <t>ORD101685</t>
  </si>
  <si>
    <t>CUST4767</t>
  </si>
  <si>
    <t>ORD101686</t>
  </si>
  <si>
    <t>CUST4612</t>
  </si>
  <si>
    <t>ORD101687</t>
  </si>
  <si>
    <t>CUST7331</t>
  </si>
  <si>
    <t>ORD101688</t>
  </si>
  <si>
    <t>CUST9912</t>
  </si>
  <si>
    <t>ORD101689</t>
  </si>
  <si>
    <t>ORD101690</t>
  </si>
  <si>
    <t>CUST3748</t>
  </si>
  <si>
    <t>ORD101691</t>
  </si>
  <si>
    <t>CUST8899</t>
  </si>
  <si>
    <t>ORD101692</t>
  </si>
  <si>
    <t>CUST2412</t>
  </si>
  <si>
    <t>ORD101693</t>
  </si>
  <si>
    <t>CUST6183</t>
  </si>
  <si>
    <t>ORD101694</t>
  </si>
  <si>
    <t>CUST5334</t>
  </si>
  <si>
    <t>ORD101695</t>
  </si>
  <si>
    <t>CUST2575</t>
  </si>
  <si>
    <t>ORD101696</t>
  </si>
  <si>
    <t>CUST2492</t>
  </si>
  <si>
    <t>ORD101697</t>
  </si>
  <si>
    <t>CUST6756</t>
  </si>
  <si>
    <t>ORD101698</t>
  </si>
  <si>
    <t>CUST2591</t>
  </si>
  <si>
    <t>ORD101699</t>
  </si>
  <si>
    <t>ORD101700</t>
  </si>
  <si>
    <t>CUST2924</t>
  </si>
  <si>
    <t>ORD101701</t>
  </si>
  <si>
    <t>ORD101702</t>
  </si>
  <si>
    <t>CUST2037</t>
  </si>
  <si>
    <t>ORD101703</t>
  </si>
  <si>
    <t>CUST8630</t>
  </si>
  <si>
    <t>ORD101704</t>
  </si>
  <si>
    <t>CUST8232</t>
  </si>
  <si>
    <t>ORD101705</t>
  </si>
  <si>
    <t>CUST5480</t>
  </si>
  <si>
    <t>ORD101706</t>
  </si>
  <si>
    <t>CUST6962</t>
  </si>
  <si>
    <t>ORD101707</t>
  </si>
  <si>
    <t>CUST8772</t>
  </si>
  <si>
    <t>ORD101708</t>
  </si>
  <si>
    <t>CUST1355</t>
  </si>
  <si>
    <t>ORD101709</t>
  </si>
  <si>
    <t>CUST5684</t>
  </si>
  <si>
    <t>ORD101710</t>
  </si>
  <si>
    <t>CUST3582</t>
  </si>
  <si>
    <t>ORD101711</t>
  </si>
  <si>
    <t>ORD101712</t>
  </si>
  <si>
    <t>CUST7944</t>
  </si>
  <si>
    <t>ORD101713</t>
  </si>
  <si>
    <t>CUST2351</t>
  </si>
  <si>
    <t>ORD101714</t>
  </si>
  <si>
    <t>CUST9108</t>
  </si>
  <si>
    <t>ORD101715</t>
  </si>
  <si>
    <t>CUST4665</t>
  </si>
  <si>
    <t>ORD101716</t>
  </si>
  <si>
    <t>CUST7256</t>
  </si>
  <si>
    <t>ORD101717</t>
  </si>
  <si>
    <t>CUST2216</t>
  </si>
  <si>
    <t>ORD101718</t>
  </si>
  <si>
    <t>CUST4983</t>
  </si>
  <si>
    <t>ORD101719</t>
  </si>
  <si>
    <t>CUST7545</t>
  </si>
  <si>
    <t>ORD101720</t>
  </si>
  <si>
    <t>CUST3244</t>
  </si>
  <si>
    <t>ORD101721</t>
  </si>
  <si>
    <t>CUST6538</t>
  </si>
  <si>
    <t>ORD101722</t>
  </si>
  <si>
    <t>CUST9152</t>
  </si>
  <si>
    <t>ORD101723</t>
  </si>
  <si>
    <t>ORD101724</t>
  </si>
  <si>
    <t>CUST6671</t>
  </si>
  <si>
    <t>ORD101725</t>
  </si>
  <si>
    <t>CUST1203</t>
  </si>
  <si>
    <t>ORD101726</t>
  </si>
  <si>
    <t>CUST2300</t>
  </si>
  <si>
    <t>ORD101727</t>
  </si>
  <si>
    <t>CUST2279</t>
  </si>
  <si>
    <t>ORD101728</t>
  </si>
  <si>
    <t>CUST6457</t>
  </si>
  <si>
    <t>ORD101729</t>
  </si>
  <si>
    <t>ORD101730</t>
  </si>
  <si>
    <t>CUST4303</t>
  </si>
  <si>
    <t>ORD101731</t>
  </si>
  <si>
    <t>CUST7640</t>
  </si>
  <si>
    <t>ORD101732</t>
  </si>
  <si>
    <t>CUST5637</t>
  </si>
  <si>
    <t>ORD101733</t>
  </si>
  <si>
    <t>CUST9523</t>
  </si>
  <si>
    <t>ORD101734</t>
  </si>
  <si>
    <t>CUST9599</t>
  </si>
  <si>
    <t>ORD101735</t>
  </si>
  <si>
    <t>CUST2673</t>
  </si>
  <si>
    <t>ORD101736</t>
  </si>
  <si>
    <t>CUST1220</t>
  </si>
  <si>
    <t>ORD101737</t>
  </si>
  <si>
    <t>CUST1700</t>
  </si>
  <si>
    <t>ORD101738</t>
  </si>
  <si>
    <t>CUST5316</t>
  </si>
  <si>
    <t>ORD101739</t>
  </si>
  <si>
    <t>CUST3775</t>
  </si>
  <si>
    <t>ORD101740</t>
  </si>
  <si>
    <t>CUST5764</t>
  </si>
  <si>
    <t>ORD101741</t>
  </si>
  <si>
    <t>CUST6444</t>
  </si>
  <si>
    <t>ORD101742</t>
  </si>
  <si>
    <t>CUST8735</t>
  </si>
  <si>
    <t>ORD101743</t>
  </si>
  <si>
    <t>ORD101744</t>
  </si>
  <si>
    <t>CUST3165</t>
  </si>
  <si>
    <t>ORD101745</t>
  </si>
  <si>
    <t>CUST4099</t>
  </si>
  <si>
    <t>ORD101746</t>
  </si>
  <si>
    <t>CUST7086</t>
  </si>
  <si>
    <t>ORD101747</t>
  </si>
  <si>
    <t>CUST3309</t>
  </si>
  <si>
    <t>ORD101748</t>
  </si>
  <si>
    <t>CUST3794</t>
  </si>
  <si>
    <t>ORD101749</t>
  </si>
  <si>
    <t>CUST9337</t>
  </si>
  <si>
    <t>ORD101750</t>
  </si>
  <si>
    <t>CUST2493</t>
  </si>
  <si>
    <t>ORD101751</t>
  </si>
  <si>
    <t>CUST2463</t>
  </si>
  <si>
    <t>ORD101752</t>
  </si>
  <si>
    <t>ORD101753</t>
  </si>
  <si>
    <t>CUST1340</t>
  </si>
  <si>
    <t>ORD101754</t>
  </si>
  <si>
    <t>ORD101755</t>
  </si>
  <si>
    <t>ORD101756</t>
  </si>
  <si>
    <t>ORD101757</t>
  </si>
  <si>
    <t>CUST6509</t>
  </si>
  <si>
    <t>ORD101758</t>
  </si>
  <si>
    <t>ORD101759</t>
  </si>
  <si>
    <t>CUST8932</t>
  </si>
  <si>
    <t>ORD101760</t>
  </si>
  <si>
    <t>CUST8246</t>
  </si>
  <si>
    <t>ORD101761</t>
  </si>
  <si>
    <t>CUST5779</t>
  </si>
  <si>
    <t>ORD101762</t>
  </si>
  <si>
    <t>ORD101763</t>
  </si>
  <si>
    <t>CUST8758</t>
  </si>
  <si>
    <t>ORD101764</t>
  </si>
  <si>
    <t>CUST3653</t>
  </si>
  <si>
    <t>ORD101765</t>
  </si>
  <si>
    <t>CUST2362</t>
  </si>
  <si>
    <t>ORD101766</t>
  </si>
  <si>
    <t>CUST7450</t>
  </si>
  <si>
    <t>ORD101767</t>
  </si>
  <si>
    <t>CUST2716</t>
  </si>
  <si>
    <t>ORD101768</t>
  </si>
  <si>
    <t>CUST7346</t>
  </si>
  <si>
    <t>ORD101769</t>
  </si>
  <si>
    <t>CUST8461</t>
  </si>
  <si>
    <t>ORD101770</t>
  </si>
  <si>
    <t>CUST9555</t>
  </si>
  <si>
    <t>ORD101771</t>
  </si>
  <si>
    <t>CUST4806</t>
  </si>
  <si>
    <t>ORD101772</t>
  </si>
  <si>
    <t>CUST6569</t>
  </si>
  <si>
    <t>ORD101773</t>
  </si>
  <si>
    <t>CUST6797</t>
  </si>
  <si>
    <t>ORD101774</t>
  </si>
  <si>
    <t>CUST6909</t>
  </si>
  <si>
    <t>ORD101775</t>
  </si>
  <si>
    <t>ORD101776</t>
  </si>
  <si>
    <t>CUST5718</t>
  </si>
  <si>
    <t>ORD101777</t>
  </si>
  <si>
    <t>CUST1196</t>
  </si>
  <si>
    <t>ORD101778</t>
  </si>
  <si>
    <t>CUST9686</t>
  </si>
  <si>
    <t>ORD101779</t>
  </si>
  <si>
    <t>CUST3373</t>
  </si>
  <si>
    <t>ORD101780</t>
  </si>
  <si>
    <t>CUST5097</t>
  </si>
  <si>
    <t>ORD101781</t>
  </si>
  <si>
    <t>ORD101782</t>
  </si>
  <si>
    <t>CUST2019</t>
  </si>
  <si>
    <t>ORD101783</t>
  </si>
  <si>
    <t>CUST8207</t>
  </si>
  <si>
    <t>ORD101784</t>
  </si>
  <si>
    <t>CUST4298</t>
  </si>
  <si>
    <t>ORD101785</t>
  </si>
  <si>
    <t>CUST9683</t>
  </si>
  <si>
    <t>ORD101786</t>
  </si>
  <si>
    <t>CUST6416</t>
  </si>
  <si>
    <t>ORD101787</t>
  </si>
  <si>
    <t>CUST7033</t>
  </si>
  <si>
    <t>ORD101788</t>
  </si>
  <si>
    <t>CUST2820</t>
  </si>
  <si>
    <t>ORD101789</t>
  </si>
  <si>
    <t>CUST3607</t>
  </si>
  <si>
    <t>ORD101790</t>
  </si>
  <si>
    <t>CUST2785</t>
  </si>
  <si>
    <t>ORD101791</t>
  </si>
  <si>
    <t>CUST5678</t>
  </si>
  <si>
    <t>ORD101792</t>
  </si>
  <si>
    <t>CUST1391</t>
  </si>
  <si>
    <t>ORD101793</t>
  </si>
  <si>
    <t>CUST7672</t>
  </si>
  <si>
    <t>ORD101794</t>
  </si>
  <si>
    <t>ORD101795</t>
  </si>
  <si>
    <t>CUST9667</t>
  </si>
  <si>
    <t>ORD101796</t>
  </si>
  <si>
    <t>CUST9183</t>
  </si>
  <si>
    <t>ORD101797</t>
  </si>
  <si>
    <t>CUST1541</t>
  </si>
  <si>
    <t>ORD101798</t>
  </si>
  <si>
    <t>CUST1091</t>
  </si>
  <si>
    <t>ORD101799</t>
  </si>
  <si>
    <t>CUST1219</t>
  </si>
  <si>
    <t>ORD101800</t>
  </si>
  <si>
    <t>CUST7728</t>
  </si>
  <si>
    <t>ORD101801</t>
  </si>
  <si>
    <t>CUST2255</t>
  </si>
  <si>
    <t>ORD101802</t>
  </si>
  <si>
    <t>CUST2793</t>
  </si>
  <si>
    <t>ORD101803</t>
  </si>
  <si>
    <t>CUST4842</t>
  </si>
  <si>
    <t>ORD101804</t>
  </si>
  <si>
    <t>CUST9278</t>
  </si>
  <si>
    <t>ORD101805</t>
  </si>
  <si>
    <t>CUST1825</t>
  </si>
  <si>
    <t>ORD101806</t>
  </si>
  <si>
    <t>CUST3792</t>
  </si>
  <si>
    <t>ORD101807</t>
  </si>
  <si>
    <t>ORD101808</t>
  </si>
  <si>
    <t>ORD101809</t>
  </si>
  <si>
    <t>CUST8312</t>
  </si>
  <si>
    <t>ORD101810</t>
  </si>
  <si>
    <t>CUST2691</t>
  </si>
  <si>
    <t>ORD101811</t>
  </si>
  <si>
    <t>CUST3010</t>
  </si>
  <si>
    <t>ORD101812</t>
  </si>
  <si>
    <t>CUST9923</t>
  </si>
  <si>
    <t>ORD101813</t>
  </si>
  <si>
    <t>CUST8279</t>
  </si>
  <si>
    <t>ORD101814</t>
  </si>
  <si>
    <t>CUST9133</t>
  </si>
  <si>
    <t>ORD101815</t>
  </si>
  <si>
    <t>CUST1421</t>
  </si>
  <si>
    <t>ORD101816</t>
  </si>
  <si>
    <t>CUST2866</t>
  </si>
  <si>
    <t>ORD101817</t>
  </si>
  <si>
    <t>ORD101818</t>
  </si>
  <si>
    <t>CUST8307</t>
  </si>
  <si>
    <t>ORD101819</t>
  </si>
  <si>
    <t>CUST3196</t>
  </si>
  <si>
    <t>ORD101820</t>
  </si>
  <si>
    <t>CUST5929</t>
  </si>
  <si>
    <t>ORD101821</t>
  </si>
  <si>
    <t>CUST3074</t>
  </si>
  <si>
    <t>ORD101822</t>
  </si>
  <si>
    <t>ORD101823</t>
  </si>
  <si>
    <t>CUST2553</t>
  </si>
  <si>
    <t>ORD101824</t>
  </si>
  <si>
    <t>ORD101825</t>
  </si>
  <si>
    <t>CUST4133</t>
  </si>
  <si>
    <t>ORD101826</t>
  </si>
  <si>
    <t>CUST7585</t>
  </si>
  <si>
    <t>ORD101827</t>
  </si>
  <si>
    <t>CUST6822</t>
  </si>
  <si>
    <t>ORD101828</t>
  </si>
  <si>
    <t>CUST9176</t>
  </si>
  <si>
    <t>ORD101829</t>
  </si>
  <si>
    <t>CUST7535</t>
  </si>
  <si>
    <t>ORD101830</t>
  </si>
  <si>
    <t>CUST4711</t>
  </si>
  <si>
    <t>ORD101831</t>
  </si>
  <si>
    <t>CUST7679</t>
  </si>
  <si>
    <t>ORD101832</t>
  </si>
  <si>
    <t>CUST5844</t>
  </si>
  <si>
    <t>ORD101833</t>
  </si>
  <si>
    <t>ORD101834</t>
  </si>
  <si>
    <t>CUST8110</t>
  </si>
  <si>
    <t>ORD101835</t>
  </si>
  <si>
    <t>CUST1147</t>
  </si>
  <si>
    <t>ORD101836</t>
  </si>
  <si>
    <t>CUST3490</t>
  </si>
  <si>
    <t>ORD101837</t>
  </si>
  <si>
    <t>CUST1090</t>
  </si>
  <si>
    <t>ORD101838</t>
  </si>
  <si>
    <t>ORD101839</t>
  </si>
  <si>
    <t>CUST4968</t>
  </si>
  <si>
    <t>ORD101840</t>
  </si>
  <si>
    <t>CUST5579</t>
  </si>
  <si>
    <t>ORD101841</t>
  </si>
  <si>
    <t>CUST7631</t>
  </si>
  <si>
    <t>ORD101842</t>
  </si>
  <si>
    <t>CUST7464</t>
  </si>
  <si>
    <t>ORD101843</t>
  </si>
  <si>
    <t>CUST9525</t>
  </si>
  <si>
    <t>ORD101844</t>
  </si>
  <si>
    <t>CUST3818</t>
  </si>
  <si>
    <t>ORD101845</t>
  </si>
  <si>
    <t>CUST1303</t>
  </si>
  <si>
    <t>ORD101846</t>
  </si>
  <si>
    <t>CUST2564</t>
  </si>
  <si>
    <t>ORD101847</t>
  </si>
  <si>
    <t>CUST8542</t>
  </si>
  <si>
    <t>ORD101848</t>
  </si>
  <si>
    <t>CUST1813</t>
  </si>
  <si>
    <t>ORD101849</t>
  </si>
  <si>
    <t>CUST9455</t>
  </si>
  <si>
    <t>ORD101850</t>
  </si>
  <si>
    <t>ORD101851</t>
  </si>
  <si>
    <t>CUST3133</t>
  </si>
  <si>
    <t>ORD101852</t>
  </si>
  <si>
    <t>CUST4836</t>
  </si>
  <si>
    <t>ORD101853</t>
  </si>
  <si>
    <t>CUST1426</t>
  </si>
  <si>
    <t>ORD101854</t>
  </si>
  <si>
    <t>CUST7612</t>
  </si>
  <si>
    <t>ORD101855</t>
  </si>
  <si>
    <t>ORD101856</t>
  </si>
  <si>
    <t>CUST6888</t>
  </si>
  <si>
    <t>ORD101857</t>
  </si>
  <si>
    <t>CUST3643</t>
  </si>
  <si>
    <t>ORD101858</t>
  </si>
  <si>
    <t>ORD101859</t>
  </si>
  <si>
    <t>CUST6923</t>
  </si>
  <si>
    <t>ORD101860</t>
  </si>
  <si>
    <t>CUST7921</t>
  </si>
  <si>
    <t>ORD101861</t>
  </si>
  <si>
    <t>CUST8843</t>
  </si>
  <si>
    <t>ORD101862</t>
  </si>
  <si>
    <t>CUST7561</t>
  </si>
  <si>
    <t>ORD101863</t>
  </si>
  <si>
    <t>CUST9769</t>
  </si>
  <si>
    <t>ORD101864</t>
  </si>
  <si>
    <t>CUST3503</t>
  </si>
  <si>
    <t>ORD101865</t>
  </si>
  <si>
    <t>CUST6809</t>
  </si>
  <si>
    <t>ORD101866</t>
  </si>
  <si>
    <t>ORD101867</t>
  </si>
  <si>
    <t>CUST8581</t>
  </si>
  <si>
    <t>ORD101868</t>
  </si>
  <si>
    <t>CUST2743</t>
  </si>
  <si>
    <t>ORD101869</t>
  </si>
  <si>
    <t>ORD101870</t>
  </si>
  <si>
    <t>CUST7812</t>
  </si>
  <si>
    <t>ORD101871</t>
  </si>
  <si>
    <t>CUST1096</t>
  </si>
  <si>
    <t>ORD101872</t>
  </si>
  <si>
    <t>CUST7527</t>
  </si>
  <si>
    <t>ORD101873</t>
  </si>
  <si>
    <t>ORD101874</t>
  </si>
  <si>
    <t>CUST1062</t>
  </si>
  <si>
    <t>ORD101875</t>
  </si>
  <si>
    <t>CUST7036</t>
  </si>
  <si>
    <t>ORD101876</t>
  </si>
  <si>
    <t>CUST1020</t>
  </si>
  <si>
    <t>ORD101877</t>
  </si>
  <si>
    <t>ORD101878</t>
  </si>
  <si>
    <t>CUST6251</t>
  </si>
  <si>
    <t>ORD101879</t>
  </si>
  <si>
    <t>CUST2763</t>
  </si>
  <si>
    <t>ORD101880</t>
  </si>
  <si>
    <t>ORD101881</t>
  </si>
  <si>
    <t>CUST6255</t>
  </si>
  <si>
    <t>ORD101882</t>
  </si>
  <si>
    <t>ORD101883</t>
  </si>
  <si>
    <t>ORD101884</t>
  </si>
  <si>
    <t>ORD101885</t>
  </si>
  <si>
    <t>CUST7145</t>
  </si>
  <si>
    <t>ORD101886</t>
  </si>
  <si>
    <t>CUST5104</t>
  </si>
  <si>
    <t>ORD101887</t>
  </si>
  <si>
    <t>ORD101888</t>
  </si>
  <si>
    <t>CUST9021</t>
  </si>
  <si>
    <t>ORD101889</t>
  </si>
  <si>
    <t>CUST6361</t>
  </si>
  <si>
    <t>ORD101890</t>
  </si>
  <si>
    <t>CUST1881</t>
  </si>
  <si>
    <t>ORD101891</t>
  </si>
  <si>
    <t>ORD101892</t>
  </si>
  <si>
    <t>CUST1604</t>
  </si>
  <si>
    <t>ORD101893</t>
  </si>
  <si>
    <t>CUST3584</t>
  </si>
  <si>
    <t>ORD101894</t>
  </si>
  <si>
    <t>ORD101895</t>
  </si>
  <si>
    <t>CUST1226</t>
  </si>
  <si>
    <t>ORD101896</t>
  </si>
  <si>
    <t>CUST3274</t>
  </si>
  <si>
    <t>ORD101897</t>
  </si>
  <si>
    <t>CUST1649</t>
  </si>
  <si>
    <t>ORD101898</t>
  </si>
  <si>
    <t>CUST2538</t>
  </si>
  <si>
    <t>ORD101899</t>
  </si>
  <si>
    <t>ORD101900</t>
  </si>
  <si>
    <t>CUST7250</t>
  </si>
  <si>
    <t>ORD101901</t>
  </si>
  <si>
    <t>CUST5867</t>
  </si>
  <si>
    <t>ORD101902</t>
  </si>
  <si>
    <t>CUST6639</t>
  </si>
  <si>
    <t>ORD101903</t>
  </si>
  <si>
    <t>ORD101904</t>
  </si>
  <si>
    <t>CUST9675</t>
  </si>
  <si>
    <t>ORD101905</t>
  </si>
  <si>
    <t>CUST4135</t>
  </si>
  <si>
    <t>ORD101906</t>
  </si>
  <si>
    <t>CUST4169</t>
  </si>
  <si>
    <t>ORD101907</t>
  </si>
  <si>
    <t>CUST2634</t>
  </si>
  <si>
    <t>ORD101908</t>
  </si>
  <si>
    <t>CUST8960</t>
  </si>
  <si>
    <t>ORD101909</t>
  </si>
  <si>
    <t>CUST1590</t>
  </si>
  <si>
    <t>ORD101910</t>
  </si>
  <si>
    <t>CUST4980</t>
  </si>
  <si>
    <t>ORD101911</t>
  </si>
  <si>
    <t>ORD101912</t>
  </si>
  <si>
    <t>CUST6491</t>
  </si>
  <si>
    <t>ORD101913</t>
  </si>
  <si>
    <t>CUST3796</t>
  </si>
  <si>
    <t>ORD101914</t>
  </si>
  <si>
    <t>CUST7090</t>
  </si>
  <si>
    <t>ORD101915</t>
  </si>
  <si>
    <t>CUST2647</t>
  </si>
  <si>
    <t>ORD101916</t>
  </si>
  <si>
    <t>CUST1689</t>
  </si>
  <si>
    <t>ORD101917</t>
  </si>
  <si>
    <t>CUST4738</t>
  </si>
  <si>
    <t>ORD101918</t>
  </si>
  <si>
    <t>CUST7047</t>
  </si>
  <si>
    <t>ORD101919</t>
  </si>
  <si>
    <t>CUST5119</t>
  </si>
  <si>
    <t>ORD101920</t>
  </si>
  <si>
    <t>CUST5228</t>
  </si>
  <si>
    <t>ORD101921</t>
  </si>
  <si>
    <t>ORD101922</t>
  </si>
  <si>
    <t>CUST7400</t>
  </si>
  <si>
    <t>ORD101923</t>
  </si>
  <si>
    <t>ORD101924</t>
  </si>
  <si>
    <t>CUST6056</t>
  </si>
  <si>
    <t>ORD101925</t>
  </si>
  <si>
    <t>CUST4589</t>
  </si>
  <si>
    <t>ORD101926</t>
  </si>
  <si>
    <t>CUST7670</t>
  </si>
  <si>
    <t>ORD101927</t>
  </si>
  <si>
    <t>ORD101928</t>
  </si>
  <si>
    <t>CUST9334</t>
  </si>
  <si>
    <t>ORD101929</t>
  </si>
  <si>
    <t>CUST7974</t>
  </si>
  <si>
    <t>ORD101930</t>
  </si>
  <si>
    <t>CUST8488</t>
  </si>
  <si>
    <t>ORD101931</t>
  </si>
  <si>
    <t>CUST3682</t>
  </si>
  <si>
    <t>ORD101932</t>
  </si>
  <si>
    <t>ORD101933</t>
  </si>
  <si>
    <t>CUST4126</t>
  </si>
  <si>
    <t>ORD101934</t>
  </si>
  <si>
    <t>CUST4106</t>
  </si>
  <si>
    <t>ORD101935</t>
  </si>
  <si>
    <t>CUST3390</t>
  </si>
  <si>
    <t>ORD101936</t>
  </si>
  <si>
    <t>CUST3840</t>
  </si>
  <si>
    <t>ORD101937</t>
  </si>
  <si>
    <t>CUST2056</t>
  </si>
  <si>
    <t>ORD101938</t>
  </si>
  <si>
    <t>CUST4643</t>
  </si>
  <si>
    <t>ORD101939</t>
  </si>
  <si>
    <t>CUST5248</t>
  </si>
  <si>
    <t>ORD101940</t>
  </si>
  <si>
    <t>ORD101941</t>
  </si>
  <si>
    <t>CUST8200</t>
  </si>
  <si>
    <t>ORD101942</t>
  </si>
  <si>
    <t>CUST4277</t>
  </si>
  <si>
    <t>ORD101943</t>
  </si>
  <si>
    <t>CUST1276</t>
  </si>
  <si>
    <t>ORD101944</t>
  </si>
  <si>
    <t>CUST9659</t>
  </si>
  <si>
    <t>ORD101945</t>
  </si>
  <si>
    <t>CUST2191</t>
  </si>
  <si>
    <t>ORD101946</t>
  </si>
  <si>
    <t>CUST6958</t>
  </si>
  <si>
    <t>ORD101947</t>
  </si>
  <si>
    <t>CUST3048</t>
  </si>
  <si>
    <t>ORD101948</t>
  </si>
  <si>
    <t>ORD101949</t>
  </si>
  <si>
    <t>CUST3664</t>
  </si>
  <si>
    <t>ORD101950</t>
  </si>
  <si>
    <t>ORD101951</t>
  </si>
  <si>
    <t>CUST3143</t>
  </si>
  <si>
    <t>ORD101952</t>
  </si>
  <si>
    <t>ORD101953</t>
  </si>
  <si>
    <t>CUST3108</t>
  </si>
  <si>
    <t>ORD101954</t>
  </si>
  <si>
    <t>CUST1980</t>
  </si>
  <si>
    <t>ORD101955</t>
  </si>
  <si>
    <t>ORD101956</t>
  </si>
  <si>
    <t>CUST1316</t>
  </si>
  <si>
    <t>ORD101957</t>
  </si>
  <si>
    <t>CUST4451</t>
  </si>
  <si>
    <t>ORD101958</t>
  </si>
  <si>
    <t>CUST6696</t>
  </si>
  <si>
    <t>ORD101959</t>
  </si>
  <si>
    <t>ORD101960</t>
  </si>
  <si>
    <t>ORD101961</t>
  </si>
  <si>
    <t>CUST8108</t>
  </si>
  <si>
    <t>ORD101962</t>
  </si>
  <si>
    <t>CUST9847</t>
  </si>
  <si>
    <t>ORD101963</t>
  </si>
  <si>
    <t>CUST9722</t>
  </si>
  <si>
    <t>ORD101964</t>
  </si>
  <si>
    <t>CUST2842</t>
  </si>
  <si>
    <t>ORD101965</t>
  </si>
  <si>
    <t>CUST6744</t>
  </si>
  <si>
    <t>ORD101966</t>
  </si>
  <si>
    <t>CUST4085</t>
  </si>
  <si>
    <t>ORD101967</t>
  </si>
  <si>
    <t>CUST6745</t>
  </si>
  <si>
    <t>ORD101968</t>
  </si>
  <si>
    <t>CUST4364</t>
  </si>
  <si>
    <t>ORD101969</t>
  </si>
  <si>
    <t>CUST2919</t>
  </si>
  <si>
    <t>ORD101970</t>
  </si>
  <si>
    <t>CUST7001</t>
  </si>
  <si>
    <t>ORD101971</t>
  </si>
  <si>
    <t>CUST1102</t>
  </si>
  <si>
    <t>ORD101972</t>
  </si>
  <si>
    <t>CUST3174</t>
  </si>
  <si>
    <t>ORD101973</t>
  </si>
  <si>
    <t>ORD101974</t>
  </si>
  <si>
    <t>CUST3674</t>
  </si>
  <si>
    <t>ORD101975</t>
  </si>
  <si>
    <t>CUST1120</t>
  </si>
  <si>
    <t>ORD101976</t>
  </si>
  <si>
    <t>CUST5153</t>
  </si>
  <si>
    <t>ORD101977</t>
  </si>
  <si>
    <t>CUST8151</t>
  </si>
  <si>
    <t>ORD101978</t>
  </si>
  <si>
    <t>CUST4772</t>
  </si>
  <si>
    <t>ORD101979</t>
  </si>
  <si>
    <t>CUST2032</t>
  </si>
  <si>
    <t>ORD101980</t>
  </si>
  <si>
    <t>CUST9400</t>
  </si>
  <si>
    <t>ORD101981</t>
  </si>
  <si>
    <t>CUST9016</t>
  </si>
  <si>
    <t>ORD101982</t>
  </si>
  <si>
    <t>CUST5557</t>
  </si>
  <si>
    <t>ORD101983</t>
  </si>
  <si>
    <t>CUST4239</t>
  </si>
  <si>
    <t>ORD101984</t>
  </si>
  <si>
    <t>CUST8148</t>
  </si>
  <si>
    <t>ORD101985</t>
  </si>
  <si>
    <t>CUST8184</t>
  </si>
  <si>
    <t>ORD101986</t>
  </si>
  <si>
    <t>CUST4469</t>
  </si>
  <si>
    <t>ORD101987</t>
  </si>
  <si>
    <t>CUST8877</t>
  </si>
  <si>
    <t>ORD101988</t>
  </si>
  <si>
    <t>ORD101989</t>
  </si>
  <si>
    <t>CUST1983</t>
  </si>
  <si>
    <t>ORD101990</t>
  </si>
  <si>
    <t>CUST5432</t>
  </si>
  <si>
    <t>ORD101991</t>
  </si>
  <si>
    <t>ORD101992</t>
  </si>
  <si>
    <t>CUST1707</t>
  </si>
  <si>
    <t>ORD101993</t>
  </si>
  <si>
    <t>CUST5223</t>
  </si>
  <si>
    <t>ORD101994</t>
  </si>
  <si>
    <t>ORD101995</t>
  </si>
  <si>
    <t>ORD101996</t>
  </si>
  <si>
    <t>CUST7922</t>
  </si>
  <si>
    <t>ORD101997</t>
  </si>
  <si>
    <t>CUST9493</t>
  </si>
  <si>
    <t>ORD101998</t>
  </si>
  <si>
    <t>ORD101999</t>
  </si>
  <si>
    <t>CUST9003</t>
  </si>
  <si>
    <t>ORD102000</t>
  </si>
  <si>
    <t>ORD102001</t>
  </si>
  <si>
    <t>ORD102002</t>
  </si>
  <si>
    <t>ORD102003</t>
  </si>
  <si>
    <t>ORD102004</t>
  </si>
  <si>
    <t>CUST3907</t>
  </si>
  <si>
    <t>ORD102005</t>
  </si>
  <si>
    <t>CUST1074</t>
  </si>
  <si>
    <t>ORD102006</t>
  </si>
  <si>
    <t>CUST8231</t>
  </si>
  <si>
    <t>ORD102007</t>
  </si>
  <si>
    <t>ORD102008</t>
  </si>
  <si>
    <t>CUST7088</t>
  </si>
  <si>
    <t>ORD102009</t>
  </si>
  <si>
    <t>CUST9896</t>
  </si>
  <si>
    <t>ORD102010</t>
  </si>
  <si>
    <t>CUST7753</t>
  </si>
  <si>
    <t>ORD102011</t>
  </si>
  <si>
    <t>CUST1253</t>
  </si>
  <si>
    <t>ORD102012</t>
  </si>
  <si>
    <t>CUST1128</t>
  </si>
  <si>
    <t>ORD102013</t>
  </si>
  <si>
    <t>ORD102014</t>
  </si>
  <si>
    <t>CUST1163</t>
  </si>
  <si>
    <t>ORD102015</t>
  </si>
  <si>
    <t>ORD102016</t>
  </si>
  <si>
    <t>ORD102017</t>
  </si>
  <si>
    <t>CUST2000</t>
  </si>
  <si>
    <t>ORD102018</t>
  </si>
  <si>
    <t>CUST4280</t>
  </si>
  <si>
    <t>ORD102019</t>
  </si>
  <si>
    <t>CUST1991</t>
  </si>
  <si>
    <t>ORD102020</t>
  </si>
  <si>
    <t>CUST9359</t>
  </si>
  <si>
    <t>ORD102021</t>
  </si>
  <si>
    <t>CUST5811</t>
  </si>
  <si>
    <t>ORD102022</t>
  </si>
  <si>
    <t>CUST4563</t>
  </si>
  <si>
    <t>ORD102023</t>
  </si>
  <si>
    <t>ORD102024</t>
  </si>
  <si>
    <t>CUST9857</t>
  </si>
  <si>
    <t>ORD102025</t>
  </si>
  <si>
    <t>CUST7283</t>
  </si>
  <si>
    <t>ORD102026</t>
  </si>
  <si>
    <t>CUST9452</t>
  </si>
  <si>
    <t>ORD102027</t>
  </si>
  <si>
    <t>CUST3576</t>
  </si>
  <si>
    <t>ORD102028</t>
  </si>
  <si>
    <t>ORD102029</t>
  </si>
  <si>
    <t>ORD102030</t>
  </si>
  <si>
    <t>CUST4886</t>
  </si>
  <si>
    <t>ORD102031</t>
  </si>
  <si>
    <t>CUST1376</t>
  </si>
  <si>
    <t>ORD102032</t>
  </si>
  <si>
    <t>CUST7886</t>
  </si>
  <si>
    <t>ORD102033</t>
  </si>
  <si>
    <t>ORD102034</t>
  </si>
  <si>
    <t>CUST7475</t>
  </si>
  <si>
    <t>ORD102035</t>
  </si>
  <si>
    <t>CUST9260</t>
  </si>
  <si>
    <t>ORD102036</t>
  </si>
  <si>
    <t>ORD102037</t>
  </si>
  <si>
    <t>CUST7591</t>
  </si>
  <si>
    <t>ORD102038</t>
  </si>
  <si>
    <t>ORD102039</t>
  </si>
  <si>
    <t>CUST4478</t>
  </si>
  <si>
    <t>ORD102040</t>
  </si>
  <si>
    <t>CUST1635</t>
  </si>
  <si>
    <t>ORD102041</t>
  </si>
  <si>
    <t>CUST3013</t>
  </si>
  <si>
    <t>ORD102042</t>
  </si>
  <si>
    <t>CUST2928</t>
  </si>
  <si>
    <t>ORD102043</t>
  </si>
  <si>
    <t>CUST4218</t>
  </si>
  <si>
    <t>ORD102044</t>
  </si>
  <si>
    <t>CUST6552</t>
  </si>
  <si>
    <t>ORD102045</t>
  </si>
  <si>
    <t>CUST6103</t>
  </si>
  <si>
    <t>ORD102046</t>
  </si>
  <si>
    <t>CUST4506</t>
  </si>
  <si>
    <t>ORD102047</t>
  </si>
  <si>
    <t>ORD102048</t>
  </si>
  <si>
    <t>CUST4010</t>
  </si>
  <si>
    <t>ORD102049</t>
  </si>
  <si>
    <t>CUST3453</t>
  </si>
  <si>
    <t>ORD102050</t>
  </si>
  <si>
    <t>CUST3691</t>
  </si>
  <si>
    <t>ORD102051</t>
  </si>
  <si>
    <t>ORD102052</t>
  </si>
  <si>
    <t>CUST9309</t>
  </si>
  <si>
    <t>ORD102053</t>
  </si>
  <si>
    <t>CUST4646</t>
  </si>
  <si>
    <t>ORD102054</t>
  </si>
  <si>
    <t>ORD102055</t>
  </si>
  <si>
    <t>CUST2042</t>
  </si>
  <si>
    <t>ORD102056</t>
  </si>
  <si>
    <t>CUST7098</t>
  </si>
  <si>
    <t>ORD102057</t>
  </si>
  <si>
    <t>CUST9240</t>
  </si>
  <si>
    <t>ORD102058</t>
  </si>
  <si>
    <t>CUST4661</t>
  </si>
  <si>
    <t>ORD102059</t>
  </si>
  <si>
    <t>CUST9893</t>
  </si>
  <si>
    <t>ORD102060</t>
  </si>
  <si>
    <t>ORD102061</t>
  </si>
  <si>
    <t>ORD102062</t>
  </si>
  <si>
    <t>CUST4708</t>
  </si>
  <si>
    <t>ORD102063</t>
  </si>
  <si>
    <t>ORD102064</t>
  </si>
  <si>
    <t>CUST9797</t>
  </si>
  <si>
    <t>ORD102065</t>
  </si>
  <si>
    <t>CUST1676</t>
  </si>
  <si>
    <t>ORD102066</t>
  </si>
  <si>
    <t>CUST6673</t>
  </si>
  <si>
    <t>ORD102067</t>
  </si>
  <si>
    <t>CUST8864</t>
  </si>
  <si>
    <t>ORD102068</t>
  </si>
  <si>
    <t>CUST2735</t>
  </si>
  <si>
    <t>ORD102069</t>
  </si>
  <si>
    <t>CUST8675</t>
  </si>
  <si>
    <t>ORD102070</t>
  </si>
  <si>
    <t>CUST1504</t>
  </si>
  <si>
    <t>ORD102071</t>
  </si>
  <si>
    <t>CUST1869</t>
  </si>
  <si>
    <t>ORD102072</t>
  </si>
  <si>
    <t>CUST2277</t>
  </si>
  <si>
    <t>ORD102073</t>
  </si>
  <si>
    <t>CUST3602</t>
  </si>
  <si>
    <t>ORD102074</t>
  </si>
  <si>
    <t>CUST1820</t>
  </si>
  <si>
    <t>ORD102075</t>
  </si>
  <si>
    <t>CUST6170</t>
  </si>
  <si>
    <t>ORD102076</t>
  </si>
  <si>
    <t>CUST8239</t>
  </si>
  <si>
    <t>ORD102077</t>
  </si>
  <si>
    <t>CUST6926</t>
  </si>
  <si>
    <t>ORD102078</t>
  </si>
  <si>
    <t>CUST2643</t>
  </si>
  <si>
    <t>ORD102079</t>
  </si>
  <si>
    <t>CUST1687</t>
  </si>
  <si>
    <t>ORD102080</t>
  </si>
  <si>
    <t>CUST9075</t>
  </si>
  <si>
    <t>ORD102081</t>
  </si>
  <si>
    <t>CUST3583</t>
  </si>
  <si>
    <t>ORD102082</t>
  </si>
  <si>
    <t>CUST1089</t>
  </si>
  <si>
    <t>ORD102083</t>
  </si>
  <si>
    <t>CUST1900</t>
  </si>
  <si>
    <t>ORD102084</t>
  </si>
  <si>
    <t>CUST6048</t>
  </si>
  <si>
    <t>ORD102085</t>
  </si>
  <si>
    <t>CUST7103</t>
  </si>
  <si>
    <t>ORD102086</t>
  </si>
  <si>
    <t>CUST9451</t>
  </si>
  <si>
    <t>ORD102087</t>
  </si>
  <si>
    <t>CUST7600</t>
  </si>
  <si>
    <t>ORD102088</t>
  </si>
  <si>
    <t>CUST2094</t>
  </si>
  <si>
    <t>ORD102089</t>
  </si>
  <si>
    <t>CUST8980</t>
  </si>
  <si>
    <t>ORD102090</t>
  </si>
  <si>
    <t>CUST8496</t>
  </si>
  <si>
    <t>ORD102091</t>
  </si>
  <si>
    <t>ORD102092</t>
  </si>
  <si>
    <t>CUST7139</t>
  </si>
  <si>
    <t>ORD102093</t>
  </si>
  <si>
    <t>ORD102094</t>
  </si>
  <si>
    <t>CUST9717</t>
  </si>
  <si>
    <t>ORD102095</t>
  </si>
  <si>
    <t>CUST2376</t>
  </si>
  <si>
    <t>ORD102096</t>
  </si>
  <si>
    <t>CUST1006</t>
  </si>
  <si>
    <t>ORD102097</t>
  </si>
  <si>
    <t>CUST2781</t>
  </si>
  <si>
    <t>ORD102098</t>
  </si>
  <si>
    <t>ORD102099</t>
  </si>
  <si>
    <t>CUST2168</t>
  </si>
  <si>
    <t>ORD102100</t>
  </si>
  <si>
    <t>ORD102101</t>
  </si>
  <si>
    <t>CUST5612</t>
  </si>
  <si>
    <t>ORD102102</t>
  </si>
  <si>
    <t>CUST8352</t>
  </si>
  <si>
    <t>ORD102103</t>
  </si>
  <si>
    <t>CUST2219</t>
  </si>
  <si>
    <t>ORD102104</t>
  </si>
  <si>
    <t>CUST7273</t>
  </si>
  <si>
    <t>ORD102105</t>
  </si>
  <si>
    <t>CUST4105</t>
  </si>
  <si>
    <t>ORD102106</t>
  </si>
  <si>
    <t>CUST8626</t>
  </si>
  <si>
    <t>ORD102107</t>
  </si>
  <si>
    <t>CUST1450</t>
  </si>
  <si>
    <t>ORD102108</t>
  </si>
  <si>
    <t>CUST9613</t>
  </si>
  <si>
    <t>ORD102109</t>
  </si>
  <si>
    <t>CUST8369</t>
  </si>
  <si>
    <t>ORD102110</t>
  </si>
  <si>
    <t>CUST1927</t>
  </si>
  <si>
    <t>ORD102111</t>
  </si>
  <si>
    <t>CUST4234</t>
  </si>
  <si>
    <t>ORD102112</t>
  </si>
  <si>
    <t>CUST9302</t>
  </si>
  <si>
    <t>ORD102113</t>
  </si>
  <si>
    <t>CUST4582</t>
  </si>
  <si>
    <t>ORD102114</t>
  </si>
  <si>
    <t>CUST9146</t>
  </si>
  <si>
    <t>ORD102115</t>
  </si>
  <si>
    <t>CUST1990</t>
  </si>
  <si>
    <t>ORD102116</t>
  </si>
  <si>
    <t>CUST2548</t>
  </si>
  <si>
    <t>ORD102117</t>
  </si>
  <si>
    <t>CUST3874</t>
  </si>
  <si>
    <t>ORD102118</t>
  </si>
  <si>
    <t>CUST5565</t>
  </si>
  <si>
    <t>ORD102119</t>
  </si>
  <si>
    <t>CUST2380</t>
  </si>
  <si>
    <t>ORD102120</t>
  </si>
  <si>
    <t>CUST1625</t>
  </si>
  <si>
    <t>ORD102121</t>
  </si>
  <si>
    <t>CUST9475</t>
  </si>
  <si>
    <t>ORD102122</t>
  </si>
  <si>
    <t>CUST6201</t>
  </si>
  <si>
    <t>ORD102123</t>
  </si>
  <si>
    <t>CUST8420</t>
  </si>
  <si>
    <t>ORD102124</t>
  </si>
  <si>
    <t>CUST4724</t>
  </si>
  <si>
    <t>ORD102125</t>
  </si>
  <si>
    <t>CUST8454</t>
  </si>
  <si>
    <t>ORD102126</t>
  </si>
  <si>
    <t>CUST9350</t>
  </si>
  <si>
    <t>ORD102127</t>
  </si>
  <si>
    <t>ORD102128</t>
  </si>
  <si>
    <t>CUST8905</t>
  </si>
  <si>
    <t>ORD102129</t>
  </si>
  <si>
    <t>ORD102130</t>
  </si>
  <si>
    <t>ORD102131</t>
  </si>
  <si>
    <t>CUST9159</t>
  </si>
  <si>
    <t>ORD102132</t>
  </si>
  <si>
    <t>CUST1272</t>
  </si>
  <si>
    <t>ORD102133</t>
  </si>
  <si>
    <t>CUST7333</t>
  </si>
  <si>
    <t>ORD102134</t>
  </si>
  <si>
    <t>CUST7674</t>
  </si>
  <si>
    <t>ORD102135</t>
  </si>
  <si>
    <t>CUST8362</t>
  </si>
  <si>
    <t>ORD102136</t>
  </si>
  <si>
    <t>CUST7876</t>
  </si>
  <si>
    <t>ORD102137</t>
  </si>
  <si>
    <t>CUST8317</t>
  </si>
  <si>
    <t>ORD102138</t>
  </si>
  <si>
    <t>CUST4119</t>
  </si>
  <si>
    <t>ORD102139</t>
  </si>
  <si>
    <t>CUST9295</t>
  </si>
  <si>
    <t>ORD102140</t>
  </si>
  <si>
    <t>CUST2407</t>
  </si>
  <si>
    <t>ORD102141</t>
  </si>
  <si>
    <t>CUST9125</t>
  </si>
  <si>
    <t>ORD102142</t>
  </si>
  <si>
    <t>ORD102143</t>
  </si>
  <si>
    <t>CUST9589</t>
  </si>
  <si>
    <t>ORD102144</t>
  </si>
  <si>
    <t>CUST6792</t>
  </si>
  <si>
    <t>ORD102145</t>
  </si>
  <si>
    <t>CUST8710</t>
  </si>
  <si>
    <t>ORD102146</t>
  </si>
  <si>
    <t>CUST3752</t>
  </si>
  <si>
    <t>ORD102147</t>
  </si>
  <si>
    <t>CUST9595</t>
  </si>
  <si>
    <t>ORD102148</t>
  </si>
  <si>
    <t>CUST1278</t>
  </si>
  <si>
    <t>ORD102149</t>
  </si>
  <si>
    <t>CUST7539</t>
  </si>
  <si>
    <t>ORD102150</t>
  </si>
  <si>
    <t>CUST3058</t>
  </si>
  <si>
    <t>ORD102151</t>
  </si>
  <si>
    <t>ORD102152</t>
  </si>
  <si>
    <t>ORD102153</t>
  </si>
  <si>
    <t>CUST9147</t>
  </si>
  <si>
    <t>ORD102154</t>
  </si>
  <si>
    <t>CUST6518</t>
  </si>
  <si>
    <t>ORD102155</t>
  </si>
  <si>
    <t>CUST7067</t>
  </si>
  <si>
    <t>ORD102156</t>
  </si>
  <si>
    <t>CUST5315</t>
  </si>
  <si>
    <t>ORD102157</t>
  </si>
  <si>
    <t>ORD102158</t>
  </si>
  <si>
    <t>ORD102159</t>
  </si>
  <si>
    <t>CUST5808</t>
  </si>
  <si>
    <t>ORD102160</t>
  </si>
  <si>
    <t>CUST9977</t>
  </si>
  <si>
    <t>ORD102161</t>
  </si>
  <si>
    <t>ORD102162</t>
  </si>
  <si>
    <t>CUST4914</t>
  </si>
  <si>
    <t>ORD102163</t>
  </si>
  <si>
    <t>CUST6911</t>
  </si>
  <si>
    <t>ORD102164</t>
  </si>
  <si>
    <t>ORD102165</t>
  </si>
  <si>
    <t>CUST8173</t>
  </si>
  <si>
    <t>ORD102166</t>
  </si>
  <si>
    <t>CUST9076</t>
  </si>
  <si>
    <t>ORD102167</t>
  </si>
  <si>
    <t>ORD102168</t>
  </si>
  <si>
    <t>CUST7721</t>
  </si>
  <si>
    <t>ORD102169</t>
  </si>
  <si>
    <t>ORD102170</t>
  </si>
  <si>
    <t>CUST3689</t>
  </si>
  <si>
    <t>ORD102171</t>
  </si>
  <si>
    <t>ORD102172</t>
  </si>
  <si>
    <t>CUST2248</t>
  </si>
  <si>
    <t>ORD102173</t>
  </si>
  <si>
    <t>CUST1642</t>
  </si>
  <si>
    <t>ORD102174</t>
  </si>
  <si>
    <t>CUST9095</t>
  </si>
  <si>
    <t>ORD102175</t>
  </si>
  <si>
    <t>CUST2695</t>
  </si>
  <si>
    <t>ORD102176</t>
  </si>
  <si>
    <t>CUST6410</t>
  </si>
  <si>
    <t>ORD102177</t>
  </si>
  <si>
    <t>CUST2899</t>
  </si>
  <si>
    <t>ORD102178</t>
  </si>
  <si>
    <t>CUST9483</t>
  </si>
  <si>
    <t>ORD102179</t>
  </si>
  <si>
    <t>CUST8346</t>
  </si>
  <si>
    <t>ORD102180</t>
  </si>
  <si>
    <t>CUST2305</t>
  </si>
  <si>
    <t>ORD102181</t>
  </si>
  <si>
    <t>CUST7065</t>
  </si>
  <si>
    <t>ORD102182</t>
  </si>
  <si>
    <t>CUST2286</t>
  </si>
  <si>
    <t>ORD102183</t>
  </si>
  <si>
    <t>CUST7556</t>
  </si>
  <si>
    <t>ORD102184</t>
  </si>
  <si>
    <t>ORD102185</t>
  </si>
  <si>
    <t>CUST8406</t>
  </si>
  <si>
    <t>ORD102186</t>
  </si>
  <si>
    <t>CUST7735</t>
  </si>
  <si>
    <t>ORD102187</t>
  </si>
  <si>
    <t>CUST2036</t>
  </si>
  <si>
    <t>ORD102188</t>
  </si>
  <si>
    <t>ORD102189</t>
  </si>
  <si>
    <t>CUST7937</t>
  </si>
  <si>
    <t>ORD102190</t>
  </si>
  <si>
    <t>ORD102191</t>
  </si>
  <si>
    <t>CUST1105</t>
  </si>
  <si>
    <t>ORD102192</t>
  </si>
  <si>
    <t>CUST5768</t>
  </si>
  <si>
    <t>ORD102193</t>
  </si>
  <si>
    <t>ORD102194</t>
  </si>
  <si>
    <t>CUST6389</t>
  </si>
  <si>
    <t>ORD102195</t>
  </si>
  <si>
    <t>CUST4183</t>
  </si>
  <si>
    <t>ORD102196</t>
  </si>
  <si>
    <t>ORD102197</t>
  </si>
  <si>
    <t>CUST6709</t>
  </si>
  <si>
    <t>ORD102198</t>
  </si>
  <si>
    <t>CUST4161</t>
  </si>
  <si>
    <t>ORD102199</t>
  </si>
  <si>
    <t>ORD102200</t>
  </si>
  <si>
    <t>CUST8218</t>
  </si>
  <si>
    <t>ORD102201</t>
  </si>
  <si>
    <t>CUST9636</t>
  </si>
  <si>
    <t>ORD102202</t>
  </si>
  <si>
    <t>CUST3908</t>
  </si>
  <si>
    <t>ORD102203</t>
  </si>
  <si>
    <t>CUST7751</t>
  </si>
  <si>
    <t>ORD102204</t>
  </si>
  <si>
    <t>CUST4531</t>
  </si>
  <si>
    <t>ORD102205</t>
  </si>
  <si>
    <t>ORD102206</t>
  </si>
  <si>
    <t>CUST9047</t>
  </si>
  <si>
    <t>ORD102207</t>
  </si>
  <si>
    <t>CUST2470</t>
  </si>
  <si>
    <t>ORD102208</t>
  </si>
  <si>
    <t>CUST5025</t>
  </si>
  <si>
    <t>ORD102209</t>
  </si>
  <si>
    <t>CUST7147</t>
  </si>
  <si>
    <t>ORD102210</t>
  </si>
  <si>
    <t>CUST2169</t>
  </si>
  <si>
    <t>ORD102211</t>
  </si>
  <si>
    <t>CUST6417</t>
  </si>
  <si>
    <t>ORD102212</t>
  </si>
  <si>
    <t>ORD102213</t>
  </si>
  <si>
    <t>CUST4231</t>
  </si>
  <si>
    <t>ORD102214</t>
  </si>
  <si>
    <t>CUST8822</t>
  </si>
  <si>
    <t>ORD102215</t>
  </si>
  <si>
    <t>ORD102216</t>
  </si>
  <si>
    <t>CUST7689</t>
  </si>
  <si>
    <t>ORD102217</t>
  </si>
  <si>
    <t>ORD102218</t>
  </si>
  <si>
    <t>ORD102219</t>
  </si>
  <si>
    <t>CUST6653</t>
  </si>
  <si>
    <t>ORD102220</t>
  </si>
  <si>
    <t>CUST8315</t>
  </si>
  <si>
    <t>ORD102221</t>
  </si>
  <si>
    <t>CUST2765</t>
  </si>
  <si>
    <t>ORD102222</t>
  </si>
  <si>
    <t>CUST8190</t>
  </si>
  <si>
    <t>ORD102223</t>
  </si>
  <si>
    <t>CUST4152</t>
  </si>
  <si>
    <t>ORD102224</t>
  </si>
  <si>
    <t>CUST2413</t>
  </si>
  <si>
    <t>ORD102225</t>
  </si>
  <si>
    <t>CUST2738</t>
  </si>
  <si>
    <t>ORD102226</t>
  </si>
  <si>
    <t>CUST9253</t>
  </si>
  <si>
    <t>ORD102227</t>
  </si>
  <si>
    <t>ORD102228</t>
  </si>
  <si>
    <t>CUST3069</t>
  </si>
  <si>
    <t>ORD102229</t>
  </si>
  <si>
    <t>CUST5991</t>
  </si>
  <si>
    <t>ORD102230</t>
  </si>
  <si>
    <t>CUST9591</t>
  </si>
  <si>
    <t>ORD102231</t>
  </si>
  <si>
    <t>ORD102232</t>
  </si>
  <si>
    <t>CUST6262</t>
  </si>
  <si>
    <t>ORD102233</t>
  </si>
  <si>
    <t>CUST7479</t>
  </si>
  <si>
    <t>ORD102234</t>
  </si>
  <si>
    <t>CUST3523</t>
  </si>
  <si>
    <t>ORD102235</t>
  </si>
  <si>
    <t>CUST9843</t>
  </si>
  <si>
    <t>ORD102236</t>
  </si>
  <si>
    <t>ORD102237</t>
  </si>
  <si>
    <t>CUST7798</t>
  </si>
  <si>
    <t>ORD102238</t>
  </si>
  <si>
    <t>CUST8847</t>
  </si>
  <si>
    <t>ORD102239</t>
  </si>
  <si>
    <t>CUST1662</t>
  </si>
  <si>
    <t>ORD102240</t>
  </si>
  <si>
    <t>CUST1757</t>
  </si>
  <si>
    <t>ORD102241</t>
  </si>
  <si>
    <t>CUST9186</t>
  </si>
  <si>
    <t>ORD102242</t>
  </si>
  <si>
    <t>ORD102243</t>
  </si>
  <si>
    <t>ORD102244</t>
  </si>
  <si>
    <t>CUST7579</t>
  </si>
  <si>
    <t>ORD102245</t>
  </si>
  <si>
    <t>CUST5632</t>
  </si>
  <si>
    <t>ORD102246</t>
  </si>
  <si>
    <t>ORD102247</t>
  </si>
  <si>
    <t>CUST2731</t>
  </si>
  <si>
    <t>ORD102248</t>
  </si>
  <si>
    <t>CUST1189</t>
  </si>
  <si>
    <t>ORD102249</t>
  </si>
  <si>
    <t>CUST8876</t>
  </si>
  <si>
    <t>ORD102250</t>
  </si>
  <si>
    <t>ORD102251</t>
  </si>
  <si>
    <t>CUST7446</t>
  </si>
  <si>
    <t>ORD102252</t>
  </si>
  <si>
    <t>CUST1254</t>
  </si>
  <si>
    <t>ORD102253</t>
  </si>
  <si>
    <t>CUST5523</t>
  </si>
  <si>
    <t>ORD102254</t>
  </si>
  <si>
    <t>CUST2034</t>
  </si>
  <si>
    <t>ORD102255</t>
  </si>
  <si>
    <t>CUST8120</t>
  </si>
  <si>
    <t>ORD102256</t>
  </si>
  <si>
    <t>CUST9603</t>
  </si>
  <si>
    <t>ORD102257</t>
  </si>
  <si>
    <t>CUST1337</t>
  </si>
  <si>
    <t>ORD102258</t>
  </si>
  <si>
    <t>CUST9748</t>
  </si>
  <si>
    <t>ORD102259</t>
  </si>
  <si>
    <t>CUST6466</t>
  </si>
  <si>
    <t>ORD102260</t>
  </si>
  <si>
    <t>CUST6156</t>
  </si>
  <si>
    <t>ORD102261</t>
  </si>
  <si>
    <t>ORD102262</t>
  </si>
  <si>
    <t>CUST9503</t>
  </si>
  <si>
    <t>ORD102263</t>
  </si>
  <si>
    <t>CUST4766</t>
  </si>
  <si>
    <t>ORD102264</t>
  </si>
  <si>
    <t>CUST4308</t>
  </si>
  <si>
    <t>ORD102265</t>
  </si>
  <si>
    <t>ORD102266</t>
  </si>
  <si>
    <t>CUST2569</t>
  </si>
  <si>
    <t>ORD102267</t>
  </si>
  <si>
    <t>ORD102268</t>
  </si>
  <si>
    <t>CUST6012</t>
  </si>
  <si>
    <t>ORD102269</t>
  </si>
  <si>
    <t>CUST2940</t>
  </si>
  <si>
    <t>ORD102270</t>
  </si>
  <si>
    <t>CUST9730</t>
  </si>
  <si>
    <t>ORD102271</t>
  </si>
  <si>
    <t>CUST1942</t>
  </si>
  <si>
    <t>ORD102272</t>
  </si>
  <si>
    <t>CUST6188</t>
  </si>
  <si>
    <t>ORD102273</t>
  </si>
  <si>
    <t>CUST7530</t>
  </si>
  <si>
    <t>ORD102274</t>
  </si>
  <si>
    <t>CUST6344</t>
  </si>
  <si>
    <t>ORD102275</t>
  </si>
  <si>
    <t>CUST1875</t>
  </si>
  <si>
    <t>ORD102276</t>
  </si>
  <si>
    <t>CUST6677</t>
  </si>
  <si>
    <t>ORD102277</t>
  </si>
  <si>
    <t>ORD102278</t>
  </si>
  <si>
    <t>CUST7038</t>
  </si>
  <si>
    <t>ORD102279</t>
  </si>
  <si>
    <t>CUST3645</t>
  </si>
  <si>
    <t>ORD102280</t>
  </si>
  <si>
    <t>CUST7470</t>
  </si>
  <si>
    <t>ORD102281</t>
  </si>
  <si>
    <t>ORD102282</t>
  </si>
  <si>
    <t>ORD102283</t>
  </si>
  <si>
    <t>CUST1611</t>
  </si>
  <si>
    <t>ORD102284</t>
  </si>
  <si>
    <t>CUST1582</t>
  </si>
  <si>
    <t>ORD102285</t>
  </si>
  <si>
    <t>CUST4430</t>
  </si>
  <si>
    <t>ORD102286</t>
  </si>
  <si>
    <t>ORD102287</t>
  </si>
  <si>
    <t>CUST6608</t>
  </si>
  <si>
    <t>ORD102288</t>
  </si>
  <si>
    <t>CUST5005</t>
  </si>
  <si>
    <t>ORD102289</t>
  </si>
  <si>
    <t>CUST4617</t>
  </si>
  <si>
    <t>ORD102290</t>
  </si>
  <si>
    <t>CUST1844</t>
  </si>
  <si>
    <t>ORD102291</t>
  </si>
  <si>
    <t>CUST8584</t>
  </si>
  <si>
    <t>ORD102292</t>
  </si>
  <si>
    <t>CUST6005</t>
  </si>
  <si>
    <t>ORD102293</t>
  </si>
  <si>
    <t>ORD102294</t>
  </si>
  <si>
    <t>CUST8804</t>
  </si>
  <si>
    <t>ORD102295</t>
  </si>
  <si>
    <t>CUST9491</t>
  </si>
  <si>
    <t>ORD102296</t>
  </si>
  <si>
    <t>CUST1269</t>
  </si>
  <si>
    <t>ORD102297</t>
  </si>
  <si>
    <t>CUST3853</t>
  </si>
  <si>
    <t>ORD102298</t>
  </si>
  <si>
    <t>CUST8742</t>
  </si>
  <si>
    <t>ORD102299</t>
  </si>
  <si>
    <t>CUST9463</t>
  </si>
  <si>
    <t>ORD102300</t>
  </si>
  <si>
    <t>ORD102301</t>
  </si>
  <si>
    <t>CUST7175</t>
  </si>
  <si>
    <t>ORD102302</t>
  </si>
  <si>
    <t>CUST7311</t>
  </si>
  <si>
    <t>ORD102303</t>
  </si>
  <si>
    <t>CUST3936</t>
  </si>
  <si>
    <t>ORD102304</t>
  </si>
  <si>
    <t>CUST3699</t>
  </si>
  <si>
    <t>ORD102305</t>
  </si>
  <si>
    <t>ORD102306</t>
  </si>
  <si>
    <t>CUST3430</t>
  </si>
  <si>
    <t>ORD102307</t>
  </si>
  <si>
    <t>CUST5545</t>
  </si>
  <si>
    <t>ORD102308</t>
  </si>
  <si>
    <t>CUST2817</t>
  </si>
  <si>
    <t>ORD102309</t>
  </si>
  <si>
    <t>CUST8941</t>
  </si>
  <si>
    <t>ORD102310</t>
  </si>
  <si>
    <t>CUST3125</t>
  </si>
  <si>
    <t>ORD102311</t>
  </si>
  <si>
    <t>ORD102312</t>
  </si>
  <si>
    <t>ORD102313</t>
  </si>
  <si>
    <t>CUST4504</t>
  </si>
  <si>
    <t>ORD102314</t>
  </si>
  <si>
    <t>CUST8623</t>
  </si>
  <si>
    <t>ORD102315</t>
  </si>
  <si>
    <t>ORD102316</t>
  </si>
  <si>
    <t>CUST2489</t>
  </si>
  <si>
    <t>ORD102317</t>
  </si>
  <si>
    <t>ORD102318</t>
  </si>
  <si>
    <t>CUST2228</t>
  </si>
  <si>
    <t>ORD102319</t>
  </si>
  <si>
    <t>ORD102320</t>
  </si>
  <si>
    <t>ORD102321</t>
  </si>
  <si>
    <t>CUST5800</t>
  </si>
  <si>
    <t>ORD102322</t>
  </si>
  <si>
    <t>CUST5781</t>
  </si>
  <si>
    <t>ORD102323</t>
  </si>
  <si>
    <t>CUST4240</t>
  </si>
  <si>
    <t>ORD102324</t>
  </si>
  <si>
    <t>CUST7278</t>
  </si>
  <si>
    <t>ORD102325</t>
  </si>
  <si>
    <t>ORD102326</t>
  </si>
  <si>
    <t>CUST9698</t>
  </si>
  <si>
    <t>ORD102327</t>
  </si>
  <si>
    <t>CUST4998</t>
  </si>
  <si>
    <t>ORD102328</t>
  </si>
  <si>
    <t>CUST9335</t>
  </si>
  <si>
    <t>ORD102329</t>
  </si>
  <si>
    <t>CUST6871</t>
  </si>
  <si>
    <t>ORD102330</t>
  </si>
  <si>
    <t>CUST1341</t>
  </si>
  <si>
    <t>ORD102331</t>
  </si>
  <si>
    <t>ORD102332</t>
  </si>
  <si>
    <t>CUST6364</t>
  </si>
  <si>
    <t>ORD102333</t>
  </si>
  <si>
    <t>ORD102334</t>
  </si>
  <si>
    <t>CUST1136</t>
  </si>
  <si>
    <t>ORD102335</t>
  </si>
  <si>
    <t>CUST2476</t>
  </si>
  <si>
    <t>ORD102336</t>
  </si>
  <si>
    <t>ORD102337</t>
  </si>
  <si>
    <t>CUST5464</t>
  </si>
  <si>
    <t>ORD102338</t>
  </si>
  <si>
    <t>ORD102339</t>
  </si>
  <si>
    <t>CUST4769</t>
  </si>
  <si>
    <t>ORD102340</t>
  </si>
  <si>
    <t>CUST4906</t>
  </si>
  <si>
    <t>ORD102341</t>
  </si>
  <si>
    <t>CUST4359</t>
  </si>
  <si>
    <t>ORD102342</t>
  </si>
  <si>
    <t>CUST7772</t>
  </si>
  <si>
    <t>ORD102343</t>
  </si>
  <si>
    <t>CUST4011</t>
  </si>
  <si>
    <t>ORD102344</t>
  </si>
  <si>
    <t>CUST1489</t>
  </si>
  <si>
    <t>ORD102345</t>
  </si>
  <si>
    <t>CUST4301</t>
  </si>
  <si>
    <t>ORD102346</t>
  </si>
  <si>
    <t>CUST3047</t>
  </si>
  <si>
    <t>ORD102347</t>
  </si>
  <si>
    <t>ORD102348</t>
  </si>
  <si>
    <t>ORD102349</t>
  </si>
  <si>
    <t>CUST7304</t>
  </si>
  <si>
    <t>ORD102350</t>
  </si>
  <si>
    <t>CUST8271</t>
  </si>
  <si>
    <t>ORD102351</t>
  </si>
  <si>
    <t>CUST6375</t>
  </si>
  <si>
    <t>ORD102352</t>
  </si>
  <si>
    <t>CUST5469</t>
  </si>
  <si>
    <t>ORD102353</t>
  </si>
  <si>
    <t>CUST9664</t>
  </si>
  <si>
    <t>ORD102354</t>
  </si>
  <si>
    <t>CUST7883</t>
  </si>
  <si>
    <t>ORD102355</t>
  </si>
  <si>
    <t>CUST7536</t>
  </si>
  <si>
    <t>ORD102356</t>
  </si>
  <si>
    <t>ORD102357</t>
  </si>
  <si>
    <t>CUST6903</t>
  </si>
  <si>
    <t>ORD102358</t>
  </si>
  <si>
    <t>CUST3488</t>
  </si>
  <si>
    <t>ORD102359</t>
  </si>
  <si>
    <t>CUST4881</t>
  </si>
  <si>
    <t>ORD102360</t>
  </si>
  <si>
    <t>ORD102361</t>
  </si>
  <si>
    <t>CUST4991</t>
  </si>
  <si>
    <t>ORD102362</t>
  </si>
  <si>
    <t>CUST7578</t>
  </si>
  <si>
    <t>ORD102363</t>
  </si>
  <si>
    <t>CUST2333</t>
  </si>
  <si>
    <t>ORD102364</t>
  </si>
  <si>
    <t>ORD102365</t>
  </si>
  <si>
    <t>CUST6917</t>
  </si>
  <si>
    <t>ORD102366</t>
  </si>
  <si>
    <t>CUST8594</t>
  </si>
  <si>
    <t>ORD102367</t>
  </si>
  <si>
    <t>CUST1525</t>
  </si>
  <si>
    <t>ORD102368</t>
  </si>
  <si>
    <t>ORD102369</t>
  </si>
  <si>
    <t>CUST2794</t>
  </si>
  <si>
    <t>ORD102370</t>
  </si>
  <si>
    <t>ORD102371</t>
  </si>
  <si>
    <t>CUST3144</t>
  </si>
  <si>
    <t>ORD102372</t>
  </si>
  <si>
    <t>CUST6480</t>
  </si>
  <si>
    <t>ORD102373</t>
  </si>
  <si>
    <t>CUST3991</t>
  </si>
  <si>
    <t>ORD102374</t>
  </si>
  <si>
    <t>CUST5350</t>
  </si>
  <si>
    <t>ORD102375</t>
  </si>
  <si>
    <t>CUST9340</t>
  </si>
  <si>
    <t>ORD102376</t>
  </si>
  <si>
    <t>CUST9976</t>
  </si>
  <si>
    <t>ORD102377</t>
  </si>
  <si>
    <t>CUST1273</t>
  </si>
  <si>
    <t>ORD102378</t>
  </si>
  <si>
    <t>CUST1270</t>
  </si>
  <si>
    <t>ORD102379</t>
  </si>
  <si>
    <t>ORD102380</t>
  </si>
  <si>
    <t>CUST1536</t>
  </si>
  <si>
    <t>ORD102381</t>
  </si>
  <si>
    <t>CUST3208</t>
  </si>
  <si>
    <t>ORD102382</t>
  </si>
  <si>
    <t>CUST6982</t>
  </si>
  <si>
    <t>ORD102383</t>
  </si>
  <si>
    <t>CUST6623</t>
  </si>
  <si>
    <t>ORD102384</t>
  </si>
  <si>
    <t>ORD102385</t>
  </si>
  <si>
    <t>CUST4087</t>
  </si>
  <si>
    <t>ORD102386</t>
  </si>
  <si>
    <t>ORD102387</t>
  </si>
  <si>
    <t>CUST4203</t>
  </si>
  <si>
    <t>ORD102388</t>
  </si>
  <si>
    <t>CUST7132</t>
  </si>
  <si>
    <t>ORD102389</t>
  </si>
  <si>
    <t>CUST9691</t>
  </si>
  <si>
    <t>ORD102390</t>
  </si>
  <si>
    <t>CUST3272</t>
  </si>
  <si>
    <t>ORD102391</t>
  </si>
  <si>
    <t>CUST1433</t>
  </si>
  <si>
    <t>ORD102392</t>
  </si>
  <si>
    <t>CUST2858</t>
  </si>
  <si>
    <t>ORD102393</t>
  </si>
  <si>
    <t>CUST8012</t>
  </si>
  <si>
    <t>ORD102394</t>
  </si>
  <si>
    <t>CUST4387</t>
  </si>
  <si>
    <t>ORD102395</t>
  </si>
  <si>
    <t>ORD102396</t>
  </si>
  <si>
    <t>CUST9157</t>
  </si>
  <si>
    <t>ORD102397</t>
  </si>
  <si>
    <t>CUST1182</t>
  </si>
  <si>
    <t>ORD102398</t>
  </si>
  <si>
    <t>CUST5115</t>
  </si>
  <si>
    <t>ORD102399</t>
  </si>
  <si>
    <t>CUST9279</t>
  </si>
  <si>
    <t>ORD102400</t>
  </si>
  <si>
    <t>CUST2342</t>
  </si>
  <si>
    <t>ORD102401</t>
  </si>
  <si>
    <t>ORD102402</t>
  </si>
  <si>
    <t>CUST5559</t>
  </si>
  <si>
    <t>ORD102403</t>
  </si>
  <si>
    <t>CUST8829</t>
  </si>
  <si>
    <t>ORD102404</t>
  </si>
  <si>
    <t>CUST2239</t>
  </si>
  <si>
    <t>ORD102405</t>
  </si>
  <si>
    <t>ORD102406</t>
  </si>
  <si>
    <t>CUST5421</t>
  </si>
  <si>
    <t>ORD102407</t>
  </si>
  <si>
    <t>CUST2685</t>
  </si>
  <si>
    <t>ORD102408</t>
  </si>
  <si>
    <t>ORD102409</t>
  </si>
  <si>
    <t>ORD102410</t>
  </si>
  <si>
    <t>CUST4922</t>
  </si>
  <si>
    <t>ORD102411</t>
  </si>
  <si>
    <t>CUST7809</t>
  </si>
  <si>
    <t>ORD102412</t>
  </si>
  <si>
    <t>CUST1799</t>
  </si>
  <si>
    <t>ORD102413</t>
  </si>
  <si>
    <t>CUST3750</t>
  </si>
  <si>
    <t>ORD102414</t>
  </si>
  <si>
    <t>CUST7986</t>
  </si>
  <si>
    <t>ORD102415</t>
  </si>
  <si>
    <t>CUST4975</t>
  </si>
  <si>
    <t>ORD102416</t>
  </si>
  <si>
    <t>CUST7762</t>
  </si>
  <si>
    <t>ORD102417</t>
  </si>
  <si>
    <t>CUST9425</t>
  </si>
  <si>
    <t>ORD102418</t>
  </si>
  <si>
    <t>CUST3269</t>
  </si>
  <si>
    <t>ORD102419</t>
  </si>
  <si>
    <t>CUST7664</t>
  </si>
  <si>
    <t>ORD102420</t>
  </si>
  <si>
    <t>CUST5618</t>
  </si>
  <si>
    <t>ORD102421</t>
  </si>
  <si>
    <t>CUST8825</t>
  </si>
  <si>
    <t>ORD102422</t>
  </si>
  <si>
    <t>ORD102423</t>
  </si>
  <si>
    <t>CUST9719</t>
  </si>
  <si>
    <t>ORD102424</t>
  </si>
  <si>
    <t>CUST2284</t>
  </si>
  <si>
    <t>ORD102425</t>
  </si>
  <si>
    <t>ORD102426</t>
  </si>
  <si>
    <t>ORD102427</t>
  </si>
  <si>
    <t>CUST4791</t>
  </si>
  <si>
    <t>ORD102428</t>
  </si>
  <si>
    <t>CUST2703</t>
  </si>
  <si>
    <t>ORD102429</t>
  </si>
  <si>
    <t>CUST6036</t>
  </si>
  <si>
    <t>ORD102430</t>
  </si>
  <si>
    <t>ORD102431</t>
  </si>
  <si>
    <t>CUST9941</t>
  </si>
  <si>
    <t>ORD102432</t>
  </si>
  <si>
    <t>CUST7842</t>
  </si>
  <si>
    <t>ORD102433</t>
  </si>
  <si>
    <t>CUST1137</t>
  </si>
  <si>
    <t>ORD102434</t>
  </si>
  <si>
    <t>ORD102435</t>
  </si>
  <si>
    <t>CUST9456</t>
  </si>
  <si>
    <t>ORD102436</t>
  </si>
  <si>
    <t>ORD102437</t>
  </si>
  <si>
    <t>CUST2166</t>
  </si>
  <si>
    <t>ORD102438</t>
  </si>
  <si>
    <t>ORD102439</t>
  </si>
  <si>
    <t>CUST3091</t>
  </si>
  <si>
    <t>ORD102440</t>
  </si>
  <si>
    <t>ORD102441</t>
  </si>
  <si>
    <t>ORD102442</t>
  </si>
  <si>
    <t>CUST6685</t>
  </si>
  <si>
    <t>ORD102443</t>
  </si>
  <si>
    <t>CUST5337</t>
  </si>
  <si>
    <t>ORD102444</t>
  </si>
  <si>
    <t>CUST9657</t>
  </si>
  <si>
    <t>ORD102445</t>
  </si>
  <si>
    <t>CUST7957</t>
  </si>
  <si>
    <t>ORD102446</t>
  </si>
  <si>
    <t>CUST9851</t>
  </si>
  <si>
    <t>ORD102447</t>
  </si>
  <si>
    <t>CUST5095</t>
  </si>
  <si>
    <t>ORD102448</t>
  </si>
  <si>
    <t>ORD102449</t>
  </si>
  <si>
    <t>CUST7294</t>
  </si>
  <si>
    <t>ORD102450</t>
  </si>
  <si>
    <t>CUST3173</t>
  </si>
  <si>
    <t>ORD102451</t>
  </si>
  <si>
    <t>ORD102452</t>
  </si>
  <si>
    <t>ORD102453</t>
  </si>
  <si>
    <t>CUST6498</t>
  </si>
  <si>
    <t>ORD102454</t>
  </si>
  <si>
    <t>CUST9182</t>
  </si>
  <si>
    <t>ORD102455</t>
  </si>
  <si>
    <t>CUST8481</t>
  </si>
  <si>
    <t>ORD102456</t>
  </si>
  <si>
    <t>CUST9565</t>
  </si>
  <si>
    <t>ORD102457</t>
  </si>
  <si>
    <t>CUST7040</t>
  </si>
  <si>
    <t>ORD102458</t>
  </si>
  <si>
    <t>CUST3804</t>
  </si>
  <si>
    <t>ORD102459</t>
  </si>
  <si>
    <t>ORD102460</t>
  </si>
  <si>
    <t>ORD102461</t>
  </si>
  <si>
    <t>CUST9936</t>
  </si>
  <si>
    <t>ORD102462</t>
  </si>
  <si>
    <t>ORD102463</t>
  </si>
  <si>
    <t>ORD102464</t>
  </si>
  <si>
    <t>CUST1140</t>
  </si>
  <si>
    <t>ORD102465</t>
  </si>
  <si>
    <t>ORD102466</t>
  </si>
  <si>
    <t>ORD102467</t>
  </si>
  <si>
    <t>CUST4318</t>
  </si>
  <si>
    <t>ORD102468</t>
  </si>
  <si>
    <t>ORD102469</t>
  </si>
  <si>
    <t>CUST3218</t>
  </si>
  <si>
    <t>ORD102470</t>
  </si>
  <si>
    <t>CUST3286</t>
  </si>
  <si>
    <t>ORD102471</t>
  </si>
  <si>
    <t>CUST6708</t>
  </si>
  <si>
    <t>ORD102472</t>
  </si>
  <si>
    <t>CUST8886</t>
  </si>
  <si>
    <t>ORD102473</t>
  </si>
  <si>
    <t>CUST4014</t>
  </si>
  <si>
    <t>ORD102474</t>
  </si>
  <si>
    <t>CUST4279</t>
  </si>
  <si>
    <t>ORD102475</t>
  </si>
  <si>
    <t>CUST2182</t>
  </si>
  <si>
    <t>ORD102476</t>
  </si>
  <si>
    <t>CUST5865</t>
  </si>
  <si>
    <t>ORD102477</t>
  </si>
  <si>
    <t>CUST6165</t>
  </si>
  <si>
    <t>ORD102478</t>
  </si>
  <si>
    <t>CUST1325</t>
  </si>
  <si>
    <t>ORD102479</t>
  </si>
  <si>
    <t>CUST3943</t>
  </si>
  <si>
    <t>ORD102480</t>
  </si>
  <si>
    <t>CUST6854</t>
  </si>
  <si>
    <t>ORD102481</t>
  </si>
  <si>
    <t>CUST3848</t>
  </si>
  <si>
    <t>ORD102482</t>
  </si>
  <si>
    <t>CUST4441</t>
  </si>
  <si>
    <t>ORD102483</t>
  </si>
  <si>
    <t>CUST2439</t>
  </si>
  <si>
    <t>ORD102484</t>
  </si>
  <si>
    <t>CUST9314</t>
  </si>
  <si>
    <t>ORD102485</t>
  </si>
  <si>
    <t>CUST4779</t>
  </si>
  <si>
    <t>ORD102486</t>
  </si>
  <si>
    <t>CUST1335</t>
  </si>
  <si>
    <t>ORD102487</t>
  </si>
  <si>
    <t>CUST7367</t>
  </si>
  <si>
    <t>ORD102488</t>
  </si>
  <si>
    <t>CUST8096</t>
  </si>
  <si>
    <t>ORD102489</t>
  </si>
  <si>
    <t>CUST2163</t>
  </si>
  <si>
    <t>ORD102490</t>
  </si>
  <si>
    <t>CUST3491</t>
  </si>
  <si>
    <t>ORD102491</t>
  </si>
  <si>
    <t>CUST3291</t>
  </si>
  <si>
    <t>ORD102492</t>
  </si>
  <si>
    <t>ORD102493</t>
  </si>
  <si>
    <t>CUST4043</t>
  </si>
  <si>
    <t>ORD102494</t>
  </si>
  <si>
    <t>ORD102495</t>
  </si>
  <si>
    <t>ORD102496</t>
  </si>
  <si>
    <t>CUST6092</t>
  </si>
  <si>
    <t>ORD102497</t>
  </si>
  <si>
    <t>CUST4431</t>
  </si>
  <si>
    <t>ORD102498</t>
  </si>
  <si>
    <t>CUST9914</t>
  </si>
  <si>
    <t>ORD102499</t>
  </si>
  <si>
    <t>CUST8041</t>
  </si>
  <si>
    <t>ORD102500</t>
  </si>
  <si>
    <t>CUST1719</t>
  </si>
  <si>
    <t>ORD102501</t>
  </si>
  <si>
    <t>CUST3288</t>
  </si>
  <si>
    <t>ORD102502</t>
  </si>
  <si>
    <t>CUST9325</t>
  </si>
  <si>
    <t>ORD102503</t>
  </si>
  <si>
    <t>CUST7878</t>
  </si>
  <si>
    <t>ORD102504</t>
  </si>
  <si>
    <t>CUST2417</t>
  </si>
  <si>
    <t>ORD102505</t>
  </si>
  <si>
    <t>CUST5410</t>
  </si>
  <si>
    <t>ORD102506</t>
  </si>
  <si>
    <t>ORD102507</t>
  </si>
  <si>
    <t>CUST3496</t>
  </si>
  <si>
    <t>ORD102508</t>
  </si>
  <si>
    <t>CUST6669</t>
  </si>
  <si>
    <t>ORD102509</t>
  </si>
  <si>
    <t>ORD102510</t>
  </si>
  <si>
    <t>CUST4288</t>
  </si>
  <si>
    <t>ORD102511</t>
  </si>
  <si>
    <t>CUST2838</t>
  </si>
  <si>
    <t>ORD102512</t>
  </si>
  <si>
    <t>CUST8576</t>
  </si>
  <si>
    <t>ORD102513</t>
  </si>
  <si>
    <t>CUST4691</t>
  </si>
  <si>
    <t>ORD102514</t>
  </si>
  <si>
    <t>ORD102515</t>
  </si>
  <si>
    <t>ORD102516</t>
  </si>
  <si>
    <t>CUST4351</t>
  </si>
  <si>
    <t>ORD102517</t>
  </si>
  <si>
    <t>CUST7380</t>
  </si>
  <si>
    <t>ORD102518</t>
  </si>
  <si>
    <t>ORD102519</t>
  </si>
  <si>
    <t>CUST5041</t>
  </si>
  <si>
    <t>ORD102520</t>
  </si>
  <si>
    <t>ORD102521</t>
  </si>
  <si>
    <t>CUST4846</t>
  </si>
  <si>
    <t>ORD102522</t>
  </si>
  <si>
    <t>CUST6725</t>
  </si>
  <si>
    <t>ORD102523</t>
  </si>
  <si>
    <t>CUST9065</t>
  </si>
  <si>
    <t>ORD102524</t>
  </si>
  <si>
    <t>CUST7983</t>
  </si>
  <si>
    <t>ORD102525</t>
  </si>
  <si>
    <t>ORD102526</t>
  </si>
  <si>
    <t>CUST6945</t>
  </si>
  <si>
    <t>ORD102527</t>
  </si>
  <si>
    <t>CUST1639</t>
  </si>
  <si>
    <t>ORD102528</t>
  </si>
  <si>
    <t>CUST4501</t>
  </si>
  <si>
    <t>ORD102529</t>
  </si>
  <si>
    <t>CUST1304</t>
  </si>
  <si>
    <t>ORD102530</t>
  </si>
  <si>
    <t>CUST1502</t>
  </si>
  <si>
    <t>ORD102531</t>
  </si>
  <si>
    <t>CUST4347</t>
  </si>
  <si>
    <t>ORD102532</t>
  </si>
  <si>
    <t>ORD102533</t>
  </si>
  <si>
    <t>CUST3756</t>
  </si>
  <si>
    <t>ORD102534</t>
  </si>
  <si>
    <t>CUST4422</t>
  </si>
  <si>
    <t>ORD102535</t>
  </si>
  <si>
    <t>CUST4453</t>
  </si>
  <si>
    <t>ORD102536</t>
  </si>
  <si>
    <t>CUST9239</t>
  </si>
  <si>
    <t>ORD102537</t>
  </si>
  <si>
    <t>CUST8426</t>
  </si>
  <si>
    <t>ORD102538</t>
  </si>
  <si>
    <t>ORD102539</t>
  </si>
  <si>
    <t>CUST2332</t>
  </si>
  <si>
    <t>ORD102540</t>
  </si>
  <si>
    <t>CUST1247</t>
  </si>
  <si>
    <t>ORD102541</t>
  </si>
  <si>
    <t>ORD102542</t>
  </si>
  <si>
    <t>ORD102543</t>
  </si>
  <si>
    <t>CUST7330</t>
  </si>
  <si>
    <t>ORD102544</t>
  </si>
  <si>
    <t>CUST1645</t>
  </si>
  <si>
    <t>ORD102545</t>
  </si>
  <si>
    <t>CUST3468</t>
  </si>
  <si>
    <t>ORD102546</t>
  </si>
  <si>
    <t>CUST4299</t>
  </si>
  <si>
    <t>ORD102547</t>
  </si>
  <si>
    <t>ORD102548</t>
  </si>
  <si>
    <t>ORD102549</t>
  </si>
  <si>
    <t>CUST9566</t>
  </si>
  <si>
    <t>ORD102550</t>
  </si>
  <si>
    <t>CUST9788</t>
  </si>
  <si>
    <t>ORD102551</t>
  </si>
  <si>
    <t>CUST2204</t>
  </si>
  <si>
    <t>ORD102552</t>
  </si>
  <si>
    <t>CUST2162</t>
  </si>
  <si>
    <t>ORD102553</t>
  </si>
  <si>
    <t>CUST8222</t>
  </si>
  <si>
    <t>ORD102554</t>
  </si>
  <si>
    <t>CUST6955</t>
  </si>
  <si>
    <t>ORD102555</t>
  </si>
  <si>
    <t>ORD102556</t>
  </si>
  <si>
    <t>CUST9543</t>
  </si>
  <si>
    <t>ORD102557</t>
  </si>
  <si>
    <t>CUST4216</t>
  </si>
  <si>
    <t>ORD102558</t>
  </si>
  <si>
    <t>ORD102559</t>
  </si>
  <si>
    <t>CUST4408</t>
  </si>
  <si>
    <t>ORD102560</t>
  </si>
  <si>
    <t>CUST2855</t>
  </si>
  <si>
    <t>ORD102561</t>
  </si>
  <si>
    <t>ORD102562</t>
  </si>
  <si>
    <t>ORD102563</t>
  </si>
  <si>
    <t>ORD102564</t>
  </si>
  <si>
    <t>ORD102565</t>
  </si>
  <si>
    <t>CUST7755</t>
  </si>
  <si>
    <t>ORD102566</t>
  </si>
  <si>
    <t>ORD102567</t>
  </si>
  <si>
    <t>ORD102568</t>
  </si>
  <si>
    <t>ORD102569</t>
  </si>
  <si>
    <t>CUST7841</t>
  </si>
  <si>
    <t>ORD102570</t>
  </si>
  <si>
    <t>CUST6390</t>
  </si>
  <si>
    <t>ORD102571</t>
  </si>
  <si>
    <t>CUST4952</t>
  </si>
  <si>
    <t>ORD102572</t>
  </si>
  <si>
    <t>CUST5136</t>
  </si>
  <si>
    <t>ORD102573</t>
  </si>
  <si>
    <t>CUST3543</t>
  </si>
  <si>
    <t>ORD102574</t>
  </si>
  <si>
    <t>CUST4893</t>
  </si>
  <si>
    <t>ORD102575</t>
  </si>
  <si>
    <t>CUST9635</t>
  </si>
  <si>
    <t>ORD102576</t>
  </si>
  <si>
    <t>CUST5476</t>
  </si>
  <si>
    <t>ORD102577</t>
  </si>
  <si>
    <t>CUST5162</t>
  </si>
  <si>
    <t>ORD102578</t>
  </si>
  <si>
    <t>CUST6143</t>
  </si>
  <si>
    <t>ORD102579</t>
  </si>
  <si>
    <t>CUST9089</t>
  </si>
  <si>
    <t>ORD102580</t>
  </si>
  <si>
    <t>ORD102581</t>
  </si>
  <si>
    <t>CUST3341</t>
  </si>
  <si>
    <t>ORD102582</t>
  </si>
  <si>
    <t>CUST7022</t>
  </si>
  <si>
    <t>ORD102583</t>
  </si>
  <si>
    <t>CUST8247</t>
  </si>
  <si>
    <t>ORD102584</t>
  </si>
  <si>
    <t>CUST9786</t>
  </si>
  <si>
    <t>ORD102585</t>
  </si>
  <si>
    <t>CUST8448</t>
  </si>
  <si>
    <t>ORD102586</t>
  </si>
  <si>
    <t>CUST1850</t>
  </si>
  <si>
    <t>ORD102587</t>
  </si>
  <si>
    <t>CUST8451</t>
  </si>
  <si>
    <t>ORD102588</t>
  </si>
  <si>
    <t>CUST8720</t>
  </si>
  <si>
    <t>ORD102589</t>
  </si>
  <si>
    <t>CUST5546</t>
  </si>
  <si>
    <t>ORD102590</t>
  </si>
  <si>
    <t>ORD102591</t>
  </si>
  <si>
    <t>ORD102592</t>
  </si>
  <si>
    <t>CUST7667</t>
  </si>
  <si>
    <t>ORD102593</t>
  </si>
  <si>
    <t>CUST1725</t>
  </si>
  <si>
    <t>ORD102594</t>
  </si>
  <si>
    <t>ORD102595</t>
  </si>
  <si>
    <t>CUST6383</t>
  </si>
  <si>
    <t>ORD102596</t>
  </si>
  <si>
    <t>ORD102597</t>
  </si>
  <si>
    <t>CUST4695</t>
  </si>
  <si>
    <t>ORD102598</t>
  </si>
  <si>
    <t>CUST1722</t>
  </si>
  <si>
    <t>ORD102599</t>
  </si>
  <si>
    <t>CUST2556</t>
  </si>
  <si>
    <t>ORD102600</t>
  </si>
  <si>
    <t>ORD102601</t>
  </si>
  <si>
    <t>ORD102602</t>
  </si>
  <si>
    <t>CUST8035</t>
  </si>
  <si>
    <t>ORD102603</t>
  </si>
  <si>
    <t>CUST1818</t>
  </si>
  <si>
    <t>ORD102604</t>
  </si>
  <si>
    <t>ORD102605</t>
  </si>
  <si>
    <t>CUST9935</t>
  </si>
  <si>
    <t>ORD102606</t>
  </si>
  <si>
    <t>CUST7902</t>
  </si>
  <si>
    <t>ORD102607</t>
  </si>
  <si>
    <t>ORD102608</t>
  </si>
  <si>
    <t>CUST9116</t>
  </si>
  <si>
    <t>ORD102609</t>
  </si>
  <si>
    <t>CUST1498</t>
  </si>
  <si>
    <t>ORD102610</t>
  </si>
  <si>
    <t>ORD102611</t>
  </si>
  <si>
    <t>ORD102612</t>
  </si>
  <si>
    <t>CUST6617</t>
  </si>
  <si>
    <t>ORD102613</t>
  </si>
  <si>
    <t>ORD102614</t>
  </si>
  <si>
    <t>ORD102615</t>
  </si>
  <si>
    <t>CUST8984</t>
  </si>
  <si>
    <t>ORD102616</t>
  </si>
  <si>
    <t>CUST7827</t>
  </si>
  <si>
    <t>ORD102617</t>
  </si>
  <si>
    <t>CUST9109</t>
  </si>
  <si>
    <t>ORD102618</t>
  </si>
  <si>
    <t>CUST9707</t>
  </si>
  <si>
    <t>ORD102619</t>
  </si>
  <si>
    <t>ORD102620</t>
  </si>
  <si>
    <t>CUST6115</t>
  </si>
  <si>
    <t>ORD102621</t>
  </si>
  <si>
    <t>CUST5200</t>
  </si>
  <si>
    <t>ORD102622</t>
  </si>
  <si>
    <t>ORD102623</t>
  </si>
  <si>
    <t>ORD102624</t>
  </si>
  <si>
    <t>CUST3808</t>
  </si>
  <si>
    <t>ORD102625</t>
  </si>
  <si>
    <t>CUST2096</t>
  </si>
  <si>
    <t>ORD102626</t>
  </si>
  <si>
    <t>ORD102627</t>
  </si>
  <si>
    <t>CUST6752</t>
  </si>
  <si>
    <t>ORD102628</t>
  </si>
  <si>
    <t>CUST1930</t>
  </si>
  <si>
    <t>ORD102629</t>
  </si>
  <si>
    <t>CUST8042</t>
  </si>
  <si>
    <t>ORD102630</t>
  </si>
  <si>
    <t>CUST5624</t>
  </si>
  <si>
    <t>ORD102631</t>
  </si>
  <si>
    <t>ORD102632</t>
  </si>
  <si>
    <t>CUST5818</t>
  </si>
  <si>
    <t>ORD102633</t>
  </si>
  <si>
    <t>ORD102634</t>
  </si>
  <si>
    <t>CUST7688</t>
  </si>
  <si>
    <t>ORD102635</t>
  </si>
  <si>
    <t>CUST6981</t>
  </si>
  <si>
    <t>ORD102636</t>
  </si>
  <si>
    <t>CUST8400</t>
  </si>
  <si>
    <t>ORD102637</t>
  </si>
  <si>
    <t>CUST6342</t>
  </si>
  <si>
    <t>ORD102638</t>
  </si>
  <si>
    <t>CUST9218</t>
  </si>
  <si>
    <t>ORD102639</t>
  </si>
  <si>
    <t>ORD102640</t>
  </si>
  <si>
    <t>CUST9529</t>
  </si>
  <si>
    <t>ORD102641</t>
  </si>
  <si>
    <t>CUST5270</t>
  </si>
  <si>
    <t>ORD102642</t>
  </si>
  <si>
    <t>CUST1227</t>
  </si>
  <si>
    <t>ORD102643</t>
  </si>
  <si>
    <t>ORD102644</t>
  </si>
  <si>
    <t>CUST9727</t>
  </si>
  <si>
    <t>ORD102645</t>
  </si>
  <si>
    <t>CUST2350</t>
  </si>
  <si>
    <t>ORD102646</t>
  </si>
  <si>
    <t>CUST8786</t>
  </si>
  <si>
    <t>ORD102647</t>
  </si>
  <si>
    <t>CUST3526</t>
  </si>
  <si>
    <t>ORD102648</t>
  </si>
  <si>
    <t>CUST5676</t>
  </si>
  <si>
    <t>ORD102649</t>
  </si>
  <si>
    <t>CUST6966</t>
  </si>
  <si>
    <t>ORD102650</t>
  </si>
  <si>
    <t>CUST2795</t>
  </si>
  <si>
    <t>ORD102651</t>
  </si>
  <si>
    <t>CUST8382</t>
  </si>
  <si>
    <t>ORD102652</t>
  </si>
  <si>
    <t>CUST3573</t>
  </si>
  <si>
    <t>ORD102653</t>
  </si>
  <si>
    <t>CUST9484</t>
  </si>
  <si>
    <t>ORD102654</t>
  </si>
  <si>
    <t>CUST9687</t>
  </si>
  <si>
    <t>ORD102655</t>
  </si>
  <si>
    <t>ORD102656</t>
  </si>
  <si>
    <t>ORD102657</t>
  </si>
  <si>
    <t>CUST4788</t>
  </si>
  <si>
    <t>ORD102658</t>
  </si>
  <si>
    <t>CUST1688</t>
  </si>
  <si>
    <t>ORD102659</t>
  </si>
  <si>
    <t>ORD102660</t>
  </si>
  <si>
    <t>CUST4086</t>
  </si>
  <si>
    <t>ORD102661</t>
  </si>
  <si>
    <t>CUST1533</t>
  </si>
  <si>
    <t>ORD102662</t>
  </si>
  <si>
    <t>ORD102663</t>
  </si>
  <si>
    <t>ORD102664</t>
  </si>
  <si>
    <t>ORD102665</t>
  </si>
  <si>
    <t>CUST7201</t>
  </si>
  <si>
    <t>ORD102666</t>
  </si>
  <si>
    <t>CUST6409</t>
  </si>
  <si>
    <t>ORD102667</t>
  </si>
  <si>
    <t>CUST4588</t>
  </si>
  <si>
    <t>ORD102668</t>
  </si>
  <si>
    <t>CUST3910</t>
  </si>
  <si>
    <t>ORD102669</t>
  </si>
  <si>
    <t>CUST2708</t>
  </si>
  <si>
    <t>ORD102670</t>
  </si>
  <si>
    <t>ORD102671</t>
  </si>
  <si>
    <t>ORD102672</t>
  </si>
  <si>
    <t>ORD102673</t>
  </si>
  <si>
    <t>CUST6442</t>
  </si>
  <si>
    <t>ORD102674</t>
  </si>
  <si>
    <t>CUST7133</t>
  </si>
  <si>
    <t>ORD102675</t>
  </si>
  <si>
    <t>ORD102676</t>
  </si>
  <si>
    <t>ORD102677</t>
  </si>
  <si>
    <t>CUST8989</t>
  </si>
  <si>
    <t>ORD102678</t>
  </si>
  <si>
    <t>CUST9536</t>
  </si>
  <si>
    <t>ORD102679</t>
  </si>
  <si>
    <t>CUST7069</t>
  </si>
  <si>
    <t>ORD102680</t>
  </si>
  <si>
    <t>CUST5794</t>
  </si>
  <si>
    <t>ORD102681</t>
  </si>
  <si>
    <t>CUST8922</t>
  </si>
  <si>
    <t>ORD102682</t>
  </si>
  <si>
    <t>CUST6591</t>
  </si>
  <si>
    <t>ORD102683</t>
  </si>
  <si>
    <t>CUST5477</t>
  </si>
  <si>
    <t>ORD102684</t>
  </si>
  <si>
    <t>ORD102685</t>
  </si>
  <si>
    <t>CUST5467</t>
  </si>
  <si>
    <t>ORD102686</t>
  </si>
  <si>
    <t>CUST6829</t>
  </si>
  <si>
    <t>ORD102687</t>
  </si>
  <si>
    <t>CUST9652</t>
  </si>
  <si>
    <t>ORD102688</t>
  </si>
  <si>
    <t>CUST8929</t>
  </si>
  <si>
    <t>ORD102689</t>
  </si>
  <si>
    <t>CUST2985</t>
  </si>
  <si>
    <t>ORD102690</t>
  </si>
  <si>
    <t>CUST5710</t>
  </si>
  <si>
    <t>ORD102691</t>
  </si>
  <si>
    <t>ORD102692</t>
  </si>
  <si>
    <t>CUST4205</t>
  </si>
  <si>
    <t>ORD102693</t>
  </si>
  <si>
    <t>CUST8689</t>
  </si>
  <si>
    <t>ORD102694</t>
  </si>
  <si>
    <t>CUST5625</t>
  </si>
  <si>
    <t>ORD102695</t>
  </si>
  <si>
    <t>ORD102696</t>
  </si>
  <si>
    <t>CUST6823</t>
  </si>
  <si>
    <t>ORD102697</t>
  </si>
  <si>
    <t>CUST7179</t>
  </si>
  <si>
    <t>ORD102698</t>
  </si>
  <si>
    <t>ORD102699</t>
  </si>
  <si>
    <t>ORD102700</t>
  </si>
  <si>
    <t>CUST4049</t>
  </si>
  <si>
    <t>ORD102701</t>
  </si>
  <si>
    <t>CUST5951</t>
  </si>
  <si>
    <t>ORD102702</t>
  </si>
  <si>
    <t>ORD102703</t>
  </si>
  <si>
    <t>CUST2009</t>
  </si>
  <si>
    <t>ORD102704</t>
  </si>
  <si>
    <t>ORD102705</t>
  </si>
  <si>
    <t>CUST4497</t>
  </si>
  <si>
    <t>ORD102706</t>
  </si>
  <si>
    <t>CUST5982</t>
  </si>
  <si>
    <t>ORD102707</t>
  </si>
  <si>
    <t>CUST1888</t>
  </si>
  <si>
    <t>ORD102708</t>
  </si>
  <si>
    <t>CUST9449</t>
  </si>
  <si>
    <t>ORD102709</t>
  </si>
  <si>
    <t>ORD102710</t>
  </si>
  <si>
    <t>ORD102711</t>
  </si>
  <si>
    <t>CUST2188</t>
  </si>
  <si>
    <t>ORD102712</t>
  </si>
  <si>
    <t>CUST5822</t>
  </si>
  <si>
    <t>ORD102713</t>
  </si>
  <si>
    <t>ORD102714</t>
  </si>
  <si>
    <t>CUST1852</t>
  </si>
  <si>
    <t>ORD102715</t>
  </si>
  <si>
    <t>ORD102716</t>
  </si>
  <si>
    <t>CUST1542</t>
  </si>
  <si>
    <t>ORD102717</t>
  </si>
  <si>
    <t>ORD102718</t>
  </si>
  <si>
    <t>ORD102719</t>
  </si>
  <si>
    <t>ORD102720</t>
  </si>
  <si>
    <t>CUST2555</t>
  </si>
  <si>
    <t>ORD102721</t>
  </si>
  <si>
    <t>CUST6935</t>
  </si>
  <si>
    <t>ORD102722</t>
  </si>
  <si>
    <t>CUST4899</t>
  </si>
  <si>
    <t>ORD102723</t>
  </si>
  <si>
    <t>CUST5550</t>
  </si>
  <si>
    <t>ORD102724</t>
  </si>
  <si>
    <t>CUST9297</t>
  </si>
  <si>
    <t>ORD102725</t>
  </si>
  <si>
    <t>CUST7929</t>
  </si>
  <si>
    <t>ORD102726</t>
  </si>
  <si>
    <t>CUST5696</t>
  </si>
  <si>
    <t>ORD102727</t>
  </si>
  <si>
    <t>CUST2854</t>
  </si>
  <si>
    <t>ORD102728</t>
  </si>
  <si>
    <t>CUST3262</t>
  </si>
  <si>
    <t>ORD102729</t>
  </si>
  <si>
    <t>ORD102730</t>
  </si>
  <si>
    <t>CUST3570</t>
  </si>
  <si>
    <t>ORD102731</t>
  </si>
  <si>
    <t>CUST9663</t>
  </si>
  <si>
    <t>ORD102732</t>
  </si>
  <si>
    <t>CUST5394</t>
  </si>
  <si>
    <t>ORD102733</t>
  </si>
  <si>
    <t>CUST9421</t>
  </si>
  <si>
    <t>ORD102734</t>
  </si>
  <si>
    <t>ORD102735</t>
  </si>
  <si>
    <t>CUST5786</t>
  </si>
  <si>
    <t>ORD102736</t>
  </si>
  <si>
    <t>CUST4897</t>
  </si>
  <si>
    <t>ORD102737</t>
  </si>
  <si>
    <t>CUST3916</t>
  </si>
  <si>
    <t>ORD102738</t>
  </si>
  <si>
    <t>CUST2839</t>
  </si>
  <si>
    <t>ORD102739</t>
  </si>
  <si>
    <t>CUST8295</t>
  </si>
  <si>
    <t>ORD102740</t>
  </si>
  <si>
    <t>CUST9042</t>
  </si>
  <si>
    <t>ORD102741</t>
  </si>
  <si>
    <t>ORD102742</t>
  </si>
  <si>
    <t>CUST6679</t>
  </si>
  <si>
    <t>ORD102743</t>
  </si>
  <si>
    <t>ORD102744</t>
  </si>
  <si>
    <t>ORD102745</t>
  </si>
  <si>
    <t>CUST7618</t>
  </si>
  <si>
    <t>ORD102746</t>
  </si>
  <si>
    <t>ORD102747</t>
  </si>
  <si>
    <t>CUST8507</t>
  </si>
  <si>
    <t>ORD102748</t>
  </si>
  <si>
    <t>CUST7795</t>
  </si>
  <si>
    <t>ORD102749</t>
  </si>
  <si>
    <t>ORD102750</t>
  </si>
  <si>
    <t>CUST6236</t>
  </si>
  <si>
    <t>ORD102751</t>
  </si>
  <si>
    <t>CUST9558</t>
  </si>
  <si>
    <t>ORD102752</t>
  </si>
  <si>
    <t>CUST7776</t>
  </si>
  <si>
    <t>ORD102753</t>
  </si>
  <si>
    <t>CUST8923</t>
  </si>
  <si>
    <t>ORD102754</t>
  </si>
  <si>
    <t>CUST2109</t>
  </si>
  <si>
    <t>ORD102755</t>
  </si>
  <si>
    <t>CUST9148</t>
  </si>
  <si>
    <t>ORD102756</t>
  </si>
  <si>
    <t>CUST7897</t>
  </si>
  <si>
    <t>ORD102757</t>
  </si>
  <si>
    <t>CUST6712</t>
  </si>
  <si>
    <t>ORD102758</t>
  </si>
  <si>
    <t>CUST3977</t>
  </si>
  <si>
    <t>ORD102759</t>
  </si>
  <si>
    <t>ORD102760</t>
  </si>
  <si>
    <t>CUST1674</t>
  </si>
  <si>
    <t>ORD102761</t>
  </si>
  <si>
    <t>CUST7207</t>
  </si>
  <si>
    <t>ORD102762</t>
  </si>
  <si>
    <t>ORD102763</t>
  </si>
  <si>
    <t>CUST7482</t>
  </si>
  <si>
    <t>ORD102764</t>
  </si>
  <si>
    <t>CUST5430</t>
  </si>
  <si>
    <t>ORD102765</t>
  </si>
  <si>
    <t>CUST4524</t>
  </si>
  <si>
    <t>ORD102766</t>
  </si>
  <si>
    <t>CUST8208</t>
  </si>
  <si>
    <t>ORD102767</t>
  </si>
  <si>
    <t>CUST7938</t>
  </si>
  <si>
    <t>ORD102768</t>
  </si>
  <si>
    <t>ORD102769</t>
  </si>
  <si>
    <t>CUST2592</t>
  </si>
  <si>
    <t>ORD102770</t>
  </si>
  <si>
    <t>CUST9726</t>
  </si>
  <si>
    <t>ORD102771</t>
  </si>
  <si>
    <t>CUST2714</t>
  </si>
  <si>
    <t>ORD102772</t>
  </si>
  <si>
    <t>CUST9299</t>
  </si>
  <si>
    <t>ORD102773</t>
  </si>
  <si>
    <t>CUST4626</t>
  </si>
  <si>
    <t>ORD102774</t>
  </si>
  <si>
    <t>ORD102775</t>
  </si>
  <si>
    <t>ORD102776</t>
  </si>
  <si>
    <t>CUST1774</t>
  </si>
  <si>
    <t>ORD102777</t>
  </si>
  <si>
    <t>ORD102778</t>
  </si>
  <si>
    <t>CUST6764</t>
  </si>
  <si>
    <t>ORD102779</t>
  </si>
  <si>
    <t>CUST4168</t>
  </si>
  <si>
    <t>ORD102780</t>
  </si>
  <si>
    <t>CUST7488</t>
  </si>
  <si>
    <t>ORD102781</t>
  </si>
  <si>
    <t>CUST2968</t>
  </si>
  <si>
    <t>ORD102782</t>
  </si>
  <si>
    <t>CUST1964</t>
  </si>
  <si>
    <t>ORD102783</t>
  </si>
  <si>
    <t>CUST2650</t>
  </si>
  <si>
    <t>ORD102784</t>
  </si>
  <si>
    <t>CUST4251</t>
  </si>
  <si>
    <t>ORD102785</t>
  </si>
  <si>
    <t>CUST2128</t>
  </si>
  <si>
    <t>ORD102786</t>
  </si>
  <si>
    <t>ORD102787</t>
  </si>
  <si>
    <t>CUST6203</t>
  </si>
  <si>
    <t>ORD102788</t>
  </si>
  <si>
    <t>CUST7068</t>
  </si>
  <si>
    <t>ORD102789</t>
  </si>
  <si>
    <t>CUST9458</t>
  </si>
  <si>
    <t>ORD102790</t>
  </si>
  <si>
    <t>CUST8489</t>
  </si>
  <si>
    <t>ORD102791</t>
  </si>
  <si>
    <t>CUST5553</t>
  </si>
  <si>
    <t>ORD102792</t>
  </si>
  <si>
    <t>ORD102793</t>
  </si>
  <si>
    <t>CUST6528</t>
  </si>
  <si>
    <t>ORD102794</t>
  </si>
  <si>
    <t>CUST1418</t>
  </si>
  <si>
    <t>ORD102795</t>
  </si>
  <si>
    <t>CUST7871</t>
  </si>
  <si>
    <t>ORD102796</t>
  </si>
  <si>
    <t>CUST7077</t>
  </si>
  <si>
    <t>ORD102797</t>
  </si>
  <si>
    <t>CUST2063</t>
  </si>
  <si>
    <t>ORD102798</t>
  </si>
  <si>
    <t>CUST9927</t>
  </si>
  <si>
    <t>ORD102799</t>
  </si>
  <si>
    <t>CUST9191</t>
  </si>
  <si>
    <t>ORD102800</t>
  </si>
  <si>
    <t>CUST1977</t>
  </si>
  <si>
    <t>ORD102801</t>
  </si>
  <si>
    <t>CUST2473</t>
  </si>
  <si>
    <t>ORD102802</t>
  </si>
  <si>
    <t>CUST7824</t>
  </si>
  <si>
    <t>ORD102803</t>
  </si>
  <si>
    <t>ORD102804</t>
  </si>
  <si>
    <t>ORD102805</t>
  </si>
  <si>
    <t>CUST6782</t>
  </si>
  <si>
    <t>ORD102806</t>
  </si>
  <si>
    <t>CUST7445</t>
  </si>
  <si>
    <t>ORD102807</t>
  </si>
  <si>
    <t>CUST2122</t>
  </si>
  <si>
    <t>ORD102808</t>
  </si>
  <si>
    <t>CUST8614</t>
  </si>
  <si>
    <t>ORD102809</t>
  </si>
  <si>
    <t>CUST1320</t>
  </si>
  <si>
    <t>ORD102810</t>
  </si>
  <si>
    <t>CUST1427</t>
  </si>
  <si>
    <t>ORD102811</t>
  </si>
  <si>
    <t>CUST5896</t>
  </si>
  <si>
    <t>ORD102812</t>
  </si>
  <si>
    <t>CUST3659</t>
  </si>
  <si>
    <t>ORD102813</t>
  </si>
  <si>
    <t>CUST6167</t>
  </si>
  <si>
    <t>ORD102814</t>
  </si>
  <si>
    <t>CUST2183</t>
  </si>
  <si>
    <t>ORD102815</t>
  </si>
  <si>
    <t>CUST3406</t>
  </si>
  <si>
    <t>ORD102816</t>
  </si>
  <si>
    <t>ORD102817</t>
  </si>
  <si>
    <t>ORD102818</t>
  </si>
  <si>
    <t>CUST5294</t>
  </si>
  <si>
    <t>ORD102819</t>
  </si>
  <si>
    <t>CUST6264</t>
  </si>
  <si>
    <t>ORD102820</t>
  </si>
  <si>
    <t>CUST8840</t>
  </si>
  <si>
    <t>ORD102821</t>
  </si>
  <si>
    <t>ORD102822</t>
  </si>
  <si>
    <t>CUST2143</t>
  </si>
  <si>
    <t>ORD102823</t>
  </si>
  <si>
    <t>ORD102824</t>
  </si>
  <si>
    <t>CUST9223</t>
  </si>
  <si>
    <t>ORD102825</t>
  </si>
  <si>
    <t>CUST2598</t>
  </si>
  <si>
    <t>ORD102826</t>
  </si>
  <si>
    <t>ORD102827</t>
  </si>
  <si>
    <t>CUST5602</t>
  </si>
  <si>
    <t>ORD102828</t>
  </si>
  <si>
    <t>CUST7324</t>
  </si>
  <si>
    <t>ORD102829</t>
  </si>
  <si>
    <t>ORD102830</t>
  </si>
  <si>
    <t>CUST4777</t>
  </si>
  <si>
    <t>ORD102831</t>
  </si>
  <si>
    <t>CUST3575</t>
  </si>
  <si>
    <t>ORD102832</t>
  </si>
  <si>
    <t>ORD102833</t>
  </si>
  <si>
    <t>CUST4287</t>
  </si>
  <si>
    <t>ORD102834</t>
  </si>
  <si>
    <t>CUST8652</t>
  </si>
  <si>
    <t>ORD102835</t>
  </si>
  <si>
    <t>CUST6373</t>
  </si>
  <si>
    <t>ORD102836</t>
  </si>
  <si>
    <t>ORD102837</t>
  </si>
  <si>
    <t>ORD102838</t>
  </si>
  <si>
    <t>CUST3380</t>
  </si>
  <si>
    <t>ORD102839</t>
  </si>
  <si>
    <t>ORD102840</t>
  </si>
  <si>
    <t>ORD102841</t>
  </si>
  <si>
    <t>CUST6078</t>
  </si>
  <si>
    <t>ORD102842</t>
  </si>
  <si>
    <t>ORD102843</t>
  </si>
  <si>
    <t>ORD102844</t>
  </si>
  <si>
    <t>ORD102845</t>
  </si>
  <si>
    <t>CUST5066</t>
  </si>
  <si>
    <t>ORD102846</t>
  </si>
  <si>
    <t>CUST7531</t>
  </si>
  <si>
    <t>ORD102847</t>
  </si>
  <si>
    <t>CUST4178</t>
  </si>
  <si>
    <t>ORD102848</t>
  </si>
  <si>
    <t>ORD102849</t>
  </si>
  <si>
    <t>ORD102850</t>
  </si>
  <si>
    <t>CUST1597</t>
  </si>
  <si>
    <t>ORD102851</t>
  </si>
  <si>
    <t>CUST4892</t>
  </si>
  <si>
    <t>ORD102852</t>
  </si>
  <si>
    <t>CUST3210</t>
  </si>
  <si>
    <t>ORD102853</t>
  </si>
  <si>
    <t>ORD102854</t>
  </si>
  <si>
    <t>ORD102855</t>
  </si>
  <si>
    <t>CUST4715</t>
  </si>
  <si>
    <t>ORD102856</t>
  </si>
  <si>
    <t>ORD102857</t>
  </si>
  <si>
    <t>CUST7563</t>
  </si>
  <si>
    <t>ORD102858</t>
  </si>
  <si>
    <t>ORD102859</t>
  </si>
  <si>
    <t>CUST7242</t>
  </si>
  <si>
    <t>ORD102860</t>
  </si>
  <si>
    <t>ORD102861</t>
  </si>
  <si>
    <t>ORD102862</t>
  </si>
  <si>
    <t>ORD102863</t>
  </si>
  <si>
    <t>CUST2260</t>
  </si>
  <si>
    <t>ORD102864</t>
  </si>
  <si>
    <t>CUST4568</t>
  </si>
  <si>
    <t>ORD102865</t>
  </si>
  <si>
    <t>CUST4131</t>
  </si>
  <si>
    <t>ORD102866</t>
  </si>
  <si>
    <t>CUST5238</t>
  </si>
  <si>
    <t>ORD102867</t>
  </si>
  <si>
    <t>CUST1216</t>
  </si>
  <si>
    <t>ORD102868</t>
  </si>
  <si>
    <t>ORD102869</t>
  </si>
  <si>
    <t>CUST3685</t>
  </si>
  <si>
    <t>ORD102870</t>
  </si>
  <si>
    <t>CUST3017</t>
  </si>
  <si>
    <t>ORD102871</t>
  </si>
  <si>
    <t>CUST2111</t>
  </si>
  <si>
    <t>ORD102872</t>
  </si>
  <si>
    <t>CUST6355</t>
  </si>
  <si>
    <t>ORD102873</t>
  </si>
  <si>
    <t>CUST6896</t>
  </si>
  <si>
    <t>ORD102874</t>
  </si>
  <si>
    <t>ORD102875</t>
  </si>
  <si>
    <t>ORD102876</t>
  </si>
  <si>
    <t>ORD102877</t>
  </si>
  <si>
    <t>CUST8473</t>
  </si>
  <si>
    <t>ORD102878</t>
  </si>
  <si>
    <t>ORD102879</t>
  </si>
  <si>
    <t>CUST6566</t>
  </si>
  <si>
    <t>ORD102880</t>
  </si>
  <si>
    <t>ORD102881</t>
  </si>
  <si>
    <t>CUST8954</t>
  </si>
  <si>
    <t>ORD102882</t>
  </si>
  <si>
    <t>CUST3298</t>
  </si>
  <si>
    <t>ORD102883</t>
  </si>
  <si>
    <t>CUST7317</t>
  </si>
  <si>
    <t>ORD102884</t>
  </si>
  <si>
    <t>CUST7432</t>
  </si>
  <si>
    <t>ORD102885</t>
  </si>
  <si>
    <t>CUST2949</t>
  </si>
  <si>
    <t>ORD102886</t>
  </si>
  <si>
    <t>ORD102887</t>
  </si>
  <si>
    <t>CUST7410</t>
  </si>
  <si>
    <t>ORD102888</t>
  </si>
  <si>
    <t>CUST7685</t>
  </si>
  <si>
    <t>ORD102889</t>
  </si>
  <si>
    <t>CUST5313</t>
  </si>
  <si>
    <t>ORD102890</t>
  </si>
  <si>
    <t>CUST8639</t>
  </si>
  <si>
    <t>ORD102891</t>
  </si>
  <si>
    <t>CUST1195</t>
  </si>
  <si>
    <t>ORD102892</t>
  </si>
  <si>
    <t>ORD102893</t>
  </si>
  <si>
    <t>CUST7083</t>
  </si>
  <si>
    <t>ORD102894</t>
  </si>
  <si>
    <t>ORD102895</t>
  </si>
  <si>
    <t>CUST8435</t>
  </si>
  <si>
    <t>ORD102896</t>
  </si>
  <si>
    <t>CUST7159</t>
  </si>
  <si>
    <t>ORD102897</t>
  </si>
  <si>
    <t>CUST1467</t>
  </si>
  <si>
    <t>ORD102898</t>
  </si>
  <si>
    <t>ORD102899</t>
  </si>
  <si>
    <t>ORD102900</t>
  </si>
  <si>
    <t>CUST1265</t>
  </si>
  <si>
    <t>ORD102901</t>
  </si>
  <si>
    <t>CUST5749</t>
  </si>
  <si>
    <t>ORD102902</t>
  </si>
  <si>
    <t>CUST8688</t>
  </si>
  <si>
    <t>ORD102903</t>
  </si>
  <si>
    <t>CUST5763</t>
  </si>
  <si>
    <t>ORD102904</t>
  </si>
  <si>
    <t>CUST6002</t>
  </si>
  <si>
    <t>ORD102905</t>
  </si>
  <si>
    <t>ORD102906</t>
  </si>
  <si>
    <t>CUST5837</t>
  </si>
  <si>
    <t>ORD102907</t>
  </si>
  <si>
    <t>ORD102908</t>
  </si>
  <si>
    <t>ORD102909</t>
  </si>
  <si>
    <t>CUST6004</t>
  </si>
  <si>
    <t>ORD102910</t>
  </si>
  <si>
    <t>CUST1282</t>
  </si>
  <si>
    <t>ORD102911</t>
  </si>
  <si>
    <t>ORD102912</t>
  </si>
  <si>
    <t>CUST8335</t>
  </si>
  <si>
    <t>ORD102913</t>
  </si>
  <si>
    <t>CUST7010</t>
  </si>
  <si>
    <t>ORD102914</t>
  </si>
  <si>
    <t>ORD102915</t>
  </si>
  <si>
    <t>CUST2058</t>
  </si>
  <si>
    <t>ORD102916</t>
  </si>
  <si>
    <t>CUST8374</t>
  </si>
  <si>
    <t>ORD102917</t>
  </si>
  <si>
    <t>CUST4507</t>
  </si>
  <si>
    <t>ORD102918</t>
  </si>
  <si>
    <t>ORD102919</t>
  </si>
  <si>
    <t>ORD102920</t>
  </si>
  <si>
    <t>CUST3136</t>
  </si>
  <si>
    <t>ORD102921</t>
  </si>
  <si>
    <t>CUST6674</t>
  </si>
  <si>
    <t>ORD102922</t>
  </si>
  <si>
    <t>CUST3200</t>
  </si>
  <si>
    <t>ORD102923</t>
  </si>
  <si>
    <t>ORD102924</t>
  </si>
  <si>
    <t>CUST8260</t>
  </si>
  <si>
    <t>ORD102925</t>
  </si>
  <si>
    <t>CUST7358</t>
  </si>
  <si>
    <t>ORD102926</t>
  </si>
  <si>
    <t>CUST7995</t>
  </si>
  <si>
    <t>ORD102927</t>
  </si>
  <si>
    <t>ORD102928</t>
  </si>
  <si>
    <t>CUST6834</t>
  </si>
  <si>
    <t>ORD102929</t>
  </si>
  <si>
    <t>CUST8605</t>
  </si>
  <si>
    <t>ORD102930</t>
  </si>
  <si>
    <t>CUST5412</t>
  </si>
  <si>
    <t>ORD102931</t>
  </si>
  <si>
    <t>ORD102932</t>
  </si>
  <si>
    <t>CUST6863</t>
  </si>
  <si>
    <t>ORD102933</t>
  </si>
  <si>
    <t>ORD102934</t>
  </si>
  <si>
    <t>CUST3534</t>
  </si>
  <si>
    <t>ORD102935</t>
  </si>
  <si>
    <t>CUST4707</t>
  </si>
  <si>
    <t>ORD102936</t>
  </si>
  <si>
    <t>CUST2964</t>
  </si>
  <si>
    <t>ORD102937</t>
  </si>
  <si>
    <t>ORD102938</t>
  </si>
  <si>
    <t>CUST1566</t>
  </si>
  <si>
    <t>ORD102939</t>
  </si>
  <si>
    <t>ORD102940</t>
  </si>
  <si>
    <t>CUST4213</t>
  </si>
  <si>
    <t>ORD102941</t>
  </si>
  <si>
    <t>ORD102942</t>
  </si>
  <si>
    <t>CUST1617</t>
  </si>
  <si>
    <t>ORD102943</t>
  </si>
  <si>
    <t>CUST2384</t>
  </si>
  <si>
    <t>ORD102944</t>
  </si>
  <si>
    <t>CUST8682</t>
  </si>
  <si>
    <t>ORD102945</t>
  </si>
  <si>
    <t>CUST1471</t>
  </si>
  <si>
    <t>ORD102946</t>
  </si>
  <si>
    <t>ORD102947</t>
  </si>
  <si>
    <t>ORD102948</t>
  </si>
  <si>
    <t>ORD102949</t>
  </si>
  <si>
    <t>CUST2367</t>
  </si>
  <si>
    <t>ORD102950</t>
  </si>
  <si>
    <t>ORD102951</t>
  </si>
  <si>
    <t>CUST6881</t>
  </si>
  <si>
    <t>ORD102952</t>
  </si>
  <si>
    <t>ORD102953</t>
  </si>
  <si>
    <t>CUST4386</t>
  </si>
  <si>
    <t>ORD102954</t>
  </si>
  <si>
    <t>ORD102955</t>
  </si>
  <si>
    <t>CUST8708</t>
  </si>
  <si>
    <t>ORD102956</t>
  </si>
  <si>
    <t>CUST6908</t>
  </si>
  <si>
    <t>ORD102957</t>
  </si>
  <si>
    <t>CUST4371</t>
  </si>
  <si>
    <t>ORD102958</t>
  </si>
  <si>
    <t>CUST8883</t>
  </si>
  <si>
    <t>ORD102959</t>
  </si>
  <si>
    <t>ORD102960</t>
  </si>
  <si>
    <t>ORD102961</t>
  </si>
  <si>
    <t>CUST2465</t>
  </si>
  <si>
    <t>ORD102962</t>
  </si>
  <si>
    <t>CUST8692</t>
  </si>
  <si>
    <t>ORD102963</t>
  </si>
  <si>
    <t>CUST2171</t>
  </si>
  <si>
    <t>ORD102964</t>
  </si>
  <si>
    <t>CUST2461</t>
  </si>
  <si>
    <t>ORD102965</t>
  </si>
  <si>
    <t>CUST9201</t>
  </si>
  <si>
    <t>ORD102966</t>
  </si>
  <si>
    <t>CUST9258</t>
  </si>
  <si>
    <t>ORD102967</t>
  </si>
  <si>
    <t>ORD102968</t>
  </si>
  <si>
    <t>CUST9251</t>
  </si>
  <si>
    <t>ORD102969</t>
  </si>
  <si>
    <t>ORD102970</t>
  </si>
  <si>
    <t>CUST1562</t>
  </si>
  <si>
    <t>ORD102971</t>
  </si>
  <si>
    <t>ORD102972</t>
  </si>
  <si>
    <t>ORD102973</t>
  </si>
  <si>
    <t>ORD102974</t>
  </si>
  <si>
    <t>ORD102975</t>
  </si>
  <si>
    <t>CUST6105</t>
  </si>
  <si>
    <t>ORD102976</t>
  </si>
  <si>
    <t>CUST4605</t>
  </si>
  <si>
    <t>ORD102977</t>
  </si>
  <si>
    <t>ORD102978</t>
  </si>
  <si>
    <t>ORD102979</t>
  </si>
  <si>
    <t>CUST9044</t>
  </si>
  <si>
    <t>ORD102980</t>
  </si>
  <si>
    <t>CUST4673</t>
  </si>
  <si>
    <t>ORD102981</t>
  </si>
  <si>
    <t>ORD102982</t>
  </si>
  <si>
    <t>ORD102983</t>
  </si>
  <si>
    <t>CUST3975</t>
  </si>
  <si>
    <t>ORD102984</t>
  </si>
  <si>
    <t>CUST1263</t>
  </si>
  <si>
    <t>ORD102985</t>
  </si>
  <si>
    <t>ORD102986</t>
  </si>
  <si>
    <t>ORD102987</t>
  </si>
  <si>
    <t>CUST6986</t>
  </si>
  <si>
    <t>ORD102988</t>
  </si>
  <si>
    <t>ORD102989</t>
  </si>
  <si>
    <t>CUST9677</t>
  </si>
  <si>
    <t>ORD102990</t>
  </si>
  <si>
    <t>ORD102991</t>
  </si>
  <si>
    <t>ORD102992</t>
  </si>
  <si>
    <t>ORD102993</t>
  </si>
  <si>
    <t>CUST4164</t>
  </si>
  <si>
    <t>ORD102994</t>
  </si>
  <si>
    <t>CUST5756</t>
  </si>
  <si>
    <t>ORD102995</t>
  </si>
  <si>
    <t>CUST3338</t>
  </si>
  <si>
    <t>ORD102996</t>
  </si>
  <si>
    <t>CUST6648</t>
  </si>
  <si>
    <t>ORD102997</t>
  </si>
  <si>
    <t>ORD102998</t>
  </si>
  <si>
    <t>CUST8122</t>
  </si>
  <si>
    <t>ORD102999</t>
  </si>
  <si>
    <t>CUST6455</t>
  </si>
  <si>
    <t>ORD103000</t>
  </si>
  <si>
    <t>CUST1540</t>
  </si>
  <si>
    <t>ORD103001</t>
  </si>
  <si>
    <t>CUST6000</t>
  </si>
  <si>
    <t>ORD103002</t>
  </si>
  <si>
    <t>CUST8810</t>
  </si>
  <si>
    <t>ORD103003</t>
  </si>
  <si>
    <t>CUST4212</t>
  </si>
  <si>
    <t>ORD103004</t>
  </si>
  <si>
    <t>CUST3837</t>
  </si>
  <si>
    <t>ORD103005</t>
  </si>
  <si>
    <t>ORD103006</t>
  </si>
  <si>
    <t>CUST8157</t>
  </si>
  <si>
    <t>ORD103007</t>
  </si>
  <si>
    <t>CUST7107</t>
  </si>
  <si>
    <t>ORD103008</t>
  </si>
  <si>
    <t>CUST9951</t>
  </si>
  <si>
    <t>ORD103009</t>
  </si>
  <si>
    <t>ORD103010</t>
  </si>
  <si>
    <t>CUST2033</t>
  </si>
  <si>
    <t>ORD103011</t>
  </si>
  <si>
    <t>ORD103012</t>
  </si>
  <si>
    <t>CUST2921</t>
  </si>
  <si>
    <t>ORD103013</t>
  </si>
  <si>
    <t>CUST4257</t>
  </si>
  <si>
    <t>ORD103014</t>
  </si>
  <si>
    <t>CUST4055</t>
  </si>
  <si>
    <t>ORD103015</t>
  </si>
  <si>
    <t>CUST7226</t>
  </si>
  <si>
    <t>ORD103016</t>
  </si>
  <si>
    <t>CUST6372</t>
  </si>
  <si>
    <t>ORD103017</t>
  </si>
  <si>
    <t>CUST1490</t>
  </si>
  <si>
    <t>ORD103018</t>
  </si>
  <si>
    <t>CUST8911</t>
  </si>
  <si>
    <t>ORD103019</t>
  </si>
  <si>
    <t>ORD103020</t>
  </si>
  <si>
    <t>ORD103021</t>
  </si>
  <si>
    <t>CUST1741</t>
  </si>
  <si>
    <t>ORD103022</t>
  </si>
  <si>
    <t>CUST9874</t>
  </si>
  <si>
    <t>ORD103023</t>
  </si>
  <si>
    <t>ORD103024</t>
  </si>
  <si>
    <t>ORD103025</t>
  </si>
  <si>
    <t>CUST5055</t>
  </si>
  <si>
    <t>ORD103026</t>
  </si>
  <si>
    <t>CUST7610</t>
  </si>
  <si>
    <t>ORD103027</t>
  </si>
  <si>
    <t>CUST1329</t>
  </si>
  <si>
    <t>ORD103028</t>
  </si>
  <si>
    <t>CUST2973</t>
  </si>
  <si>
    <t>ORD103029</t>
  </si>
  <si>
    <t>CUST3865</t>
  </si>
  <si>
    <t>ORD103030</t>
  </si>
  <si>
    <t>ORD103031</t>
  </si>
  <si>
    <t>CUST5862</t>
  </si>
  <si>
    <t>ORD103032</t>
  </si>
  <si>
    <t>CUST5155</t>
  </si>
  <si>
    <t>ORD103033</t>
  </si>
  <si>
    <t>CUST6877</t>
  </si>
  <si>
    <t>ORD103034</t>
  </si>
  <si>
    <t>CUST4411</t>
  </si>
  <si>
    <t>ORD103035</t>
  </si>
  <si>
    <t>ORD103036</t>
  </si>
  <si>
    <t>CUST1546</t>
  </si>
  <si>
    <t>ORD103037</t>
  </si>
  <si>
    <t>ORD103038</t>
  </si>
  <si>
    <t>CUST1232</t>
  </si>
  <si>
    <t>ORD103039</t>
  </si>
  <si>
    <t>ORD103040</t>
  </si>
  <si>
    <t>CUST1095</t>
  </si>
  <si>
    <t>ORD103041</t>
  </si>
  <si>
    <t>CUST6141</t>
  </si>
  <si>
    <t>ORD103042</t>
  </si>
  <si>
    <t>CUST3055</t>
  </si>
  <si>
    <t>ORD103043</t>
  </si>
  <si>
    <t>CUST8416</t>
  </si>
  <si>
    <t>ORD103044</t>
  </si>
  <si>
    <t>CUST1046</t>
  </si>
  <si>
    <t>ORD103045</t>
  </si>
  <si>
    <t>ORD103046</t>
  </si>
  <si>
    <t>CUST4454</t>
  </si>
  <si>
    <t>ORD103047</t>
  </si>
  <si>
    <t>ORD103048</t>
  </si>
  <si>
    <t>ORD103049</t>
  </si>
  <si>
    <t>CUST4013</t>
  </si>
  <si>
    <t>ORD103050</t>
  </si>
  <si>
    <t>CUST2238</t>
  </si>
  <si>
    <t>ORD103051</t>
  </si>
  <si>
    <t>CUST4242</t>
  </si>
  <si>
    <t>ORD103052</t>
  </si>
  <si>
    <t>ORD103053</t>
  </si>
  <si>
    <t>CUST1526</t>
  </si>
  <si>
    <t>ORD103054</t>
  </si>
  <si>
    <t>ORD103055</t>
  </si>
  <si>
    <t>ORD103056</t>
  </si>
  <si>
    <t>CUST4495</t>
  </si>
  <si>
    <t>ORD103057</t>
  </si>
  <si>
    <t>CUST5875</t>
  </si>
  <si>
    <t>ORD103058</t>
  </si>
  <si>
    <t>CUST4970</t>
  </si>
  <si>
    <t>ORD103059</t>
  </si>
  <si>
    <t>CUST9586</t>
  </si>
  <si>
    <t>ORD103060</t>
  </si>
  <si>
    <t>CUST5015</t>
  </si>
  <si>
    <t>ORD103061</t>
  </si>
  <si>
    <t>CUST5125</t>
  </si>
  <si>
    <t>ORD103062</t>
  </si>
  <si>
    <t>CUST1861</t>
  </si>
  <si>
    <t>ORD103063</t>
  </si>
  <si>
    <t>ORD103064</t>
  </si>
  <si>
    <t>CUST7808</t>
  </si>
  <si>
    <t>ORD103065</t>
  </si>
  <si>
    <t>CUST4581</t>
  </si>
  <si>
    <t>ORD103066</t>
  </si>
  <si>
    <t>CUST2903</t>
  </si>
  <si>
    <t>ORD103067</t>
  </si>
  <si>
    <t>CUST1161</t>
  </si>
  <si>
    <t>ORD103068</t>
  </si>
  <si>
    <t>CUST9193</t>
  </si>
  <si>
    <t>ORD103069</t>
  </si>
  <si>
    <t>CUST4423</t>
  </si>
  <si>
    <t>ORD103070</t>
  </si>
  <si>
    <t>CUST1290</t>
  </si>
  <si>
    <t>ORD103071</t>
  </si>
  <si>
    <t>ORD103072</t>
  </si>
  <si>
    <t>ORD103073</t>
  </si>
  <si>
    <t>CUST5275</t>
  </si>
  <si>
    <t>ORD103074</t>
  </si>
  <si>
    <t>ORD103075</t>
  </si>
  <si>
    <t>CUST5329</t>
  </si>
  <si>
    <t>ORD103076</t>
  </si>
  <si>
    <t>CUST3782</t>
  </si>
  <si>
    <t>ORD103077</t>
  </si>
  <si>
    <t>ORD103078</t>
  </si>
  <si>
    <t>ORD103079</t>
  </si>
  <si>
    <t>ORD103080</t>
  </si>
  <si>
    <t>CUST1459</t>
  </si>
  <si>
    <t>ORD103081</t>
  </si>
  <si>
    <t>CUST8620</t>
  </si>
  <si>
    <t>ORD103082</t>
  </si>
  <si>
    <t>CUST7513</t>
  </si>
  <si>
    <t>ORD103083</t>
  </si>
  <si>
    <t>CUST1153</t>
  </si>
  <si>
    <t>ORD103084</t>
  </si>
  <si>
    <t>ORD103085</t>
  </si>
  <si>
    <t>ORD103086</t>
  </si>
  <si>
    <t>CUST6232</t>
  </si>
  <si>
    <t>ORD103087</t>
  </si>
  <si>
    <t>CUST6816</t>
  </si>
  <si>
    <t>ORD103088</t>
  </si>
  <si>
    <t>CUST9833</t>
  </si>
  <si>
    <t>ORD103089</t>
  </si>
  <si>
    <t>CUST4482</t>
  </si>
  <si>
    <t>ORD103090</t>
  </si>
  <si>
    <t>ORD103091</t>
  </si>
  <si>
    <t>CUST9633</t>
  </si>
  <si>
    <t>ORD103092</t>
  </si>
  <si>
    <t>CUST3987</t>
  </si>
  <si>
    <t>ORD103093</t>
  </si>
  <si>
    <t>CUST8442</t>
  </si>
  <si>
    <t>ORD103094</t>
  </si>
  <si>
    <t>CUST9130</t>
  </si>
  <si>
    <t>ORD103095</t>
  </si>
  <si>
    <t>CUST7959</t>
  </si>
  <si>
    <t>ORD103096</t>
  </si>
  <si>
    <t>ORD103097</t>
  </si>
  <si>
    <t>CUST2682</t>
  </si>
  <si>
    <t>ORD103098</t>
  </si>
  <si>
    <t>ORD103099</t>
  </si>
  <si>
    <t>ORD103100</t>
  </si>
  <si>
    <t>ORD103101</t>
  </si>
  <si>
    <t>CUST7052</t>
  </si>
  <si>
    <t>ORD103102</t>
  </si>
  <si>
    <t>ORD103103</t>
  </si>
  <si>
    <t>CUST3223</t>
  </si>
  <si>
    <t>ORD103104</t>
  </si>
  <si>
    <t>CUST6010</t>
  </si>
  <si>
    <t>ORD103105</t>
  </si>
  <si>
    <t>ORD103106</t>
  </si>
  <si>
    <t>CUST5428</t>
  </si>
  <si>
    <t>ORD103107</t>
  </si>
  <si>
    <t>CUST8816</t>
  </si>
  <si>
    <t>ORD103108</t>
  </si>
  <si>
    <t>ORD103109</t>
  </si>
  <si>
    <t>ORD103110</t>
  </si>
  <si>
    <t>CUST7082</t>
  </si>
  <si>
    <t>ORD103111</t>
  </si>
  <si>
    <t>CUST4444</t>
  </si>
  <si>
    <t>ORD103112</t>
  </si>
  <si>
    <t>CUST1854</t>
  </si>
  <si>
    <t>ORD103113</t>
  </si>
  <si>
    <t>ORD103114</t>
  </si>
  <si>
    <t>ORD103115</t>
  </si>
  <si>
    <t>CUST8580</t>
  </si>
  <si>
    <t>ORD103116</t>
  </si>
  <si>
    <t>ORD103117</t>
  </si>
  <si>
    <t>CUST8058</t>
  </si>
  <si>
    <t>ORD103118</t>
  </si>
  <si>
    <t>CUST5598</t>
  </si>
  <si>
    <t>ORD103119</t>
  </si>
  <si>
    <t>ORD103120</t>
  </si>
  <si>
    <t>CUST6198</t>
  </si>
  <si>
    <t>ORD103121</t>
  </si>
  <si>
    <t>CUST7994</t>
  </si>
  <si>
    <t>ORD103122</t>
  </si>
  <si>
    <t>ORD103123</t>
  </si>
  <si>
    <t>CUST6897</t>
  </si>
  <si>
    <t>ORD103124</t>
  </si>
  <si>
    <t>ORD103125</t>
  </si>
  <si>
    <t>CUST7657</t>
  </si>
  <si>
    <t>ORD103126</t>
  </si>
  <si>
    <t>CUST5341</t>
  </si>
  <si>
    <t>ORD103127</t>
  </si>
  <si>
    <t>CUST9767</t>
  </si>
  <si>
    <t>ORD103128</t>
  </si>
  <si>
    <t>CUST3513</t>
  </si>
  <si>
    <t>ORD103129</t>
  </si>
  <si>
    <t>CUST2225</t>
  </si>
  <si>
    <t>ORD103130</t>
  </si>
  <si>
    <t>CUST8047</t>
  </si>
  <si>
    <t>ORD103131</t>
  </si>
  <si>
    <t>CUST8670</t>
  </si>
  <si>
    <t>ORD103132</t>
  </si>
  <si>
    <t>CUST4062</t>
  </si>
  <si>
    <t>ORD103133</t>
  </si>
  <si>
    <t>CUST9363</t>
  </si>
  <si>
    <t>ORD103134</t>
  </si>
  <si>
    <t>ORD103135</t>
  </si>
  <si>
    <t>CUST5413</t>
  </si>
  <si>
    <t>ORD103136</t>
  </si>
  <si>
    <t>ORD103137</t>
  </si>
  <si>
    <t>CUST5036</t>
  </si>
  <si>
    <t>ORD103138</t>
  </si>
  <si>
    <t>CUST6039</t>
  </si>
  <si>
    <t>ORD103139</t>
  </si>
  <si>
    <t>ORD103140</t>
  </si>
  <si>
    <t>CUST4137</t>
  </si>
  <si>
    <t>ORD103141</t>
  </si>
  <si>
    <t>CUST9587</t>
  </si>
  <si>
    <t>ORD103142</t>
  </si>
  <si>
    <t>ORD103143</t>
  </si>
  <si>
    <t>CUST2081</t>
  </si>
  <si>
    <t>ORD103144</t>
  </si>
  <si>
    <t>CUST9656</t>
  </si>
  <si>
    <t>ORD103145</t>
  </si>
  <si>
    <t>CUST4974</t>
  </si>
  <si>
    <t>ORD103146</t>
  </si>
  <si>
    <t>ORD103147</t>
  </si>
  <si>
    <t>CUST1469</t>
  </si>
  <si>
    <t>ORD103148</t>
  </si>
  <si>
    <t>CUST9827</t>
  </si>
  <si>
    <t>ORD103149</t>
  </si>
  <si>
    <t>CUST5791</t>
  </si>
  <si>
    <t>ORD103150</t>
  </si>
  <si>
    <t>CUST5145</t>
  </si>
  <si>
    <t>ORD103151</t>
  </si>
  <si>
    <t>CUST8583</t>
  </si>
  <si>
    <t>ORD103152</t>
  </si>
  <si>
    <t>CUST6349</t>
  </si>
  <si>
    <t>ORD103153</t>
  </si>
  <si>
    <t>ORD103154</t>
  </si>
  <si>
    <t>CUST1805</t>
  </si>
  <si>
    <t>ORD103155</t>
  </si>
  <si>
    <t>CUST2653</t>
  </si>
  <si>
    <t>ORD103156</t>
  </si>
  <si>
    <t>CUST8430</t>
  </si>
  <si>
    <t>ORD103157</t>
  </si>
  <si>
    <t>CUST5957</t>
  </si>
  <si>
    <t>ORD103158</t>
  </si>
  <si>
    <t>ORD103159</t>
  </si>
  <si>
    <t>CUST4238</t>
  </si>
  <si>
    <t>ORD103160</t>
  </si>
  <si>
    <t>CUST7870</t>
  </si>
  <si>
    <t>ORD103161</t>
  </si>
  <si>
    <t>CUST6493</t>
  </si>
  <si>
    <t>ORD103162</t>
  </si>
  <si>
    <t>CUST9036</t>
  </si>
  <si>
    <t>ORD103163</t>
  </si>
  <si>
    <t>CUST4480</t>
  </si>
  <si>
    <t>ORD103164</t>
  </si>
  <si>
    <t>CUST2700</t>
  </si>
  <si>
    <t>ORD103165</t>
  </si>
  <si>
    <t>CUST3189</t>
  </si>
  <si>
    <t>ORD103166</t>
  </si>
  <si>
    <t>ORD103167</t>
  </si>
  <si>
    <t>CUST3715</t>
  </si>
  <si>
    <t>ORD103168</t>
  </si>
  <si>
    <t>ORD103169</t>
  </si>
  <si>
    <t>CUST3004</t>
  </si>
  <si>
    <t>ORD103170</t>
  </si>
  <si>
    <t>CUST7818</t>
  </si>
  <si>
    <t>ORD103171</t>
  </si>
  <si>
    <t>ORD103172</t>
  </si>
  <si>
    <t>ORD103173</t>
  </si>
  <si>
    <t>CUST4262</t>
  </si>
  <si>
    <t>ORD103174</t>
  </si>
  <si>
    <t>CUST7155</t>
  </si>
  <si>
    <t>ORD103175</t>
  </si>
  <si>
    <t>CUST5501</t>
  </si>
  <si>
    <t>ORD103176</t>
  </si>
  <si>
    <t>ORD103177</t>
  </si>
  <si>
    <t>ORD103178</t>
  </si>
  <si>
    <t>CUST7988</t>
  </si>
  <si>
    <t>ORD103179</t>
  </si>
  <si>
    <t>ORD103180</t>
  </si>
  <si>
    <t>ORD103181</t>
  </si>
  <si>
    <t>CUST3729</t>
  </si>
  <si>
    <t>ORD103182</t>
  </si>
  <si>
    <t>CUST1800</t>
  </si>
  <si>
    <t>ORD103183</t>
  </si>
  <si>
    <t>ORD103184</t>
  </si>
  <si>
    <t>ORD103185</t>
  </si>
  <si>
    <t>CUST7237</t>
  </si>
  <si>
    <t>ORD103186</t>
  </si>
  <si>
    <t>CUST4204</t>
  </si>
  <si>
    <t>ORD103187</t>
  </si>
  <si>
    <t>CUST6104</t>
  </si>
  <si>
    <t>ORD103188</t>
  </si>
  <si>
    <t>ORD103189</t>
  </si>
  <si>
    <t>CUST7767</t>
  </si>
  <si>
    <t>ORD103190</t>
  </si>
  <si>
    <t>ORD103191</t>
  </si>
  <si>
    <t>ORD103192</t>
  </si>
  <si>
    <t>CUST9789</t>
  </si>
  <si>
    <t>ORD103193</t>
  </si>
  <si>
    <t>CUST2830</t>
  </si>
  <si>
    <t>ORD103194</t>
  </si>
  <si>
    <t>CUST3306</t>
  </si>
  <si>
    <t>ORD103195</t>
  </si>
  <si>
    <t>CUST7490</t>
  </si>
  <si>
    <t>ORD103196</t>
  </si>
  <si>
    <t>CUST8447</t>
  </si>
  <si>
    <t>ORD103197</t>
  </si>
  <si>
    <t>CUST3690</t>
  </si>
  <si>
    <t>ORD103198</t>
  </si>
  <si>
    <t>ORD103199</t>
  </si>
  <si>
    <t>CUST6762</t>
  </si>
  <si>
    <t>ORD103200</t>
  </si>
  <si>
    <t>CUST8549</t>
  </si>
  <si>
    <t>ORD103201</t>
  </si>
  <si>
    <t>ORD103202</t>
  </si>
  <si>
    <t>CUST4875</t>
  </si>
  <si>
    <t>ORD103203</t>
  </si>
  <si>
    <t>CUST5511</t>
  </si>
  <si>
    <t>ORD103204</t>
  </si>
  <si>
    <t>CUST5691</t>
  </si>
  <si>
    <t>ORD103205</t>
  </si>
  <si>
    <t>ORD103206</t>
  </si>
  <si>
    <t>CUST6142</t>
  </si>
  <si>
    <t>ORD103207</t>
  </si>
  <si>
    <t>ORD103208</t>
  </si>
  <si>
    <t>ORD103209</t>
  </si>
  <si>
    <t>CUST5915</t>
  </si>
  <si>
    <t>ORD103210</t>
  </si>
  <si>
    <t>CUST3478</t>
  </si>
  <si>
    <t>ORD103211</t>
  </si>
  <si>
    <t>CUST3596</t>
  </si>
  <si>
    <t>ORD103212</t>
  </si>
  <si>
    <t>CUST1753</t>
  </si>
  <si>
    <t>ORD103213</t>
  </si>
  <si>
    <t>CUST4606</t>
  </si>
  <si>
    <t>ORD103214</t>
  </si>
  <si>
    <t>CUST6346</t>
  </si>
  <si>
    <t>ORD103215</t>
  </si>
  <si>
    <t>CUST9975</t>
  </si>
  <si>
    <t>ORD103216</t>
  </si>
  <si>
    <t>CUST6500</t>
  </si>
  <si>
    <t>ORD103217</t>
  </si>
  <si>
    <t>CUST3031</t>
  </si>
  <si>
    <t>ORD103218</t>
  </si>
  <si>
    <t>ORD103219</t>
  </si>
  <si>
    <t>ORD103220</t>
  </si>
  <si>
    <t>CUST3789</t>
  </si>
  <si>
    <t>ORD103221</t>
  </si>
  <si>
    <t>ORD103222</t>
  </si>
  <si>
    <t>CUST5804</t>
  </si>
  <si>
    <t>ORD103223</t>
  </si>
  <si>
    <t>CUST1925</t>
  </si>
  <si>
    <t>ORD103224</t>
  </si>
  <si>
    <t>ORD103225</t>
  </si>
  <si>
    <t>CUST3311</t>
  </si>
  <si>
    <t>ORD103226</t>
  </si>
  <si>
    <t>CUST5148</t>
  </si>
  <si>
    <t>ORD103227</t>
  </si>
  <si>
    <t>CUST3749</t>
  </si>
  <si>
    <t>ORD103228</t>
  </si>
  <si>
    <t>ORD103229</t>
  </si>
  <si>
    <t>CUST8135</t>
  </si>
  <si>
    <t>ORD103230</t>
  </si>
  <si>
    <t>CUST8248</t>
  </si>
  <si>
    <t>ORD103231</t>
  </si>
  <si>
    <t>CUST6886</t>
  </si>
  <si>
    <t>ORD103232</t>
  </si>
  <si>
    <t>CUST6975</t>
  </si>
  <si>
    <t>ORD103233</t>
  </si>
  <si>
    <t>CUST3731</t>
  </si>
  <si>
    <t>ORD103234</t>
  </si>
  <si>
    <t>CUST8912</t>
  </si>
  <si>
    <t>ORD103235</t>
  </si>
  <si>
    <t>CUST8683</t>
  </si>
  <si>
    <t>ORD103236</t>
  </si>
  <si>
    <t>CUST4877</t>
  </si>
  <si>
    <t>ORD103237</t>
  </si>
  <si>
    <t>CUST9206</t>
  </si>
  <si>
    <t>ORD103238</t>
  </si>
  <si>
    <t>ORD103239</t>
  </si>
  <si>
    <t>CUST8168</t>
  </si>
  <si>
    <t>ORD103240</t>
  </si>
  <si>
    <t>ORD103241</t>
  </si>
  <si>
    <t>CUST4034</t>
  </si>
  <si>
    <t>ORD103242</t>
  </si>
  <si>
    <t>ORD103243</t>
  </si>
  <si>
    <t>CUST2409</t>
  </si>
  <si>
    <t>ORD103244</t>
  </si>
  <si>
    <t>CUST5083</t>
  </si>
  <si>
    <t>ORD103245</t>
  </si>
  <si>
    <t>CUST3034</t>
  </si>
  <si>
    <t>ORD103246</t>
  </si>
  <si>
    <t>ORD103247</t>
  </si>
  <si>
    <t>CUST7365</t>
  </si>
  <si>
    <t>ORD103248</t>
  </si>
  <si>
    <t>CUST3608</t>
  </si>
  <si>
    <t>ORD103249</t>
  </si>
  <si>
    <t>ORD103250</t>
  </si>
  <si>
    <t>CUST9322</t>
  </si>
  <si>
    <t>ORD103251</t>
  </si>
  <si>
    <t>CUST9548</t>
  </si>
  <si>
    <t>ORD103252</t>
  </si>
  <si>
    <t>CUST5174</t>
  </si>
  <si>
    <t>ORD103253</t>
  </si>
  <si>
    <t>CUST4566</t>
  </si>
  <si>
    <t>ORD103254</t>
  </si>
  <si>
    <t>ORD103255</t>
  </si>
  <si>
    <t>ORD103256</t>
  </si>
  <si>
    <t>CUST4869</t>
  </si>
  <si>
    <t>ORD103257</t>
  </si>
  <si>
    <t>ORD103258</t>
  </si>
  <si>
    <t>CUST7206</t>
  </si>
  <si>
    <t>ORD103259</t>
  </si>
  <si>
    <t>ORD103260</t>
  </si>
  <si>
    <t>ORD103261</t>
  </si>
  <si>
    <t>CUST9551</t>
  </si>
  <si>
    <t>ORD103262</t>
  </si>
  <si>
    <t>CUST5668</t>
  </si>
  <si>
    <t>ORD103263</t>
  </si>
  <si>
    <t>ORD103264</t>
  </si>
  <si>
    <t>CUST9596</t>
  </si>
  <si>
    <t>ORD103265</t>
  </si>
  <si>
    <t>CUST8855</t>
  </si>
  <si>
    <t>ORD103266</t>
  </si>
  <si>
    <t>CUST5391</t>
  </si>
  <si>
    <t>ORD103267</t>
  </si>
  <si>
    <t>CUST7160</t>
  </si>
  <si>
    <t>ORD103268</t>
  </si>
  <si>
    <t>ORD103269</t>
  </si>
  <si>
    <t>CUST7845</t>
  </si>
  <si>
    <t>ORD103270</t>
  </si>
  <si>
    <t>ORD103271</t>
  </si>
  <si>
    <t>CUST3951</t>
  </si>
  <si>
    <t>ORD103272</t>
  </si>
  <si>
    <t>ORD103273</t>
  </si>
  <si>
    <t>CUST7643</t>
  </si>
  <si>
    <t>ORD103274</t>
  </si>
  <si>
    <t>CUST2801</t>
  </si>
  <si>
    <t>ORD103275</t>
  </si>
  <si>
    <t>CUST5932</t>
  </si>
  <si>
    <t>ORD103276</t>
  </si>
  <si>
    <t>CUST1245</t>
  </si>
  <si>
    <t>ORD103277</t>
  </si>
  <si>
    <t>ORD103278</t>
  </si>
  <si>
    <t>ORD103279</t>
  </si>
  <si>
    <t>CUST7634</t>
  </si>
  <si>
    <t>ORD103280</t>
  </si>
  <si>
    <t>CUST3106</t>
  </si>
  <si>
    <t>ORD103281</t>
  </si>
  <si>
    <t>ORD103282</t>
  </si>
  <si>
    <t>CUST4059</t>
  </si>
  <si>
    <t>ORD103283</t>
  </si>
  <si>
    <t>CUST6034</t>
  </si>
  <si>
    <t>ORD103284</t>
  </si>
  <si>
    <t>CUST9267</t>
  </si>
  <si>
    <t>ORD103285</t>
  </si>
  <si>
    <t>CUST9981</t>
  </si>
  <si>
    <t>ORD103286</t>
  </si>
  <si>
    <t>CUST3080</t>
  </si>
  <si>
    <t>ORD103287</t>
  </si>
  <si>
    <t>CUST5980</t>
  </si>
  <si>
    <t>ORD103288</t>
  </si>
  <si>
    <t>CUST5692</t>
  </si>
  <si>
    <t>ORD103289</t>
  </si>
  <si>
    <t>ORD103290</t>
  </si>
  <si>
    <t>CUST1233</t>
  </si>
  <si>
    <t>ORD103291</t>
  </si>
  <si>
    <t>CUST3156</t>
  </si>
  <si>
    <t>ORD103292</t>
  </si>
  <si>
    <t>CUST3043</t>
  </si>
  <si>
    <t>ORD103293</t>
  </si>
  <si>
    <t>CUST4873</t>
  </si>
  <si>
    <t>ORD103294</t>
  </si>
  <si>
    <t>ORD103295</t>
  </si>
  <si>
    <t>CUST4633</t>
  </si>
  <si>
    <t>ORD103296</t>
  </si>
  <si>
    <t>CUST5527</t>
  </si>
  <si>
    <t>ORD103297</t>
  </si>
  <si>
    <t>ORD103298</t>
  </si>
  <si>
    <t>CUST3263</t>
  </si>
  <si>
    <t>ORD103299</t>
  </si>
  <si>
    <t>CUST7259</t>
  </si>
  <si>
    <t>ORD103300</t>
  </si>
  <si>
    <t>CUST1321</t>
  </si>
  <si>
    <t>ORD103301</t>
  </si>
  <si>
    <t>ORD103302</t>
  </si>
  <si>
    <t>ORD103303</t>
  </si>
  <si>
    <t>ORD103304</t>
  </si>
  <si>
    <t>CUST1037</t>
  </si>
  <si>
    <t>ORD103305</t>
  </si>
  <si>
    <t>CUST4813</t>
  </si>
  <si>
    <t>ORD103306</t>
  </si>
  <si>
    <t>ORD103307</t>
  </si>
  <si>
    <t>ORD103308</t>
  </si>
  <si>
    <t>CUST1177</t>
  </si>
  <si>
    <t>ORD103309</t>
  </si>
  <si>
    <t>CUST5346</t>
  </si>
  <si>
    <t>ORD103310</t>
  </si>
  <si>
    <t>CUST6815</t>
  </si>
  <si>
    <t>ORD103311</t>
  </si>
  <si>
    <t>CUST2254</t>
  </si>
  <si>
    <t>ORD103312</t>
  </si>
  <si>
    <t>CUST5711</t>
  </si>
  <si>
    <t>ORD103313</t>
  </si>
  <si>
    <t>ORD103314</t>
  </si>
  <si>
    <t>CUST1874</t>
  </si>
  <si>
    <t>ORD103315</t>
  </si>
  <si>
    <t>CUST1871</t>
  </si>
  <si>
    <t>ORD103316</t>
  </si>
  <si>
    <t>CUST9050</t>
  </si>
  <si>
    <t>ORD103317</t>
  </si>
  <si>
    <t>CUST7020</t>
  </si>
  <si>
    <t>ORD103318</t>
  </si>
  <si>
    <t>CUST9292</t>
  </si>
  <si>
    <t>ORD103319</t>
  </si>
  <si>
    <t>CUST7156</t>
  </si>
  <si>
    <t>ORD103320</t>
  </si>
  <si>
    <t>ORD103321</t>
  </si>
  <si>
    <t>ORD103322</t>
  </si>
  <si>
    <t>CUST5182</t>
  </si>
  <si>
    <t>ORD103323</t>
  </si>
  <si>
    <t>ORD103324</t>
  </si>
  <si>
    <t>CUST5075</t>
  </si>
  <si>
    <t>ORD103325</t>
  </si>
  <si>
    <t>ORD103326</t>
  </si>
  <si>
    <t>CUST3168</t>
  </si>
  <si>
    <t>ORD103327</t>
  </si>
  <si>
    <t>ORD103328</t>
  </si>
  <si>
    <t>CUST5693</t>
  </si>
  <si>
    <t>ORD103329</t>
  </si>
  <si>
    <t>ORD103330</t>
  </si>
  <si>
    <t>ORD103331</t>
  </si>
  <si>
    <t>CUST8900</t>
  </si>
  <si>
    <t>ORD103332</t>
  </si>
  <si>
    <t>CUST8940</t>
  </si>
  <si>
    <t>ORD103333</t>
  </si>
  <si>
    <t>ORD103334</t>
  </si>
  <si>
    <t>ORD103335</t>
  </si>
  <si>
    <t>CUST7296</t>
  </si>
  <si>
    <t>ORD103336</t>
  </si>
  <si>
    <t>CUST6872</t>
  </si>
  <si>
    <t>ORD103337</t>
  </si>
  <si>
    <t>CUST6873</t>
  </si>
  <si>
    <t>ORD103338</t>
  </si>
  <si>
    <t>ORD103339</t>
  </si>
  <si>
    <t>CUST6529</t>
  </si>
  <si>
    <t>ORD103340</t>
  </si>
  <si>
    <t>CUST6889</t>
  </si>
  <si>
    <t>ORD103341</t>
  </si>
  <si>
    <t>CUST6478</t>
  </si>
  <si>
    <t>ORD103342</t>
  </si>
  <si>
    <t>CUST1506</t>
  </si>
  <si>
    <t>ORD103343</t>
  </si>
  <si>
    <t>CUST1079</t>
  </si>
  <si>
    <t>ORD103344</t>
  </si>
  <si>
    <t>CUST4880</t>
  </si>
  <si>
    <t>ORD103345</t>
  </si>
  <si>
    <t>CUST9385</t>
  </si>
  <si>
    <t>ORD103346</t>
  </si>
  <si>
    <t>ORD103347</t>
  </si>
  <si>
    <t>CUST7514</t>
  </si>
  <si>
    <t>ORD103348</t>
  </si>
  <si>
    <t>CUST8690</t>
  </si>
  <si>
    <t>ORD103349</t>
  </si>
  <si>
    <t>CUST4680</t>
  </si>
  <si>
    <t>ORD103350</t>
  </si>
  <si>
    <t>CUST2484</t>
  </si>
  <si>
    <t>ORD103351</t>
  </si>
  <si>
    <t>ORD103352</t>
  </si>
  <si>
    <t>CUST5860</t>
  </si>
  <si>
    <t>ORD103353</t>
  </si>
  <si>
    <t>CUST5076</t>
  </si>
  <si>
    <t>ORD103354</t>
  </si>
  <si>
    <t>ORD103355</t>
  </si>
  <si>
    <t>CUST6733</t>
  </si>
  <si>
    <t>ORD103356</t>
  </si>
  <si>
    <t>CUST9701</t>
  </si>
  <si>
    <t>ORD103357</t>
  </si>
  <si>
    <t>CUST3547</t>
  </si>
  <si>
    <t>ORD103358</t>
  </si>
  <si>
    <t>CUST4148</t>
  </si>
  <si>
    <t>ORD103359</t>
  </si>
  <si>
    <t>CUST6084</t>
  </si>
  <si>
    <t>ORD103360</t>
  </si>
  <si>
    <t>ORD103361</t>
  </si>
  <si>
    <t>CUST4562</t>
  </si>
  <si>
    <t>ORD103362</t>
  </si>
  <si>
    <t>CUST5324</t>
  </si>
  <si>
    <t>ORD103363</t>
  </si>
  <si>
    <t>CUST4851</t>
  </si>
  <si>
    <t>ORD103364</t>
  </si>
  <si>
    <t>ORD103365</t>
  </si>
  <si>
    <t>CUST2649</t>
  </si>
  <si>
    <t>ORD103366</t>
  </si>
  <si>
    <t>CUST2941</t>
  </si>
  <si>
    <t>ORD103367</t>
  </si>
  <si>
    <t>CUST8202</t>
  </si>
  <si>
    <t>ORD103368</t>
  </si>
  <si>
    <t>CUST1632</t>
  </si>
  <si>
    <t>ORD103369</t>
  </si>
  <si>
    <t>ORD103370</t>
  </si>
  <si>
    <t>ORD103371</t>
  </si>
  <si>
    <t>CUST2656</t>
  </si>
  <si>
    <t>ORD103372</t>
  </si>
  <si>
    <t>CUST1307</t>
  </si>
  <si>
    <t>ORD103373</t>
  </si>
  <si>
    <t>CUST3759</t>
  </si>
  <si>
    <t>ORD103374</t>
  </si>
  <si>
    <t>CUST6306</t>
  </si>
  <si>
    <t>ORD103375</t>
  </si>
  <si>
    <t>CUST8059</t>
  </si>
  <si>
    <t>ORD103376</t>
  </si>
  <si>
    <t>CUST2860</t>
  </si>
  <si>
    <t>ORD103377</t>
  </si>
  <si>
    <t>ORD103378</t>
  </si>
  <si>
    <t>ORD103379</t>
  </si>
  <si>
    <t>CUST6905</t>
  </si>
  <si>
    <t>ORD103380</t>
  </si>
  <si>
    <t>ORD103381</t>
  </si>
  <si>
    <t>CUST4872</t>
  </si>
  <si>
    <t>ORD103382</t>
  </si>
  <si>
    <t>CUST1520</t>
  </si>
  <si>
    <t>ORD103383</t>
  </si>
  <si>
    <t>ORD103384</t>
  </si>
  <si>
    <t>CUST6124</t>
  </si>
  <si>
    <t>ORD103385</t>
  </si>
  <si>
    <t>CUST3410</t>
  </si>
  <si>
    <t>ORD103386</t>
  </si>
  <si>
    <t>CUST7785</t>
  </si>
  <si>
    <t>ORD103387</t>
  </si>
  <si>
    <t>CUST6136</t>
  </si>
  <si>
    <t>ORD103388</t>
  </si>
  <si>
    <t>CUST3320</t>
  </si>
  <si>
    <t>ORD103389</t>
  </si>
  <si>
    <t>CUST5751</t>
  </si>
  <si>
    <t>ORD103390</t>
  </si>
  <si>
    <t>CUST3465</t>
  </si>
  <si>
    <t>ORD103391</t>
  </si>
  <si>
    <t>CUST5755</t>
  </si>
  <si>
    <t>ORD103392</t>
  </si>
  <si>
    <t>CUST1505</t>
  </si>
  <si>
    <t>ORD103393</t>
  </si>
  <si>
    <t>CUST8875</t>
  </si>
  <si>
    <t>ORD103394</t>
  </si>
  <si>
    <t>CUST8066</t>
  </si>
  <si>
    <t>ORD103395</t>
  </si>
  <si>
    <t>CUST2779</t>
  </si>
  <si>
    <t>ORD103396</t>
  </si>
  <si>
    <t>ORD103397</t>
  </si>
  <si>
    <t>CUST8131</t>
  </si>
  <si>
    <t>ORD103398</t>
  </si>
  <si>
    <t>CUST7021</t>
  </si>
  <si>
    <t>ORD103399</t>
  </si>
  <si>
    <t>ORD103400</t>
  </si>
  <si>
    <t>CUST8097</t>
  </si>
  <si>
    <t>ORD103401</t>
  </si>
  <si>
    <t>ORD103402</t>
  </si>
  <si>
    <t>ORD103403</t>
  </si>
  <si>
    <t>CUST9072</t>
  </si>
  <si>
    <t>ORD103404</t>
  </si>
  <si>
    <t>ORD103405</t>
  </si>
  <si>
    <t>ORD103406</t>
  </si>
  <si>
    <t>ORD103407</t>
  </si>
  <si>
    <t>ORD103408</t>
  </si>
  <si>
    <t>ORD103409</t>
  </si>
  <si>
    <t>CUST2095</t>
  </si>
  <si>
    <t>ORD103410</t>
  </si>
  <si>
    <t>ORD103411</t>
  </si>
  <si>
    <t>CUST9129</t>
  </si>
  <si>
    <t>ORD103412</t>
  </si>
  <si>
    <t>ORD103413</t>
  </si>
  <si>
    <t>CUST8717</t>
  </si>
  <si>
    <t>ORD103414</t>
  </si>
  <si>
    <t>CUST2137</t>
  </si>
  <si>
    <t>ORD103415</t>
  </si>
  <si>
    <t>CUST1462</t>
  </si>
  <si>
    <t>ORD103416</t>
  </si>
  <si>
    <t>CUST1121</t>
  </si>
  <si>
    <t>ORD103417</t>
  </si>
  <si>
    <t>CUST4561</t>
  </si>
  <si>
    <t>ORD103418</t>
  </si>
  <si>
    <t>ORD103419</t>
  </si>
  <si>
    <t>CUST9190</t>
  </si>
  <si>
    <t>ORD103420</t>
  </si>
  <si>
    <t>ORD103421</t>
  </si>
  <si>
    <t>CUST5878</t>
  </si>
  <si>
    <t>ORD103422</t>
  </si>
  <si>
    <t>CUST4662</t>
  </si>
  <si>
    <t>ORD103423</t>
  </si>
  <si>
    <t>CUST9538</t>
  </si>
  <si>
    <t>ORD103424</t>
  </si>
  <si>
    <t>ORD103425</t>
  </si>
  <si>
    <t>ORD103426</t>
  </si>
  <si>
    <t>CUST4037</t>
  </si>
  <si>
    <t>ORD103427</t>
  </si>
  <si>
    <t>CUST8185</t>
  </si>
  <si>
    <t>ORD103428</t>
  </si>
  <si>
    <t>ORD103429</t>
  </si>
  <si>
    <t>CUST1482</t>
  </si>
  <si>
    <t>ORD103430</t>
  </si>
  <si>
    <t>CUST1702</t>
  </si>
  <si>
    <t>ORD103431</t>
  </si>
  <si>
    <t>ORD103432</t>
  </si>
  <si>
    <t>CUST3161</t>
  </si>
  <si>
    <t>ORD103433</t>
  </si>
  <si>
    <t>ORD103434</t>
  </si>
  <si>
    <t>CUST6490</t>
  </si>
  <si>
    <t>ORD103435</t>
  </si>
  <si>
    <t>CUST7353</t>
  </si>
  <si>
    <t>ORD103436</t>
  </si>
  <si>
    <t>ORD103437</t>
  </si>
  <si>
    <t>CUST2815</t>
  </si>
  <si>
    <t>ORD103438</t>
  </si>
  <si>
    <t>ORD103439</t>
  </si>
  <si>
    <t>ORD103440</t>
  </si>
  <si>
    <t>CUST2381</t>
  </si>
  <si>
    <t>ORD103441</t>
  </si>
  <si>
    <t>CUST3657</t>
  </si>
  <si>
    <t>ORD103442</t>
  </si>
  <si>
    <t>CUST3642</t>
  </si>
  <si>
    <t>ORD103443</t>
  </si>
  <si>
    <t>CUST8734</t>
  </si>
  <si>
    <t>ORD103444</t>
  </si>
  <si>
    <t>CUST9406</t>
  </si>
  <si>
    <t>ORD103445</t>
  </si>
  <si>
    <t>ORD103446</t>
  </si>
  <si>
    <t>CUST1322</t>
  </si>
  <si>
    <t>ORD103447</t>
  </si>
  <si>
    <t>CUST6022</t>
  </si>
  <si>
    <t>ORD103448</t>
  </si>
  <si>
    <t>CUST2886</t>
  </si>
  <si>
    <t>ORD103449</t>
  </si>
  <si>
    <t>CUST2184</t>
  </si>
  <si>
    <t>ORD103450</t>
  </si>
  <si>
    <t>CUST2049</t>
  </si>
  <si>
    <t>ORD103451</t>
  </si>
  <si>
    <t>CUST1769</t>
  </si>
  <si>
    <t>ORD103452</t>
  </si>
  <si>
    <t>CUST4728</t>
  </si>
  <si>
    <t>ORD103453</t>
  </si>
  <si>
    <t>CUST6992</t>
  </si>
  <si>
    <t>ORD103454</t>
  </si>
  <si>
    <t>CUST8697</t>
  </si>
  <si>
    <t>ORD103455</t>
  </si>
  <si>
    <t>ORD103456</t>
  </si>
  <si>
    <t>CUST7028</t>
  </si>
  <si>
    <t>ORD103457</t>
  </si>
  <si>
    <t>CUST4904</t>
  </si>
  <si>
    <t>ORD103458</t>
  </si>
  <si>
    <t>ORD103459</t>
  </si>
  <si>
    <t>CUST6965</t>
  </si>
  <si>
    <t>ORD103460</t>
  </si>
  <si>
    <t>CUST2416</t>
  </si>
  <si>
    <t>ORD103461</t>
  </si>
  <si>
    <t>ORD103462</t>
  </si>
  <si>
    <t>CUST5096</t>
  </si>
  <si>
    <t>ORD103463</t>
  </si>
  <si>
    <t>CUST9326</t>
  </si>
  <si>
    <t>ORD103464</t>
  </si>
  <si>
    <t>CUST7802</t>
  </si>
  <si>
    <t>ORD103465</t>
  </si>
  <si>
    <t>CUST7190</t>
  </si>
  <si>
    <t>ORD103466</t>
  </si>
  <si>
    <t>CUST2106</t>
  </si>
  <si>
    <t>ORD103467</t>
  </si>
  <si>
    <t>CUST9768</t>
  </si>
  <si>
    <t>ORD103468</t>
  </si>
  <si>
    <t>CUST3880</t>
  </si>
  <si>
    <t>ORD103469</t>
  </si>
  <si>
    <t>CUST9729</t>
  </si>
  <si>
    <t>ORD103470</t>
  </si>
  <si>
    <t>ORD103471</t>
  </si>
  <si>
    <t>CUST6735</t>
  </si>
  <si>
    <t>ORD103472</t>
  </si>
  <si>
    <t>CUST4792</t>
  </si>
  <si>
    <t>ORD103473</t>
  </si>
  <si>
    <t>ORD103474</t>
  </si>
  <si>
    <t>ORD103475</t>
  </si>
  <si>
    <t>CUST5591</t>
  </si>
  <si>
    <t>ORD103476</t>
  </si>
  <si>
    <t>CUST9560</t>
  </si>
  <si>
    <t>ORD103477</t>
  </si>
  <si>
    <t>ORD103478</t>
  </si>
  <si>
    <t>ORD103479</t>
  </si>
  <si>
    <t>ORD103480</t>
  </si>
  <si>
    <t>CUST1891</t>
  </si>
  <si>
    <t>ORD103481</t>
  </si>
  <si>
    <t>CUST6479</t>
  </si>
  <si>
    <t>ORD103482</t>
  </si>
  <si>
    <t>ORD103483</t>
  </si>
  <si>
    <t>CUST5416</t>
  </si>
  <si>
    <t>ORD103484</t>
  </si>
  <si>
    <t>CUST1838</t>
  </si>
  <si>
    <t>ORD103485</t>
  </si>
  <si>
    <t>CUST9402</t>
  </si>
  <si>
    <t>ORD103486</t>
  </si>
  <si>
    <t>ORD103487</t>
  </si>
  <si>
    <t>CUST3651</t>
  </si>
  <si>
    <t>ORD103488</t>
  </si>
  <si>
    <t>CUST7730</t>
  </si>
  <si>
    <t>ORD103489</t>
  </si>
  <si>
    <t>CUST6732</t>
  </si>
  <si>
    <t>ORD103490</t>
  </si>
  <si>
    <t>CUST6511</t>
  </si>
  <si>
    <t>ORD103491</t>
  </si>
  <si>
    <t>CUST1479</t>
  </si>
  <si>
    <t>ORD103492</t>
  </si>
  <si>
    <t>CUST5417</t>
  </si>
  <si>
    <t>ORD103493</t>
  </si>
  <si>
    <t>ORD103494</t>
  </si>
  <si>
    <t>CUST5654</t>
  </si>
  <si>
    <t>ORD103495</t>
  </si>
  <si>
    <t>CUST4100</t>
  </si>
  <si>
    <t>ORD103496</t>
  </si>
  <si>
    <t>CUST4027</t>
  </si>
  <si>
    <t>ORD103497</t>
  </si>
  <si>
    <t>CUST8337</t>
  </si>
  <si>
    <t>ORD103498</t>
  </si>
  <si>
    <t>CUST9198</t>
  </si>
  <si>
    <t>ORD103499</t>
  </si>
  <si>
    <t>CUST3948</t>
  </si>
  <si>
    <t>ORD103500</t>
  </si>
  <si>
    <t>CUST6916</t>
  </si>
  <si>
    <t>ORD103501</t>
  </si>
  <si>
    <t>CUST9699</t>
  </si>
  <si>
    <t>ORD103502</t>
  </si>
  <si>
    <t>ORD103503</t>
  </si>
  <si>
    <t>CUST9528</t>
  </si>
  <si>
    <t>ORD103504</t>
  </si>
  <si>
    <t>CUST7501</t>
  </si>
  <si>
    <t>ORD103505</t>
  </si>
  <si>
    <t>CUST8677</t>
  </si>
  <si>
    <t>ORD103506</t>
  </si>
  <si>
    <t>ORD103507</t>
  </si>
  <si>
    <t>CUST3332</t>
  </si>
  <si>
    <t>ORD103508</t>
  </si>
  <si>
    <t>CUST5614</t>
  </si>
  <si>
    <t>ORD103509</t>
  </si>
  <si>
    <t>CUST1652</t>
  </si>
  <si>
    <t>ORD103510</t>
  </si>
  <si>
    <t>ORD103511</t>
  </si>
  <si>
    <t>ORD103512</t>
  </si>
  <si>
    <t>ORD103513</t>
  </si>
  <si>
    <t>CUST2119</t>
  </si>
  <si>
    <t>ORD103514</t>
  </si>
  <si>
    <t>CUST4343</t>
  </si>
  <si>
    <t>ORD103515</t>
  </si>
  <si>
    <t>ORD103516</t>
  </si>
  <si>
    <t>ORD103517</t>
  </si>
  <si>
    <t>CUST4639</t>
  </si>
  <si>
    <t>ORD103518</t>
  </si>
  <si>
    <t>ORD103519</t>
  </si>
  <si>
    <t>CUST2770</t>
  </si>
  <si>
    <t>ORD103520</t>
  </si>
  <si>
    <t>CUST4116</t>
  </si>
  <si>
    <t>ORD103521</t>
  </si>
  <si>
    <t>CUST9887</t>
  </si>
  <si>
    <t>ORD103522</t>
  </si>
  <si>
    <t>CUST6910</t>
  </si>
  <si>
    <t>ORD103523</t>
  </si>
  <si>
    <t>CUST2884</t>
  </si>
  <si>
    <t>ORD103524</t>
  </si>
  <si>
    <t>ORD103525</t>
  </si>
  <si>
    <t>CUST3471</t>
  </si>
  <si>
    <t>ORD103526</t>
  </si>
  <si>
    <t>CUST1154</t>
  </si>
  <si>
    <t>ORD103527</t>
  </si>
  <si>
    <t>ORD103528</t>
  </si>
  <si>
    <t>CUST8025</t>
  </si>
  <si>
    <t>ORD103529</t>
  </si>
  <si>
    <t>ORD103530</t>
  </si>
  <si>
    <t>CUST8179</t>
  </si>
  <si>
    <t>ORD103531</t>
  </si>
  <si>
    <t>CUST7097</t>
  </si>
  <si>
    <t>ORD103532</t>
  </si>
  <si>
    <t>ORD103533</t>
  </si>
  <si>
    <t>ORD103534</t>
  </si>
  <si>
    <t>ORD103535</t>
  </si>
  <si>
    <t>ORD103536</t>
  </si>
  <si>
    <t>CUST8915</t>
  </si>
  <si>
    <t>ORD103537</t>
  </si>
  <si>
    <t>CUST9275</t>
  </si>
  <si>
    <t>ORD103538</t>
  </si>
  <si>
    <t>ORD103539</t>
  </si>
  <si>
    <t>ORD103540</t>
  </si>
  <si>
    <t>CUST2100</t>
  </si>
  <si>
    <t>ORD103541</t>
  </si>
  <si>
    <t>ORD103542</t>
  </si>
  <si>
    <t>CUST9778</t>
  </si>
  <si>
    <t>ORD103543</t>
  </si>
  <si>
    <t>CUST9853</t>
  </si>
  <si>
    <t>ORD103544</t>
  </si>
  <si>
    <t>ORD103545</t>
  </si>
  <si>
    <t>ORD103546</t>
  </si>
  <si>
    <t>ORD103547</t>
  </si>
  <si>
    <t>CUST3394</t>
  </si>
  <si>
    <t>ORD103548</t>
  </si>
  <si>
    <t>CUST4690</t>
  </si>
  <si>
    <t>ORD103549</t>
  </si>
  <si>
    <t>CUST9907</t>
  </si>
  <si>
    <t>ORD103550</t>
  </si>
  <si>
    <t>CUST3944</t>
  </si>
  <si>
    <t>ORD103551</t>
  </si>
  <si>
    <t>CUST9917</t>
  </si>
  <si>
    <t>ORD103552</t>
  </si>
  <si>
    <t>ORD103553</t>
  </si>
  <si>
    <t>CUST7761</t>
  </si>
  <si>
    <t>ORD103554</t>
  </si>
  <si>
    <t>CUST8079</t>
  </si>
  <si>
    <t>ORD103555</t>
  </si>
  <si>
    <t>ORD103556</t>
  </si>
  <si>
    <t>CUST7493</t>
  </si>
  <si>
    <t>ORD103557</t>
  </si>
  <si>
    <t>CUST1448</t>
  </si>
  <si>
    <t>ORD103558</t>
  </si>
  <si>
    <t>ORD103559</t>
  </si>
  <si>
    <t>CUST9273</t>
  </si>
  <si>
    <t>ORD103560</t>
  </si>
  <si>
    <t>CUST7860</t>
  </si>
  <si>
    <t>ORD103561</t>
  </si>
  <si>
    <t>CUST2231</t>
  </si>
  <si>
    <t>ORD103562</t>
  </si>
  <si>
    <t>CUST5440</t>
  </si>
  <si>
    <t>ORD103563</t>
  </si>
  <si>
    <t>CUST4977</t>
  </si>
  <si>
    <t>ORD103564</t>
  </si>
  <si>
    <t>CUST6642</t>
  </si>
  <si>
    <t>ORD103565</t>
  </si>
  <si>
    <t>CUST1610</t>
  </si>
  <si>
    <t>ORD103566</t>
  </si>
  <si>
    <t>ORD103567</t>
  </si>
  <si>
    <t>CUST8453</t>
  </si>
  <si>
    <t>ORD103568</t>
  </si>
  <si>
    <t>CUST5731</t>
  </si>
  <si>
    <t>ORD103569</t>
  </si>
  <si>
    <t>ORD103570</t>
  </si>
  <si>
    <t>CUST3444</t>
  </si>
  <si>
    <t>ORD103571</t>
  </si>
  <si>
    <t>CUST5043</t>
  </si>
  <si>
    <t>ORD103572</t>
  </si>
  <si>
    <t>CUST1250</t>
  </si>
  <si>
    <t>ORD103573</t>
  </si>
  <si>
    <t>ORD103574</t>
  </si>
  <si>
    <t>CUST3131</t>
  </si>
  <si>
    <t>ORD103575</t>
  </si>
  <si>
    <t>ORD103576</t>
  </si>
  <si>
    <t>CUST6456</t>
  </si>
  <si>
    <t>ORD103577</t>
  </si>
  <si>
    <t>CUST5788</t>
  </si>
  <si>
    <t>ORD103578</t>
  </si>
  <si>
    <t>CUST1117</t>
  </si>
  <si>
    <t>ORD103579</t>
  </si>
  <si>
    <t>CUST5648</t>
  </si>
  <si>
    <t>ORD103580</t>
  </si>
  <si>
    <t>ORD103581</t>
  </si>
  <si>
    <t>CUST9982</t>
  </si>
  <si>
    <t>ORD103582</t>
  </si>
  <si>
    <t>CUST3698</t>
  </si>
  <si>
    <t>ORD103583</t>
  </si>
  <si>
    <t>CUST1179</t>
  </si>
  <si>
    <t>ORD103584</t>
  </si>
  <si>
    <t>ORD103585</t>
  </si>
  <si>
    <t>ORD103586</t>
  </si>
  <si>
    <t>CUST8975</t>
  </si>
  <si>
    <t>ORD103587</t>
  </si>
  <si>
    <t>ORD103588</t>
  </si>
  <si>
    <t>CUST6604</t>
  </si>
  <si>
    <t>ORD103589</t>
  </si>
  <si>
    <t>CUST2965</t>
  </si>
  <si>
    <t>ORD103590</t>
  </si>
  <si>
    <t>CUST5999</t>
  </si>
  <si>
    <t>ORD103591</t>
  </si>
  <si>
    <t>ORD103592</t>
  </si>
  <si>
    <t>CUST2832</t>
  </si>
  <si>
    <t>ORD103593</t>
  </si>
  <si>
    <t>ORD103594</t>
  </si>
  <si>
    <t>CUST8889</t>
  </si>
  <si>
    <t>ORD103595</t>
  </si>
  <si>
    <t>CUST9011</t>
  </si>
  <si>
    <t>ORD103596</t>
  </si>
  <si>
    <t>CUST7148</t>
  </si>
  <si>
    <t>ORD103597</t>
  </si>
  <si>
    <t>CUST5973</t>
  </si>
  <si>
    <t>ORD103598</t>
  </si>
  <si>
    <t>CUST8795</t>
  </si>
  <si>
    <t>ORD103599</t>
  </si>
  <si>
    <t>CUST5541</t>
  </si>
  <si>
    <t>ORD103600</t>
  </si>
  <si>
    <t>CUST5496</t>
  </si>
  <si>
    <t>ORD103601</t>
  </si>
  <si>
    <t>ORD103602</t>
  </si>
  <si>
    <t>CUST5874</t>
  </si>
  <si>
    <t>ORD103603</t>
  </si>
  <si>
    <t>CUST2745</t>
  </si>
  <si>
    <t>ORD103604</t>
  </si>
  <si>
    <t>ORD103605</t>
  </si>
  <si>
    <t>CUST6312</t>
  </si>
  <si>
    <t>ORD103606</t>
  </si>
  <si>
    <t>CUST3755</t>
  </si>
  <si>
    <t>ORD103607</t>
  </si>
  <si>
    <t>ORD103608</t>
  </si>
  <si>
    <t>ORD103609</t>
  </si>
  <si>
    <t>CUST9082</t>
  </si>
  <si>
    <t>ORD103610</t>
  </si>
  <si>
    <t>CUST8529</t>
  </si>
  <si>
    <t>ORD103611</t>
  </si>
  <si>
    <t>CUST1967</t>
  </si>
  <si>
    <t>ORD103612</t>
  </si>
  <si>
    <t>CUST1458</t>
  </si>
  <si>
    <t>ORD103613</t>
  </si>
  <si>
    <t>CUST3906</t>
  </si>
  <si>
    <t>ORD103614</t>
  </si>
  <si>
    <t>CUST7064</t>
  </si>
  <si>
    <t>ORD103615</t>
  </si>
  <si>
    <t>CUST5215</t>
  </si>
  <si>
    <t>ORD103616</t>
  </si>
  <si>
    <t>ORD103617</t>
  </si>
  <si>
    <t>ORD103618</t>
  </si>
  <si>
    <t>ORD103619</t>
  </si>
  <si>
    <t>CUST3641</t>
  </si>
  <si>
    <t>ORD103620</t>
  </si>
  <si>
    <t>ORD103621</t>
  </si>
  <si>
    <t>ORD103622</t>
  </si>
  <si>
    <t>ORD103623</t>
  </si>
  <si>
    <t>CUST6381</t>
  </si>
  <si>
    <t>ORD103624</t>
  </si>
  <si>
    <t>ORD103625</t>
  </si>
  <si>
    <t>CUST5164</t>
  </si>
  <si>
    <t>ORD103626</t>
  </si>
  <si>
    <t>CUST5635</t>
  </si>
  <si>
    <t>ORD103627</t>
  </si>
  <si>
    <t>ORD103628</t>
  </si>
  <si>
    <t>ORD103629</t>
  </si>
  <si>
    <t>CUST5629</t>
  </si>
  <si>
    <t>ORD103630</t>
  </si>
  <si>
    <t>CUST2958</t>
  </si>
  <si>
    <t>ORD103631</t>
  </si>
  <si>
    <t>CUST6692</t>
  </si>
  <si>
    <t>ORD103632</t>
  </si>
  <si>
    <t>CUST1622</t>
  </si>
  <si>
    <t>ORD103633</t>
  </si>
  <si>
    <t>CUST4959</t>
  </si>
  <si>
    <t>ORD103634</t>
  </si>
  <si>
    <t>CUST3381</t>
  </si>
  <si>
    <t>ORD103635</t>
  </si>
  <si>
    <t>CUST7099</t>
  </si>
  <si>
    <t>ORD103636</t>
  </si>
  <si>
    <t>CUST7890</t>
  </si>
  <si>
    <t>ORD103637</t>
  </si>
  <si>
    <t>CUST9916</t>
  </si>
  <si>
    <t>ORD103638</t>
  </si>
  <si>
    <t>CUST8470</t>
  </si>
  <si>
    <t>ORD103639</t>
  </si>
  <si>
    <t>CUST1210</t>
  </si>
  <si>
    <t>ORD103640</t>
  </si>
  <si>
    <t>CUST1826</t>
  </si>
  <si>
    <t>ORD103641</t>
  </si>
  <si>
    <t>CUST1261</t>
  </si>
  <si>
    <t>ORD103642</t>
  </si>
  <si>
    <t>CUST8649</t>
  </si>
  <si>
    <t>ORD103643</t>
  </si>
  <si>
    <t>CUST7992</t>
  </si>
  <si>
    <t>ORD103644</t>
  </si>
  <si>
    <t>CUST6252</t>
  </si>
  <si>
    <t>ORD103645</t>
  </si>
  <si>
    <t>ORD103646</t>
  </si>
  <si>
    <t>CUST5330</t>
  </si>
  <si>
    <t>ORD103647</t>
  </si>
  <si>
    <t>CUST4124</t>
  </si>
  <si>
    <t>ORD103648</t>
  </si>
  <si>
    <t>CUST6042</t>
  </si>
  <si>
    <t>ORD103649</t>
  </si>
  <si>
    <t>CUST7616</t>
  </si>
  <si>
    <t>ORD103650</t>
  </si>
  <si>
    <t>CUST5456</t>
  </si>
  <si>
    <t>ORD103651</t>
  </si>
  <si>
    <t>CUST3482</t>
  </si>
  <si>
    <t>ORD103652</t>
  </si>
  <si>
    <t>CUST2742</t>
  </si>
  <si>
    <t>ORD103653</t>
  </si>
  <si>
    <t>ORD103654</t>
  </si>
  <si>
    <t>CUST9804</t>
  </si>
  <si>
    <t>ORD103655</t>
  </si>
  <si>
    <t>CUST4547</t>
  </si>
  <si>
    <t>ORD103656</t>
  </si>
  <si>
    <t>CUST6173</t>
  </si>
  <si>
    <t>ORD103657</t>
  </si>
  <si>
    <t>ORD103658</t>
  </si>
  <si>
    <t>ORD103659</t>
  </si>
  <si>
    <t>CUST8609</t>
  </si>
  <si>
    <t>ORD103660</t>
  </si>
  <si>
    <t>ORD103661</t>
  </si>
  <si>
    <t>CUST3757</t>
  </si>
  <si>
    <t>ORD103662</t>
  </si>
  <si>
    <t>CUST1171</t>
  </si>
  <si>
    <t>ORD103663</t>
  </si>
  <si>
    <t>ORD103664</t>
  </si>
  <si>
    <t>CUST6960</t>
  </si>
  <si>
    <t>ORD103665</t>
  </si>
  <si>
    <t>CUST6245</t>
  </si>
  <si>
    <t>ORD103666</t>
  </si>
  <si>
    <t>CUST8127</t>
  </si>
  <si>
    <t>ORD103667</t>
  </si>
  <si>
    <t>CUST3973</t>
  </si>
  <si>
    <t>ORD103668</t>
  </si>
  <si>
    <t>CUST6030</t>
  </si>
  <si>
    <t>ORD103669</t>
  </si>
  <si>
    <t>CUST1379</t>
  </si>
  <si>
    <t>ORD103670</t>
  </si>
  <si>
    <t>CUST7356</t>
  </si>
  <si>
    <t>ORD103671</t>
  </si>
  <si>
    <t>CUST6013</t>
  </si>
  <si>
    <t>ORD103672</t>
  </si>
  <si>
    <t>ORD103673</t>
  </si>
  <si>
    <t>ORD103674</t>
  </si>
  <si>
    <t>CUST9980</t>
  </si>
  <si>
    <t>ORD103675</t>
  </si>
  <si>
    <t>ORD103676</t>
  </si>
  <si>
    <t>ORD103677</t>
  </si>
  <si>
    <t>CUST6603</t>
  </si>
  <si>
    <t>ORD103678</t>
  </si>
  <si>
    <t>ORD103679</t>
  </si>
  <si>
    <t>CUST8109</t>
  </si>
  <si>
    <t>ORD103680</t>
  </si>
  <si>
    <t>ORD103681</t>
  </si>
  <si>
    <t>CUST4370</t>
  </si>
  <si>
    <t>ORD103682</t>
  </si>
  <si>
    <t>CUST4993</t>
  </si>
  <si>
    <t>ORD103683</t>
  </si>
  <si>
    <t>ORD103684</t>
  </si>
  <si>
    <t>CUST3705</t>
  </si>
  <si>
    <t>ORD103685</t>
  </si>
  <si>
    <t>ORD103686</t>
  </si>
  <si>
    <t>CUST7492</t>
  </si>
  <si>
    <t>ORD103687</t>
  </si>
  <si>
    <t>CUST1173</t>
  </si>
  <si>
    <t>ORD103688</t>
  </si>
  <si>
    <t>CUST1326</t>
  </si>
  <si>
    <t>ORD103689</t>
  </si>
  <si>
    <t>ORD103690</t>
  </si>
  <si>
    <t>ORD103691</t>
  </si>
  <si>
    <t>CUST5866</t>
  </si>
  <si>
    <t>ORD103692</t>
  </si>
  <si>
    <t>CUST7269</t>
  </si>
  <si>
    <t>ORD103693</t>
  </si>
  <si>
    <t>CUST6130</t>
  </si>
  <si>
    <t>ORD103694</t>
  </si>
  <si>
    <t>ORD103695</t>
  </si>
  <si>
    <t>ORD103696</t>
  </si>
  <si>
    <t>CUST6737</t>
  </si>
  <si>
    <t>ORD103697</t>
  </si>
  <si>
    <t>ORD103698</t>
  </si>
  <si>
    <t>CUST4863</t>
  </si>
  <si>
    <t>ORD103699</t>
  </si>
  <si>
    <t>CUST3225</t>
  </si>
  <si>
    <t>ORD103700</t>
  </si>
  <si>
    <t>CUST4475</t>
  </si>
  <si>
    <t>ORD103701</t>
  </si>
  <si>
    <t>CUST9319</t>
  </si>
  <si>
    <t>ORD103702</t>
  </si>
  <si>
    <t>ORD103703</t>
  </si>
  <si>
    <t>CUST3022</t>
  </si>
  <si>
    <t>ORD103704</t>
  </si>
  <si>
    <t>CUST5512</t>
  </si>
  <si>
    <t>ORD103705</t>
  </si>
  <si>
    <t>CUST3366</t>
  </si>
  <si>
    <t>ORD103706</t>
  </si>
  <si>
    <t>ORD103707</t>
  </si>
  <si>
    <t>CUST6486</t>
  </si>
  <si>
    <t>ORD103708</t>
  </si>
  <si>
    <t>CUST6359</t>
  </si>
  <si>
    <t>ORD103709</t>
  </si>
  <si>
    <t>CUST7381</t>
  </si>
  <si>
    <t>ORD103710</t>
  </si>
  <si>
    <t>CUST2636</t>
  </si>
  <si>
    <t>ORD103711</t>
  </si>
  <si>
    <t>CUST5159</t>
  </si>
  <si>
    <t>ORD103712</t>
  </si>
  <si>
    <t>CUST9684</t>
  </si>
  <si>
    <t>ORD103713</t>
  </si>
  <si>
    <t>CUST4151</t>
  </si>
  <si>
    <t>ORD103714</t>
  </si>
  <si>
    <t>CUST8928</t>
  </si>
  <si>
    <t>ORD103715</t>
  </si>
  <si>
    <t>CUST8508</t>
  </si>
  <si>
    <t>ORD103716</t>
  </si>
  <si>
    <t>CUST3353</t>
  </si>
  <si>
    <t>ORD103717</t>
  </si>
  <si>
    <t>CUST3562</t>
  </si>
  <si>
    <t>ORD103718</t>
  </si>
  <si>
    <t>CUST1038</t>
  </si>
  <si>
    <t>ORD103719</t>
  </si>
  <si>
    <t>CUST6496</t>
  </si>
  <si>
    <t>ORD103720</t>
  </si>
  <si>
    <t>CUST1946</t>
  </si>
  <si>
    <t>ORD103721</t>
  </si>
  <si>
    <t>ORD103722</t>
  </si>
  <si>
    <t>CUST4057</t>
  </si>
  <si>
    <t>ORD103723</t>
  </si>
  <si>
    <t>ORD103724</t>
  </si>
  <si>
    <t>ORD103725</t>
  </si>
  <si>
    <t>CUST2559</t>
  </si>
  <si>
    <t>ORD103726</t>
  </si>
  <si>
    <t>ORD103727</t>
  </si>
  <si>
    <t>ORD103728</t>
  </si>
  <si>
    <t>CUST7549</t>
  </si>
  <si>
    <t>ORD103729</t>
  </si>
  <si>
    <t>ORD103730</t>
  </si>
  <si>
    <t>CUST2176</t>
  </si>
  <si>
    <t>ORD103731</t>
  </si>
  <si>
    <t>ORD103732</t>
  </si>
  <si>
    <t>CUST8811</t>
  </si>
  <si>
    <t>ORD103733</t>
  </si>
  <si>
    <t>CUST1468</t>
  </si>
  <si>
    <t>ORD103734</t>
  </si>
  <si>
    <t>CUST7359</t>
  </si>
  <si>
    <t>ORD103735</t>
  </si>
  <si>
    <t>CUST4421</t>
  </si>
  <si>
    <t>ORD103736</t>
  </si>
  <si>
    <t>CUST9230</t>
  </si>
  <si>
    <t>ORD103737</t>
  </si>
  <si>
    <t>ORD103738</t>
  </si>
  <si>
    <t>ORD103739</t>
  </si>
  <si>
    <t>CUST5242</t>
  </si>
  <si>
    <t>ORD103740</t>
  </si>
  <si>
    <t>CUST7360</t>
  </si>
  <si>
    <t>ORD103741</t>
  </si>
  <si>
    <t>ORD103742</t>
  </si>
  <si>
    <t>CUST3099</t>
  </si>
  <si>
    <t>ORD103743</t>
  </si>
  <si>
    <t>ORD103744</t>
  </si>
  <si>
    <t>CUST4005</t>
  </si>
  <si>
    <t>ORD103745</t>
  </si>
  <si>
    <t>CUST8349</t>
  </si>
  <si>
    <t>ORD103746</t>
  </si>
  <si>
    <t>CUST3207</t>
  </si>
  <si>
    <t>ORD103747</t>
  </si>
  <si>
    <t>ORD103748</t>
  </si>
  <si>
    <t>ORD103749</t>
  </si>
  <si>
    <t>CUST9545</t>
  </si>
  <si>
    <t>ORD103750</t>
  </si>
  <si>
    <t>CUST1579</t>
  </si>
  <si>
    <t>ORD103751</t>
  </si>
  <si>
    <t>ORD103752</t>
  </si>
  <si>
    <t>ORD103753</t>
  </si>
  <si>
    <t>CUST7713</t>
  </si>
  <si>
    <t>ORD103754</t>
  </si>
  <si>
    <t>CUST1305</t>
  </si>
  <si>
    <t>ORD103755</t>
  </si>
  <si>
    <t>ORD103756</t>
  </si>
  <si>
    <t>CUST6029</t>
  </si>
  <si>
    <t>ORD103757</t>
  </si>
  <si>
    <t>ORD103758</t>
  </si>
  <si>
    <t>CUST5889</t>
  </si>
  <si>
    <t>ORD103759</t>
  </si>
  <si>
    <t>CUST6402</t>
  </si>
  <si>
    <t>ORD103760</t>
  </si>
  <si>
    <t>CUST6682</t>
  </si>
  <si>
    <t>ORD103761</t>
  </si>
  <si>
    <t>CUST6995</t>
  </si>
  <si>
    <t>ORD103762</t>
  </si>
  <si>
    <t>CUST4597</t>
  </si>
  <si>
    <t>ORD103763</t>
  </si>
  <si>
    <t>CUST6736</t>
  </si>
  <si>
    <t>ORD103764</t>
  </si>
  <si>
    <t>ORD103765</t>
  </si>
  <si>
    <t>CUST2981</t>
  </si>
  <si>
    <t>ORD103766</t>
  </si>
  <si>
    <t>CUST7473</t>
  </si>
  <si>
    <t>ORD103767</t>
  </si>
  <si>
    <t>ORD103768</t>
  </si>
  <si>
    <t>ORD103769</t>
  </si>
  <si>
    <t>ORD103770</t>
  </si>
  <si>
    <t>CUST6946</t>
  </si>
  <si>
    <t>ORD103771</t>
  </si>
  <si>
    <t>CUST3092</t>
  </si>
  <si>
    <t>ORD103772</t>
  </si>
  <si>
    <t>CUST7928</t>
  </si>
  <si>
    <t>ORD103773</t>
  </si>
  <si>
    <t>CUST3481</t>
  </si>
  <si>
    <t>ORD103774</t>
  </si>
  <si>
    <t>CUST6980</t>
  </si>
  <si>
    <t>ORD103775</t>
  </si>
  <si>
    <t>ORD103776</t>
  </si>
  <si>
    <t>CUST5051</t>
  </si>
  <si>
    <t>ORD103777</t>
  </si>
  <si>
    <t>CUST8206</t>
  </si>
  <si>
    <t>ORD103778</t>
  </si>
  <si>
    <t>CUST3182</t>
  </si>
  <si>
    <t>ORD103779</t>
  </si>
  <si>
    <t>ORD103780</t>
  </si>
  <si>
    <t>CUST3155</t>
  </si>
  <si>
    <t>ORD103781</t>
  </si>
  <si>
    <t>CUST4833</t>
  </si>
  <si>
    <t>ORD103782</t>
  </si>
  <si>
    <t>CUST8278</t>
  </si>
  <si>
    <t>ORD103783</t>
  </si>
  <si>
    <t>CUST2398</t>
  </si>
  <si>
    <t>ORD103784</t>
  </si>
  <si>
    <t>CUST5807</t>
  </si>
  <si>
    <t>ORD103785</t>
  </si>
  <si>
    <t>ORD103786</t>
  </si>
  <si>
    <t>CUST5863</t>
  </si>
  <si>
    <t>ORD103787</t>
  </si>
  <si>
    <t>CUST2666</t>
  </si>
  <si>
    <t>ORD103788</t>
  </si>
  <si>
    <t>CUST1680</t>
  </si>
  <si>
    <t>ORD103789</t>
  </si>
  <si>
    <t>ORD103790</t>
  </si>
  <si>
    <t>ORD103791</t>
  </si>
  <si>
    <t>ORD103792</t>
  </si>
  <si>
    <t>ORD103793</t>
  </si>
  <si>
    <t>ORD103794</t>
  </si>
  <si>
    <t>ORD103795</t>
  </si>
  <si>
    <t>CUST3169</t>
  </si>
  <si>
    <t>ORD103796</t>
  </si>
  <si>
    <t>CUST2818</t>
  </si>
  <si>
    <t>ORD103797</t>
  </si>
  <si>
    <t>CUST3521</t>
  </si>
  <si>
    <t>ORD103798</t>
  </si>
  <si>
    <t>CUST3669</t>
  </si>
  <si>
    <t>ORD103799</t>
  </si>
  <si>
    <t>CUST2929</t>
  </si>
  <si>
    <t>ORD103800</t>
  </si>
  <si>
    <t>ORD103801</t>
  </si>
  <si>
    <t>CUST7775</t>
  </si>
  <si>
    <t>ORD103802</t>
  </si>
  <si>
    <t>ORD103803</t>
  </si>
  <si>
    <t>CUST8517</t>
  </si>
  <si>
    <t>ORD103804</t>
  </si>
  <si>
    <t>ORD103805</t>
  </si>
  <si>
    <t>ORD103806</t>
  </si>
  <si>
    <t>ORD103807</t>
  </si>
  <si>
    <t>CUST8760</t>
  </si>
  <si>
    <t>ORD103808</t>
  </si>
  <si>
    <t>CUST5902</t>
  </si>
  <si>
    <t>ORD103809</t>
  </si>
  <si>
    <t>ORD103810</t>
  </si>
  <si>
    <t>CUST9537</t>
  </si>
  <si>
    <t>ORD103811</t>
  </si>
  <si>
    <t>CUST6068</t>
  </si>
  <si>
    <t>ORD103812</t>
  </si>
  <si>
    <t>CUST6424</t>
  </si>
  <si>
    <t>ORD103813</t>
  </si>
  <si>
    <t>CUST9462</t>
  </si>
  <si>
    <t>ORD103814</t>
  </si>
  <si>
    <t>ORD103815</t>
  </si>
  <si>
    <t>ORD103816</t>
  </si>
  <si>
    <t>ORD103817</t>
  </si>
  <si>
    <t>CUST2875</t>
  </si>
  <si>
    <t>ORD103818</t>
  </si>
  <si>
    <t>CUST8865</t>
  </si>
  <si>
    <t>ORD103819</t>
  </si>
  <si>
    <t>CUST5111</t>
  </si>
  <si>
    <t>ORD103820</t>
  </si>
  <si>
    <t>CUST5907</t>
  </si>
  <si>
    <t>ORD103821</t>
  </si>
  <si>
    <t>ORD103822</t>
  </si>
  <si>
    <t>CUST9060</t>
  </si>
  <si>
    <t>ORD103823</t>
  </si>
  <si>
    <t>CUST8257</t>
  </si>
  <si>
    <t>ORD103824</t>
  </si>
  <si>
    <t>ORD103825</t>
  </si>
  <si>
    <t>ORD103826</t>
  </si>
  <si>
    <t>CUST8679</t>
  </si>
  <si>
    <t>ORD103827</t>
  </si>
  <si>
    <t>CUST6439</t>
  </si>
  <si>
    <t>ORD103828</t>
  </si>
  <si>
    <t>CUST8978</t>
  </si>
  <si>
    <t>ORD103829</t>
  </si>
  <si>
    <t>CUST9379</t>
  </si>
  <si>
    <t>ORD103830</t>
  </si>
  <si>
    <t>ORD103831</t>
  </si>
  <si>
    <t>CUST6132</t>
  </si>
  <si>
    <t>ORD103832</t>
  </si>
  <si>
    <t>CUST6659</t>
  </si>
  <si>
    <t>ORD103833</t>
  </si>
  <si>
    <t>ORD103834</t>
  </si>
  <si>
    <t>CUST4894</t>
  </si>
  <si>
    <t>ORD103835</t>
  </si>
  <si>
    <t>CUST2943</t>
  </si>
  <si>
    <t>ORD103836</t>
  </si>
  <si>
    <t>ORD103837</t>
  </si>
  <si>
    <t>ORD103838</t>
  </si>
  <si>
    <t>CUST3315</t>
  </si>
  <si>
    <t>ORD103839</t>
  </si>
  <si>
    <t>CUST9287</t>
  </si>
  <si>
    <t>ORD103840</t>
  </si>
  <si>
    <t>CUST1581</t>
  </si>
  <si>
    <t>ORD103841</t>
  </si>
  <si>
    <t>CUST5819</t>
  </si>
  <si>
    <t>ORD103842</t>
  </si>
  <si>
    <t>ORD103843</t>
  </si>
  <si>
    <t>CUST8017</t>
  </si>
  <si>
    <t>ORD103844</t>
  </si>
  <si>
    <t>CUST3604</t>
  </si>
  <si>
    <t>ORD103845</t>
  </si>
  <si>
    <t>ORD103846</t>
  </si>
  <si>
    <t>CUST1402</t>
  </si>
  <si>
    <t>ORD103847</t>
  </si>
  <si>
    <t>ORD103848</t>
  </si>
  <si>
    <t>ORD103849</t>
  </si>
  <si>
    <t>CUST8188</t>
  </si>
  <si>
    <t>ORD103850</t>
  </si>
  <si>
    <t>CUST8491</t>
  </si>
  <si>
    <t>ORD103851</t>
  </si>
  <si>
    <t>CUST4004</t>
  </si>
  <si>
    <t>ORD103852</t>
  </si>
  <si>
    <t>ORD103853</t>
  </si>
  <si>
    <t>ORD103854</t>
  </si>
  <si>
    <t>ORD103855</t>
  </si>
  <si>
    <t>CUST2566</t>
  </si>
  <si>
    <t>ORD103856</t>
  </si>
  <si>
    <t>CUST8778</t>
  </si>
  <si>
    <t>ORD103857</t>
  </si>
  <si>
    <t>CUST2966</t>
  </si>
  <si>
    <t>ORD103858</t>
  </si>
  <si>
    <t>ORD103859</t>
  </si>
  <si>
    <t>CUST7480</t>
  </si>
  <si>
    <t>ORD103860</t>
  </si>
  <si>
    <t>CUST8513</t>
  </si>
  <si>
    <t>ORD103861</t>
  </si>
  <si>
    <t>ORD103862</t>
  </si>
  <si>
    <t>ORD103863</t>
  </si>
  <si>
    <t>ORD103864</t>
  </si>
  <si>
    <t>ORD103865</t>
  </si>
  <si>
    <t>ORD103866</t>
  </si>
  <si>
    <t>CUST6021</t>
  </si>
  <si>
    <t>ORD103867</t>
  </si>
  <si>
    <t>ORD103868</t>
  </si>
  <si>
    <t>CUST9446</t>
  </si>
  <si>
    <t>ORD103869</t>
  </si>
  <si>
    <t>CUST7911</t>
  </si>
  <si>
    <t>ORD103870</t>
  </si>
  <si>
    <t>ORD103871</t>
  </si>
  <si>
    <t>ORD103872</t>
  </si>
  <si>
    <t>ORD103873</t>
  </si>
  <si>
    <t>ORD103874</t>
  </si>
  <si>
    <t>CUST2082</t>
  </si>
  <si>
    <t>ORD103875</t>
  </si>
  <si>
    <t>CUST6190</t>
  </si>
  <si>
    <t>ORD103876</t>
  </si>
  <si>
    <t>CUST3567</t>
  </si>
  <si>
    <t>ORD103877</t>
  </si>
  <si>
    <t>CUST9361</t>
  </si>
  <si>
    <t>ORD103878</t>
  </si>
  <si>
    <t>CUST6162</t>
  </si>
  <si>
    <t>ORD103879</t>
  </si>
  <si>
    <t>CUST2572</t>
  </si>
  <si>
    <t>ORD103880</t>
  </si>
  <si>
    <t>CUST3501</t>
  </si>
  <si>
    <t>ORD103881</t>
  </si>
  <si>
    <t>CUST8474</t>
  </si>
  <si>
    <t>ORD103882</t>
  </si>
  <si>
    <t>CUST9118</t>
  </si>
  <si>
    <t>ORD103883</t>
  </si>
  <si>
    <t>CUST7494</t>
  </si>
  <si>
    <t>ORD103884</t>
  </si>
  <si>
    <t>CUST3950</t>
  </si>
  <si>
    <t>ORD103885</t>
  </si>
  <si>
    <t>CUST3012</t>
  </si>
  <si>
    <t>ORD103886</t>
  </si>
  <si>
    <t>CUST7495</t>
  </si>
  <si>
    <t>ORD103887</t>
  </si>
  <si>
    <t>CUST5583</t>
  </si>
  <si>
    <t>ORD103888</t>
  </si>
  <si>
    <t>CUST3978</t>
  </si>
  <si>
    <t>ORD103889</t>
  </si>
  <si>
    <t>ORD103890</t>
  </si>
  <si>
    <t>CUST1897</t>
  </si>
  <si>
    <t>ORD103891</t>
  </si>
  <si>
    <t>CUST1701</t>
  </si>
  <si>
    <t>ORD103892</t>
  </si>
  <si>
    <t>ORD103893</t>
  </si>
  <si>
    <t>CUST1301</t>
  </si>
  <si>
    <t>ORD103894</t>
  </si>
  <si>
    <t>CUST7520</t>
  </si>
  <si>
    <t>ORD103895</t>
  </si>
  <si>
    <t>ORD103896</t>
  </si>
  <si>
    <t>ORD103897</t>
  </si>
  <si>
    <t>CUST3966</t>
  </si>
  <si>
    <t>ORD103898</t>
  </si>
  <si>
    <t>CUST5816</t>
  </si>
  <si>
    <t>ORD103899</t>
  </si>
  <si>
    <t>ORD103900</t>
  </si>
  <si>
    <t>ORD103901</t>
  </si>
  <si>
    <t>CUST4247</t>
  </si>
  <si>
    <t>ORD103902</t>
  </si>
  <si>
    <t>CUST8748</t>
  </si>
  <si>
    <t>ORD103903</t>
  </si>
  <si>
    <t>ORD103904</t>
  </si>
  <si>
    <t>ORD103905</t>
  </si>
  <si>
    <t>ORD103906</t>
  </si>
  <si>
    <t>CUST8531</t>
  </si>
  <si>
    <t>ORD103907</t>
  </si>
  <si>
    <t>CUST5765</t>
  </si>
  <si>
    <t>ORD103908</t>
  </si>
  <si>
    <t>CUST7108</t>
  </si>
  <si>
    <t>ORD103909</t>
  </si>
  <si>
    <t>CUST8787</t>
  </si>
  <si>
    <t>ORD103910</t>
  </si>
  <si>
    <t>CUST3509</t>
  </si>
  <si>
    <t>ORD103911</t>
  </si>
  <si>
    <t>CUST7072</t>
  </si>
  <si>
    <t>ORD103912</t>
  </si>
  <si>
    <t>CUST4664</t>
  </si>
  <si>
    <t>ORD103913</t>
  </si>
  <si>
    <t>ORD103914</t>
  </si>
  <si>
    <t>CUST3546</t>
  </si>
  <si>
    <t>ORD103915</t>
  </si>
  <si>
    <t>ORD103916</t>
  </si>
  <si>
    <t>ORD103917</t>
  </si>
  <si>
    <t>CUST3700</t>
  </si>
  <si>
    <t>ORD103918</t>
  </si>
  <si>
    <t>CUST1186</t>
  </si>
  <si>
    <t>ORD103919</t>
  </si>
  <si>
    <t>ORD103920</t>
  </si>
  <si>
    <t>CUST8648</t>
  </si>
  <si>
    <t>ORD103921</t>
  </si>
  <si>
    <t>CUST4032</t>
  </si>
  <si>
    <t>ORD103922</t>
  </si>
  <si>
    <t>CUST9798</t>
  </si>
  <si>
    <t>ORD103923</t>
  </si>
  <si>
    <t>CUST3992</t>
  </si>
  <si>
    <t>ORD103924</t>
  </si>
  <si>
    <t>CUST5487</t>
  </si>
  <si>
    <t>ORD103925</t>
  </si>
  <si>
    <t>CUST5857</t>
  </si>
  <si>
    <t>ORD103926</t>
  </si>
  <si>
    <t>ORD103927</t>
  </si>
  <si>
    <t>CUST7725</t>
  </si>
  <si>
    <t>ORD103928</t>
  </si>
  <si>
    <t>CUST1696</t>
  </si>
  <si>
    <t>ORD103929</t>
  </si>
  <si>
    <t>ORD103930</t>
  </si>
  <si>
    <t>ORD103931</t>
  </si>
  <si>
    <t>CUST9959</t>
  </si>
  <si>
    <t>ORD103932</t>
  </si>
  <si>
    <t>CUST8979</t>
  </si>
  <si>
    <t>ORD103933</t>
  </si>
  <si>
    <t>CUST5227</t>
  </si>
  <si>
    <t>ORD103934</t>
  </si>
  <si>
    <t>ORD103935</t>
  </si>
  <si>
    <t>CUST4039</t>
  </si>
  <si>
    <t>ORD103936</t>
  </si>
  <si>
    <t>CUST6640</t>
  </si>
  <si>
    <t>ORD103937</t>
  </si>
  <si>
    <t>CUST6246</t>
  </si>
  <si>
    <t>ORD103938</t>
  </si>
  <si>
    <t>CUST9351</t>
  </si>
  <si>
    <t>ORD103939</t>
  </si>
  <si>
    <t>CUST2667</t>
  </si>
  <si>
    <t>ORD103940</t>
  </si>
  <si>
    <t>ORD103941</t>
  </si>
  <si>
    <t>CUST2424</t>
  </si>
  <si>
    <t>ORD103942</t>
  </si>
  <si>
    <t>CUST5831</t>
  </si>
  <si>
    <t>ORD103943</t>
  </si>
  <si>
    <t>ORD103944</t>
  </si>
  <si>
    <t>CUST2404</t>
  </si>
  <si>
    <t>ORD103945</t>
  </si>
  <si>
    <t>ORD103946</t>
  </si>
  <si>
    <t>CUST3537</t>
  </si>
  <si>
    <t>ORD103947</t>
  </si>
  <si>
    <t>ORD103948</t>
  </si>
  <si>
    <t>ORD103949</t>
  </si>
  <si>
    <t>ORD103950</t>
  </si>
  <si>
    <t>CUST7448</t>
  </si>
  <si>
    <t>ORD103951</t>
  </si>
  <si>
    <t>CUST7794</t>
  </si>
  <si>
    <t>ORD103952</t>
  </si>
  <si>
    <t>CUST2705</t>
  </si>
  <si>
    <t>ORD103953</t>
  </si>
  <si>
    <t>CUST4942</t>
  </si>
  <si>
    <t>ORD103954</t>
  </si>
  <si>
    <t>ORD103955</t>
  </si>
  <si>
    <t>CUST3525</t>
  </si>
  <si>
    <t>ORD103956</t>
  </si>
  <si>
    <t>CUST3619</t>
  </si>
  <si>
    <t>ORD103957</t>
  </si>
  <si>
    <t>ORD103958</t>
  </si>
  <si>
    <t>CUST4874</t>
  </si>
  <si>
    <t>ORD103959</t>
  </si>
  <si>
    <t>ORD103960</t>
  </si>
  <si>
    <t>CUST9922</t>
  </si>
  <si>
    <t>ORD103961</t>
  </si>
  <si>
    <t>CUST8732</t>
  </si>
  <si>
    <t>ORD103962</t>
  </si>
  <si>
    <t>CUST6983</t>
  </si>
  <si>
    <t>ORD103963</t>
  </si>
  <si>
    <t>CUST6948</t>
  </si>
  <si>
    <t>ORD103964</t>
  </si>
  <si>
    <t>CUST6218</t>
  </si>
  <si>
    <t>ORD103965</t>
  </si>
  <si>
    <t>CUST4113</t>
  </si>
  <si>
    <t>ORD103966</t>
  </si>
  <si>
    <t>CUST1962</t>
  </si>
  <si>
    <t>ORD103967</t>
  </si>
  <si>
    <t>ORD103968</t>
  </si>
  <si>
    <t>CUST5923</t>
  </si>
  <si>
    <t>ORD103969</t>
  </si>
  <si>
    <t>CUST6100</t>
  </si>
  <si>
    <t>ORD103970</t>
  </si>
  <si>
    <t>ORD103971</t>
  </si>
  <si>
    <t>CUST9754</t>
  </si>
  <si>
    <t>ORD103972</t>
  </si>
  <si>
    <t>ORD103973</t>
  </si>
  <si>
    <t>ORD103974</t>
  </si>
  <si>
    <t>CUST7041</t>
  </si>
  <si>
    <t>ORD103975</t>
  </si>
  <si>
    <t>ORD103976</t>
  </si>
  <si>
    <t>ORD103977</t>
  </si>
  <si>
    <t>ORD103978</t>
  </si>
  <si>
    <t>CUST8914</t>
  </si>
  <si>
    <t>ORD103979</t>
  </si>
  <si>
    <t>CUST6326</t>
  </si>
  <si>
    <t>ORD103980</t>
  </si>
  <si>
    <t>CUST6125</t>
  </si>
  <si>
    <t>ORD103981</t>
  </si>
  <si>
    <t>CUST9266</t>
  </si>
  <si>
    <t>ORD103982</t>
  </si>
  <si>
    <t>CUST1932</t>
  </si>
  <si>
    <t>ORD103983</t>
  </si>
  <si>
    <t>CUST1451</t>
  </si>
  <si>
    <t>ORD103984</t>
  </si>
  <si>
    <t>ORD103985</t>
  </si>
  <si>
    <t>CUST4354</t>
  </si>
  <si>
    <t>ORD103986</t>
  </si>
  <si>
    <t>ORD103987</t>
  </si>
  <si>
    <t>CUST9883</t>
  </si>
  <si>
    <t>ORD103988</t>
  </si>
  <si>
    <t>ORD103989</t>
  </si>
  <si>
    <t>ORD103990</t>
  </si>
  <si>
    <t>CUST7774</t>
  </si>
  <si>
    <t>ORD103991</t>
  </si>
  <si>
    <t>ORD103992</t>
  </si>
  <si>
    <t>ORD103993</t>
  </si>
  <si>
    <t>ORD103994</t>
  </si>
  <si>
    <t>ORD103995</t>
  </si>
  <si>
    <t>CUST1352</t>
  </si>
  <si>
    <t>ORD103996</t>
  </si>
  <si>
    <t>CUST8358</t>
  </si>
  <si>
    <t>ORD103997</t>
  </si>
  <si>
    <t>CUST8003</t>
  </si>
  <si>
    <t>ORD103998</t>
  </si>
  <si>
    <t>ORD103999</t>
  </si>
  <si>
    <t>ORD104000</t>
  </si>
  <si>
    <t>CUST4264</t>
  </si>
  <si>
    <t>ORD104001</t>
  </si>
  <si>
    <t>CUST9167</t>
  </si>
  <si>
    <t>ORD104002</t>
  </si>
  <si>
    <t>ORD104003</t>
  </si>
  <si>
    <t>CUST5198</t>
  </si>
  <si>
    <t>ORD104004</t>
  </si>
  <si>
    <t>CUST8455</t>
  </si>
  <si>
    <t>ORD104005</t>
  </si>
  <si>
    <t>CUST9816</t>
  </si>
  <si>
    <t>ORD104006</t>
  </si>
  <si>
    <t>CUST1761</t>
  </si>
  <si>
    <t>ORD104007</t>
  </si>
  <si>
    <t>CUST9241</t>
  </si>
  <si>
    <t>ORD104008</t>
  </si>
  <si>
    <t>CUST6828</t>
  </si>
  <si>
    <t>ORD104009</t>
  </si>
  <si>
    <t>CUST3739</t>
  </si>
  <si>
    <t>ORD104010</t>
  </si>
  <si>
    <t>ORD104011</t>
  </si>
  <si>
    <t>CUST5901</t>
  </si>
  <si>
    <t>ORD104012</t>
  </si>
  <si>
    <t>CUST7092</t>
  </si>
  <si>
    <t>ORD104013</t>
  </si>
  <si>
    <t>CUST3412</t>
  </si>
  <si>
    <t>ORD104014</t>
  </si>
  <si>
    <t>ORD104015</t>
  </si>
  <si>
    <t>CUST3869</t>
  </si>
  <si>
    <t>ORD104016</t>
  </si>
  <si>
    <t>CUST1242</t>
  </si>
  <si>
    <t>ORD104017</t>
  </si>
  <si>
    <t>CUST3249</t>
  </si>
  <si>
    <t>ORD104018</t>
  </si>
  <si>
    <t>CUST6858</t>
  </si>
  <si>
    <t>ORD104019</t>
  </si>
  <si>
    <t>CUST2936</t>
  </si>
  <si>
    <t>ORD104020</t>
  </si>
  <si>
    <t>CUST2130</t>
  </si>
  <si>
    <t>ORD104021</t>
  </si>
  <si>
    <t>CUST2139</t>
  </si>
  <si>
    <t>ORD104022</t>
  </si>
  <si>
    <t>CUST8880</t>
  </si>
  <si>
    <t>ORD104023</t>
  </si>
  <si>
    <t>CUST4197</t>
  </si>
  <si>
    <t>ORD104024</t>
  </si>
  <si>
    <t>ORD104025</t>
  </si>
  <si>
    <t>CUST8419</t>
  </si>
  <si>
    <t>ORD104026</t>
  </si>
  <si>
    <t>CUST8501</t>
  </si>
  <si>
    <t>ORD104027</t>
  </si>
  <si>
    <t>ORD104028</t>
  </si>
  <si>
    <t>CUST1963</t>
  </si>
  <si>
    <t>ORD104029</t>
  </si>
  <si>
    <t>CUST5317</t>
  </si>
  <si>
    <t>ORD104030</t>
  </si>
  <si>
    <t>CUST9742</t>
  </si>
  <si>
    <t>ORD104031</t>
  </si>
  <si>
    <t>CUST2353</t>
  </si>
  <si>
    <t>ORD104032</t>
  </si>
  <si>
    <t>CUST8515</t>
  </si>
  <si>
    <t>ORD104033</t>
  </si>
  <si>
    <t>ORD104034</t>
  </si>
  <si>
    <t>CUST1845</t>
  </si>
  <si>
    <t>ORD104035</t>
  </si>
  <si>
    <t>CUST4945</t>
  </si>
  <si>
    <t>ORD104036</t>
  </si>
  <si>
    <t>ORD104037</t>
  </si>
  <si>
    <t>CUST1890</t>
  </si>
  <si>
    <t>ORD104038</t>
  </si>
  <si>
    <t>CUST9041</t>
  </si>
  <si>
    <t>ORD104039</t>
  </si>
  <si>
    <t>ORD104040</t>
  </si>
  <si>
    <t>CUST6864</t>
  </si>
  <si>
    <t>ORD104041</t>
  </si>
  <si>
    <t>CUST1332</t>
  </si>
  <si>
    <t>ORD104042</t>
  </si>
  <si>
    <t>CUST5939</t>
  </si>
  <si>
    <t>ORD104043</t>
  </si>
  <si>
    <t>ORD104044</t>
  </si>
  <si>
    <t>ORD104045</t>
  </si>
  <si>
    <t>CUST1061</t>
  </si>
  <si>
    <t>ORD104046</t>
  </si>
  <si>
    <t>CUST8480</t>
  </si>
  <si>
    <t>ORD104047</t>
  </si>
  <si>
    <t>CUST7936</t>
  </si>
  <si>
    <t>ORD104048</t>
  </si>
  <si>
    <t>ORD104049</t>
  </si>
  <si>
    <t>CUST2008</t>
  </si>
  <si>
    <t>ORD104050</t>
  </si>
  <si>
    <t>CUST9744</t>
  </si>
  <si>
    <t>ORD104051</t>
  </si>
  <si>
    <t>CUST8867</t>
  </si>
  <si>
    <t>ORD104052</t>
  </si>
  <si>
    <t>ORD104053</t>
  </si>
  <si>
    <t>CUST4513</t>
  </si>
  <si>
    <t>ORD104054</t>
  </si>
  <si>
    <t>CUST7016</t>
  </si>
  <si>
    <t>ORD104055</t>
  </si>
  <si>
    <t>CUST8777</t>
  </si>
  <si>
    <t>ORD104056</t>
  </si>
  <si>
    <t>CUST2867</t>
  </si>
  <si>
    <t>ORD104057</t>
  </si>
  <si>
    <t>CUST9992</t>
  </si>
  <si>
    <t>ORD104058</t>
  </si>
  <si>
    <t>ORD104059</t>
  </si>
  <si>
    <t>CUST2069</t>
  </si>
  <si>
    <t>ORD104060</t>
  </si>
  <si>
    <t>ORD104061</t>
  </si>
  <si>
    <t>ORD104062</t>
  </si>
  <si>
    <t>CUST8249</t>
  </si>
  <si>
    <t>ORD104063</t>
  </si>
  <si>
    <t>ORD104064</t>
  </si>
  <si>
    <t>CUST5810</t>
  </si>
  <si>
    <t>ORD104065</t>
  </si>
  <si>
    <t>CUST2446</t>
  </si>
  <si>
    <t>ORD104066</t>
  </si>
  <si>
    <t>CUST7063</t>
  </si>
  <si>
    <t>ORD104067</t>
  </si>
  <si>
    <t>CUST9136</t>
  </si>
  <si>
    <t>ORD104068</t>
  </si>
  <si>
    <t>CUST9173</t>
  </si>
  <si>
    <t>ORD104069</t>
  </si>
  <si>
    <t>ORD104070</t>
  </si>
  <si>
    <t>CUST4214</t>
  </si>
  <si>
    <t>ORD104071</t>
  </si>
  <si>
    <t>CUST3268</t>
  </si>
  <si>
    <t>ORD104072</t>
  </si>
  <si>
    <t>CUST9235</t>
  </si>
  <si>
    <t>ORD104073</t>
  </si>
  <si>
    <t>CUST1508</t>
  </si>
  <si>
    <t>ORD104074</t>
  </si>
  <si>
    <t>CUST6651</t>
  </si>
  <si>
    <t>ORD104075</t>
  </si>
  <si>
    <t>CUST8115</t>
  </si>
  <si>
    <t>ORD104076</t>
  </si>
  <si>
    <t>CUST2474</t>
  </si>
  <si>
    <t>ORD104077</t>
  </si>
  <si>
    <t>CUST8457</t>
  </si>
  <si>
    <t>ORD104078</t>
  </si>
  <si>
    <t>ORD104079</t>
  </si>
  <si>
    <t>CUST2701</t>
  </si>
  <si>
    <t>ORD104080</t>
  </si>
  <si>
    <t>CUST9844</t>
  </si>
  <si>
    <t>ORD104081</t>
  </si>
  <si>
    <t>CUST4044</t>
  </si>
  <si>
    <t>ORD104082</t>
  </si>
  <si>
    <t>CUST9532</t>
  </si>
  <si>
    <t>ORD104083</t>
  </si>
  <si>
    <t>CUST9850</t>
  </si>
  <si>
    <t>ORD104084</t>
  </si>
  <si>
    <t>CUST2274</t>
  </si>
  <si>
    <t>ORD104085</t>
  </si>
  <si>
    <t>ORD104086</t>
  </si>
  <si>
    <t>CUST6795</t>
  </si>
  <si>
    <t>ORD104087</t>
  </si>
  <si>
    <t>ORD104088</t>
  </si>
  <si>
    <t>CUST8216</t>
  </si>
  <si>
    <t>ORD104089</t>
  </si>
  <si>
    <t>CUST6643</t>
  </si>
  <si>
    <t>ORD104090</t>
  </si>
  <si>
    <t>ORD104091</t>
  </si>
  <si>
    <t>ORD104092</t>
  </si>
  <si>
    <t>ORD104093</t>
  </si>
  <si>
    <t>CUST5038</t>
  </si>
  <si>
    <t>ORD104094</t>
  </si>
  <si>
    <t>CUST3634</t>
  </si>
  <si>
    <t>ORD104095</t>
  </si>
  <si>
    <t>CUST5689</t>
  </si>
  <si>
    <t>ORD104096</t>
  </si>
  <si>
    <t>CUST5887</t>
  </si>
  <si>
    <t>ORD104097</t>
  </si>
  <si>
    <t>CUST3738</t>
  </si>
  <si>
    <t>ORD104098</t>
  </si>
  <si>
    <t>CUST7502</t>
  </si>
  <si>
    <t>ORD104099</t>
  </si>
  <si>
    <t>ORD104100</t>
  </si>
  <si>
    <t>ORD104101</t>
  </si>
  <si>
    <t>CUST5357</t>
  </si>
  <si>
    <t>ORD104102</t>
  </si>
  <si>
    <t>CUST8702</t>
  </si>
  <si>
    <t>ORD104103</t>
  </si>
  <si>
    <t>CUST6489</t>
  </si>
  <si>
    <t>ORD104104</t>
  </si>
  <si>
    <t>CUST2520</t>
  </si>
  <si>
    <t>ORD104105</t>
  </si>
  <si>
    <t>CUST6477</t>
  </si>
  <si>
    <t>ORD104106</t>
  </si>
  <si>
    <t>CUST1114</t>
  </si>
  <si>
    <t>ORD104107</t>
  </si>
  <si>
    <t>CUST7687</t>
  </si>
  <si>
    <t>ORD104108</t>
  </si>
  <si>
    <t>ORD104109</t>
  </si>
  <si>
    <t>CUST6028</t>
  </si>
  <si>
    <t>ORD104110</t>
  </si>
  <si>
    <t>ORD104111</t>
  </si>
  <si>
    <t>ORD104112</t>
  </si>
  <si>
    <t>ORD104113</t>
  </si>
  <si>
    <t>ORD104114</t>
  </si>
  <si>
    <t>CUST5664</t>
  </si>
  <si>
    <t>ORD104115</t>
  </si>
  <si>
    <t>ORD104116</t>
  </si>
  <si>
    <t>CUST6134</t>
  </si>
  <si>
    <t>ORD104117</t>
  </si>
  <si>
    <t>ORD104118</t>
  </si>
  <si>
    <t>ORD104119</t>
  </si>
  <si>
    <t>ORD104120</t>
  </si>
  <si>
    <t>CUST2593</t>
  </si>
  <si>
    <t>ORD104121</t>
  </si>
  <si>
    <t>CUST7325</t>
  </si>
  <si>
    <t>ORD104122</t>
  </si>
  <si>
    <t>CUST3522</t>
  </si>
  <si>
    <t>ORD104123</t>
  </si>
  <si>
    <t>ORD104124</t>
  </si>
  <si>
    <t>CUST5085</t>
  </si>
  <si>
    <t>ORD104125</t>
  </si>
  <si>
    <t>CUST9272</t>
  </si>
  <si>
    <t>ORD104126</t>
  </si>
  <si>
    <t>ORD104127</t>
  </si>
  <si>
    <t>ORD104128</t>
  </si>
  <si>
    <t>CUST7877</t>
  </si>
  <si>
    <t>ORD104129</t>
  </si>
  <si>
    <t>ORD104130</t>
  </si>
  <si>
    <t>CUST5698</t>
  </si>
  <si>
    <t>ORD104131</t>
  </si>
  <si>
    <t>ORD104132</t>
  </si>
  <si>
    <t>CUST4006</t>
  </si>
  <si>
    <t>ORD104133</t>
  </si>
  <si>
    <t>CUST2517</t>
  </si>
  <si>
    <t>ORD104134</t>
  </si>
  <si>
    <t>CUST3426</t>
  </si>
  <si>
    <t>ORD104135</t>
  </si>
  <si>
    <t>CUST6164</t>
  </si>
  <si>
    <t>ORD104136</t>
  </si>
  <si>
    <t>CUST4182</t>
  </si>
  <si>
    <t>ORD104137</t>
  </si>
  <si>
    <t>CUST4536</t>
  </si>
  <si>
    <t>ORD104138</t>
  </si>
  <si>
    <t>ORD104139</t>
  </si>
  <si>
    <t>ORD104140</t>
  </si>
  <si>
    <t>CUST8252</t>
  </si>
  <si>
    <t>ORD104141</t>
  </si>
  <si>
    <t>ORD104142</t>
  </si>
  <si>
    <t>CUST4938</t>
  </si>
  <si>
    <t>ORD104143</t>
  </si>
  <si>
    <t>CUST7858</t>
  </si>
  <si>
    <t>ORD104144</t>
  </si>
  <si>
    <t>CUST5646</t>
  </si>
  <si>
    <t>ORD104145</t>
  </si>
  <si>
    <t>CUST1780</t>
  </si>
  <si>
    <t>ORD104146</t>
  </si>
  <si>
    <t>CUST2887</t>
  </si>
  <si>
    <t>ORD104147</t>
  </si>
  <si>
    <t>ORD104148</t>
  </si>
  <si>
    <t>ORD104149</t>
  </si>
  <si>
    <t>CUST2383</t>
  </si>
  <si>
    <t>ORD104150</t>
  </si>
  <si>
    <t>CUST1367</t>
  </si>
  <si>
    <t>ORD104151</t>
  </si>
  <si>
    <t>CUST9342</t>
  </si>
  <si>
    <t>ORD104152</t>
  </si>
  <si>
    <t>ORD104153</t>
  </si>
  <si>
    <t>ORD104154</t>
  </si>
  <si>
    <t>CUST3902</t>
  </si>
  <si>
    <t>ORD104155</t>
  </si>
  <si>
    <t>CUST2518</t>
  </si>
  <si>
    <t>ORD104156</t>
  </si>
  <si>
    <t>CUST8445</t>
  </si>
  <si>
    <t>ORD104157</t>
  </si>
  <si>
    <t>CUST1896</t>
  </si>
  <si>
    <t>ORD104158</t>
  </si>
  <si>
    <t>CUST6091</t>
  </si>
  <si>
    <t>ORD104159</t>
  </si>
  <si>
    <t>CUST2024</t>
  </si>
  <si>
    <t>ORD104160</t>
  </si>
  <si>
    <t>CUST9943</t>
  </si>
  <si>
    <t>ORD104161</t>
  </si>
  <si>
    <t>CUST1033</t>
  </si>
  <si>
    <t>ORD104162</t>
  </si>
  <si>
    <t>CUST5256</t>
  </si>
  <si>
    <t>ORD104163</t>
  </si>
  <si>
    <t>CUST3832</t>
  </si>
  <si>
    <t>ORD104164</t>
  </si>
  <si>
    <t>ORD104165</t>
  </si>
  <si>
    <t>ORD104166</t>
  </si>
  <si>
    <t>ORD104167</t>
  </si>
  <si>
    <t>CUST8347</t>
  </si>
  <si>
    <t>ORD104168</t>
  </si>
  <si>
    <t>CUST2076</t>
  </si>
  <si>
    <t>ORD104169</t>
  </si>
  <si>
    <t>ORD104170</t>
  </si>
  <si>
    <t>ORD104171</t>
  </si>
  <si>
    <t>CUST9602</t>
  </si>
  <si>
    <t>ORD104172</t>
  </si>
  <si>
    <t>CUST5988</t>
  </si>
  <si>
    <t>ORD104173</t>
  </si>
  <si>
    <t>CUST1382</t>
  </si>
  <si>
    <t>ORD104174</t>
  </si>
  <si>
    <t>CUST9246</t>
  </si>
  <si>
    <t>ORD104175</t>
  </si>
  <si>
    <t>ORD104176</t>
  </si>
  <si>
    <t>ORD104177</t>
  </si>
  <si>
    <t>ORD104178</t>
  </si>
  <si>
    <t>ORD104179</t>
  </si>
  <si>
    <t>CUST3452</t>
  </si>
  <si>
    <t>ORD104180</t>
  </si>
  <si>
    <t>ORD104181</t>
  </si>
  <si>
    <t>ORD104182</t>
  </si>
  <si>
    <t>ORD104183</t>
  </si>
  <si>
    <t>CUST8258</t>
  </si>
  <si>
    <t>ORD104184</t>
  </si>
  <si>
    <t>ORD104185</t>
  </si>
  <si>
    <t>ORD104186</t>
  </si>
  <si>
    <t>CUST1751</t>
  </si>
  <si>
    <t>ORD104187</t>
  </si>
  <si>
    <t>CUST9955</t>
  </si>
  <si>
    <t>ORD104188</t>
  </si>
  <si>
    <t>ORD104189</t>
  </si>
  <si>
    <t>ORD104190</t>
  </si>
  <si>
    <t>ORD104191</t>
  </si>
  <si>
    <t>CUST6842</t>
  </si>
  <si>
    <t>ORD104192</t>
  </si>
  <si>
    <t>CUST6145</t>
  </si>
  <si>
    <t>ORD104193</t>
  </si>
  <si>
    <t>CUST8888</t>
  </si>
  <si>
    <t>ORD104194</t>
  </si>
  <si>
    <t>ORD104195</t>
  </si>
  <si>
    <t>CUST1470</t>
  </si>
  <si>
    <t>ORD104196</t>
  </si>
  <si>
    <t>ORD104197</t>
  </si>
  <si>
    <t>CUST4672</t>
  </si>
  <si>
    <t>ORD104198</t>
  </si>
  <si>
    <t>ORD104199</t>
  </si>
  <si>
    <t>CUST8490</t>
  </si>
  <si>
    <t>ORD104200</t>
  </si>
  <si>
    <t>ORD104201</t>
  </si>
  <si>
    <t>CUST8933</t>
  </si>
  <si>
    <t>ORD104202</t>
  </si>
  <si>
    <t>ORD104203</t>
  </si>
  <si>
    <t>CUST9166</t>
  </si>
  <si>
    <t>ORD104204</t>
  </si>
  <si>
    <t>CUST1122</t>
  </si>
  <si>
    <t>ORD104205</t>
  </si>
  <si>
    <t>CUST2212</t>
  </si>
  <si>
    <t>ORD104206</t>
  </si>
  <si>
    <t>ORD104207</t>
  </si>
  <si>
    <t>ORD104208</t>
  </si>
  <si>
    <t>ORD104209</t>
  </si>
  <si>
    <t>CUST4810</t>
  </si>
  <si>
    <t>ORD104210</t>
  </si>
  <si>
    <t>CUST4848</t>
  </si>
  <si>
    <t>ORD104211</t>
  </si>
  <si>
    <t>CUST6519</t>
  </si>
  <si>
    <t>ORD104212</t>
  </si>
  <si>
    <t>CUST8935</t>
  </si>
  <si>
    <t>ORD104213</t>
  </si>
  <si>
    <t>CUST9225</t>
  </si>
  <si>
    <t>ORD104214</t>
  </si>
  <si>
    <t>CUST7454</t>
  </si>
  <si>
    <t>ORD104215</t>
  </si>
  <si>
    <t>CUST5240</t>
  </si>
  <si>
    <t>ORD104216</t>
  </si>
  <si>
    <t>ORD104217</t>
  </si>
  <si>
    <t>CUST7277</t>
  </si>
  <si>
    <t>ORD104218</t>
  </si>
  <si>
    <t>CUST9829</t>
  </si>
  <si>
    <t>ORD104219</t>
  </si>
  <si>
    <t>ORD104220</t>
  </si>
  <si>
    <t>CUST9814</t>
  </si>
  <si>
    <t>ORD104221</t>
  </si>
  <si>
    <t>ORD104222</t>
  </si>
  <si>
    <t>ORD104223</t>
  </si>
  <si>
    <t>ORD104224</t>
  </si>
  <si>
    <t>CUST4729</t>
  </si>
  <si>
    <t>ORD104225</t>
  </si>
  <si>
    <t>ORD104226</t>
  </si>
  <si>
    <t>CUST8067</t>
  </si>
  <si>
    <t>ORD104227</t>
  </si>
  <si>
    <t>ORD104228</t>
  </si>
  <si>
    <t>CUST1060</t>
  </si>
  <si>
    <t>ORD104229</t>
  </si>
  <si>
    <t>CUST8327</t>
  </si>
  <si>
    <t>ORD104230</t>
  </si>
  <si>
    <t>CUST3805</t>
  </si>
  <si>
    <t>ORD104231</t>
  </si>
  <si>
    <t>CUST3505</t>
  </si>
  <si>
    <t>ORD104232</t>
  </si>
  <si>
    <t>ORD104233</t>
  </si>
  <si>
    <t>CUST4400</t>
  </si>
  <si>
    <t>ORD104234</t>
  </si>
  <si>
    <t>ORD104235</t>
  </si>
  <si>
    <t>ORD104236</t>
  </si>
  <si>
    <t>ORD104237</t>
  </si>
  <si>
    <t>CUST5288</t>
  </si>
  <si>
    <t>ORD104238</t>
  </si>
  <si>
    <t>ORD104239</t>
  </si>
  <si>
    <t>CUST2774</t>
  </si>
  <si>
    <t>ORD104240</t>
  </si>
  <si>
    <t>ORD104241</t>
  </si>
  <si>
    <t>ORD104242</t>
  </si>
  <si>
    <t>ORD104243</t>
  </si>
  <si>
    <t>ORD104244</t>
  </si>
  <si>
    <t>CUST4019</t>
  </si>
  <si>
    <t>ORD104245</t>
  </si>
  <si>
    <t>CUST9598</t>
  </si>
  <si>
    <t>ORD104246</t>
  </si>
  <si>
    <t>CUST1494</t>
  </si>
  <si>
    <t>ORD104247</t>
  </si>
  <si>
    <t>CUST5918</t>
  </si>
  <si>
    <t>ORD104248</t>
  </si>
  <si>
    <t>CUST2291</t>
  </si>
  <si>
    <t>ORD104249</t>
  </si>
  <si>
    <t>CUST2039</t>
  </si>
  <si>
    <t>ORD104250</t>
  </si>
  <si>
    <t>ORD104251</t>
  </si>
  <si>
    <t>ORD104252</t>
  </si>
  <si>
    <t>CUST7791</t>
  </si>
  <si>
    <t>ORD104253</t>
  </si>
  <si>
    <t>CUST5891</t>
  </si>
  <si>
    <t>ORD104254</t>
  </si>
  <si>
    <t>CUST2382</t>
  </si>
  <si>
    <t>ORD104255</t>
  </si>
  <si>
    <t>CUST1529</t>
  </si>
  <si>
    <t>ORD104256</t>
  </si>
  <si>
    <t>CUST8397</t>
  </si>
  <si>
    <t>ORD104257</t>
  </si>
  <si>
    <t>CUST6159</t>
  </si>
  <si>
    <t>ORD104258</t>
  </si>
  <si>
    <t>CUST1249</t>
  </si>
  <si>
    <t>ORD104259</t>
  </si>
  <si>
    <t>CUST5010</t>
  </si>
  <si>
    <t>ORD104260</t>
  </si>
  <si>
    <t>CUST6415</t>
  </si>
  <si>
    <t>ORD104261</t>
  </si>
  <si>
    <t>CUST7188</t>
  </si>
  <si>
    <t>ORD104262</t>
  </si>
  <si>
    <t>CUST5737</t>
  </si>
  <si>
    <t>ORD104263</t>
  </si>
  <si>
    <t>CUST4816</t>
  </si>
  <si>
    <t>ORD104264</t>
  </si>
  <si>
    <t>CUST9128</t>
  </si>
  <si>
    <t>ORD104265</t>
  </si>
  <si>
    <t>CUST9423</t>
  </si>
  <si>
    <t>ORD104266</t>
  </si>
  <si>
    <t>CUST8745</t>
  </si>
  <si>
    <t>ORD104267</t>
  </si>
  <si>
    <t>ORD104268</t>
  </si>
  <si>
    <t>CUST5558</t>
  </si>
  <si>
    <t>ORD104269</t>
  </si>
  <si>
    <t>CUST2798</t>
  </si>
  <si>
    <t>ORD104270</t>
  </si>
  <si>
    <t>CUST6241</t>
  </si>
  <si>
    <t>ORD104271</t>
  </si>
  <si>
    <t>CUST6168</t>
  </si>
  <si>
    <t>ORD104272</t>
  </si>
  <si>
    <t>ORD104273</t>
  </si>
  <si>
    <t>CUST5253</t>
  </si>
  <si>
    <t>ORD104274</t>
  </si>
  <si>
    <t>ORD104275</t>
  </si>
  <si>
    <t>CUST4721</t>
  </si>
  <si>
    <t>ORD104276</t>
  </si>
  <si>
    <t>ORD104277</t>
  </si>
  <si>
    <t>CUST9746</t>
  </si>
  <si>
    <t>ORD104278</t>
  </si>
  <si>
    <t>CUST3178</t>
  </si>
  <si>
    <t>ORD104279</t>
  </si>
  <si>
    <t>CUST4455</t>
  </si>
  <si>
    <t>ORD104280</t>
  </si>
  <si>
    <t>ORD104281</t>
  </si>
  <si>
    <t>CUST6927</t>
  </si>
  <si>
    <t>ORD104282</t>
  </si>
  <si>
    <t>CUST6536</t>
  </si>
  <si>
    <t>ORD104283</t>
  </si>
  <si>
    <t>CUST6711</t>
  </si>
  <si>
    <t>ORD104284</t>
  </si>
  <si>
    <t>CUST8226</t>
  </si>
  <si>
    <t>ORD104285</t>
  </si>
  <si>
    <t>CUST5641</t>
  </si>
  <si>
    <t>ORD104286</t>
  </si>
  <si>
    <t>CUST4802</t>
  </si>
  <si>
    <t>ORD104287</t>
  </si>
  <si>
    <t>ORD104288</t>
  </si>
  <si>
    <t>ORD104289</t>
  </si>
  <si>
    <t>ORD104290</t>
  </si>
  <si>
    <t>ORD104291</t>
  </si>
  <si>
    <t>ORD104292</t>
  </si>
  <si>
    <t>ORD104293</t>
  </si>
  <si>
    <t>CUST5454</t>
  </si>
  <si>
    <t>ORD104294</t>
  </si>
  <si>
    <t>CUST1656</t>
  </si>
  <si>
    <t>ORD104295</t>
  </si>
  <si>
    <t>CUST5458</t>
  </si>
  <si>
    <t>ORD104296</t>
  </si>
  <si>
    <t>CUST3396</t>
  </si>
  <si>
    <t>ORD104297</t>
  </si>
  <si>
    <t>CUST6631</t>
  </si>
  <si>
    <t>ORD104298</t>
  </si>
  <si>
    <t>ORD104299</t>
  </si>
  <si>
    <t>ORD104300</t>
  </si>
  <si>
    <t>CUST1855</t>
  </si>
  <si>
    <t>ORD104301</t>
  </si>
  <si>
    <t>ORD104302</t>
  </si>
  <si>
    <t>ORD104303</t>
  </si>
  <si>
    <t>ORD104304</t>
  </si>
  <si>
    <t>CUST1146</t>
  </si>
  <si>
    <t>ORD104305</t>
  </si>
  <si>
    <t>CUST5941</t>
  </si>
  <si>
    <t>ORD104306</t>
  </si>
  <si>
    <t>CUST7780</t>
  </si>
  <si>
    <t>ORD104307</t>
  </si>
  <si>
    <t>CUST3683</t>
  </si>
  <si>
    <t>ORD104308</t>
  </si>
  <si>
    <t>ORD104309</t>
  </si>
  <si>
    <t>CUST6961</t>
  </si>
  <si>
    <t>ORD104310</t>
  </si>
  <si>
    <t>ORD104311</t>
  </si>
  <si>
    <t>CUST3558</t>
  </si>
  <si>
    <t>ORD104312</t>
  </si>
  <si>
    <t>ORD104313</t>
  </si>
  <si>
    <t>CUST8147</t>
  </si>
  <si>
    <t>ORD104314</t>
  </si>
  <si>
    <t>CUST7509</t>
  </si>
  <si>
    <t>ORD104315</t>
  </si>
  <si>
    <t>CUST2118</t>
  </si>
  <si>
    <t>ORD104316</t>
  </si>
  <si>
    <t>CUST9142</t>
  </si>
  <si>
    <t>ORD104317</t>
  </si>
  <si>
    <t>CUST8379</t>
  </si>
  <si>
    <t>ORD104318</t>
  </si>
  <si>
    <t>CUST3834</t>
  </si>
  <si>
    <t>ORD104319</t>
  </si>
  <si>
    <t>CUST9732</t>
  </si>
  <si>
    <t>ORD104320</t>
  </si>
  <si>
    <t>CUST3234</t>
  </si>
  <si>
    <t>ORD104321</t>
  </si>
  <si>
    <t>ORD104322</t>
  </si>
  <si>
    <t>CUST5129</t>
  </si>
  <si>
    <t>ORD104323</t>
  </si>
  <si>
    <t>ORD104324</t>
  </si>
  <si>
    <t>ORD104325</t>
  </si>
  <si>
    <t>CUST7682</t>
  </si>
  <si>
    <t>ORD104326</t>
  </si>
  <si>
    <t>CUST5323</t>
  </si>
  <si>
    <t>ORD104327</t>
  </si>
  <si>
    <t>ORD104328</t>
  </si>
  <si>
    <t>CUST6099</t>
  </si>
  <si>
    <t>ORD104329</t>
  </si>
  <si>
    <t>CUST3709</t>
  </si>
  <si>
    <t>ORD104330</t>
  </si>
  <si>
    <t>ORD104331</t>
  </si>
  <si>
    <t>ORD104332</t>
  </si>
  <si>
    <t>CUST6657</t>
  </si>
  <si>
    <t>ORD104333</t>
  </si>
  <si>
    <t>ORD104334</t>
  </si>
  <si>
    <t>CUST7949</t>
  </si>
  <si>
    <t>ORD104335</t>
  </si>
  <si>
    <t>ORD104336</t>
  </si>
  <si>
    <t>CUST3319</t>
  </si>
  <si>
    <t>ORD104337</t>
  </si>
  <si>
    <t>CUST5516</t>
  </si>
  <si>
    <t>ORD104338</t>
  </si>
  <si>
    <t>CUST8061</t>
  </si>
  <si>
    <t>ORD104339</t>
  </si>
  <si>
    <t>ORD104340</t>
  </si>
  <si>
    <t>CUST8440</t>
  </si>
  <si>
    <t>ORD104341</t>
  </si>
  <si>
    <t>CUST1491</t>
  </si>
  <si>
    <t>ORD104342</t>
  </si>
  <si>
    <t>ORD104343</t>
  </si>
  <si>
    <t>ORD104344</t>
  </si>
  <si>
    <t>CUST7080</t>
  </si>
  <si>
    <t>ORD104345</t>
  </si>
  <si>
    <t>CUST1829</t>
  </si>
  <si>
    <t>ORD104346</t>
  </si>
  <si>
    <t>CUST2702</t>
  </si>
  <si>
    <t>ORD104347</t>
  </si>
  <si>
    <t>CUST9731</t>
  </si>
  <si>
    <t>ORD104348</t>
  </si>
  <si>
    <t>CUST1953</t>
  </si>
  <si>
    <t>ORD104349</t>
  </si>
  <si>
    <t>CUST7431</t>
  </si>
  <si>
    <t>ORD104350</t>
  </si>
  <si>
    <t>CUST2142</t>
  </si>
  <si>
    <t>ORD104351</t>
  </si>
  <si>
    <t>ORD104352</t>
  </si>
  <si>
    <t>ORD104353</t>
  </si>
  <si>
    <t>CUST1606</t>
  </si>
  <si>
    <t>ORD104354</t>
  </si>
  <si>
    <t>CUST2800</t>
  </si>
  <si>
    <t>ORD104355</t>
  </si>
  <si>
    <t>CUST1951</t>
  </si>
  <si>
    <t>ORD104356</t>
  </si>
  <si>
    <t>CUST3146</t>
  </si>
  <si>
    <t>ORD104357</t>
  </si>
  <si>
    <t>CUST7853</t>
  </si>
  <si>
    <t>ORD104358</t>
  </si>
  <si>
    <t>ORD104359</t>
  </si>
  <si>
    <t>CUST5219</t>
  </si>
  <si>
    <t>ORD104360</t>
  </si>
  <si>
    <t>CUST2772</t>
  </si>
  <si>
    <t>ORD104361</t>
  </si>
  <si>
    <t>ORD104362</t>
  </si>
  <si>
    <t>CUST7571</t>
  </si>
  <si>
    <t>ORD104363</t>
  </si>
  <si>
    <t>ORD104364</t>
  </si>
  <si>
    <t>CUST7608</t>
  </si>
  <si>
    <t>ORD104365</t>
  </si>
  <si>
    <t>CUST5799</t>
  </si>
  <si>
    <t>ORD104366</t>
  </si>
  <si>
    <t>CUST1026</t>
  </si>
  <si>
    <t>ORD104367</t>
  </si>
  <si>
    <t>CUST3293</t>
  </si>
  <si>
    <t>ORD104368</t>
  </si>
  <si>
    <t>CUST1419</t>
  </si>
  <si>
    <t>ORD104369</t>
  </si>
  <si>
    <t>CUST3778</t>
  </si>
  <si>
    <t>ORD104370</t>
  </si>
  <si>
    <t>CUST4254</t>
  </si>
  <si>
    <t>ORD104371</t>
  </si>
  <si>
    <t>CUST1443</t>
  </si>
  <si>
    <t>ORD104372</t>
  </si>
  <si>
    <t>CUST8050</t>
  </si>
  <si>
    <t>ORD104373</t>
  </si>
  <si>
    <t>ORD104374</t>
  </si>
  <si>
    <t>ORD104375</t>
  </si>
  <si>
    <t>ORD104376</t>
  </si>
  <si>
    <t>ORD104377</t>
  </si>
  <si>
    <t>CUST5961</t>
  </si>
  <si>
    <t>ORD104378</t>
  </si>
  <si>
    <t>CUST2494</t>
  </si>
  <si>
    <t>ORD104379</t>
  </si>
  <si>
    <t>CUST2775</t>
  </si>
  <si>
    <t>ORD104380</t>
  </si>
  <si>
    <t>CUST8743</t>
  </si>
  <si>
    <t>ORD104381</t>
  </si>
  <si>
    <t>ORD104382</t>
  </si>
  <si>
    <t>ORD104383</t>
  </si>
  <si>
    <t>CUST2915</t>
  </si>
  <si>
    <t>ORD104384</t>
  </si>
  <si>
    <t>ORD104385</t>
  </si>
  <si>
    <t>ORD104386</t>
  </si>
  <si>
    <t>CUST5650</t>
  </si>
  <si>
    <t>ORD104387</t>
  </si>
  <si>
    <t>CUST2482</t>
  </si>
  <si>
    <t>ORD104388</t>
  </si>
  <si>
    <t>CUST6940</t>
  </si>
  <si>
    <t>ORD104389</t>
  </si>
  <si>
    <t>CUST8908</t>
  </si>
  <si>
    <t>ORD104390</t>
  </si>
  <si>
    <t>ORD104391</t>
  </si>
  <si>
    <t>CUST5380</t>
  </si>
  <si>
    <t>ORD104392</t>
  </si>
  <si>
    <t>CUST5210</t>
  </si>
  <si>
    <t>ORD104393</t>
  </si>
  <si>
    <t>CUST5473</t>
  </si>
  <si>
    <t>ORD104394</t>
  </si>
  <si>
    <t>CUST3334</t>
  </si>
  <si>
    <t>ORD104395</t>
  </si>
  <si>
    <t>ORD104396</t>
  </si>
  <si>
    <t>CUST5333</t>
  </si>
  <si>
    <t>ORD104397</t>
  </si>
  <si>
    <t>ORD104398</t>
  </si>
  <si>
    <t>ORD104399</t>
  </si>
  <si>
    <t>ORD104400</t>
  </si>
  <si>
    <t>ORD104401</t>
  </si>
  <si>
    <t>CUST5062</t>
  </si>
  <si>
    <t>ORD104402</t>
  </si>
  <si>
    <t>CUST3094</t>
  </si>
  <si>
    <t>ORD104403</t>
  </si>
  <si>
    <t>CUST2270</t>
  </si>
  <si>
    <t>ORD104404</t>
  </si>
  <si>
    <t>ORD104405</t>
  </si>
  <si>
    <t>CUST2055</t>
  </si>
  <si>
    <t>ORD104406</t>
  </si>
  <si>
    <t>CUST2253</t>
  </si>
  <si>
    <t>ORD104407</t>
  </si>
  <si>
    <t>CUST5482</t>
  </si>
  <si>
    <t>ORD104408</t>
  </si>
  <si>
    <t>CUST7650</t>
  </si>
  <si>
    <t>ORD104409</t>
  </si>
  <si>
    <t>CUST5573</t>
  </si>
  <si>
    <t>ORD104410</t>
  </si>
  <si>
    <t>ORD104411</t>
  </si>
  <si>
    <t>CUST9888</t>
  </si>
  <si>
    <t>ORD104412</t>
  </si>
  <si>
    <t>CUST5542</t>
  </si>
  <si>
    <t>ORD104413</t>
  </si>
  <si>
    <t>CUST3087</t>
  </si>
  <si>
    <t>ORD104414</t>
  </si>
  <si>
    <t>CUST1019</t>
  </si>
  <si>
    <t>ORD104415</t>
  </si>
  <si>
    <t>CUST2713</t>
  </si>
  <si>
    <t>ORD104416</t>
  </si>
  <si>
    <t>CUST2585</t>
  </si>
  <si>
    <t>ORD104417</t>
  </si>
  <si>
    <t>CUST4558</t>
  </si>
  <si>
    <t>ORD104418</t>
  </si>
  <si>
    <t>CUST4258</t>
  </si>
  <si>
    <t>ORD104419</t>
  </si>
  <si>
    <t>CUST4702</t>
  </si>
  <si>
    <t>ORD104420</t>
  </si>
  <si>
    <t>CUST1884</t>
  </si>
  <si>
    <t>ORD104421</t>
  </si>
  <si>
    <t>CUST8259</t>
  </si>
  <si>
    <t>ORD104422</t>
  </si>
  <si>
    <t>ORD104423</t>
  </si>
  <si>
    <t>ORD104424</t>
  </si>
  <si>
    <t>CUST4713</t>
  </si>
  <si>
    <t>ORD104425</t>
  </si>
  <si>
    <t>ORD104426</t>
  </si>
  <si>
    <t>CUST1647</t>
  </si>
  <si>
    <t>ORD104427</t>
  </si>
  <si>
    <t>ORD104428</t>
  </si>
  <si>
    <t>ORD104429</t>
  </si>
  <si>
    <t>CUST4807</t>
  </si>
  <si>
    <t>ORD104430</t>
  </si>
  <si>
    <t>CUST8229</t>
  </si>
  <si>
    <t>ORD104431</t>
  </si>
  <si>
    <t>CUST8805</t>
  </si>
  <si>
    <t>ORD104432</t>
  </si>
  <si>
    <t>CUST7980</t>
  </si>
  <si>
    <t>ORD104433</t>
  </si>
  <si>
    <t>CUST1786</t>
  </si>
  <si>
    <t>ORD104434</t>
  </si>
  <si>
    <t>CUST3742</t>
  </si>
  <si>
    <t>ORD104435</t>
  </si>
  <si>
    <t>ORD104436</t>
  </si>
  <si>
    <t>CUST6222</t>
  </si>
  <si>
    <t>ORD104437</t>
  </si>
  <si>
    <t>ORD104438</t>
  </si>
  <si>
    <t>ORD104439</t>
  </si>
  <si>
    <t>CUST5305</t>
  </si>
  <si>
    <t>ORD104440</t>
  </si>
  <si>
    <t>CUST5173</t>
  </si>
  <si>
    <t>ORD104441</t>
  </si>
  <si>
    <t>ORD104442</t>
  </si>
  <si>
    <t>CUST7424</t>
  </si>
  <si>
    <t>ORD104443</t>
  </si>
  <si>
    <t>CUST6482</t>
  </si>
  <si>
    <t>ORD104444</t>
  </si>
  <si>
    <t>CUST4852</t>
  </si>
  <si>
    <t>ORD104445</t>
  </si>
  <si>
    <t>ORD104446</t>
  </si>
  <si>
    <t>ORD104447</t>
  </si>
  <si>
    <t>CUST9582</t>
  </si>
  <si>
    <t>ORD104448</t>
  </si>
  <si>
    <t>ORD104449</t>
  </si>
  <si>
    <t>CUST6420</t>
  </si>
  <si>
    <t>ORD104450</t>
  </si>
  <si>
    <t>CUST5172</t>
  </si>
  <si>
    <t>ORD104451</t>
  </si>
  <si>
    <t>CUST2098</t>
  </si>
  <si>
    <t>ORD104452</t>
  </si>
  <si>
    <t>CUST3677</t>
  </si>
  <si>
    <t>ORD104453</t>
  </si>
  <si>
    <t>CUST7012</t>
  </si>
  <si>
    <t>ORD104454</t>
  </si>
  <si>
    <t>CUST7231</t>
  </si>
  <si>
    <t>ORD104455</t>
  </si>
  <si>
    <t>CUST6182</t>
  </si>
  <si>
    <t>ORD104456</t>
  </si>
  <si>
    <t>ORD104457</t>
  </si>
  <si>
    <t>ORD104458</t>
  </si>
  <si>
    <t>ORD104459</t>
  </si>
  <si>
    <t>CUST1969</t>
  </si>
  <si>
    <t>ORD104460</t>
  </si>
  <si>
    <t>ORD104461</t>
  </si>
  <si>
    <t>CUST4856</t>
  </si>
  <si>
    <t>ORD104462</t>
  </si>
  <si>
    <t>CUST1063</t>
  </si>
  <si>
    <t>ORD104463</t>
  </si>
  <si>
    <t>ORD104464</t>
  </si>
  <si>
    <t>CUST1573</t>
  </si>
  <si>
    <t>ORD104465</t>
  </si>
  <si>
    <t>CUST8391</t>
  </si>
  <si>
    <t>ORD104466</t>
  </si>
  <si>
    <t>ORD104467</t>
  </si>
  <si>
    <t>CUST6681</t>
  </si>
  <si>
    <t>ORD104468</t>
  </si>
  <si>
    <t>CUST6270</t>
  </si>
  <si>
    <t>ORD104469</t>
  </si>
  <si>
    <t>ORD104470</t>
  </si>
  <si>
    <t>ORD104471</t>
  </si>
  <si>
    <t>ORD104472</t>
  </si>
  <si>
    <t>CUST2326</t>
  </si>
  <si>
    <t>ORD104473</t>
  </si>
  <si>
    <t>CUST1812</t>
  </si>
  <si>
    <t>ORD104474</t>
  </si>
  <si>
    <t>CUST7060</t>
  </si>
  <si>
    <t>ORD104475</t>
  </si>
  <si>
    <t>CUST9546</t>
  </si>
  <si>
    <t>ORD104476</t>
  </si>
  <si>
    <t>CUST7326</t>
  </si>
  <si>
    <t>ORD104477</t>
  </si>
  <si>
    <t>ORD104478</t>
  </si>
  <si>
    <t>ORD104479</t>
  </si>
  <si>
    <t>CUST6024</t>
  </si>
  <si>
    <t>ORD104480</t>
  </si>
  <si>
    <t>CUST9647</t>
  </si>
  <si>
    <t>ORD104481</t>
  </si>
  <si>
    <t>CUST9468</t>
  </si>
  <si>
    <t>ORD104482</t>
  </si>
  <si>
    <t>CUST9578</t>
  </si>
  <si>
    <t>ORD104483</t>
  </si>
  <si>
    <t>CUST8280</t>
  </si>
  <si>
    <t>ORD104484</t>
  </si>
  <si>
    <t>ORD104485</t>
  </si>
  <si>
    <t>ORD104486</t>
  </si>
  <si>
    <t>ORD104487</t>
  </si>
  <si>
    <t>ORD104488</t>
  </si>
  <si>
    <t>ORD104489</t>
  </si>
  <si>
    <t>CUST2005</t>
  </si>
  <si>
    <t>ORD104490</t>
  </si>
  <si>
    <t>CUST8629</t>
  </si>
  <si>
    <t>ORD104491</t>
  </si>
  <si>
    <t>CUST8927</t>
  </si>
  <si>
    <t>ORD104492</t>
  </si>
  <si>
    <t>CUST2116</t>
  </si>
  <si>
    <t>ORD104493</t>
  </si>
  <si>
    <t>CUST3418</t>
  </si>
  <si>
    <t>ORD104494</t>
  </si>
  <si>
    <t>CUST1388</t>
  </si>
  <si>
    <t>ORD104495</t>
  </si>
  <si>
    <t>ORD104496</t>
  </si>
  <si>
    <t>CUST5513</t>
  </si>
  <si>
    <t>ORD104497</t>
  </si>
  <si>
    <t>ORD104498</t>
  </si>
  <si>
    <t>CUST9141</t>
  </si>
  <si>
    <t>ORD104499</t>
  </si>
  <si>
    <t>CUST7211</t>
  </si>
  <si>
    <t>ORD104500</t>
  </si>
  <si>
    <t>ORD104501</t>
  </si>
  <si>
    <t>CUST7102</t>
  </si>
  <si>
    <t>ORD104502</t>
  </si>
  <si>
    <t>CUST5141</t>
  </si>
  <si>
    <t>ORD104503</t>
  </si>
  <si>
    <t>CUST2543</t>
  </si>
  <si>
    <t>ORD104504</t>
  </si>
  <si>
    <t>CUST8425</t>
  </si>
  <si>
    <t>ORD104505</t>
  </si>
  <si>
    <t>CUST6260</t>
  </si>
  <si>
    <t>ORD104506</t>
  </si>
  <si>
    <t>ORD104507</t>
  </si>
  <si>
    <t>ORD104508</t>
  </si>
  <si>
    <t>ORD104509</t>
  </si>
  <si>
    <t>CUST2172</t>
  </si>
  <si>
    <t>ORD104510</t>
  </si>
  <si>
    <t>CUST4884</t>
  </si>
  <si>
    <t>ORD104511</t>
  </si>
  <si>
    <t>CUST6213</t>
  </si>
  <si>
    <t>ORD104512</t>
  </si>
  <si>
    <t>CUST7825</t>
  </si>
  <si>
    <t>ORD104513</t>
  </si>
  <si>
    <t>CUST1605</t>
  </si>
  <si>
    <t>ORD104514</t>
  </si>
  <si>
    <t>CUST6664</t>
  </si>
  <si>
    <t>ORD104515</t>
  </si>
  <si>
    <t>ORD104516</t>
  </si>
  <si>
    <t>CUST2360</t>
  </si>
  <si>
    <t>ORD104517</t>
  </si>
  <si>
    <t>CUST3023</t>
  </si>
  <si>
    <t>ORD104518</t>
  </si>
  <si>
    <t>CUST3294</t>
  </si>
  <si>
    <t>ORD104519</t>
  </si>
  <si>
    <t>CUST9651</t>
  </si>
  <si>
    <t>ORD104520</t>
  </si>
  <si>
    <t>CUST7637</t>
  </si>
  <si>
    <t>ORD104521</t>
  </si>
  <si>
    <t>CUST1457</t>
  </si>
  <si>
    <t>ORD104522</t>
  </si>
  <si>
    <t>ORD104523</t>
  </si>
  <si>
    <t>ORD104524</t>
  </si>
  <si>
    <t>CUST2272</t>
  </si>
  <si>
    <t>ORD104525</t>
  </si>
  <si>
    <t>CUST3485</t>
  </si>
  <si>
    <t>ORD104526</t>
  </si>
  <si>
    <t>CUST8603</t>
  </si>
  <si>
    <t>ORD104527</t>
  </si>
  <si>
    <t>CUST1070</t>
  </si>
  <si>
    <t>ORD104528</t>
  </si>
  <si>
    <t>ORD104529</t>
  </si>
  <si>
    <t>ORD104530</t>
  </si>
  <si>
    <t>CUST7694</t>
  </si>
  <si>
    <t>ORD104531</t>
  </si>
  <si>
    <t>ORD104532</t>
  </si>
  <si>
    <t>CUST3120</t>
  </si>
  <si>
    <t>ORD104533</t>
  </si>
  <si>
    <t>ORD104534</t>
  </si>
  <si>
    <t>ORD104535</t>
  </si>
  <si>
    <t>CUST4876</t>
  </si>
  <si>
    <t>ORD104536</t>
  </si>
  <si>
    <t>CUST2328</t>
  </si>
  <si>
    <t>ORD104537</t>
  </si>
  <si>
    <t>ORD104538</t>
  </si>
  <si>
    <t>CUST5338</t>
  </si>
  <si>
    <t>ORD104539</t>
  </si>
  <si>
    <t>ORD104540</t>
  </si>
  <si>
    <t>CUST1657</t>
  </si>
  <si>
    <t>ORD104541</t>
  </si>
  <si>
    <t>ORD104542</t>
  </si>
  <si>
    <t>CUST4173</t>
  </si>
  <si>
    <t>ORD104543</t>
  </si>
  <si>
    <t>CUST9835</t>
  </si>
  <si>
    <t>ORD104544</t>
  </si>
  <si>
    <t>ORD104545</t>
  </si>
  <si>
    <t>ORD104546</t>
  </si>
  <si>
    <t>CUST7466</t>
  </si>
  <si>
    <t>ORD104547</t>
  </si>
  <si>
    <t>CUST1358</t>
  </si>
  <si>
    <t>ORD104548</t>
  </si>
  <si>
    <t>CUST2307</t>
  </si>
  <si>
    <t>ORD104549</t>
  </si>
  <si>
    <t>CUST6706</t>
  </si>
  <si>
    <t>ORD104550</t>
  </si>
  <si>
    <t>ORD104551</t>
  </si>
  <si>
    <t>ORD104552</t>
  </si>
  <si>
    <t>ORD104553</t>
  </si>
  <si>
    <t>CUST4776</t>
  </si>
  <si>
    <t>ORD104554</t>
  </si>
  <si>
    <t>ORD104555</t>
  </si>
  <si>
    <t>ORD104556</t>
  </si>
  <si>
    <t>CUST6160</t>
  </si>
  <si>
    <t>ORD104557</t>
  </si>
  <si>
    <t>CUST2324</t>
  </si>
  <si>
    <t>ORD104558</t>
  </si>
  <si>
    <t>ORD104559</t>
  </si>
  <si>
    <t>CUST6943</t>
  </si>
  <si>
    <t>ORD104560</t>
  </si>
  <si>
    <t>CUST9490</t>
  </si>
  <si>
    <t>ORD104561</t>
  </si>
  <si>
    <t>ORD104562</t>
  </si>
  <si>
    <t>ORD104563</t>
  </si>
  <si>
    <t>ORD104564</t>
  </si>
  <si>
    <t>ORD104565</t>
  </si>
  <si>
    <t>CUST2664</t>
  </si>
  <si>
    <t>ORD104566</t>
  </si>
  <si>
    <t>CUST7646</t>
  </si>
  <si>
    <t>ORD104567</t>
  </si>
  <si>
    <t>CUST4510</t>
  </si>
  <si>
    <t>ORD104568</t>
  </si>
  <si>
    <t>ORD104569</t>
  </si>
  <si>
    <t>CUST2078</t>
  </si>
  <si>
    <t>ORD104570</t>
  </si>
  <si>
    <t>ORD104571</t>
  </si>
  <si>
    <t>ORD104572</t>
  </si>
  <si>
    <t>CUST5540</t>
  </si>
  <si>
    <t>ORD104573</t>
  </si>
  <si>
    <t>CUST2557</t>
  </si>
  <si>
    <t>ORD104574</t>
  </si>
  <si>
    <t>CUST7927</t>
  </si>
  <si>
    <t>ORD104575</t>
  </si>
  <si>
    <t>CUST5569</t>
  </si>
  <si>
    <t>ORD104576</t>
  </si>
  <si>
    <t>CUST7953</t>
  </si>
  <si>
    <t>ORD104577</t>
  </si>
  <si>
    <t>CUST5898</t>
  </si>
  <si>
    <t>ORD104578</t>
  </si>
  <si>
    <t>CUST3857</t>
  </si>
  <si>
    <t>ORD104579</t>
  </si>
  <si>
    <t>ORD104580</t>
  </si>
  <si>
    <t>CUST1308</t>
  </si>
  <si>
    <t>ORD104581</t>
  </si>
  <si>
    <t>CUST7727</t>
  </si>
  <si>
    <t>ORD104582</t>
  </si>
  <si>
    <t>CUST4599</t>
  </si>
  <si>
    <t>ORD104583</t>
  </si>
  <si>
    <t>CUST2023</t>
  </si>
  <si>
    <t>ORD104584</t>
  </si>
  <si>
    <t>ORD104585</t>
  </si>
  <si>
    <t>ORD104586</t>
  </si>
  <si>
    <t>CUST5706</t>
  </si>
  <si>
    <t>ORD104587</t>
  </si>
  <si>
    <t>CUST9574</t>
  </si>
  <si>
    <t>ORD104588</t>
  </si>
  <si>
    <t>ORD104589</t>
  </si>
  <si>
    <t>ORD104590</t>
  </si>
  <si>
    <t>CUST6668</t>
  </si>
  <si>
    <t>ORD104591</t>
  </si>
  <si>
    <t>CUST2146</t>
  </si>
  <si>
    <t>ORD104592</t>
  </si>
  <si>
    <t>ORD104593</t>
  </si>
  <si>
    <t>ORD104594</t>
  </si>
  <si>
    <t>CUST3220</t>
  </si>
  <si>
    <t>ORD104595</t>
  </si>
  <si>
    <t>ORD104596</t>
  </si>
  <si>
    <t>CUST4070</t>
  </si>
  <si>
    <t>ORD104597</t>
  </si>
  <si>
    <t>CUST1199</t>
  </si>
  <si>
    <t>ORD104598</t>
  </si>
  <si>
    <t>CUST3195</t>
  </si>
  <si>
    <t>ORD104599</t>
  </si>
  <si>
    <t>CUST2007</t>
  </si>
  <si>
    <t>ORD104600</t>
  </si>
  <si>
    <t>CUST9069</t>
  </si>
  <si>
    <t>ORD104601</t>
  </si>
  <si>
    <t>ORD104602</t>
  </si>
  <si>
    <t>ORD104603</t>
  </si>
  <si>
    <t>CUST7515</t>
  </si>
  <si>
    <t>ORD104604</t>
  </si>
  <si>
    <t>ORD104605</t>
  </si>
  <si>
    <t>CUST9080</t>
  </si>
  <si>
    <t>ORD104606</t>
  </si>
  <si>
    <t>CUST8526</t>
  </si>
  <si>
    <t>ORD104607</t>
  </si>
  <si>
    <t>CUST4372</t>
  </si>
  <si>
    <t>ORD104608</t>
  </si>
  <si>
    <t>CUST5126</t>
  </si>
  <si>
    <t>ORD104609</t>
  </si>
  <si>
    <t>CUST8573</t>
  </si>
  <si>
    <t>ORD104610</t>
  </si>
  <si>
    <t>CUST1724</t>
  </si>
  <si>
    <t>ORD104611</t>
  </si>
  <si>
    <t>CUST4066</t>
  </si>
  <si>
    <t>ORD104612</t>
  </si>
  <si>
    <t>CUST1986</t>
  </si>
  <si>
    <t>ORD104613</t>
  </si>
  <si>
    <t>ORD104614</t>
  </si>
  <si>
    <t>ORD104615</t>
  </si>
  <si>
    <t>ORD104616</t>
  </si>
  <si>
    <t>CUST6875</t>
  </si>
  <si>
    <t>ORD104617</t>
  </si>
  <si>
    <t>ORD104618</t>
  </si>
  <si>
    <t>ORD104619</t>
  </si>
  <si>
    <t>ORD104620</t>
  </si>
  <si>
    <t>ORD104621</t>
  </si>
  <si>
    <t>CUST6655</t>
  </si>
  <si>
    <t>ORD104622</t>
  </si>
  <si>
    <t>CUST1827</t>
  </si>
  <si>
    <t>ORD104623</t>
  </si>
  <si>
    <t>CUST6950</t>
  </si>
  <si>
    <t>ORD104624</t>
  </si>
  <si>
    <t>CUST6846</t>
  </si>
  <si>
    <t>ORD104625</t>
  </si>
  <si>
    <t>CUST1327</t>
  </si>
  <si>
    <t>ORD104626</t>
  </si>
  <si>
    <t>CUST6356</t>
  </si>
  <si>
    <t>ORD104627</t>
  </si>
  <si>
    <t>ORD104628</t>
  </si>
  <si>
    <t>CUST2159</t>
  </si>
  <si>
    <t>ORD104629</t>
  </si>
  <si>
    <t>CUST9944</t>
  </si>
  <si>
    <t>ORD104630</t>
  </si>
  <si>
    <t>ORD104631</t>
  </si>
  <si>
    <t>CUST6219</t>
  </si>
  <si>
    <t>ORD104632</t>
  </si>
  <si>
    <t>CUST5001</t>
  </si>
  <si>
    <t>ORD104633</t>
  </si>
  <si>
    <t>CUST7593</t>
  </si>
  <si>
    <t>ORD104634</t>
  </si>
  <si>
    <t>CUST6011</t>
  </si>
  <si>
    <t>ORD104635</t>
  </si>
  <si>
    <t>ORD104636</t>
  </si>
  <si>
    <t>ORD104637</t>
  </si>
  <si>
    <t>ORD104638</t>
  </si>
  <si>
    <t>CUST7651</t>
  </si>
  <si>
    <t>ORD104639</t>
  </si>
  <si>
    <t>CUST4393</t>
  </si>
  <si>
    <t>ORD104640</t>
  </si>
  <si>
    <t>CUST5438</t>
  </si>
  <si>
    <t>ORD104641</t>
  </si>
  <si>
    <t>CUST5702</t>
  </si>
  <si>
    <t>ORD104642</t>
  </si>
  <si>
    <t>ORD104643</t>
  </si>
  <si>
    <t>CUST2757</t>
  </si>
  <si>
    <t>ORD104644</t>
  </si>
  <si>
    <t>ORD104645</t>
  </si>
  <si>
    <t>CUST7204</t>
  </si>
  <si>
    <t>ORD104646</t>
  </si>
  <si>
    <t>CUST5087</t>
  </si>
  <si>
    <t>ORD104647</t>
  </si>
  <si>
    <t>ORD104648</t>
  </si>
  <si>
    <t>CUST8808</t>
  </si>
  <si>
    <t>ORD104649</t>
  </si>
  <si>
    <t>CUST5530</t>
  </si>
  <si>
    <t>ORD104650</t>
  </si>
  <si>
    <t>CUST3275</t>
  </si>
  <si>
    <t>ORD104651</t>
  </si>
  <si>
    <t>CUST2540</t>
  </si>
  <si>
    <t>ORD104652</t>
  </si>
  <si>
    <t>CUST5308</t>
  </si>
  <si>
    <t>ORD104653</t>
  </si>
  <si>
    <t>ORD104654</t>
  </si>
  <si>
    <t>CUST5249</t>
  </si>
  <si>
    <t>ORD104655</t>
  </si>
  <si>
    <t>ORD104656</t>
  </si>
  <si>
    <t>CUST8408</t>
  </si>
  <si>
    <t>ORD104657</t>
  </si>
  <si>
    <t>CUST4166</t>
  </si>
  <si>
    <t>ORD104658</t>
  </si>
  <si>
    <t>CUST9387</t>
  </si>
  <si>
    <t>ORD104659</t>
  </si>
  <si>
    <t>CUST8227</t>
  </si>
  <si>
    <t>ORD104660</t>
  </si>
  <si>
    <t>CUST8154</t>
  </si>
  <si>
    <t>ORD104661</t>
  </si>
  <si>
    <t>ORD104662</t>
  </si>
  <si>
    <t>CUST5123</t>
  </si>
  <si>
    <t>ORD104663</t>
  </si>
  <si>
    <t>CUST7534</t>
  </si>
  <si>
    <t>ORD104664</t>
  </si>
  <si>
    <t>ORD104665</t>
  </si>
  <si>
    <t>ORD104666</t>
  </si>
  <si>
    <t>CUST6283</t>
  </si>
  <si>
    <t>ORD104667</t>
  </si>
  <si>
    <t>CUST9665</t>
  </si>
  <si>
    <t>ORD104668</t>
  </si>
  <si>
    <t>CUST9956</t>
  </si>
  <si>
    <t>ORD104669</t>
  </si>
  <si>
    <t>CUST9293</t>
  </si>
  <si>
    <t>ORD104670</t>
  </si>
  <si>
    <t>CUST5244</t>
  </si>
  <si>
    <t>ORD104671</t>
  </si>
  <si>
    <t>CUST8997</t>
  </si>
  <si>
    <t>ORD104672</t>
  </si>
  <si>
    <t>ORD104673</t>
  </si>
  <si>
    <t>ORD104674</t>
  </si>
  <si>
    <t>CUST3990</t>
  </si>
  <si>
    <t>ORD104675</t>
  </si>
  <si>
    <t>CUST1439</t>
  </si>
  <si>
    <t>ORD104676</t>
  </si>
  <si>
    <t>ORD104677</t>
  </si>
  <si>
    <t>CUST8532</t>
  </si>
  <si>
    <t>ORD104678</t>
  </si>
  <si>
    <t>ORD104679</t>
  </si>
  <si>
    <t>ORD104680</t>
  </si>
  <si>
    <t>ORD104681</t>
  </si>
  <si>
    <t>ORD104682</t>
  </si>
  <si>
    <t>CUST7238</t>
  </si>
  <si>
    <t>ORD104683</t>
  </si>
  <si>
    <t>CUST1501</t>
  </si>
  <si>
    <t>ORD104684</t>
  </si>
  <si>
    <t>ORD104685</t>
  </si>
  <si>
    <t>CUST6597</t>
  </si>
  <si>
    <t>ORD104686</t>
  </si>
  <si>
    <t>ORD104687</t>
  </si>
  <si>
    <t>CUST9370</t>
  </si>
  <si>
    <t>ORD104688</t>
  </si>
  <si>
    <t>CUST4717</t>
  </si>
  <si>
    <t>ORD104689</t>
  </si>
  <si>
    <t>CUST2195</t>
  </si>
  <si>
    <t>ORD104690</t>
  </si>
  <si>
    <t>ORD104691</t>
  </si>
  <si>
    <t>ORD104692</t>
  </si>
  <si>
    <t>ORD104693</t>
  </si>
  <si>
    <t>ORD104694</t>
  </si>
  <si>
    <t>CUST3862</t>
  </si>
  <si>
    <t>ORD104695</t>
  </si>
  <si>
    <t>CUST9268</t>
  </si>
  <si>
    <t>ORD104696</t>
  </si>
  <si>
    <t>ORD104697</t>
  </si>
  <si>
    <t>ORD104698</t>
  </si>
  <si>
    <t>ORD104699</t>
  </si>
  <si>
    <t>ORD104700</t>
  </si>
  <si>
    <t>CUST9255</t>
  </si>
  <si>
    <t>ORD104701</t>
  </si>
  <si>
    <t>CUST1056</t>
  </si>
  <si>
    <t>ORD104702</t>
  </si>
  <si>
    <t>CUST3721</t>
  </si>
  <si>
    <t>ORD104703</t>
  </si>
  <si>
    <t>CUST9972</t>
  </si>
  <si>
    <t>ORD104704</t>
  </si>
  <si>
    <t>CUST5748</t>
  </si>
  <si>
    <t>ORD104705</t>
  </si>
  <si>
    <t>ORD104706</t>
  </si>
  <si>
    <t>CUST6855</t>
  </si>
  <si>
    <t>ORD104707</t>
  </si>
  <si>
    <t>ORD104708</t>
  </si>
  <si>
    <t>ORD104709</t>
  </si>
  <si>
    <t>CUST9678</t>
  </si>
  <si>
    <t>ORD104710</t>
  </si>
  <si>
    <t>CUST6163</t>
  </si>
  <si>
    <t>ORD104711</t>
  </si>
  <si>
    <t>CUST2317</t>
  </si>
  <si>
    <t>ORD104712</t>
  </si>
  <si>
    <t>ORD104713</t>
  </si>
  <si>
    <t>ORD104714</t>
  </si>
  <si>
    <t>CUST2836</t>
  </si>
  <si>
    <t>ORD104715</t>
  </si>
  <si>
    <t>CUST6055</t>
  </si>
  <si>
    <t>ORD104716</t>
  </si>
  <si>
    <t>ORD104717</t>
  </si>
  <si>
    <t>ORD104718</t>
  </si>
  <si>
    <t>CUST6468</t>
  </si>
  <si>
    <t>ORD104719</t>
  </si>
  <si>
    <t>ORD104720</t>
  </si>
  <si>
    <t>CUST5821</t>
  </si>
  <si>
    <t>ORD104721</t>
  </si>
  <si>
    <t>CUST4818</t>
  </si>
  <si>
    <t>ORD104722</t>
  </si>
  <si>
    <t>CUST8618</t>
  </si>
  <si>
    <t>ORD104723</t>
  </si>
  <si>
    <t>ORD104724</t>
  </si>
  <si>
    <t>ORD104725</t>
  </si>
  <si>
    <t>ORD104726</t>
  </si>
  <si>
    <t>ORD104727</t>
  </si>
  <si>
    <t>CUST7377</t>
  </si>
  <si>
    <t>ORD104728</t>
  </si>
  <si>
    <t>CUST4435</t>
  </si>
  <si>
    <t>ORD104729</t>
  </si>
  <si>
    <t>ORD104730</t>
  </si>
  <si>
    <t>ORD104731</t>
  </si>
  <si>
    <t>CUST6567</t>
  </si>
  <si>
    <t>ORD104732</t>
  </si>
  <si>
    <t>CUST7926</t>
  </si>
  <si>
    <t>ORD104733</t>
  </si>
  <si>
    <t>ORD104734</t>
  </si>
  <si>
    <t>ORD104735</t>
  </si>
  <si>
    <t>ORD104736</t>
  </si>
  <si>
    <t>ORD104737</t>
  </si>
  <si>
    <t>CUST6453</t>
  </si>
  <si>
    <t>ORD104738</t>
  </si>
  <si>
    <t>CUST2509</t>
  </si>
  <si>
    <t>ORD104739</t>
  </si>
  <si>
    <t>CUST6360</t>
  </si>
  <si>
    <t>ORD104740</t>
  </si>
  <si>
    <t>ORD104741</t>
  </si>
  <si>
    <t>CUST4972</t>
  </si>
  <si>
    <t>ORD104742</t>
  </si>
  <si>
    <t>CUST3790</t>
  </si>
  <si>
    <t>ORD104743</t>
  </si>
  <si>
    <t>CUST8636</t>
  </si>
  <si>
    <t>ORD104744</t>
  </si>
  <si>
    <t>CUST4163</t>
  </si>
  <si>
    <t>ORD104745</t>
  </si>
  <si>
    <t>CUST2151</t>
  </si>
  <si>
    <t>ORD104746</t>
  </si>
  <si>
    <t>CUST3814</t>
  </si>
  <si>
    <t>ORD104747</t>
  </si>
  <si>
    <t>CUST7371</t>
  </si>
  <si>
    <t>ORD104748</t>
  </si>
  <si>
    <t>CUST8904</t>
  </si>
  <si>
    <t>ORD104749</t>
  </si>
  <si>
    <t>CUST8916</t>
  </si>
  <si>
    <t>ORD104750</t>
  </si>
  <si>
    <t>ORD104751</t>
  </si>
  <si>
    <t>ORD104752</t>
  </si>
  <si>
    <t>CUST8827</t>
  </si>
  <si>
    <t>ORD104753</t>
  </si>
  <si>
    <t>CUST6094</t>
  </si>
  <si>
    <t>ORD104754</t>
  </si>
  <si>
    <t>CUST6514</t>
  </si>
  <si>
    <t>ORD104755</t>
  </si>
  <si>
    <t>CUST2374</t>
  </si>
  <si>
    <t>ORD104756</t>
  </si>
  <si>
    <t>CUST8182</t>
  </si>
  <si>
    <t>ORD104757</t>
  </si>
  <si>
    <t>ORD104758</t>
  </si>
  <si>
    <t>ORD104759</t>
  </si>
  <si>
    <t>CUST4770</t>
  </si>
  <si>
    <t>ORD104760</t>
  </si>
  <si>
    <t>CUST7244</t>
  </si>
  <si>
    <t>ORD104761</t>
  </si>
  <si>
    <t>ORD104762</t>
  </si>
  <si>
    <t>CUST9576</t>
  </si>
  <si>
    <t>ORD104763</t>
  </si>
  <si>
    <t>ORD104764</t>
  </si>
  <si>
    <t>CUST7352</t>
  </si>
  <si>
    <t>ORD104765</t>
  </si>
  <si>
    <t>ORD104766</t>
  </si>
  <si>
    <t>CUST5601</t>
  </si>
  <si>
    <t>ORD104767</t>
  </si>
  <si>
    <t>ORD104768</t>
  </si>
  <si>
    <t>CUST5435</t>
  </si>
  <si>
    <t>ORD104769</t>
  </si>
  <si>
    <t>CUST1082</t>
  </si>
  <si>
    <t>ORD104770</t>
  </si>
  <si>
    <t>ORD104771</t>
  </si>
  <si>
    <t>ORD104772</t>
  </si>
  <si>
    <t>CUST8380</t>
  </si>
  <si>
    <t>ORD104773</t>
  </si>
  <si>
    <t>CUST7316</t>
  </si>
  <si>
    <t>ORD104774</t>
  </si>
  <si>
    <t>CUST5989</t>
  </si>
  <si>
    <t>ORD104775</t>
  </si>
  <si>
    <t>CUST1589</t>
  </si>
  <si>
    <t>ORD104776</t>
  </si>
  <si>
    <t>CUST4631</t>
  </si>
  <si>
    <t>ORD104777</t>
  </si>
  <si>
    <t>CUST2996</t>
  </si>
  <si>
    <t>ORD104778</t>
  </si>
  <si>
    <t>CUST6578</t>
  </si>
  <si>
    <t>ORD104779</t>
  </si>
  <si>
    <t>CUST4345</t>
  </si>
  <si>
    <t>ORD104780</t>
  </si>
  <si>
    <t>CUST2539</t>
  </si>
  <si>
    <t>ORD104781</t>
  </si>
  <si>
    <t>ORD104782</t>
  </si>
  <si>
    <t>CUST3550</t>
  </si>
  <si>
    <t>ORD104783</t>
  </si>
  <si>
    <t>ORD104784</t>
  </si>
  <si>
    <t>CUST8309</t>
  </si>
  <si>
    <t>ORD104785</t>
  </si>
  <si>
    <t>CUST1561</t>
  </si>
  <si>
    <t>ORD104786</t>
  </si>
  <si>
    <t>ORD104787</t>
  </si>
  <si>
    <t>ORD104788</t>
  </si>
  <si>
    <t>CUST6321</t>
  </si>
  <si>
    <t>ORD104789</t>
  </si>
  <si>
    <t>CUST6729</t>
  </si>
  <si>
    <t>ORD104790</t>
  </si>
  <si>
    <t>CUST5897</t>
  </si>
  <si>
    <t>ORD104791</t>
  </si>
  <si>
    <t>CUST8321</t>
  </si>
  <si>
    <t>ORD104792</t>
  </si>
  <si>
    <t>CUST9619</t>
  </si>
  <si>
    <t>ORD104793</t>
  </si>
  <si>
    <t>CUST5679</t>
  </si>
  <si>
    <t>ORD104794</t>
  </si>
  <si>
    <t>CUST3585</t>
  </si>
  <si>
    <t>ORD104795</t>
  </si>
  <si>
    <t>ORD104796</t>
  </si>
  <si>
    <t>CUST6447</t>
  </si>
  <si>
    <t>ORD104797</t>
  </si>
  <si>
    <t>CUST2734</t>
  </si>
  <si>
    <t>ORD104798</t>
  </si>
  <si>
    <t>CUST5286</t>
  </si>
  <si>
    <t>ORD104799</t>
  </si>
  <si>
    <t>CUST8990</t>
  </si>
  <si>
    <t>ORD104800</t>
  </si>
  <si>
    <t>CUST7062</t>
  </si>
  <si>
    <t>ORD104801</t>
  </si>
  <si>
    <t>CUST6898</t>
  </si>
  <si>
    <t>ORD104802</t>
  </si>
  <si>
    <t>CUST8289</t>
  </si>
  <si>
    <t>ORD104803</t>
  </si>
  <si>
    <t>CUST1842</t>
  </si>
  <si>
    <t>ORD104804</t>
  </si>
  <si>
    <t>ORD104805</t>
  </si>
  <si>
    <t>CUST5170</t>
  </si>
  <si>
    <t>ORD104806</t>
  </si>
  <si>
    <t>CUST4185</t>
  </si>
  <si>
    <t>ORD104807</t>
  </si>
  <si>
    <t>CUST6334</t>
  </si>
  <si>
    <t>ORD104808</t>
  </si>
  <si>
    <t>CUST2249</t>
  </si>
  <si>
    <t>ORD104809</t>
  </si>
  <si>
    <t>CUST1228</t>
  </si>
  <si>
    <t>ORD104810</t>
  </si>
  <si>
    <t>CUST6050</t>
  </si>
  <si>
    <t>ORD104811</t>
  </si>
  <si>
    <t>ORD104812</t>
  </si>
  <si>
    <t>CUST3533</t>
  </si>
  <si>
    <t>ORD104813</t>
  </si>
  <si>
    <t>ORD104814</t>
  </si>
  <si>
    <t>CUST6207</t>
  </si>
  <si>
    <t>ORD104815</t>
  </si>
  <si>
    <t>ORD104816</t>
  </si>
  <si>
    <t>ORD104817</t>
  </si>
  <si>
    <t>ORD104818</t>
  </si>
  <si>
    <t>CUST6613</t>
  </si>
  <si>
    <t>ORD104819</t>
  </si>
  <si>
    <t>ORD104820</t>
  </si>
  <si>
    <t>CUST2430</t>
  </si>
  <si>
    <t>ORD104821</t>
  </si>
  <si>
    <t>CUST2657</t>
  </si>
  <si>
    <t>ORD104822</t>
  </si>
  <si>
    <t>ORD104823</t>
  </si>
  <si>
    <t>CUST5271</t>
  </si>
  <si>
    <t>ORD104824</t>
  </si>
  <si>
    <t>ORD104825</t>
  </si>
  <si>
    <t>CUST5403</t>
  </si>
  <si>
    <t>ORD104826</t>
  </si>
  <si>
    <t>CUST7543</t>
  </si>
  <si>
    <t>ORD104827</t>
  </si>
  <si>
    <t>CUST8595</t>
  </si>
  <si>
    <t>ORD104828</t>
  </si>
  <si>
    <t>CUST4425</t>
  </si>
  <si>
    <t>ORD104829</t>
  </si>
  <si>
    <t>CUST8116</t>
  </si>
  <si>
    <t>ORD104830</t>
  </si>
  <si>
    <t>ORD104831</t>
  </si>
  <si>
    <t>CUST5580</t>
  </si>
  <si>
    <t>ORD104832</t>
  </si>
  <si>
    <t>ORD104833</t>
  </si>
  <si>
    <t>CUST4355</t>
  </si>
  <si>
    <t>ORD104834</t>
  </si>
  <si>
    <t>CUST7322</t>
  </si>
  <si>
    <t>ORD104835</t>
  </si>
  <si>
    <t>ORD104836</t>
  </si>
  <si>
    <t>CUST6452</t>
  </si>
  <si>
    <t>ORD104837</t>
  </si>
  <si>
    <t>CUST7759</t>
  </si>
  <si>
    <t>ORD104838</t>
  </si>
  <si>
    <t>CUST4815</t>
  </si>
  <si>
    <t>ORD104839</t>
  </si>
  <si>
    <t>CUST3798</t>
  </si>
  <si>
    <t>ORD104840</t>
  </si>
  <si>
    <t>ORD104841</t>
  </si>
  <si>
    <t>CUST8596</t>
  </si>
  <si>
    <t>ORD104842</t>
  </si>
  <si>
    <t>CUST9800</t>
  </si>
  <si>
    <t>ORD104843</t>
  </si>
  <si>
    <t>CUST1053</t>
  </si>
  <si>
    <t>ORD104844</t>
  </si>
  <si>
    <t>ORD104845</t>
  </si>
  <si>
    <t>ORD104846</t>
  </si>
  <si>
    <t>CUST2030</t>
  </si>
  <si>
    <t>ORD104847</t>
  </si>
  <si>
    <t>CUST9812</t>
  </si>
  <si>
    <t>ORD104848</t>
  </si>
  <si>
    <t>CUST8332</t>
  </si>
  <si>
    <t>ORD104849</t>
  </si>
  <si>
    <t>CUST3684</t>
  </si>
  <si>
    <t>ORD104850</t>
  </si>
  <si>
    <t>CUST9966</t>
  </si>
  <si>
    <t>ORD104851</t>
  </si>
  <si>
    <t>CUST6590</t>
  </si>
  <si>
    <t>ORD104852</t>
  </si>
  <si>
    <t>CUST9785</t>
  </si>
  <si>
    <t>ORD104853</t>
  </si>
  <si>
    <t>CUST6428</t>
  </si>
  <si>
    <t>ORD104854</t>
  </si>
  <si>
    <t>ORD104855</t>
  </si>
  <si>
    <t>CUST7478</t>
  </si>
  <si>
    <t>ORD104856</t>
  </si>
  <si>
    <t>CUST2170</t>
  </si>
  <si>
    <t>ORD104857</t>
  </si>
  <si>
    <t>CUST4002</t>
  </si>
  <si>
    <t>ORD104858</t>
  </si>
  <si>
    <t>ORD104859</t>
  </si>
  <si>
    <t>ORD104860</t>
  </si>
  <si>
    <t>ORD104861</t>
  </si>
  <si>
    <t>ORD104862</t>
  </si>
  <si>
    <t>CUST6037</t>
  </si>
  <si>
    <t>ORD104863</t>
  </si>
  <si>
    <t>CUST6018</t>
  </si>
  <si>
    <t>ORD104864</t>
  </si>
  <si>
    <t>ORD104865</t>
  </si>
  <si>
    <t>CUST4098</t>
  </si>
  <si>
    <t>ORD104866</t>
  </si>
  <si>
    <t>CUST1770</t>
  </si>
  <si>
    <t>ORD104867</t>
  </si>
  <si>
    <t>CUST1880</t>
  </si>
  <si>
    <t>ORD104868</t>
  </si>
  <si>
    <t>ORD104869</t>
  </si>
  <si>
    <t>CUST6790</t>
  </si>
  <si>
    <t>ORD104870</t>
  </si>
  <si>
    <t>CUST8026</t>
  </si>
  <si>
    <t>ORD104871</t>
  </si>
  <si>
    <t>ORD104872</t>
  </si>
  <si>
    <t>ORD104873</t>
  </si>
  <si>
    <t>CUST5056</t>
  </si>
  <si>
    <t>ORD104874</t>
  </si>
  <si>
    <t>CUST1885</t>
  </si>
  <si>
    <t>ORD104875</t>
  </si>
  <si>
    <t>ORD104876</t>
  </si>
  <si>
    <t>CUST8282</t>
  </si>
  <si>
    <t>ORD104877</t>
  </si>
  <si>
    <t>CUST8713</t>
  </si>
  <si>
    <t>ORD104878</t>
  </si>
  <si>
    <t>CUST2400</t>
  </si>
  <si>
    <t>ORD104879</t>
  </si>
  <si>
    <t>CUST6901</t>
  </si>
  <si>
    <t>ORD104880</t>
  </si>
  <si>
    <t>CUST1383</t>
  </si>
  <si>
    <t>ORD104881</t>
  </si>
  <si>
    <t>CUST5088</t>
  </si>
  <si>
    <t>ORD104882</t>
  </si>
  <si>
    <t>CUST9669</t>
  </si>
  <si>
    <t>ORD104883</t>
  </si>
  <si>
    <t>ORD104884</t>
  </si>
  <si>
    <t>CUST8628</t>
  </si>
  <si>
    <t>ORD104885</t>
  </si>
  <si>
    <t>CUST7282</t>
  </si>
  <si>
    <t>ORD104886</t>
  </si>
  <si>
    <t>CUST8144</t>
  </si>
  <si>
    <t>ORD104887</t>
  </si>
  <si>
    <t>CUST2898</t>
  </si>
  <si>
    <t>ORD104888</t>
  </si>
  <si>
    <t>ORD104889</t>
  </si>
  <si>
    <t>ORD104890</t>
  </si>
  <si>
    <t>ORD104891</t>
  </si>
  <si>
    <t>ORD104892</t>
  </si>
  <si>
    <t>CUST7310</t>
  </si>
  <si>
    <t>ORD104893</t>
  </si>
  <si>
    <t>ORD104894</t>
  </si>
  <si>
    <t>ORD104895</t>
  </si>
  <si>
    <t>ORD104896</t>
  </si>
  <si>
    <t>ORD104897</t>
  </si>
  <si>
    <t>ORD104898</t>
  </si>
  <si>
    <t>CUST9627</t>
  </si>
  <si>
    <t>ORD104899</t>
  </si>
  <si>
    <t>CUST3611</t>
  </si>
  <si>
    <t>ORD104900</t>
  </si>
  <si>
    <t>CUST3016</t>
  </si>
  <si>
    <t>ORD104901</t>
  </si>
  <si>
    <t>CUST2230</t>
  </si>
  <si>
    <t>ORD104902</t>
  </si>
  <si>
    <t>CUST3937</t>
  </si>
  <si>
    <t>ORD104903</t>
  </si>
  <si>
    <t>CUST6471</t>
  </si>
  <si>
    <t>ORD104904</t>
  </si>
  <si>
    <t>ORD104905</t>
  </si>
  <si>
    <t>CUST8128</t>
  </si>
  <si>
    <t>ORD104906</t>
  </si>
  <si>
    <t>CUST7503</t>
  </si>
  <si>
    <t>ORD104907</t>
  </si>
  <si>
    <t>CUST6297</t>
  </si>
  <si>
    <t>ORD104908</t>
  </si>
  <si>
    <t>ORD104909</t>
  </si>
  <si>
    <t>CUST3456</t>
  </si>
  <si>
    <t>ORD104910</t>
  </si>
  <si>
    <t>CUST2011</t>
  </si>
  <si>
    <t>ORD104911</t>
  </si>
  <si>
    <t>ORD104912</t>
  </si>
  <si>
    <t>ORD104913</t>
  </si>
  <si>
    <t>ORD104914</t>
  </si>
  <si>
    <t>ORD104915</t>
  </si>
  <si>
    <t>CUST3197</t>
  </si>
  <si>
    <t>ORD104916</t>
  </si>
  <si>
    <t>CUST1521</t>
  </si>
  <si>
    <t>ORD104917</t>
  </si>
  <si>
    <t>ORD104918</t>
  </si>
  <si>
    <t>CUST5717</t>
  </si>
  <si>
    <t>ORD104919</t>
  </si>
  <si>
    <t>CUST9019</t>
  </si>
  <si>
    <t>ORD104920</t>
  </si>
  <si>
    <t>ORD104921</t>
  </si>
  <si>
    <t>CUST5729</t>
  </si>
  <si>
    <t>ORD104922</t>
  </si>
  <si>
    <t>CUST1933</t>
  </si>
  <si>
    <t>ORD104923</t>
  </si>
  <si>
    <t>ORD104924</t>
  </si>
  <si>
    <t>CUST1487</t>
  </si>
  <si>
    <t>ORD104925</t>
  </si>
  <si>
    <t>ORD104926</t>
  </si>
  <si>
    <t>CUST1678</t>
  </si>
  <si>
    <t>ORD104927</t>
  </si>
  <si>
    <t>ORD104928</t>
  </si>
  <si>
    <t>CUST6707</t>
  </si>
  <si>
    <t>ORD104929</t>
  </si>
  <si>
    <t>CUST5165</t>
  </si>
  <si>
    <t>ORD104930</t>
  </si>
  <si>
    <t>ORD104931</t>
  </si>
  <si>
    <t>CUST3419</t>
  </si>
  <si>
    <t>ORD104932</t>
  </si>
  <si>
    <t>ORD104933</t>
  </si>
  <si>
    <t>ORD104934</t>
  </si>
  <si>
    <t>CUST1882</t>
  </si>
  <si>
    <t>ORD104935</t>
  </si>
  <si>
    <t>CUST8751</t>
  </si>
  <si>
    <t>ORD104936</t>
  </si>
  <si>
    <t>ORD104937</t>
  </si>
  <si>
    <t>ORD104938</t>
  </si>
  <si>
    <t>ORD104939</t>
  </si>
  <si>
    <t>CUST1065</t>
  </si>
  <si>
    <t>ORD104940</t>
  </si>
  <si>
    <t>ORD104941</t>
  </si>
  <si>
    <t>ORD104942</t>
  </si>
  <si>
    <t>CUST3014</t>
  </si>
  <si>
    <t>ORD104943</t>
  </si>
  <si>
    <t>CUST6301</t>
  </si>
  <si>
    <t>ORD104944</t>
  </si>
  <si>
    <t>CUST9320</t>
  </si>
  <si>
    <t>ORD104945</t>
  </si>
  <si>
    <t>ORD104946</t>
  </si>
  <si>
    <t>ORD104947</t>
  </si>
  <si>
    <t>ORD104948</t>
  </si>
  <si>
    <t>CUST5782</t>
  </si>
  <si>
    <t>ORD104949</t>
  </si>
  <si>
    <t>CUST2822</t>
  </si>
  <si>
    <t>ORD104950</t>
  </si>
  <si>
    <t>CUST3572</t>
  </si>
  <si>
    <t>ORD104951</t>
  </si>
  <si>
    <t>ORD104952</t>
  </si>
  <si>
    <t>CUST1840</t>
  </si>
  <si>
    <t>ORD104953</t>
  </si>
  <si>
    <t>CUST3251</t>
  </si>
  <si>
    <t>ORD104954</t>
  </si>
  <si>
    <t>ORD104955</t>
  </si>
  <si>
    <t>CUST8906</t>
  </si>
  <si>
    <t>ORD104956</t>
  </si>
  <si>
    <t>CUST8325</t>
  </si>
  <si>
    <t>ORD104957</t>
  </si>
  <si>
    <t>CUST4471</t>
  </si>
  <si>
    <t>ORD104958</t>
  </si>
  <si>
    <t>CUST1555</t>
  </si>
  <si>
    <t>ORD104959</t>
  </si>
  <si>
    <t>CUST5948</t>
  </si>
  <si>
    <t>ORD104960</t>
  </si>
  <si>
    <t>CUST9733</t>
  </si>
  <si>
    <t>ORD104961</t>
  </si>
  <si>
    <t>ORD104962</t>
  </si>
  <si>
    <t>CUST7337</t>
  </si>
  <si>
    <t>ORD104963</t>
  </si>
  <si>
    <t>CUST1447</t>
  </si>
  <si>
    <t>ORD104964</t>
  </si>
  <si>
    <t>ORD104965</t>
  </si>
  <si>
    <t>CUST5241</t>
  </si>
  <si>
    <t>ORD104966</t>
  </si>
  <si>
    <t>ORD104967</t>
  </si>
  <si>
    <t>ORD104968</t>
  </si>
  <si>
    <t>ORD104969</t>
  </si>
  <si>
    <t>CUST7666</t>
  </si>
  <si>
    <t>ORD104970</t>
  </si>
  <si>
    <t>CUST3336</t>
  </si>
  <si>
    <t>ORD104971</t>
  </si>
  <si>
    <t>CUST7342</t>
  </si>
  <si>
    <t>ORD104972</t>
  </si>
  <si>
    <t>CUST4525</t>
  </si>
  <si>
    <t>ORD104973</t>
  </si>
  <si>
    <t>CUST1908</t>
  </si>
  <si>
    <t>ORD104974</t>
  </si>
  <si>
    <t>CUST5506</t>
  </si>
  <si>
    <t>ORD104975</t>
  </si>
  <si>
    <t>CUST6273</t>
  </si>
  <si>
    <t>ORD104976</t>
  </si>
  <si>
    <t>ORD104977</t>
  </si>
  <si>
    <t>ORD104978</t>
  </si>
  <si>
    <t>ORD104979</t>
  </si>
  <si>
    <t>ORD104980</t>
  </si>
  <si>
    <t>CUST1815</t>
  </si>
  <si>
    <t>ORD104981</t>
  </si>
  <si>
    <t>ORD104982</t>
  </si>
  <si>
    <t>CUST1544</t>
  </si>
  <si>
    <t>ORD104983</t>
  </si>
  <si>
    <t>CUST8378</t>
  </si>
  <si>
    <t>ORD104984</t>
  </si>
  <si>
    <t>CUST1363</t>
  </si>
  <si>
    <t>ORD104985</t>
  </si>
  <si>
    <t>CUST9821</t>
  </si>
  <si>
    <t>ORD104986</t>
  </si>
  <si>
    <t>ORD104987</t>
  </si>
  <si>
    <t>CUST7979</t>
  </si>
  <si>
    <t>ORD104988</t>
  </si>
  <si>
    <t>CUST6150</t>
  </si>
  <si>
    <t>ORD104989</t>
  </si>
  <si>
    <t>ORD104990</t>
  </si>
  <si>
    <t>CUST6027</t>
  </si>
  <si>
    <t>ORD104991</t>
  </si>
  <si>
    <t>CUST6396</t>
  </si>
  <si>
    <t>ORD104992</t>
  </si>
  <si>
    <t>CUST3179</t>
  </si>
  <si>
    <t>ORD104993</t>
  </si>
  <si>
    <t>CUST1834</t>
  </si>
  <si>
    <t>ORD104994</t>
  </si>
  <si>
    <t>CUST7058</t>
  </si>
  <si>
    <t>ORD104995</t>
  </si>
  <si>
    <t>ORD104996</t>
  </si>
  <si>
    <t>ORD104997</t>
  </si>
  <si>
    <t>CUST9614</t>
  </si>
  <si>
    <t>ORD104998</t>
  </si>
  <si>
    <t>CUST3646</t>
  </si>
  <si>
    <t>ORD104999</t>
  </si>
  <si>
    <t>CUST8136</t>
  </si>
  <si>
    <t>ORD105000</t>
  </si>
  <si>
    <t>CUST4250</t>
  </si>
  <si>
    <t>ORD105001</t>
  </si>
  <si>
    <t>CUST7321</t>
  </si>
  <si>
    <t>ORD105002</t>
  </si>
  <si>
    <t>CUST7668</t>
  </si>
  <si>
    <t>ORD105003</t>
  </si>
  <si>
    <t>CUST1716</t>
  </si>
  <si>
    <t>ORD105004</t>
  </si>
  <si>
    <t>CUST5767</t>
  </si>
  <si>
    <t>ORD105005</t>
  </si>
  <si>
    <t>ORD105006</t>
  </si>
  <si>
    <t>CUST2475</t>
  </si>
  <si>
    <t>ORD105007</t>
  </si>
  <si>
    <t>ORD105008</t>
  </si>
  <si>
    <t>ORD105009</t>
  </si>
  <si>
    <t>ORD105010</t>
  </si>
  <si>
    <t>CUST6936</t>
  </si>
  <si>
    <t>ORD105011</t>
  </si>
  <si>
    <t>ORD105012</t>
  </si>
  <si>
    <t>ORD105013</t>
  </si>
  <si>
    <t>ORD105014</t>
  </si>
  <si>
    <t>ORD105015</t>
  </si>
  <si>
    <t>ORD105016</t>
  </si>
  <si>
    <t>CUST2837</t>
  </si>
  <si>
    <t>ORD105017</t>
  </si>
  <si>
    <t>CUST2833</t>
  </si>
  <si>
    <t>ORD105018</t>
  </si>
  <si>
    <t>ORD105019</t>
  </si>
  <si>
    <t>CUST9710</t>
  </si>
  <si>
    <t>ORD105020</t>
  </si>
  <si>
    <t>CUST7744</t>
  </si>
  <si>
    <t>ORD105021</t>
  </si>
  <si>
    <t>CUST2338</t>
  </si>
  <si>
    <t>ORD105022</t>
  </si>
  <si>
    <t>CUST1229</t>
  </si>
  <si>
    <t>ORD105023</t>
  </si>
  <si>
    <t>ORD105024</t>
  </si>
  <si>
    <t>ORD105025</t>
  </si>
  <si>
    <t>ORD105026</t>
  </si>
  <si>
    <t>CUST8837</t>
  </si>
  <si>
    <t>ORD105027</t>
  </si>
  <si>
    <t>CUST1174</t>
  </si>
  <si>
    <t>ORD105028</t>
  </si>
  <si>
    <t>CUST2200</t>
  </si>
  <si>
    <t>ORD105029</t>
  </si>
  <si>
    <t>CUST5103</t>
  </si>
  <si>
    <t>ORD105030</t>
  </si>
  <si>
    <t>CUST6043</t>
  </si>
  <si>
    <t>ORD105031</t>
  </si>
  <si>
    <t>ORD105032</t>
  </si>
  <si>
    <t>ORD105033</t>
  </si>
  <si>
    <t>CUST2704</t>
  </si>
  <si>
    <t>ORD105034</t>
  </si>
  <si>
    <t>CUST2051</t>
  </si>
  <si>
    <t>ORD105035</t>
  </si>
  <si>
    <t>CUST7413</t>
  </si>
  <si>
    <t>ORD105036</t>
  </si>
  <si>
    <t>ORD105037</t>
  </si>
  <si>
    <t>CUST2217</t>
  </si>
  <si>
    <t>ORD105038</t>
  </si>
  <si>
    <t>CUST9310</t>
  </si>
  <si>
    <t>ORD105039</t>
  </si>
  <si>
    <t>CUST5348</t>
  </si>
  <si>
    <t>ORD105040</t>
  </si>
  <si>
    <t>ORD105041</t>
  </si>
  <si>
    <t>CUST8051</t>
  </si>
  <si>
    <t>ORD105042</t>
  </si>
  <si>
    <t>CUST7245</t>
  </si>
  <si>
    <t>ORD105043</t>
  </si>
  <si>
    <t>CUST4516</t>
  </si>
  <si>
    <t>ORD105044</t>
  </si>
  <si>
    <t>CUST1822</t>
  </si>
  <si>
    <t>ORD105045</t>
  </si>
  <si>
    <t>ORD105046</t>
  </si>
  <si>
    <t>ORD105047</t>
  </si>
  <si>
    <t>CUST9110</t>
  </si>
  <si>
    <t>ORD105048</t>
  </si>
  <si>
    <t>CUST7151</t>
  </si>
  <si>
    <t>ORD105049</t>
  </si>
  <si>
    <t>CUST9028</t>
  </si>
  <si>
    <t>ORD105050</t>
  </si>
  <si>
    <t>CUST2824</t>
  </si>
  <si>
    <t>ORD105051</t>
  </si>
  <si>
    <t>ORD105052</t>
  </si>
  <si>
    <t>CUST2054</t>
  </si>
  <si>
    <t>ORD105053</t>
  </si>
  <si>
    <t>CUST3695</t>
  </si>
  <si>
    <t>ORD105054</t>
  </si>
  <si>
    <t>ORD105055</t>
  </si>
  <si>
    <t>ORD105056</t>
  </si>
  <si>
    <t>CUST2872</t>
  </si>
  <si>
    <t>ORD105057</t>
  </si>
  <si>
    <t>CUST6431</t>
  </si>
  <si>
    <t>ORD105058</t>
  </si>
  <si>
    <t>CUST7404</t>
  </si>
  <si>
    <t>ORD105059</t>
  </si>
  <si>
    <t>ORD105060</t>
  </si>
  <si>
    <t>CUST8546</t>
  </si>
  <si>
    <t>ORD105061</t>
  </si>
  <si>
    <t>ORD105062</t>
  </si>
  <si>
    <t>CUST3229</t>
  </si>
  <si>
    <t>ORD105063</t>
  </si>
  <si>
    <t>ORD105064</t>
  </si>
  <si>
    <t>ORD105065</t>
  </si>
  <si>
    <t>CUST3484</t>
  </si>
  <si>
    <t>ORD105066</t>
  </si>
  <si>
    <t>ORD105067</t>
  </si>
  <si>
    <t>CUST8817</t>
  </si>
  <si>
    <t>ORD105068</t>
  </si>
  <si>
    <t>CUST9341</t>
  </si>
  <si>
    <t>ORD105069</t>
  </si>
  <si>
    <t>CUST2744</t>
  </si>
  <si>
    <t>ORD105070</t>
  </si>
  <si>
    <t>CUST5455</t>
  </si>
  <si>
    <t>ORD105071</t>
  </si>
  <si>
    <t>ORD105072</t>
  </si>
  <si>
    <t>CUST3375</t>
  </si>
  <si>
    <t>ORD105073</t>
  </si>
  <si>
    <t>CUST1422</t>
  </si>
  <si>
    <t>ORD105074</t>
  </si>
  <si>
    <t>ORD105075</t>
  </si>
  <si>
    <t>ORD105076</t>
  </si>
  <si>
    <t>CUST5566</t>
  </si>
  <si>
    <t>ORD105077</t>
  </si>
  <si>
    <t>ORD105078</t>
  </si>
  <si>
    <t>CUST9412</t>
  </si>
  <si>
    <t>ORD105079</t>
  </si>
  <si>
    <t>CUST2144</t>
  </si>
  <si>
    <t>ORD105080</t>
  </si>
  <si>
    <t>ORD105081</t>
  </si>
  <si>
    <t>ORD105082</t>
  </si>
  <si>
    <t>CUST3542</t>
  </si>
  <si>
    <t>ORD105083</t>
  </si>
  <si>
    <t>ORD105084</t>
  </si>
  <si>
    <t>CUST2427</t>
  </si>
  <si>
    <t>ORD105085</t>
  </si>
  <si>
    <t>CUST2829</t>
  </si>
  <si>
    <t>ORD105086</t>
  </si>
  <si>
    <t>ORD105087</t>
  </si>
  <si>
    <t>ORD105088</t>
  </si>
  <si>
    <t>ORD105089</t>
  </si>
  <si>
    <t>ORD105090</t>
  </si>
  <si>
    <t>CUST6343</t>
  </si>
  <si>
    <t>ORD105091</t>
  </si>
  <si>
    <t>CUST9780</t>
  </si>
  <si>
    <t>ORD105092</t>
  </si>
  <si>
    <t>CUST3946</t>
  </si>
  <si>
    <t>ORD105093</t>
  </si>
  <si>
    <t>CUST6652</t>
  </si>
  <si>
    <t>ORD105094</t>
  </si>
  <si>
    <t>ORD105095</t>
  </si>
  <si>
    <t>CUST8111</t>
  </si>
  <si>
    <t>ORD105096</t>
  </si>
  <si>
    <t>CUST2187</t>
  </si>
  <si>
    <t>ORD105097</t>
  </si>
  <si>
    <t>ORD105098</t>
  </si>
  <si>
    <t>ORD105099</t>
  </si>
  <si>
    <t>CUST3965</t>
  </si>
  <si>
    <t>ORD105100</t>
  </si>
  <si>
    <t>ORD105101</t>
  </si>
  <si>
    <t>ORD105102</t>
  </si>
  <si>
    <t>ORD105103</t>
  </si>
  <si>
    <t>ORD105104</t>
  </si>
  <si>
    <t>CUST4358</t>
  </si>
  <si>
    <t>ORD105105</t>
  </si>
  <si>
    <t>ORD105106</t>
  </si>
  <si>
    <t>ORD105107</t>
  </si>
  <si>
    <t>ORD105108</t>
  </si>
  <si>
    <t>CUST8716</t>
  </si>
  <si>
    <t>ORD105109</t>
  </si>
  <si>
    <t>CUST4088</t>
  </si>
  <si>
    <t>ORD105110</t>
  </si>
  <si>
    <t>CUST6209</t>
  </si>
  <si>
    <t>ORD105111</t>
  </si>
  <si>
    <t>CUST5251</t>
  </si>
  <si>
    <t>ORD105112</t>
  </si>
  <si>
    <t>CUST8785</t>
  </si>
  <si>
    <t>ORD105113</t>
  </si>
  <si>
    <t>ORD105114</t>
  </si>
  <si>
    <t>CUST7916</t>
  </si>
  <si>
    <t>ORD105115</t>
  </si>
  <si>
    <t>CUST3624</t>
  </si>
  <si>
    <t>ORD105116</t>
  </si>
  <si>
    <t>ORD105117</t>
  </si>
  <si>
    <t>CUST1754</t>
  </si>
  <si>
    <t>ORD105118</t>
  </si>
  <si>
    <t>CUST5080</t>
  </si>
  <si>
    <t>ORD105119</t>
  </si>
  <si>
    <t>ORD105120</t>
  </si>
  <si>
    <t>ORD105121</t>
  </si>
  <si>
    <t>ORD105122</t>
  </si>
  <si>
    <t>ORD105123</t>
  </si>
  <si>
    <t>CUST1995</t>
  </si>
  <si>
    <t>ORD105124</t>
  </si>
  <si>
    <t>CUST8176</t>
  </si>
  <si>
    <t>ORD105125</t>
  </si>
  <si>
    <t>ORD105126</t>
  </si>
  <si>
    <t>ORD105127</t>
  </si>
  <si>
    <t>CUST5662</t>
  </si>
  <si>
    <t>ORD105128</t>
  </si>
  <si>
    <t>ORD105129</t>
  </si>
  <si>
    <t>CUST2420</t>
  </si>
  <si>
    <t>ORD105130</t>
  </si>
  <si>
    <t>ORD105131</t>
  </si>
  <si>
    <t>ORD105132</t>
  </si>
  <si>
    <t>ORD105133</t>
  </si>
  <si>
    <t>CUST5508</t>
  </si>
  <si>
    <t>ORD105134</t>
  </si>
  <si>
    <t>ORD105135</t>
  </si>
  <si>
    <t>CUST1092</t>
  </si>
  <si>
    <t>ORD105136</t>
  </si>
  <si>
    <t>CUST9245</t>
  </si>
  <si>
    <t>ORD105137</t>
  </si>
  <si>
    <t>CUST8428</t>
  </si>
  <si>
    <t>ORD105138</t>
  </si>
  <si>
    <t>CUST4080</t>
  </si>
  <si>
    <t>ORD105139</t>
  </si>
  <si>
    <t>CUST9349</t>
  </si>
  <si>
    <t>ORD105140</t>
  </si>
  <si>
    <t>CUST1968</t>
  </si>
  <si>
    <t>ORD105141</t>
  </si>
  <si>
    <t>ORD105142</t>
  </si>
  <si>
    <t>ORD105143</t>
  </si>
  <si>
    <t>CUST3052</t>
  </si>
  <si>
    <t>ORD105144</t>
  </si>
  <si>
    <t>ORD105145</t>
  </si>
  <si>
    <t>ORD105146</t>
  </si>
  <si>
    <t>CUST1746</t>
  </si>
  <si>
    <t>ORD105147</t>
  </si>
  <si>
    <t>ORD105148</t>
  </si>
  <si>
    <t>CUST7648</t>
  </si>
  <si>
    <t>ORD105149</t>
  </si>
  <si>
    <t>CUST9562</t>
  </si>
  <si>
    <t>ORD105150</t>
  </si>
  <si>
    <t>ORD105151</t>
  </si>
  <si>
    <t>CUST2045</t>
  </si>
  <si>
    <t>ORD105152</t>
  </si>
  <si>
    <t>CUST7225</t>
  </si>
  <si>
    <t>ORD105153</t>
  </si>
  <si>
    <t>CUST1602</t>
  </si>
  <si>
    <t>ORD105154</t>
  </si>
  <si>
    <t>ORD105155</t>
  </si>
  <si>
    <t>CUST7122</t>
  </si>
  <si>
    <t>ORD105156</t>
  </si>
  <si>
    <t>ORD105157</t>
  </si>
  <si>
    <t>CUST8548</t>
  </si>
  <si>
    <t>ORD105158</t>
  </si>
  <si>
    <t>ORD105159</t>
  </si>
  <si>
    <t>ORD105160</t>
  </si>
  <si>
    <t>CUST2262</t>
  </si>
  <si>
    <t>ORD105161</t>
  </si>
  <si>
    <t>CUST5739</t>
  </si>
  <si>
    <t>ORD105162</t>
  </si>
  <si>
    <t>CUST5847</t>
  </si>
  <si>
    <t>ORD105163</t>
  </si>
  <si>
    <t>CUST8373</t>
  </si>
  <si>
    <t>ORD105164</t>
  </si>
  <si>
    <t>CUST3129</t>
  </si>
  <si>
    <t>ORD105165</t>
  </si>
  <si>
    <t>CUST3955</t>
  </si>
  <si>
    <t>ORD105166</t>
  </si>
  <si>
    <t>CUST8072</t>
  </si>
  <si>
    <t>ORD105167</t>
  </si>
  <si>
    <t>CUST1712</t>
  </si>
  <si>
    <t>ORD105168</t>
  </si>
  <si>
    <t>CUST5167</t>
  </si>
  <si>
    <t>ORD105169</t>
  </si>
  <si>
    <t>CUST3463</t>
  </si>
  <si>
    <t>ORD105170</t>
  </si>
  <si>
    <t>ORD105171</t>
  </si>
  <si>
    <t>CUST4120</t>
  </si>
  <si>
    <t>ORD105172</t>
  </si>
  <si>
    <t>ORD105173</t>
  </si>
  <si>
    <t>CUST7599</t>
  </si>
  <si>
    <t>ORD105174</t>
  </si>
  <si>
    <t>ORD105175</t>
  </si>
  <si>
    <t>CUST1893</t>
  </si>
  <si>
    <t>ORD105176</t>
  </si>
  <si>
    <t>ORD105177</t>
  </si>
  <si>
    <t>CUST2694</t>
  </si>
  <si>
    <t>ORD105178</t>
  </si>
  <si>
    <t>CUST8456</t>
  </si>
  <si>
    <t>ORD105179</t>
  </si>
  <si>
    <t>CUST1248</t>
  </si>
  <si>
    <t>ORD105180</t>
  </si>
  <si>
    <t>ORD105181</t>
  </si>
  <si>
    <t>CUST6695</t>
  </si>
  <si>
    <t>ORD105182</t>
  </si>
  <si>
    <t>ORD105183</t>
  </si>
  <si>
    <t>CUST7024</t>
  </si>
  <si>
    <t>ORD105184</t>
  </si>
  <si>
    <t>CUST1539</t>
  </si>
  <si>
    <t>ORD105185</t>
  </si>
  <si>
    <t>ORD105186</t>
  </si>
  <si>
    <t>ORD105187</t>
  </si>
  <si>
    <t>CUST3175</t>
  </si>
  <si>
    <t>ORD105188</t>
  </si>
  <si>
    <t>ORD105189</t>
  </si>
  <si>
    <t>CUST4927</t>
  </si>
  <si>
    <t>ORD105190</t>
  </si>
  <si>
    <t>CUST7046</t>
  </si>
  <si>
    <t>ORD105191</t>
  </si>
  <si>
    <t>CUST6510</t>
  </si>
  <si>
    <t>ORD105192</t>
  </si>
  <si>
    <t>CUST5736</t>
  </si>
  <si>
    <t>ORD105193</t>
  </si>
  <si>
    <t>CUST3969</t>
  </si>
  <si>
    <t>ORD105194</t>
  </si>
  <si>
    <t>ORD105195</t>
  </si>
  <si>
    <t>CUST2581</t>
  </si>
  <si>
    <t>ORD105196</t>
  </si>
  <si>
    <t>CUST1129</t>
  </si>
  <si>
    <t>ORD105197</t>
  </si>
  <si>
    <t>CUST6282</t>
  </si>
  <si>
    <t>ORD105198</t>
  </si>
  <si>
    <t>ORD105199</t>
  </si>
  <si>
    <t>ORD105200</t>
  </si>
  <si>
    <t>CUST1032</t>
  </si>
  <si>
    <t>ORD105201</t>
  </si>
  <si>
    <t>CUST4742</t>
  </si>
  <si>
    <t>ORD105202</t>
  </si>
  <si>
    <t>ORD105203</t>
  </si>
  <si>
    <t>ORD105204</t>
  </si>
  <si>
    <t>ORD105205</t>
  </si>
  <si>
    <t>ORD105206</t>
  </si>
  <si>
    <t>CUST4035</t>
  </si>
  <si>
    <t>ORD105207</t>
  </si>
  <si>
    <t>CUST8476</t>
  </si>
  <si>
    <t>ORD105208</t>
  </si>
  <si>
    <t>CUST7724</t>
  </si>
  <si>
    <t>ORD105209</t>
  </si>
  <si>
    <t>CUST1793</t>
  </si>
  <si>
    <t>ORD105210</t>
  </si>
  <si>
    <t>ORD105211</t>
  </si>
  <si>
    <t>ORD105212</t>
  </si>
  <si>
    <t>CUST9579</t>
  </si>
  <si>
    <t>ORD105213</t>
  </si>
  <si>
    <t>CUST4604</t>
  </si>
  <si>
    <t>ORD105214</t>
  </si>
  <si>
    <t>CUST2401</t>
  </si>
  <si>
    <t>ORD105215</t>
  </si>
  <si>
    <t>CUST4850</t>
  </si>
  <si>
    <t>ORD105216</t>
  </si>
  <si>
    <t>ORD105217</t>
  </si>
  <si>
    <t>CUST5037</t>
  </si>
  <si>
    <t>ORD105218</t>
  </si>
  <si>
    <t>CUST3264</t>
  </si>
  <si>
    <t>ORD105219</t>
  </si>
  <si>
    <t>CUST9967</t>
  </si>
  <si>
    <t>ORD105220</t>
  </si>
  <si>
    <t>ORD105221</t>
  </si>
  <si>
    <t>ORD105222</t>
  </si>
  <si>
    <t>ORD105223</t>
  </si>
  <si>
    <t>ORD105224</t>
  </si>
  <si>
    <t>ORD105225</t>
  </si>
  <si>
    <t>CUST6938</t>
  </si>
  <si>
    <t>ORD105226</t>
  </si>
  <si>
    <t>CUST7472</t>
  </si>
  <si>
    <t>ORD105227</t>
  </si>
  <si>
    <t>ORD105228</t>
  </si>
  <si>
    <t>CUST4696</t>
  </si>
  <si>
    <t>ORD105229</t>
  </si>
  <si>
    <t>CUST4227</t>
  </si>
  <si>
    <t>ORD105230</t>
  </si>
  <si>
    <t>CUST4926</t>
  </si>
  <si>
    <t>ORD105231</t>
  </si>
  <si>
    <t>ORD105232</t>
  </si>
  <si>
    <t>CUST1775</t>
  </si>
  <si>
    <t>ORD105233</t>
  </si>
  <si>
    <t>CUST3825</t>
  </si>
  <si>
    <t>ORD105234</t>
  </si>
  <si>
    <t>CUST4883</t>
  </si>
  <si>
    <t>ORD105235</t>
  </si>
  <si>
    <t>ORD105236</t>
  </si>
  <si>
    <t>ORD105237</t>
  </si>
  <si>
    <t>CUST3214</t>
  </si>
  <si>
    <t>ORD105238</t>
  </si>
  <si>
    <t>CUST6870</t>
  </si>
  <si>
    <t>ORD105239</t>
  </si>
  <si>
    <t>CUST9831</t>
  </si>
  <si>
    <t>ORD105240</t>
  </si>
  <si>
    <t>CUST8033</t>
  </si>
  <si>
    <t>ORD105241</t>
  </si>
  <si>
    <t>CUST8796</t>
  </si>
  <si>
    <t>ORD105242</t>
  </si>
  <si>
    <t>CUST4229</t>
  </si>
  <si>
    <t>ORD105243</t>
  </si>
  <si>
    <t>ORD105244</t>
  </si>
  <si>
    <t>CUST7240</t>
  </si>
  <si>
    <t>ORD105245</t>
  </si>
  <si>
    <t>CUST2299</t>
  </si>
  <si>
    <t>ORD105246</t>
  </si>
  <si>
    <t>CUST7639</t>
  </si>
  <si>
    <t>ORD105247</t>
  </si>
  <si>
    <t>ORD105248</t>
  </si>
  <si>
    <t>ORD105249</t>
  </si>
  <si>
    <t>CUST8270</t>
  </si>
  <si>
    <t>ORD105250</t>
  </si>
  <si>
    <t>CUST4783</t>
  </si>
  <si>
    <t>ORD105251</t>
  </si>
  <si>
    <t>CUST2662</t>
  </si>
  <si>
    <t>ORD105252</t>
  </si>
  <si>
    <t>ORD105253</t>
  </si>
  <si>
    <t>ORD105254</t>
  </si>
  <si>
    <t>CUST9058</t>
  </si>
  <si>
    <t>ORD105255</t>
  </si>
  <si>
    <t>CUST5368</t>
  </si>
  <si>
    <t>ORD105256</t>
  </si>
  <si>
    <t>CUST3123</t>
  </si>
  <si>
    <t>ORD105257</t>
  </si>
  <si>
    <t>CUST7197</t>
  </si>
  <si>
    <t>ORD105258</t>
  </si>
  <si>
    <t>CUST1296</t>
  </si>
  <si>
    <t>ORD105259</t>
  </si>
  <si>
    <t>CUST4503</t>
  </si>
  <si>
    <t>ORD105260</t>
  </si>
  <si>
    <t>ORD105261</t>
  </si>
  <si>
    <t>CUST2268</t>
  </si>
  <si>
    <t>ORD105262</t>
  </si>
  <si>
    <t>CUST2148</t>
  </si>
  <si>
    <t>ORD105263</t>
  </si>
  <si>
    <t>ORD105264</t>
  </si>
  <si>
    <t>ORD105265</t>
  </si>
  <si>
    <t>ORD105266</t>
  </si>
  <si>
    <t>ORD105267</t>
  </si>
  <si>
    <t>ORD105268</t>
  </si>
  <si>
    <t>ORD105269</t>
  </si>
  <si>
    <t>CUST2247</t>
  </si>
  <si>
    <t>ORD105270</t>
  </si>
  <si>
    <t>CUST7054</t>
  </si>
  <si>
    <t>ORD105271</t>
  </si>
  <si>
    <t>ORD105272</t>
  </si>
  <si>
    <t>CUST8871</t>
  </si>
  <si>
    <t>ORD105273</t>
  </si>
  <si>
    <t>ORD105274</t>
  </si>
  <si>
    <t>CUST1241</t>
  </si>
  <si>
    <t>ORD105275</t>
  </si>
  <si>
    <t>ORD105276</t>
  </si>
  <si>
    <t>CUST2153</t>
  </si>
  <si>
    <t>ORD105277</t>
  </si>
  <si>
    <t>CUST6637</t>
  </si>
  <si>
    <t>ORD105278</t>
  </si>
  <si>
    <t>CUST1527</t>
  </si>
  <si>
    <t>ORD105279</t>
  </si>
  <si>
    <t>CUST9836</t>
  </si>
  <si>
    <t>ORD105280</t>
  </si>
  <si>
    <t>CUST7115</t>
  </si>
  <si>
    <t>ORD105281</t>
  </si>
  <si>
    <t>CUST3228</t>
  </si>
  <si>
    <t>ORD105282</t>
  </si>
  <si>
    <t>ORD105283</t>
  </si>
  <si>
    <t>CUST1055</t>
  </si>
  <si>
    <t>ORD105284</t>
  </si>
  <si>
    <t>CUST4200</t>
  </si>
  <si>
    <t>ORD105285</t>
  </si>
  <si>
    <t>ORD105286</t>
  </si>
  <si>
    <t>CUST1486</t>
  </si>
  <si>
    <t>ORD105287</t>
  </si>
  <si>
    <t>CUST2282</t>
  </si>
  <si>
    <t>ORD105288</t>
  </si>
  <si>
    <t>CUST3870</t>
  </si>
  <si>
    <t>ORD105289</t>
  </si>
  <si>
    <t>CUST3866</t>
  </si>
  <si>
    <t>ORD105290</t>
  </si>
  <si>
    <t>CUST1545</t>
  </si>
  <si>
    <t>ORD105291</t>
  </si>
  <si>
    <t>CUST6748</t>
  </si>
  <si>
    <t>ORD105292</t>
  </si>
  <si>
    <t>CUST4990</t>
  </si>
  <si>
    <t>ORD105293</t>
  </si>
  <si>
    <t>CUST1118</t>
  </si>
  <si>
    <t>ORD105294</t>
  </si>
  <si>
    <t>ORD105295</t>
  </si>
  <si>
    <t>CUST5217</t>
  </si>
  <si>
    <t>ORD105296</t>
  </si>
  <si>
    <t>CUST9288</t>
  </si>
  <si>
    <t>ORD105297</t>
  </si>
  <si>
    <t>CUST9584</t>
  </si>
  <si>
    <t>ORD105298</t>
  </si>
  <si>
    <t>CUST7500</t>
  </si>
  <si>
    <t>ORD105299</t>
  </si>
  <si>
    <t>CUST3688</t>
  </si>
  <si>
    <t>ORD105300</t>
  </si>
  <si>
    <t>ORD105301</t>
  </si>
  <si>
    <t>ORD105302</t>
  </si>
  <si>
    <t>CUST8589</t>
  </si>
  <si>
    <t>ORD105303</t>
  </si>
  <si>
    <t>ORD105304</t>
  </si>
  <si>
    <t>CUST1771</t>
  </si>
  <si>
    <t>ORD105305</t>
  </si>
  <si>
    <t>CUST1009</t>
  </si>
  <si>
    <t>ORD105306</t>
  </si>
  <si>
    <t>CUST8472</t>
  </si>
  <si>
    <t>ORD105307</t>
  </si>
  <si>
    <t>CUST5663</t>
  </si>
  <si>
    <t>ORD105308</t>
  </si>
  <si>
    <t>CUST9389</t>
  </si>
  <si>
    <t>ORD105309</t>
  </si>
  <si>
    <t>CUST4554</t>
  </si>
  <si>
    <t>ORD105310</t>
  </si>
  <si>
    <t>CUST6939</t>
  </si>
  <si>
    <t>ORD105311</t>
  </si>
  <si>
    <t>CUST1237</t>
  </si>
  <si>
    <t>ORD105312</t>
  </si>
  <si>
    <t>CUST8038</t>
  </si>
  <si>
    <t>ORD105313</t>
  </si>
  <si>
    <t>CUST6988</t>
  </si>
  <si>
    <t>ORD105314</t>
  </si>
  <si>
    <t>ORD105315</t>
  </si>
  <si>
    <t>ORD105316</t>
  </si>
  <si>
    <t>ORD105317</t>
  </si>
  <si>
    <t>ORD105318</t>
  </si>
  <si>
    <t>CUST4245</t>
  </si>
  <si>
    <t>ORD105319</t>
  </si>
  <si>
    <t>CUST9556</t>
  </si>
  <si>
    <t>ORD105320</t>
  </si>
  <si>
    <t>CUST3424</t>
  </si>
  <si>
    <t>ORD105321</t>
  </si>
  <si>
    <t>CUST9113</t>
  </si>
  <si>
    <t>ORD105322</t>
  </si>
  <si>
    <t>ORD105323</t>
  </si>
  <si>
    <t>CUST6476</t>
  </si>
  <si>
    <t>ORD105324</t>
  </si>
  <si>
    <t>ORD105325</t>
  </si>
  <si>
    <t>CUST1906</t>
  </si>
  <si>
    <t>ORD105326</t>
  </si>
  <si>
    <t>ORD105327</t>
  </si>
  <si>
    <t>ORD105328</t>
  </si>
  <si>
    <t>ORD105329</t>
  </si>
  <si>
    <t>ORD105330</t>
  </si>
  <si>
    <t>CUST4395</t>
  </si>
  <si>
    <t>ORD105331</t>
  </si>
  <si>
    <t>CUST2892</t>
  </si>
  <si>
    <t>ORD105332</t>
  </si>
  <si>
    <t>CUST7443</t>
  </si>
  <si>
    <t>ORD105333</t>
  </si>
  <si>
    <t>ORD105334</t>
  </si>
  <si>
    <t>CUST7782</t>
  </si>
  <si>
    <t>ORD105335</t>
  </si>
  <si>
    <t>CUST2814</t>
  </si>
  <si>
    <t>ORD105336</t>
  </si>
  <si>
    <t>ORD105337</t>
  </si>
  <si>
    <t>CUST6577</t>
  </si>
  <si>
    <t>ORD105338</t>
  </si>
  <si>
    <t>CUST1252</t>
  </si>
  <si>
    <t>ORD105339</t>
  </si>
  <si>
    <t>ORD105340</t>
  </si>
  <si>
    <t>CUST8468</t>
  </si>
  <si>
    <t>ORD105341</t>
  </si>
  <si>
    <t>CUST8818</t>
  </si>
  <si>
    <t>ORD105342</t>
  </si>
  <si>
    <t>ORD105343</t>
  </si>
  <si>
    <t>CUST9271</t>
  </si>
  <si>
    <t>ORD105344</t>
  </si>
  <si>
    <t>CUST2348</t>
  </si>
  <si>
    <t>ORD105345</t>
  </si>
  <si>
    <t>CUST3368</t>
  </si>
  <si>
    <t>ORD105346</t>
  </si>
  <si>
    <t>ORD105347</t>
  </si>
  <si>
    <t>CUST4025</t>
  </si>
  <si>
    <t>ORD105348</t>
  </si>
  <si>
    <t>ORD105349</t>
  </si>
  <si>
    <t>CUST2496</t>
  </si>
  <si>
    <t>ORD105350</t>
  </si>
  <si>
    <t>ORD105351</t>
  </si>
  <si>
    <t>CUST4636</t>
  </si>
  <si>
    <t>ORD105352</t>
  </si>
  <si>
    <t>ORD105353</t>
  </si>
  <si>
    <t>CUST3670</t>
  </si>
  <si>
    <t>ORD105354</t>
  </si>
  <si>
    <t>CUST6932</t>
  </si>
  <si>
    <t>ORD105355</t>
  </si>
  <si>
    <t>CUST7746</t>
  </si>
  <si>
    <t>ORD105356</t>
  </si>
  <si>
    <t>CUST2865</t>
  </si>
  <si>
    <t>ORD105357</t>
  </si>
  <si>
    <t>ORD105358</t>
  </si>
  <si>
    <t>CUST8569</t>
  </si>
  <si>
    <t>ORD105359</t>
  </si>
  <si>
    <t>CUST3638</t>
  </si>
  <si>
    <t>ORD105360</t>
  </si>
  <si>
    <t>CUST3124</t>
  </si>
  <si>
    <t>ORD105361</t>
  </si>
  <si>
    <t>ORD105362</t>
  </si>
  <si>
    <t>ORD105363</t>
  </si>
  <si>
    <t>CUST7779</t>
  </si>
  <si>
    <t>ORD105364</t>
  </si>
  <si>
    <t>CUST8281</t>
  </si>
  <si>
    <t>ORD105365</t>
  </si>
  <si>
    <t>CUST8616</t>
  </si>
  <si>
    <t>ORD105366</t>
  </si>
  <si>
    <t>CUST7745</t>
  </si>
  <si>
    <t>ORD105367</t>
  </si>
  <si>
    <t>CUST9544</t>
  </si>
  <si>
    <t>ORD105368</t>
  </si>
  <si>
    <t>CUST1905</t>
  </si>
  <si>
    <t>ORD105369</t>
  </si>
  <si>
    <t>CUST5491</t>
  </si>
  <si>
    <t>ORD105370</t>
  </si>
  <si>
    <t>CUST8142</t>
  </si>
  <si>
    <t>ORD105371</t>
  </si>
  <si>
    <t>CUST9886</t>
  </si>
  <si>
    <t>ORD105372</t>
  </si>
  <si>
    <t>ORD105373</t>
  </si>
  <si>
    <t>CUST9432</t>
  </si>
  <si>
    <t>ORD105374</t>
  </si>
  <si>
    <t>ORD105375</t>
  </si>
  <si>
    <t>ORD105376</t>
  </si>
  <si>
    <t>CUST6248</t>
  </si>
  <si>
    <t>ORD105377</t>
  </si>
  <si>
    <t>CUST7570</t>
  </si>
  <si>
    <t>ORD105378</t>
  </si>
  <si>
    <t>CUST1218</t>
  </si>
  <si>
    <t>ORD105379</t>
  </si>
  <si>
    <t>ORD105380</t>
  </si>
  <si>
    <t>CUST1747</t>
  </si>
  <si>
    <t>ORD105381</t>
  </si>
  <si>
    <t>ORD105382</t>
  </si>
  <si>
    <t>ORD105383</t>
  </si>
  <si>
    <t>CUST9606</t>
  </si>
  <si>
    <t>ORD105384</t>
  </si>
  <si>
    <t>CUST6268</t>
  </si>
  <si>
    <t>ORD105385</t>
  </si>
  <si>
    <t>ORD105386</t>
  </si>
  <si>
    <t>CUST3039</t>
  </si>
  <si>
    <t>ORD105387</t>
  </si>
  <si>
    <t>ORD105388</t>
  </si>
  <si>
    <t>CUST4537</t>
  </si>
  <si>
    <t>ORD105389</t>
  </si>
  <si>
    <t>CUST2451</t>
  </si>
  <si>
    <t>ORD105390</t>
  </si>
  <si>
    <t>ORD105391</t>
  </si>
  <si>
    <t>ORD105392</t>
  </si>
  <si>
    <t>CUST9460</t>
  </si>
  <si>
    <t>ORD105393</t>
  </si>
  <si>
    <t>CUST6200</t>
  </si>
  <si>
    <t>ORD105394</t>
  </si>
  <si>
    <t>ORD105395</t>
  </si>
  <si>
    <t>ORD105396</t>
  </si>
  <si>
    <t>CUST6085</t>
  </si>
  <si>
    <t>ORD105397</t>
  </si>
  <si>
    <t>CUST2914</t>
  </si>
  <si>
    <t>ORD105398</t>
  </si>
  <si>
    <t>CUST5753</t>
  </si>
  <si>
    <t>ORD105399</t>
  </si>
  <si>
    <t>CUST6576</t>
  </si>
  <si>
    <t>ORD105400</t>
  </si>
  <si>
    <t>ORD105401</t>
  </si>
  <si>
    <t>ORD105402</t>
  </si>
  <si>
    <t>ORD105403</t>
  </si>
  <si>
    <t>ORD105404</t>
  </si>
  <si>
    <t>CUST7854</t>
  </si>
  <si>
    <t>ORD105405</t>
  </si>
  <si>
    <t>ORD105406</t>
  </si>
  <si>
    <t>CUST8500</t>
  </si>
  <si>
    <t>ORD105407</t>
  </si>
  <si>
    <t>ORD105408</t>
  </si>
  <si>
    <t>ORD105409</t>
  </si>
  <si>
    <t>ORD105410</t>
  </si>
  <si>
    <t>CUST6435</t>
  </si>
  <si>
    <t>ORD105411</t>
  </si>
  <si>
    <t>ORD105412</t>
  </si>
  <si>
    <t>ORD105413</t>
  </si>
  <si>
    <t>CUST2655</t>
  </si>
  <si>
    <t>ORD105414</t>
  </si>
  <si>
    <t>CUST9103</t>
  </si>
  <si>
    <t>ORD105415</t>
  </si>
  <si>
    <t>CUST1618</t>
  </si>
  <si>
    <t>ORD105416</t>
  </si>
  <si>
    <t>ORD105417</t>
  </si>
  <si>
    <t>ORD105418</t>
  </si>
  <si>
    <t>ORD105419</t>
  </si>
  <si>
    <t>CUST6738</t>
  </si>
  <si>
    <t>ORD105420</t>
  </si>
  <si>
    <t>ORD105421</t>
  </si>
  <si>
    <t>CUST6968</t>
  </si>
  <si>
    <t>ORD105422</t>
  </si>
  <si>
    <t>ORD105423</t>
  </si>
  <si>
    <t>ORD105424</t>
  </si>
  <si>
    <t>CUST4667</t>
  </si>
  <si>
    <t>ORD105425</t>
  </si>
  <si>
    <t>ORD105426</t>
  </si>
  <si>
    <t>CUST8363</t>
  </si>
  <si>
    <t>ORD105427</t>
  </si>
  <si>
    <t>ORD105428</t>
  </si>
  <si>
    <t>CUST5278</t>
  </si>
  <si>
    <t>ORD105429</t>
  </si>
  <si>
    <t>ORD105430</t>
  </si>
  <si>
    <t>CUST5712</t>
  </si>
  <si>
    <t>ORD105431</t>
  </si>
  <si>
    <t>ORD105432</t>
  </si>
  <si>
    <t>ORD105433</t>
  </si>
  <si>
    <t>CUST1214</t>
  </si>
  <si>
    <t>ORD105434</t>
  </si>
  <si>
    <t>CUST5783</t>
  </si>
  <si>
    <t>ORD105435</t>
  </si>
  <si>
    <t>CUST6400</t>
  </si>
  <si>
    <t>ORD105436</t>
  </si>
  <si>
    <t>ORD105437</t>
  </si>
  <si>
    <t>CUST5977</t>
  </si>
  <si>
    <t>ORD105438</t>
  </si>
  <si>
    <t>ORD105439</t>
  </si>
  <si>
    <t>ORD105440</t>
  </si>
  <si>
    <t>CUST4826</t>
  </si>
  <si>
    <t>ORD105441</t>
  </si>
  <si>
    <t>ORD105442</t>
  </si>
  <si>
    <t>CUST1598</t>
  </si>
  <si>
    <t>ORD105443</t>
  </si>
  <si>
    <t>ORD105444</t>
  </si>
  <si>
    <t>CUST4326</t>
  </si>
  <si>
    <t>ORD105445</t>
  </si>
  <si>
    <t>ORD105446</t>
  </si>
  <si>
    <t>CUST9918</t>
  </si>
  <si>
    <t>ORD105447</t>
  </si>
  <si>
    <t>CUST5955</t>
  </si>
  <si>
    <t>ORD105448</t>
  </si>
  <si>
    <t>ORD105449</t>
  </si>
  <si>
    <t>ORD105450</t>
  </si>
  <si>
    <t>ORD105451</t>
  </si>
  <si>
    <t>CUST8512</t>
  </si>
  <si>
    <t>ORD105452</t>
  </si>
  <si>
    <t>CUST6817</t>
  </si>
  <si>
    <t>ORD105453</t>
  </si>
  <si>
    <t>CUST1976</t>
  </si>
  <si>
    <t>ORD105454</t>
  </si>
  <si>
    <t>ORD105455</t>
  </si>
  <si>
    <t>ORD105456</t>
  </si>
  <si>
    <t>ORD105457</t>
  </si>
  <si>
    <t>ORD105458</t>
  </si>
  <si>
    <t>CUST8322</t>
  </si>
  <si>
    <t>ORD105459</t>
  </si>
  <si>
    <t>ORD105460</t>
  </si>
  <si>
    <t>ORD105461</t>
  </si>
  <si>
    <t>ORD105462</t>
  </si>
  <si>
    <t>ORD105463</t>
  </si>
  <si>
    <t>CUST2845</t>
  </si>
  <si>
    <t>ORD105464</t>
  </si>
  <si>
    <t>CUST8885</t>
  </si>
  <si>
    <t>ORD105465</t>
  </si>
  <si>
    <t>CUST5049</t>
  </si>
  <si>
    <t>ORD105466</t>
  </si>
  <si>
    <t>ORD105467</t>
  </si>
  <si>
    <t>CUST7328</t>
  </si>
  <si>
    <t>ORD105468</t>
  </si>
  <si>
    <t>CUST9714</t>
  </si>
  <si>
    <t>ORD105469</t>
  </si>
  <si>
    <t>ORD105470</t>
  </si>
  <si>
    <t>CUST7344</t>
  </si>
  <si>
    <t>ORD105471</t>
  </si>
  <si>
    <t>ORD105472</t>
  </si>
  <si>
    <t>ORD105473</t>
  </si>
  <si>
    <t>ORD105474</t>
  </si>
  <si>
    <t>CUST7749</t>
  </si>
  <si>
    <t>ORD105475</t>
  </si>
  <si>
    <t>ORD105476</t>
  </si>
  <si>
    <t>ORD105477</t>
  </si>
  <si>
    <t>ORD105478</t>
  </si>
  <si>
    <t>CUST1185</t>
  </si>
  <si>
    <t>ORD105479</t>
  </si>
  <si>
    <t>ORD105480</t>
  </si>
  <si>
    <t>CUST7398</t>
  </si>
  <si>
    <t>ORD105481</t>
  </si>
  <si>
    <t>ORD105482</t>
  </si>
  <si>
    <t>ORD105483</t>
  </si>
  <si>
    <t>CUST9845</t>
  </si>
  <si>
    <t>ORD105484</t>
  </si>
  <si>
    <t>CUST1201</t>
  </si>
  <si>
    <t>ORD105485</t>
  </si>
  <si>
    <t>CUST2918</t>
  </si>
  <si>
    <t>ORD105486</t>
  </si>
  <si>
    <t>CUST4007</t>
  </si>
  <si>
    <t>ORD105487</t>
  </si>
  <si>
    <t>ORD105488</t>
  </si>
  <si>
    <t>CUST6989</t>
  </si>
  <si>
    <t>ORD105489</t>
  </si>
  <si>
    <t>ORD105490</t>
  </si>
  <si>
    <t>ORD105491</t>
  </si>
  <si>
    <t>CUST9316</t>
  </si>
  <si>
    <t>ORD105492</t>
  </si>
  <si>
    <t>ORD105493</t>
  </si>
  <si>
    <t>CUST4860</t>
  </si>
  <si>
    <t>ORD105494</t>
  </si>
  <si>
    <t>ORD105495</t>
  </si>
  <si>
    <t>ORD105496</t>
  </si>
  <si>
    <t>ORD105497</t>
  </si>
  <si>
    <t>CUST1684</t>
  </si>
  <si>
    <t>ORD105498</t>
  </si>
  <si>
    <t>CUST4913</t>
  </si>
  <si>
    <t>ORD105499</t>
  </si>
  <si>
    <t>CUST6803</t>
  </si>
  <si>
    <t>ORD105500</t>
  </si>
  <si>
    <t>ORD105501</t>
  </si>
  <si>
    <t>CUST1083</t>
  </si>
  <si>
    <t>ORD105502</t>
  </si>
  <si>
    <t>ORD105503</t>
  </si>
  <si>
    <t>ORD105504</t>
  </si>
  <si>
    <t>ORD105505</t>
  </si>
  <si>
    <t>ORD105506</t>
  </si>
  <si>
    <t>CUST3474</t>
  </si>
  <si>
    <t>ORD105507</t>
  </si>
  <si>
    <t>CUST8518</t>
  </si>
  <si>
    <t>ORD105508</t>
  </si>
  <si>
    <t>CUST6114</t>
  </si>
  <si>
    <t>ORD105509</t>
  </si>
  <si>
    <t>CUST7748</t>
  </si>
  <si>
    <t>ORD105510</t>
  </si>
  <si>
    <t>CUST6481</t>
  </si>
  <si>
    <t>ORD105511</t>
  </si>
  <si>
    <t>CUST3929</t>
  </si>
  <si>
    <t>ORD105512</t>
  </si>
  <si>
    <t>CUST4809</t>
  </si>
  <si>
    <t>ORD105513</t>
  </si>
  <si>
    <t>ORD105514</t>
  </si>
  <si>
    <t>ORD105515</t>
  </si>
  <si>
    <t>ORD105516</t>
  </si>
  <si>
    <t>ORD105517</t>
  </si>
  <si>
    <t>ORD105518</t>
  </si>
  <si>
    <t>CUST2450</t>
  </si>
  <si>
    <t>ORD105519</t>
  </si>
  <si>
    <t>ORD105520</t>
  </si>
  <si>
    <t>ORD105521</t>
  </si>
  <si>
    <t>ORD105522</t>
  </si>
  <si>
    <t>ORD105523</t>
  </si>
  <si>
    <t>ORD105524</t>
  </si>
  <si>
    <t>ORD105525</t>
  </si>
  <si>
    <t>CUST1100</t>
  </si>
  <si>
    <t>ORD105526</t>
  </si>
  <si>
    <t>ORD105527</t>
  </si>
  <si>
    <t>CUST4936</t>
  </si>
  <si>
    <t>ORD105528</t>
  </si>
  <si>
    <t>ORD105529</t>
  </si>
  <si>
    <t>ORD105530</t>
  </si>
  <si>
    <t>CUST4259</t>
  </si>
  <si>
    <t>ORD105531</t>
  </si>
  <si>
    <t>CUST3877</t>
  </si>
  <si>
    <t>ORD105532</t>
  </si>
  <si>
    <t>CUST7681</t>
  </si>
  <si>
    <t>ORD105533</t>
  </si>
  <si>
    <t>ORD105534</t>
  </si>
  <si>
    <t>ORD105535</t>
  </si>
  <si>
    <t>CUST5846</t>
  </si>
  <si>
    <t>ORD105536</t>
  </si>
  <si>
    <t>CUST1180</t>
  </si>
  <si>
    <t>ORD105537</t>
  </si>
  <si>
    <t>ORD105538</t>
  </si>
  <si>
    <t>ORD105539</t>
  </si>
  <si>
    <t>ORD105540</t>
  </si>
  <si>
    <t>ORD105541</t>
  </si>
  <si>
    <t>CUST4466</t>
  </si>
  <si>
    <t>ORD105542</t>
  </si>
  <si>
    <t>CUST7314</t>
  </si>
  <si>
    <t>ORD105543</t>
  </si>
  <si>
    <t>ORD105544</t>
  </si>
  <si>
    <t>ORD105545</t>
  </si>
  <si>
    <t>CUST4857</t>
  </si>
  <si>
    <t>ORD105546</t>
  </si>
  <si>
    <t>ORD105547</t>
  </si>
  <si>
    <t>CUST4782</t>
  </si>
  <si>
    <t>ORD105548</t>
  </si>
  <si>
    <t>ORD105549</t>
  </si>
  <si>
    <t>CUST2185</t>
  </si>
  <si>
    <t>ORD105550</t>
  </si>
  <si>
    <t>CUST3242</t>
  </si>
  <si>
    <t>ORD105551</t>
  </si>
  <si>
    <t>CUST1682</t>
  </si>
  <si>
    <t>ORD105552</t>
  </si>
  <si>
    <t>ORD105553</t>
  </si>
  <si>
    <t>ORD105554</t>
  </si>
  <si>
    <t>CUST7867</t>
  </si>
  <si>
    <t>ORD105555</t>
  </si>
  <si>
    <t>CUST8651</t>
  </si>
  <si>
    <t>ORD105556</t>
  </si>
  <si>
    <t>CUST4656</t>
  </si>
  <si>
    <t>ORD105557</t>
  </si>
  <si>
    <t>CUST9043</t>
  </si>
  <si>
    <t>ORD105558</t>
  </si>
  <si>
    <t>ORD105559</t>
  </si>
  <si>
    <t>CUST1776</t>
  </si>
  <si>
    <t>ORD105560</t>
  </si>
  <si>
    <t>CUST2631</t>
  </si>
  <si>
    <t>ORD105561</t>
  </si>
  <si>
    <t>ORD105562</t>
  </si>
  <si>
    <t>ORD105563</t>
  </si>
  <si>
    <t>CUST4064</t>
  </si>
  <si>
    <t>ORD105564</t>
  </si>
  <si>
    <t>ORD105565</t>
  </si>
  <si>
    <t>ORD105566</t>
  </si>
  <si>
    <t>ORD105567</t>
  </si>
  <si>
    <t>ORD105568</t>
  </si>
  <si>
    <t>ORD105569</t>
  </si>
  <si>
    <t>CUST7817</t>
  </si>
  <si>
    <t>ORD105570</t>
  </si>
  <si>
    <t>CUST3422</t>
  </si>
  <si>
    <t>ORD105571</t>
  </si>
  <si>
    <t>ORD105572</t>
  </si>
  <si>
    <t>CUST3662</t>
  </si>
  <si>
    <t>ORD105573</t>
  </si>
  <si>
    <t>ORD105574</t>
  </si>
  <si>
    <t>CUST4755</t>
  </si>
  <si>
    <t>ORD105575</t>
  </si>
  <si>
    <t>ORD105576</t>
  </si>
  <si>
    <t>CUST1311</t>
  </si>
  <si>
    <t>ORD105577</t>
  </si>
  <si>
    <t>CUST5931</t>
  </si>
  <si>
    <t>ORD105578</t>
  </si>
  <si>
    <t>CUST5082</t>
  </si>
  <si>
    <t>ORD105579</t>
  </si>
  <si>
    <t>ORD105580</t>
  </si>
  <si>
    <t>ORD105581</t>
  </si>
  <si>
    <t>ORD105582</t>
  </si>
  <si>
    <t>ORD105583</t>
  </si>
  <si>
    <t>ORD105584</t>
  </si>
  <si>
    <t>CUST3846</t>
  </si>
  <si>
    <t>ORD105585</t>
  </si>
  <si>
    <t>CUST1839</t>
  </si>
  <si>
    <t>ORD105586</t>
  </si>
  <si>
    <t>ORD105587</t>
  </si>
  <si>
    <t>CUST5785</t>
  </si>
  <si>
    <t>ORD105588</t>
  </si>
  <si>
    <t>CUST2027</t>
  </si>
  <si>
    <t>ORD105589</t>
  </si>
  <si>
    <t>ORD105590</t>
  </si>
  <si>
    <t>CUST3011</t>
  </si>
  <si>
    <t>ORD105591</t>
  </si>
  <si>
    <t>CUST5197</t>
  </si>
  <si>
    <t>ORD105592</t>
  </si>
  <si>
    <t>CUST6589</t>
  </si>
  <si>
    <t>ORD105593</t>
  </si>
  <si>
    <t>CUST7675</t>
  </si>
  <si>
    <t>ORD105594</t>
  </si>
  <si>
    <t>CUST2771</t>
  </si>
  <si>
    <t>ORD105595</t>
  </si>
  <si>
    <t>CUST7421</t>
  </si>
  <si>
    <t>ORD105596</t>
  </si>
  <si>
    <t>CUST8304</t>
  </si>
  <si>
    <t>ORD105597</t>
  </si>
  <si>
    <t>ORD105598</t>
  </si>
  <si>
    <t>CUST6770</t>
  </si>
  <si>
    <t>ORD105599</t>
  </si>
  <si>
    <t>ORD105600</t>
  </si>
  <si>
    <t>ORD105601</t>
  </si>
  <si>
    <t>ORD105602</t>
  </si>
  <si>
    <t>CUST8084</t>
  </si>
  <si>
    <t>ORD105603</t>
  </si>
  <si>
    <t>ORD105604</t>
  </si>
  <si>
    <t>ORD105605</t>
  </si>
  <si>
    <t>ORD105606</t>
  </si>
  <si>
    <t>ORD105607</t>
  </si>
  <si>
    <t>ORD105608</t>
  </si>
  <si>
    <t>CUST7960</t>
  </si>
  <si>
    <t>ORD105609</t>
  </si>
  <si>
    <t>ORD105610</t>
  </si>
  <si>
    <t>CUST3620</t>
  </si>
  <si>
    <t>ORD105611</t>
  </si>
  <si>
    <t>ORD105612</t>
  </si>
  <si>
    <t>CUST4171</t>
  </si>
  <si>
    <t>ORD105613</t>
  </si>
  <si>
    <t>CUST5250</t>
  </si>
  <si>
    <t>ORD105614</t>
  </si>
  <si>
    <t>CUST3088</t>
  </si>
  <si>
    <t>ORD105615</t>
  </si>
  <si>
    <t>CUST1371</t>
  </si>
  <si>
    <t>ORD105616</t>
  </si>
  <si>
    <t>ORD105617</t>
  </si>
  <si>
    <t>CUST8104</t>
  </si>
  <si>
    <t>ORD105618</t>
  </si>
  <si>
    <t>CUST1567</t>
  </si>
  <si>
    <t>ORD105619</t>
  </si>
  <si>
    <t>CUST7722</t>
  </si>
  <si>
    <t>ORD105620</t>
  </si>
  <si>
    <t>CUST5207</t>
  </si>
  <si>
    <t>ORD105621</t>
  </si>
  <si>
    <t>ORD105622</t>
  </si>
  <si>
    <t>CUST8155</t>
  </si>
  <si>
    <t>ORD105623</t>
  </si>
  <si>
    <t>ORD105624</t>
  </si>
  <si>
    <t>ORD105625</t>
  </si>
  <si>
    <t>CUST9175</t>
  </si>
  <si>
    <t>ORD105626</t>
  </si>
  <si>
    <t>CUST8754</t>
  </si>
  <si>
    <t>ORD105627</t>
  </si>
  <si>
    <t>CUST7663</t>
  </si>
  <si>
    <t>ORD105628</t>
  </si>
  <si>
    <t>ORD105629</t>
  </si>
  <si>
    <t>CUST9950</t>
  </si>
  <si>
    <t>ORD105630</t>
  </si>
  <si>
    <t>ORD105631</t>
  </si>
  <si>
    <t>ORD105632</t>
  </si>
  <si>
    <t>CUST5478</t>
  </si>
  <si>
    <t>ORD105633</t>
  </si>
  <si>
    <t>CUST4941</t>
  </si>
  <si>
    <t>ORD105634</t>
  </si>
  <si>
    <t>CUST4947</t>
  </si>
  <si>
    <t>ORD105635</t>
  </si>
  <si>
    <t>ORD105636</t>
  </si>
  <si>
    <t>CUST1415</t>
  </si>
  <si>
    <t>ORD105637</t>
  </si>
  <si>
    <t>CUST2165</t>
  </si>
  <si>
    <t>ORD105638</t>
  </si>
  <si>
    <t>CUST5595</t>
  </si>
  <si>
    <t>ORD105639</t>
  </si>
  <si>
    <t>CUST9791</t>
  </si>
  <si>
    <t>ORD105640</t>
  </si>
  <si>
    <t>ORD105641</t>
  </si>
  <si>
    <t>ORD105642</t>
  </si>
  <si>
    <t>ORD105643</t>
  </si>
  <si>
    <t>ORD105644</t>
  </si>
  <si>
    <t>CUST3687</t>
  </si>
  <si>
    <t>ORD105645</t>
  </si>
  <si>
    <t>ORD105646</t>
  </si>
  <si>
    <t>CUST6573</t>
  </si>
  <si>
    <t>ORD105647</t>
  </si>
  <si>
    <t>ORD105648</t>
  </si>
  <si>
    <t>ORD105649</t>
  </si>
  <si>
    <t>ORD105650</t>
  </si>
  <si>
    <t>ORD105651</t>
  </si>
  <si>
    <t>ORD105652</t>
  </si>
  <si>
    <t>ORD105653</t>
  </si>
  <si>
    <t>CUST2808</t>
  </si>
  <si>
    <t>ORD105654</t>
  </si>
  <si>
    <t>CUST6196</t>
  </si>
  <si>
    <t>ORD105655</t>
  </si>
  <si>
    <t>CUST6087</t>
  </si>
  <si>
    <t>ORD105656</t>
  </si>
  <si>
    <t>CUST9301</t>
  </si>
  <si>
    <t>ORD105657</t>
  </si>
  <si>
    <t>CUST9221</t>
  </si>
  <si>
    <t>ORD105658</t>
  </si>
  <si>
    <t>ORD105659</t>
  </si>
  <si>
    <t>CUST9761</t>
  </si>
  <si>
    <t>ORD105660</t>
  </si>
  <si>
    <t>ORD105661</t>
  </si>
  <si>
    <t>CUST3640</t>
  </si>
  <si>
    <t>ORD105662</t>
  </si>
  <si>
    <t>CUST5936</t>
  </si>
  <si>
    <t>ORD105663</t>
  </si>
  <si>
    <t>CUST9474</t>
  </si>
  <si>
    <t>ORD105664</t>
  </si>
  <si>
    <t>CUST5500</t>
  </si>
  <si>
    <t>ORD105665</t>
  </si>
  <si>
    <t>ORD105666</t>
  </si>
  <si>
    <t>ORD105667</t>
  </si>
  <si>
    <t>ORD105668</t>
  </si>
  <si>
    <t>CUST4484</t>
  </si>
  <si>
    <t>ORD105669</t>
  </si>
  <si>
    <t>CUST2595</t>
  </si>
  <si>
    <t>ORD105670</t>
  </si>
  <si>
    <t>ORD105671</t>
  </si>
  <si>
    <t>CUST2885</t>
  </si>
  <si>
    <t>ORD105672</t>
  </si>
  <si>
    <t>ORD105673</t>
  </si>
  <si>
    <t>CUST7014</t>
  </si>
  <si>
    <t>ORD105674</t>
  </si>
  <si>
    <t>CUST8730</t>
  </si>
  <si>
    <t>ORD105675</t>
  </si>
  <si>
    <t>CUST8866</t>
  </si>
  <si>
    <t>ORD105676</t>
  </si>
  <si>
    <t>ORD105677</t>
  </si>
  <si>
    <t>CUST9934</t>
  </si>
  <si>
    <t>ORD105678</t>
  </si>
  <si>
    <t>ORD105679</t>
  </si>
  <si>
    <t>CUST6307</t>
  </si>
  <si>
    <t>ORD105680</t>
  </si>
  <si>
    <t>CUST7537</t>
  </si>
  <si>
    <t>ORD105681</t>
  </si>
  <si>
    <t>ORD105682</t>
  </si>
  <si>
    <t>CUST4281</t>
  </si>
  <si>
    <t>ORD105683</t>
  </si>
  <si>
    <t>CUST3186</t>
  </si>
  <si>
    <t>ORD105684</t>
  </si>
  <si>
    <t>CUST8731</t>
  </si>
  <si>
    <t>ORD105685</t>
  </si>
  <si>
    <t>CUST2826</t>
  </si>
  <si>
    <t>ORD105686</t>
  </si>
  <si>
    <t>CUST5107</t>
  </si>
  <si>
    <t>ORD105687</t>
  </si>
  <si>
    <t>CUST2953</t>
  </si>
  <si>
    <t>ORD105688</t>
  </si>
  <si>
    <t>CUST1157</t>
  </si>
  <si>
    <t>ORD105689</t>
  </si>
  <si>
    <t>CUST8920</t>
  </si>
  <si>
    <t>ORD105690</t>
  </si>
  <si>
    <t>CUST3248</t>
  </si>
  <si>
    <t>ORD105691</t>
  </si>
  <si>
    <t>CUST9834</t>
  </si>
  <si>
    <t>ORD105692</t>
  </si>
  <si>
    <t>CUST4740</t>
  </si>
  <si>
    <t>ORD105693</t>
  </si>
  <si>
    <t>CUST4434</t>
  </si>
  <si>
    <t>ORD105694</t>
  </si>
  <si>
    <t>CUST2871</t>
  </si>
  <si>
    <t>ORD105695</t>
  </si>
  <si>
    <t>CUST6098</t>
  </si>
  <si>
    <t>ORD105696</t>
  </si>
  <si>
    <t>ORD105697</t>
  </si>
  <si>
    <t>ORD105698</t>
  </si>
  <si>
    <t>CUST7332</t>
  </si>
  <si>
    <t>ORD105699</t>
  </si>
  <si>
    <t>ORD105700</t>
  </si>
  <si>
    <t>ORD105701</t>
  </si>
  <si>
    <t>ORD105702</t>
  </si>
  <si>
    <t>ORD105703</t>
  </si>
  <si>
    <t>CUST8879</t>
  </si>
  <si>
    <t>ORD105704</t>
  </si>
  <si>
    <t>CUST3968</t>
  </si>
  <si>
    <t>ORD105705</t>
  </si>
  <si>
    <t>ORD105706</t>
  </si>
  <si>
    <t>CUST5894</t>
  </si>
  <si>
    <t>ORD105707</t>
  </si>
  <si>
    <t>ORD105708</t>
  </si>
  <si>
    <t>CUST1395</t>
  </si>
  <si>
    <t>ORD105709</t>
  </si>
  <si>
    <t>CUST3900</t>
  </si>
  <si>
    <t>ORD105710</t>
  </si>
  <si>
    <t>ORD105711</t>
  </si>
  <si>
    <t>CUST8283</t>
  </si>
  <si>
    <t>ORD105712</t>
  </si>
  <si>
    <t>ORD105713</t>
  </si>
  <si>
    <t>CUST6848</t>
  </si>
  <si>
    <t>ORD105714</t>
  </si>
  <si>
    <t>CUST1683</t>
  </si>
  <si>
    <t>ORD105715</t>
  </si>
  <si>
    <t>CUST2346</t>
  </si>
  <si>
    <t>ORD105716</t>
  </si>
  <si>
    <t>CUST7562</t>
  </si>
  <si>
    <t>ORD105717</t>
  </si>
  <si>
    <t>ORD105718</t>
  </si>
  <si>
    <t>CUST6839</t>
  </si>
  <si>
    <t>ORD105719</t>
  </si>
  <si>
    <t>ORD105720</t>
  </si>
  <si>
    <t>CUST8243</t>
  </si>
  <si>
    <t>ORD105721</t>
  </si>
  <si>
    <t>ORD105722</t>
  </si>
  <si>
    <t>CUST6506</t>
  </si>
  <si>
    <t>ORD105723</t>
  </si>
  <si>
    <t>CUST5445</t>
  </si>
  <si>
    <t>ORD105724</t>
  </si>
  <si>
    <t>ORD105725</t>
  </si>
  <si>
    <t>CUST9071</t>
  </si>
  <si>
    <t>ORD105726</t>
  </si>
  <si>
    <t>CUST2573</t>
  </si>
  <si>
    <t>ORD105727</t>
  </si>
  <si>
    <t>CUST6387</t>
  </si>
  <si>
    <t>ORD105728</t>
  </si>
  <si>
    <t>CUST3887</t>
  </si>
  <si>
    <t>ORD105729</t>
  </si>
  <si>
    <t>ORD105730</t>
  </si>
  <si>
    <t>ORD105731</t>
  </si>
  <si>
    <t>ORD105732</t>
  </si>
  <si>
    <t>ORD105733</t>
  </si>
  <si>
    <t>CUST4192</t>
  </si>
  <si>
    <t>ORD105734</t>
  </si>
  <si>
    <t>ORD105735</t>
  </si>
  <si>
    <t>ORD105736</t>
  </si>
  <si>
    <t>ORD105737</t>
  </si>
  <si>
    <t>CUST8753</t>
  </si>
  <si>
    <t>ORD105738</t>
  </si>
  <si>
    <t>ORD105739</t>
  </si>
  <si>
    <t>CUST1152</t>
  </si>
  <si>
    <t>ORD105740</t>
  </si>
  <si>
    <t>ORD105741</t>
  </si>
  <si>
    <t>CUST4700</t>
  </si>
  <si>
    <t>ORD105742</t>
  </si>
  <si>
    <t>CUST5666</t>
  </si>
  <si>
    <t>ORD105743</t>
  </si>
  <si>
    <t>ORD105744</t>
  </si>
  <si>
    <t>CUST2369</t>
  </si>
  <si>
    <t>ORD105745</t>
  </si>
  <si>
    <t>ORD105746</t>
  </si>
  <si>
    <t>CUST7379</t>
  </si>
  <si>
    <t>ORD105747</t>
  </si>
  <si>
    <t>ORD105748</t>
  </si>
  <si>
    <t>CUST4891</t>
  </si>
  <si>
    <t>ORD105749</t>
  </si>
  <si>
    <t>CUST9029</t>
  </si>
  <si>
    <t>ORD105750</t>
  </si>
  <si>
    <t>CUST7302</t>
  </si>
  <si>
    <t>ORD105751</t>
  </si>
  <si>
    <t>CUST7465</t>
  </si>
  <si>
    <t>ORD105752</t>
  </si>
  <si>
    <t>CUST1947</t>
  </si>
  <si>
    <t>ORD105753</t>
  </si>
  <si>
    <t>ORD105754</t>
  </si>
  <si>
    <t>CUST3838</t>
  </si>
  <si>
    <t>ORD105755</t>
  </si>
  <si>
    <t>CUST4614</t>
  </si>
  <si>
    <t>ORD105756</t>
  </si>
  <si>
    <t>CUST8368</t>
  </si>
  <si>
    <t>ORD105757</t>
  </si>
  <si>
    <t>ORD105758</t>
  </si>
  <si>
    <t>CUST6111</t>
  </si>
  <si>
    <t>ORD105759</t>
  </si>
  <si>
    <t>ORD105760</t>
  </si>
  <si>
    <t>CUST9180</t>
  </si>
  <si>
    <t>ORD105761</t>
  </si>
  <si>
    <t>CUST9820</t>
  </si>
  <si>
    <t>ORD105762</t>
  </si>
  <si>
    <t>ORD105763</t>
  </si>
  <si>
    <t>ORD105764</t>
  </si>
  <si>
    <t>CUST1492</t>
  </si>
  <si>
    <t>ORD105765</t>
  </si>
  <si>
    <t>CUST5127</t>
  </si>
  <si>
    <t>ORD105766</t>
  </si>
  <si>
    <t>ORD105767</t>
  </si>
  <si>
    <t>ORD105768</t>
  </si>
  <si>
    <t>CUST2515</t>
  </si>
  <si>
    <t>ORD105769</t>
  </si>
  <si>
    <t>CUST1045</t>
  </si>
  <si>
    <t>ORD105770</t>
  </si>
  <si>
    <t>ORD105771</t>
  </si>
  <si>
    <t>CUST3301</t>
  </si>
  <si>
    <t>ORD105772</t>
  </si>
  <si>
    <t>CUST9139</t>
  </si>
  <si>
    <t>ORD105773</t>
  </si>
  <si>
    <t>CUST4898</t>
  </si>
  <si>
    <t>ORD105774</t>
  </si>
  <si>
    <t>CUST4915</t>
  </si>
  <si>
    <t>ORD105775</t>
  </si>
  <si>
    <t>CUST6861</t>
  </si>
  <si>
    <t>ORD105776</t>
  </si>
  <si>
    <t>ORD105777</t>
  </si>
  <si>
    <t>CUST3610</t>
  </si>
  <si>
    <t>ORD105778</t>
  </si>
  <si>
    <t>CUST9998</t>
  </si>
  <si>
    <t>ORD105779</t>
  </si>
  <si>
    <t>CUST4541</t>
  </si>
  <si>
    <t>ORD105780</t>
  </si>
  <si>
    <t>CUST3872</t>
  </si>
  <si>
    <t>ORD105781</t>
  </si>
  <si>
    <t>CUST5526</t>
  </si>
  <si>
    <t>ORD105782</t>
  </si>
  <si>
    <t>CUST6289</t>
  </si>
  <si>
    <t>ORD105783</t>
  </si>
  <si>
    <t>ORD105784</t>
  </si>
  <si>
    <t>CUST6767</t>
  </si>
  <si>
    <t>ORD105785</t>
  </si>
  <si>
    <t>CUST6773</t>
  </si>
  <si>
    <t>ORD105786</t>
  </si>
  <si>
    <t>ORD105787</t>
  </si>
  <si>
    <t>CUST8221</t>
  </si>
  <si>
    <t>ORD105788</t>
  </si>
  <si>
    <t>CUST2721</t>
  </si>
  <si>
    <t>ORD105789</t>
  </si>
  <si>
    <t>CUST5179</t>
  </si>
  <si>
    <t>ORD105790</t>
  </si>
  <si>
    <t>CUST6524</t>
  </si>
  <si>
    <t>ORD105791</t>
  </si>
  <si>
    <t>CUST1742</t>
  </si>
  <si>
    <t>ORD105792</t>
  </si>
  <si>
    <t>CUST1452</t>
  </si>
  <si>
    <t>ORD105793</t>
  </si>
  <si>
    <t>CUST9329</t>
  </si>
  <si>
    <t>ORD105794</t>
  </si>
  <si>
    <t>ORD105795</t>
  </si>
  <si>
    <t>ORD105796</t>
  </si>
  <si>
    <t>ORD105797</t>
  </si>
  <si>
    <t>CUST2946</t>
  </si>
  <si>
    <t>ORD105798</t>
  </si>
  <si>
    <t>CUST5405</t>
  </si>
  <si>
    <t>ORD105799</t>
  </si>
  <si>
    <t>CUST2789</t>
  </si>
  <si>
    <t>ORD105800</t>
  </si>
  <si>
    <t>ORD105801</t>
  </si>
  <si>
    <t>ORD105802</t>
  </si>
  <si>
    <t>CUST2344</t>
  </si>
  <si>
    <t>ORD105803</t>
  </si>
  <si>
    <t>CUST8640</t>
  </si>
  <si>
    <t>ORD105804</t>
  </si>
  <si>
    <t>ORD105805</t>
  </si>
  <si>
    <t>CUST8417</t>
  </si>
  <si>
    <t>ORD105806</t>
  </si>
  <si>
    <t>ORD105807</t>
  </si>
  <si>
    <t>ORD105808</t>
  </si>
  <si>
    <t>CUST7903</t>
  </si>
  <si>
    <t>ORD105809</t>
  </si>
  <si>
    <t>ORD105810</t>
  </si>
  <si>
    <t>ORD105811</t>
  </si>
  <si>
    <t>CUST3928</t>
  </si>
  <si>
    <t>ORD105812</t>
  </si>
  <si>
    <t>ORD105813</t>
  </si>
  <si>
    <t>ORD105814</t>
  </si>
  <si>
    <t>CUST6333</t>
  </si>
  <si>
    <t>ORD105815</t>
  </si>
  <si>
    <t>ORD105816</t>
  </si>
  <si>
    <t>ORD105817</t>
  </si>
  <si>
    <t>ORD105818</t>
  </si>
  <si>
    <t>CUST4844</t>
  </si>
  <si>
    <t>ORD105819</t>
  </si>
  <si>
    <t>CUST3459</t>
  </si>
  <si>
    <t>ORD105820</t>
  </si>
  <si>
    <t>CUST1088</t>
  </si>
  <si>
    <t>ORD105821</t>
  </si>
  <si>
    <t>CUST1608</t>
  </si>
  <si>
    <t>ORD105822</t>
  </si>
  <si>
    <t>CUST7280</t>
  </si>
  <si>
    <t>ORD105823</t>
  </si>
  <si>
    <t>CUST8422</t>
  </si>
  <si>
    <t>ORD105824</t>
  </si>
  <si>
    <t>CUST5823</t>
  </si>
  <si>
    <t>ORD105825</t>
  </si>
  <si>
    <t>CUST5524</t>
  </si>
  <si>
    <t>ORD105826</t>
  </si>
  <si>
    <t>CUST6247</t>
  </si>
  <si>
    <t>ORD105827</t>
  </si>
  <si>
    <t>ORD105828</t>
  </si>
  <si>
    <t>ORD105829</t>
  </si>
  <si>
    <t>CUST6393</t>
  </si>
  <si>
    <t>ORD105830</t>
  </si>
  <si>
    <t>CUST8722</t>
  </si>
  <si>
    <t>ORD105831</t>
  </si>
  <si>
    <t>CUST8653</t>
  </si>
  <si>
    <t>ORD105832</t>
  </si>
  <si>
    <t>CUST8192</t>
  </si>
  <si>
    <t>ORD105833</t>
  </si>
  <si>
    <t>ORD105834</t>
  </si>
  <si>
    <t>ORD105835</t>
  </si>
  <si>
    <t>ORD105836</t>
  </si>
  <si>
    <t>CUST5828</t>
  </si>
  <si>
    <t>ORD105837</t>
  </si>
  <si>
    <t>CUST5492</t>
  </si>
  <si>
    <t>ORD105838</t>
  </si>
  <si>
    <t>CUST8588</t>
  </si>
  <si>
    <t>ORD105839</t>
  </si>
  <si>
    <t>ORD105840</t>
  </si>
  <si>
    <t>ORD105841</t>
  </si>
  <si>
    <t>CUST4028</t>
  </si>
  <si>
    <t>ORD105842</t>
  </si>
  <si>
    <t>ORD105843</t>
  </si>
  <si>
    <t>CUST4698</t>
  </si>
  <si>
    <t>ORD105844</t>
  </si>
  <si>
    <t>ORD105845</t>
  </si>
  <si>
    <t>CUST9723</t>
  </si>
  <si>
    <t>ORD105846</t>
  </si>
  <si>
    <t>ORD105847</t>
  </si>
  <si>
    <t>ORD105848</t>
  </si>
  <si>
    <t>ORD105849</t>
  </si>
  <si>
    <t>CUST1495</t>
  </si>
  <si>
    <t>ORD105850</t>
  </si>
  <si>
    <t>ORD105851</t>
  </si>
  <si>
    <t>CUST3401</t>
  </si>
  <si>
    <t>ORD105852</t>
  </si>
  <si>
    <t>CUST6350</t>
  </si>
  <si>
    <t>ORD105853</t>
  </si>
  <si>
    <t>CUST4382</t>
  </si>
  <si>
    <t>ORD105854</t>
  </si>
  <si>
    <t>CUST9132</t>
  </si>
  <si>
    <t>ORD105855</t>
  </si>
  <si>
    <t>CUST8530</t>
  </si>
  <si>
    <t>ORD105856</t>
  </si>
  <si>
    <t>CUST6751</t>
  </si>
  <si>
    <t>ORD105857</t>
  </si>
  <si>
    <t>ORD105858</t>
  </si>
  <si>
    <t>CUST3492</t>
  </si>
  <si>
    <t>ORD105859</t>
  </si>
  <si>
    <t>CUST6354</t>
  </si>
  <si>
    <t>ORD105860</t>
  </si>
  <si>
    <t>ORD105861</t>
  </si>
  <si>
    <t>CUST3100</t>
  </si>
  <si>
    <t>ORD105862</t>
  </si>
  <si>
    <t>CUST2485</t>
  </si>
  <si>
    <t>ORD105863</t>
  </si>
  <si>
    <t>ORD105864</t>
  </si>
  <si>
    <t>CUST2584</t>
  </si>
  <si>
    <t>ORD105865</t>
  </si>
  <si>
    <t>CUST7003</t>
  </si>
  <si>
    <t>ORD105866</t>
  </si>
  <si>
    <t>CUST9170</t>
  </si>
  <si>
    <t>ORD105867</t>
  </si>
  <si>
    <t>CUST6720</t>
  </si>
  <si>
    <t>ORD105868</t>
  </si>
  <si>
    <t>CUST9087</t>
  </si>
  <si>
    <t>ORD105869</t>
  </si>
  <si>
    <t>ORD105870</t>
  </si>
  <si>
    <t>CUST3340</t>
  </si>
  <si>
    <t>ORD105871</t>
  </si>
  <si>
    <t>ORD105872</t>
  </si>
  <si>
    <t>ORD105873</t>
  </si>
  <si>
    <t>ORD105874</t>
  </si>
  <si>
    <t>CUST6586</t>
  </si>
  <si>
    <t>ORD105875</t>
  </si>
  <si>
    <t>ORD105876</t>
  </si>
  <si>
    <t>ORD105877</t>
  </si>
  <si>
    <t>ORD105878</t>
  </si>
  <si>
    <t>CUST1240</t>
  </si>
  <si>
    <t>ORD105879</t>
  </si>
  <si>
    <t>ORD105880</t>
  </si>
  <si>
    <t>CUST4962</t>
  </si>
  <si>
    <t>ORD105881</t>
  </si>
  <si>
    <t>CUST2029</t>
  </si>
  <si>
    <t>ORD105882</t>
  </si>
  <si>
    <t>CUST1879</t>
  </si>
  <si>
    <t>ORD105883</t>
  </si>
  <si>
    <t>ORD105884</t>
  </si>
  <si>
    <t>CUST9693</t>
  </si>
  <si>
    <t>ORD105885</t>
  </si>
  <si>
    <t>ORD105886</t>
  </si>
  <si>
    <t>CUST4209</t>
  </si>
  <si>
    <t>ORD105887</t>
  </si>
  <si>
    <t>CUST2016</t>
  </si>
  <si>
    <t>ORD105888</t>
  </si>
  <si>
    <t>ORD105889</t>
  </si>
  <si>
    <t>CUST4675</t>
  </si>
  <si>
    <t>ORD105890</t>
  </si>
  <si>
    <t>CUST9642</t>
  </si>
  <si>
    <t>ORD105891</t>
  </si>
  <si>
    <t>ORD105892</t>
  </si>
  <si>
    <t>CUST3118</t>
  </si>
  <si>
    <t>ORD105893</t>
  </si>
  <si>
    <t>CUST9964</t>
  </si>
  <si>
    <t>ORD105894</t>
  </si>
  <si>
    <t>CUST5216</t>
  </si>
  <si>
    <t>ORD105895</t>
  </si>
  <si>
    <t>CUST1191</t>
  </si>
  <si>
    <t>ORD105896</t>
  </si>
  <si>
    <t>ORD105897</t>
  </si>
  <si>
    <t>ORD105898</t>
  </si>
  <si>
    <t>ORD105899</t>
  </si>
  <si>
    <t>CUST8794</t>
  </si>
  <si>
    <t>ORD105900</t>
  </si>
  <si>
    <t>ORD105901</t>
  </si>
  <si>
    <t>ORD105902</t>
  </si>
  <si>
    <t>CUST8254</t>
  </si>
  <si>
    <t>ORD105903</t>
  </si>
  <si>
    <t>CUST5885</t>
  </si>
  <si>
    <t>ORD105904</t>
  </si>
  <si>
    <t>ORD105905</t>
  </si>
  <si>
    <t>ORD105906</t>
  </si>
  <si>
    <t>CUST7258</t>
  </si>
  <si>
    <t>ORD105907</t>
  </si>
  <si>
    <t>CUST4081</t>
  </si>
  <si>
    <t>ORD105908</t>
  </si>
  <si>
    <t>ORD105909</t>
  </si>
  <si>
    <t>CUST5703</t>
  </si>
  <si>
    <t>ORD105910</t>
  </si>
  <si>
    <t>CUST5090</t>
  </si>
  <si>
    <t>ORD105911</t>
  </si>
  <si>
    <t>CUST7740</t>
  </si>
  <si>
    <t>ORD105912</t>
  </si>
  <si>
    <t>ORD105913</t>
  </si>
  <si>
    <t>ORD105914</t>
  </si>
  <si>
    <t>ORD105915</t>
  </si>
  <si>
    <t>ORD105916</t>
  </si>
  <si>
    <t>CUST9328</t>
  </si>
  <si>
    <t>ORD105917</t>
  </si>
  <si>
    <t>CUST5389</t>
  </si>
  <si>
    <t>ORD105918</t>
  </si>
  <si>
    <t>CUST9932</t>
  </si>
  <si>
    <t>ORD105919</t>
  </si>
  <si>
    <t>ORD105920</t>
  </si>
  <si>
    <t>CUST3395</t>
  </si>
  <si>
    <t>ORD105921</t>
  </si>
  <si>
    <t>CUST3616</t>
  </si>
  <si>
    <t>ORD105922</t>
  </si>
  <si>
    <t>ORD105923</t>
  </si>
  <si>
    <t>ORD105924</t>
  </si>
  <si>
    <t>CUST6734</t>
  </si>
  <si>
    <t>ORD105925</t>
  </si>
  <si>
    <t>ORD105926</t>
  </si>
  <si>
    <t>ORD105927</t>
  </si>
  <si>
    <t>CUST8938</t>
  </si>
  <si>
    <t>ORD105928</t>
  </si>
  <si>
    <t>CUST8832</t>
  </si>
  <si>
    <t>ORD105929</t>
  </si>
  <si>
    <t>CUST5928</t>
  </si>
  <si>
    <t>ORD105930</t>
  </si>
  <si>
    <t>CUST6441</t>
  </si>
  <si>
    <t>ORD105931</t>
  </si>
  <si>
    <t>CUST7451</t>
  </si>
  <si>
    <t>ORD105932</t>
  </si>
  <si>
    <t>ORD105933</t>
  </si>
  <si>
    <t>ORD105934</t>
  </si>
  <si>
    <t>ORD105935</t>
  </si>
  <si>
    <t>CUST7189</t>
  </si>
  <si>
    <t>ORD105936</t>
  </si>
  <si>
    <t>ORD105937</t>
  </si>
  <si>
    <t>ORD105938</t>
  </si>
  <si>
    <t>CUST5610</t>
  </si>
  <si>
    <t>ORD105939</t>
  </si>
  <si>
    <t>CUST7341</t>
  </si>
  <si>
    <t>ORD105940</t>
  </si>
  <si>
    <t>ORD105941</t>
  </si>
  <si>
    <t>CUST5946</t>
  </si>
  <si>
    <t>ORD105942</t>
  </si>
  <si>
    <t>ORD105943</t>
  </si>
  <si>
    <t>ORD105944</t>
  </si>
  <si>
    <t>CUST2698</t>
  </si>
  <si>
    <t>ORD105945</t>
  </si>
  <si>
    <t>ORD105946</t>
  </si>
  <si>
    <t>CUST7793</t>
  </si>
  <si>
    <t>ORD105947</t>
  </si>
  <si>
    <t>ORD105948</t>
  </si>
  <si>
    <t>CUST6883</t>
  </si>
  <si>
    <t>ORD105949</t>
  </si>
  <si>
    <t>ORD105950</t>
  </si>
  <si>
    <t>CUST3551</t>
  </si>
  <si>
    <t>ORD105951</t>
  </si>
  <si>
    <t>ORD105952</t>
  </si>
  <si>
    <t>ORD105953</t>
  </si>
  <si>
    <t>CUST8421</t>
  </si>
  <si>
    <t>ORD105954</t>
  </si>
  <si>
    <t>ORD105955</t>
  </si>
  <si>
    <t>CUST8261</t>
  </si>
  <si>
    <t>ORD105956</t>
  </si>
  <si>
    <t>ORD105957</t>
  </si>
  <si>
    <t>ORD105958</t>
  </si>
  <si>
    <t>ORD105959</t>
  </si>
  <si>
    <t>CUST5604</t>
  </si>
  <si>
    <t>ORD105960</t>
  </si>
  <si>
    <t>ORD105961</t>
  </si>
  <si>
    <t>ORD105962</t>
  </si>
  <si>
    <t>CUST7784</t>
  </si>
  <si>
    <t>ORD105963</t>
  </si>
  <si>
    <t>CUST5933</t>
  </si>
  <si>
    <t>ORD105964</t>
  </si>
  <si>
    <t>CUST5386</t>
  </si>
  <si>
    <t>ORD105965</t>
  </si>
  <si>
    <t>CUST2419</t>
  </si>
  <si>
    <t>ORD105966</t>
  </si>
  <si>
    <t>CUST4079</t>
  </si>
  <si>
    <t>ORD105967</t>
  </si>
  <si>
    <t>ORD105968</t>
  </si>
  <si>
    <t>CUST8477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</si>
  <si>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</si>
  <si>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</si>
  <si>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</si>
  <si>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</si>
  <si>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</si>
  <si>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</si>
  <si>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</si>
  <si>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</si>
  <si>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</si>
  <si>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CUST7198</t>
  </si>
  <si>
    <t>ORD105978</t>
  </si>
  <si>
    <t>CUST5560</t>
  </si>
  <si>
    <t>ORD105979</t>
  </si>
  <si>
    <t>ORD105980</t>
  </si>
  <si>
    <t>ORD105981</t>
  </si>
  <si>
    <t>ORD105982</t>
  </si>
  <si>
    <t>ORD105983</t>
  </si>
  <si>
    <t>CUST2124</t>
  </si>
  <si>
    <t>ORD105984</t>
  </si>
  <si>
    <t>CUST8415</t>
  </si>
  <si>
    <t>ORD105985</t>
  </si>
  <si>
    <t>ORD105986</t>
  </si>
  <si>
    <t>CUST6741</t>
  </si>
  <si>
    <t>ORD105987</t>
  </si>
  <si>
    <t>CUST7715</t>
  </si>
  <si>
    <t>ORD105988</t>
  </si>
  <si>
    <t>ORD105989</t>
  </si>
  <si>
    <t>ORD105990</t>
  </si>
  <si>
    <t>CUST1804</t>
  </si>
  <si>
    <t>ORD105991</t>
  </si>
  <si>
    <t>CUST1258</t>
  </si>
  <si>
    <t>ORD105992</t>
  </si>
  <si>
    <t>CUST7955</t>
  </si>
  <si>
    <t>ORD105993</t>
  </si>
  <si>
    <t>ORD105994</t>
  </si>
  <si>
    <t>CUST1342</t>
  </si>
  <si>
    <t>ORD105995</t>
  </si>
  <si>
    <t>ORD105996</t>
  </si>
  <si>
    <t>CUST1811</t>
  </si>
  <si>
    <t>ORD105997</t>
  </si>
  <si>
    <t>CUST3180</t>
  </si>
  <si>
    <t>ORD105998</t>
  </si>
  <si>
    <t>CUST4224</t>
  </si>
  <si>
    <t>ORD105999</t>
  </si>
  <si>
    <t>CUST1911</t>
  </si>
  <si>
    <t>ORD106000</t>
  </si>
  <si>
    <t>ORD106001</t>
  </si>
  <si>
    <t>CUST7589</t>
  </si>
  <si>
    <t>ORD106002</t>
  </si>
  <si>
    <t>ORD106003</t>
  </si>
  <si>
    <t>CUST8494</t>
  </si>
  <si>
    <t>ORD106004</t>
  </si>
  <si>
    <t>CUST7059</t>
  </si>
  <si>
    <t>ORD106005</t>
  </si>
  <si>
    <t>CUST7720</t>
  </si>
  <si>
    <t>ORD106006</t>
  </si>
  <si>
    <t>CUST5089</t>
  </si>
  <si>
    <t>ORD106007</t>
  </si>
  <si>
    <t>ORD106008</t>
  </si>
  <si>
    <t>CUST4705</t>
  </si>
  <si>
    <t>ORD106009</t>
  </si>
  <si>
    <t>CUST7660</t>
  </si>
  <si>
    <t>ORD106010</t>
  </si>
  <si>
    <t>CUST8699</t>
  </si>
  <si>
    <t>ORD106011</t>
  </si>
  <si>
    <t>CUST3765</t>
  </si>
  <si>
    <t>ORD106012</t>
  </si>
  <si>
    <t>CUST1599</t>
  </si>
  <si>
    <t>ORD106013</t>
  </si>
  <si>
    <t>ORD106014</t>
  </si>
  <si>
    <t>CUST8294</t>
  </si>
  <si>
    <t>ORD106015</t>
  </si>
  <si>
    <t>CUST4529</t>
  </si>
  <si>
    <t>ORD106016</t>
  </si>
  <si>
    <t>ORD106017</t>
  </si>
  <si>
    <t>CUST8030</t>
  </si>
  <si>
    <t>ORD106018</t>
  </si>
  <si>
    <t>ORD106019</t>
  </si>
  <si>
    <t>CUST6071</t>
  </si>
  <si>
    <t>ORD106020</t>
  </si>
  <si>
    <t>ORD106021</t>
  </si>
  <si>
    <t>ORD106022</t>
  </si>
  <si>
    <t>ORD106023</t>
  </si>
  <si>
    <t>ORD106024</t>
  </si>
  <si>
    <t>CUST3339</t>
  </si>
  <si>
    <t>ORD106025</t>
  </si>
  <si>
    <t>ORD106026</t>
  </si>
  <si>
    <t>ORD106027</t>
  </si>
  <si>
    <t>CUST3417</t>
  </si>
  <si>
    <t>ORD106028</t>
  </si>
  <si>
    <t>CUST4865</t>
  </si>
  <si>
    <t>ORD106029</t>
  </si>
  <si>
    <t>CUST1175</t>
  </si>
  <si>
    <t>ORD106030</t>
  </si>
  <si>
    <t>ORD106031</t>
  </si>
  <si>
    <t>ORD106032</t>
  </si>
  <si>
    <t>CUST6408</t>
  </si>
  <si>
    <t>ORD106033</t>
  </si>
  <si>
    <t>ORD106034</t>
  </si>
  <si>
    <t>ORD106035</t>
  </si>
  <si>
    <t>ORD106036</t>
  </si>
  <si>
    <t>ORD106037</t>
  </si>
  <si>
    <t>CUST3564</t>
  </si>
  <si>
    <t>ORD106038</t>
  </si>
  <si>
    <t>ORD106039</t>
  </si>
  <si>
    <t>CUST4786</t>
  </si>
  <si>
    <t>ORD106040</t>
  </si>
  <si>
    <t>ORD106041</t>
  </si>
  <si>
    <t>CUST9354</t>
  </si>
  <si>
    <t>ORD106042</t>
  </si>
  <si>
    <t>ORD106043</t>
  </si>
  <si>
    <t>CUST9960</t>
  </si>
  <si>
    <t>ORD106044</t>
  </si>
  <si>
    <t>CUST3736</t>
  </si>
  <si>
    <t>ORD106045</t>
  </si>
  <si>
    <t>ORD106046</t>
  </si>
  <si>
    <t>ORD106047</t>
  </si>
  <si>
    <t>ORD106048</t>
  </si>
  <si>
    <t>ORD106049</t>
  </si>
  <si>
    <t>ORD106050</t>
  </si>
  <si>
    <t>ORD106051</t>
  </si>
  <si>
    <t>CUST6774</t>
  </si>
  <si>
    <t>ORD106052</t>
  </si>
  <si>
    <t>ORD106053</t>
  </si>
  <si>
    <t>ORD106054</t>
  </si>
  <si>
    <t>ORD106055</t>
  </si>
  <si>
    <t>ORD106056</t>
  </si>
  <si>
    <t>CUST7826</t>
  </si>
  <si>
    <t>ORD106057</t>
  </si>
  <si>
    <t>ORD106058</t>
  </si>
  <si>
    <t>ORD106059</t>
  </si>
  <si>
    <t>CUST9134</t>
  </si>
  <si>
    <t>ORD106060</t>
  </si>
  <si>
    <t>ORD106061</t>
  </si>
  <si>
    <t>ORD106062</t>
  </si>
  <si>
    <t>CUST2541</t>
  </si>
  <si>
    <t>ORD106063</t>
  </si>
  <si>
    <t>ORD106064</t>
  </si>
  <si>
    <t>ORD106065</t>
  </si>
  <si>
    <t>ORD106066</t>
  </si>
  <si>
    <t>ORD106067</t>
  </si>
  <si>
    <t>ORD106068</t>
  </si>
  <si>
    <t>CUST3783</t>
  </si>
  <si>
    <t>ORD106069</t>
  </si>
  <si>
    <t>ORD106070</t>
  </si>
  <si>
    <t>ORD106071</t>
  </si>
  <si>
    <t>ORD106072</t>
  </si>
  <si>
    <t>ORD106073</t>
  </si>
  <si>
    <t>ORD106074</t>
  </si>
  <si>
    <t>CUST2064</t>
  </si>
  <si>
    <t>ORD106075</t>
  </si>
  <si>
    <t>CUST7323</t>
  </si>
  <si>
    <t>ORD106076</t>
  </si>
  <si>
    <t>CUST3384</t>
  </si>
  <si>
    <t>ORD106077</t>
  </si>
  <si>
    <t>ORD106078</t>
  </si>
  <si>
    <t>ORD106079</t>
  </si>
  <si>
    <t>CUST1935</t>
  </si>
  <si>
    <t>ORD106080</t>
  </si>
  <si>
    <t>CUST7187</t>
  </si>
  <si>
    <t>ORD106081</t>
  </si>
  <si>
    <t>ORD106082</t>
  </si>
  <si>
    <t>ORD106083</t>
  </si>
  <si>
    <t>CUST5842</t>
  </si>
  <si>
    <t>ORD106084</t>
  </si>
  <si>
    <t>CUST3858</t>
  </si>
  <si>
    <t>ORD106085</t>
  </si>
  <si>
    <t>ORD106086</t>
  </si>
  <si>
    <t>ORD106087</t>
  </si>
  <si>
    <t>ORD106088</t>
  </si>
  <si>
    <t>CUST5064</t>
  </si>
  <si>
    <t>ORD106089</t>
  </si>
  <si>
    <t>ORD106090</t>
  </si>
  <si>
    <t>CUST8740</t>
  </si>
  <si>
    <t>ORD106091</t>
  </si>
  <si>
    <t>ORD106092</t>
  </si>
  <si>
    <t>ORD106093</t>
  </si>
  <si>
    <t>ORD106094</t>
  </si>
  <si>
    <t>CUST8511</t>
  </si>
  <si>
    <t>ORD106095</t>
  </si>
  <si>
    <t>ORD106096</t>
  </si>
  <si>
    <t>ORD106097</t>
  </si>
  <si>
    <t>CUST8943</t>
  </si>
  <si>
    <t>ORD106098</t>
  </si>
  <si>
    <t>ORD106099</t>
  </si>
  <si>
    <t>CUST6520</t>
  </si>
  <si>
    <t>ORD106100</t>
  </si>
  <si>
    <t>ORD106101</t>
  </si>
  <si>
    <t>CUST9522</t>
  </si>
  <si>
    <t>ORD106102</t>
  </si>
  <si>
    <t>ORD106103</t>
  </si>
  <si>
    <t>ORD106104</t>
  </si>
  <si>
    <t>ORD106105</t>
  </si>
  <si>
    <t>CUST8931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</si>
  <si>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</si>
  <si>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</si>
  <si>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</si>
  <si>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</si>
  <si>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</si>
  <si>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</si>
  <si>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</si>
  <si>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</si>
  <si>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CUST1289</t>
  </si>
  <si>
    <t>ORD106114</t>
  </si>
  <si>
    <t>CUST7895</t>
  </si>
  <si>
    <t>ORD106115</t>
  </si>
  <si>
    <t>ORD106116</t>
  </si>
  <si>
    <t>ORD106117</t>
  </si>
  <si>
    <t>CUST3940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</si>
  <si>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</si>
  <si>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</si>
  <si>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</si>
  <si>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</si>
  <si>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</si>
  <si>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</si>
  <si>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</si>
  <si>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</si>
  <si>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</si>
  <si>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CUST7521</t>
  </si>
  <si>
    <t>ORD106127</t>
  </si>
  <si>
    <t>CUST8557</t>
  </si>
  <si>
    <t>ORD106128</t>
  </si>
  <si>
    <t>ORD106129</t>
  </si>
  <si>
    <t>ORD106130</t>
  </si>
  <si>
    <t>CUST6077</t>
  </si>
  <si>
    <t>ORD106131</t>
  </si>
  <si>
    <t>ORD106132</t>
  </si>
  <si>
    <t>CUST9046</t>
  </si>
  <si>
    <t>ORD106133</t>
  </si>
  <si>
    <t>CUST7399</t>
  </si>
  <si>
    <t>ORD106134</t>
  </si>
  <si>
    <t>ORD106135</t>
  </si>
  <si>
    <t>CUST8608</t>
  </si>
  <si>
    <t>ORD106136</t>
  </si>
  <si>
    <t>ORD106137</t>
  </si>
  <si>
    <t>ORD106138</t>
  </si>
  <si>
    <t>CUST2891</t>
  </si>
  <si>
    <t>ORD106139</t>
  </si>
  <si>
    <t>CUST4888</t>
  </si>
  <si>
    <t>ORD106140</t>
  </si>
  <si>
    <t>CUST8493</t>
  </si>
  <si>
    <t>ORD106141</t>
  </si>
  <si>
    <t>CUST9942</t>
  </si>
  <si>
    <t>ORD106142</t>
  </si>
  <si>
    <t>CUST6228</t>
  </si>
  <si>
    <t>ORD106143</t>
  </si>
  <si>
    <t>CUST7676</t>
  </si>
  <si>
    <t>ORD106144</t>
  </si>
  <si>
    <t>ORD106145</t>
  </si>
  <si>
    <t>ORD106146</t>
  </si>
  <si>
    <t>CUST3836</t>
  </si>
  <si>
    <t>ORD106147</t>
  </si>
  <si>
    <t>CUST9364</t>
  </si>
  <si>
    <t>ORD106148</t>
  </si>
  <si>
    <t>CUST2133</t>
  </si>
  <si>
    <t>ORD106149</t>
  </si>
  <si>
    <t>CUST3250</t>
  </si>
  <si>
    <t>ORD106150</t>
  </si>
  <si>
    <t>CUST5883</t>
  </si>
  <si>
    <t>ORD106151</t>
  </si>
  <si>
    <t>ORD106152</t>
  </si>
  <si>
    <t>ORD106153</t>
  </si>
  <si>
    <t>ORD106154</t>
  </si>
  <si>
    <t>CUST2107</t>
  </si>
  <si>
    <t>ORD106155</t>
  </si>
  <si>
    <t>CUST1181</t>
  </si>
  <si>
    <t>ORD106156</t>
  </si>
  <si>
    <t>ORD106157</t>
  </si>
  <si>
    <t>ORD106158</t>
  </si>
  <si>
    <t>ORD106159</t>
  </si>
  <si>
    <t>CUST9658</t>
  </si>
  <si>
    <t>ORD106160</t>
  </si>
  <si>
    <t>CUST7089</t>
  </si>
  <si>
    <t>ORD106161</t>
  </si>
  <si>
    <t>ORD106162</t>
  </si>
  <si>
    <t>CUST1403</t>
  </si>
  <si>
    <t>ORD106163</t>
  </si>
  <si>
    <t>CUST1398</t>
  </si>
  <si>
    <t>ORD106164</t>
  </si>
  <si>
    <t>CUST5206</t>
  </si>
  <si>
    <t>ORD106165</t>
  </si>
  <si>
    <t>CUST7522</t>
  </si>
  <si>
    <t>ORD106166</t>
  </si>
  <si>
    <t>CUST2810</t>
  </si>
  <si>
    <t>ORD106167</t>
  </si>
  <si>
    <t>ORD106168</t>
  </si>
  <si>
    <t>CUST2590</t>
  </si>
  <si>
    <t>ORD106169</t>
  </si>
  <si>
    <t>CUST4542</t>
  </si>
  <si>
    <t>ORD106170</t>
  </si>
  <si>
    <t>CUST3112</t>
  </si>
  <si>
    <t>ORD106171</t>
  </si>
  <si>
    <t>ORD106172</t>
  </si>
  <si>
    <t>CUST3461</t>
  </si>
  <si>
    <t>ORD106173</t>
  </si>
  <si>
    <t>ORD106174</t>
  </si>
  <si>
    <t>CUST4291</t>
  </si>
  <si>
    <t>ORD106175</t>
  </si>
  <si>
    <t>CUST7194</t>
  </si>
  <si>
    <t>ORD106176</t>
  </si>
  <si>
    <t>ORD106177</t>
  </si>
  <si>
    <t>ORD106178</t>
  </si>
  <si>
    <t>ORD106179</t>
  </si>
  <si>
    <t>ORD106180</t>
  </si>
  <si>
    <t>CUST8597</t>
  </si>
  <si>
    <t>ORD106181</t>
  </si>
  <si>
    <t>CUST3893</t>
  </si>
  <si>
    <t>ORD106182</t>
  </si>
  <si>
    <t>ORD106183</t>
  </si>
  <si>
    <t>ORD106184</t>
  </si>
  <si>
    <t>CUST8326</t>
  </si>
  <si>
    <t>ORD106185</t>
  </si>
  <si>
    <t>CUST1399</t>
  </si>
  <si>
    <t>ORD106186</t>
  </si>
  <si>
    <t>ORD106187</t>
  </si>
  <si>
    <t>CUST2951</t>
  </si>
  <si>
    <t>ORD106188</t>
  </si>
  <si>
    <t>CUST3552</t>
  </si>
  <si>
    <t>ORD106189</t>
  </si>
  <si>
    <t>CUST8756</t>
  </si>
  <si>
    <t>ORD106190</t>
  </si>
  <si>
    <t>ORD106191</t>
  </si>
  <si>
    <t>CUST5890</t>
  </si>
  <si>
    <t>ORD106192</t>
  </si>
  <si>
    <t>ORD106193</t>
  </si>
  <si>
    <t>CUST6635</t>
  </si>
  <si>
    <t>ORD106194</t>
  </si>
  <si>
    <t>CUST1721</t>
  </si>
  <si>
    <t>ORD106195</t>
  </si>
  <si>
    <t>ORD106196</t>
  </si>
  <si>
    <t>ORD106197</t>
  </si>
  <si>
    <t>CUST6593</t>
  </si>
  <si>
    <t>ORD106198</t>
  </si>
  <si>
    <t>CUST4283</t>
  </si>
  <si>
    <t>ORD106199</t>
  </si>
  <si>
    <t>ORD106200</t>
  </si>
  <si>
    <t>CUST9077</t>
  </si>
  <si>
    <t>ORD106201</t>
  </si>
  <si>
    <t>CUST4841</t>
  </si>
  <si>
    <t>ORD106202</t>
  </si>
  <si>
    <t>CUST5452</t>
  </si>
  <si>
    <t>ORD106203</t>
  </si>
  <si>
    <t>CUST9961</t>
  </si>
  <si>
    <t>ORD106204</t>
  </si>
  <si>
    <t>CUST7462</t>
  </si>
  <si>
    <t>ORD106205</t>
  </si>
  <si>
    <t>ORD106206</t>
  </si>
  <si>
    <t>ORD106207</t>
  </si>
  <si>
    <t>CUST2436</t>
  </si>
  <si>
    <t>ORD106208</t>
  </si>
  <si>
    <t>ORD106209</t>
  </si>
  <si>
    <t>CUST2103</t>
  </si>
  <si>
    <t>ORD106210</t>
  </si>
  <si>
    <t>ORD106211</t>
  </si>
  <si>
    <t>CUST9422</t>
  </si>
  <si>
    <t>ORD106212</t>
  </si>
  <si>
    <t>ORD106213</t>
  </si>
  <si>
    <t>ORD106214</t>
  </si>
  <si>
    <t>ORD106215</t>
  </si>
  <si>
    <t>CUST7162</t>
  </si>
  <si>
    <t>ORD106216</t>
  </si>
  <si>
    <t>CUST9411</t>
  </si>
  <si>
    <t>ORD106217</t>
  </si>
  <si>
    <t>ORD106218</t>
  </si>
  <si>
    <t>CUST2267</t>
  </si>
  <si>
    <t>ORD106219</t>
  </si>
  <si>
    <t>CUST6786</t>
  </si>
  <si>
    <t>ORD106220</t>
  </si>
  <si>
    <t>CUST4187</t>
  </si>
  <si>
    <t>ORD106221</t>
  </si>
  <si>
    <t>CUST3260</t>
  </si>
  <si>
    <t>ORD106222</t>
  </si>
  <si>
    <t>CUST1710</t>
  </si>
  <si>
    <t>ORD106223</t>
  </si>
  <si>
    <t>ORD106224</t>
  </si>
  <si>
    <t>ORD106225</t>
  </si>
  <si>
    <t>ORD106226</t>
  </si>
  <si>
    <t>CUST3725</t>
  </si>
  <si>
    <t>ORD106227</t>
  </si>
  <si>
    <t>ORD106228</t>
  </si>
  <si>
    <t>ORD106229</t>
  </si>
  <si>
    <t>CUST9404</t>
  </si>
  <si>
    <t>ORD106230</t>
  </si>
  <si>
    <t>ORD106231</t>
  </si>
  <si>
    <t>CUST7524</t>
  </si>
  <si>
    <t>ORD106232</t>
  </si>
  <si>
    <t>CUST8950</t>
  </si>
  <si>
    <t>ORD106233</t>
  </si>
  <si>
    <t>CUST1975</t>
  </si>
  <si>
    <t>ORD106234</t>
  </si>
  <si>
    <t>ORD106235</t>
  </si>
  <si>
    <t>ORD106236</t>
  </si>
  <si>
    <t>CUST9617</t>
  </si>
  <si>
    <t>ORD106237</t>
  </si>
  <si>
    <t>ORD106238</t>
  </si>
  <si>
    <t>ORD106239</t>
  </si>
  <si>
    <t>CUST7885</t>
  </si>
  <si>
    <t>ORD106240</t>
  </si>
  <si>
    <t>ORD106241</t>
  </si>
  <si>
    <t>CUST6859</t>
  </si>
  <si>
    <t>ORD106242</t>
  </si>
  <si>
    <t>ORD106243</t>
  </si>
  <si>
    <t>ORD106244</t>
  </si>
  <si>
    <t>CUST6265</t>
  </si>
  <si>
    <t>ORD106245</t>
  </si>
  <si>
    <t>ORD106246</t>
  </si>
  <si>
    <t>ORD106247</t>
  </si>
  <si>
    <t>ORD106248</t>
  </si>
  <si>
    <t>CUST9265</t>
  </si>
  <si>
    <t>ORD106249</t>
  </si>
  <si>
    <t>ORD106250</t>
  </si>
  <si>
    <t>CUST2792</t>
  </si>
  <si>
    <t>ORD106251</t>
  </si>
  <si>
    <t>CUST4948</t>
  </si>
  <si>
    <t>ORD106252</t>
  </si>
  <si>
    <t>ORD106253</t>
  </si>
  <si>
    <t>CUST9105</t>
  </si>
  <si>
    <t>ORD106254</t>
  </si>
  <si>
    <t>ORD106255</t>
  </si>
  <si>
    <t>CUST1522</t>
  </si>
  <si>
    <t>ORD106256</t>
  </si>
  <si>
    <t>CUST7392</t>
  </si>
  <si>
    <t>ORD106257</t>
  </si>
  <si>
    <t>CUST9489</t>
  </si>
  <si>
    <t>ORD106258</t>
  </si>
  <si>
    <t>CUST7920</t>
  </si>
  <si>
    <t>ORD106259</t>
  </si>
  <si>
    <t>ORD106260</t>
  </si>
  <si>
    <t>CUST5276</t>
  </si>
  <si>
    <t>ORD106261</t>
  </si>
  <si>
    <t>ORD106262</t>
  </si>
  <si>
    <t>CUST4206</t>
  </si>
  <si>
    <t>ORD106263</t>
  </si>
  <si>
    <t>ORD106264</t>
  </si>
  <si>
    <t>CUST1556</t>
  </si>
  <si>
    <t>ORD106265</t>
  </si>
  <si>
    <t>CUST7913</t>
  </si>
  <si>
    <t>ORD106266</t>
  </si>
  <si>
    <t>ORD106267</t>
  </si>
  <si>
    <t>ORD106268</t>
  </si>
  <si>
    <t>CUST4015</t>
  </si>
  <si>
    <t>ORD106269</t>
  </si>
  <si>
    <t>CUST6308</t>
  </si>
  <si>
    <t>ORD106270</t>
  </si>
  <si>
    <t>CUST1008</t>
  </si>
  <si>
    <t>ORD106271</t>
  </si>
  <si>
    <t>CUST8823</t>
  </si>
  <si>
    <t>ORD106272</t>
  </si>
  <si>
    <t>ORD106273</t>
  </si>
  <si>
    <t>ORD106274</t>
  </si>
  <si>
    <t>CUST7820</t>
  </si>
  <si>
    <t>ORD106275</t>
  </si>
  <si>
    <t>CUST8676</t>
  </si>
  <si>
    <t>ORD106276</t>
  </si>
  <si>
    <t>ORD106277</t>
  </si>
  <si>
    <t>ORD106278</t>
  </si>
  <si>
    <t>CUST3873</t>
  </si>
  <si>
    <t>ORD106279</t>
  </si>
  <si>
    <t>ORD106280</t>
  </si>
  <si>
    <t>ORD106281</t>
  </si>
  <si>
    <t>ORD106282</t>
  </si>
  <si>
    <t>CUST3044</t>
  </si>
  <si>
    <t>ORD106283</t>
  </si>
  <si>
    <t>CUST4658</t>
  </si>
  <si>
    <t>ORD106284</t>
  </si>
  <si>
    <t>CUST5188</t>
  </si>
  <si>
    <t>ORD106285</t>
  </si>
  <si>
    <t>ORD106286</t>
  </si>
  <si>
    <t>ORD106287</t>
  </si>
  <si>
    <t>CUST6678</t>
  </si>
  <si>
    <t>ORD106288</t>
  </si>
  <si>
    <t>ORD106289</t>
  </si>
  <si>
    <t>CUST2873</t>
  </si>
  <si>
    <t>ORD106290</t>
  </si>
  <si>
    <t>ORD106291</t>
  </si>
  <si>
    <t>CUST5776</t>
  </si>
  <si>
    <t>ORD106292</t>
  </si>
  <si>
    <t>CUST6081</t>
  </si>
  <si>
    <t>ORD106293</t>
  </si>
  <si>
    <t>CUST6853</t>
  </si>
  <si>
    <t>ORD106294</t>
  </si>
  <si>
    <t>ORD106295</t>
  </si>
  <si>
    <t>CUST1027</t>
  </si>
  <si>
    <t>ORD106296</t>
  </si>
  <si>
    <t>ORD106297</t>
  </si>
  <si>
    <t>CUST3786</t>
  </si>
  <si>
    <t>ORD106298</t>
  </si>
  <si>
    <t>ORD106299</t>
  </si>
  <si>
    <t>ORD106300</t>
  </si>
  <si>
    <t>ORD106301</t>
  </si>
  <si>
    <t>ORD106302</t>
  </si>
  <si>
    <t>ORD106303</t>
  </si>
  <si>
    <t>ORD106304</t>
  </si>
  <si>
    <t>CUST6630</t>
  </si>
  <si>
    <t>ORD106305</t>
  </si>
  <si>
    <t>CUST7951</t>
  </si>
  <si>
    <t>ORD106306</t>
  </si>
  <si>
    <t>ORD106307</t>
  </si>
  <si>
    <t>ORD106308</t>
  </si>
  <si>
    <t>ORD106309</t>
  </si>
  <si>
    <t>CUST9796</t>
  </si>
  <si>
    <t>ORD106310</t>
  </si>
  <si>
    <t>ORD106311</t>
  </si>
  <si>
    <t>CUST8160</t>
  </si>
  <si>
    <t>ORD106312</t>
  </si>
  <si>
    <t>CUST4624</t>
  </si>
  <si>
    <t>ORD106313</t>
  </si>
  <si>
    <t>CUST3153</t>
  </si>
  <si>
    <t>ORD106314</t>
  </si>
  <si>
    <t>CUST9378</t>
  </si>
  <si>
    <t>ORD106315</t>
  </si>
  <si>
    <t>ORD106316</t>
  </si>
  <si>
    <t>CUST3199</t>
  </si>
  <si>
    <t>ORD106317</t>
  </si>
  <si>
    <t>ORD106318</t>
  </si>
  <si>
    <t>ORD106319</t>
  </si>
  <si>
    <t>CUST5257</t>
  </si>
  <si>
    <t>ORD106320</t>
  </si>
  <si>
    <t>ORD106321</t>
  </si>
  <si>
    <t>ORD106322</t>
  </si>
  <si>
    <t>CUST7177</t>
  </si>
  <si>
    <t>ORD106323</t>
  </si>
  <si>
    <t>ORD106324</t>
  </si>
  <si>
    <t>ORD106325</t>
  </si>
  <si>
    <t>ORD106326</t>
  </si>
  <si>
    <t>ORD106327</t>
  </si>
  <si>
    <t>CUST8995</t>
  </si>
  <si>
    <t>ORD106328</t>
  </si>
  <si>
    <t>CUST2208</t>
  </si>
  <si>
    <t>ORD106329</t>
  </si>
  <si>
    <t>CUST8784</t>
  </si>
  <si>
    <t>ORD106330</t>
  </si>
  <si>
    <t>CUST9990</t>
  </si>
  <si>
    <t>ORD106331</t>
  </si>
  <si>
    <t>ORD106332</t>
  </si>
  <si>
    <t>ORD106333</t>
  </si>
  <si>
    <t>ORD106334</t>
  </si>
  <si>
    <t>ORD106335</t>
  </si>
  <si>
    <t>CUST5321</t>
  </si>
  <si>
    <t>ORD106336</t>
  </si>
  <si>
    <t>ORD106337</t>
  </si>
  <si>
    <t>CUST9885</t>
  </si>
  <si>
    <t>ORD106338</t>
  </si>
  <si>
    <t>CUST9030</t>
  </si>
  <si>
    <t>ORD106339</t>
  </si>
  <si>
    <t>CUST5101</t>
  </si>
  <si>
    <t>ORD106340</t>
  </si>
  <si>
    <t>ORD106341</t>
  </si>
  <si>
    <t>ORD106342</t>
  </si>
  <si>
    <t>ORD106343</t>
  </si>
  <si>
    <t>CUST9629</t>
  </si>
  <si>
    <t>ORD106344</t>
  </si>
  <si>
    <t>CUST2280</t>
  </si>
  <si>
    <t>ORD106345</t>
  </si>
  <si>
    <t>CUST6224</t>
  </si>
  <si>
    <t>ORD106346</t>
  </si>
  <si>
    <t>CUST3648</t>
  </si>
  <si>
    <t>ORD106347</t>
  </si>
  <si>
    <t>ORD106348</t>
  </si>
  <si>
    <t>ORD106349</t>
  </si>
  <si>
    <t>CUST4719</t>
  </si>
  <si>
    <t>ORD106350</t>
  </si>
  <si>
    <t>CUST6484</t>
  </si>
  <si>
    <t>ORD106351</t>
  </si>
  <si>
    <t>CUST6895</t>
  </si>
  <si>
    <t>ORD106352</t>
  </si>
  <si>
    <t>ORD106353</t>
  </si>
  <si>
    <t>CUST8801</t>
  </si>
  <si>
    <t>ORD106354</t>
  </si>
  <si>
    <t>CUST1262</t>
  </si>
  <si>
    <t>ORD106355</t>
  </si>
  <si>
    <t>ORD106356</t>
  </si>
  <si>
    <t>CUST8566</t>
  </si>
  <si>
    <t>ORD106357</t>
  </si>
  <si>
    <t>ORD106358</t>
  </si>
  <si>
    <t>ORD106359</t>
  </si>
  <si>
    <t>ORD106360</t>
  </si>
  <si>
    <t>CUST6438</t>
  </si>
  <si>
    <t>ORD106361</t>
  </si>
  <si>
    <t>ORD106362</t>
  </si>
  <si>
    <t>ORD106363</t>
  </si>
  <si>
    <t>ORD106364</t>
  </si>
  <si>
    <t>ORD106365</t>
  </si>
  <si>
    <t>CUST2092</t>
  </si>
  <si>
    <t>ORD106366</t>
  </si>
  <si>
    <t>ORD106367</t>
  </si>
  <si>
    <t>CUST6667</t>
  </si>
  <si>
    <t>ORD106368</t>
  </si>
  <si>
    <t>CUST7719</t>
  </si>
  <si>
    <t>ORD106369</t>
  </si>
  <si>
    <t>CUST3399</t>
  </si>
  <si>
    <t>ORD106370</t>
  </si>
  <si>
    <t>CUST6544</t>
  </si>
  <si>
    <t>ORD106371</t>
  </si>
  <si>
    <t>ORD106372</t>
  </si>
  <si>
    <t>ORD106373</t>
  </si>
  <si>
    <t>CUST3190</t>
  </si>
  <si>
    <t>ORD106374</t>
  </si>
  <si>
    <t>CUST9403</t>
  </si>
  <si>
    <t>ORD106375</t>
  </si>
  <si>
    <t>ORD106376</t>
  </si>
  <si>
    <t>ORD106377</t>
  </si>
  <si>
    <t>CUST8195</t>
  </si>
  <si>
    <t>ORD106378</t>
  </si>
  <si>
    <t>ORD106379</t>
  </si>
  <si>
    <t>CUST1288</t>
  </si>
  <si>
    <t>ORD106380</t>
  </si>
  <si>
    <t>CUST6464</t>
  </si>
  <si>
    <t>ORD106381</t>
  </si>
  <si>
    <t>ORD106382</t>
  </si>
  <si>
    <t>ORD106383</t>
  </si>
  <si>
    <t>ORD106384</t>
  </si>
  <si>
    <t>CUST2632</t>
  </si>
  <si>
    <t>ORD106385</t>
  </si>
  <si>
    <t>ORD106386</t>
  </si>
  <si>
    <t>CUST6467</t>
  </si>
  <si>
    <t>ORD106387</t>
  </si>
  <si>
    <t>CUST9144</t>
  </si>
  <si>
    <t>ORD106388</t>
  </si>
  <si>
    <t>CUST8819</t>
  </si>
  <si>
    <t>ORD106389</t>
  </si>
  <si>
    <t>ORD106390</t>
  </si>
  <si>
    <t>ORD106391</t>
  </si>
  <si>
    <t>ORD106392</t>
  </si>
  <si>
    <t>ORD106393</t>
  </si>
  <si>
    <t>CUST4759</t>
  </si>
  <si>
    <t>ORD106394</t>
  </si>
  <si>
    <t>CUST6914</t>
  </si>
  <si>
    <t>ORD106395</t>
  </si>
  <si>
    <t>CUST4793</t>
  </si>
  <si>
    <t>ORD106396</t>
  </si>
  <si>
    <t>CUST6437</t>
  </si>
  <si>
    <t>ORD106397</t>
  </si>
  <si>
    <t>ORD106398</t>
  </si>
  <si>
    <t>CUST4981</t>
  </si>
  <si>
    <t>ORD106399</t>
  </si>
  <si>
    <t>ORD106400</t>
  </si>
  <si>
    <t>ORD106401</t>
  </si>
  <si>
    <t>CUST6557</t>
  </si>
  <si>
    <t>ORD106402</t>
  </si>
  <si>
    <t>ORD106403</t>
  </si>
  <si>
    <t>CUST2038</t>
  </si>
  <si>
    <t>ORD106404</t>
  </si>
  <si>
    <t>CUST1938</t>
  </si>
  <si>
    <t>ORD106405</t>
  </si>
  <si>
    <t>ORD106406</t>
  </si>
  <si>
    <t>CUST3238</t>
  </si>
  <si>
    <t>ORD106407</t>
  </si>
  <si>
    <t>ORD106408</t>
  </si>
  <si>
    <t>ORD106409</t>
  </si>
  <si>
    <t>ORD106410</t>
  </si>
  <si>
    <t>ORD106411</t>
  </si>
  <si>
    <t>CUST1138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</si>
  <si>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</si>
  <si>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</si>
  <si>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</si>
  <si>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</si>
  <si>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</si>
  <si>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</si>
  <si>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</si>
  <si>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</si>
  <si>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</si>
  <si>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CUST4486</t>
  </si>
  <si>
    <t>ORD106421</t>
  </si>
  <si>
    <t>ORD106422</t>
  </si>
  <si>
    <t>ORD106423</t>
  </si>
  <si>
    <t>ORD106424</t>
  </si>
  <si>
    <t>ORD106425</t>
  </si>
  <si>
    <t>ORD106426</t>
  </si>
  <si>
    <t>CUST5653</t>
  </si>
  <si>
    <t>ORD106427</t>
  </si>
  <si>
    <t>ORD106428</t>
  </si>
  <si>
    <t>ORD106429</t>
  </si>
  <si>
    <t>ORD106430</t>
  </si>
  <si>
    <t>CUST5586</t>
  </si>
  <si>
    <t>ORD106431</t>
  </si>
  <si>
    <t>CUST9632</t>
  </si>
  <si>
    <t>ORD106432</t>
  </si>
  <si>
    <t>ORD106433</t>
  </si>
  <si>
    <t>ORD106434</t>
  </si>
  <si>
    <t>CUST9054</t>
  </si>
  <si>
    <t>ORD106435</t>
  </si>
  <si>
    <t>ORD106436</t>
  </si>
  <si>
    <t>CUST6242</t>
  </si>
  <si>
    <t>ORD106437</t>
  </si>
  <si>
    <t>ORD106438</t>
  </si>
  <si>
    <t>CUST5349</t>
  </si>
  <si>
    <t>ORD106439</t>
  </si>
  <si>
    <t>CUST2970</t>
  </si>
  <si>
    <t>ORD106440</t>
  </si>
  <si>
    <t>ORD106441</t>
  </si>
  <si>
    <t>CUST5372</t>
  </si>
  <si>
    <t>ORD106442</t>
  </si>
  <si>
    <t>CUST7070</t>
  </si>
  <si>
    <t>ORD106443</t>
  </si>
  <si>
    <t>ORD106444</t>
  </si>
  <si>
    <t>CUST3427</t>
  </si>
  <si>
    <t>ORD106445</t>
  </si>
  <si>
    <t>CUST8385</t>
  </si>
  <si>
    <t>ORD106446</t>
  </si>
  <si>
    <t>CUST5195</t>
  </si>
  <si>
    <t>ORD106447</t>
  </si>
  <si>
    <t>CUST9398</t>
  </si>
  <si>
    <t>ORD106448</t>
  </si>
  <si>
    <t>CUST9705</t>
  </si>
  <si>
    <t>ORD106449</t>
  </si>
  <si>
    <t>ORD106450</t>
  </si>
  <si>
    <t>CUST2778</t>
  </si>
  <si>
    <t>ORD106451</t>
  </si>
  <si>
    <t>CUST6151</t>
  </si>
  <si>
    <t>ORD106452</t>
  </si>
  <si>
    <t>CUST5940</t>
  </si>
  <si>
    <t>ORD106453</t>
  </si>
  <si>
    <t>CUST5661</t>
  </si>
  <si>
    <t>ORD106454</t>
  </si>
  <si>
    <t>CUST3861</t>
  </si>
  <si>
    <t>ORD106455</t>
  </si>
  <si>
    <t>CUST6838</t>
  </si>
  <si>
    <t>ORD106456</t>
  </si>
  <si>
    <t>ORD106457</t>
  </si>
  <si>
    <t>ORD106458</t>
  </si>
  <si>
    <t>ORD106459</t>
  </si>
  <si>
    <t>ORD106460</t>
  </si>
  <si>
    <t>ORD106461</t>
  </si>
  <si>
    <t>CUST1783</t>
  </si>
  <si>
    <t>ORD106462</t>
  </si>
  <si>
    <t>CUST9644</t>
  </si>
  <si>
    <t>ORD106463</t>
  </si>
  <si>
    <t>CUST3675</t>
  </si>
  <si>
    <t>ORD106464</t>
  </si>
  <si>
    <t>ORD106465</t>
  </si>
  <si>
    <t>CUST3656</t>
  </si>
  <si>
    <t>ORD106466</t>
  </si>
  <si>
    <t>ORD106467</t>
  </si>
  <si>
    <t>ORD106468</t>
  </si>
  <si>
    <t>ORD106469</t>
  </si>
  <si>
    <t>CUST1357</t>
  </si>
  <si>
    <t>ORD106470</t>
  </si>
  <si>
    <t>ORD106471</t>
  </si>
  <si>
    <t>CUST3441</t>
  </si>
  <si>
    <t>ORD106472</t>
  </si>
  <si>
    <t>CUST9445</t>
  </si>
  <si>
    <t>ORD106473</t>
  </si>
  <si>
    <t>ORD106474</t>
  </si>
  <si>
    <t>CUST6622</t>
  </si>
  <si>
    <t>ORD106475</t>
  </si>
  <si>
    <t>CUST6592</t>
  </si>
  <si>
    <t>ORD106476</t>
  </si>
  <si>
    <t>ORD106477</t>
  </si>
  <si>
    <t>ORD106478</t>
  </si>
  <si>
    <t>CUST4210</t>
  </si>
  <si>
    <t>ORD106479</t>
  </si>
  <si>
    <t>ORD106480</t>
  </si>
  <si>
    <t>ORD106481</t>
  </si>
  <si>
    <t>ORD106482</t>
  </si>
  <si>
    <t>CUST5106</t>
  </si>
  <si>
    <t>ORD106483</t>
  </si>
  <si>
    <t>CUST4879</t>
  </si>
  <si>
    <t>ORD106484</t>
  </si>
  <si>
    <t>CUST1817</t>
  </si>
  <si>
    <t>ORD106485</t>
  </si>
  <si>
    <t>ORD106486</t>
  </si>
  <si>
    <t>CUST6542</t>
  </si>
  <si>
    <t>ORD106487</t>
  </si>
  <si>
    <t>CUST2442</t>
  </si>
  <si>
    <t>ORD106488</t>
  </si>
  <si>
    <t>CUST4368</t>
  </si>
  <si>
    <t>ORD106489</t>
  </si>
  <si>
    <t>ORD106490</t>
  </si>
  <si>
    <t>CUST2296</t>
  </si>
  <si>
    <t>ORD106491</t>
  </si>
  <si>
    <t>CUST8395</t>
  </si>
  <si>
    <t>ORD106492</t>
  </si>
  <si>
    <t>CUST4201</t>
  </si>
  <si>
    <t>ORD106493</t>
  </si>
  <si>
    <t>CUST6117</t>
  </si>
  <si>
    <t>ORD106494</t>
  </si>
  <si>
    <t>CUST8386</t>
  </si>
  <si>
    <t>ORD106495</t>
  </si>
  <si>
    <t>ORD106496</t>
  </si>
  <si>
    <t>ORD106497</t>
  </si>
  <si>
    <t>CUST1698</t>
  </si>
  <si>
    <t>ORD106498</t>
  </si>
  <si>
    <t>CUST3077</t>
  </si>
  <si>
    <t>ORD106499</t>
  </si>
  <si>
    <t>ORD106500</t>
  </si>
  <si>
    <t>ORD106501</t>
  </si>
  <si>
    <t>CUST3556</t>
  </si>
  <si>
    <t>ORD106502</t>
  </si>
  <si>
    <t>ORD106503</t>
  </si>
  <si>
    <t>ORD106504</t>
  </si>
  <si>
    <t>CUST3378</t>
  </si>
  <si>
    <t>ORD106505</t>
  </si>
  <si>
    <t>CUST4500</t>
  </si>
  <si>
    <t>ORD106506</t>
  </si>
  <si>
    <t>ORD106507</t>
  </si>
  <si>
    <t>ORD106508</t>
  </si>
  <si>
    <t>ORD106509</t>
  </si>
  <si>
    <t>ORD106510</t>
  </si>
  <si>
    <t>CUST2676</t>
  </si>
  <si>
    <t>ORD106511</t>
  </si>
  <si>
    <t>ORD106512</t>
  </si>
  <si>
    <t>ORD106513</t>
  </si>
  <si>
    <t>CUST4339</t>
  </si>
  <si>
    <t>ORD106514</t>
  </si>
  <si>
    <t>ORD106515</t>
  </si>
  <si>
    <t>CUST9993</t>
  </si>
  <si>
    <t>ORD106516</t>
  </si>
  <si>
    <t>ORD106517</t>
  </si>
  <si>
    <t>CUST5757</t>
  </si>
  <si>
    <t>ORD106518</t>
  </si>
  <si>
    <t>CUST1496</t>
  </si>
  <si>
    <t>ORD106519</t>
  </si>
  <si>
    <t>CUST1748</t>
  </si>
  <si>
    <t>ORD106520</t>
  </si>
  <si>
    <t>ORD106521</t>
  </si>
  <si>
    <t>CUST3073</t>
  </si>
  <si>
    <t>ORD106522</t>
  </si>
  <si>
    <t>ORD106523</t>
  </si>
  <si>
    <t>CUST7113</t>
  </si>
  <si>
    <t>ORD106524</t>
  </si>
  <si>
    <t>CUST9162</t>
  </si>
  <si>
    <t>ORD106525</t>
  </si>
  <si>
    <t>ORD106526</t>
  </si>
  <si>
    <t>ORD106527</t>
  </si>
  <si>
    <t>ORD106528</t>
  </si>
  <si>
    <t>ORD106529</t>
  </si>
  <si>
    <t>ORD106530</t>
  </si>
  <si>
    <t>CUST9649</t>
  </si>
  <si>
    <t>ORD106531</t>
  </si>
  <si>
    <t>CUST5521</t>
  </si>
  <si>
    <t>ORD106532</t>
  </si>
  <si>
    <t>ORD106533</t>
  </si>
  <si>
    <t>CUST6488</t>
  </si>
  <si>
    <t>ORD106534</t>
  </si>
  <si>
    <t>CUST6716</t>
  </si>
  <si>
    <t>ORD106535</t>
  </si>
  <si>
    <t>CUST7758</t>
  </si>
  <si>
    <t>ORD106536</t>
  </si>
  <si>
    <t>CUST5070</t>
  </si>
  <si>
    <t>ORD106537</t>
  </si>
  <si>
    <t>ORD106538</t>
  </si>
  <si>
    <t>CUST1978</t>
  </si>
  <si>
    <t>ORD106539</t>
  </si>
  <si>
    <t>CUST5342</t>
  </si>
  <si>
    <t>ORD106540</t>
  </si>
  <si>
    <t>CUST4491</t>
  </si>
  <si>
    <t>ORD106541</t>
  </si>
  <si>
    <t>ORD106542</t>
  </si>
  <si>
    <t>CUST2607</t>
  </si>
  <si>
    <t>ORD106543</t>
  </si>
  <si>
    <t>CUST5484</t>
  </si>
  <si>
    <t>ORD106544</t>
  </si>
  <si>
    <t>CUST9053</t>
  </si>
  <si>
    <t>ORD106545</t>
  </si>
  <si>
    <t>CUST5814</t>
  </si>
  <si>
    <t>ORD106546</t>
  </si>
  <si>
    <t>ORD106547</t>
  </si>
  <si>
    <t>CUST2141</t>
  </si>
  <si>
    <t>ORD106548</t>
  </si>
  <si>
    <t>ORD106549</t>
  </si>
  <si>
    <t>CUST3889</t>
  </si>
  <si>
    <t>ORD106550</t>
  </si>
  <si>
    <t>CUST5809</t>
  </si>
  <si>
    <t>ORD106551</t>
  </si>
  <si>
    <t>ORD106552</t>
  </si>
  <si>
    <t>CUST8919</t>
  </si>
  <si>
    <t>ORD106553</t>
  </si>
  <si>
    <t>ORD106554</t>
  </si>
  <si>
    <t>ORD106555</t>
  </si>
  <si>
    <t>ORD106556</t>
  </si>
  <si>
    <t>CUST1736</t>
  </si>
  <si>
    <t>ORD106557</t>
  </si>
  <si>
    <t>ORD106558</t>
  </si>
  <si>
    <t>CUST7459</t>
  </si>
  <si>
    <t>ORD106559</t>
  </si>
  <si>
    <t>ORD106560</t>
  </si>
  <si>
    <t>CUST4170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</si>
  <si>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</si>
  <si>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</si>
  <si>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</si>
  <si>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</si>
  <si>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</si>
  <si>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</si>
  <si>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</si>
  <si>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CUST7417</t>
  </si>
  <si>
    <t>ORD106568</t>
  </si>
  <si>
    <t>ORD106569</t>
  </si>
  <si>
    <t>CUST9038</t>
  </si>
  <si>
    <t>ORD106570</t>
  </si>
  <si>
    <t>CUST7555</t>
  </si>
  <si>
    <t>ORD106571</t>
  </si>
  <si>
    <t>CUST1190</t>
  </si>
  <si>
    <t>ORD106572</t>
  </si>
  <si>
    <t>CUST9414</t>
  </si>
  <si>
    <t>ORD106573</t>
  </si>
  <si>
    <t>ORD106574</t>
  </si>
  <si>
    <t>ORD106575</t>
  </si>
  <si>
    <t>CUST7031</t>
  </si>
  <si>
    <t>ORD106576</t>
  </si>
  <si>
    <t>ORD106577</t>
  </si>
  <si>
    <t>ORD106578</t>
  </si>
  <si>
    <t>ORD106579</t>
  </si>
  <si>
    <t>CUST8658</t>
  </si>
  <si>
    <t>ORD106580</t>
  </si>
  <si>
    <t>ORD106581</t>
  </si>
  <si>
    <t>ORD106582</t>
  </si>
  <si>
    <t>CUST4973</t>
  </si>
  <si>
    <t>ORD106583</t>
  </si>
  <si>
    <t>CUST6785</t>
  </si>
  <si>
    <t>ORD106584</t>
  </si>
  <si>
    <t>ORD106585</t>
  </si>
  <si>
    <t>CUST4349</t>
  </si>
  <si>
    <t>ORD106586</t>
  </si>
  <si>
    <t>CUST9878</t>
  </si>
  <si>
    <t>ORD106587</t>
  </si>
  <si>
    <t>ORD106588</t>
  </si>
  <si>
    <t>ORD106589</t>
  </si>
  <si>
    <t>ORD106590</t>
  </si>
  <si>
    <t>ORD106591</t>
  </si>
  <si>
    <t>ORD106592</t>
  </si>
  <si>
    <t>CUST8592</t>
  </si>
  <si>
    <t>ORD106593</t>
  </si>
  <si>
    <t>ORD106594</t>
  </si>
  <si>
    <t>ORD106595</t>
  </si>
  <si>
    <t>CUST6650</t>
  </si>
  <si>
    <t>ORD106596</t>
  </si>
  <si>
    <t>ORD106597</t>
  </si>
  <si>
    <t>ORD106598</t>
  </si>
  <si>
    <t>CUST1018</t>
  </si>
  <si>
    <t>ORD106599</t>
  </si>
  <si>
    <t>ORD106600</t>
  </si>
  <si>
    <t>ORD106601</t>
  </si>
  <si>
    <t>CUST2447</t>
  </si>
  <si>
    <t>ORD106602</t>
  </si>
  <si>
    <t>CUST4365</t>
  </si>
  <si>
    <t>ORD106603</t>
  </si>
  <si>
    <t>ORD106604</t>
  </si>
  <si>
    <t>CUST4061</t>
  </si>
  <si>
    <t>ORD106605</t>
  </si>
  <si>
    <t>ORD106606</t>
  </si>
  <si>
    <t>ORD106607</t>
  </si>
  <si>
    <t>CUST6276</t>
  </si>
  <si>
    <t>ORD106608</t>
  </si>
  <si>
    <t>CUST2331</t>
  </si>
  <si>
    <t>ORD106609</t>
  </si>
  <si>
    <t>CUST1720</t>
  </si>
  <si>
    <t>ORD106610</t>
  </si>
  <si>
    <t>CUST7659</t>
  </si>
  <si>
    <t>ORD106611</t>
  </si>
  <si>
    <t>ORD106612</t>
  </si>
  <si>
    <t>ORD106613</t>
  </si>
  <si>
    <t>CUST1344</t>
  </si>
  <si>
    <t>ORD106614</t>
  </si>
  <si>
    <t>ORD106615</t>
  </si>
  <si>
    <t>ORD106616</t>
  </si>
  <si>
    <t>ORD106617</t>
  </si>
  <si>
    <t>ORD106618</t>
  </si>
  <si>
    <t>ORD106619</t>
  </si>
  <si>
    <t>CUST7742</t>
  </si>
  <si>
    <t>ORD106620</t>
  </si>
  <si>
    <t>CUST1111</t>
  </si>
  <si>
    <t>ORD106621</t>
  </si>
  <si>
    <t>CUST9327</t>
  </si>
  <si>
    <t>ORD106622</t>
  </si>
  <si>
    <t>CUST5958</t>
  </si>
  <si>
    <t>ORD106623</t>
  </si>
  <si>
    <t>CUST8411</t>
  </si>
  <si>
    <t>ORD106624</t>
  </si>
  <si>
    <t>CUST7146</t>
  </si>
  <si>
    <t>ORD106625</t>
  </si>
  <si>
    <t>ORD106626</t>
  </si>
  <si>
    <t>CUST6140</t>
  </si>
  <si>
    <t>ORD106627</t>
  </si>
  <si>
    <t>ORD106628</t>
  </si>
  <si>
    <t>ORD106629</t>
  </si>
  <si>
    <t>CUST3445</t>
  </si>
  <si>
    <t>ORD106630</t>
  </si>
  <si>
    <t>CUST5351</t>
  </si>
  <si>
    <t>ORD106631</t>
  </si>
  <si>
    <t>ORD106632</t>
  </si>
  <si>
    <t>ORD106633</t>
  </si>
  <si>
    <t>ORD106634</t>
  </si>
  <si>
    <t>CUST4380</t>
  </si>
  <si>
    <t>ORD106635</t>
  </si>
  <si>
    <t>ORD106636</t>
  </si>
  <si>
    <t>CUST5279</t>
  </si>
  <si>
    <t>ORD106637</t>
  </si>
  <si>
    <t>ORD106638</t>
  </si>
  <si>
    <t>ORD106639</t>
  </si>
  <si>
    <t>CUST4107</t>
  </si>
  <si>
    <t>ORD106640</t>
  </si>
  <si>
    <t>CUST3952</t>
  </si>
  <si>
    <t>ORD106641</t>
  </si>
  <si>
    <t>ORD106642</t>
  </si>
  <si>
    <t>CUST8450</t>
  </si>
  <si>
    <t>ORD106643</t>
  </si>
  <si>
    <t>ORD106644</t>
  </si>
  <si>
    <t>CUST7801</t>
  </si>
  <si>
    <t>ORD106645</t>
  </si>
  <si>
    <t>CUST1923</t>
  </si>
  <si>
    <t>ORD106646</t>
  </si>
  <si>
    <t>CUST2856</t>
  </si>
  <si>
    <t>ORD106647</t>
  </si>
  <si>
    <t>CUST4787</t>
  </si>
  <si>
    <t>ORD106648</t>
  </si>
  <si>
    <t>ORD106649</t>
  </si>
  <si>
    <t>ORD106650</t>
  </si>
  <si>
    <t>ORD106651</t>
  </si>
  <si>
    <t>CUST8807</t>
  </si>
  <si>
    <t>ORD106652</t>
  </si>
  <si>
    <t>ORD106653</t>
  </si>
  <si>
    <t>CUST3540</t>
  </si>
  <si>
    <t>ORD106654</t>
  </si>
  <si>
    <t>CUST7856</t>
  </si>
  <si>
    <t>ORD106655</t>
  </si>
  <si>
    <t>ORD106656</t>
  </si>
  <si>
    <t>ORD106657</t>
  </si>
  <si>
    <t>ORD106658</t>
  </si>
  <si>
    <t>CUST9984</t>
  </si>
  <si>
    <t>ORD106659</t>
  </si>
  <si>
    <t>ORD106660</t>
  </si>
  <si>
    <t>CUST5364</t>
  </si>
  <si>
    <t>ORD106661</t>
  </si>
  <si>
    <t>CUST2070</t>
  </si>
  <si>
    <t>ORD106662</t>
  </si>
  <si>
    <t>CUST7383</t>
  </si>
  <si>
    <t>ORD106663</t>
  </si>
  <si>
    <t>ORD106664</t>
  </si>
  <si>
    <t>ORD106665</t>
  </si>
  <si>
    <t>ORD106666</t>
  </si>
  <si>
    <t>CUST2091</t>
  </si>
  <si>
    <t>ORD106667</t>
  </si>
  <si>
    <t>ORD106668</t>
  </si>
  <si>
    <t>ORD106669</t>
  </si>
  <si>
    <t>CUST7984</t>
  </si>
  <si>
    <t>ORD106670</t>
  </si>
  <si>
    <t>CUST1478</t>
  </si>
  <si>
    <t>ORD106671</t>
  </si>
  <si>
    <t>CUST6063</t>
  </si>
  <si>
    <t>ORD106672</t>
  </si>
  <si>
    <t>ORD106673</t>
  </si>
  <si>
    <t>CUST3066</t>
  </si>
  <si>
    <t>ORD106674</t>
  </si>
  <si>
    <t>ORD106675</t>
  </si>
  <si>
    <t>CUST6739</t>
  </si>
  <si>
    <t>ORD106676</t>
  </si>
  <si>
    <t>ORD106677</t>
  </si>
  <si>
    <t>ORD106678</t>
  </si>
  <si>
    <t>ORD106679</t>
  </si>
  <si>
    <t>ORD106680</t>
  </si>
  <si>
    <t>CUST6802</t>
  </si>
  <si>
    <t>ORD106681</t>
  </si>
  <si>
    <t>CUST1078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</si>
  <si>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</si>
  <si>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</si>
  <si>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</si>
  <si>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</si>
  <si>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</si>
  <si>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</si>
  <si>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</si>
  <si>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</si>
  <si>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CUST4091</t>
  </si>
  <si>
    <t>ORD106690</t>
  </si>
  <si>
    <t>ORD106691</t>
  </si>
  <si>
    <t>ORD106692</t>
  </si>
  <si>
    <t>CUST5547</t>
  </si>
  <si>
    <t>ORD106693</t>
  </si>
  <si>
    <t>ORD106694</t>
  </si>
  <si>
    <t>CUST1339</t>
  </si>
  <si>
    <t>ORD106695</t>
  </si>
  <si>
    <t>ORD106696</t>
  </si>
  <si>
    <t>ORD106697</t>
  </si>
  <si>
    <t>CUST7884</t>
  </si>
  <si>
    <t>ORD106698</t>
  </si>
  <si>
    <t>ORD106699</t>
  </si>
  <si>
    <t>ORD106700</t>
  </si>
  <si>
    <t>CUST2554</t>
  </si>
  <si>
    <t>ORD106701</t>
  </si>
  <si>
    <t>ORD106702</t>
  </si>
  <si>
    <t>CUST3447</t>
  </si>
  <si>
    <t>ORD106703</t>
  </si>
  <si>
    <t>ORD106704</t>
  </si>
  <si>
    <t>ORD106705</t>
  </si>
  <si>
    <t>CUST5444</t>
  </si>
  <si>
    <t>ORD106706</t>
  </si>
  <si>
    <t>ORD106707</t>
  </si>
  <si>
    <t>ORD106708</t>
  </si>
  <si>
    <t>CUST3318</t>
  </si>
  <si>
    <t>ORD106709</t>
  </si>
  <si>
    <t>ORD106710</t>
  </si>
  <si>
    <t>ORD106711</t>
  </si>
  <si>
    <t>CUST3631</t>
  </si>
  <si>
    <t>ORD106712</t>
  </si>
  <si>
    <t>CUST6840</t>
  </si>
  <si>
    <t>ORD106713</t>
  </si>
  <si>
    <t>CUST4677</t>
  </si>
  <si>
    <t>ORD106714</t>
  </si>
  <si>
    <t>CUST9415</t>
  </si>
  <si>
    <t>ORD106715</t>
  </si>
  <si>
    <t>CUST9461</t>
  </si>
  <si>
    <t>ORD106716</t>
  </si>
  <si>
    <t>ORD106717</t>
  </si>
  <si>
    <t>ORD106718</t>
  </si>
  <si>
    <t>ORD106719</t>
  </si>
  <si>
    <t>CUST1718</t>
  </si>
  <si>
    <t>ORD106720</t>
  </si>
  <si>
    <t>ORD106721</t>
  </si>
  <si>
    <t>ORD106722</t>
  </si>
  <si>
    <t>CUST3730</t>
  </si>
  <si>
    <t>ORD106723</t>
  </si>
  <si>
    <t>CUST9264</t>
  </si>
  <si>
    <t>ORD106724</t>
  </si>
  <si>
    <t>CUST4918</t>
  </si>
  <si>
    <t>ORD106725</t>
  </si>
  <si>
    <t>ORD106726</t>
  </si>
  <si>
    <t>ORD106727</t>
  </si>
  <si>
    <t>ORD106728</t>
  </si>
  <si>
    <t>ORD106729</t>
  </si>
  <si>
    <t>ORD106730</t>
  </si>
  <si>
    <t>CUST1366</t>
  </si>
  <si>
    <t>ORD106731</t>
  </si>
  <si>
    <t>ORD106732</t>
  </si>
  <si>
    <t>ORD106733</t>
  </si>
  <si>
    <t>ORD106734</t>
  </si>
  <si>
    <t>CUST7375</t>
  </si>
  <si>
    <t>ORD106735</t>
  </si>
  <si>
    <t>ORD106736</t>
  </si>
  <si>
    <t>CUST2028</t>
  </si>
  <si>
    <t>ORD106737</t>
  </si>
  <si>
    <t>CUST9939</t>
  </si>
  <si>
    <t>ORD106738</t>
  </si>
  <si>
    <t>ORD106739</t>
  </si>
  <si>
    <t>ORD106740</t>
  </si>
  <si>
    <t>ORD106741</t>
  </si>
  <si>
    <t>CUST4799</t>
  </si>
  <si>
    <t>ORD106742</t>
  </si>
  <si>
    <t>ORD106743</t>
  </si>
  <si>
    <t>CUST4840</t>
  </si>
  <si>
    <t>ORD106744</t>
  </si>
  <si>
    <t>ORD106745</t>
  </si>
  <si>
    <t>CUST2706</t>
  </si>
  <si>
    <t>ORD106746</t>
  </si>
  <si>
    <t>CUST8647</t>
  </si>
  <si>
    <t>ORD106747</t>
  </si>
  <si>
    <t>CUST8624</t>
  </si>
  <si>
    <t>ORD106748</t>
  </si>
  <si>
    <t>ORD106749</t>
  </si>
  <si>
    <t>CUST5537</t>
  </si>
  <si>
    <t>ORD106750</t>
  </si>
  <si>
    <t>ORD106751</t>
  </si>
  <si>
    <t>ORD106752</t>
  </si>
  <si>
    <t>CUST5581</t>
  </si>
  <si>
    <t>ORD106753</t>
  </si>
  <si>
    <t>CUST1628</t>
  </si>
  <si>
    <t>ORD106754</t>
  </si>
  <si>
    <t>ORD106755</t>
  </si>
  <si>
    <t>CUST9989</t>
  </si>
  <si>
    <t>ORD106756</t>
  </si>
  <si>
    <t>ORD106757</t>
  </si>
  <si>
    <t>CUST8083</t>
  </si>
  <si>
    <t>ORD106758</t>
  </si>
  <si>
    <t>CUST5870</t>
  </si>
  <si>
    <t>ORD106759</t>
  </si>
  <si>
    <t>CUST1681</t>
  </si>
  <si>
    <t>ORD106760</t>
  </si>
  <si>
    <t>ORD106761</t>
  </si>
  <si>
    <t>CUST8318</t>
  </si>
  <si>
    <t>ORD106762</t>
  </si>
  <si>
    <t>CUST3431</t>
  </si>
  <si>
    <t>ORD106763</t>
  </si>
  <si>
    <t>ORD106764</t>
  </si>
  <si>
    <t>ORD106765</t>
  </si>
  <si>
    <t>ORD106766</t>
  </si>
  <si>
    <t>CUST1225</t>
  </si>
  <si>
    <t>ORD106767</t>
  </si>
  <si>
    <t>ORD106768</t>
  </si>
  <si>
    <t>ORD106769</t>
  </si>
  <si>
    <t>CUST5171</t>
  </si>
  <si>
    <t>ORD106770</t>
  </si>
  <si>
    <t>ORD106771</t>
  </si>
  <si>
    <t>CUST8568</t>
  </si>
  <si>
    <t>ORD106772</t>
  </si>
  <si>
    <t>CUST7588</t>
  </si>
  <si>
    <t>ORD106773</t>
  </si>
  <si>
    <t>CUST7161</t>
  </si>
  <si>
    <t>ORD106774</t>
  </si>
  <si>
    <t>CUST7343</t>
  </si>
  <si>
    <t>ORD106775</t>
  </si>
  <si>
    <t>ORD106776</t>
  </si>
  <si>
    <t>CUST9442</t>
  </si>
  <si>
    <t>ORD106777</t>
  </si>
  <si>
    <t>ORD106778</t>
  </si>
  <si>
    <t>ORD106779</t>
  </si>
  <si>
    <t>ORD106780</t>
  </si>
  <si>
    <t>ORD106781</t>
  </si>
  <si>
    <t>ORD106782</t>
  </si>
  <si>
    <t>CUST9702</t>
  </si>
  <si>
    <t>ORD106783</t>
  </si>
  <si>
    <t>ORD106784</t>
  </si>
  <si>
    <t>CUST3029</t>
  </si>
  <si>
    <t>ORD106785</t>
  </si>
  <si>
    <t>ORD106786</t>
  </si>
  <si>
    <t>ORD106787</t>
  </si>
  <si>
    <t>ORD106788</t>
  </si>
  <si>
    <t>ORD106789</t>
  </si>
  <si>
    <t>ORD106790</t>
  </si>
  <si>
    <t>CUST2626</t>
  </si>
  <si>
    <t>ORD106791</t>
  </si>
  <si>
    <t>CUST9226</t>
  </si>
  <si>
    <t>ORD106792</t>
  </si>
  <si>
    <t>CUST3612</t>
  </si>
  <si>
    <t>ORD106793</t>
  </si>
  <si>
    <t>ORD106794</t>
  </si>
  <si>
    <t>ORD106795</t>
  </si>
  <si>
    <t>ORD106796</t>
  </si>
  <si>
    <t>CUST4304</t>
  </si>
  <si>
    <t>ORD106797</t>
  </si>
  <si>
    <t>ORD106798</t>
  </si>
  <si>
    <t>ORD106799</t>
  </si>
  <si>
    <t>CUST5774</t>
  </si>
  <si>
    <t>ORD106800</t>
  </si>
  <si>
    <t>ORD106801</t>
  </si>
  <si>
    <t>ORD106802</t>
  </si>
  <si>
    <t>ORD106803</t>
  </si>
  <si>
    <t>CUST9535</t>
  </si>
  <si>
    <t>ORD106804</t>
  </si>
  <si>
    <t>CUST3888</t>
  </si>
  <si>
    <t>ORD106805</t>
  </si>
  <si>
    <t>ORD106806</t>
  </si>
  <si>
    <t>CUST3835</t>
  </si>
  <si>
    <t>ORD106807</t>
  </si>
  <si>
    <t>CUST3768</t>
  </si>
  <si>
    <t>ORD106808</t>
  </si>
  <si>
    <t>CUST2394</t>
  </si>
  <si>
    <t>ORD106809</t>
  </si>
  <si>
    <t>ORD106810</t>
  </si>
  <si>
    <t>ORD106811</t>
  </si>
  <si>
    <t>CUST8123</t>
  </si>
  <si>
    <t>ORD106812</t>
  </si>
  <si>
    <t>ORD106813</t>
  </si>
  <si>
    <t>ORD106814</t>
  </si>
  <si>
    <t>ORD106815</t>
  </si>
  <si>
    <t>CUST5687</t>
  </si>
  <si>
    <t>ORD106816</t>
  </si>
  <si>
    <t>ORD106817</t>
  </si>
  <si>
    <t>ORD106818</t>
  </si>
  <si>
    <t>ORD106819</t>
  </si>
  <si>
    <t>ORD106820</t>
  </si>
  <si>
    <t>ORD106821</t>
  </si>
  <si>
    <t>CUST8839</t>
  </si>
  <si>
    <t>ORD106822</t>
  </si>
  <si>
    <t>CUST7822</t>
  </si>
  <si>
    <t>ORD106823</t>
  </si>
  <si>
    <t>CUST3440</t>
  </si>
  <si>
    <t>ORD106824</t>
  </si>
  <si>
    <t>CUST1782</t>
  </si>
  <si>
    <t>ORD106825</t>
  </si>
  <si>
    <t>CUST9505</t>
  </si>
  <si>
    <t>ORD106826</t>
  </si>
  <si>
    <t>ORD106827</t>
  </si>
  <si>
    <t>CUST1833</t>
  </si>
  <si>
    <t>ORD106828</t>
  </si>
  <si>
    <t>ORD106829</t>
  </si>
  <si>
    <t>ORD106830</t>
  </si>
  <si>
    <t>CUST3122</t>
  </si>
  <si>
    <t>ORD106831</t>
  </si>
  <si>
    <t>CUST1870</t>
  </si>
  <si>
    <t>ORD106832</t>
  </si>
  <si>
    <t>ORD106833</t>
  </si>
  <si>
    <t>ORD106834</t>
  </si>
  <si>
    <t>ORD106835</t>
  </si>
  <si>
    <t>ORD106836</t>
  </si>
  <si>
    <t>CUST2546</t>
  </si>
  <si>
    <t>ORD106837</t>
  </si>
  <si>
    <t>ORD106838</t>
  </si>
  <si>
    <t>CUST2962</t>
  </si>
  <si>
    <t>ORD106839</t>
  </si>
  <si>
    <t>CUST6779</t>
  </si>
  <si>
    <t>ORD106840</t>
  </si>
  <si>
    <t>CUST6045</t>
  </si>
  <si>
    <t>ORD106841</t>
  </si>
  <si>
    <t>CUST5925</t>
  </si>
  <si>
    <t>ORD106842</t>
  </si>
  <si>
    <t>ORD106843</t>
  </si>
  <si>
    <t>ORD106844</t>
  </si>
  <si>
    <t>ORD106845</t>
  </si>
  <si>
    <t>ORD106846</t>
  </si>
  <si>
    <t>CUST4282</t>
  </si>
  <si>
    <t>ORD106847</t>
  </si>
  <si>
    <t>CUST9088</t>
  </si>
  <si>
    <t>ORD106848</t>
  </si>
  <si>
    <t>ORD106849</t>
  </si>
  <si>
    <t>CUST2117</t>
  </si>
  <si>
    <t>ORD106850</t>
  </si>
  <si>
    <t>CUST8479</t>
  </si>
  <si>
    <t>ORD106851</t>
  </si>
  <si>
    <t>ORD106852</t>
  </si>
  <si>
    <t>CUST7174</t>
  </si>
  <si>
    <t>ORD106853</t>
  </si>
  <si>
    <t>CUST1430</t>
  </si>
  <si>
    <t>ORD106854</t>
  </si>
  <si>
    <t>ORD106855</t>
  </si>
  <si>
    <t>ORD106856</t>
  </si>
  <si>
    <t>ORD106857</t>
  </si>
  <si>
    <t>ORD106858</t>
  </si>
  <si>
    <t>CUST5068</t>
  </si>
  <si>
    <t>ORD106859</t>
  </si>
  <si>
    <t>CUST5919</t>
  </si>
  <si>
    <t>ORD106860</t>
  </si>
  <si>
    <t>ORD106861</t>
  </si>
  <si>
    <t>ORD106862</t>
  </si>
  <si>
    <t>ORD106863</t>
  </si>
  <si>
    <t>CUST4739</t>
  </si>
  <si>
    <t>ORD106864</t>
  </si>
  <si>
    <t>CUST9757</t>
  </si>
  <si>
    <t>ORD106865</t>
  </si>
  <si>
    <t>ORD106866</t>
  </si>
  <si>
    <t>CUST3015</t>
  </si>
  <si>
    <t>ORD106867</t>
  </si>
  <si>
    <t>ORD106868</t>
  </si>
  <si>
    <t>CUST6676</t>
  </si>
  <si>
    <t>ORD106869</t>
  </si>
  <si>
    <t>ORD106870</t>
  </si>
  <si>
    <t>ORD106871</t>
  </si>
  <si>
    <t>ORD106872</t>
  </si>
  <si>
    <t>CUST3132</t>
  </si>
  <si>
    <t>ORD106873</t>
  </si>
  <si>
    <t>ORD106874</t>
  </si>
  <si>
    <t>ORD106875</t>
  </si>
  <si>
    <t>CUST6116</t>
  </si>
  <si>
    <t>ORD106876</t>
  </si>
  <si>
    <t>ORD106877</t>
  </si>
  <si>
    <t>CUST4186</t>
  </si>
  <si>
    <t>ORD106878</t>
  </si>
  <si>
    <t>CUST8694</t>
  </si>
  <si>
    <t>ORD106879</t>
  </si>
  <si>
    <t>CUST5180</t>
  </si>
  <si>
    <t>ORD106880</t>
  </si>
  <si>
    <t>CUST6412</t>
  </si>
  <si>
    <t>ORD106881</t>
  </si>
  <si>
    <t>ORD106882</t>
  </si>
  <si>
    <t>ORD106883</t>
  </si>
  <si>
    <t>CUST4273</t>
  </si>
  <si>
    <t>ORD106884</t>
  </si>
  <si>
    <t>CUST1992</t>
  </si>
  <si>
    <t>ORD106885</t>
  </si>
  <si>
    <t>ORD106886</t>
  </si>
  <si>
    <t>ORD106887</t>
  </si>
  <si>
    <t>CUST3963</t>
  </si>
  <si>
    <t>ORD106888</t>
  </si>
  <si>
    <t>CUST2449</t>
  </si>
  <si>
    <t>ORD106889</t>
  </si>
  <si>
    <t>ORD106890</t>
  </si>
  <si>
    <t>CUST6003</t>
  </si>
  <si>
    <t>ORD106891</t>
  </si>
  <si>
    <t>ORD106892</t>
  </si>
  <si>
    <t>ORD106893</t>
  </si>
  <si>
    <t>ORD106894</t>
  </si>
  <si>
    <t>CUST5801</t>
  </si>
  <si>
    <t>ORD106895</t>
  </si>
  <si>
    <t>ORD106896</t>
  </si>
  <si>
    <t>ORD106897</t>
  </si>
  <si>
    <t>ORD106898</t>
  </si>
  <si>
    <t>CUST5481</t>
  </si>
  <si>
    <t>ORD106899</t>
  </si>
  <si>
    <t>CUST5331</t>
  </si>
  <si>
    <t>ORD106900</t>
  </si>
  <si>
    <t>ORD106901</t>
  </si>
  <si>
    <t>CUST4885</t>
  </si>
  <si>
    <t>ORD106902</t>
  </si>
  <si>
    <t>ORD106903</t>
  </si>
  <si>
    <t>ORD106904</t>
  </si>
  <si>
    <t>CUST3121</t>
  </si>
  <si>
    <t>ORD106905</t>
  </si>
  <si>
    <t>ORD106906</t>
  </si>
  <si>
    <t>ORD106907</t>
  </si>
  <si>
    <t>ORD106908</t>
  </si>
  <si>
    <t>ORD106909</t>
  </si>
  <si>
    <t>CUST5680</t>
  </si>
  <si>
    <t>ORD106910</t>
  </si>
  <si>
    <t>CUST2614</t>
  </si>
  <si>
    <t>ORD106911</t>
  </si>
  <si>
    <t>CUST6683</t>
  </si>
  <si>
    <t>ORD106912</t>
  </si>
  <si>
    <t>CUST4276</t>
  </si>
  <si>
    <t>ORD106913</t>
  </si>
  <si>
    <t>ORD106914</t>
  </si>
  <si>
    <t>ORD106915</t>
  </si>
  <si>
    <t>ORD106916</t>
  </si>
  <si>
    <t>ORD106917</t>
  </si>
  <si>
    <t>CUST4824</t>
  </si>
  <si>
    <t>ORD106918</t>
  </si>
  <si>
    <t>ORD106919</t>
  </si>
  <si>
    <t>ORD106920</t>
  </si>
  <si>
    <t>CUST2762</t>
  </si>
  <si>
    <t>ORD106921</t>
  </si>
  <si>
    <t>CUST5392</t>
  </si>
  <si>
    <t>ORD106922</t>
  </si>
  <si>
    <t>ORD106923</t>
  </si>
  <si>
    <t>ORD106924</t>
  </si>
  <si>
    <t>ORD106925</t>
  </si>
  <si>
    <t>ORD106926</t>
  </si>
  <si>
    <t>ORD106927</t>
  </si>
  <si>
    <t>CUST2265</t>
  </si>
  <si>
    <t>ORD106928</t>
  </si>
  <si>
    <t>CUST2874</t>
  </si>
  <si>
    <t>ORD106929</t>
  </si>
  <si>
    <t>CUST9188</t>
  </si>
  <si>
    <t>ORD106930</t>
  </si>
  <si>
    <t>ORD106931</t>
  </si>
  <si>
    <t>ORD106932</t>
  </si>
  <si>
    <t>ORD106933</t>
  </si>
  <si>
    <t>CUST3290</t>
  </si>
  <si>
    <t>ORD106934</t>
  </si>
  <si>
    <t>ORD106935</t>
  </si>
  <si>
    <t>ORD106936</t>
  </si>
  <si>
    <t>CUST7260</t>
  </si>
  <si>
    <t>ORD106937</t>
  </si>
  <si>
    <t>CUST6915</t>
  </si>
  <si>
    <t>ORD106938</t>
  </si>
  <si>
    <t>CUST5952</t>
  </si>
  <si>
    <t>ORD106939</t>
  </si>
  <si>
    <t>CUST3942</t>
  </si>
  <si>
    <t>ORD106940</t>
  </si>
  <si>
    <t>ORD106941</t>
  </si>
  <si>
    <t>ORD106942</t>
  </si>
  <si>
    <t>ORD106943</t>
  </si>
  <si>
    <t>ORD106944</t>
  </si>
  <si>
    <t>ORD106945</t>
  </si>
  <si>
    <t>ORD106946</t>
  </si>
  <si>
    <t>CUST1407</t>
  </si>
  <si>
    <t>ORD106947</t>
  </si>
  <si>
    <t>ORD106948</t>
  </si>
  <si>
    <t>ORD106949</t>
  </si>
  <si>
    <t>CUST9646</t>
  </si>
  <si>
    <t>ORD106950</t>
  </si>
  <si>
    <t>ORD106951</t>
  </si>
  <si>
    <t>CUST6784</t>
  </si>
  <si>
    <t>ORD106952</t>
  </si>
  <si>
    <t>ORD106953</t>
  </si>
  <si>
    <t>ORD106954</t>
  </si>
  <si>
    <t>CUST3203</t>
  </si>
  <si>
    <t>ORD106955</t>
  </si>
  <si>
    <t>ORD106956</t>
  </si>
  <si>
    <t>ORD106957</t>
  </si>
  <si>
    <t>CUST9059</t>
  </si>
  <si>
    <t>ORD106958</t>
  </si>
  <si>
    <t>ORD106959</t>
  </si>
  <si>
    <t>ORD106960</t>
  </si>
  <si>
    <t>CUST9443</t>
  </si>
  <si>
    <t>ORD106961</t>
  </si>
  <si>
    <t>ORD106962</t>
  </si>
  <si>
    <t>CUST4552</t>
  </si>
  <si>
    <t>ORD106963</t>
  </si>
  <si>
    <t>ORD106964</t>
  </si>
  <si>
    <t>ORD106965</t>
  </si>
  <si>
    <t>ORD106966</t>
  </si>
  <si>
    <t>ORD106967</t>
  </si>
  <si>
    <t>CUST8293</t>
  </si>
  <si>
    <t>ORD106968</t>
  </si>
  <si>
    <t>CUST3316</t>
  </si>
  <si>
    <t>ORD106969</t>
  </si>
  <si>
    <t>ORD106970</t>
  </si>
  <si>
    <t>ORD106971</t>
  </si>
  <si>
    <t>ORD106972</t>
  </si>
  <si>
    <t>CUST8577</t>
  </si>
  <si>
    <t>ORD106973</t>
  </si>
  <si>
    <t>ORD106974</t>
  </si>
  <si>
    <t>ORD106975</t>
  </si>
  <si>
    <t>CUST2692</t>
  </si>
  <si>
    <t>ORD106976</t>
  </si>
  <si>
    <t>ORD106977</t>
  </si>
  <si>
    <t>ORD106978</t>
  </si>
  <si>
    <t>CUST4439</t>
  </si>
  <si>
    <t>ORD106979</t>
  </si>
  <si>
    <t>CUST6371</t>
  </si>
  <si>
    <t>ORD106980</t>
  </si>
  <si>
    <t>ORD106981</t>
  </si>
  <si>
    <t>ORD106982</t>
  </si>
  <si>
    <t>CUST4123</t>
  </si>
  <si>
    <t>ORD106983</t>
  </si>
  <si>
    <t>ORD106984</t>
  </si>
  <si>
    <t>ORD106985</t>
  </si>
  <si>
    <t>CUST1455</t>
  </si>
  <si>
    <t>ORD106986</t>
  </si>
  <si>
    <t>CUST6427</t>
  </si>
  <si>
    <t>ORD106987</t>
  </si>
  <si>
    <t>ORD106988</t>
  </si>
  <si>
    <t>ORD106989</t>
  </si>
  <si>
    <t>CUST3342</t>
  </si>
  <si>
    <t>ORD106990</t>
  </si>
  <si>
    <t>ORD106991</t>
  </si>
  <si>
    <t>CUST9876</t>
  </si>
  <si>
    <t>ORD106992</t>
  </si>
  <si>
    <t>CUST1393</t>
  </si>
  <si>
    <t>ORD106993</t>
  </si>
  <si>
    <t>ORD106994</t>
  </si>
  <si>
    <t>ORD106995</t>
  </si>
  <si>
    <t>ORD106996</t>
  </si>
  <si>
    <t>CUST7641</t>
  </si>
  <si>
    <t>ORD106997</t>
  </si>
  <si>
    <t>ORD106998</t>
  </si>
  <si>
    <t>CUST9368</t>
  </si>
  <si>
    <t>ORD106999</t>
  </si>
  <si>
    <t>CUST7152</t>
  </si>
  <si>
    <t>ORD107000</t>
  </si>
  <si>
    <t>CUST7700</t>
  </si>
  <si>
    <t>ORD107001</t>
  </si>
  <si>
    <t>CUST1206</t>
  </si>
  <si>
    <t>ORD107002</t>
  </si>
  <si>
    <t>CUST8413</t>
  </si>
  <si>
    <t>ORD107003</t>
  </si>
  <si>
    <t>ORD107004</t>
  </si>
  <si>
    <t>CUST9541</t>
  </si>
  <si>
    <t>ORD107005</t>
  </si>
  <si>
    <t>ORD107006</t>
  </si>
  <si>
    <t>ORD107007</t>
  </si>
  <si>
    <t>ORD107008</t>
  </si>
  <si>
    <t>ORD107009</t>
  </si>
  <si>
    <t>ORD107010</t>
  </si>
  <si>
    <t>ORD107011</t>
  </si>
  <si>
    <t>CUST7444</t>
  </si>
  <si>
    <t>ORD107012</t>
  </si>
  <si>
    <t>CUST9457</t>
  </si>
  <si>
    <t>ORD107013</t>
  </si>
  <si>
    <t>ORD107014</t>
  </si>
  <si>
    <t>CUST4012</t>
  </si>
  <si>
    <t>ORD107015</t>
  </si>
  <si>
    <t>ORD107016</t>
  </si>
  <si>
    <t>CUST7286</t>
  </si>
  <si>
    <t>ORD107017</t>
  </si>
  <si>
    <t>ORD107018</t>
  </si>
  <si>
    <t>CUST1039</t>
  </si>
  <si>
    <t>ORD107019</t>
  </si>
  <si>
    <t>ORD107020</t>
  </si>
  <si>
    <t>ORD107021</t>
  </si>
  <si>
    <t>ORD107022</t>
  </si>
  <si>
    <t>ORD107023</t>
  </si>
  <si>
    <t>CUST9427</t>
  </si>
  <si>
    <t>ORD107024</t>
  </si>
  <si>
    <t>ORD107025</t>
  </si>
  <si>
    <t>ORD107026</t>
  </si>
  <si>
    <t>ORD107027</t>
  </si>
  <si>
    <t>ORD107028</t>
  </si>
  <si>
    <t>ORD107029</t>
  </si>
  <si>
    <t>ORD107030</t>
  </si>
  <si>
    <t>CUST5631</t>
  </si>
  <si>
    <t>ORD107031</t>
  </si>
  <si>
    <t>ORD107032</t>
  </si>
  <si>
    <t>CUST4265</t>
  </si>
  <si>
    <t>ORD107033</t>
  </si>
  <si>
    <t>CUST9996</t>
  </si>
  <si>
    <t>ORD107034</t>
  </si>
  <si>
    <t>ORD107035</t>
  </si>
  <si>
    <t>ORD107036</t>
  </si>
  <si>
    <t>ORD107037</t>
  </si>
  <si>
    <t>ORD107038</t>
  </si>
  <si>
    <t>ORD107039</t>
  </si>
  <si>
    <t>ORD107040</t>
  </si>
  <si>
    <t>CUST3563</t>
  </si>
  <si>
    <t>ORD107041</t>
  </si>
  <si>
    <t>CUST7173</t>
  </si>
  <si>
    <t>ORD107042</t>
  </si>
  <si>
    <t>CUST7181</t>
  </si>
  <si>
    <t>ORD107043</t>
  </si>
  <si>
    <t>CUST1993</t>
  </si>
  <si>
    <t>ORD107044</t>
  </si>
  <si>
    <t>CUST2756</t>
  </si>
  <si>
    <t>ORD107045</t>
  </si>
  <si>
    <t>ORD107046</t>
  </si>
  <si>
    <t>CUST5027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</si>
  <si>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</si>
  <si>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</si>
  <si>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</si>
  <si>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</si>
  <si>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</si>
  <si>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</si>
  <si>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</si>
  <si>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</si>
  <si>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</si>
  <si>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CUST6495</t>
  </si>
  <si>
    <t>ORD107056</t>
  </si>
  <si>
    <t>CUST5488</t>
  </si>
  <si>
    <t>ORD107057</t>
  </si>
  <si>
    <t>CUST2937</t>
  </si>
  <si>
    <t>ORD107058</t>
  </si>
  <si>
    <t>CUST5385</t>
  </si>
  <si>
    <t>ORD107059</t>
  </si>
  <si>
    <t>ORD107060</t>
  </si>
  <si>
    <t>ORD107061</t>
  </si>
  <si>
    <t>CUST8809</t>
  </si>
  <si>
    <t>ORD107062</t>
  </si>
  <si>
    <t>ORD107063</t>
  </si>
  <si>
    <t>CUST8982</t>
  </si>
  <si>
    <t>ORD107064</t>
  </si>
  <si>
    <t>CUST1497</t>
  </si>
  <si>
    <t>ORD107065</t>
  </si>
  <si>
    <t>ORD107066</t>
  </si>
  <si>
    <t>CUST7144</t>
  </si>
  <si>
    <t>ORD107067</t>
  </si>
  <si>
    <t>ORD107068</t>
  </si>
  <si>
    <t>CUST9805</t>
  </si>
  <si>
    <t>ORD107069</t>
  </si>
  <si>
    <t>CUST2071</t>
  </si>
  <si>
    <t>ORD107070</t>
  </si>
  <si>
    <t>ORD107071</t>
  </si>
  <si>
    <t>ORD107072</t>
  </si>
  <si>
    <t>ORD107073</t>
  </si>
  <si>
    <t>CUST3732</t>
  </si>
  <si>
    <t>ORD107074</t>
  </si>
  <si>
    <t>CUST3745</t>
  </si>
  <si>
    <t>ORD107075</t>
  </si>
  <si>
    <t>ORD107076</t>
  </si>
  <si>
    <t>ORD107077</t>
  </si>
  <si>
    <t>CUST5154</t>
  </si>
  <si>
    <t>ORD107078</t>
  </si>
  <si>
    <t>ORD107079</t>
  </si>
  <si>
    <t>CUST4269</t>
  </si>
  <si>
    <t>ORD107080</t>
  </si>
  <si>
    <t>CUST3216</t>
  </si>
  <si>
    <t>ORD107081</t>
  </si>
  <si>
    <t>ORD107082</t>
  </si>
  <si>
    <t>CUST6254</t>
  </si>
  <si>
    <t>ORD107083</t>
  </si>
  <si>
    <t>ORD107084</t>
  </si>
  <si>
    <t>ORD107085</t>
  </si>
  <si>
    <t>CUST4160</t>
  </si>
  <si>
    <t>ORD107086</t>
  </si>
  <si>
    <t>CUST3127</t>
  </si>
  <si>
    <t>ORD107087</t>
  </si>
  <si>
    <t>CUST1108</t>
  </si>
  <si>
    <t>ORD107088</t>
  </si>
  <si>
    <t>ORD107089</t>
  </si>
  <si>
    <t>ORD107090</t>
  </si>
  <si>
    <t>ORD107091</t>
  </si>
  <si>
    <t>ORD107092</t>
  </si>
  <si>
    <t>CUST3442</t>
  </si>
  <si>
    <t>ORD107093</t>
  </si>
  <si>
    <t>CUST7128</t>
  </si>
  <si>
    <t>ORD107094</t>
  </si>
  <si>
    <t>CUST6788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</si>
  <si>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</si>
  <si>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</si>
  <si>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</si>
  <si>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</si>
  <si>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</si>
  <si>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</si>
  <si>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</si>
  <si>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</si>
  <si>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CUST2979</t>
  </si>
  <si>
    <t>ORD107103</t>
  </si>
  <si>
    <t>ORD107104</t>
  </si>
  <si>
    <t>CUST4228</t>
  </si>
  <si>
    <t>ORD107105</t>
  </si>
  <si>
    <t>ORD107106</t>
  </si>
  <si>
    <t>ORD107107</t>
  </si>
  <si>
    <t>ORD107108</t>
  </si>
  <si>
    <t>ORD107109</t>
  </si>
  <si>
    <t>ORD107110</t>
  </si>
  <si>
    <t>CUST5247</t>
  </si>
  <si>
    <t>ORD107111</t>
  </si>
  <si>
    <t>ORD107112</t>
  </si>
  <si>
    <t>CUST1843</t>
  </si>
  <si>
    <t>ORD107113</t>
  </si>
  <si>
    <t>CUST3932</t>
  </si>
  <si>
    <t>ORD107114</t>
  </si>
  <si>
    <t>ORD107115</t>
  </si>
  <si>
    <t>ORD107116</t>
  </si>
  <si>
    <t>ORD107117</t>
  </si>
  <si>
    <t>CUST2933</t>
  </si>
  <si>
    <t>ORD107118</t>
  </si>
  <si>
    <t>CUST2641</t>
  </si>
  <si>
    <t>ORD107119</t>
  </si>
  <si>
    <t>ORD107120</t>
  </si>
  <si>
    <t>ORD107121</t>
  </si>
  <si>
    <t>ORD107122</t>
  </si>
  <si>
    <t>ORD107123</t>
  </si>
  <si>
    <t>ORD107124</t>
  </si>
  <si>
    <t>CUST1432</t>
  </si>
  <si>
    <t>ORD107125</t>
  </si>
  <si>
    <t>CUST2022</t>
  </si>
  <si>
    <t>ORD107126</t>
  </si>
  <si>
    <t>ORD107127</t>
  </si>
  <si>
    <t>CUST8554</t>
  </si>
  <si>
    <t>ORD107128</t>
  </si>
  <si>
    <t>CUST8747</t>
  </si>
  <si>
    <t>ORD107129</t>
  </si>
  <si>
    <t>ORD107130</t>
  </si>
  <si>
    <t>CUST8355</t>
  </si>
  <si>
    <t>ORD107131</t>
  </si>
  <si>
    <t>ORD107132</t>
  </si>
  <si>
    <t>ORD107133</t>
  </si>
  <si>
    <t>ORD107134</t>
  </si>
  <si>
    <t>CUST3479</t>
  </si>
  <si>
    <t>ORD107135</t>
  </si>
  <si>
    <t>ORD107136</t>
  </si>
  <si>
    <t>ORD107137</t>
  </si>
  <si>
    <t>CUST8525</t>
  </si>
  <si>
    <t>ORD107138</t>
  </si>
  <si>
    <t>ORD107139</t>
  </si>
  <si>
    <t>CUST5927</t>
  </si>
  <si>
    <t>ORD107140</t>
  </si>
  <si>
    <t>ORD107141</t>
  </si>
  <si>
    <t>ORD107142</t>
  </si>
  <si>
    <t>ORD107143</t>
  </si>
  <si>
    <t>CUST7308</t>
  </si>
  <si>
    <t>ORD107144</t>
  </si>
  <si>
    <t>CUST1730</t>
  </si>
  <si>
    <t>ORD107145</t>
  </si>
  <si>
    <t>CUST5028</t>
  </si>
  <si>
    <t>ORD107146</t>
  </si>
  <si>
    <t>CUST7361</t>
  </si>
  <si>
    <t>ORD107147</t>
  </si>
  <si>
    <t>ORD107148</t>
  </si>
  <si>
    <t>ORD107149</t>
  </si>
  <si>
    <t>ORD107150</t>
  </si>
  <si>
    <t>ORD107151</t>
  </si>
  <si>
    <t>CUST9666</t>
  </si>
  <si>
    <t>ORD107152</t>
  </si>
  <si>
    <t>ORD107153</t>
  </si>
  <si>
    <t>CUST1188</t>
  </si>
  <si>
    <t>ORD107154</t>
  </si>
  <si>
    <t>ORD107155</t>
  </si>
  <si>
    <t>CUST7117</t>
  </si>
  <si>
    <t>ORD107156</t>
  </si>
  <si>
    <t>ORD107157</t>
  </si>
  <si>
    <t>ORD107158</t>
  </si>
  <si>
    <t>CUST5994</t>
  </si>
  <si>
    <t>ORD107159</t>
  </si>
  <si>
    <t>ORD107160</t>
  </si>
  <si>
    <t>CUST2115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</si>
  <si>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</si>
  <si>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</si>
  <si>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</si>
  <si>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</si>
  <si>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</si>
  <si>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</si>
  <si>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</si>
  <si>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</si>
  <si>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CUST6263</t>
  </si>
  <si>
    <t>ORD107169</t>
  </si>
  <si>
    <t>CUST6545</t>
  </si>
  <si>
    <t>ORD107170</t>
  </si>
  <si>
    <t>CUST8706</t>
  </si>
  <si>
    <t>ORD107171</t>
  </si>
  <si>
    <t>CUST5375</t>
  </si>
  <si>
    <t>ORD107172</t>
  </si>
  <si>
    <t>CUST6765</t>
  </si>
  <si>
    <t>ORD107173</t>
  </si>
  <si>
    <t>ORD107174</t>
  </si>
  <si>
    <t>CUST4375</t>
  </si>
  <si>
    <t>ORD107175</t>
  </si>
  <si>
    <t>ORD107176</t>
  </si>
  <si>
    <t>CUST6290</t>
  </si>
  <si>
    <t>ORD107177</t>
  </si>
  <si>
    <t>ORD107178</t>
  </si>
  <si>
    <t>ORD107179</t>
  </si>
  <si>
    <t>CUST7327</t>
  </si>
  <si>
    <t>ORD107180</t>
  </si>
  <si>
    <t>CUST5671</t>
  </si>
  <si>
    <t>ORD107181</t>
  </si>
  <si>
    <t>ORD107182</t>
  </si>
  <si>
    <t>CUST8803</t>
  </si>
  <si>
    <t>ORD107183</t>
  </si>
  <si>
    <t>ORD107184</t>
  </si>
  <si>
    <t>ORD107185</t>
  </si>
  <si>
    <t>ORD107186</t>
  </si>
  <si>
    <t>CUST3480</t>
  </si>
  <si>
    <t>ORD107187</t>
  </si>
  <si>
    <t>CUST1131</t>
  </si>
  <si>
    <t>ORD107188</t>
  </si>
  <si>
    <t>ORD107189</t>
  </si>
  <si>
    <t>CUST9776</t>
  </si>
  <si>
    <t>ORD107190</t>
  </si>
  <si>
    <t>ORD107191</t>
  </si>
  <si>
    <t>CUST1068</t>
  </si>
  <si>
    <t>ORD107192</t>
  </si>
  <si>
    <t>ORD107193</t>
  </si>
  <si>
    <t>ORD107194</t>
  </si>
  <si>
    <t>ORD107195</t>
  </si>
  <si>
    <t>ORD107196</t>
  </si>
  <si>
    <t>ORD107197</t>
  </si>
  <si>
    <t>CUST6703</t>
  </si>
  <si>
    <t>ORD107198</t>
  </si>
  <si>
    <t>ORD107199</t>
  </si>
  <si>
    <t>ORD107200</t>
  </si>
  <si>
    <t>CUST7418</t>
  </si>
  <si>
    <t>ORD107201</t>
  </si>
  <si>
    <t>CUST3327</t>
  </si>
  <si>
    <t>ORD107202</t>
  </si>
  <si>
    <t>CUST2988</t>
  </si>
  <si>
    <t>ORD107203</t>
  </si>
  <si>
    <t>ORD107204</t>
  </si>
  <si>
    <t>CUST5462</t>
  </si>
  <si>
    <t>ORD107205</t>
  </si>
  <si>
    <t>CUST4494</t>
  </si>
  <si>
    <t>ORD107206</t>
  </si>
  <si>
    <t>ORD107207</t>
  </si>
  <si>
    <t>ORD107208</t>
  </si>
  <si>
    <t>CUST5538</t>
  </si>
  <si>
    <t>ORD107209</t>
  </si>
  <si>
    <t>CUST4955</t>
  </si>
  <si>
    <t>ORD107210</t>
  </si>
  <si>
    <t>CUST8357</t>
  </si>
  <si>
    <t>ORD107211</t>
  </si>
  <si>
    <t>ORD107212</t>
  </si>
  <si>
    <t>CUST9813</t>
  </si>
  <si>
    <t>ORD107213</t>
  </si>
  <si>
    <t>CUST6292</t>
  </si>
  <si>
    <t>ORD107214</t>
  </si>
  <si>
    <t>CUST7266</t>
  </si>
  <si>
    <t>ORD107215</t>
  </si>
  <si>
    <t>CUST8860</t>
  </si>
  <si>
    <t>ORD107216</t>
  </si>
  <si>
    <t>CUST3460</t>
  </si>
  <si>
    <t>ORD107217</t>
  </si>
  <si>
    <t>ORD107218</t>
  </si>
  <si>
    <t>CUST3185</t>
  </si>
  <si>
    <t>ORD107219</t>
  </si>
  <si>
    <t>ORD107220</t>
  </si>
  <si>
    <t>CUST4296</t>
  </si>
  <si>
    <t>ORD107221</t>
  </si>
  <si>
    <t>CUST3704</t>
  </si>
  <si>
    <t>ORD107222</t>
  </si>
  <si>
    <t>CUST1217</t>
  </si>
  <si>
    <t>ORD107223</t>
  </si>
  <si>
    <t>CUST4780</t>
  </si>
  <si>
    <t>ORD107224</t>
  </si>
  <si>
    <t>ORD107225</t>
  </si>
  <si>
    <t>CUST2127</t>
  </si>
  <si>
    <t>ORD107226</t>
  </si>
  <si>
    <t>ORD107227</t>
  </si>
  <si>
    <t>ORD107228</t>
  </si>
  <si>
    <t>CUST2751</t>
  </si>
  <si>
    <t>ORD107229</t>
  </si>
  <si>
    <t>CUST5759</t>
  </si>
  <si>
    <t>ORD107230</t>
  </si>
  <si>
    <t>ORD107231</t>
  </si>
  <si>
    <t>ORD107232</t>
  </si>
  <si>
    <t>CUST1016</t>
  </si>
  <si>
    <t>ORD107233</t>
  </si>
  <si>
    <t>CUST2950</t>
  </si>
  <si>
    <t>ORD107234</t>
  </si>
  <si>
    <t>CUST4392</t>
  </si>
  <si>
    <t>ORD107235</t>
  </si>
  <si>
    <t>CUST8016</t>
  </si>
  <si>
    <t>ORD107236</t>
  </si>
  <si>
    <t>ORD107237</t>
  </si>
  <si>
    <t>ORD107238</t>
  </si>
  <si>
    <t>CUST2441</t>
  </si>
  <si>
    <t>ORD107239</t>
  </si>
  <si>
    <t>CUST2659</t>
  </si>
  <si>
    <t>ORD107240</t>
  </si>
  <si>
    <t>CUST9131</t>
  </si>
  <si>
    <t>ORD107241</t>
  </si>
  <si>
    <t>CUST5871</t>
  </si>
  <si>
    <t>ORD107242</t>
  </si>
  <si>
    <t>CUST7249</t>
  </si>
  <si>
    <t>ORD107243</t>
  </si>
  <si>
    <t>CUST6353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</si>
  <si>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</si>
  <si>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</si>
  <si>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</si>
  <si>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</si>
  <si>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</si>
  <si>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</si>
  <si>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</si>
  <si>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</si>
  <si>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CUST1663</t>
  </si>
  <si>
    <t>ORD107252</t>
  </si>
  <si>
    <t>CUST2097</t>
  </si>
  <si>
    <t>ORD107253</t>
  </si>
  <si>
    <t>CUST4388</t>
  </si>
  <si>
    <t>ORD107254</t>
  </si>
  <si>
    <t>ORD107255</t>
  </si>
  <si>
    <t>CUST8011</t>
  </si>
  <si>
    <t>ORD107256</t>
  </si>
  <si>
    <t>CUST6054</t>
  </si>
  <si>
    <t>ORD107257</t>
  </si>
  <si>
    <t>ORD107258</t>
  </si>
  <si>
    <t>ORD107259</t>
  </si>
  <si>
    <t>CUST6539</t>
  </si>
  <si>
    <t>ORD107260</t>
  </si>
  <si>
    <t>CUST5707</t>
  </si>
  <si>
    <t>ORD107261</t>
  </si>
  <si>
    <t>CUST6429</t>
  </si>
  <si>
    <t>ORD107262</t>
  </si>
  <si>
    <t>ORD107263</t>
  </si>
  <si>
    <t>ORD107264</t>
  </si>
  <si>
    <t>ORD107265</t>
  </si>
  <si>
    <t>CUST3864</t>
  </si>
  <si>
    <t>ORD107266</t>
  </si>
  <si>
    <t>ORD107267</t>
  </si>
  <si>
    <t>ORD107268</t>
  </si>
  <si>
    <t>CUST1552</t>
  </si>
  <si>
    <t>ORD107269</t>
  </si>
  <si>
    <t>CUST6194</t>
  </si>
  <si>
    <t>ORD107270</t>
  </si>
  <si>
    <t>ORD107271</t>
  </si>
  <si>
    <t>CUST6328</t>
  </si>
  <si>
    <t>ORD107272</t>
  </si>
  <si>
    <t>ORD107273</t>
  </si>
  <si>
    <t>ORD107274</t>
  </si>
  <si>
    <t>ORD107275</t>
  </si>
  <si>
    <t>CUST9397</t>
  </si>
  <si>
    <t>ORD107276</t>
  </si>
  <si>
    <t>ORD107277</t>
  </si>
  <si>
    <t>ORD107278</t>
  </si>
  <si>
    <t>CUST6133</t>
  </si>
  <si>
    <t>ORD107279</t>
  </si>
  <si>
    <t>ORD107280</t>
  </si>
  <si>
    <t>CUST1465</t>
  </si>
  <si>
    <t>ORD107281</t>
  </si>
  <si>
    <t>CUST8533</t>
  </si>
  <si>
    <t>ORD107282</t>
  </si>
  <si>
    <t>ORD107283</t>
  </si>
  <si>
    <t>ORD107284</t>
  </si>
  <si>
    <t>CUST1945</t>
  </si>
  <si>
    <t>ORD107285</t>
  </si>
  <si>
    <t>CUST3773</t>
  </si>
  <si>
    <t>ORD107286</t>
  </si>
  <si>
    <t>CUST4727</t>
  </si>
  <si>
    <t>ORD107287</t>
  </si>
  <si>
    <t>CUST5886</t>
  </si>
  <si>
    <t>ORD107288</t>
  </si>
  <si>
    <t>ORD107289</t>
  </si>
  <si>
    <t>ORD107290</t>
  </si>
  <si>
    <t>ORD107291</t>
  </si>
  <si>
    <t>CUST4657</t>
  </si>
  <si>
    <t>ORD107292</t>
  </si>
  <si>
    <t>ORD107293</t>
  </si>
  <si>
    <t>CUST7140</t>
  </si>
  <si>
    <t>ORD107294</t>
  </si>
  <si>
    <t>ORD107295</t>
  </si>
  <si>
    <t>CUST5494</t>
  </si>
  <si>
    <t>ORD107296</t>
  </si>
  <si>
    <t>ORD107297</t>
  </si>
  <si>
    <t>CUST6994</t>
  </si>
  <si>
    <t>ORD107298</t>
  </si>
  <si>
    <t>CUST4246</t>
  </si>
  <si>
    <t>ORD107299</t>
  </si>
  <si>
    <t>CUST8292</t>
  </si>
  <si>
    <t>ORD107300</t>
  </si>
  <si>
    <t>ORD107301</t>
  </si>
  <si>
    <t>ORD107302</t>
  </si>
  <si>
    <t>ORD107303</t>
  </si>
  <si>
    <t>ORD107304</t>
  </si>
  <si>
    <t>ORD107305</t>
  </si>
  <si>
    <t>CUST5769</t>
  </si>
  <si>
    <t>ORD107306</t>
  </si>
  <si>
    <t>ORD107307</t>
  </si>
  <si>
    <t>CUST1515</t>
  </si>
  <si>
    <t>ORD107308</t>
  </si>
  <si>
    <t>CUST8350</t>
  </si>
  <si>
    <t>ORD107309</t>
  </si>
  <si>
    <t>ORD107310</t>
  </si>
  <si>
    <t>ORD107311</t>
  </si>
  <si>
    <t>CUST4223</t>
  </si>
  <si>
    <t>ORD107312</t>
  </si>
  <si>
    <t>CUST1988</t>
  </si>
  <si>
    <t>ORD107313</t>
  </si>
  <si>
    <t>ORD107314</t>
  </si>
  <si>
    <t>ORD107315</t>
  </si>
  <si>
    <t>CUST6474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</si>
  <si>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</si>
  <si>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</si>
  <si>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</si>
  <si>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</si>
  <si>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</si>
  <si>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</si>
  <si>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</si>
  <si>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</si>
  <si>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</si>
  <si>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</si>
  <si>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</si>
  <si>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</si>
  <si>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CUST3892</t>
  </si>
  <si>
    <t>ORD107328</t>
  </si>
  <si>
    <t>CUST1266</t>
  </si>
  <si>
    <t>ORD107329</t>
  </si>
  <si>
    <t>CUST8205</t>
  </si>
  <si>
    <t>ORD107330</t>
  </si>
  <si>
    <t>CUST7407</t>
  </si>
  <si>
    <t>ORD107331</t>
  </si>
  <si>
    <t>CUST6329</t>
  </si>
  <si>
    <t>ORD107332</t>
  </si>
  <si>
    <t>ORD107333</t>
  </si>
  <si>
    <t>ORD107334</t>
  </si>
  <si>
    <t>CUST4145</t>
  </si>
  <si>
    <t>ORD107335</t>
  </si>
  <si>
    <t>ORD107336</t>
  </si>
  <si>
    <t>CUST5995</t>
  </si>
  <si>
    <t>ORD107337</t>
  </si>
  <si>
    <t>ORD107338</t>
  </si>
  <si>
    <t>ORD107339</t>
  </si>
  <si>
    <t>CUST7497</t>
  </si>
  <si>
    <t>ORD107340</t>
  </si>
  <si>
    <t>CUST6460</t>
  </si>
  <si>
    <t>ORD107341</t>
  </si>
  <si>
    <t>CUST6997</t>
  </si>
  <si>
    <t>ORD107342</t>
  </si>
  <si>
    <t>ORD107343</t>
  </si>
  <si>
    <t>ORD107344</t>
  </si>
  <si>
    <t>CUST2043</t>
  </si>
  <si>
    <t>ORD107345</t>
  </si>
  <si>
    <t>ORD107346</t>
  </si>
  <si>
    <t>ORD107347</t>
  </si>
  <si>
    <t>ORD107348</t>
  </si>
  <si>
    <t>CUST1637</t>
  </si>
  <si>
    <t>ORD107349</t>
  </si>
  <si>
    <t>ORD107350</t>
  </si>
  <si>
    <t>ORD107351</t>
  </si>
  <si>
    <t>ORD107352</t>
  </si>
  <si>
    <t>CUST6771</t>
  </si>
  <si>
    <t>ORD107353</t>
  </si>
  <si>
    <t>ORD107354</t>
  </si>
  <si>
    <t>ORD107355</t>
  </si>
  <si>
    <t>CUST9203</t>
  </si>
  <si>
    <t>ORD107356</t>
  </si>
  <si>
    <t>CUST5825</t>
  </si>
  <si>
    <t>ORD107357</t>
  </si>
  <si>
    <t>CUST3528</t>
  </si>
  <si>
    <t>ORD107358</t>
  </si>
  <si>
    <t>CUST4668</t>
  </si>
  <si>
    <t>ORD107359</t>
  </si>
  <si>
    <t>CUST3724</t>
  </si>
  <si>
    <t>ORD107360</t>
  </si>
  <si>
    <t>CUST4222</t>
  </si>
  <si>
    <t>ORD107361</t>
  </si>
  <si>
    <t>CUST4583</t>
  </si>
  <si>
    <t>ORD107362</t>
  </si>
  <si>
    <t>ORD107363</t>
  </si>
  <si>
    <t>CUST4226</t>
  </si>
  <si>
    <t>ORD107364</t>
  </si>
  <si>
    <t>CUST3816</t>
  </si>
  <si>
    <t>ORD107365</t>
  </si>
  <si>
    <t>CUST3617</t>
  </si>
  <si>
    <t>ORD107366</t>
  </si>
  <si>
    <t>ORD107367</t>
  </si>
  <si>
    <t>ORD107368</t>
  </si>
  <si>
    <t>ORD107369</t>
  </si>
  <si>
    <t>ORD107370</t>
  </si>
  <si>
    <t>CUST2758</t>
  </si>
  <si>
    <t>ORD107371</t>
  </si>
  <si>
    <t>ORD107372</t>
  </si>
  <si>
    <t>CUST5340</t>
  </si>
  <si>
    <t>ORD107373</t>
  </si>
  <si>
    <t>CUST2571</t>
  </si>
  <si>
    <t>ORD107374</t>
  </si>
  <si>
    <t>CUST3224</t>
  </si>
  <si>
    <t>ORD107375</t>
  </si>
  <si>
    <t>CUST7456</t>
  </si>
  <si>
    <t>ORD107376</t>
  </si>
  <si>
    <t>ORD107377</t>
  </si>
  <si>
    <t>ORD107378</t>
  </si>
  <si>
    <t>CUST9588</t>
  </si>
  <si>
    <t>ORD107379</t>
  </si>
  <si>
    <t>CUST8903</t>
  </si>
  <si>
    <t>ORD107380</t>
  </si>
  <si>
    <t>ORD107381</t>
  </si>
  <si>
    <t>CUST8152</t>
  </si>
  <si>
    <t>ORD107382</t>
  </si>
  <si>
    <t>ORD107383</t>
  </si>
  <si>
    <t>CUST4263</t>
  </si>
  <si>
    <t>ORD107384</t>
  </si>
  <si>
    <t>ORD107385</t>
  </si>
  <si>
    <t>ORD107386</t>
  </si>
  <si>
    <t>ORD107387</t>
  </si>
  <si>
    <t>ORD107388</t>
  </si>
  <si>
    <t>ORD107389</t>
  </si>
  <si>
    <t>CUST1998</t>
  </si>
  <si>
    <t>ORD107390</t>
  </si>
  <si>
    <t>CUST4195</t>
  </si>
  <si>
    <t>ORD107391</t>
  </si>
  <si>
    <t>CUST7750</t>
  </si>
  <si>
    <t>ORD107392</t>
  </si>
  <si>
    <t>CUST4389</t>
  </si>
  <si>
    <t>ORD107393</t>
  </si>
  <si>
    <t>ORD107394</t>
  </si>
  <si>
    <t>ORD107395</t>
  </si>
  <si>
    <t>ORD107396</t>
  </si>
  <si>
    <t>CUST3226</t>
  </si>
  <si>
    <t>ORD107397</t>
  </si>
  <si>
    <t>ORD107398</t>
  </si>
  <si>
    <t>ORD107399</t>
  </si>
  <si>
    <t>CUST1621</t>
  </si>
  <si>
    <t>ORD107400</t>
  </si>
  <si>
    <t>ORD107401</t>
  </si>
  <si>
    <t>ORD107402</t>
  </si>
  <si>
    <t>ORD107403</t>
  </si>
  <si>
    <t>ORD107404</t>
  </si>
  <si>
    <t>ORD107405</t>
  </si>
  <si>
    <t>ORD107406</t>
  </si>
  <si>
    <t>CUST9799</t>
  </si>
  <si>
    <t>ORD107407</t>
  </si>
  <si>
    <t>ORD107408</t>
  </si>
  <si>
    <t>CUST2202</t>
  </si>
  <si>
    <t>ORD107409</t>
  </si>
  <si>
    <t>CUST3194</t>
  </si>
  <si>
    <t>ORD107410</t>
  </si>
  <si>
    <t>ORD107411</t>
  </si>
  <si>
    <t>ORD107412</t>
  </si>
  <si>
    <t>ORD107413</t>
  </si>
  <si>
    <t>ORD107414</t>
  </si>
  <si>
    <t>ORD107415</t>
  </si>
  <si>
    <t>CUST5058</t>
  </si>
  <si>
    <t>ORD107416</t>
  </si>
  <si>
    <t>CUST7862</t>
  </si>
  <si>
    <t>ORD107417</t>
  </si>
  <si>
    <t>CUST2754</t>
  </si>
  <si>
    <t>ORD107418</t>
  </si>
  <si>
    <t>ORD107419</t>
  </si>
  <si>
    <t>ORD107420</t>
  </si>
  <si>
    <t>CUST8564</t>
  </si>
  <si>
    <t>ORD107421</t>
  </si>
  <si>
    <t>CUST3658</t>
  </si>
  <si>
    <t>ORD107422</t>
  </si>
  <si>
    <t>CUST8150</t>
  </si>
  <si>
    <t>ORD107423</t>
  </si>
  <si>
    <t>CUST3285</t>
  </si>
  <si>
    <t>ORD107424</t>
  </si>
  <si>
    <t>CUST6563</t>
  </si>
  <si>
    <t>ORD107425</t>
  </si>
  <si>
    <t>CUST3727</t>
  </si>
  <si>
    <t>ORD107426</t>
  </si>
  <si>
    <t>ORD107427</t>
  </si>
  <si>
    <t>CUST2558</t>
  </si>
  <si>
    <t>ORD107428</t>
  </si>
  <si>
    <t>ORD107429</t>
  </si>
  <si>
    <t>CUST5584</t>
  </si>
  <si>
    <t>ORD107430</t>
  </si>
  <si>
    <t>ORD107431</t>
  </si>
  <si>
    <t>ORD107432</t>
  </si>
  <si>
    <t>ORD107433</t>
  </si>
  <si>
    <t>CUST5485</t>
  </si>
  <si>
    <t>ORD107434</t>
  </si>
  <si>
    <t>ORD107435</t>
  </si>
  <si>
    <t>CUST2227</t>
  </si>
  <si>
    <t>ORD107436</t>
  </si>
  <si>
    <t>CUST9506</t>
  </si>
  <si>
    <t>ORD107437</t>
  </si>
  <si>
    <t>ORD107438</t>
  </si>
  <si>
    <t>ORD107439</t>
  </si>
  <si>
    <t>ORD107440</t>
  </si>
  <si>
    <t>ORD107441</t>
  </si>
  <si>
    <t>CUST6710</t>
  </si>
  <si>
    <t>ORD107442</t>
  </si>
  <si>
    <t>ORD107443</t>
  </si>
  <si>
    <t>CUST2498</t>
  </si>
  <si>
    <t>ORD107444</t>
  </si>
  <si>
    <t>CUST9097</t>
  </si>
  <si>
    <t>ORD107445</t>
  </si>
  <si>
    <t>ORD107446</t>
  </si>
  <si>
    <t>ORD107447</t>
  </si>
  <si>
    <t>ORD107448</t>
  </si>
  <si>
    <t>ORD107449</t>
  </si>
  <si>
    <t>CUST6430</t>
  </si>
  <si>
    <t>ORD107450</t>
  </si>
  <si>
    <t>ORD107451</t>
  </si>
  <si>
    <t>ORD107452</t>
  </si>
  <si>
    <t>ORD107453</t>
  </si>
  <si>
    <t>CUST6406</t>
  </si>
  <si>
    <t>ORD107454</t>
  </si>
  <si>
    <t>CUST2819</t>
  </si>
  <si>
    <t>ORD107455</t>
  </si>
  <si>
    <t>ORD107456</t>
  </si>
  <si>
    <t>ORD107457</t>
  </si>
  <si>
    <t>CUST3995</t>
  </si>
  <si>
    <t>ORD107458</t>
  </si>
  <si>
    <t>CUST2737</t>
  </si>
  <si>
    <t>ORD107459</t>
  </si>
  <si>
    <t>CUST1667</t>
  </si>
  <si>
    <t>ORD107460</t>
  </si>
  <si>
    <t>ORD107461</t>
  </si>
  <si>
    <t>CUST9668</t>
  </si>
  <si>
    <t>ORD107462</t>
  </si>
  <si>
    <t>ORD107463</t>
  </si>
  <si>
    <t>ORD107464</t>
  </si>
  <si>
    <t>ORD107465</t>
  </si>
  <si>
    <t>CUST3545</t>
  </si>
  <si>
    <t>ORD107466</t>
  </si>
  <si>
    <t>CUST8561</t>
  </si>
  <si>
    <t>ORD107467</t>
  </si>
  <si>
    <t>ORD107468</t>
  </si>
  <si>
    <t>ORD107469</t>
  </si>
  <si>
    <t>ORD107470</t>
  </si>
  <si>
    <t>ORD107471</t>
  </si>
  <si>
    <t>ORD107472</t>
  </si>
  <si>
    <t>ORD107473</t>
  </si>
  <si>
    <t>CUST6110</t>
  </si>
  <si>
    <t>ORD107474</t>
  </si>
  <si>
    <t>ORD107475</t>
  </si>
  <si>
    <t>ORD107476</t>
  </si>
  <si>
    <t>CUST5956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</si>
  <si>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</si>
  <si>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</si>
  <si>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</si>
  <si>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</si>
  <si>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</si>
  <si>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</si>
  <si>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</si>
  <si>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</si>
  <si>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CUST5483</t>
  </si>
  <si>
    <t>ORD107485</t>
  </si>
  <si>
    <t>CUST5813</t>
  </si>
  <si>
    <t>ORD107486</t>
  </si>
  <si>
    <t>ORD107487</t>
  </si>
  <si>
    <t>CUST4130</t>
  </si>
  <si>
    <t>ORD107488</t>
  </si>
  <si>
    <t>CUST8398</t>
  </si>
  <si>
    <t>ORD107489</t>
  </si>
  <si>
    <t>CUST6404</t>
  </si>
  <si>
    <t>ORD107490</t>
  </si>
  <si>
    <t>CUST1819</t>
  </si>
  <si>
    <t>ORD107491</t>
  </si>
  <si>
    <t>ORD107492</t>
  </si>
  <si>
    <t>ORD107493</t>
  </si>
  <si>
    <t>ORD107494</t>
  </si>
  <si>
    <t>ORD107495</t>
  </si>
  <si>
    <t>CUST9739</t>
  </si>
  <si>
    <t>ORD107496</t>
  </si>
  <si>
    <t>CUST5471</t>
  </si>
  <si>
    <t>ORD107497</t>
  </si>
  <si>
    <t>ORD107498</t>
  </si>
  <si>
    <t>ORD107499</t>
  </si>
  <si>
    <t>ORD107500</t>
  </si>
  <si>
    <t>ORD107501</t>
  </si>
  <si>
    <t>ORD107502</t>
  </si>
  <si>
    <t>ORD107503</t>
  </si>
  <si>
    <t>CUST2158</t>
  </si>
  <si>
    <t>ORD107504</t>
  </si>
  <si>
    <t>ORD107505</t>
  </si>
  <si>
    <t>CUST6102</t>
  </si>
  <si>
    <t>ORD107506</t>
  </si>
  <si>
    <t>CUST5149</t>
  </si>
  <si>
    <t>ORD107507</t>
  </si>
  <si>
    <t>ORD107508</t>
  </si>
  <si>
    <t>ORD107509</t>
  </si>
  <si>
    <t>ORD107510</t>
  </si>
  <si>
    <t>CUST1314</t>
  </si>
  <si>
    <t>ORD107511</t>
  </si>
  <si>
    <t>CUST9510</t>
  </si>
  <si>
    <t>ORD107512</t>
  </si>
  <si>
    <t>CUST8197</t>
  </si>
  <si>
    <t>ORD107513</t>
  </si>
  <si>
    <t>ORD107514</t>
  </si>
  <si>
    <t>ORD107515</t>
  </si>
  <si>
    <t>CUST8994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</si>
  <si>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</si>
  <si>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</si>
  <si>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</si>
  <si>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</si>
  <si>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</si>
  <si>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</si>
  <si>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</si>
  <si>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</si>
  <si>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</si>
  <si>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CUST6893</t>
  </si>
  <si>
    <t>ORD107525</t>
  </si>
  <si>
    <t>ORD107526</t>
  </si>
  <si>
    <t>ORD107527</t>
  </si>
  <si>
    <t>ORD107528</t>
  </si>
  <si>
    <t>CUST2606</t>
  </si>
  <si>
    <t>ORD107529</t>
  </si>
  <si>
    <t>ORD107530</t>
  </si>
  <si>
    <t>CUST4890</t>
  </si>
  <si>
    <t>ORD107531</t>
  </si>
  <si>
    <t>ORD107532</t>
  </si>
  <si>
    <t>ORD107533</t>
  </si>
  <si>
    <t>CUST4136</t>
  </si>
  <si>
    <t>ORD107534</t>
  </si>
  <si>
    <t>CUST2337</t>
  </si>
  <si>
    <t>ORD107535</t>
  </si>
  <si>
    <t>CUST3855</t>
  </si>
  <si>
    <t>ORD107536</t>
  </si>
  <si>
    <t>ORD107537</t>
  </si>
  <si>
    <t>CUST8219</t>
  </si>
  <si>
    <t>ORD107538</t>
  </si>
  <si>
    <t>CUST7709</t>
  </si>
  <si>
    <t>ORD107539</t>
  </si>
  <si>
    <t>ORD107540</t>
  </si>
  <si>
    <t>ORD107541</t>
  </si>
  <si>
    <t>ORD107542</t>
  </si>
  <si>
    <t>CUST1705</t>
  </si>
  <si>
    <t>ORD107543</t>
  </si>
  <si>
    <t>ORD107544</t>
  </si>
  <si>
    <t>ORD107545</t>
  </si>
  <si>
    <t>CUST5599</t>
  </si>
  <si>
    <t>ORD107546</t>
  </si>
  <si>
    <t>ORD107547</t>
  </si>
  <si>
    <t>ORD107548</t>
  </si>
  <si>
    <t>ORD107549</t>
  </si>
  <si>
    <t>ORD107550</t>
  </si>
  <si>
    <t>ORD107551</t>
  </si>
  <si>
    <t>CUST2587</t>
  </si>
  <si>
    <t>ORD107552</t>
  </si>
  <si>
    <t>CUST2588</t>
  </si>
  <si>
    <t>ORD107553</t>
  </si>
  <si>
    <t>ORD107554</t>
  </si>
  <si>
    <t>CUST8737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</si>
  <si>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</si>
  <si>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</si>
  <si>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</si>
  <si>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</si>
  <si>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</si>
  <si>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</si>
  <si>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</si>
  <si>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</si>
  <si>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CUST3032</t>
  </si>
  <si>
    <t>ORD107563</t>
  </si>
  <si>
    <t>CUST4114</t>
  </si>
  <si>
    <t>ORD107564</t>
  </si>
  <si>
    <t>CUST6798</t>
  </si>
  <si>
    <t>ORD107565</t>
  </si>
  <si>
    <t>CUST5892</t>
  </si>
  <si>
    <t>ORD107566</t>
  </si>
  <si>
    <t>CUST3985</t>
  </si>
  <si>
    <t>ORD107567</t>
  </si>
  <si>
    <t>ORD107568</t>
  </si>
  <si>
    <t>CUST8174</t>
  </si>
  <si>
    <t>ORD107569</t>
  </si>
  <si>
    <t>ORD107570</t>
  </si>
  <si>
    <t>ORD107571</t>
  </si>
  <si>
    <t>CUST2670</t>
  </si>
  <si>
    <t>ORD107572</t>
  </si>
  <si>
    <t>ORD107573</t>
  </si>
  <si>
    <t>CUST7975</t>
  </si>
  <si>
    <t>ORD107574</t>
  </si>
  <si>
    <t>ORD107575</t>
  </si>
  <si>
    <t>ORD107576</t>
  </si>
  <si>
    <t>ORD107577</t>
  </si>
  <si>
    <t>ORD107578</t>
  </si>
  <si>
    <t>ORD107579</t>
  </si>
  <si>
    <t>CUST2145</t>
  </si>
  <si>
    <t>ORD107580</t>
  </si>
  <si>
    <t>ORD107581</t>
  </si>
  <si>
    <t>CUST2221</t>
  </si>
  <si>
    <t>ORD107582</t>
  </si>
  <si>
    <t>CUST5092</t>
  </si>
  <si>
    <t>ORD107583</t>
  </si>
  <si>
    <t>CUST3344</t>
  </si>
  <si>
    <t>ORD107584</t>
  </si>
  <si>
    <t>ORD107585</t>
  </si>
  <si>
    <t>CUST7268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</si>
  <si>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</si>
  <si>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</si>
  <si>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</si>
  <si>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</si>
  <si>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</si>
  <si>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</si>
  <si>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</si>
  <si>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</si>
  <si>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CUST2740</t>
  </si>
  <si>
    <t>ORD107594</t>
  </si>
  <si>
    <t>ORD107595</t>
  </si>
  <si>
    <t>ORD107596</t>
  </si>
  <si>
    <t>CUST8444</t>
  </si>
  <si>
    <t>ORD107597</t>
  </si>
  <si>
    <t>ORD107598</t>
  </si>
  <si>
    <t>ORD107599</t>
  </si>
  <si>
    <t>CUST9333</t>
  </si>
  <si>
    <t>ORD107600</t>
  </si>
  <si>
    <t>ORD107601</t>
  </si>
  <si>
    <t>CUST3164</t>
  </si>
  <si>
    <t>ORD107602</t>
  </si>
  <si>
    <t>ORD107603</t>
  </si>
  <si>
    <t>CUST2288</t>
  </si>
  <si>
    <t>ORD107604</t>
  </si>
  <si>
    <t>CUST8519</t>
  </si>
  <si>
    <t>ORD107605</t>
  </si>
  <si>
    <t>CUST8381</t>
  </si>
  <si>
    <t>ORD107606</t>
  </si>
  <si>
    <t>CUST5673</t>
  </si>
  <si>
    <t>ORD107607</t>
  </si>
  <si>
    <t>CUST8299</t>
  </si>
  <si>
    <t>ORD107608</t>
  </si>
  <si>
    <t>CUST3206</t>
  </si>
  <si>
    <t>ORD107609</t>
  </si>
  <si>
    <t>ORD107610</t>
  </si>
  <si>
    <t>CUST7946</t>
  </si>
  <si>
    <t>ORD107611</t>
  </si>
  <si>
    <t>ORD107612</t>
  </si>
  <si>
    <t>CUST7232</t>
  </si>
  <si>
    <t>ORD107613</t>
  </si>
  <si>
    <t>CUST9004</t>
  </si>
  <si>
    <t>ORD107614</t>
  </si>
  <si>
    <t>ORD107615</t>
  </si>
  <si>
    <t>ORD107616</t>
  </si>
  <si>
    <t>ORD107617</t>
  </si>
  <si>
    <t>ORD107618</t>
  </si>
  <si>
    <t>CUST9062</t>
  </si>
  <si>
    <t>ORD107619</t>
  </si>
  <si>
    <t>CUST3337</t>
  </si>
  <si>
    <t>ORD107620</t>
  </si>
  <si>
    <t>ORD107621</t>
  </si>
  <si>
    <t>ORD107622</t>
  </si>
  <si>
    <t>CUST1380</t>
  </si>
  <si>
    <t>ORD107623</t>
  </si>
  <si>
    <t>ORD107624</t>
  </si>
  <si>
    <t>CUST7705</t>
  </si>
  <si>
    <t>ORD107625</t>
  </si>
  <si>
    <t>CUST9149</t>
  </si>
  <si>
    <t>ORD107626</t>
  </si>
  <si>
    <t>ORD107627</t>
  </si>
  <si>
    <t>CUST7990</t>
  </si>
  <si>
    <t>ORD107628</t>
  </si>
  <si>
    <t>ORD107629</t>
  </si>
  <si>
    <t>CUST2448</t>
  </si>
  <si>
    <t>ORD107630</t>
  </si>
  <si>
    <t>CUST8088</t>
  </si>
  <si>
    <t>ORD107631</t>
  </si>
  <si>
    <t>CUST6993</t>
  </si>
  <si>
    <t>ORD107632</t>
  </si>
  <si>
    <t>ORD107633</t>
  </si>
  <si>
    <t>ORD107634</t>
  </si>
  <si>
    <t>ORD107635</t>
  </si>
  <si>
    <t>ORD107636</t>
  </si>
  <si>
    <t>CUST8344</t>
  </si>
  <si>
    <t>ORD107637</t>
  </si>
  <si>
    <t>CUST8704</t>
  </si>
  <si>
    <t>ORD107638</t>
  </si>
  <si>
    <t>CUST9749</t>
  </si>
  <si>
    <t>ORD107639</t>
  </si>
  <si>
    <t>CUST6332</t>
  </si>
  <si>
    <t>ORD107640</t>
  </si>
  <si>
    <t>ORD107641</t>
  </si>
  <si>
    <t>CUST4352</t>
  </si>
  <si>
    <t>ORD107642</t>
  </si>
  <si>
    <t>ORD107643</t>
  </si>
  <si>
    <t>ORD107644</t>
  </si>
  <si>
    <t>CUST7347</t>
  </si>
  <si>
    <t>ORD107645</t>
  </si>
  <si>
    <t>CUST8761</t>
  </si>
  <si>
    <t>ORD107646</t>
  </si>
  <si>
    <t>ORD107647</t>
  </si>
  <si>
    <t>ORD107648</t>
  </si>
  <si>
    <t>CUST4752</t>
  </si>
  <si>
    <t>ORD107649</t>
  </si>
  <si>
    <t>ORD107650</t>
  </si>
  <si>
    <t>ORD107651</t>
  </si>
  <si>
    <t>ORD107652</t>
  </si>
  <si>
    <t>CUST4350</t>
  </si>
  <si>
    <t>ORD107653</t>
  </si>
  <si>
    <t>ORD107654</t>
  </si>
  <si>
    <t>ORD107655</t>
  </si>
  <si>
    <t>ORD107656</t>
  </si>
  <si>
    <t>CUST9775</t>
  </si>
  <si>
    <t>ORD107657</t>
  </si>
  <si>
    <t>ORD107658</t>
  </si>
  <si>
    <t>ORD107659</t>
  </si>
  <si>
    <t>CUST2173</t>
  </si>
  <si>
    <t>ORD107660</t>
  </si>
  <si>
    <t>ORD107661</t>
  </si>
  <si>
    <t>ORD107662</t>
  </si>
  <si>
    <t>CUST5760</t>
  </si>
  <si>
    <t>ORD107663</t>
  </si>
  <si>
    <t>ORD107664</t>
  </si>
  <si>
    <t>CUST7315</t>
  </si>
  <si>
    <t>ORD107665</t>
  </si>
  <si>
    <t>ORD107666</t>
  </si>
  <si>
    <t>CUST6702</t>
  </si>
  <si>
    <t>ORD107667</t>
  </si>
  <si>
    <t>CUST4198</t>
  </si>
  <si>
    <t>ORD107668</t>
  </si>
  <si>
    <t>ORD107669</t>
  </si>
  <si>
    <t>ORD107670</t>
  </si>
  <si>
    <t>ORD107671</t>
  </si>
  <si>
    <t>CUST6234</t>
  </si>
  <si>
    <t>ORD107672</t>
  </si>
  <si>
    <t>CUST4919</t>
  </si>
  <si>
    <t>ORD107673</t>
  </si>
  <si>
    <t>CUST2922</t>
  </si>
  <si>
    <t>ORD107674</t>
  </si>
  <si>
    <t>ORD107675</t>
  </si>
  <si>
    <t>CUST7136</t>
  </si>
  <si>
    <t>ORD107676</t>
  </si>
  <si>
    <t>ORD107677</t>
  </si>
  <si>
    <t>CUST1809</t>
  </si>
  <si>
    <t>ORD107678</t>
  </si>
  <si>
    <t>CUST4327</t>
  </si>
  <si>
    <t>ORD107679</t>
  </si>
  <si>
    <t>ORD107680</t>
  </si>
  <si>
    <t>ORD107681</t>
  </si>
  <si>
    <t>CUST6296</t>
  </si>
  <si>
    <t>ORD107682</t>
  </si>
  <si>
    <t>ORD107683</t>
  </si>
  <si>
    <t>ORD107684</t>
  </si>
  <si>
    <t>CUST2236</t>
  </si>
  <si>
    <t>ORD107685</t>
  </si>
  <si>
    <t>CUST1513</t>
  </si>
  <si>
    <t>ORD107686</t>
  </si>
  <si>
    <t>ORD107687</t>
  </si>
  <si>
    <t>ORD107688</t>
  </si>
  <si>
    <t>ORD107689</t>
  </si>
  <si>
    <t>CUST4074</t>
  </si>
  <si>
    <t>ORD107690</t>
  </si>
  <si>
    <t>ORD107691</t>
  </si>
  <si>
    <t>ORD107692</t>
  </si>
  <si>
    <t>CUST4600</t>
  </si>
  <si>
    <t>ORD107693</t>
  </si>
  <si>
    <t>CUST6155</t>
  </si>
  <si>
    <t>ORD107694</t>
  </si>
  <si>
    <t>CUST5695</t>
  </si>
  <si>
    <t>ORD107695</t>
  </si>
  <si>
    <t>CUST1971</t>
  </si>
  <si>
    <t>ORD107696</t>
  </si>
  <si>
    <t>ORD107697</t>
  </si>
  <si>
    <t>CUST7760</t>
  </si>
  <si>
    <t>ORD107698</t>
  </si>
  <si>
    <t>ORD107699</t>
  </si>
  <si>
    <t>ORD107700</t>
  </si>
  <si>
    <t>ORD107701</t>
  </si>
  <si>
    <t>ORD107702</t>
  </si>
  <si>
    <t>CUST2290</t>
  </si>
  <si>
    <t>ORD107703</t>
  </si>
  <si>
    <t>ORD107704</t>
  </si>
  <si>
    <t>ORD107705</t>
  </si>
  <si>
    <t>CUST5383</t>
  </si>
  <si>
    <t>ORD107706</t>
  </si>
  <si>
    <t>ORD107707</t>
  </si>
  <si>
    <t>ORD107708</t>
  </si>
  <si>
    <t>CUST1156</t>
  </si>
  <si>
    <t>ORD107709</t>
  </si>
  <si>
    <t>CUST9161</t>
  </si>
  <si>
    <t>ORD107710</t>
  </si>
  <si>
    <t>CUST9573</t>
  </si>
  <si>
    <t>ORD107711</t>
  </si>
  <si>
    <t>ORD107712</t>
  </si>
  <si>
    <t>ORD107713</t>
  </si>
  <si>
    <t>CUST9332</t>
  </si>
  <si>
    <t>ORD107714</t>
  </si>
  <si>
    <t>ORD107715</t>
  </si>
  <si>
    <t>ORD107716</t>
  </si>
  <si>
    <t>ORD107717</t>
  </si>
  <si>
    <t>ORD107718</t>
  </si>
  <si>
    <t>CUST7094</t>
  </si>
  <si>
    <t>ORD107719</t>
  </si>
  <si>
    <t>ORD107720</t>
  </si>
  <si>
    <t>CUST4211</t>
  </si>
  <si>
    <t>ORD107721</t>
  </si>
  <si>
    <t>CUST4671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</si>
  <si>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</si>
  <si>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</si>
  <si>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</si>
  <si>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</si>
  <si>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</si>
  <si>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</si>
  <si>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</si>
  <si>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CUST9013</t>
  </si>
  <si>
    <t>ORD107729</t>
  </si>
  <si>
    <t>CUST8143</t>
  </si>
  <si>
    <t>ORD107730</t>
  </si>
  <si>
    <t>ORD107731</t>
  </si>
  <si>
    <t>CUST7440</t>
  </si>
  <si>
    <t>ORD107732</t>
  </si>
  <si>
    <t>ORD107733</t>
  </si>
  <si>
    <t>ORD107734</t>
  </si>
  <si>
    <t>ORD107735</t>
  </si>
  <si>
    <t>CUST1132</t>
  </si>
  <si>
    <t>ORD107736</t>
  </si>
  <si>
    <t>ORD107737</t>
  </si>
  <si>
    <t>CUST1994</t>
  </si>
  <si>
    <t>ORD107738</t>
  </si>
  <si>
    <t>ORD107739</t>
  </si>
  <si>
    <t>ORD107740</t>
  </si>
  <si>
    <t>CUST5777</t>
  </si>
  <si>
    <t>ORD107741</t>
  </si>
  <si>
    <t>ORD107742</t>
  </si>
  <si>
    <t>ORD107743</t>
  </si>
  <si>
    <t>ORD107744</t>
  </si>
  <si>
    <t>ORD107745</t>
  </si>
  <si>
    <t>ORD107746</t>
  </si>
  <si>
    <t>ORD107747</t>
  </si>
  <si>
    <t>CUST8901</t>
  </si>
  <si>
    <t>ORD107748</t>
  </si>
  <si>
    <t>CUST2769</t>
  </si>
  <si>
    <t>ORD107749</t>
  </si>
  <si>
    <t>ORD107750</t>
  </si>
  <si>
    <t>CUST6388</t>
  </si>
  <si>
    <t>ORD107751</t>
  </si>
  <si>
    <t>ORD107752</t>
  </si>
  <si>
    <t>ORD107753</t>
  </si>
  <si>
    <t>ORD107754</t>
  </si>
  <si>
    <t>ORD107755</t>
  </si>
  <si>
    <t>CUST6921</t>
  </si>
  <si>
    <t>ORD107756</t>
  </si>
  <si>
    <t>CUST6949</t>
  </si>
  <si>
    <t>ORD107757</t>
  </si>
  <si>
    <t>ORD107758</t>
  </si>
  <si>
    <t>CUST4181</t>
  </si>
  <si>
    <t>ORD107759</t>
  </si>
  <si>
    <t>CUST7548</t>
  </si>
  <si>
    <t>ORD107760</t>
  </si>
  <si>
    <t>ORD107761</t>
  </si>
  <si>
    <t>ORD107762</t>
  </si>
  <si>
    <t>ORD107763</t>
  </si>
  <si>
    <t>CUST5266</t>
  </si>
  <si>
    <t>ORD107764</t>
  </si>
  <si>
    <t>ORD107765</t>
  </si>
  <si>
    <t>ORD107766</t>
  </si>
  <si>
    <t>ORD107767</t>
  </si>
  <si>
    <t>ORD107768</t>
  </si>
  <si>
    <t>CUST5944</t>
  </si>
  <si>
    <t>ORD107769</t>
  </si>
  <si>
    <t>CUST8845</t>
  </si>
  <si>
    <t>ORD107770</t>
  </si>
  <si>
    <t>ORD107771</t>
  </si>
  <si>
    <t>ORD107772</t>
  </si>
  <si>
    <t>CUST2357</t>
  </si>
  <si>
    <t>ORD107773</t>
  </si>
  <si>
    <t>ORD107774</t>
  </si>
  <si>
    <t>ORD107775</t>
  </si>
  <si>
    <t>CUST4638</t>
  </si>
  <si>
    <t>ORD107776</t>
  </si>
  <si>
    <t>CUST2644</t>
  </si>
  <si>
    <t>ORD107777</t>
  </si>
  <si>
    <t>ORD107778</t>
  </si>
  <si>
    <t>ORD107779</t>
  </si>
  <si>
    <t>CUST6208</t>
  </si>
  <si>
    <t>ORD107780</t>
  </si>
  <si>
    <t>ORD107781</t>
  </si>
  <si>
    <t>ORD107782</t>
  </si>
  <si>
    <t>CUST2776</t>
  </si>
  <si>
    <t>ORD107783</t>
  </si>
  <si>
    <t>ORD107784</t>
  </si>
  <si>
    <t>CUST3605</t>
  </si>
  <si>
    <t>ORD107785</t>
  </si>
  <si>
    <t>ORD107786</t>
  </si>
  <si>
    <t>ORD107787</t>
  </si>
  <si>
    <t>ORD107788</t>
  </si>
  <si>
    <t>CUST4753</t>
  </si>
  <si>
    <t>ORD107789</t>
  </si>
  <si>
    <t>ORD107790</t>
  </si>
  <si>
    <t>ORD107791</t>
  </si>
  <si>
    <t>CUST9962</t>
  </si>
  <si>
    <t>ORD107792</t>
  </si>
  <si>
    <t>ORD107793</t>
  </si>
  <si>
    <t>ORD107794</t>
  </si>
  <si>
    <t>CUST2157</t>
  </si>
  <si>
    <t>ORD107795</t>
  </si>
  <si>
    <t>ORD107796</t>
  </si>
  <si>
    <t>ORD107797</t>
  </si>
  <si>
    <t>ORD107798</t>
  </si>
  <si>
    <t>ORD107799</t>
  </si>
  <si>
    <t>CUST4191</t>
  </si>
  <si>
    <t>ORD107800</t>
  </si>
  <si>
    <t>ORD107801</t>
  </si>
  <si>
    <t>CUST5470</t>
  </si>
  <si>
    <t>ORD107802</t>
  </si>
  <si>
    <t>ORD107803</t>
  </si>
  <si>
    <t>ORD107804</t>
  </si>
  <si>
    <t>CUST6394</t>
  </si>
  <si>
    <t>ORD107805</t>
  </si>
  <si>
    <t>ORD107806</t>
  </si>
  <si>
    <t>ORD107807</t>
  </si>
  <si>
    <t>ORD107808</t>
  </si>
  <si>
    <t>CUST3163</t>
  </si>
  <si>
    <t>ORD107809</t>
  </si>
  <si>
    <t>CUST7414</t>
  </si>
  <si>
    <t>ORD107810</t>
  </si>
  <si>
    <t>CUST3392</t>
  </si>
  <si>
    <t>ORD107811</t>
  </si>
  <si>
    <t>CUST1760</t>
  </si>
  <si>
    <t>ORD107812</t>
  </si>
  <si>
    <t>CUST5905</t>
  </si>
  <si>
    <t>ORD107813</t>
  </si>
  <si>
    <t>CUST8276</t>
  </si>
  <si>
    <t>ORD107814</t>
  </si>
  <si>
    <t>ORD107815</t>
  </si>
  <si>
    <t>CUST7741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</si>
  <si>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</si>
  <si>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</si>
  <si>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</si>
  <si>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</si>
  <si>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</si>
  <si>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</si>
  <si>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</si>
  <si>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</si>
  <si>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CUST6277</t>
  </si>
  <si>
    <t>ORD107824</t>
  </si>
  <si>
    <t>CUST3958</t>
  </si>
  <si>
    <t>ORD107825</t>
  </si>
  <si>
    <t>CUST5283</t>
  </si>
  <si>
    <t>ORD107826</t>
  </si>
  <si>
    <t>CUST9231</t>
  </si>
  <si>
    <t>ORD107827</t>
  </si>
  <si>
    <t>ORD107828</t>
  </si>
  <si>
    <t>ORD107829</t>
  </si>
  <si>
    <t>ORD107830</t>
  </si>
  <si>
    <t>ORD107831</t>
  </si>
  <si>
    <t>ORD107832</t>
  </si>
  <si>
    <t>CUST3809</t>
  </si>
  <si>
    <t>ORD107833</t>
  </si>
  <si>
    <t>ORD107834</t>
  </si>
  <si>
    <t>ORD107835</t>
  </si>
  <si>
    <t>CUST6072</t>
  </si>
  <si>
    <t>ORD107836</t>
  </si>
  <si>
    <t>ORD107837</t>
  </si>
  <si>
    <t>CUST6414</t>
  </si>
  <si>
    <t>ORD107838</t>
  </si>
  <si>
    <t>ORD107839</t>
  </si>
  <si>
    <t>ORD107840</t>
  </si>
  <si>
    <t>ORD107841</t>
  </si>
  <si>
    <t>ORD107842</t>
  </si>
  <si>
    <t>ORD107843</t>
  </si>
  <si>
    <t>CUST7018</t>
  </si>
  <si>
    <t>ORD107844</t>
  </si>
  <si>
    <t>ORD107845</t>
  </si>
  <si>
    <t>ORD107846</t>
  </si>
  <si>
    <t>CUST3903</t>
  </si>
  <si>
    <t>ORD107847</t>
  </si>
  <si>
    <t>CUST1762</t>
  </si>
  <si>
    <t>ORD107848</t>
  </si>
  <si>
    <t>CUST6763</t>
  </si>
  <si>
    <t>ORD107849</t>
  </si>
  <si>
    <t>ORD107850</t>
  </si>
  <si>
    <t>CUST5063</t>
  </si>
  <si>
    <t>ORD107851</t>
  </si>
  <si>
    <t>CUST1123</t>
  </si>
  <si>
    <t>ORD107852</t>
  </si>
  <si>
    <t>ORD107853</t>
  </si>
  <si>
    <t>CUST4159</t>
  </si>
  <si>
    <t>ORD107854</t>
  </si>
  <si>
    <t>CUST6286</t>
  </si>
  <si>
    <t>ORD107855</t>
  </si>
  <si>
    <t>ORD107856</t>
  </si>
  <si>
    <t>ORD107857</t>
  </si>
  <si>
    <t>CUST5681</t>
  </si>
  <si>
    <t>ORD107858</t>
  </si>
  <si>
    <t>ORD107859</t>
  </si>
  <si>
    <t>ORD107860</t>
  </si>
  <si>
    <t>ORD107861</t>
  </si>
  <si>
    <t>ORD107862</t>
  </si>
  <si>
    <t>CUST1987</t>
  </si>
  <si>
    <t>ORD107863</t>
  </si>
  <si>
    <t>ORD107864</t>
  </si>
  <si>
    <t>ORD107865</t>
  </si>
  <si>
    <t>CUST3527</t>
  </si>
  <si>
    <t>ORD107866</t>
  </si>
  <si>
    <t>CUST5318</t>
  </si>
  <si>
    <t>ORD107867</t>
  </si>
  <si>
    <t>ORD107868</t>
  </si>
  <si>
    <t>CUST9802</t>
  </si>
  <si>
    <t>ORD107869</t>
  </si>
  <si>
    <t>ORD107870</t>
  </si>
  <si>
    <t>CUST8992</t>
  </si>
  <si>
    <t>ORD107871</t>
  </si>
  <si>
    <t>CUST6574</t>
  </si>
  <si>
    <t>ORD107872</t>
  </si>
  <si>
    <t>ORD107873</t>
  </si>
  <si>
    <t>ORD107874</t>
  </si>
  <si>
    <t>CUST5913</t>
  </si>
  <si>
    <t>ORD107875</t>
  </si>
  <si>
    <t>ORD107876</t>
  </si>
  <si>
    <t>ORD107877</t>
  </si>
  <si>
    <t>CUST7566</t>
  </si>
  <si>
    <t>ORD107878</t>
  </si>
  <si>
    <t>ORD107879</t>
  </si>
  <si>
    <t>ORD107880</t>
  </si>
  <si>
    <t>ORD107881</t>
  </si>
  <si>
    <t>CUST6096</t>
  </si>
  <si>
    <t>ORD107882</t>
  </si>
  <si>
    <t>ORD107883</t>
  </si>
  <si>
    <t>CUST1434</t>
  </si>
  <si>
    <t>ORD107884</t>
  </si>
  <si>
    <t>ORD107885</t>
  </si>
  <si>
    <t>CUST1359</t>
  </si>
  <si>
    <t>ORD107886</t>
  </si>
  <si>
    <t>ORD107887</t>
  </si>
  <si>
    <t>ORD107888</t>
  </si>
  <si>
    <t>CUST4995</t>
  </si>
  <si>
    <t>ORD107889</t>
  </si>
  <si>
    <t>ORD107890</t>
  </si>
  <si>
    <t>CUST5073</t>
  </si>
  <si>
    <t>ORD107891</t>
  </si>
  <si>
    <t>ORD107892</t>
  </si>
  <si>
    <t>CUST6824</t>
  </si>
  <si>
    <t>ORD107893</t>
  </si>
  <si>
    <t>ORD107894</t>
  </si>
  <si>
    <t>CUST7114</t>
  </si>
  <si>
    <t>ORD107895</t>
  </si>
  <si>
    <t>ORD107896</t>
  </si>
  <si>
    <t>CUST9692</t>
  </si>
  <si>
    <t>ORD107897</t>
  </si>
  <si>
    <t>CUST4378</t>
  </si>
  <si>
    <t>ORD107898</t>
  </si>
  <si>
    <t>CUST2864</t>
  </si>
  <si>
    <t>ORD107899</t>
  </si>
  <si>
    <t>ORD107900</t>
  </si>
  <si>
    <t>ORD107901</t>
  </si>
  <si>
    <t>ORD107902</t>
  </si>
  <si>
    <t>ORD107903</t>
  </si>
  <si>
    <t>CUST4773</t>
  </si>
  <si>
    <t>ORD107904</t>
  </si>
  <si>
    <t>CUST5158</t>
  </si>
  <si>
    <t>ORD107905</t>
  </si>
  <si>
    <t>CUST8021</t>
  </si>
  <si>
    <t>ORD107906</t>
  </si>
  <si>
    <t>ORD107907</t>
  </si>
  <si>
    <t>CUST4817</t>
  </si>
  <si>
    <t>ORD107908</t>
  </si>
  <si>
    <t>CUST8274</t>
  </si>
  <si>
    <t>ORD107909</t>
  </si>
  <si>
    <t>CUST7611</t>
  </si>
  <si>
    <t>ORD107910</t>
  </si>
  <si>
    <t>ORD107911</t>
  </si>
  <si>
    <t>CUST4577</t>
  </si>
  <si>
    <t>ORD107912</t>
  </si>
  <si>
    <t>CUST3289</t>
  </si>
  <si>
    <t>ORD107913</t>
  </si>
  <si>
    <t>ORD107914</t>
  </si>
  <si>
    <t>ORD107915</t>
  </si>
  <si>
    <t>ORD107916</t>
  </si>
  <si>
    <t>ORD107917</t>
  </si>
  <si>
    <t>ORD107918</t>
  </si>
  <si>
    <t>ORD107919</t>
  </si>
  <si>
    <t>CUST3025</t>
  </si>
  <si>
    <t>ORD107920</t>
  </si>
  <si>
    <t>CUST1167</t>
  </si>
  <si>
    <t>ORD107921</t>
  </si>
  <si>
    <t>ORD107922</t>
  </si>
  <si>
    <t>ORD107923</t>
  </si>
  <si>
    <t>ORD107924</t>
  </si>
  <si>
    <t>ORD107925</t>
  </si>
  <si>
    <t>CUST2372</t>
  </si>
  <si>
    <t>ORD107926</t>
  </si>
  <si>
    <t>CUST2718</t>
  </si>
  <si>
    <t>ORD107927</t>
  </si>
  <si>
    <t>CUST5659</t>
  </si>
  <si>
    <t>ORD107928</t>
  </si>
  <si>
    <t>ORD107929</t>
  </si>
  <si>
    <t>ORD107930</t>
  </si>
  <si>
    <t>ORD107931</t>
  </si>
  <si>
    <t>ORD107932</t>
  </si>
  <si>
    <t>CUST8336</t>
  </si>
  <si>
    <t>ORD107933</t>
  </si>
  <si>
    <t>CUST1283</t>
  </si>
  <si>
    <t>ORD107934</t>
  </si>
  <si>
    <t>ORD107935</t>
  </si>
  <si>
    <t>CUST8681</t>
  </si>
  <si>
    <t>ORD107936</t>
  </si>
  <si>
    <t>CUST8132</t>
  </si>
  <si>
    <t>ORD107937</t>
  </si>
  <si>
    <t>ORD107938</t>
  </si>
  <si>
    <t>ORD107939</t>
  </si>
  <si>
    <t>ORD107940</t>
  </si>
  <si>
    <t>CUST1052</t>
  </si>
  <si>
    <t>ORD107941</t>
  </si>
  <si>
    <t>CUST6922</t>
  </si>
  <si>
    <t>ORD107942</t>
  </si>
  <si>
    <t>CUST5229</t>
  </si>
  <si>
    <t>ORD107943</t>
  </si>
  <si>
    <t>CUST9143</t>
  </si>
  <si>
    <t>ORD107944</t>
  </si>
  <si>
    <t>CUST7026</t>
  </si>
  <si>
    <t>ORD107945</t>
  </si>
  <si>
    <t>ORD107946</t>
  </si>
  <si>
    <t>ORD107947</t>
  </si>
  <si>
    <t>CUST6969</t>
  </si>
  <si>
    <t>ORD107948</t>
  </si>
  <si>
    <t>ORD107949</t>
  </si>
  <si>
    <t>ORD107950</t>
  </si>
  <si>
    <t>CUST6860</t>
  </si>
  <si>
    <t>ORD107951</t>
  </si>
  <si>
    <t>CUST6187</t>
  </si>
  <si>
    <t>ORD107952</t>
  </si>
  <si>
    <t>ORD107953</t>
  </si>
  <si>
    <t>ORD107954</t>
  </si>
  <si>
    <t>CUST8799</t>
  </si>
  <si>
    <t>ORD107955</t>
  </si>
  <si>
    <t>CUST2065</t>
  </si>
  <si>
    <t>ORD107956</t>
  </si>
  <si>
    <t>ORD107957</t>
  </si>
  <si>
    <t>CUST1936</t>
  </si>
  <si>
    <t>ORD107958</t>
  </si>
  <si>
    <t>ORD107959</t>
  </si>
  <si>
    <t>CUST6127</t>
  </si>
  <si>
    <t>ORD107960</t>
  </si>
  <si>
    <t>ORD107961</t>
  </si>
  <si>
    <t>ORD107962</t>
  </si>
  <si>
    <t>CUST8659</t>
  </si>
  <si>
    <t>ORD107963</t>
  </si>
  <si>
    <t>CUST4073</t>
  </si>
  <si>
    <t>ORD107964</t>
  </si>
  <si>
    <t>ORD107965</t>
  </si>
  <si>
    <t>CUST3365</t>
  </si>
  <si>
    <t>ORD107966</t>
  </si>
  <si>
    <t>CUST3623</t>
  </si>
  <si>
    <t>ORD107967</t>
  </si>
  <si>
    <t>CUST3435</t>
  </si>
  <si>
    <t>ORD107968</t>
  </si>
  <si>
    <t>ORD107969</t>
  </si>
  <si>
    <t>ORD107970</t>
  </si>
  <si>
    <t>ORD107971</t>
  </si>
  <si>
    <t>CUST1563</t>
  </si>
  <si>
    <t>ORD107972</t>
  </si>
  <si>
    <t>CUST5745</t>
  </si>
  <si>
    <t>ORD107973</t>
  </si>
  <si>
    <t>ORD107974</t>
  </si>
  <si>
    <t>CUST8645</t>
  </si>
  <si>
    <t>ORD107975</t>
  </si>
  <si>
    <t>CUST5585</t>
  </si>
  <si>
    <t>ORD107976</t>
  </si>
  <si>
    <t>CUST9033</t>
  </si>
  <si>
    <t>ORD107977</t>
  </si>
  <si>
    <t>ORD107978</t>
  </si>
  <si>
    <t>ORD107979</t>
  </si>
  <si>
    <t>CUST1767</t>
  </si>
  <si>
    <t>ORD107980</t>
  </si>
  <si>
    <t>ORD107981</t>
  </si>
  <si>
    <t>ORD107982</t>
  </si>
  <si>
    <t>ORD107983</t>
  </si>
  <si>
    <t>CUST1733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</si>
  <si>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</si>
  <si>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</si>
  <si>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</si>
  <si>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</si>
  <si>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</si>
  <si>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</si>
  <si>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</si>
  <si>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CUST8191</t>
  </si>
  <si>
    <t>ORD107991</t>
  </si>
  <si>
    <t>ORD107992</t>
  </si>
  <si>
    <t>ORD107993</t>
  </si>
  <si>
    <t>ORD107994</t>
  </si>
  <si>
    <t>CUST2006</t>
  </si>
  <si>
    <t>ORD107995</t>
  </si>
  <si>
    <t>CUST2220</t>
  </si>
  <si>
    <t>ORD107996</t>
  </si>
  <si>
    <t>ORD107997</t>
  </si>
  <si>
    <t>CUST2878</t>
  </si>
  <si>
    <t>ORD107998</t>
  </si>
  <si>
    <t>ORD107999</t>
  </si>
  <si>
    <t>ORD108000</t>
  </si>
  <si>
    <t>CUST5965</t>
  </si>
  <si>
    <t>ORD108001</t>
  </si>
  <si>
    <t>CUST3255</t>
  </si>
  <si>
    <t>ORD108002</t>
  </si>
  <si>
    <t>CUST5034</t>
  </si>
  <si>
    <t>ORD108003</t>
  </si>
  <si>
    <t>ORD108004</t>
  </si>
  <si>
    <t>ORD108005</t>
  </si>
  <si>
    <t>CUST5705</t>
  </si>
  <si>
    <t>ORD108006</t>
  </si>
  <si>
    <t>CUST3110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</si>
  <si>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</si>
  <si>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</si>
  <si>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</si>
  <si>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</si>
  <si>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</si>
  <si>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</si>
  <si>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</si>
  <si>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</si>
  <si>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CUST6811</t>
  </si>
  <si>
    <t>ORD108015</t>
  </si>
  <si>
    <t>CUST9430</t>
  </si>
  <si>
    <t>ORD108016</t>
  </si>
  <si>
    <t>CUST5459</t>
  </si>
  <si>
    <t>ORD108017</t>
  </si>
  <si>
    <t>CUST3470</t>
  </si>
  <si>
    <t>ORD108018</t>
  </si>
  <si>
    <t>CUST6337</t>
  </si>
  <si>
    <t>ORD108019</t>
  </si>
  <si>
    <t>ORD108020</t>
  </si>
  <si>
    <t>ORD108021</t>
  </si>
  <si>
    <t>ORD108022</t>
  </si>
  <si>
    <t>CUST8418</t>
  </si>
  <si>
    <t>ORD108023</t>
  </si>
  <si>
    <t>ORD108024</t>
  </si>
  <si>
    <t>CUST4084</t>
  </si>
  <si>
    <t>ORD108025</t>
  </si>
  <si>
    <t>ORD108026</t>
  </si>
  <si>
    <t>ORD108027</t>
  </si>
  <si>
    <t>CUST6850</t>
  </si>
  <si>
    <t>ORD108028</t>
  </si>
  <si>
    <t>ORD108029</t>
  </si>
  <si>
    <t>ORD108030</t>
  </si>
  <si>
    <t>ORD108031</t>
  </si>
  <si>
    <t>ORD108032</t>
  </si>
  <si>
    <t>CUST1996</t>
  </si>
  <si>
    <t>ORD108033</t>
  </si>
  <si>
    <t>CUST1244</t>
  </si>
  <si>
    <t>ORD108034</t>
  </si>
  <si>
    <t>CUST5880</t>
  </si>
  <si>
    <t>ORD108035</t>
  </si>
  <si>
    <t>CUST7406</t>
  </si>
  <si>
    <t>ORD108036</t>
  </si>
  <si>
    <t>ORD108037</t>
  </si>
  <si>
    <t>CUST9315</t>
  </si>
  <si>
    <t>ORD108038</t>
  </si>
  <si>
    <t>CUST4725</t>
  </si>
  <si>
    <t>ORD108039</t>
  </si>
  <si>
    <t>ORD108040</t>
  </si>
  <si>
    <t>CUST7511</t>
  </si>
  <si>
    <t>ORD108041</t>
  </si>
  <si>
    <t>ORD108042</t>
  </si>
  <si>
    <t>ORD108043</t>
  </si>
  <si>
    <t>CUST6555</t>
  </si>
  <si>
    <t>ORD108044</t>
  </si>
  <si>
    <t>ORD108045</t>
  </si>
  <si>
    <t>CUST2366</t>
  </si>
  <si>
    <t>ORD108046</t>
  </si>
  <si>
    <t>CUST5307</t>
  </si>
  <si>
    <t>ORD108047</t>
  </si>
  <si>
    <t>ORD108048</t>
  </si>
  <si>
    <t>CUST4676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</si>
  <si>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</si>
  <si>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</si>
  <si>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</si>
  <si>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</si>
  <si>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</si>
  <si>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</si>
  <si>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</si>
  <si>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</si>
  <si>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CUST1169</t>
  </si>
  <si>
    <t>ORD108057</t>
  </si>
  <si>
    <t>ORD108058</t>
  </si>
  <si>
    <t>ORD108059</t>
  </si>
  <si>
    <t>CUST8849</t>
  </si>
  <si>
    <t>ORD108060</t>
  </si>
  <si>
    <t>CUST1378</t>
  </si>
  <si>
    <t>ORD108061</t>
  </si>
  <si>
    <t>ORD108062</t>
  </si>
  <si>
    <t>CUST1007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</si>
  <si>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</si>
  <si>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</si>
  <si>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</si>
  <si>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</si>
  <si>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</si>
  <si>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</si>
  <si>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</si>
  <si>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</si>
  <si>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</si>
  <si>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CUST5479</t>
  </si>
  <si>
    <t>ORD108072</t>
  </si>
  <si>
    <t>CUST2565</t>
  </si>
  <si>
    <t>ORD108073</t>
  </si>
  <si>
    <t>CUST4712</t>
  </si>
  <si>
    <t>ORD108074</t>
  </si>
  <si>
    <t>CUST7698</t>
  </si>
  <si>
    <t>ORD108075</t>
  </si>
  <si>
    <t>ORD108076</t>
  </si>
  <si>
    <t>CUST5031</t>
  </si>
  <si>
    <t>ORD108077</t>
  </si>
  <si>
    <t>ORD108078</t>
  </si>
  <si>
    <t>ORD108079</t>
  </si>
  <si>
    <t>ORD108080</t>
  </si>
  <si>
    <t>ORD108081</t>
  </si>
  <si>
    <t>ORD108082</t>
  </si>
  <si>
    <t>CUST1109</t>
  </si>
  <si>
    <t>ORD108083</t>
  </si>
  <si>
    <t>CUST6564</t>
  </si>
  <si>
    <t>ORD108084</t>
  </si>
  <si>
    <t>ORD108085</t>
  </si>
  <si>
    <t>ORD108086</t>
  </si>
  <si>
    <t>ORD108087</t>
  </si>
  <si>
    <t>ORD108088</t>
  </si>
  <si>
    <t>ORD108089</t>
  </si>
  <si>
    <t>CUST8858</t>
  </si>
  <si>
    <t>ORD108090</t>
  </si>
  <si>
    <t>CUST9672</t>
  </si>
  <si>
    <t>ORD108091</t>
  </si>
  <si>
    <t>ORD108092</t>
  </si>
  <si>
    <t>CUST3502</t>
  </si>
  <si>
    <t>ORD108093</t>
  </si>
  <si>
    <t>ORD108094</t>
  </si>
  <si>
    <t>ORD108095</t>
  </si>
  <si>
    <t>ORD108096</t>
  </si>
  <si>
    <t>CUST2330</t>
  </si>
  <si>
    <t>ORD108097</t>
  </si>
  <si>
    <t>CUST5112</t>
  </si>
  <si>
    <t>ORD108098</t>
  </si>
  <si>
    <t>CUST5924</t>
  </si>
  <si>
    <t>ORD108099</t>
  </si>
  <si>
    <t>ORD108100</t>
  </si>
  <si>
    <t>CUST3356</t>
  </si>
  <si>
    <t>ORD108101</t>
  </si>
  <si>
    <t>ORD108102</t>
  </si>
  <si>
    <t>CUST3740</t>
  </si>
  <si>
    <t>ORD108103</t>
  </si>
  <si>
    <t>ORD108104</t>
  </si>
  <si>
    <t>ORD108105</t>
  </si>
  <si>
    <t>CUST7185</t>
  </si>
  <si>
    <t>ORD108106</t>
  </si>
  <si>
    <t>CUST1057</t>
  </si>
  <si>
    <t>ORD108107</t>
  </si>
  <si>
    <t>CUST5262</t>
  </si>
  <si>
    <t>ORD108108</t>
  </si>
  <si>
    <t>ORD108109</t>
  </si>
  <si>
    <t>ORD108110</t>
  </si>
  <si>
    <t>CUST8341</t>
  </si>
  <si>
    <t>ORD108111</t>
  </si>
  <si>
    <t>ORD108112</t>
  </si>
  <si>
    <t>ORD108113</t>
  </si>
  <si>
    <t>CUST4312</t>
  </si>
  <si>
    <t>ORD108114</t>
  </si>
  <si>
    <t>CUST5888</t>
  </si>
  <si>
    <t>ORD108115</t>
  </si>
  <si>
    <t>ORD108116</t>
  </si>
  <si>
    <t>CUST4330</t>
  </si>
  <si>
    <t>ORD108117</t>
  </si>
  <si>
    <t>ORD108118</t>
  </si>
  <si>
    <t>CUST8570</t>
  </si>
  <si>
    <t>ORD108119</t>
  </si>
  <si>
    <t>CUST3245</t>
  </si>
  <si>
    <t>ORD108120</t>
  </si>
  <si>
    <t>ORD108121</t>
  </si>
  <si>
    <t>ORD108122</t>
  </si>
  <si>
    <t>ORD108123</t>
  </si>
  <si>
    <t>ORD108124</t>
  </si>
  <si>
    <t>ORD108125</t>
  </si>
  <si>
    <t>CUST1535</t>
  </si>
  <si>
    <t>ORD108126</t>
  </si>
  <si>
    <t>CUST7526</t>
  </si>
  <si>
    <t>ORD108127</t>
  </si>
  <si>
    <t>CUST8343</t>
  </si>
  <si>
    <t>ORD108128</t>
  </si>
  <si>
    <t>ORD108129</t>
  </si>
  <si>
    <t>CUST4543</t>
  </si>
  <si>
    <t>ORD108130</t>
  </si>
  <si>
    <t>ORD108131</t>
  </si>
  <si>
    <t>CUST2501</t>
  </si>
  <si>
    <t>ORD108132</t>
  </si>
  <si>
    <t>ORD108133</t>
  </si>
  <si>
    <t>CUST2287</t>
  </si>
  <si>
    <t>ORD108134</t>
  </si>
  <si>
    <t>ORD108135</t>
  </si>
  <si>
    <t>CUST5045</t>
  </si>
  <si>
    <t>ORD108136</t>
  </si>
  <si>
    <t>CUST6953</t>
  </si>
  <si>
    <t>ORD108137</t>
  </si>
  <si>
    <t>CUST4271</t>
  </si>
  <si>
    <t>ORD108138</t>
  </si>
  <si>
    <t>CUST5280</t>
  </si>
  <si>
    <t>ORD108139</t>
  </si>
  <si>
    <t>CUST8095</t>
  </si>
  <si>
    <t>ORD108140</t>
  </si>
  <si>
    <t>ORD108141</t>
  </si>
  <si>
    <t>ORD108142</t>
  </si>
  <si>
    <t>CUST1192</t>
  </si>
  <si>
    <t>ORD108143</t>
  </si>
  <si>
    <t>ORD108144</t>
  </si>
  <si>
    <t>ORD108145</t>
  </si>
  <si>
    <t>CUST3300</t>
  </si>
  <si>
    <t>ORD108146</t>
  </si>
  <si>
    <t>ORD108147</t>
  </si>
  <si>
    <t>ORD108148</t>
  </si>
  <si>
    <t>CUST3254</t>
  </si>
  <si>
    <t>ORD108149</t>
  </si>
  <si>
    <t>ORD108150</t>
  </si>
  <si>
    <t>ORD108151</t>
  </si>
  <si>
    <t>ORD108152</t>
  </si>
  <si>
    <t>CUST6812</t>
  </si>
  <si>
    <t>ORD108153</t>
  </si>
  <si>
    <t>ORD108154</t>
  </si>
  <si>
    <t>CUST7056</t>
  </si>
  <si>
    <t>ORD108155</t>
  </si>
  <si>
    <t>CUST7695</t>
  </si>
  <si>
    <t>ORD108156</t>
  </si>
  <si>
    <t>ORD108157</t>
  </si>
  <si>
    <t>CUST9974</t>
  </si>
  <si>
    <t>ORD108158</t>
  </si>
  <si>
    <t>CUST2264</t>
  </si>
  <si>
    <t>ORD108159</t>
  </si>
  <si>
    <t>CUST3054</t>
  </si>
  <si>
    <t>ORD108160</t>
  </si>
  <si>
    <t>ORD108161</t>
  </si>
  <si>
    <t>ORD108162</t>
  </si>
  <si>
    <t>CUST3771</t>
  </si>
  <si>
    <t>ORD108163</t>
  </si>
  <si>
    <t>ORD108164</t>
  </si>
  <si>
    <t>CUST5431</t>
  </si>
  <si>
    <t>ORD108165</t>
  </si>
  <si>
    <t>ORD108166</t>
  </si>
  <si>
    <t>ORD108167</t>
  </si>
  <si>
    <t>ORD108168</t>
  </si>
  <si>
    <t>CUST8752</t>
  </si>
  <si>
    <t>ORD108169</t>
  </si>
  <si>
    <t>CUST1162</t>
  </si>
  <si>
    <t>ORD108170</t>
  </si>
  <si>
    <t>ORD108171</t>
  </si>
  <si>
    <t>CUST5024</t>
  </si>
  <si>
    <t>ORD108172</t>
  </si>
  <si>
    <t>ORD108173</t>
  </si>
  <si>
    <t>ORD108174</t>
  </si>
  <si>
    <t>ORD108175</t>
  </si>
  <si>
    <t>ORD108176</t>
  </si>
  <si>
    <t>CUST9114</t>
  </si>
  <si>
    <t>ORD108177</t>
  </si>
  <si>
    <t>ORD108178</t>
  </si>
  <si>
    <t>CUST4896</t>
  </si>
  <si>
    <t>ORD108179</t>
  </si>
  <si>
    <t>CUST6291</t>
  </si>
  <si>
    <t>ORD108180</t>
  </si>
  <si>
    <t>CUST5824</t>
  </si>
  <si>
    <t>ORD108181</t>
  </si>
  <si>
    <t>ORD108182</t>
  </si>
  <si>
    <t>ORD108183</t>
  </si>
  <si>
    <t>ORD108184</t>
  </si>
  <si>
    <t>ORD108185</t>
  </si>
  <si>
    <t>CUST7119</t>
  </si>
  <si>
    <t>ORD108186</t>
  </si>
  <si>
    <t>CUST8945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</si>
  <si>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</si>
  <si>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</si>
  <si>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</si>
  <si>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</si>
  <si>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</si>
  <si>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</si>
  <si>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</si>
  <si>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</si>
  <si>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</si>
  <si>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</si>
  <si>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</si>
  <si>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</si>
  <si>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</si>
  <si>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CUST5733</t>
  </si>
  <si>
    <t>ORD108200</t>
  </si>
  <si>
    <t>ORD108201</t>
  </si>
  <si>
    <t>CUST8376</t>
  </si>
  <si>
    <t>ORD108202</t>
  </si>
  <si>
    <t>CUST2295</t>
  </si>
  <si>
    <t>ORD108203</t>
  </si>
  <si>
    <t>ORD108204</t>
  </si>
  <si>
    <t>CUST5554</t>
  </si>
  <si>
    <t>ORD108205</t>
  </si>
  <si>
    <t>ORD108206</t>
  </si>
  <si>
    <t>ORD108207</t>
  </si>
  <si>
    <t>CUST9803</t>
  </si>
  <si>
    <t>ORD108208</t>
  </si>
  <si>
    <t>ORD108209</t>
  </si>
  <si>
    <t>CUST2487</t>
  </si>
  <si>
    <t>ORD108210</t>
  </si>
  <si>
    <t>ORD108211</t>
  </si>
  <si>
    <t>ORD108212</t>
  </si>
  <si>
    <t>ORD108213</t>
  </si>
  <si>
    <t>ORD108214</t>
  </si>
  <si>
    <t>CUST6645</t>
  </si>
  <si>
    <t>ORD108215</t>
  </si>
  <si>
    <t>ORD108216</t>
  </si>
  <si>
    <t>CUST2955</t>
  </si>
  <si>
    <t>ORD108217</t>
  </si>
  <si>
    <t>ORD108218</t>
  </si>
  <si>
    <t>CUST1392</t>
  </si>
  <si>
    <t>ORD108219</t>
  </si>
  <si>
    <t>ORD108220</t>
  </si>
  <si>
    <t>ORD108221</t>
  </si>
  <si>
    <t>ORD108222</t>
  </si>
  <si>
    <t>CUST9160</t>
  </si>
  <si>
    <t>ORD108223</t>
  </si>
  <si>
    <t>CUST9882</t>
  </si>
  <si>
    <t>ORD108224</t>
  </si>
  <si>
    <t>CUST2687</t>
  </si>
  <si>
    <t>ORD108225</t>
  </si>
  <si>
    <t>ORD108226</t>
  </si>
  <si>
    <t>ORD108227</t>
  </si>
  <si>
    <t>ORD108228</t>
  </si>
  <si>
    <t>ORD108229</t>
  </si>
  <si>
    <t>ORD108230</t>
  </si>
  <si>
    <t>CUST9099</t>
  </si>
  <si>
    <t>ORD108231</t>
  </si>
  <si>
    <t>CUST4391</t>
  </si>
  <si>
    <t>ORD108232</t>
  </si>
  <si>
    <t>CUST9661</t>
  </si>
  <si>
    <t>ORD108233</t>
  </si>
  <si>
    <t>CUST5657</t>
  </si>
  <si>
    <t>ORD108234</t>
  </si>
  <si>
    <t>ORD108235</t>
  </si>
  <si>
    <t>CUST7968</t>
  </si>
  <si>
    <t>ORD108236</t>
  </si>
  <si>
    <t>CUST2503</t>
  </si>
  <si>
    <t>ORD108237</t>
  </si>
  <si>
    <t>ORD108238</t>
  </si>
  <si>
    <t>CUST2547</t>
  </si>
  <si>
    <t>ORD108239</t>
  </si>
  <si>
    <t>CUST6963</t>
  </si>
  <si>
    <t>ORD108240</t>
  </si>
  <si>
    <t>ORD108241</t>
  </si>
  <si>
    <t>ORD108242</t>
  </si>
  <si>
    <t>CUST9027</t>
  </si>
  <si>
    <t>ORD108243</t>
  </si>
  <si>
    <t>CUST8741</t>
  </si>
  <si>
    <t>ORD108244</t>
  </si>
  <si>
    <t>CUST3053</t>
  </si>
  <si>
    <t>ORD108245</t>
  </si>
  <si>
    <t>CUST9930</t>
  </si>
  <si>
    <t>ORD108246</t>
  </si>
  <si>
    <t>CUST5854</t>
  </si>
  <si>
    <t>ORD108247</t>
  </si>
  <si>
    <t>ORD108248</t>
  </si>
  <si>
    <t>ORD108249</t>
  </si>
  <si>
    <t>ORD108250</t>
  </si>
  <si>
    <t>ORD108251</t>
  </si>
  <si>
    <t>CUST4313</t>
  </si>
  <si>
    <t>ORD108252</t>
  </si>
  <si>
    <t>ORD108253</t>
  </si>
  <si>
    <t>ORD108254</t>
  </si>
  <si>
    <t>ORD108255</t>
  </si>
  <si>
    <t>ORD108256</t>
  </si>
  <si>
    <t>ORD108257</t>
  </si>
  <si>
    <t>CUST1921</t>
  </si>
  <si>
    <t>ORD108258</t>
  </si>
  <si>
    <t>CUST7385</t>
  </si>
  <si>
    <t>ORD108259</t>
  </si>
  <si>
    <t>ORD108260</t>
  </si>
  <si>
    <t>ORD108261</t>
  </si>
  <si>
    <t>CUST3137</t>
  </si>
  <si>
    <t>ORD108262</t>
  </si>
  <si>
    <t>ORD108263</t>
  </si>
  <si>
    <t>CUST7943</t>
  </si>
  <si>
    <t>ORD108264</t>
  </si>
  <si>
    <t>ORD108265</t>
  </si>
  <si>
    <t>CUST1794</t>
  </si>
  <si>
    <t>ORD108266</t>
  </si>
  <si>
    <t>CUST6226</t>
  </si>
  <si>
    <t>ORD108267</t>
  </si>
  <si>
    <t>ORD108268</t>
  </si>
  <si>
    <t>CUST8354</t>
  </si>
  <si>
    <t>ORD108269</t>
  </si>
  <si>
    <t>ORD108270</t>
  </si>
  <si>
    <t>CUST6675</t>
  </si>
  <si>
    <t>ORD108271</t>
  </si>
  <si>
    <t>CUST9542</t>
  </si>
  <si>
    <t>ORD108272</t>
  </si>
  <si>
    <t>CUST5284</t>
  </si>
  <si>
    <t>ORD108273</t>
  </si>
  <si>
    <t>CUST2339</t>
  </si>
  <si>
    <t>ORD108274</t>
  </si>
  <si>
    <t>ORD108275</t>
  </si>
  <si>
    <t>ORD108276</t>
  </si>
  <si>
    <t>ORD108277</t>
  </si>
  <si>
    <t>ORD108278</t>
  </si>
  <si>
    <t>CUST1876</t>
  </si>
  <si>
    <t>ORD108279</t>
  </si>
  <si>
    <t>CUST2390</t>
  </si>
  <si>
    <t>ORD108280</t>
  </si>
  <si>
    <t>CUST1989</t>
  </si>
  <si>
    <t>ORD108281</t>
  </si>
  <si>
    <t>ORD108282</t>
  </si>
  <si>
    <t>CUST6533</t>
  </si>
  <si>
    <t>ORD108283</t>
  </si>
  <si>
    <t>ORD108284</t>
  </si>
  <si>
    <t>ORD108285</t>
  </si>
  <si>
    <t>CUST4289</t>
  </si>
  <si>
    <t>ORD108286</t>
  </si>
  <si>
    <t>ORD108287</t>
  </si>
  <si>
    <t>ORD108288</t>
  </si>
  <si>
    <t>ORD108289</t>
  </si>
  <si>
    <t>CUST4882</t>
  </si>
  <si>
    <t>ORD108290</t>
  </si>
  <si>
    <t>CUST8894</t>
  </si>
  <si>
    <t>ORD108291</t>
  </si>
  <si>
    <t>ORD108292</t>
  </si>
  <si>
    <t>CUST6551</t>
  </si>
  <si>
    <t>ORD108293</t>
  </si>
  <si>
    <t>ORD108294</t>
  </si>
  <si>
    <t>ORD108295</t>
  </si>
  <si>
    <t>CUST9623</t>
  </si>
  <si>
    <t>ORD108296</t>
  </si>
  <si>
    <t>CUST4733</t>
  </si>
  <si>
    <t>ORD108297</t>
  </si>
  <si>
    <t>CUST6281</t>
  </si>
  <si>
    <t>ORD108298</t>
  </si>
  <si>
    <t>CUST5792</t>
  </si>
  <si>
    <t>ORD108299</t>
  </si>
  <si>
    <t>ORD108300</t>
  </si>
  <si>
    <t>CUST6121</t>
  </si>
  <si>
    <t>ORD108301</t>
  </si>
  <si>
    <t>ORD108302</t>
  </si>
  <si>
    <t>ORD108303</t>
  </si>
  <si>
    <t>CUST3377</t>
  </si>
  <si>
    <t>ORD108304</t>
  </si>
  <si>
    <t>ORD108305</t>
  </si>
  <si>
    <t>CUST2292</t>
  </si>
  <si>
    <t>ORD108306</t>
  </si>
  <si>
    <t>ORD108307</t>
  </si>
  <si>
    <t>ORD108308</t>
  </si>
  <si>
    <t>CUST6313</t>
  </si>
  <si>
    <t>ORD108309</t>
  </si>
  <si>
    <t>ORD108310</t>
  </si>
  <si>
    <t>CUST2235</t>
  </si>
  <si>
    <t>ORD108311</t>
  </si>
  <si>
    <t>CUST6089</t>
  </si>
  <si>
    <t>ORD108312</t>
  </si>
  <si>
    <t>ORD108313</t>
  </si>
  <si>
    <t>CUST5926</t>
  </si>
  <si>
    <t>ORD108314</t>
  </si>
  <si>
    <t>ORD108315</t>
  </si>
  <si>
    <t>ORD108316</t>
  </si>
  <si>
    <t>CUST8892</t>
  </si>
  <si>
    <t>ORD108317</t>
  </si>
  <si>
    <t>ORD108318</t>
  </si>
  <si>
    <t>ORD108319</t>
  </si>
  <si>
    <t>ORD108320</t>
  </si>
  <si>
    <t>CUST5802</t>
  </si>
  <si>
    <t>ORD108321</t>
  </si>
  <si>
    <t>CUST5437</t>
  </si>
  <si>
    <t>ORD108322</t>
  </si>
  <si>
    <t>ORD108323</t>
  </si>
  <si>
    <t>CUST1295</t>
  </si>
  <si>
    <t>ORD108324</t>
  </si>
  <si>
    <t>ORD108325</t>
  </si>
  <si>
    <t>CUST8625</t>
  </si>
  <si>
    <t>ORD108326</t>
  </si>
  <si>
    <t>ORD108327</t>
  </si>
  <si>
    <t>ORD108328</t>
  </si>
  <si>
    <t>ORD108329</t>
  </si>
  <si>
    <t>CUST8627</t>
  </si>
  <si>
    <t>ORD108330</t>
  </si>
  <si>
    <t>ORD108331</t>
  </si>
  <si>
    <t>ORD108332</t>
  </si>
  <si>
    <t>ORD108333</t>
  </si>
  <si>
    <t>CUST8956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</si>
  <si>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</si>
  <si>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</si>
  <si>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</si>
  <si>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</si>
  <si>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</si>
  <si>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</si>
  <si>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</si>
  <si>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</si>
  <si>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CUST5084</t>
  </si>
  <si>
    <t>ORD108342</t>
  </si>
  <si>
    <t>ORD108343</t>
  </si>
  <si>
    <t>ORD108344</t>
  </si>
  <si>
    <t>CUST8365</t>
  </si>
  <si>
    <t>ORD108345</t>
  </si>
  <si>
    <t>CUST7442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</si>
  <si>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</si>
  <si>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</si>
  <si>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</si>
  <si>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</si>
  <si>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</si>
  <si>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</si>
  <si>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</si>
  <si>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</si>
  <si>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</si>
  <si>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CUST7632</t>
  </si>
  <si>
    <t>ORD108355</t>
  </si>
  <si>
    <t>CUST3972</t>
  </si>
  <si>
    <t>ORD108356</t>
  </si>
  <si>
    <t>ORD108357</t>
  </si>
  <si>
    <t>CUST7790</t>
  </si>
  <si>
    <t>ORD108358</t>
  </si>
  <si>
    <t>ORD108359</t>
  </si>
  <si>
    <t>CUST4579</t>
  </si>
  <si>
    <t>ORD108360</t>
  </si>
  <si>
    <t>CUST5978</t>
  </si>
  <si>
    <t>ORD108361</t>
  </si>
  <si>
    <t>CUST4184</t>
  </si>
  <si>
    <t>ORD108362</t>
  </si>
  <si>
    <t>CUST2396</t>
  </si>
  <si>
    <t>ORD108363</t>
  </si>
  <si>
    <t>ORD108364</t>
  </si>
  <si>
    <t>ORD108365</t>
  </si>
  <si>
    <t>CUST7553</t>
  </si>
  <si>
    <t>ORD108366</t>
  </si>
  <si>
    <t>CUST7504</t>
  </si>
  <si>
    <t>ORD108367</t>
  </si>
  <si>
    <t>ORD108368</t>
  </si>
  <si>
    <t>CUST3518</t>
  </si>
  <si>
    <t>ORD108369</t>
  </si>
  <si>
    <t>ORD108370</t>
  </si>
  <si>
    <t>CUST2746</t>
  </si>
  <si>
    <t>ORD108371</t>
  </si>
  <si>
    <t>ORD108372</t>
  </si>
  <si>
    <t>ORD108373</t>
  </si>
  <si>
    <t>ORD108374</t>
  </si>
  <si>
    <t>ORD108375</t>
  </si>
  <si>
    <t>CUST7739</t>
  </si>
  <si>
    <t>ORD108376</t>
  </si>
  <si>
    <t>ORD108377</t>
  </si>
  <si>
    <t>ORD108378</t>
  </si>
  <si>
    <t>ORD108379</t>
  </si>
  <si>
    <t>ORD108380</t>
  </si>
  <si>
    <t>CUST9174</t>
  </si>
  <si>
    <t>ORD108381</t>
  </si>
  <si>
    <t>ORD108382</t>
  </si>
  <si>
    <t>ORD108383</t>
  </si>
  <si>
    <t>CUST4046</t>
  </si>
  <si>
    <t>ORD108384</t>
  </si>
  <si>
    <t>CUST9488</t>
  </si>
  <si>
    <t>ORD108385</t>
  </si>
  <si>
    <t>ORD108386</t>
  </si>
  <si>
    <t>ORD108387</t>
  </si>
  <si>
    <t>CUST4021</t>
  </si>
  <si>
    <t>ORD108388</t>
  </si>
  <si>
    <t>ORD108389</t>
  </si>
  <si>
    <t>CUST9323</t>
  </si>
  <si>
    <t>ORD108390</t>
  </si>
  <si>
    <t>ORD108391</t>
  </si>
  <si>
    <t>CUST4450</t>
  </si>
  <si>
    <t>ORD108392</t>
  </si>
  <si>
    <t>ORD108393</t>
  </si>
  <si>
    <t>ORD108394</t>
  </si>
  <si>
    <t>CUST9945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</si>
  <si>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</si>
  <si>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</si>
  <si>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</si>
  <si>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</si>
  <si>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</si>
  <si>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</si>
  <si>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</si>
  <si>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</si>
  <si>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CUST7644</t>
  </si>
  <si>
    <t>ORD108403</t>
  </si>
  <si>
    <t>CUST3075</t>
  </si>
  <si>
    <t>ORD108404</t>
  </si>
  <si>
    <t>CUST4609</t>
  </si>
  <si>
    <t>ORD108405</t>
  </si>
  <si>
    <t>ORD108406</t>
  </si>
  <si>
    <t>ORD108407</t>
  </si>
  <si>
    <t>CUST5373</t>
  </si>
  <si>
    <t>ORD108408</t>
  </si>
  <si>
    <t>ORD108409</t>
  </si>
  <si>
    <t>CUST9637</t>
  </si>
  <si>
    <t>ORD108410</t>
  </si>
  <si>
    <t>CUST8009</t>
  </si>
  <si>
    <t>ORD108411</t>
  </si>
  <si>
    <t>CUST7408</t>
  </si>
  <si>
    <t>ORD108412</t>
  </si>
  <si>
    <t>ORD108413</t>
  </si>
  <si>
    <t>CUST9372</t>
  </si>
  <si>
    <t>ORD108414</t>
  </si>
  <si>
    <t>CUST6202</t>
  </si>
  <si>
    <t>ORD108415</t>
  </si>
  <si>
    <t>ORD108416</t>
  </si>
  <si>
    <t>CUST9391</t>
  </si>
  <si>
    <t>ORD108417</t>
  </si>
  <si>
    <t>CUST8503</t>
  </si>
  <si>
    <t>ORD108418</t>
  </si>
  <si>
    <t>ORD108419</t>
  </si>
  <si>
    <t>ORD108420</t>
  </si>
  <si>
    <t>ORD108421</t>
  </si>
  <si>
    <t>CUST6384</t>
  </si>
  <si>
    <t>ORD108422</t>
  </si>
  <si>
    <t>CUST9063</t>
  </si>
  <si>
    <t>ORD108423</t>
  </si>
  <si>
    <t>ORD108424</t>
  </si>
  <si>
    <t>ORD108425</t>
  </si>
  <si>
    <t>ORD108426</t>
  </si>
  <si>
    <t>ORD108427</t>
  </si>
  <si>
    <t>ORD108428</t>
  </si>
  <si>
    <t>ORD108429</t>
  </si>
  <si>
    <t>CUST7370</t>
  </si>
  <si>
    <t>ORD108430</t>
  </si>
  <si>
    <t>CUST8092</t>
  </si>
  <si>
    <t>ORD108431</t>
  </si>
  <si>
    <t>ORD108432</t>
  </si>
  <si>
    <t>ORD108433</t>
  </si>
  <si>
    <t>CUST3253</t>
  </si>
  <si>
    <t>ORD108434</t>
  </si>
  <si>
    <t>ORD108435</t>
  </si>
  <si>
    <t>ORD108436</t>
  </si>
  <si>
    <t>ORD108437</t>
  </si>
  <si>
    <t>CUST8339</t>
  </si>
  <si>
    <t>ORD108438</t>
  </si>
  <si>
    <t>CUST2726</t>
  </si>
  <si>
    <t>ORD108439</t>
  </si>
  <si>
    <t>ORD108440</t>
  </si>
  <si>
    <t>ORD108441</t>
  </si>
  <si>
    <t>CUST2018</t>
  </si>
  <si>
    <t>ORD108442</t>
  </si>
  <si>
    <t>CUST6956</t>
  </si>
  <si>
    <t>ORD108443</t>
  </si>
  <si>
    <t>CUST5287</t>
  </si>
  <si>
    <t>ORD108444</t>
  </si>
  <si>
    <t>ORD108445</t>
  </si>
  <si>
    <t>ORD108446</t>
  </si>
  <si>
    <t>ORD108447</t>
  </si>
  <si>
    <t>CUST5858</t>
  </si>
  <si>
    <t>ORD108448</t>
  </si>
  <si>
    <t>CUST3680</t>
  </si>
  <si>
    <t>ORD108449</t>
  </si>
  <si>
    <t>ORD108450</t>
  </si>
  <si>
    <t>CUST6849</t>
  </si>
  <si>
    <t>ORD108451</t>
  </si>
  <si>
    <t>ORD108452</t>
  </si>
  <si>
    <t>ORD108453</t>
  </si>
  <si>
    <t>ORD108454</t>
  </si>
  <si>
    <t>ORD108455</t>
  </si>
  <si>
    <t>ORD108456</t>
  </si>
  <si>
    <t>CUST7235</t>
  </si>
  <si>
    <t>ORD108457</t>
  </si>
  <si>
    <t>ORD108458</t>
  </si>
  <si>
    <t>ORD108459</t>
  </si>
  <si>
    <t>ORD108460</t>
  </si>
  <si>
    <t>ORD108461</t>
  </si>
  <si>
    <t>ORD108462</t>
  </si>
  <si>
    <t>ORD108463</t>
  </si>
  <si>
    <t>CUST3876</t>
  </si>
  <si>
    <t>ORD108464</t>
  </si>
  <si>
    <t>ORD108465</t>
  </si>
  <si>
    <t>CUST9448</t>
  </si>
  <si>
    <t>ORD108466</t>
  </si>
  <si>
    <t>CUST3579</t>
  </si>
  <si>
    <t>ORD108467</t>
  </si>
  <si>
    <t>CUST4180</t>
  </si>
  <si>
    <t>ORD108468</t>
  </si>
  <si>
    <t>CUST4325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</si>
  <si>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</si>
  <si>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</si>
  <si>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</si>
  <si>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</si>
  <si>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</si>
  <si>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</si>
  <si>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</si>
  <si>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</si>
  <si>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CUST3347</t>
  </si>
  <si>
    <t>ORD108477</t>
  </si>
  <si>
    <t>ORD108478</t>
  </si>
  <si>
    <t>ORD108479</t>
  </si>
  <si>
    <t>ORD108480</t>
  </si>
  <si>
    <t>ORD108481</t>
  </si>
  <si>
    <t>ORD108482</t>
  </si>
  <si>
    <t>ORD108483</t>
  </si>
  <si>
    <t>CUST4560</t>
  </si>
  <si>
    <t>ORD108484</t>
  </si>
  <si>
    <t>ORD108485</t>
  </si>
  <si>
    <t>CUST9585</t>
  </si>
  <si>
    <t>ORD108486</t>
  </si>
  <si>
    <t>CUST8404</t>
  </si>
  <si>
    <t>ORD108487</t>
  </si>
  <si>
    <t>ORD108488</t>
  </si>
  <si>
    <t>ORD108489</t>
  </si>
  <si>
    <t>ORD108490</t>
  </si>
  <si>
    <t>CUST5203</t>
  </si>
  <si>
    <t>ORD108491</t>
  </si>
  <si>
    <t>CUST9104</t>
  </si>
  <si>
    <t>ORD108492</t>
  </si>
  <si>
    <t>ORD108493</t>
  </si>
  <si>
    <t>ORD108494</t>
  </si>
  <si>
    <t>ORD108495</t>
  </si>
  <si>
    <t>CUST9921</t>
  </si>
  <si>
    <t>ORD108496</t>
  </si>
  <si>
    <t>ORD108497</t>
  </si>
  <si>
    <t>CUST3464</t>
  </si>
  <si>
    <t>ORD108498</t>
  </si>
  <si>
    <t>ORD108499</t>
  </si>
  <si>
    <t>CUST4765</t>
  </si>
  <si>
    <t>ORD108500</t>
  </si>
  <si>
    <t>ORD108501</t>
  </si>
  <si>
    <t>CUST1041</t>
  </si>
  <si>
    <t>ORD108502</t>
  </si>
  <si>
    <t>CUST5214</t>
  </si>
  <si>
    <t>ORD108503</t>
  </si>
  <si>
    <t>ORD108504</t>
  </si>
  <si>
    <t>ORD108505</t>
  </si>
  <si>
    <t>ORD108506</t>
  </si>
  <si>
    <t>CUST6719</t>
  </si>
  <si>
    <t>ORD108507</t>
  </si>
  <si>
    <t>ORD108508</t>
  </si>
  <si>
    <t>ORD108509</t>
  </si>
  <si>
    <t>CUST2164</t>
  </si>
  <si>
    <t>ORD108510</t>
  </si>
  <si>
    <t>CUST7030</t>
  </si>
  <si>
    <t>ORD108511</t>
  </si>
  <si>
    <t>CUST5942</t>
  </si>
  <si>
    <t>ORD108512</t>
  </si>
  <si>
    <t>CUST9794</t>
  </si>
  <si>
    <t>ORD108513</t>
  </si>
  <si>
    <t>CUST8604</t>
  </si>
  <si>
    <t>ORD108514</t>
  </si>
  <si>
    <t>ORD108515</t>
  </si>
  <si>
    <t>CUST8562</t>
  </si>
  <si>
    <t>ORD108516</t>
  </si>
  <si>
    <t>CUST3247</t>
  </si>
  <si>
    <t>ORD108517</t>
  </si>
  <si>
    <t>CUST8211</t>
  </si>
  <si>
    <t>ORD108518</t>
  </si>
  <si>
    <t>ORD108519</t>
  </si>
  <si>
    <t>ORD108520</t>
  </si>
  <si>
    <t>CUST2210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</si>
  <si>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</si>
  <si>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</si>
  <si>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</si>
  <si>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</si>
  <si>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</si>
  <si>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</si>
  <si>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</si>
  <si>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</si>
  <si>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CUST4923</t>
  </si>
  <si>
    <t>ORD108529</t>
  </si>
  <si>
    <t>ORD108530</t>
  </si>
  <si>
    <t>CUST3999</t>
  </si>
  <si>
    <t>ORD108531</t>
  </si>
  <si>
    <t>CUST2131</t>
  </si>
  <si>
    <t>ORD108532</t>
  </si>
  <si>
    <t>ORD108533</t>
  </si>
  <si>
    <t>CUST5356</t>
  </si>
  <si>
    <t>ORD108534</t>
  </si>
  <si>
    <t>CUST5998</t>
  </si>
  <si>
    <t>ORD108535</t>
  </si>
  <si>
    <t>ORD108536</t>
  </si>
  <si>
    <t>CUST2773</t>
  </si>
  <si>
    <t>ORD108537</t>
  </si>
  <si>
    <t>CUST2278</t>
  </si>
  <si>
    <t>ORD108538</t>
  </si>
  <si>
    <t>CUST3879</t>
  </si>
  <si>
    <t>ORD108539</t>
  </si>
  <si>
    <t>CUST4237</t>
  </si>
  <si>
    <t>ORD108540</t>
  </si>
  <si>
    <t>CUST2399</t>
  </si>
  <si>
    <t>ORD108541</t>
  </si>
  <si>
    <t>CUST4310</t>
  </si>
  <si>
    <t>ORD108542</t>
  </si>
  <si>
    <t>ORD108543</t>
  </si>
  <si>
    <t>ORD108544</t>
  </si>
  <si>
    <t>ORD108545</t>
  </si>
  <si>
    <t>ORD108546</t>
  </si>
  <si>
    <t>CUST8937</t>
  </si>
  <si>
    <t>ORD108547</t>
  </si>
  <si>
    <t>CUST4559</t>
  </si>
  <si>
    <t>ORD108548</t>
  </si>
  <si>
    <t>CUST8673</t>
  </si>
  <si>
    <t>ORD108549</t>
  </si>
  <si>
    <t>CUST3989</t>
  </si>
  <si>
    <t>ORD108550</t>
  </si>
  <si>
    <t>ORD108551</t>
  </si>
  <si>
    <t>CUST4146</t>
  </si>
  <si>
    <t>ORD108552</t>
  </si>
  <si>
    <t>CUST9409</t>
  </si>
  <si>
    <t>ORD108553</t>
  </si>
  <si>
    <t>CUST4017</t>
  </si>
  <si>
    <t>ORD108554</t>
  </si>
  <si>
    <t>CUST3557</t>
  </si>
  <si>
    <t>ORD108555</t>
  </si>
  <si>
    <t>ORD108556</t>
  </si>
  <si>
    <t>CUST3667</t>
  </si>
  <si>
    <t>ORD108557</t>
  </si>
  <si>
    <t>ORD108558</t>
  </si>
  <si>
    <t>ORD108559</t>
  </si>
  <si>
    <t>CUST9467</t>
  </si>
  <si>
    <t>ORD108560</t>
  </si>
  <si>
    <t>ORD108561</t>
  </si>
  <si>
    <t>CUST6229</t>
  </si>
  <si>
    <t>ORD108562</t>
  </si>
  <si>
    <t>ORD108563</t>
  </si>
  <si>
    <t>ORD108564</t>
  </si>
  <si>
    <t>CUST6212</t>
  </si>
  <si>
    <t>ORD108565</t>
  </si>
  <si>
    <t>CUST8112</t>
  </si>
  <si>
    <t>ORD108566</t>
  </si>
  <si>
    <t>ORD108567</t>
  </si>
  <si>
    <t>ORD108568</t>
  </si>
  <si>
    <t>ORD108569</t>
  </si>
  <si>
    <t>ORD108570</t>
  </si>
  <si>
    <t>ORD108571</t>
  </si>
  <si>
    <t>CUST8821</t>
  </si>
  <si>
    <t>ORD108572</t>
  </si>
  <si>
    <t>ORD108573</t>
  </si>
  <si>
    <t>CUST7437</t>
  </si>
  <si>
    <t>ORD108574</t>
  </si>
  <si>
    <t>CUST9393</t>
  </si>
  <si>
    <t>ORD108575</t>
  </si>
  <si>
    <t>CUST6069</t>
  </si>
  <si>
    <t>ORD108576</t>
  </si>
  <si>
    <t>CUST5549</t>
  </si>
  <si>
    <t>ORD108577</t>
  </si>
  <si>
    <t>CUST6900</t>
  </si>
  <si>
    <t>ORD108578</t>
  </si>
  <si>
    <t>ORD108579</t>
  </si>
  <si>
    <t>CUST4117</t>
  </si>
  <si>
    <t>ORD108580</t>
  </si>
  <si>
    <t>CUST4925</t>
  </si>
  <si>
    <t>ORD108581</t>
  </si>
  <si>
    <t>ORD108582</t>
  </si>
  <si>
    <t>ORD108583</t>
  </si>
  <si>
    <t>CUST1886</t>
  </si>
  <si>
    <t>ORD108584</t>
  </si>
  <si>
    <t>ORD108585</t>
  </si>
  <si>
    <t>ORD108586</t>
  </si>
  <si>
    <t>ORD108587</t>
  </si>
  <si>
    <t>CUST6380</t>
  </si>
  <si>
    <t>ORD108588</t>
  </si>
  <si>
    <t>ORD108589</t>
  </si>
  <si>
    <t>CUST9002</t>
  </si>
  <si>
    <t>ORD108590</t>
  </si>
  <si>
    <t>ORD108591</t>
  </si>
  <si>
    <t>ORD108592</t>
  </si>
  <si>
    <t>ORD108593</t>
  </si>
  <si>
    <t>CUST2678</t>
  </si>
  <si>
    <t>ORD108594</t>
  </si>
  <si>
    <t>CUST3561</t>
  </si>
  <si>
    <t>ORD108595</t>
  </si>
  <si>
    <t>ORD108596</t>
  </si>
  <si>
    <t>ORD108597</t>
  </si>
  <si>
    <t>ORD108598</t>
  </si>
  <si>
    <t>ORD108599</t>
  </si>
  <si>
    <t>CUST2438</t>
  </si>
  <si>
    <t>ORD108600</t>
  </si>
  <si>
    <t>CUST6920</t>
  </si>
  <si>
    <t>ORD108601</t>
  </si>
  <si>
    <t>ORD108602</t>
  </si>
  <si>
    <t>ORD108603</t>
  </si>
  <si>
    <t>ORD108604</t>
  </si>
  <si>
    <t>CUST1271</t>
  </si>
  <si>
    <t>ORD108605</t>
  </si>
  <si>
    <t>CUST4295</t>
  </si>
  <si>
    <t>ORD108606</t>
  </si>
  <si>
    <t>CUST2240</t>
  </si>
  <si>
    <t>ORD108607</t>
  </si>
  <si>
    <t>CUST5415</t>
  </si>
  <si>
    <t>ORD108608</t>
  </si>
  <si>
    <t>CUST4446</t>
  </si>
  <si>
    <t>ORD108609</t>
  </si>
  <si>
    <t>CUST2411</t>
  </si>
  <si>
    <t>ORD108610</t>
  </si>
  <si>
    <t>ORD108611</t>
  </si>
  <si>
    <t>ORD108612</t>
  </si>
  <si>
    <t>CUST7123</t>
  </si>
  <si>
    <t>ORD108613</t>
  </si>
  <si>
    <t>CUST4900</t>
  </si>
  <si>
    <t>ORD108614</t>
  </si>
  <si>
    <t>ORD108615</t>
  </si>
  <si>
    <t>CUST2791</t>
  </si>
  <si>
    <t>ORD108616</t>
  </si>
  <si>
    <t>ORD108617</t>
  </si>
  <si>
    <t>ORD108618</t>
  </si>
  <si>
    <t>ORD108619</t>
  </si>
  <si>
    <t>ORD108620</t>
  </si>
  <si>
    <t>CUST2730</t>
  </si>
  <si>
    <t>ORD108621</t>
  </si>
  <si>
    <t>ORD108622</t>
  </si>
  <si>
    <t>ORD108623</t>
  </si>
  <si>
    <t>ORD108624</t>
  </si>
  <si>
    <t>CUST6541</t>
  </si>
  <si>
    <t>ORD108625</t>
  </si>
  <si>
    <t>CUST4338</t>
  </si>
  <si>
    <t>ORD108626</t>
  </si>
  <si>
    <t>ORD108627</t>
  </si>
  <si>
    <t>CUST5267</t>
  </si>
  <si>
    <t>ORD108628</t>
  </si>
  <si>
    <t>CUST2123</t>
  </si>
  <si>
    <t>ORD108629</t>
  </si>
  <si>
    <t>CUST5568</t>
  </si>
  <si>
    <t>ORD108630</t>
  </si>
  <si>
    <t>CUST3142</t>
  </si>
  <si>
    <t>ORD108631</t>
  </si>
  <si>
    <t>ORD108632</t>
  </si>
  <si>
    <t>ORD108633</t>
  </si>
  <si>
    <t>CUST4800</t>
  </si>
  <si>
    <t>ORD108634</t>
  </si>
  <si>
    <t>ORD108635</t>
  </si>
  <si>
    <t>CUST1440</t>
  </si>
  <si>
    <t>ORD108636</t>
  </si>
  <si>
    <t>ORD108637</t>
  </si>
  <si>
    <t>CUST2635</t>
  </si>
  <si>
    <t>ORD108638</t>
  </si>
  <si>
    <t>CUST6894</t>
  </si>
  <si>
    <t>ORD108639</t>
  </si>
  <si>
    <t>ORD108640</t>
  </si>
  <si>
    <t>CUST2804</t>
  </si>
  <si>
    <t>ORD108641</t>
  </si>
  <si>
    <t>ORD108642</t>
  </si>
  <si>
    <t>CUST4268</t>
  </si>
  <si>
    <t>ORD108643</t>
  </si>
  <si>
    <t>CUST8213</t>
  </si>
  <si>
    <t>ORD108644</t>
  </si>
  <si>
    <t>CUST8790</t>
  </si>
  <si>
    <t>ORD108645</t>
  </si>
  <si>
    <t>ORD108646</t>
  </si>
  <si>
    <t>ORD108647</t>
  </si>
  <si>
    <t>ORD108648</t>
  </si>
  <si>
    <t>CUST7073</t>
  </si>
  <si>
    <t>ORD108649</t>
  </si>
  <si>
    <t>ORD108650</t>
  </si>
  <si>
    <t>ORD108651</t>
  </si>
  <si>
    <t>ORD108652</t>
  </si>
  <si>
    <t>CUST9743</t>
  </si>
  <si>
    <t>ORD108653</t>
  </si>
  <si>
    <t>ORD108654</t>
  </si>
  <si>
    <t>CUST6556</t>
  </si>
  <si>
    <t>ORD108655</t>
  </si>
  <si>
    <t>ORD108656</t>
  </si>
  <si>
    <t>ORD108657</t>
  </si>
  <si>
    <t>ORD108658</t>
  </si>
  <si>
    <t>ORD108659</t>
  </si>
  <si>
    <t>ORD108660</t>
  </si>
  <si>
    <t>ORD108661</t>
  </si>
  <si>
    <t>CUST9444</t>
  </si>
  <si>
    <t>ORD108662</t>
  </si>
  <si>
    <t>ORD108663</t>
  </si>
  <si>
    <t>CUST7382</t>
  </si>
  <si>
    <t>ORD108664</t>
  </si>
  <si>
    <t>ORD108665</t>
  </si>
  <si>
    <t>CUST8023</t>
  </si>
  <si>
    <t>ORD108666</t>
  </si>
  <si>
    <t>ORD108667</t>
  </si>
  <si>
    <t>ORD108668</t>
  </si>
  <si>
    <t>ORD108669</t>
  </si>
  <si>
    <t>CUST4611</t>
  </si>
  <si>
    <t>ORD108670</t>
  </si>
  <si>
    <t>ORD108671</t>
  </si>
  <si>
    <t>CUST2454</t>
  </si>
  <si>
    <t>ORD108672</t>
  </si>
  <si>
    <t>ORD108673</t>
  </si>
  <si>
    <t>CUST9083</t>
  </si>
  <si>
    <t>ORD108674</t>
  </si>
  <si>
    <t>CUST5563</t>
  </si>
  <si>
    <t>ORD108675</t>
  </si>
  <si>
    <t>ORD108676</t>
  </si>
  <si>
    <t>CUST6017</t>
  </si>
  <si>
    <t>ORD108677</t>
  </si>
  <si>
    <t>ORD108678</t>
  </si>
  <si>
    <t>CUST2790</t>
  </si>
  <si>
    <t>ORD108679</t>
  </si>
  <si>
    <t>ORD108680</t>
  </si>
  <si>
    <t>ORD108681</t>
  </si>
  <si>
    <t>ORD108682</t>
  </si>
  <si>
    <t>ORD108683</t>
  </si>
  <si>
    <t>ORD108684</t>
  </si>
  <si>
    <t>ORD108685</t>
  </si>
  <si>
    <t>CUST9155</t>
  </si>
  <si>
    <t>ORD108686</t>
  </si>
  <si>
    <t>ORD108687</t>
  </si>
  <si>
    <t>ORD108688</t>
  </si>
  <si>
    <t>CUST5962</t>
  </si>
  <si>
    <t>ORD108689</t>
  </si>
  <si>
    <t>ORD108690</t>
  </si>
  <si>
    <t>ORD108691</t>
  </si>
  <si>
    <t>ORD108692</t>
  </si>
  <si>
    <t>ORD108693</t>
  </si>
  <si>
    <t>ORD108694</t>
  </si>
  <si>
    <t>ORD108695</t>
  </si>
  <si>
    <t>CUST1343</t>
  </si>
  <si>
    <t>ORD108696</t>
  </si>
  <si>
    <t>CUST2618</t>
  </si>
  <si>
    <t>ORD108697</t>
  </si>
  <si>
    <t>CUST3267</t>
  </si>
  <si>
    <t>ORD108698</t>
  </si>
  <si>
    <t>ORD108699</t>
  </si>
  <si>
    <t>CUST3842</t>
  </si>
  <si>
    <t>ORD108700</t>
  </si>
  <si>
    <t>ORD108701</t>
  </si>
  <si>
    <t>ORD108702</t>
  </si>
  <si>
    <t>CUST5336</t>
  </si>
  <si>
    <t>ORD108703</t>
  </si>
  <si>
    <t>CUST3187</t>
  </si>
  <si>
    <t>ORD108704</t>
  </si>
  <si>
    <t>CUST7176</t>
  </si>
  <si>
    <t>ORD108705</t>
  </si>
  <si>
    <t>ORD108706</t>
  </si>
  <si>
    <t>ORD108707</t>
  </si>
  <si>
    <t>ORD108708</t>
  </si>
  <si>
    <t>ORD108709</t>
  </si>
  <si>
    <t>ORD108710</t>
  </si>
  <si>
    <t>ORD108711</t>
  </si>
  <si>
    <t>CUST4618</t>
  </si>
  <si>
    <t>ORD108712</t>
  </si>
  <si>
    <t>ORD108713</t>
  </si>
  <si>
    <t>ORD108714</t>
  </si>
  <si>
    <t>CUST3728</t>
  </si>
  <si>
    <t>ORD108715</t>
  </si>
  <si>
    <t>ORD108716</t>
  </si>
  <si>
    <t>ORD108717</t>
  </si>
  <si>
    <t>CUST6540</t>
  </si>
  <si>
    <t>ORD108718</t>
  </si>
  <si>
    <t>ORD108719</t>
  </si>
  <si>
    <t>ORD108720</t>
  </si>
  <si>
    <t>CUST9498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</si>
  <si>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</si>
  <si>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</si>
  <si>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</si>
  <si>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</si>
  <si>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</si>
  <si>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</si>
  <si>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</si>
  <si>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</si>
  <si>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CUST9858</t>
  </si>
  <si>
    <t>ORD108729</t>
  </si>
  <si>
    <t>ORD108730</t>
  </si>
  <si>
    <t>ORD108731</t>
  </si>
  <si>
    <t>ORD108732</t>
  </si>
  <si>
    <t>CUST4476</t>
  </si>
  <si>
    <t>ORD108733</t>
  </si>
  <si>
    <t>ORD108734</t>
  </si>
  <si>
    <t>CUST1928</t>
  </si>
  <si>
    <t>ORD108735</t>
  </si>
  <si>
    <t>ORD108736</t>
  </si>
  <si>
    <t>ORD108737</t>
  </si>
  <si>
    <t>ORD108738</t>
  </si>
  <si>
    <t>ORD108739</t>
  </si>
  <si>
    <t>ORD108740</t>
  </si>
  <si>
    <t>CUST7265</t>
  </si>
  <si>
    <t>ORD108741</t>
  </si>
  <si>
    <t>ORD108742</t>
  </si>
  <si>
    <t>CUST4746</t>
  </si>
  <si>
    <t>ORD108743</t>
  </si>
  <si>
    <t>CUST4964</t>
  </si>
  <si>
    <t>ORD108744</t>
  </si>
  <si>
    <t>CUST7425</t>
  </si>
  <si>
    <t>ORD108745</t>
  </si>
  <si>
    <t>ORD108746</t>
  </si>
  <si>
    <t>ORD108747</t>
  </si>
  <si>
    <t>CUST7055</t>
  </si>
  <si>
    <t>ORD108748</t>
  </si>
  <si>
    <t>ORD108749</t>
  </si>
  <si>
    <t>ORD108750</t>
  </si>
  <si>
    <t>ORD108751</t>
  </si>
  <si>
    <t>CUST3221</t>
  </si>
  <si>
    <t>ORD108752</t>
  </si>
  <si>
    <t>ORD108753</t>
  </si>
  <si>
    <t>ORD108754</t>
  </si>
  <si>
    <t>ORD108755</t>
  </si>
  <si>
    <t>ORD108756</t>
  </si>
  <si>
    <t>CUST3333</t>
  </si>
  <si>
    <t>ORD108757</t>
  </si>
  <si>
    <t>ORD108758</t>
  </si>
  <si>
    <t>ORD108759</t>
  </si>
  <si>
    <t>ORD108760</t>
  </si>
  <si>
    <t>CUST8340</t>
  </si>
  <si>
    <t>ORD108761</t>
  </si>
  <si>
    <t>CUST7498</t>
  </si>
  <si>
    <t>ORD108762</t>
  </si>
  <si>
    <t>ORD108763</t>
  </si>
  <si>
    <t>ORD108764</t>
  </si>
  <si>
    <t>ORD108765</t>
  </si>
  <si>
    <t>ORD108766</t>
  </si>
  <si>
    <t>CUST4517</t>
  </si>
  <si>
    <t>ORD108767</t>
  </si>
  <si>
    <t>CUST9121</t>
  </si>
  <si>
    <t>ORD108768</t>
  </si>
  <si>
    <t>ORD108769</t>
  </si>
  <si>
    <t>ORD108770</t>
  </si>
  <si>
    <t>CUST1866</t>
  </si>
  <si>
    <t>ORD108771</t>
  </si>
  <si>
    <t>ORD108772</t>
  </si>
  <si>
    <t>ORD108773</t>
  </si>
  <si>
    <t>CUST3193</t>
  </si>
  <si>
    <t>ORD108774</t>
  </si>
  <si>
    <t>ORD108775</t>
  </si>
  <si>
    <t>ORD108776</t>
  </si>
  <si>
    <t>ORD108777</t>
  </si>
  <si>
    <t>ORD108778</t>
  </si>
  <si>
    <t>CUST8102</t>
  </si>
  <si>
    <t>ORD108779</t>
  </si>
  <si>
    <t>ORD108780</t>
  </si>
  <si>
    <t>CUST1592</t>
  </si>
  <si>
    <t>ORD108781</t>
  </si>
  <si>
    <t>CUST7271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</si>
  <si>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</si>
  <si>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</si>
  <si>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</si>
  <si>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</si>
  <si>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</si>
  <si>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</si>
  <si>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</si>
  <si>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CUST5969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</si>
  <si>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</si>
  <si>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</si>
  <si>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</si>
  <si>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</si>
  <si>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</si>
  <si>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</si>
  <si>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</si>
  <si>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</si>
  <si>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CUST7029</t>
  </si>
  <si>
    <t>ORD108797</t>
  </si>
  <si>
    <t>CUST2226</t>
  </si>
  <si>
    <t>ORD108798</t>
  </si>
  <si>
    <t>ORD108799</t>
  </si>
  <si>
    <t>CUST8642</t>
  </si>
  <si>
    <t>ORD108800</t>
  </si>
  <si>
    <t>ORD108801</t>
  </si>
  <si>
    <t>ORD108802</t>
  </si>
  <si>
    <t>ORD108803</t>
  </si>
  <si>
    <t>ORD108804</t>
  </si>
  <si>
    <t>CUST2387</t>
  </si>
  <si>
    <t>ORD108805</t>
  </si>
  <si>
    <t>ORD108806</t>
  </si>
  <si>
    <t>CUST2334</t>
  </si>
  <si>
    <t>ORD108807</t>
  </si>
  <si>
    <t>ORD108808</t>
  </si>
  <si>
    <t>ORD108809</t>
  </si>
  <si>
    <t>ORD108810</t>
  </si>
  <si>
    <t>CUST4586</t>
  </si>
  <si>
    <t>ORD108811</t>
  </si>
  <si>
    <t>ORD108812</t>
  </si>
  <si>
    <t>CUST2425</t>
  </si>
  <si>
    <t>ORD108813</t>
  </si>
  <si>
    <t>CUST8390</t>
  </si>
  <si>
    <t>ORD108814</t>
  </si>
  <si>
    <t>ORD108815</t>
  </si>
  <si>
    <t>CUST5035</t>
  </si>
  <si>
    <t>ORD108816</t>
  </si>
  <si>
    <t>ORD108817</t>
  </si>
  <si>
    <t>CUST9237</t>
  </si>
  <si>
    <t>ORD108818</t>
  </si>
  <si>
    <t>ORD108819</t>
  </si>
  <si>
    <t>CUST4540</t>
  </si>
  <si>
    <t>ORD108820</t>
  </si>
  <si>
    <t>CUST1292</t>
  </si>
  <si>
    <t>ORD108821</t>
  </si>
  <si>
    <t>ORD108822</t>
  </si>
  <si>
    <t>ORD108823</t>
  </si>
  <si>
    <t>ORD108824</t>
  </si>
  <si>
    <t>ORD108825</t>
  </si>
  <si>
    <t>CUST1808</t>
  </si>
  <si>
    <t>ORD108826</t>
  </si>
  <si>
    <t>CUST1463</t>
  </si>
  <si>
    <t>ORD108827</t>
  </si>
  <si>
    <t>CUST3364</t>
  </si>
  <si>
    <t>ORD108828</t>
  </si>
  <si>
    <t>CUST8949</t>
  </si>
  <si>
    <t>ORD108829</t>
  </si>
  <si>
    <t>CUST7624</t>
  </si>
  <si>
    <t>ORD108830</t>
  </si>
  <si>
    <t>ORD108831</t>
  </si>
  <si>
    <t>ORD108832</t>
  </si>
  <si>
    <t>ORD108833</t>
  </si>
  <si>
    <t>CUST1640</t>
  </si>
  <si>
    <t>ORD108834</t>
  </si>
  <si>
    <t>CUST6624</t>
  </si>
  <si>
    <t>ORD108835</t>
  </si>
  <si>
    <t>CUST9115</t>
  </si>
  <si>
    <t>ORD108836</t>
  </si>
  <si>
    <t>ORD108837</t>
  </si>
  <si>
    <t>ORD108838</t>
  </si>
  <si>
    <t>CUST7276</t>
  </si>
  <si>
    <t>ORD108839</t>
  </si>
  <si>
    <t>CUST2623</t>
  </si>
  <si>
    <t>ORD108840</t>
  </si>
  <si>
    <t>CUST9570</t>
  </si>
  <si>
    <t>ORD108841</t>
  </si>
  <si>
    <t>CUST2749</t>
  </si>
  <si>
    <t>ORD108842</t>
  </si>
  <si>
    <t>ORD108843</t>
  </si>
  <si>
    <t>ORD108844</t>
  </si>
  <si>
    <t>CUST4663</t>
  </si>
  <si>
    <t>ORD108845</t>
  </si>
  <si>
    <t>CUST9725</t>
  </si>
  <si>
    <t>ORD108846</t>
  </si>
  <si>
    <t>ORD108847</t>
  </si>
  <si>
    <t>ORD108848</t>
  </si>
  <si>
    <t>ORD108849</t>
  </si>
  <si>
    <t>ORD108850</t>
  </si>
  <si>
    <t>CUST2668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</si>
  <si>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</si>
  <si>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</si>
  <si>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</si>
  <si>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</si>
  <si>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</si>
  <si>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</si>
  <si>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</si>
  <si>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</si>
  <si>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</si>
  <si>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</si>
  <si>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</si>
  <si>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</si>
  <si>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</si>
  <si>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</si>
  <si>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</si>
  <si>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</si>
  <si>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CUST5384</t>
  </si>
  <si>
    <t>ORD108867</t>
  </si>
  <si>
    <t>ORD108868</t>
  </si>
  <si>
    <t>ORD108869</t>
  </si>
  <si>
    <t>ORD108870</t>
  </si>
  <si>
    <t>CUST7369</t>
  </si>
  <si>
    <t>ORD108871</t>
  </si>
  <si>
    <t>ORD108872</t>
  </si>
  <si>
    <t>ORD108873</t>
  </si>
  <si>
    <t>ORD108874</t>
  </si>
  <si>
    <t>CUST1624</t>
  </si>
  <si>
    <t>ORD108875</t>
  </si>
  <si>
    <t>ORD108876</t>
  </si>
  <si>
    <t>CUST9127</t>
  </si>
  <si>
    <t>ORD108877</t>
  </si>
  <si>
    <t>ORD108878</t>
  </si>
  <si>
    <t>ORD108879</t>
  </si>
  <si>
    <t>ORD108880</t>
  </si>
  <si>
    <t>ORD108881</t>
  </si>
  <si>
    <t>CUST5720</t>
  </si>
  <si>
    <t>ORD108882</t>
  </si>
  <si>
    <t>ORD108883</t>
  </si>
  <si>
    <t>ORD108884</t>
  </si>
  <si>
    <t>ORD108885</t>
  </si>
  <si>
    <t>CUST8893</t>
  </si>
  <si>
    <t>ORD108886</t>
  </si>
  <si>
    <t>CUST8965</t>
  </si>
  <si>
    <t>ORD108887</t>
  </si>
  <si>
    <t>ORD108888</t>
  </si>
  <si>
    <t>CUST6646</t>
  </si>
  <si>
    <t>ORD108889</t>
  </si>
  <si>
    <t>ORD108890</t>
  </si>
  <si>
    <t>CUST4630</t>
  </si>
  <si>
    <t>ORD108891</t>
  </si>
  <si>
    <t>CUST3665</t>
  </si>
  <si>
    <t>ORD108892</t>
  </si>
  <si>
    <t>ORD108893</t>
  </si>
  <si>
    <t>ORD108894</t>
  </si>
  <si>
    <t>CUST6554</t>
  </si>
  <si>
    <t>ORD108895</t>
  </si>
  <si>
    <t>CUST8134</t>
  </si>
  <si>
    <t>ORD108896</t>
  </si>
  <si>
    <t>CUST6407</t>
  </si>
  <si>
    <t>ORD108897</t>
  </si>
  <si>
    <t>ORD108898</t>
  </si>
  <si>
    <t>ORD108899</t>
  </si>
  <si>
    <t>CUST4838</t>
  </si>
  <si>
    <t>ORD108900</t>
  </si>
  <si>
    <t>CUST8044</t>
  </si>
  <si>
    <t>ORD108901</t>
  </si>
  <si>
    <t>CUST1085</t>
  </si>
  <si>
    <t>ORD108902</t>
  </si>
  <si>
    <t>ORD108903</t>
  </si>
  <si>
    <t>CUST5715</t>
  </si>
  <si>
    <t>ORD108904</t>
  </si>
  <si>
    <t>ORD108905</t>
  </si>
  <si>
    <t>CUST5366</t>
  </si>
  <si>
    <t>ORD108906</t>
  </si>
  <si>
    <t>CUST6172</t>
  </si>
  <si>
    <t>ORD108907</t>
  </si>
  <si>
    <t>CUST6587</t>
  </si>
  <si>
    <t>ORD108908</t>
  </si>
  <si>
    <t>CUST3386</t>
  </si>
  <si>
    <t>ORD108909</t>
  </si>
  <si>
    <t>CUST9784</t>
  </si>
  <si>
    <t>ORD108910</t>
  </si>
  <si>
    <t>ORD108911</t>
  </si>
  <si>
    <t>CUST7874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</si>
  <si>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</si>
  <si>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</si>
  <si>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</si>
  <si>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</si>
  <si>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</si>
  <si>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</si>
  <si>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</si>
  <si>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</si>
  <si>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CUST8245</t>
  </si>
  <si>
    <t>ORD108920</t>
  </si>
  <si>
    <t>ORD108921</t>
  </si>
  <si>
    <t>ORD108922</t>
  </si>
  <si>
    <t>CUST8253</t>
  </si>
  <si>
    <t>ORD108923</t>
  </si>
  <si>
    <t>ORD108924</t>
  </si>
  <si>
    <t>ORD108925</t>
  </si>
  <si>
    <t>ORD108926</t>
  </si>
  <si>
    <t>CUST2599</t>
  </si>
  <si>
    <t>ORD108927</t>
  </si>
  <si>
    <t>ORD108928</t>
  </si>
  <si>
    <t>ORD108929</t>
  </si>
  <si>
    <t>ORD108930</t>
  </si>
  <si>
    <t>ORD108931</t>
  </si>
  <si>
    <t>ORD108932</t>
  </si>
  <si>
    <t>ORD108933</t>
  </si>
  <si>
    <t>CUST3678</t>
  </si>
  <si>
    <t>ORD108934</t>
  </si>
  <si>
    <t>CUST5235</t>
  </si>
  <si>
    <t>ORD108935</t>
  </si>
  <si>
    <t>ORD108936</t>
  </si>
  <si>
    <t>CUST2956</t>
  </si>
  <si>
    <t>ORD108937</t>
  </si>
  <si>
    <t>ORD108938</t>
  </si>
  <si>
    <t>CUST7234</t>
  </si>
  <si>
    <t>ORD108939</t>
  </si>
  <si>
    <t>ORD108940</t>
  </si>
  <si>
    <t>CUST1512</t>
  </si>
  <si>
    <t>ORD108941</t>
  </si>
  <si>
    <t>ORD108942</t>
  </si>
  <si>
    <t>CUST9581</t>
  </si>
  <si>
    <t>ORD108943</t>
  </si>
  <si>
    <t>ORD108944</t>
  </si>
  <si>
    <t>CUST6777</t>
  </si>
  <si>
    <t>ORD108945</t>
  </si>
  <si>
    <t>ORD108946</t>
  </si>
  <si>
    <t>CUST9228</t>
  </si>
  <si>
    <t>ORD108947</t>
  </si>
  <si>
    <t>CUST9212</t>
  </si>
  <si>
    <t>ORD108948</t>
  </si>
  <si>
    <t>CUST2699</t>
  </si>
  <si>
    <t>ORD108949</t>
  </si>
  <si>
    <t>ORD108950</t>
  </si>
  <si>
    <t>ORD108951</t>
  </si>
  <si>
    <t>ORD108952</t>
  </si>
  <si>
    <t>CUST2335</t>
  </si>
  <si>
    <t>ORD108953</t>
  </si>
  <si>
    <t>CUST2269</t>
  </si>
  <si>
    <t>ORD108954</t>
  </si>
  <si>
    <t>ORD108955</t>
  </si>
  <si>
    <t>CUST9205</t>
  </si>
  <si>
    <t>ORD108956</t>
  </si>
  <si>
    <t>ORD108957</t>
  </si>
  <si>
    <t>CUST9854</t>
  </si>
  <si>
    <t>ORD108958</t>
  </si>
  <si>
    <t>CUST3040</t>
  </si>
  <si>
    <t>ORD108959</t>
  </si>
  <si>
    <t>ORD108960</t>
  </si>
  <si>
    <t>ORD108961</t>
  </si>
  <si>
    <t>CUST9067</t>
  </si>
  <si>
    <t>ORD108962</t>
  </si>
  <si>
    <t>ORD108963</t>
  </si>
  <si>
    <t>ORD108964</t>
  </si>
  <si>
    <t>ORD108965</t>
  </si>
  <si>
    <t>ORD108966</t>
  </si>
  <si>
    <t>CUST6502</t>
  </si>
  <si>
    <t>ORD108967</t>
  </si>
  <si>
    <t>CUST5840</t>
  </si>
  <si>
    <t>ORD108968</t>
  </si>
  <si>
    <t>ORD108969</t>
  </si>
  <si>
    <t>CUST2093</t>
  </si>
  <si>
    <t>ORD108970</t>
  </si>
  <si>
    <t>ORD108971</t>
  </si>
  <si>
    <t>CUST7840</t>
  </si>
  <si>
    <t>ORD108972</t>
  </si>
  <si>
    <t>CUST2004</t>
  </si>
  <si>
    <t>ORD108973</t>
  </si>
  <si>
    <t>ORD108974</t>
  </si>
  <si>
    <t>ORD108975</t>
  </si>
  <si>
    <t>CUST6269</t>
  </si>
  <si>
    <t>ORD108976</t>
  </si>
  <si>
    <t>ORD108977</t>
  </si>
  <si>
    <t>ORD108978</t>
  </si>
  <si>
    <t>ORD108979</t>
  </si>
  <si>
    <t>ORD108980</t>
  </si>
  <si>
    <t>ORD108981</t>
  </si>
  <si>
    <t>ORD108982</t>
  </si>
  <si>
    <t>CUST6040</t>
  </si>
  <si>
    <t>ORD108983</t>
  </si>
  <si>
    <t>ORD108984</t>
  </si>
  <si>
    <t>ORD108985</t>
  </si>
  <si>
    <t>ORD108986</t>
  </si>
  <si>
    <t>CUST1616</t>
  </si>
  <si>
    <t>ORD108987</t>
  </si>
  <si>
    <t>ORD108988</t>
  </si>
  <si>
    <t>ORD108989</t>
  </si>
  <si>
    <t>ORD108990</t>
  </si>
  <si>
    <t>CUST2938</t>
  </si>
  <si>
    <t>ORD108991</t>
  </si>
  <si>
    <t>ORD108992</t>
  </si>
  <si>
    <t>ORD108993</t>
  </si>
  <si>
    <t>ORD108994</t>
  </si>
  <si>
    <t>ORD108995</t>
  </si>
  <si>
    <t>ORD108996</t>
  </si>
  <si>
    <t>ORD108997</t>
  </si>
  <si>
    <t>CUST7405</t>
  </si>
  <si>
    <t>ORD108998</t>
  </si>
  <si>
    <t>ORD108999</t>
  </si>
  <si>
    <t>Year</t>
  </si>
  <si>
    <t>Month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</si>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</sst>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0151-C8D5-4947-8FB7-667F29D5BCC4}">
  <dimension ref="A1:N9001"/>
  <sheetViews>
    <sheetView tabSelected="1" workbookViewId="0">
      <selection activeCell="N1" sqref="N1"/>
    </sheetView>
  </sheetViews>
  <sheetFormatPr defaultRowHeight="14.25" x14ac:dyDescent="0.45"/>
  <cols>
    <col min="1" max="1" width="12.06640625" customWidth="1"/>
    <col min="2" max="2" width="11.9296875" customWidth="1"/>
    <col min="4" max="4" width="15.6640625" bestFit="1" customWidth="1"/>
    <col min="11" max="11" width="13.46484375" customWidth="1"/>
    <col min="12" max="12" width="16.86328125" customWidth="1"/>
    <col min="13" max="13" width="11.59765625" customWidth="1"/>
    <col min="14" max="14" width="14" style="2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14763</v>
      </c>
      <c r="M1" t="s">
        <v>14764</v>
      </c>
      <c r="N1" s="2" t="s">
        <v>14765</v>
      </c>
    </row>
    <row r="2" spans="1:14" x14ac:dyDescent="0.45">
      <c r="A2" t="s">
        <v>11</v>
      </c>
      <c r="B2" s="1">
        <v>45533</v>
      </c>
      <c r="C2" t="s">
        <v>12</v>
      </c>
      <c r="D2" t="s">
        <v>13</v>
      </c>
      <c r="E2" t="s">
        <v>14</v>
      </c>
      <c r="F2" t="s">
        <v>15</v>
      </c>
      <c r="G2">
        <v>4</v>
      </c>
      <c r="H2">
        <v>36584.400000000001</v>
      </c>
      <c r="I2">
        <v>8892.44</v>
      </c>
      <c r="J2" t="s">
        <v>16</v>
      </c>
      <c r="K2" t="s">
        <v>17</v>
      </c>
      <c r="L2">
        <f>YEAR(B2 )</f>
        <v>2024</v>
      </c>
      <c r="M2" t="str">
        <f>TEXT(B2,"MMM")</f>
        <v>Aug</v>
      </c>
      <c r="N2" s="2">
        <f>I2 / H2</f>
        <v>0.24306644362077826</v>
      </c>
    </row>
    <row r="3" spans="1:14" x14ac:dyDescent="0.45">
      <c r="A3" t="s">
        <v>18</v>
      </c>
      <c r="B3" s="1">
        <v>44871</v>
      </c>
      <c r="C3" t="s">
        <v>19</v>
      </c>
      <c r="D3" t="s">
        <v>13</v>
      </c>
      <c r="E3" t="s">
        <v>20</v>
      </c>
      <c r="F3" t="s">
        <v>21</v>
      </c>
      <c r="G3">
        <v>4</v>
      </c>
      <c r="H3">
        <v>23548.32</v>
      </c>
      <c r="I3">
        <v>2293.79</v>
      </c>
      <c r="J3" t="s">
        <v>22</v>
      </c>
      <c r="K3" t="s">
        <v>23</v>
      </c>
      <c r="L3">
        <f t="shared" ref="L3:L66" si="0">YEAR(B3 )</f>
        <v>2022</v>
      </c>
      <c r="M3" t="str">
        <f t="shared" ref="M3:M66" si="1">TEXT(B3,"MMM")</f>
        <v>Nov</v>
      </c>
      <c r="N3" s="2">
        <f t="shared" ref="N3:N66" si="2">I3 / H3</f>
        <v>9.7407798093452097E-2</v>
      </c>
    </row>
    <row r="4" spans="1:14" x14ac:dyDescent="0.45">
      <c r="A4" t="s">
        <v>24</v>
      </c>
      <c r="B4" s="1">
        <v>44910</v>
      </c>
      <c r="C4" t="s">
        <v>25</v>
      </c>
      <c r="D4" t="s">
        <v>26</v>
      </c>
      <c r="E4" t="s">
        <v>20</v>
      </c>
      <c r="F4" t="s">
        <v>27</v>
      </c>
      <c r="G4">
        <v>3</v>
      </c>
      <c r="H4">
        <v>27038.18</v>
      </c>
      <c r="I4">
        <v>3934.5</v>
      </c>
      <c r="J4" t="s">
        <v>28</v>
      </c>
      <c r="K4" t="s">
        <v>29</v>
      </c>
      <c r="L4">
        <f t="shared" si="0"/>
        <v>2022</v>
      </c>
      <c r="M4" t="str">
        <f t="shared" si="1"/>
        <v>Dec</v>
      </c>
      <c r="N4" s="2">
        <f t="shared" si="2"/>
        <v>0.14551645118125553</v>
      </c>
    </row>
    <row r="5" spans="1:14" x14ac:dyDescent="0.45">
      <c r="A5" t="s">
        <v>30</v>
      </c>
      <c r="B5" s="1">
        <v>45353</v>
      </c>
      <c r="C5" t="s">
        <v>31</v>
      </c>
      <c r="D5" t="s">
        <v>13</v>
      </c>
      <c r="E5" t="s">
        <v>14</v>
      </c>
      <c r="F5" t="s">
        <v>32</v>
      </c>
      <c r="G5">
        <v>3</v>
      </c>
      <c r="H5">
        <v>40873.26</v>
      </c>
      <c r="I5">
        <v>6079.67</v>
      </c>
      <c r="J5" t="s">
        <v>22</v>
      </c>
      <c r="K5" t="s">
        <v>33</v>
      </c>
      <c r="L5">
        <f t="shared" si="0"/>
        <v>2024</v>
      </c>
      <c r="M5" t="str">
        <f t="shared" si="1"/>
        <v>Mar</v>
      </c>
      <c r="N5" s="2">
        <f t="shared" si="2"/>
        <v>0.14874443584876762</v>
      </c>
    </row>
    <row r="6" spans="1:14" x14ac:dyDescent="0.45">
      <c r="A6" t="s">
        <v>34</v>
      </c>
      <c r="B6" s="1">
        <v>45129</v>
      </c>
      <c r="C6" t="s">
        <v>35</v>
      </c>
      <c r="D6" t="s">
        <v>13</v>
      </c>
      <c r="E6" t="s">
        <v>36</v>
      </c>
      <c r="F6" t="s">
        <v>37</v>
      </c>
      <c r="G6">
        <v>3</v>
      </c>
      <c r="H6">
        <v>49440.95</v>
      </c>
      <c r="I6">
        <v>8648.33</v>
      </c>
      <c r="J6" t="s">
        <v>28</v>
      </c>
      <c r="K6" t="s">
        <v>29</v>
      </c>
      <c r="L6">
        <f t="shared" si="0"/>
        <v>2023</v>
      </c>
      <c r="M6" t="str">
        <f t="shared" si="1"/>
        <v>Jul</v>
      </c>
      <c r="N6" s="2">
        <f t="shared" si="2"/>
        <v>0.17492240743755935</v>
      </c>
    </row>
    <row r="7" spans="1:14" x14ac:dyDescent="0.45">
      <c r="A7" t="s">
        <v>38</v>
      </c>
      <c r="B7" s="1">
        <v>44569</v>
      </c>
      <c r="C7" t="s">
        <v>39</v>
      </c>
      <c r="D7" t="s">
        <v>26</v>
      </c>
      <c r="E7" t="s">
        <v>14</v>
      </c>
      <c r="F7" t="s">
        <v>40</v>
      </c>
      <c r="G7">
        <v>1</v>
      </c>
      <c r="H7">
        <v>27962.639999999999</v>
      </c>
      <c r="I7">
        <v>6296.25</v>
      </c>
      <c r="J7" t="s">
        <v>28</v>
      </c>
      <c r="K7" t="s">
        <v>17</v>
      </c>
      <c r="L7">
        <f t="shared" si="0"/>
        <v>2022</v>
      </c>
      <c r="M7" t="str">
        <f t="shared" si="1"/>
        <v>Jan</v>
      </c>
      <c r="N7" s="2">
        <f t="shared" si="2"/>
        <v>0.22516650788337583</v>
      </c>
    </row>
    <row r="8" spans="1:14" x14ac:dyDescent="0.45">
      <c r="A8" t="s">
        <v>41</v>
      </c>
      <c r="B8" s="1">
        <v>45196</v>
      </c>
      <c r="C8" t="s">
        <v>42</v>
      </c>
      <c r="D8" t="s">
        <v>26</v>
      </c>
      <c r="E8" t="s">
        <v>20</v>
      </c>
      <c r="F8" t="s">
        <v>43</v>
      </c>
      <c r="G8">
        <v>2</v>
      </c>
      <c r="H8">
        <v>23228.98</v>
      </c>
      <c r="I8">
        <v>2609.62</v>
      </c>
      <c r="J8" t="s">
        <v>22</v>
      </c>
      <c r="K8" t="s">
        <v>23</v>
      </c>
      <c r="L8">
        <f t="shared" si="0"/>
        <v>2023</v>
      </c>
      <c r="M8" t="str">
        <f t="shared" si="1"/>
        <v>Sep</v>
      </c>
      <c r="N8" s="2">
        <f t="shared" si="2"/>
        <v>0.11234328842678412</v>
      </c>
    </row>
    <row r="9" spans="1:14" x14ac:dyDescent="0.45">
      <c r="A9" t="s">
        <v>44</v>
      </c>
      <c r="B9" s="1">
        <v>44996</v>
      </c>
      <c r="C9" t="s">
        <v>45</v>
      </c>
      <c r="D9" t="s">
        <v>13</v>
      </c>
      <c r="E9" t="s">
        <v>36</v>
      </c>
      <c r="F9" t="s">
        <v>46</v>
      </c>
      <c r="G9">
        <v>1</v>
      </c>
      <c r="H9">
        <v>17560.77</v>
      </c>
      <c r="I9">
        <v>4344.84</v>
      </c>
      <c r="J9" t="s">
        <v>47</v>
      </c>
      <c r="K9" t="s">
        <v>33</v>
      </c>
      <c r="L9">
        <f t="shared" si="0"/>
        <v>2023</v>
      </c>
      <c r="M9" t="str">
        <f t="shared" si="1"/>
        <v>Mar</v>
      </c>
      <c r="N9" s="2">
        <f t="shared" si="2"/>
        <v>0.24741739684535474</v>
      </c>
    </row>
    <row r="10" spans="1:14" x14ac:dyDescent="0.45">
      <c r="A10" t="s">
        <v>48</v>
      </c>
      <c r="B10" s="1">
        <v>45065</v>
      </c>
      <c r="C10" t="s">
        <v>49</v>
      </c>
      <c r="D10" t="s">
        <v>26</v>
      </c>
      <c r="E10" t="s">
        <v>20</v>
      </c>
      <c r="F10" t="s">
        <v>50</v>
      </c>
      <c r="G10">
        <v>5</v>
      </c>
      <c r="H10">
        <v>12125.77</v>
      </c>
      <c r="I10">
        <v>2353.85</v>
      </c>
      <c r="J10" t="s">
        <v>28</v>
      </c>
      <c r="K10" t="s">
        <v>29</v>
      </c>
      <c r="L10">
        <f t="shared" si="0"/>
        <v>2023</v>
      </c>
      <c r="M10" t="str">
        <f t="shared" si="1"/>
        <v>May</v>
      </c>
      <c r="N10" s="2">
        <f t="shared" si="2"/>
        <v>0.19411963116569092</v>
      </c>
    </row>
    <row r="11" spans="1:14" x14ac:dyDescent="0.45">
      <c r="A11" t="s">
        <v>51</v>
      </c>
      <c r="B11" s="1">
        <v>45020</v>
      </c>
      <c r="C11" t="s">
        <v>52</v>
      </c>
      <c r="D11" t="s">
        <v>13</v>
      </c>
      <c r="E11" t="s">
        <v>36</v>
      </c>
      <c r="F11" t="s">
        <v>53</v>
      </c>
      <c r="G11">
        <v>5</v>
      </c>
      <c r="H11">
        <v>48812.53</v>
      </c>
      <c r="I11">
        <v>7075.02</v>
      </c>
      <c r="J11" t="s">
        <v>28</v>
      </c>
      <c r="K11" t="s">
        <v>23</v>
      </c>
      <c r="L11">
        <f t="shared" si="0"/>
        <v>2023</v>
      </c>
      <c r="M11" t="str">
        <f t="shared" si="1"/>
        <v>Apr</v>
      </c>
      <c r="N11" s="2">
        <f t="shared" si="2"/>
        <v>0.14494270221191158</v>
      </c>
    </row>
    <row r="12" spans="1:14" x14ac:dyDescent="0.45">
      <c r="A12" t="s">
        <v>54</v>
      </c>
      <c r="B12" s="1">
        <v>44680</v>
      </c>
      <c r="C12" t="s">
        <v>55</v>
      </c>
      <c r="D12" t="s">
        <v>56</v>
      </c>
      <c r="E12" t="s">
        <v>14</v>
      </c>
      <c r="F12" t="s">
        <v>57</v>
      </c>
      <c r="G12">
        <v>1</v>
      </c>
      <c r="H12">
        <v>42930.34</v>
      </c>
      <c r="I12">
        <v>9659.6200000000008</v>
      </c>
      <c r="J12" t="s">
        <v>47</v>
      </c>
      <c r="K12" t="s">
        <v>33</v>
      </c>
      <c r="L12">
        <f t="shared" si="0"/>
        <v>2022</v>
      </c>
      <c r="M12" t="str">
        <f t="shared" si="1"/>
        <v>Apr</v>
      </c>
      <c r="N12" s="2">
        <f t="shared" si="2"/>
        <v>0.22500683665677937</v>
      </c>
    </row>
    <row r="13" spans="1:14" x14ac:dyDescent="0.45">
      <c r="A13" t="s">
        <v>58</v>
      </c>
      <c r="B13" s="1">
        <v>45278</v>
      </c>
      <c r="C13" t="s">
        <v>59</v>
      </c>
      <c r="D13" t="s">
        <v>56</v>
      </c>
      <c r="E13" t="s">
        <v>14</v>
      </c>
      <c r="F13" t="s">
        <v>32</v>
      </c>
      <c r="G13">
        <v>3</v>
      </c>
      <c r="H13">
        <v>21587.09</v>
      </c>
      <c r="I13">
        <v>4580.8100000000004</v>
      </c>
      <c r="J13" t="s">
        <v>22</v>
      </c>
      <c r="K13" t="s">
        <v>33</v>
      </c>
      <c r="L13">
        <f t="shared" si="0"/>
        <v>2023</v>
      </c>
      <c r="M13" t="str">
        <f t="shared" si="1"/>
        <v>Dec</v>
      </c>
      <c r="N13" s="2">
        <f t="shared" si="2"/>
        <v>0.2122013666501599</v>
      </c>
    </row>
    <row r="14" spans="1:14" x14ac:dyDescent="0.45">
      <c r="A14" t="s">
        <v>60</v>
      </c>
      <c r="B14" s="1">
        <v>45365</v>
      </c>
      <c r="C14" t="s">
        <v>61</v>
      </c>
      <c r="D14" t="s">
        <v>26</v>
      </c>
      <c r="E14" t="s">
        <v>20</v>
      </c>
      <c r="F14" t="s">
        <v>50</v>
      </c>
      <c r="G14">
        <v>5</v>
      </c>
      <c r="H14">
        <v>39145.75</v>
      </c>
      <c r="I14">
        <v>5053.45</v>
      </c>
      <c r="J14" t="s">
        <v>47</v>
      </c>
      <c r="K14" t="s">
        <v>17</v>
      </c>
      <c r="L14">
        <f t="shared" si="0"/>
        <v>2024</v>
      </c>
      <c r="M14" t="str">
        <f t="shared" si="1"/>
        <v>Mar</v>
      </c>
      <c r="N14" s="2">
        <f t="shared" si="2"/>
        <v>0.12909319657944987</v>
      </c>
    </row>
    <row r="15" spans="1:14" x14ac:dyDescent="0.45">
      <c r="A15" t="s">
        <v>62</v>
      </c>
      <c r="B15" s="1">
        <v>44956</v>
      </c>
      <c r="C15" t="s">
        <v>63</v>
      </c>
      <c r="D15" t="s">
        <v>56</v>
      </c>
      <c r="E15" t="s">
        <v>36</v>
      </c>
      <c r="F15" t="s">
        <v>64</v>
      </c>
      <c r="G15">
        <v>4</v>
      </c>
      <c r="H15">
        <v>2535.4699999999998</v>
      </c>
      <c r="I15">
        <v>464.51</v>
      </c>
      <c r="J15" t="s">
        <v>28</v>
      </c>
      <c r="K15" t="s">
        <v>23</v>
      </c>
      <c r="L15">
        <f t="shared" si="0"/>
        <v>2023</v>
      </c>
      <c r="M15" t="str">
        <f t="shared" si="1"/>
        <v>Jan</v>
      </c>
      <c r="N15" s="2">
        <f t="shared" si="2"/>
        <v>0.18320469183228358</v>
      </c>
    </row>
    <row r="16" spans="1:14" x14ac:dyDescent="0.45">
      <c r="A16" t="s">
        <v>65</v>
      </c>
      <c r="B16" s="1">
        <v>44704</v>
      </c>
      <c r="C16" t="s">
        <v>66</v>
      </c>
      <c r="D16" t="s">
        <v>26</v>
      </c>
      <c r="E16" t="s">
        <v>14</v>
      </c>
      <c r="F16" t="s">
        <v>57</v>
      </c>
      <c r="G16">
        <v>2</v>
      </c>
      <c r="H16">
        <v>39999.29</v>
      </c>
      <c r="I16">
        <v>8096.45</v>
      </c>
      <c r="J16" t="s">
        <v>16</v>
      </c>
      <c r="K16" t="s">
        <v>33</v>
      </c>
      <c r="L16">
        <f t="shared" si="0"/>
        <v>2022</v>
      </c>
      <c r="M16" t="str">
        <f t="shared" si="1"/>
        <v>May</v>
      </c>
      <c r="N16" s="2">
        <f t="shared" si="2"/>
        <v>0.20241484286346081</v>
      </c>
    </row>
    <row r="17" spans="1:14" x14ac:dyDescent="0.45">
      <c r="A17" t="s">
        <v>67</v>
      </c>
      <c r="B17" s="1">
        <v>45124</v>
      </c>
      <c r="C17" t="s">
        <v>68</v>
      </c>
      <c r="D17" t="s">
        <v>56</v>
      </c>
      <c r="E17" t="s">
        <v>20</v>
      </c>
      <c r="F17" t="s">
        <v>50</v>
      </c>
      <c r="G17">
        <v>5</v>
      </c>
      <c r="H17">
        <v>49662.07</v>
      </c>
      <c r="I17">
        <v>8621.5</v>
      </c>
      <c r="J17" t="s">
        <v>22</v>
      </c>
      <c r="K17" t="s">
        <v>23</v>
      </c>
      <c r="L17">
        <f t="shared" si="0"/>
        <v>2023</v>
      </c>
      <c r="M17" t="str">
        <f t="shared" si="1"/>
        <v>Jul</v>
      </c>
      <c r="N17" s="2">
        <f t="shared" si="2"/>
        <v>0.17360331536724102</v>
      </c>
    </row>
    <row r="18" spans="1:14" x14ac:dyDescent="0.45">
      <c r="A18" t="s">
        <v>69</v>
      </c>
      <c r="B18" s="1">
        <v>45436</v>
      </c>
      <c r="C18" t="s">
        <v>70</v>
      </c>
      <c r="D18" t="s">
        <v>56</v>
      </c>
      <c r="E18" t="s">
        <v>36</v>
      </c>
      <c r="F18" t="s">
        <v>64</v>
      </c>
      <c r="G18">
        <v>3</v>
      </c>
      <c r="H18">
        <v>49233.23</v>
      </c>
      <c r="I18">
        <v>8496.1</v>
      </c>
      <c r="J18" t="s">
        <v>71</v>
      </c>
      <c r="K18" t="s">
        <v>23</v>
      </c>
      <c r="L18">
        <f t="shared" si="0"/>
        <v>2024</v>
      </c>
      <c r="M18" t="str">
        <f t="shared" si="1"/>
        <v>May</v>
      </c>
      <c r="N18" s="2">
        <f t="shared" si="2"/>
        <v>0.17256840552610503</v>
      </c>
    </row>
    <row r="19" spans="1:14" x14ac:dyDescent="0.45">
      <c r="A19" t="s">
        <v>72</v>
      </c>
      <c r="B19" s="1">
        <v>44813</v>
      </c>
      <c r="C19" t="s">
        <v>73</v>
      </c>
      <c r="D19" t="s">
        <v>26</v>
      </c>
      <c r="E19" t="s">
        <v>14</v>
      </c>
      <c r="F19" t="s">
        <v>15</v>
      </c>
      <c r="G19">
        <v>1</v>
      </c>
      <c r="H19">
        <v>7136.45</v>
      </c>
      <c r="I19">
        <v>829.25</v>
      </c>
      <c r="J19" t="s">
        <v>16</v>
      </c>
      <c r="K19" t="s">
        <v>33</v>
      </c>
      <c r="L19">
        <f t="shared" si="0"/>
        <v>2022</v>
      </c>
      <c r="M19" t="str">
        <f t="shared" si="1"/>
        <v>Sep</v>
      </c>
      <c r="N19" s="2">
        <f t="shared" si="2"/>
        <v>0.11619923070994682</v>
      </c>
    </row>
    <row r="20" spans="1:14" x14ac:dyDescent="0.45">
      <c r="A20" t="s">
        <v>74</v>
      </c>
      <c r="B20" s="1">
        <v>44892</v>
      </c>
      <c r="C20" t="s">
        <v>75</v>
      </c>
      <c r="D20" t="s">
        <v>56</v>
      </c>
      <c r="E20" t="s">
        <v>20</v>
      </c>
      <c r="F20" t="s">
        <v>21</v>
      </c>
      <c r="G20">
        <v>1</v>
      </c>
      <c r="H20">
        <v>35636.26</v>
      </c>
      <c r="I20">
        <v>5457.28</v>
      </c>
      <c r="J20" t="s">
        <v>28</v>
      </c>
      <c r="K20" t="s">
        <v>23</v>
      </c>
      <c r="L20">
        <f t="shared" si="0"/>
        <v>2022</v>
      </c>
      <c r="M20" t="str">
        <f t="shared" si="1"/>
        <v>Nov</v>
      </c>
      <c r="N20" s="2">
        <f t="shared" si="2"/>
        <v>0.15313840453515604</v>
      </c>
    </row>
    <row r="21" spans="1:14" x14ac:dyDescent="0.45">
      <c r="A21" t="s">
        <v>76</v>
      </c>
      <c r="B21" s="1">
        <v>45276</v>
      </c>
      <c r="C21" t="s">
        <v>77</v>
      </c>
      <c r="D21" t="s">
        <v>26</v>
      </c>
      <c r="E21" t="s">
        <v>20</v>
      </c>
      <c r="F21" t="s">
        <v>50</v>
      </c>
      <c r="G21">
        <v>3</v>
      </c>
      <c r="H21">
        <v>38947.15</v>
      </c>
      <c r="I21">
        <v>7724.96</v>
      </c>
      <c r="J21" t="s">
        <v>22</v>
      </c>
      <c r="K21" t="s">
        <v>17</v>
      </c>
      <c r="L21">
        <f t="shared" si="0"/>
        <v>2023</v>
      </c>
      <c r="M21" t="str">
        <f t="shared" si="1"/>
        <v>Dec</v>
      </c>
      <c r="N21" s="2">
        <f t="shared" si="2"/>
        <v>0.19834467990597515</v>
      </c>
    </row>
    <row r="22" spans="1:14" x14ac:dyDescent="0.45">
      <c r="A22" t="s">
        <v>78</v>
      </c>
      <c r="B22" s="1">
        <v>45562</v>
      </c>
      <c r="C22" t="s">
        <v>79</v>
      </c>
      <c r="D22" t="s">
        <v>13</v>
      </c>
      <c r="E22" t="s">
        <v>36</v>
      </c>
      <c r="F22" t="s">
        <v>64</v>
      </c>
      <c r="G22">
        <v>3</v>
      </c>
      <c r="H22">
        <v>22481.85</v>
      </c>
      <c r="I22">
        <v>2809.32</v>
      </c>
      <c r="J22" t="s">
        <v>22</v>
      </c>
      <c r="K22" t="s">
        <v>17</v>
      </c>
      <c r="L22">
        <f t="shared" si="0"/>
        <v>2024</v>
      </c>
      <c r="M22" t="str">
        <f t="shared" si="1"/>
        <v>Sep</v>
      </c>
      <c r="N22" s="2">
        <f t="shared" si="2"/>
        <v>0.12495946730362494</v>
      </c>
    </row>
    <row r="23" spans="1:14" x14ac:dyDescent="0.45">
      <c r="A23" t="s">
        <v>80</v>
      </c>
      <c r="B23" s="1">
        <v>44711</v>
      </c>
      <c r="C23" t="s">
        <v>81</v>
      </c>
      <c r="D23" t="s">
        <v>56</v>
      </c>
      <c r="E23" t="s">
        <v>14</v>
      </c>
      <c r="F23" t="s">
        <v>57</v>
      </c>
      <c r="G23">
        <v>4</v>
      </c>
      <c r="H23">
        <v>40899.519999999997</v>
      </c>
      <c r="I23">
        <v>2445.31</v>
      </c>
      <c r="J23" t="s">
        <v>71</v>
      </c>
      <c r="K23" t="s">
        <v>23</v>
      </c>
      <c r="L23">
        <f t="shared" si="0"/>
        <v>2022</v>
      </c>
      <c r="M23" t="str">
        <f t="shared" si="1"/>
        <v>May</v>
      </c>
      <c r="N23" s="2">
        <f t="shared" si="2"/>
        <v>5.9788232233532329E-2</v>
      </c>
    </row>
    <row r="24" spans="1:14" x14ac:dyDescent="0.45">
      <c r="A24" t="s">
        <v>82</v>
      </c>
      <c r="B24" s="1">
        <v>45598</v>
      </c>
      <c r="C24" t="s">
        <v>83</v>
      </c>
      <c r="D24" t="s">
        <v>13</v>
      </c>
      <c r="E24" t="s">
        <v>20</v>
      </c>
      <c r="F24" t="s">
        <v>27</v>
      </c>
      <c r="G24">
        <v>3</v>
      </c>
      <c r="H24">
        <v>33442.53</v>
      </c>
      <c r="I24">
        <v>8341.25</v>
      </c>
      <c r="J24" t="s">
        <v>22</v>
      </c>
      <c r="K24" t="s">
        <v>23</v>
      </c>
      <c r="L24">
        <f t="shared" si="0"/>
        <v>2024</v>
      </c>
      <c r="M24" t="str">
        <f t="shared" si="1"/>
        <v>Nov</v>
      </c>
      <c r="N24" s="2">
        <f t="shared" si="2"/>
        <v>0.24942042363421668</v>
      </c>
    </row>
    <row r="25" spans="1:14" x14ac:dyDescent="0.45">
      <c r="A25" t="s">
        <v>84</v>
      </c>
      <c r="B25" s="1">
        <v>44577</v>
      </c>
      <c r="C25" t="s">
        <v>85</v>
      </c>
      <c r="D25" t="s">
        <v>13</v>
      </c>
      <c r="E25" t="s">
        <v>36</v>
      </c>
      <c r="F25" t="s">
        <v>37</v>
      </c>
      <c r="G25">
        <v>3</v>
      </c>
      <c r="H25">
        <v>40774.71</v>
      </c>
      <c r="I25">
        <v>2575.4</v>
      </c>
      <c r="J25" t="s">
        <v>22</v>
      </c>
      <c r="K25" t="s">
        <v>29</v>
      </c>
      <c r="L25">
        <f t="shared" si="0"/>
        <v>2022</v>
      </c>
      <c r="M25" t="str">
        <f t="shared" si="1"/>
        <v>Jan</v>
      </c>
      <c r="N25" s="2">
        <f t="shared" si="2"/>
        <v>6.3161699985113326E-2</v>
      </c>
    </row>
    <row r="26" spans="1:14" x14ac:dyDescent="0.45">
      <c r="A26" t="s">
        <v>86</v>
      </c>
      <c r="B26" s="1">
        <v>45559</v>
      </c>
      <c r="C26" t="s">
        <v>87</v>
      </c>
      <c r="D26" t="s">
        <v>13</v>
      </c>
      <c r="E26" t="s">
        <v>14</v>
      </c>
      <c r="F26" t="s">
        <v>40</v>
      </c>
      <c r="G26">
        <v>5</v>
      </c>
      <c r="H26">
        <v>7236.4</v>
      </c>
      <c r="I26">
        <v>742.75</v>
      </c>
      <c r="J26" t="s">
        <v>47</v>
      </c>
      <c r="K26" t="s">
        <v>33</v>
      </c>
      <c r="L26">
        <f t="shared" si="0"/>
        <v>2024</v>
      </c>
      <c r="M26" t="str">
        <f t="shared" si="1"/>
        <v>Sep</v>
      </c>
      <c r="N26" s="2">
        <f t="shared" si="2"/>
        <v>0.10264081587529711</v>
      </c>
    </row>
    <row r="27" spans="1:14" x14ac:dyDescent="0.45">
      <c r="A27" t="s">
        <v>88</v>
      </c>
      <c r="B27" s="1">
        <v>44901</v>
      </c>
      <c r="C27" t="s">
        <v>89</v>
      </c>
      <c r="D27" t="s">
        <v>56</v>
      </c>
      <c r="E27" t="s">
        <v>20</v>
      </c>
      <c r="F27" t="s">
        <v>21</v>
      </c>
      <c r="G27">
        <v>3</v>
      </c>
      <c r="H27">
        <v>2598.69</v>
      </c>
      <c r="I27">
        <v>174.62</v>
      </c>
      <c r="J27" t="s">
        <v>47</v>
      </c>
      <c r="K27" t="s">
        <v>17</v>
      </c>
      <c r="L27">
        <f t="shared" si="0"/>
        <v>2022</v>
      </c>
      <c r="M27" t="str">
        <f t="shared" si="1"/>
        <v>Dec</v>
      </c>
      <c r="N27" s="2">
        <f t="shared" si="2"/>
        <v>6.7195394602665187E-2</v>
      </c>
    </row>
    <row r="28" spans="1:14" x14ac:dyDescent="0.45">
      <c r="A28" t="s">
        <v>90</v>
      </c>
      <c r="B28" s="1">
        <v>44686</v>
      </c>
      <c r="C28" t="s">
        <v>91</v>
      </c>
      <c r="D28" t="s">
        <v>26</v>
      </c>
      <c r="E28" t="s">
        <v>36</v>
      </c>
      <c r="F28" t="s">
        <v>46</v>
      </c>
      <c r="G28">
        <v>4</v>
      </c>
      <c r="H28">
        <v>21981.24</v>
      </c>
      <c r="I28">
        <v>1176.54</v>
      </c>
      <c r="J28" t="s">
        <v>71</v>
      </c>
      <c r="K28" t="s">
        <v>23</v>
      </c>
      <c r="L28">
        <f t="shared" si="0"/>
        <v>2022</v>
      </c>
      <c r="M28" t="str">
        <f t="shared" si="1"/>
        <v>May</v>
      </c>
      <c r="N28" s="2">
        <f t="shared" si="2"/>
        <v>5.3524732908607514E-2</v>
      </c>
    </row>
    <row r="29" spans="1:14" x14ac:dyDescent="0.45">
      <c r="A29" t="s">
        <v>92</v>
      </c>
      <c r="B29" s="1">
        <v>45510</v>
      </c>
      <c r="C29" t="s">
        <v>93</v>
      </c>
      <c r="D29" t="s">
        <v>13</v>
      </c>
      <c r="E29" t="s">
        <v>14</v>
      </c>
      <c r="F29" t="s">
        <v>57</v>
      </c>
      <c r="G29">
        <v>5</v>
      </c>
      <c r="H29">
        <v>27366.92</v>
      </c>
      <c r="I29">
        <v>3124.32</v>
      </c>
      <c r="J29" t="s">
        <v>71</v>
      </c>
      <c r="K29" t="s">
        <v>33</v>
      </c>
      <c r="L29">
        <f t="shared" si="0"/>
        <v>2024</v>
      </c>
      <c r="M29" t="str">
        <f t="shared" si="1"/>
        <v>Aug</v>
      </c>
      <c r="N29" s="2">
        <f t="shared" si="2"/>
        <v>0.11416410761605619</v>
      </c>
    </row>
    <row r="30" spans="1:14" x14ac:dyDescent="0.45">
      <c r="A30" t="s">
        <v>94</v>
      </c>
      <c r="B30" s="1">
        <v>45495</v>
      </c>
      <c r="C30" t="s">
        <v>95</v>
      </c>
      <c r="D30" t="s">
        <v>26</v>
      </c>
      <c r="E30" t="s">
        <v>36</v>
      </c>
      <c r="F30" t="s">
        <v>64</v>
      </c>
      <c r="G30">
        <v>1</v>
      </c>
      <c r="H30">
        <v>28307.87</v>
      </c>
      <c r="I30">
        <v>6174.35</v>
      </c>
      <c r="J30" t="s">
        <v>22</v>
      </c>
      <c r="K30" t="s">
        <v>33</v>
      </c>
      <c r="L30">
        <f t="shared" si="0"/>
        <v>2024</v>
      </c>
      <c r="M30" t="str">
        <f t="shared" si="1"/>
        <v>Jul</v>
      </c>
      <c r="N30" s="2">
        <f t="shared" si="2"/>
        <v>0.21811425585888308</v>
      </c>
    </row>
    <row r="31" spans="1:14" x14ac:dyDescent="0.45">
      <c r="A31" t="s">
        <v>96</v>
      </c>
      <c r="B31" s="1">
        <v>44582</v>
      </c>
      <c r="C31" t="s">
        <v>97</v>
      </c>
      <c r="D31" t="s">
        <v>13</v>
      </c>
      <c r="E31" t="s">
        <v>20</v>
      </c>
      <c r="F31" t="s">
        <v>50</v>
      </c>
      <c r="G31">
        <v>4</v>
      </c>
      <c r="H31">
        <v>9822.39</v>
      </c>
      <c r="I31">
        <v>1543.51</v>
      </c>
      <c r="J31" t="s">
        <v>28</v>
      </c>
      <c r="K31" t="s">
        <v>29</v>
      </c>
      <c r="L31">
        <f t="shared" si="0"/>
        <v>2022</v>
      </c>
      <c r="M31" t="str">
        <f t="shared" si="1"/>
        <v>Jan</v>
      </c>
      <c r="N31" s="2">
        <f t="shared" si="2"/>
        <v>0.15714199904503895</v>
      </c>
    </row>
    <row r="32" spans="1:14" x14ac:dyDescent="0.45">
      <c r="A32" t="s">
        <v>98</v>
      </c>
      <c r="B32" s="1">
        <v>44741</v>
      </c>
      <c r="C32" t="s">
        <v>99</v>
      </c>
      <c r="D32" t="s">
        <v>13</v>
      </c>
      <c r="E32" t="s">
        <v>36</v>
      </c>
      <c r="F32" t="s">
        <v>64</v>
      </c>
      <c r="G32">
        <v>5</v>
      </c>
      <c r="H32">
        <v>32964.699999999997</v>
      </c>
      <c r="I32">
        <v>2541.16</v>
      </c>
      <c r="J32" t="s">
        <v>28</v>
      </c>
      <c r="K32" t="s">
        <v>33</v>
      </c>
      <c r="L32">
        <f t="shared" si="0"/>
        <v>2022</v>
      </c>
      <c r="M32" t="str">
        <f t="shared" si="1"/>
        <v>Jun</v>
      </c>
      <c r="N32" s="2">
        <f t="shared" si="2"/>
        <v>7.7087308545201391E-2</v>
      </c>
    </row>
    <row r="33" spans="1:14" x14ac:dyDescent="0.45">
      <c r="A33" t="s">
        <v>100</v>
      </c>
      <c r="B33" s="1">
        <v>45538</v>
      </c>
      <c r="C33" t="s">
        <v>101</v>
      </c>
      <c r="D33" t="s">
        <v>13</v>
      </c>
      <c r="E33" t="s">
        <v>20</v>
      </c>
      <c r="F33" t="s">
        <v>27</v>
      </c>
      <c r="G33">
        <v>4</v>
      </c>
      <c r="H33">
        <v>3345.53</v>
      </c>
      <c r="I33">
        <v>725.43</v>
      </c>
      <c r="J33" t="s">
        <v>22</v>
      </c>
      <c r="K33" t="s">
        <v>17</v>
      </c>
      <c r="L33">
        <f t="shared" si="0"/>
        <v>2024</v>
      </c>
      <c r="M33" t="str">
        <f t="shared" si="1"/>
        <v>Sep</v>
      </c>
      <c r="N33" s="2">
        <f t="shared" si="2"/>
        <v>0.2168355985449241</v>
      </c>
    </row>
    <row r="34" spans="1:14" x14ac:dyDescent="0.45">
      <c r="A34" t="s">
        <v>102</v>
      </c>
      <c r="B34" s="1">
        <v>45556</v>
      </c>
      <c r="C34" t="s">
        <v>103</v>
      </c>
      <c r="D34" t="s">
        <v>26</v>
      </c>
      <c r="E34" t="s">
        <v>36</v>
      </c>
      <c r="F34" t="s">
        <v>64</v>
      </c>
      <c r="G34">
        <v>3</v>
      </c>
      <c r="H34">
        <v>37220.639999999999</v>
      </c>
      <c r="I34">
        <v>5219.49</v>
      </c>
      <c r="J34" t="s">
        <v>47</v>
      </c>
      <c r="K34" t="s">
        <v>29</v>
      </c>
      <c r="L34">
        <f t="shared" si="0"/>
        <v>2024</v>
      </c>
      <c r="M34" t="str">
        <f t="shared" si="1"/>
        <v>Sep</v>
      </c>
      <c r="N34" s="2">
        <f t="shared" si="2"/>
        <v>0.14023106534438956</v>
      </c>
    </row>
    <row r="35" spans="1:14" x14ac:dyDescent="0.45">
      <c r="A35" t="s">
        <v>104</v>
      </c>
      <c r="B35" s="1">
        <v>45349</v>
      </c>
      <c r="C35" t="s">
        <v>105</v>
      </c>
      <c r="D35" t="s">
        <v>26</v>
      </c>
      <c r="E35" t="s">
        <v>36</v>
      </c>
      <c r="F35" t="s">
        <v>64</v>
      </c>
      <c r="G35">
        <v>2</v>
      </c>
      <c r="H35">
        <v>32680.63</v>
      </c>
      <c r="I35">
        <v>8026.24</v>
      </c>
      <c r="J35" t="s">
        <v>16</v>
      </c>
      <c r="K35" t="s">
        <v>23</v>
      </c>
      <c r="L35">
        <f t="shared" si="0"/>
        <v>2024</v>
      </c>
      <c r="M35" t="str">
        <f t="shared" si="1"/>
        <v>Feb</v>
      </c>
      <c r="N35" s="2">
        <f t="shared" si="2"/>
        <v>0.24559624462563909</v>
      </c>
    </row>
    <row r="36" spans="1:14" x14ac:dyDescent="0.45">
      <c r="A36" t="s">
        <v>106</v>
      </c>
      <c r="B36" s="1">
        <v>45469</v>
      </c>
      <c r="C36" t="s">
        <v>107</v>
      </c>
      <c r="D36" t="s">
        <v>13</v>
      </c>
      <c r="E36" t="s">
        <v>20</v>
      </c>
      <c r="F36" t="s">
        <v>43</v>
      </c>
      <c r="G36">
        <v>4</v>
      </c>
      <c r="H36">
        <v>37293.72</v>
      </c>
      <c r="I36">
        <v>5935.2</v>
      </c>
      <c r="J36" t="s">
        <v>16</v>
      </c>
      <c r="K36" t="s">
        <v>17</v>
      </c>
      <c r="L36">
        <f t="shared" si="0"/>
        <v>2024</v>
      </c>
      <c r="M36" t="str">
        <f t="shared" si="1"/>
        <v>Jun</v>
      </c>
      <c r="N36" s="2">
        <f t="shared" si="2"/>
        <v>0.15914743822820571</v>
      </c>
    </row>
    <row r="37" spans="1:14" x14ac:dyDescent="0.45">
      <c r="A37" t="s">
        <v>108</v>
      </c>
      <c r="B37" s="1">
        <v>44832</v>
      </c>
      <c r="C37" t="s">
        <v>109</v>
      </c>
      <c r="D37" t="s">
        <v>56</v>
      </c>
      <c r="E37" t="s">
        <v>20</v>
      </c>
      <c r="F37" t="s">
        <v>43</v>
      </c>
      <c r="G37">
        <v>5</v>
      </c>
      <c r="H37">
        <v>12601.1</v>
      </c>
      <c r="I37">
        <v>2471.06</v>
      </c>
      <c r="J37" t="s">
        <v>16</v>
      </c>
      <c r="K37" t="s">
        <v>23</v>
      </c>
      <c r="L37">
        <f t="shared" si="0"/>
        <v>2022</v>
      </c>
      <c r="M37" t="str">
        <f t="shared" si="1"/>
        <v>Sep</v>
      </c>
      <c r="N37" s="2">
        <f t="shared" si="2"/>
        <v>0.19609875328344351</v>
      </c>
    </row>
    <row r="38" spans="1:14" x14ac:dyDescent="0.45">
      <c r="A38" t="s">
        <v>110</v>
      </c>
      <c r="B38" s="1">
        <v>45159</v>
      </c>
      <c r="C38" t="s">
        <v>111</v>
      </c>
      <c r="D38" t="s">
        <v>56</v>
      </c>
      <c r="E38" t="s">
        <v>14</v>
      </c>
      <c r="F38" t="s">
        <v>32</v>
      </c>
      <c r="G38">
        <v>5</v>
      </c>
      <c r="H38">
        <v>18175.259999999998</v>
      </c>
      <c r="I38">
        <v>1935.37</v>
      </c>
      <c r="J38" t="s">
        <v>22</v>
      </c>
      <c r="K38" t="s">
        <v>33</v>
      </c>
      <c r="L38">
        <f t="shared" si="0"/>
        <v>2023</v>
      </c>
      <c r="M38" t="str">
        <f t="shared" si="1"/>
        <v>Aug</v>
      </c>
      <c r="N38" s="2">
        <f t="shared" si="2"/>
        <v>0.10648375869176012</v>
      </c>
    </row>
    <row r="39" spans="1:14" x14ac:dyDescent="0.45">
      <c r="A39" t="s">
        <v>112</v>
      </c>
      <c r="B39" s="1">
        <v>45151</v>
      </c>
      <c r="C39" t="s">
        <v>113</v>
      </c>
      <c r="D39" t="s">
        <v>56</v>
      </c>
      <c r="E39" t="s">
        <v>36</v>
      </c>
      <c r="F39" t="s">
        <v>53</v>
      </c>
      <c r="G39">
        <v>4</v>
      </c>
      <c r="H39">
        <v>21554.639999999999</v>
      </c>
      <c r="I39">
        <v>4298.67</v>
      </c>
      <c r="J39" t="s">
        <v>16</v>
      </c>
      <c r="K39" t="s">
        <v>29</v>
      </c>
      <c r="L39">
        <f t="shared" si="0"/>
        <v>2023</v>
      </c>
      <c r="M39" t="str">
        <f t="shared" si="1"/>
        <v>Aug</v>
      </c>
      <c r="N39" s="2">
        <f t="shared" si="2"/>
        <v>0.19943130574205833</v>
      </c>
    </row>
    <row r="40" spans="1:14" x14ac:dyDescent="0.45">
      <c r="A40" t="s">
        <v>114</v>
      </c>
      <c r="B40" s="1">
        <v>44811</v>
      </c>
      <c r="C40" t="s">
        <v>115</v>
      </c>
      <c r="D40" t="s">
        <v>56</v>
      </c>
      <c r="E40" t="s">
        <v>14</v>
      </c>
      <c r="F40" t="s">
        <v>40</v>
      </c>
      <c r="G40">
        <v>5</v>
      </c>
      <c r="H40">
        <v>29760.49</v>
      </c>
      <c r="I40">
        <v>1870.84</v>
      </c>
      <c r="J40" t="s">
        <v>71</v>
      </c>
      <c r="K40" t="s">
        <v>17</v>
      </c>
      <c r="L40">
        <f t="shared" si="0"/>
        <v>2022</v>
      </c>
      <c r="M40" t="str">
        <f t="shared" si="1"/>
        <v>Sep</v>
      </c>
      <c r="N40" s="2">
        <f t="shared" si="2"/>
        <v>6.2863212265658261E-2</v>
      </c>
    </row>
    <row r="41" spans="1:14" x14ac:dyDescent="0.45">
      <c r="A41" t="s">
        <v>116</v>
      </c>
      <c r="B41" s="1">
        <v>44807</v>
      </c>
      <c r="C41" t="s">
        <v>117</v>
      </c>
      <c r="D41" t="s">
        <v>56</v>
      </c>
      <c r="E41" t="s">
        <v>14</v>
      </c>
      <c r="F41" t="s">
        <v>32</v>
      </c>
      <c r="G41">
        <v>2</v>
      </c>
      <c r="H41">
        <v>3793.37</v>
      </c>
      <c r="I41">
        <v>737.98</v>
      </c>
      <c r="J41" t="s">
        <v>28</v>
      </c>
      <c r="K41" t="s">
        <v>23</v>
      </c>
      <c r="L41">
        <f t="shared" si="0"/>
        <v>2022</v>
      </c>
      <c r="M41" t="str">
        <f t="shared" si="1"/>
        <v>Sep</v>
      </c>
      <c r="N41" s="2">
        <f t="shared" si="2"/>
        <v>0.19454469245024875</v>
      </c>
    </row>
    <row r="42" spans="1:14" x14ac:dyDescent="0.45">
      <c r="A42" t="s">
        <v>118</v>
      </c>
      <c r="B42" s="1">
        <v>45608</v>
      </c>
      <c r="C42" t="s">
        <v>119</v>
      </c>
      <c r="D42" t="s">
        <v>13</v>
      </c>
      <c r="E42" t="s">
        <v>20</v>
      </c>
      <c r="F42" t="s">
        <v>43</v>
      </c>
      <c r="G42">
        <v>2</v>
      </c>
      <c r="H42">
        <v>35712.800000000003</v>
      </c>
      <c r="I42">
        <v>7327.44</v>
      </c>
      <c r="J42" t="s">
        <v>47</v>
      </c>
      <c r="K42" t="s">
        <v>23</v>
      </c>
      <c r="L42">
        <f t="shared" si="0"/>
        <v>2024</v>
      </c>
      <c r="M42" t="str">
        <f t="shared" si="1"/>
        <v>Nov</v>
      </c>
      <c r="N42" s="2">
        <f t="shared" si="2"/>
        <v>0.20517685535718283</v>
      </c>
    </row>
    <row r="43" spans="1:14" x14ac:dyDescent="0.45">
      <c r="A43" t="s">
        <v>120</v>
      </c>
      <c r="B43" s="1">
        <v>44631</v>
      </c>
      <c r="C43" t="s">
        <v>121</v>
      </c>
      <c r="D43" t="s">
        <v>56</v>
      </c>
      <c r="E43" t="s">
        <v>20</v>
      </c>
      <c r="F43" t="s">
        <v>43</v>
      </c>
      <c r="G43">
        <v>4</v>
      </c>
      <c r="H43">
        <v>46754.74</v>
      </c>
      <c r="I43">
        <v>10556.02</v>
      </c>
      <c r="J43" t="s">
        <v>71</v>
      </c>
      <c r="K43" t="s">
        <v>23</v>
      </c>
      <c r="L43">
        <f t="shared" si="0"/>
        <v>2022</v>
      </c>
      <c r="M43" t="str">
        <f t="shared" si="1"/>
        <v>Mar</v>
      </c>
      <c r="N43" s="2">
        <f t="shared" si="2"/>
        <v>0.2257743279077159</v>
      </c>
    </row>
    <row r="44" spans="1:14" x14ac:dyDescent="0.45">
      <c r="A44" t="s">
        <v>122</v>
      </c>
      <c r="B44" s="1">
        <v>45156</v>
      </c>
      <c r="C44" t="s">
        <v>123</v>
      </c>
      <c r="D44" t="s">
        <v>56</v>
      </c>
      <c r="E44" t="s">
        <v>36</v>
      </c>
      <c r="F44" t="s">
        <v>53</v>
      </c>
      <c r="G44">
        <v>4</v>
      </c>
      <c r="H44">
        <v>28329.68</v>
      </c>
      <c r="I44">
        <v>6103.97</v>
      </c>
      <c r="J44" t="s">
        <v>16</v>
      </c>
      <c r="K44" t="s">
        <v>29</v>
      </c>
      <c r="L44">
        <f t="shared" si="0"/>
        <v>2023</v>
      </c>
      <c r="M44" t="str">
        <f t="shared" si="1"/>
        <v>Aug</v>
      </c>
      <c r="N44" s="2">
        <f t="shared" si="2"/>
        <v>0.21546201722010275</v>
      </c>
    </row>
    <row r="45" spans="1:14" x14ac:dyDescent="0.45">
      <c r="A45" t="s">
        <v>124</v>
      </c>
      <c r="B45" s="1">
        <v>44883</v>
      </c>
      <c r="C45" t="s">
        <v>85</v>
      </c>
      <c r="D45" t="s">
        <v>56</v>
      </c>
      <c r="E45" t="s">
        <v>36</v>
      </c>
      <c r="F45" t="s">
        <v>53</v>
      </c>
      <c r="G45">
        <v>2</v>
      </c>
      <c r="H45">
        <v>9198.57</v>
      </c>
      <c r="I45">
        <v>1860.63</v>
      </c>
      <c r="J45" t="s">
        <v>22</v>
      </c>
      <c r="K45" t="s">
        <v>17</v>
      </c>
      <c r="L45">
        <f t="shared" si="0"/>
        <v>2022</v>
      </c>
      <c r="M45" t="str">
        <f t="shared" si="1"/>
        <v>Nov</v>
      </c>
      <c r="N45" s="2">
        <f t="shared" si="2"/>
        <v>0.20227383169340454</v>
      </c>
    </row>
    <row r="46" spans="1:14" x14ac:dyDescent="0.45">
      <c r="A46" t="s">
        <v>125</v>
      </c>
      <c r="B46" s="1">
        <v>45639</v>
      </c>
      <c r="C46" t="s">
        <v>126</v>
      </c>
      <c r="D46" t="s">
        <v>56</v>
      </c>
      <c r="E46" t="s">
        <v>20</v>
      </c>
      <c r="F46" t="s">
        <v>43</v>
      </c>
      <c r="G46">
        <v>1</v>
      </c>
      <c r="H46">
        <v>40128.26</v>
      </c>
      <c r="I46">
        <v>4789.3900000000003</v>
      </c>
      <c r="J46" t="s">
        <v>28</v>
      </c>
      <c r="K46" t="s">
        <v>17</v>
      </c>
      <c r="L46">
        <f t="shared" si="0"/>
        <v>2024</v>
      </c>
      <c r="M46" t="str">
        <f t="shared" si="1"/>
        <v>Dec</v>
      </c>
      <c r="N46" s="2">
        <f t="shared" si="2"/>
        <v>0.11935204765918084</v>
      </c>
    </row>
    <row r="47" spans="1:14" x14ac:dyDescent="0.45">
      <c r="A47" t="s">
        <v>127</v>
      </c>
      <c r="B47" s="1">
        <v>45309</v>
      </c>
      <c r="C47" t="s">
        <v>128</v>
      </c>
      <c r="D47" t="s">
        <v>13</v>
      </c>
      <c r="E47" t="s">
        <v>20</v>
      </c>
      <c r="F47" t="s">
        <v>50</v>
      </c>
      <c r="G47">
        <v>2</v>
      </c>
      <c r="H47">
        <v>48925</v>
      </c>
      <c r="I47">
        <v>7968.33</v>
      </c>
      <c r="J47" t="s">
        <v>71</v>
      </c>
      <c r="K47" t="s">
        <v>29</v>
      </c>
      <c r="L47">
        <f t="shared" si="0"/>
        <v>2024</v>
      </c>
      <c r="M47" t="str">
        <f t="shared" si="1"/>
        <v>Jan</v>
      </c>
      <c r="N47" s="2">
        <f t="shared" si="2"/>
        <v>0.16286826775677057</v>
      </c>
    </row>
    <row r="48" spans="1:14" x14ac:dyDescent="0.45">
      <c r="A48" t="s">
        <v>129</v>
      </c>
      <c r="B48" s="1">
        <v>45022</v>
      </c>
      <c r="C48" t="s">
        <v>130</v>
      </c>
      <c r="D48" t="s">
        <v>13</v>
      </c>
      <c r="E48" t="s">
        <v>14</v>
      </c>
      <c r="F48" t="s">
        <v>57</v>
      </c>
      <c r="G48">
        <v>4</v>
      </c>
      <c r="H48">
        <v>20932.05</v>
      </c>
      <c r="I48">
        <v>1052.54</v>
      </c>
      <c r="J48" t="s">
        <v>28</v>
      </c>
      <c r="K48" t="s">
        <v>23</v>
      </c>
      <c r="L48">
        <f t="shared" si="0"/>
        <v>2023</v>
      </c>
      <c r="M48" t="str">
        <f t="shared" si="1"/>
        <v>Apr</v>
      </c>
      <c r="N48" s="2">
        <f t="shared" si="2"/>
        <v>5.0283655924766087E-2</v>
      </c>
    </row>
    <row r="49" spans="1:14" x14ac:dyDescent="0.45">
      <c r="A49" t="s">
        <v>131</v>
      </c>
      <c r="B49" s="1">
        <v>45029</v>
      </c>
      <c r="C49" t="s">
        <v>132</v>
      </c>
      <c r="D49" t="s">
        <v>26</v>
      </c>
      <c r="E49" t="s">
        <v>14</v>
      </c>
      <c r="F49" t="s">
        <v>15</v>
      </c>
      <c r="G49">
        <v>2</v>
      </c>
      <c r="H49">
        <v>36123.199999999997</v>
      </c>
      <c r="I49">
        <v>5358.6</v>
      </c>
      <c r="J49" t="s">
        <v>28</v>
      </c>
      <c r="K49" t="s">
        <v>29</v>
      </c>
      <c r="L49">
        <f t="shared" si="0"/>
        <v>2023</v>
      </c>
      <c r="M49" t="str">
        <f t="shared" si="1"/>
        <v>Apr</v>
      </c>
      <c r="N49" s="2">
        <f t="shared" si="2"/>
        <v>0.14834233954909867</v>
      </c>
    </row>
    <row r="50" spans="1:14" x14ac:dyDescent="0.45">
      <c r="A50" t="s">
        <v>133</v>
      </c>
      <c r="B50" s="1">
        <v>45383</v>
      </c>
      <c r="C50" t="s">
        <v>134</v>
      </c>
      <c r="D50" t="s">
        <v>26</v>
      </c>
      <c r="E50" t="s">
        <v>36</v>
      </c>
      <c r="F50" t="s">
        <v>46</v>
      </c>
      <c r="G50">
        <v>5</v>
      </c>
      <c r="H50">
        <v>41588.93</v>
      </c>
      <c r="I50">
        <v>6784.3</v>
      </c>
      <c r="J50" t="s">
        <v>47</v>
      </c>
      <c r="K50" t="s">
        <v>23</v>
      </c>
      <c r="L50">
        <f t="shared" si="0"/>
        <v>2024</v>
      </c>
      <c r="M50" t="str">
        <f t="shared" si="1"/>
        <v>Apr</v>
      </c>
      <c r="N50" s="2">
        <f t="shared" si="2"/>
        <v>0.16312754379590916</v>
      </c>
    </row>
    <row r="51" spans="1:14" x14ac:dyDescent="0.45">
      <c r="A51" t="s">
        <v>135</v>
      </c>
      <c r="B51" s="1">
        <v>45292</v>
      </c>
      <c r="C51" t="s">
        <v>136</v>
      </c>
      <c r="D51" t="s">
        <v>13</v>
      </c>
      <c r="E51" t="s">
        <v>20</v>
      </c>
      <c r="F51" t="s">
        <v>27</v>
      </c>
      <c r="G51">
        <v>1</v>
      </c>
      <c r="H51">
        <v>35699.82</v>
      </c>
      <c r="I51">
        <v>4388.49</v>
      </c>
      <c r="J51" t="s">
        <v>47</v>
      </c>
      <c r="K51" t="s">
        <v>17</v>
      </c>
      <c r="L51">
        <f t="shared" si="0"/>
        <v>2024</v>
      </c>
      <c r="M51" t="str">
        <f t="shared" si="1"/>
        <v>Jan</v>
      </c>
      <c r="N51" s="2">
        <f t="shared" si="2"/>
        <v>0.12292751055887677</v>
      </c>
    </row>
    <row r="52" spans="1:14" x14ac:dyDescent="0.45">
      <c r="A52" t="s">
        <v>137</v>
      </c>
      <c r="B52" s="1">
        <v>44675</v>
      </c>
      <c r="C52" t="s">
        <v>138</v>
      </c>
      <c r="D52" t="s">
        <v>13</v>
      </c>
      <c r="E52" t="s">
        <v>14</v>
      </c>
      <c r="F52" t="s">
        <v>40</v>
      </c>
      <c r="G52">
        <v>2</v>
      </c>
      <c r="H52">
        <v>14858.61</v>
      </c>
      <c r="I52">
        <v>3165.73</v>
      </c>
      <c r="J52" t="s">
        <v>28</v>
      </c>
      <c r="K52" t="s">
        <v>33</v>
      </c>
      <c r="L52">
        <f t="shared" si="0"/>
        <v>2022</v>
      </c>
      <c r="M52" t="str">
        <f t="shared" si="1"/>
        <v>Apr</v>
      </c>
      <c r="N52" s="2">
        <f t="shared" si="2"/>
        <v>0.21305694139626788</v>
      </c>
    </row>
    <row r="53" spans="1:14" x14ac:dyDescent="0.45">
      <c r="A53" t="s">
        <v>139</v>
      </c>
      <c r="B53" s="1">
        <v>45042</v>
      </c>
      <c r="C53" t="s">
        <v>140</v>
      </c>
      <c r="D53" t="s">
        <v>26</v>
      </c>
      <c r="E53" t="s">
        <v>36</v>
      </c>
      <c r="F53" t="s">
        <v>53</v>
      </c>
      <c r="G53">
        <v>2</v>
      </c>
      <c r="H53">
        <v>36975.4</v>
      </c>
      <c r="I53">
        <v>8067.97</v>
      </c>
      <c r="J53" t="s">
        <v>28</v>
      </c>
      <c r="K53" t="s">
        <v>23</v>
      </c>
      <c r="L53">
        <f t="shared" si="0"/>
        <v>2023</v>
      </c>
      <c r="M53" t="str">
        <f t="shared" si="1"/>
        <v>Apr</v>
      </c>
      <c r="N53" s="2">
        <f t="shared" si="2"/>
        <v>0.21819831563688291</v>
      </c>
    </row>
    <row r="54" spans="1:14" x14ac:dyDescent="0.45">
      <c r="A54" t="s">
        <v>141</v>
      </c>
      <c r="B54" s="1">
        <v>45585</v>
      </c>
      <c r="C54" t="s">
        <v>142</v>
      </c>
      <c r="D54" t="s">
        <v>26</v>
      </c>
      <c r="E54" t="s">
        <v>36</v>
      </c>
      <c r="F54" t="s">
        <v>37</v>
      </c>
      <c r="G54">
        <v>4</v>
      </c>
      <c r="H54">
        <v>7862.69</v>
      </c>
      <c r="I54">
        <v>1772.71</v>
      </c>
      <c r="J54" t="s">
        <v>16</v>
      </c>
      <c r="K54" t="s">
        <v>17</v>
      </c>
      <c r="L54">
        <f t="shared" si="0"/>
        <v>2024</v>
      </c>
      <c r="M54" t="str">
        <f t="shared" si="1"/>
        <v>Oct</v>
      </c>
      <c r="N54" s="2">
        <f t="shared" si="2"/>
        <v>0.22545846268897796</v>
      </c>
    </row>
    <row r="55" spans="1:14" x14ac:dyDescent="0.45">
      <c r="A55" t="s">
        <v>143</v>
      </c>
      <c r="B55" s="1">
        <v>45327</v>
      </c>
      <c r="C55" t="s">
        <v>144</v>
      </c>
      <c r="D55" t="s">
        <v>26</v>
      </c>
      <c r="E55" t="s">
        <v>36</v>
      </c>
      <c r="F55" t="s">
        <v>53</v>
      </c>
      <c r="G55">
        <v>5</v>
      </c>
      <c r="H55">
        <v>14559.03</v>
      </c>
      <c r="I55">
        <v>1049.73</v>
      </c>
      <c r="J55" t="s">
        <v>28</v>
      </c>
      <c r="K55" t="s">
        <v>29</v>
      </c>
      <c r="L55">
        <f t="shared" si="0"/>
        <v>2024</v>
      </c>
      <c r="M55" t="str">
        <f t="shared" si="1"/>
        <v>Feb</v>
      </c>
      <c r="N55" s="2">
        <f t="shared" si="2"/>
        <v>7.2101644134258944E-2</v>
      </c>
    </row>
    <row r="56" spans="1:14" x14ac:dyDescent="0.45">
      <c r="A56" t="s">
        <v>145</v>
      </c>
      <c r="B56" s="1">
        <v>45363</v>
      </c>
      <c r="C56" t="s">
        <v>146</v>
      </c>
      <c r="D56" t="s">
        <v>56</v>
      </c>
      <c r="E56" t="s">
        <v>36</v>
      </c>
      <c r="F56" t="s">
        <v>64</v>
      </c>
      <c r="G56">
        <v>4</v>
      </c>
      <c r="H56">
        <v>2135.46</v>
      </c>
      <c r="I56">
        <v>160.54</v>
      </c>
      <c r="J56" t="s">
        <v>16</v>
      </c>
      <c r="K56" t="s">
        <v>29</v>
      </c>
      <c r="L56">
        <f t="shared" si="0"/>
        <v>2024</v>
      </c>
      <c r="M56" t="str">
        <f t="shared" si="1"/>
        <v>Mar</v>
      </c>
      <c r="N56" s="2">
        <f t="shared" si="2"/>
        <v>7.5178181750067893E-2</v>
      </c>
    </row>
    <row r="57" spans="1:14" x14ac:dyDescent="0.45">
      <c r="A57" t="s">
        <v>147</v>
      </c>
      <c r="B57" s="1">
        <v>45196</v>
      </c>
      <c r="C57" t="s">
        <v>148</v>
      </c>
      <c r="D57" t="s">
        <v>13</v>
      </c>
      <c r="E57" t="s">
        <v>20</v>
      </c>
      <c r="F57" t="s">
        <v>50</v>
      </c>
      <c r="G57">
        <v>3</v>
      </c>
      <c r="H57">
        <v>6637.69</v>
      </c>
      <c r="I57">
        <v>1106.22</v>
      </c>
      <c r="J57" t="s">
        <v>47</v>
      </c>
      <c r="K57" t="s">
        <v>17</v>
      </c>
      <c r="L57">
        <f t="shared" si="0"/>
        <v>2023</v>
      </c>
      <c r="M57" t="str">
        <f t="shared" si="1"/>
        <v>Sep</v>
      </c>
      <c r="N57" s="2">
        <f t="shared" si="2"/>
        <v>0.16665737628602723</v>
      </c>
    </row>
    <row r="58" spans="1:14" x14ac:dyDescent="0.45">
      <c r="A58" t="s">
        <v>149</v>
      </c>
      <c r="B58" s="1">
        <v>45489</v>
      </c>
      <c r="C58" t="s">
        <v>150</v>
      </c>
      <c r="D58" t="s">
        <v>13</v>
      </c>
      <c r="E58" t="s">
        <v>36</v>
      </c>
      <c r="F58" t="s">
        <v>53</v>
      </c>
      <c r="G58">
        <v>5</v>
      </c>
      <c r="H58">
        <v>45496.12</v>
      </c>
      <c r="I58">
        <v>3121.92</v>
      </c>
      <c r="J58" t="s">
        <v>16</v>
      </c>
      <c r="K58" t="s">
        <v>23</v>
      </c>
      <c r="L58">
        <f t="shared" si="0"/>
        <v>2024</v>
      </c>
      <c r="M58" t="str">
        <f t="shared" si="1"/>
        <v>Jul</v>
      </c>
      <c r="N58" s="2">
        <f t="shared" si="2"/>
        <v>6.8619477880751151E-2</v>
      </c>
    </row>
    <row r="59" spans="1:14" x14ac:dyDescent="0.45">
      <c r="A59" t="s">
        <v>151</v>
      </c>
      <c r="B59" s="1">
        <v>44870</v>
      </c>
      <c r="C59" t="s">
        <v>152</v>
      </c>
      <c r="D59" t="s">
        <v>26</v>
      </c>
      <c r="E59" t="s">
        <v>20</v>
      </c>
      <c r="F59" t="s">
        <v>43</v>
      </c>
      <c r="G59">
        <v>5</v>
      </c>
      <c r="H59">
        <v>16004.21</v>
      </c>
      <c r="I59">
        <v>1507.07</v>
      </c>
      <c r="J59" t="s">
        <v>22</v>
      </c>
      <c r="K59" t="s">
        <v>33</v>
      </c>
      <c r="L59">
        <f t="shared" si="0"/>
        <v>2022</v>
      </c>
      <c r="M59" t="str">
        <f t="shared" si="1"/>
        <v>Nov</v>
      </c>
      <c r="N59" s="2">
        <f t="shared" si="2"/>
        <v>9.4167097282527534E-2</v>
      </c>
    </row>
    <row r="60" spans="1:14" x14ac:dyDescent="0.45">
      <c r="A60" t="s">
        <v>153</v>
      </c>
      <c r="B60" s="1">
        <v>45539</v>
      </c>
      <c r="C60" t="s">
        <v>154</v>
      </c>
      <c r="D60" t="s">
        <v>13</v>
      </c>
      <c r="E60" t="s">
        <v>20</v>
      </c>
      <c r="F60" t="s">
        <v>27</v>
      </c>
      <c r="G60">
        <v>1</v>
      </c>
      <c r="H60">
        <v>47874.05</v>
      </c>
      <c r="I60">
        <v>4102.0600000000004</v>
      </c>
      <c r="J60" t="s">
        <v>22</v>
      </c>
      <c r="K60" t="s">
        <v>17</v>
      </c>
      <c r="L60">
        <f t="shared" si="0"/>
        <v>2024</v>
      </c>
      <c r="M60" t="str">
        <f t="shared" si="1"/>
        <v>Sep</v>
      </c>
      <c r="N60" s="2">
        <f t="shared" si="2"/>
        <v>8.5684415669867078E-2</v>
      </c>
    </row>
    <row r="61" spans="1:14" x14ac:dyDescent="0.45">
      <c r="A61" t="s">
        <v>155</v>
      </c>
      <c r="B61" s="1">
        <v>45249</v>
      </c>
      <c r="C61" t="s">
        <v>156</v>
      </c>
      <c r="D61" t="s">
        <v>56</v>
      </c>
      <c r="E61" t="s">
        <v>36</v>
      </c>
      <c r="F61" t="s">
        <v>46</v>
      </c>
      <c r="G61">
        <v>5</v>
      </c>
      <c r="H61">
        <v>41552.910000000003</v>
      </c>
      <c r="I61">
        <v>9572.41</v>
      </c>
      <c r="J61" t="s">
        <v>47</v>
      </c>
      <c r="K61" t="s">
        <v>33</v>
      </c>
      <c r="L61">
        <f t="shared" si="0"/>
        <v>2023</v>
      </c>
      <c r="M61" t="str">
        <f t="shared" si="1"/>
        <v>Nov</v>
      </c>
      <c r="N61" s="2">
        <f t="shared" si="2"/>
        <v>0.23036677816306966</v>
      </c>
    </row>
    <row r="62" spans="1:14" x14ac:dyDescent="0.45">
      <c r="A62" t="s">
        <v>157</v>
      </c>
      <c r="B62" s="1">
        <v>45273</v>
      </c>
      <c r="C62" t="s">
        <v>158</v>
      </c>
      <c r="D62" t="s">
        <v>26</v>
      </c>
      <c r="E62" t="s">
        <v>20</v>
      </c>
      <c r="F62" t="s">
        <v>27</v>
      </c>
      <c r="G62">
        <v>1</v>
      </c>
      <c r="H62">
        <v>16020.85</v>
      </c>
      <c r="I62">
        <v>3277.32</v>
      </c>
      <c r="J62" t="s">
        <v>47</v>
      </c>
      <c r="K62" t="s">
        <v>33</v>
      </c>
      <c r="L62">
        <f t="shared" si="0"/>
        <v>2023</v>
      </c>
      <c r="M62" t="str">
        <f t="shared" si="1"/>
        <v>Dec</v>
      </c>
      <c r="N62" s="2">
        <f t="shared" si="2"/>
        <v>0.20456592502894666</v>
      </c>
    </row>
    <row r="63" spans="1:14" x14ac:dyDescent="0.45">
      <c r="A63" t="s">
        <v>159</v>
      </c>
      <c r="B63" s="1">
        <v>45246</v>
      </c>
      <c r="C63" t="s">
        <v>160</v>
      </c>
      <c r="D63" t="s">
        <v>26</v>
      </c>
      <c r="E63" t="s">
        <v>14</v>
      </c>
      <c r="F63" t="s">
        <v>15</v>
      </c>
      <c r="G63">
        <v>5</v>
      </c>
      <c r="H63">
        <v>20175.78</v>
      </c>
      <c r="I63">
        <v>1564.24</v>
      </c>
      <c r="J63" t="s">
        <v>22</v>
      </c>
      <c r="K63" t="s">
        <v>17</v>
      </c>
      <c r="L63">
        <f t="shared" si="0"/>
        <v>2023</v>
      </c>
      <c r="M63" t="str">
        <f t="shared" si="1"/>
        <v>Nov</v>
      </c>
      <c r="N63" s="2">
        <f t="shared" si="2"/>
        <v>7.7530583699861919E-2</v>
      </c>
    </row>
    <row r="64" spans="1:14" x14ac:dyDescent="0.45">
      <c r="A64" t="s">
        <v>161</v>
      </c>
      <c r="B64" s="1">
        <v>45300</v>
      </c>
      <c r="C64" t="s">
        <v>162</v>
      </c>
      <c r="D64" t="s">
        <v>56</v>
      </c>
      <c r="E64" t="s">
        <v>36</v>
      </c>
      <c r="F64" t="s">
        <v>46</v>
      </c>
      <c r="G64">
        <v>5</v>
      </c>
      <c r="H64">
        <v>14723.41</v>
      </c>
      <c r="I64">
        <v>2854.66</v>
      </c>
      <c r="J64" t="s">
        <v>28</v>
      </c>
      <c r="K64" t="s">
        <v>33</v>
      </c>
      <c r="L64">
        <f t="shared" si="0"/>
        <v>2024</v>
      </c>
      <c r="M64" t="str">
        <f t="shared" si="1"/>
        <v>Jan</v>
      </c>
      <c r="N64" s="2">
        <f t="shared" si="2"/>
        <v>0.19388579140294265</v>
      </c>
    </row>
    <row r="65" spans="1:14" x14ac:dyDescent="0.45">
      <c r="A65" t="s">
        <v>163</v>
      </c>
      <c r="B65" s="1">
        <v>45048</v>
      </c>
      <c r="C65" t="s">
        <v>164</v>
      </c>
      <c r="D65" t="s">
        <v>26</v>
      </c>
      <c r="E65" t="s">
        <v>36</v>
      </c>
      <c r="F65" t="s">
        <v>53</v>
      </c>
      <c r="G65">
        <v>5</v>
      </c>
      <c r="H65">
        <v>12482.18</v>
      </c>
      <c r="I65">
        <v>1288.8900000000001</v>
      </c>
      <c r="J65" t="s">
        <v>47</v>
      </c>
      <c r="K65" t="s">
        <v>29</v>
      </c>
      <c r="L65">
        <f t="shared" si="0"/>
        <v>2023</v>
      </c>
      <c r="M65" t="str">
        <f t="shared" si="1"/>
        <v>May</v>
      </c>
      <c r="N65" s="2">
        <f t="shared" si="2"/>
        <v>0.10325840518242807</v>
      </c>
    </row>
    <row r="66" spans="1:14" x14ac:dyDescent="0.45">
      <c r="A66" t="s">
        <v>165</v>
      </c>
      <c r="B66" s="1">
        <v>45490</v>
      </c>
      <c r="C66" t="s">
        <v>166</v>
      </c>
      <c r="D66" t="s">
        <v>56</v>
      </c>
      <c r="E66" t="s">
        <v>36</v>
      </c>
      <c r="F66" t="s">
        <v>46</v>
      </c>
      <c r="G66">
        <v>2</v>
      </c>
      <c r="H66">
        <v>1906.22</v>
      </c>
      <c r="I66">
        <v>419.71</v>
      </c>
      <c r="J66" t="s">
        <v>28</v>
      </c>
      <c r="K66" t="s">
        <v>23</v>
      </c>
      <c r="L66">
        <f t="shared" si="0"/>
        <v>2024</v>
      </c>
      <c r="M66" t="str">
        <f t="shared" si="1"/>
        <v>Jul</v>
      </c>
      <c r="N66" s="2">
        <f t="shared" si="2"/>
        <v>0.22017920282024109</v>
      </c>
    </row>
    <row r="67" spans="1:14" x14ac:dyDescent="0.45">
      <c r="A67" t="s">
        <v>167</v>
      </c>
      <c r="B67" s="1">
        <v>44676</v>
      </c>
      <c r="C67" t="s">
        <v>168</v>
      </c>
      <c r="D67" t="s">
        <v>26</v>
      </c>
      <c r="E67" t="s">
        <v>14</v>
      </c>
      <c r="F67" t="s">
        <v>57</v>
      </c>
      <c r="G67">
        <v>4</v>
      </c>
      <c r="H67">
        <v>5488.16</v>
      </c>
      <c r="I67">
        <v>1015.08</v>
      </c>
      <c r="J67" t="s">
        <v>28</v>
      </c>
      <c r="K67" t="s">
        <v>29</v>
      </c>
      <c r="L67">
        <f t="shared" ref="L67:L130" si="3">YEAR(B67 )</f>
        <v>2022</v>
      </c>
      <c r="M67" t="str">
        <f t="shared" ref="M67:M130" si="4">TEXT(B67,"MMM")</f>
        <v>Apr</v>
      </c>
      <c r="N67" s="2">
        <f t="shared" ref="N67:N130" si="5">I67 / H67</f>
        <v>0.18495816448500044</v>
      </c>
    </row>
    <row r="68" spans="1:14" x14ac:dyDescent="0.45">
      <c r="A68" t="s">
        <v>169</v>
      </c>
      <c r="B68" s="1">
        <v>45071</v>
      </c>
      <c r="C68" t="s">
        <v>170</v>
      </c>
      <c r="D68" t="s">
        <v>26</v>
      </c>
      <c r="E68" t="s">
        <v>20</v>
      </c>
      <c r="F68" t="s">
        <v>50</v>
      </c>
      <c r="G68">
        <v>4</v>
      </c>
      <c r="H68">
        <v>46423.55</v>
      </c>
      <c r="I68">
        <v>2808.38</v>
      </c>
      <c r="J68" t="s">
        <v>22</v>
      </c>
      <c r="K68" t="s">
        <v>29</v>
      </c>
      <c r="L68">
        <f t="shared" si="3"/>
        <v>2023</v>
      </c>
      <c r="M68" t="str">
        <f t="shared" si="4"/>
        <v>May</v>
      </c>
      <c r="N68" s="2">
        <f t="shared" si="5"/>
        <v>6.0494727352819848E-2</v>
      </c>
    </row>
    <row r="69" spans="1:14" x14ac:dyDescent="0.45">
      <c r="A69" t="s">
        <v>171</v>
      </c>
      <c r="B69" s="1">
        <v>45374</v>
      </c>
      <c r="C69" t="s">
        <v>172</v>
      </c>
      <c r="D69" t="s">
        <v>13</v>
      </c>
      <c r="E69" t="s">
        <v>20</v>
      </c>
      <c r="F69" t="s">
        <v>27</v>
      </c>
      <c r="G69">
        <v>3</v>
      </c>
      <c r="H69">
        <v>47664.5</v>
      </c>
      <c r="I69">
        <v>3478.12</v>
      </c>
      <c r="J69" t="s">
        <v>16</v>
      </c>
      <c r="K69" t="s">
        <v>29</v>
      </c>
      <c r="L69">
        <f t="shared" si="3"/>
        <v>2024</v>
      </c>
      <c r="M69" t="str">
        <f t="shared" si="4"/>
        <v>Mar</v>
      </c>
      <c r="N69" s="2">
        <f t="shared" si="5"/>
        <v>7.297086930524814E-2</v>
      </c>
    </row>
    <row r="70" spans="1:14" x14ac:dyDescent="0.45">
      <c r="A70" t="s">
        <v>173</v>
      </c>
      <c r="B70" s="1">
        <v>45417</v>
      </c>
      <c r="C70" t="s">
        <v>174</v>
      </c>
      <c r="D70" t="s">
        <v>56</v>
      </c>
      <c r="E70" t="s">
        <v>14</v>
      </c>
      <c r="F70" t="s">
        <v>57</v>
      </c>
      <c r="G70">
        <v>4</v>
      </c>
      <c r="H70">
        <v>970.21</v>
      </c>
      <c r="I70">
        <v>119</v>
      </c>
      <c r="J70" t="s">
        <v>22</v>
      </c>
      <c r="K70" t="s">
        <v>33</v>
      </c>
      <c r="L70">
        <f t="shared" si="3"/>
        <v>2024</v>
      </c>
      <c r="M70" t="str">
        <f t="shared" si="4"/>
        <v>May</v>
      </c>
      <c r="N70" s="2">
        <f t="shared" si="5"/>
        <v>0.12265385844301749</v>
      </c>
    </row>
    <row r="71" spans="1:14" x14ac:dyDescent="0.45">
      <c r="A71" t="s">
        <v>175</v>
      </c>
      <c r="B71" s="1">
        <v>45071</v>
      </c>
      <c r="C71" t="s">
        <v>176</v>
      </c>
      <c r="D71" t="s">
        <v>26</v>
      </c>
      <c r="E71" t="s">
        <v>36</v>
      </c>
      <c r="F71" t="s">
        <v>46</v>
      </c>
      <c r="G71">
        <v>2</v>
      </c>
      <c r="H71">
        <v>36999.11</v>
      </c>
      <c r="I71">
        <v>3053.8</v>
      </c>
      <c r="J71" t="s">
        <v>16</v>
      </c>
      <c r="K71" t="s">
        <v>17</v>
      </c>
      <c r="L71">
        <f t="shared" si="3"/>
        <v>2023</v>
      </c>
      <c r="M71" t="str">
        <f t="shared" si="4"/>
        <v>May</v>
      </c>
      <c r="N71" s="2">
        <f t="shared" si="5"/>
        <v>8.2537120487492815E-2</v>
      </c>
    </row>
    <row r="72" spans="1:14" x14ac:dyDescent="0.45">
      <c r="A72" t="s">
        <v>177</v>
      </c>
      <c r="B72" s="1">
        <v>44702</v>
      </c>
      <c r="C72" t="s">
        <v>178</v>
      </c>
      <c r="D72" t="s">
        <v>56</v>
      </c>
      <c r="E72" t="s">
        <v>20</v>
      </c>
      <c r="F72" t="s">
        <v>50</v>
      </c>
      <c r="G72">
        <v>1</v>
      </c>
      <c r="H72">
        <v>33497.199999999997</v>
      </c>
      <c r="I72">
        <v>6474.26</v>
      </c>
      <c r="J72" t="s">
        <v>22</v>
      </c>
      <c r="K72" t="s">
        <v>33</v>
      </c>
      <c r="L72">
        <f t="shared" si="3"/>
        <v>2022</v>
      </c>
      <c r="M72" t="str">
        <f t="shared" si="4"/>
        <v>May</v>
      </c>
      <c r="N72" s="2">
        <f t="shared" si="5"/>
        <v>0.19327764708692072</v>
      </c>
    </row>
    <row r="73" spans="1:14" x14ac:dyDescent="0.45">
      <c r="A73" t="s">
        <v>179</v>
      </c>
      <c r="B73" s="1">
        <v>44894</v>
      </c>
      <c r="C73" t="s">
        <v>180</v>
      </c>
      <c r="D73" t="s">
        <v>26</v>
      </c>
      <c r="E73" t="s">
        <v>20</v>
      </c>
      <c r="F73" t="s">
        <v>27</v>
      </c>
      <c r="G73">
        <v>4</v>
      </c>
      <c r="H73">
        <v>22222.04</v>
      </c>
      <c r="I73">
        <v>2002.21</v>
      </c>
      <c r="J73" t="s">
        <v>71</v>
      </c>
      <c r="K73" t="s">
        <v>17</v>
      </c>
      <c r="L73">
        <f t="shared" si="3"/>
        <v>2022</v>
      </c>
      <c r="M73" t="str">
        <f t="shared" si="4"/>
        <v>Nov</v>
      </c>
      <c r="N73" s="2">
        <f t="shared" si="5"/>
        <v>9.0100188821548341E-2</v>
      </c>
    </row>
    <row r="74" spans="1:14" x14ac:dyDescent="0.45">
      <c r="A74" t="s">
        <v>181</v>
      </c>
      <c r="B74" s="1">
        <v>45578</v>
      </c>
      <c r="C74" t="s">
        <v>182</v>
      </c>
      <c r="D74" t="s">
        <v>26</v>
      </c>
      <c r="E74" t="s">
        <v>36</v>
      </c>
      <c r="F74" t="s">
        <v>37</v>
      </c>
      <c r="G74">
        <v>2</v>
      </c>
      <c r="H74">
        <v>6467.46</v>
      </c>
      <c r="I74">
        <v>965.95</v>
      </c>
      <c r="J74" t="s">
        <v>16</v>
      </c>
      <c r="K74" t="s">
        <v>29</v>
      </c>
      <c r="L74">
        <f t="shared" si="3"/>
        <v>2024</v>
      </c>
      <c r="M74" t="str">
        <f t="shared" si="4"/>
        <v>Oct</v>
      </c>
      <c r="N74" s="2">
        <f t="shared" si="5"/>
        <v>0.14935538835957238</v>
      </c>
    </row>
    <row r="75" spans="1:14" x14ac:dyDescent="0.45">
      <c r="A75" t="s">
        <v>183</v>
      </c>
      <c r="B75" s="1">
        <v>44734</v>
      </c>
      <c r="C75" t="s">
        <v>184</v>
      </c>
      <c r="D75" t="s">
        <v>13</v>
      </c>
      <c r="E75" t="s">
        <v>20</v>
      </c>
      <c r="F75" t="s">
        <v>43</v>
      </c>
      <c r="G75">
        <v>4</v>
      </c>
      <c r="H75">
        <v>23634.03</v>
      </c>
      <c r="I75">
        <v>3819.19</v>
      </c>
      <c r="J75" t="s">
        <v>47</v>
      </c>
      <c r="K75" t="s">
        <v>29</v>
      </c>
      <c r="L75">
        <f t="shared" si="3"/>
        <v>2022</v>
      </c>
      <c r="M75" t="str">
        <f t="shared" si="4"/>
        <v>Jun</v>
      </c>
      <c r="N75" s="2">
        <f t="shared" si="5"/>
        <v>0.1615970699876407</v>
      </c>
    </row>
    <row r="76" spans="1:14" x14ac:dyDescent="0.45">
      <c r="A76" t="s">
        <v>185</v>
      </c>
      <c r="B76" s="1">
        <v>44683</v>
      </c>
      <c r="C76" t="s">
        <v>186</v>
      </c>
      <c r="D76" t="s">
        <v>13</v>
      </c>
      <c r="E76" t="s">
        <v>14</v>
      </c>
      <c r="F76" t="s">
        <v>15</v>
      </c>
      <c r="G76">
        <v>3</v>
      </c>
      <c r="H76">
        <v>9865.4</v>
      </c>
      <c r="I76">
        <v>1516.3</v>
      </c>
      <c r="J76" t="s">
        <v>22</v>
      </c>
      <c r="K76" t="s">
        <v>17</v>
      </c>
      <c r="L76">
        <f t="shared" si="3"/>
        <v>2022</v>
      </c>
      <c r="M76" t="str">
        <f t="shared" si="4"/>
        <v>May</v>
      </c>
      <c r="N76" s="2">
        <f t="shared" si="5"/>
        <v>0.15369878565491515</v>
      </c>
    </row>
    <row r="77" spans="1:14" x14ac:dyDescent="0.45">
      <c r="A77" t="s">
        <v>187</v>
      </c>
      <c r="B77" s="1">
        <v>45282</v>
      </c>
      <c r="C77" t="s">
        <v>188</v>
      </c>
      <c r="D77" t="s">
        <v>56</v>
      </c>
      <c r="E77" t="s">
        <v>14</v>
      </c>
      <c r="F77" t="s">
        <v>40</v>
      </c>
      <c r="G77">
        <v>5</v>
      </c>
      <c r="H77">
        <v>40103.42</v>
      </c>
      <c r="I77">
        <v>8214.35</v>
      </c>
      <c r="J77" t="s">
        <v>28</v>
      </c>
      <c r="K77" t="s">
        <v>17</v>
      </c>
      <c r="L77">
        <f t="shared" si="3"/>
        <v>2023</v>
      </c>
      <c r="M77" t="str">
        <f t="shared" si="4"/>
        <v>Dec</v>
      </c>
      <c r="N77" s="2">
        <f t="shared" si="5"/>
        <v>0.20482916419597133</v>
      </c>
    </row>
    <row r="78" spans="1:14" x14ac:dyDescent="0.45">
      <c r="A78" t="s">
        <v>189</v>
      </c>
      <c r="B78" s="1">
        <v>44821</v>
      </c>
      <c r="C78" t="s">
        <v>190</v>
      </c>
      <c r="D78" t="s">
        <v>56</v>
      </c>
      <c r="E78" t="s">
        <v>20</v>
      </c>
      <c r="F78" t="s">
        <v>50</v>
      </c>
      <c r="G78">
        <v>2</v>
      </c>
      <c r="H78">
        <v>49625.97</v>
      </c>
      <c r="I78">
        <v>7072.88</v>
      </c>
      <c r="J78" t="s">
        <v>22</v>
      </c>
      <c r="K78" t="s">
        <v>17</v>
      </c>
      <c r="L78">
        <f t="shared" si="3"/>
        <v>2022</v>
      </c>
      <c r="M78" t="str">
        <f t="shared" si="4"/>
        <v>Sep</v>
      </c>
      <c r="N78" s="2">
        <f t="shared" si="5"/>
        <v>0.14252376326346869</v>
      </c>
    </row>
    <row r="79" spans="1:14" x14ac:dyDescent="0.45">
      <c r="A79" t="s">
        <v>191</v>
      </c>
      <c r="B79" s="1">
        <v>45118</v>
      </c>
      <c r="C79" t="s">
        <v>192</v>
      </c>
      <c r="D79" t="s">
        <v>26</v>
      </c>
      <c r="E79" t="s">
        <v>36</v>
      </c>
      <c r="F79" t="s">
        <v>53</v>
      </c>
      <c r="G79">
        <v>5</v>
      </c>
      <c r="H79">
        <v>40484.17</v>
      </c>
      <c r="I79">
        <v>7908.96</v>
      </c>
      <c r="J79" t="s">
        <v>47</v>
      </c>
      <c r="K79" t="s">
        <v>17</v>
      </c>
      <c r="L79">
        <f t="shared" si="3"/>
        <v>2023</v>
      </c>
      <c r="M79" t="str">
        <f t="shared" si="4"/>
        <v>Jul</v>
      </c>
      <c r="N79" s="2">
        <f t="shared" si="5"/>
        <v>0.19535932192755837</v>
      </c>
    </row>
    <row r="80" spans="1:14" x14ac:dyDescent="0.45">
      <c r="A80" t="s">
        <v>193</v>
      </c>
      <c r="B80" s="1">
        <v>44613</v>
      </c>
      <c r="C80" t="s">
        <v>194</v>
      </c>
      <c r="D80" t="s">
        <v>26</v>
      </c>
      <c r="E80" t="s">
        <v>14</v>
      </c>
      <c r="F80" t="s">
        <v>40</v>
      </c>
      <c r="G80">
        <v>3</v>
      </c>
      <c r="H80">
        <v>8602.24</v>
      </c>
      <c r="I80">
        <v>2026.52</v>
      </c>
      <c r="J80" t="s">
        <v>22</v>
      </c>
      <c r="K80" t="s">
        <v>33</v>
      </c>
      <c r="L80">
        <f t="shared" si="3"/>
        <v>2022</v>
      </c>
      <c r="M80" t="str">
        <f t="shared" si="4"/>
        <v>Feb</v>
      </c>
      <c r="N80" s="2">
        <f t="shared" si="5"/>
        <v>0.23558049996280039</v>
      </c>
    </row>
    <row r="81" spans="1:14" x14ac:dyDescent="0.45">
      <c r="A81" t="s">
        <v>195</v>
      </c>
      <c r="B81" s="1">
        <v>45489</v>
      </c>
      <c r="C81" t="s">
        <v>196</v>
      </c>
      <c r="D81" t="s">
        <v>56</v>
      </c>
      <c r="E81" t="s">
        <v>14</v>
      </c>
      <c r="F81" t="s">
        <v>57</v>
      </c>
      <c r="G81">
        <v>4</v>
      </c>
      <c r="H81">
        <v>18208.400000000001</v>
      </c>
      <c r="I81">
        <v>2800.72</v>
      </c>
      <c r="J81" t="s">
        <v>16</v>
      </c>
      <c r="K81" t="s">
        <v>17</v>
      </c>
      <c r="L81">
        <f t="shared" si="3"/>
        <v>2024</v>
      </c>
      <c r="M81" t="str">
        <f t="shared" si="4"/>
        <v>Jul</v>
      </c>
      <c r="N81" s="2">
        <f t="shared" si="5"/>
        <v>0.15381472287515649</v>
      </c>
    </row>
    <row r="82" spans="1:14" x14ac:dyDescent="0.45">
      <c r="A82" t="s">
        <v>197</v>
      </c>
      <c r="B82" s="1">
        <v>45319</v>
      </c>
      <c r="C82" t="s">
        <v>198</v>
      </c>
      <c r="D82" t="s">
        <v>56</v>
      </c>
      <c r="E82" t="s">
        <v>20</v>
      </c>
      <c r="F82" t="s">
        <v>50</v>
      </c>
      <c r="G82">
        <v>1</v>
      </c>
      <c r="H82">
        <v>42559.45</v>
      </c>
      <c r="I82">
        <v>9037.7800000000007</v>
      </c>
      <c r="J82" t="s">
        <v>16</v>
      </c>
      <c r="K82" t="s">
        <v>23</v>
      </c>
      <c r="L82">
        <f t="shared" si="3"/>
        <v>2024</v>
      </c>
      <c r="M82" t="str">
        <f t="shared" si="4"/>
        <v>Jan</v>
      </c>
      <c r="N82" s="2">
        <f t="shared" si="5"/>
        <v>0.21235659765340015</v>
      </c>
    </row>
    <row r="83" spans="1:14" x14ac:dyDescent="0.45">
      <c r="A83" t="s">
        <v>199</v>
      </c>
      <c r="B83" s="1">
        <v>44972</v>
      </c>
      <c r="C83" t="s">
        <v>200</v>
      </c>
      <c r="D83" t="s">
        <v>13</v>
      </c>
      <c r="E83" t="s">
        <v>36</v>
      </c>
      <c r="F83" t="s">
        <v>53</v>
      </c>
      <c r="G83">
        <v>4</v>
      </c>
      <c r="H83">
        <v>14286.6</v>
      </c>
      <c r="I83">
        <v>1426.96</v>
      </c>
      <c r="J83" t="s">
        <v>47</v>
      </c>
      <c r="K83" t="s">
        <v>17</v>
      </c>
      <c r="L83">
        <f t="shared" si="3"/>
        <v>2023</v>
      </c>
      <c r="M83" t="str">
        <f t="shared" si="4"/>
        <v>Feb</v>
      </c>
      <c r="N83" s="2">
        <f t="shared" si="5"/>
        <v>9.9881007377542588E-2</v>
      </c>
    </row>
    <row r="84" spans="1:14" x14ac:dyDescent="0.45">
      <c r="A84" t="s">
        <v>201</v>
      </c>
      <c r="B84" s="1">
        <v>44900</v>
      </c>
      <c r="C84" t="s">
        <v>202</v>
      </c>
      <c r="D84" t="s">
        <v>56</v>
      </c>
      <c r="E84" t="s">
        <v>36</v>
      </c>
      <c r="F84" t="s">
        <v>37</v>
      </c>
      <c r="G84">
        <v>4</v>
      </c>
      <c r="H84">
        <v>13345.73</v>
      </c>
      <c r="I84">
        <v>2096.62</v>
      </c>
      <c r="J84" t="s">
        <v>22</v>
      </c>
      <c r="K84" t="s">
        <v>33</v>
      </c>
      <c r="L84">
        <f t="shared" si="3"/>
        <v>2022</v>
      </c>
      <c r="M84" t="str">
        <f t="shared" si="4"/>
        <v>Dec</v>
      </c>
      <c r="N84" s="2">
        <f t="shared" si="5"/>
        <v>0.15710043586975009</v>
      </c>
    </row>
    <row r="85" spans="1:14" x14ac:dyDescent="0.45">
      <c r="A85" t="s">
        <v>203</v>
      </c>
      <c r="B85" s="1">
        <v>45339</v>
      </c>
      <c r="C85" t="s">
        <v>204</v>
      </c>
      <c r="D85" t="s">
        <v>56</v>
      </c>
      <c r="E85" t="s">
        <v>36</v>
      </c>
      <c r="F85" t="s">
        <v>64</v>
      </c>
      <c r="G85">
        <v>2</v>
      </c>
      <c r="H85">
        <v>43654.49</v>
      </c>
      <c r="I85">
        <v>8496.43</v>
      </c>
      <c r="J85" t="s">
        <v>28</v>
      </c>
      <c r="K85" t="s">
        <v>29</v>
      </c>
      <c r="L85">
        <f t="shared" si="3"/>
        <v>2024</v>
      </c>
      <c r="M85" t="str">
        <f t="shared" si="4"/>
        <v>Feb</v>
      </c>
      <c r="N85" s="2">
        <f t="shared" si="5"/>
        <v>0.19462900608849171</v>
      </c>
    </row>
    <row r="86" spans="1:14" x14ac:dyDescent="0.45">
      <c r="A86" t="s">
        <v>205</v>
      </c>
      <c r="B86" s="1">
        <v>44790</v>
      </c>
      <c r="C86" t="s">
        <v>206</v>
      </c>
      <c r="D86" t="s">
        <v>13</v>
      </c>
      <c r="E86" t="s">
        <v>14</v>
      </c>
      <c r="F86" t="s">
        <v>57</v>
      </c>
      <c r="G86">
        <v>3</v>
      </c>
      <c r="H86">
        <v>46444.21</v>
      </c>
      <c r="I86">
        <v>8680.08</v>
      </c>
      <c r="J86" t="s">
        <v>71</v>
      </c>
      <c r="K86" t="s">
        <v>17</v>
      </c>
      <c r="L86">
        <f t="shared" si="3"/>
        <v>2022</v>
      </c>
      <c r="M86" t="str">
        <f t="shared" si="4"/>
        <v>Aug</v>
      </c>
      <c r="N86" s="2">
        <f t="shared" si="5"/>
        <v>0.18689261804646909</v>
      </c>
    </row>
    <row r="87" spans="1:14" x14ac:dyDescent="0.45">
      <c r="A87" t="s">
        <v>207</v>
      </c>
      <c r="B87" s="1">
        <v>44728</v>
      </c>
      <c r="C87" t="s">
        <v>208</v>
      </c>
      <c r="D87" t="s">
        <v>13</v>
      </c>
      <c r="E87" t="s">
        <v>36</v>
      </c>
      <c r="F87" t="s">
        <v>64</v>
      </c>
      <c r="G87">
        <v>1</v>
      </c>
      <c r="H87">
        <v>15469.73</v>
      </c>
      <c r="I87">
        <v>2973.08</v>
      </c>
      <c r="J87" t="s">
        <v>47</v>
      </c>
      <c r="K87" t="s">
        <v>17</v>
      </c>
      <c r="L87">
        <f t="shared" si="3"/>
        <v>2022</v>
      </c>
      <c r="M87" t="str">
        <f t="shared" si="4"/>
        <v>Jun</v>
      </c>
      <c r="N87" s="2">
        <f t="shared" si="5"/>
        <v>0.19218693538930542</v>
      </c>
    </row>
    <row r="88" spans="1:14" x14ac:dyDescent="0.45">
      <c r="A88" t="s">
        <v>209</v>
      </c>
      <c r="B88" s="1">
        <v>44606</v>
      </c>
      <c r="C88" t="s">
        <v>210</v>
      </c>
      <c r="D88" t="s">
        <v>56</v>
      </c>
      <c r="E88" t="s">
        <v>36</v>
      </c>
      <c r="F88" t="s">
        <v>37</v>
      </c>
      <c r="G88">
        <v>4</v>
      </c>
      <c r="H88">
        <v>42806.55</v>
      </c>
      <c r="I88">
        <v>6438.25</v>
      </c>
      <c r="J88" t="s">
        <v>22</v>
      </c>
      <c r="K88" t="s">
        <v>29</v>
      </c>
      <c r="L88">
        <f t="shared" si="3"/>
        <v>2022</v>
      </c>
      <c r="M88" t="str">
        <f t="shared" si="4"/>
        <v>Feb</v>
      </c>
      <c r="N88" s="2">
        <f t="shared" si="5"/>
        <v>0.15040338452876953</v>
      </c>
    </row>
    <row r="89" spans="1:14" x14ac:dyDescent="0.45">
      <c r="A89" t="s">
        <v>211</v>
      </c>
      <c r="B89" s="1">
        <v>44681</v>
      </c>
      <c r="C89" t="s">
        <v>212</v>
      </c>
      <c r="D89" t="s">
        <v>13</v>
      </c>
      <c r="E89" t="s">
        <v>20</v>
      </c>
      <c r="F89" t="s">
        <v>21</v>
      </c>
      <c r="G89">
        <v>4</v>
      </c>
      <c r="H89">
        <v>37798.89</v>
      </c>
      <c r="I89">
        <v>8902.2900000000009</v>
      </c>
      <c r="J89" t="s">
        <v>71</v>
      </c>
      <c r="K89" t="s">
        <v>29</v>
      </c>
      <c r="L89">
        <f t="shared" si="3"/>
        <v>2022</v>
      </c>
      <c r="M89" t="str">
        <f t="shared" si="4"/>
        <v>Apr</v>
      </c>
      <c r="N89" s="2">
        <f t="shared" si="5"/>
        <v>0.23551723344256936</v>
      </c>
    </row>
    <row r="90" spans="1:14" x14ac:dyDescent="0.45">
      <c r="A90" t="s">
        <v>213</v>
      </c>
      <c r="B90" s="1">
        <v>45134</v>
      </c>
      <c r="C90" t="s">
        <v>214</v>
      </c>
      <c r="D90" t="s">
        <v>13</v>
      </c>
      <c r="E90" t="s">
        <v>14</v>
      </c>
      <c r="F90" t="s">
        <v>40</v>
      </c>
      <c r="G90">
        <v>2</v>
      </c>
      <c r="H90">
        <v>7183.22</v>
      </c>
      <c r="I90">
        <v>911.4</v>
      </c>
      <c r="J90" t="s">
        <v>47</v>
      </c>
      <c r="K90" t="s">
        <v>29</v>
      </c>
      <c r="L90">
        <f t="shared" si="3"/>
        <v>2023</v>
      </c>
      <c r="M90" t="str">
        <f t="shared" si="4"/>
        <v>Jul</v>
      </c>
      <c r="N90" s="2">
        <f t="shared" si="5"/>
        <v>0.1268790319661656</v>
      </c>
    </row>
    <row r="91" spans="1:14" x14ac:dyDescent="0.45">
      <c r="A91" t="s">
        <v>215</v>
      </c>
      <c r="B91" s="1">
        <v>45267</v>
      </c>
      <c r="C91" t="s">
        <v>216</v>
      </c>
      <c r="D91" t="s">
        <v>56</v>
      </c>
      <c r="E91" t="s">
        <v>36</v>
      </c>
      <c r="F91" t="s">
        <v>37</v>
      </c>
      <c r="G91">
        <v>4</v>
      </c>
      <c r="H91">
        <v>657.43</v>
      </c>
      <c r="I91">
        <v>79.989999999999995</v>
      </c>
      <c r="J91" t="s">
        <v>16</v>
      </c>
      <c r="K91" t="s">
        <v>33</v>
      </c>
      <c r="L91">
        <f t="shared" si="3"/>
        <v>2023</v>
      </c>
      <c r="M91" t="str">
        <f t="shared" si="4"/>
        <v>Dec</v>
      </c>
      <c r="N91" s="2">
        <f t="shared" si="5"/>
        <v>0.12167074821654017</v>
      </c>
    </row>
    <row r="92" spans="1:14" x14ac:dyDescent="0.45">
      <c r="A92" t="s">
        <v>217</v>
      </c>
      <c r="B92" s="1">
        <v>45375</v>
      </c>
      <c r="C92" t="s">
        <v>218</v>
      </c>
      <c r="D92" t="s">
        <v>13</v>
      </c>
      <c r="E92" t="s">
        <v>14</v>
      </c>
      <c r="F92" t="s">
        <v>32</v>
      </c>
      <c r="G92">
        <v>1</v>
      </c>
      <c r="H92">
        <v>47375.96</v>
      </c>
      <c r="I92">
        <v>4807.88</v>
      </c>
      <c r="J92" t="s">
        <v>71</v>
      </c>
      <c r="K92" t="s">
        <v>33</v>
      </c>
      <c r="L92">
        <f t="shared" si="3"/>
        <v>2024</v>
      </c>
      <c r="M92" t="str">
        <f t="shared" si="4"/>
        <v>Mar</v>
      </c>
      <c r="N92" s="2">
        <f t="shared" si="5"/>
        <v>0.10148353722014287</v>
      </c>
    </row>
    <row r="93" spans="1:14" x14ac:dyDescent="0.45">
      <c r="A93" t="s">
        <v>219</v>
      </c>
      <c r="B93" s="1">
        <v>44989</v>
      </c>
      <c r="C93" t="s">
        <v>220</v>
      </c>
      <c r="D93" t="s">
        <v>13</v>
      </c>
      <c r="E93" t="s">
        <v>20</v>
      </c>
      <c r="F93" t="s">
        <v>43</v>
      </c>
      <c r="G93">
        <v>2</v>
      </c>
      <c r="H93">
        <v>1790.14</v>
      </c>
      <c r="I93">
        <v>252.29</v>
      </c>
      <c r="J93" t="s">
        <v>22</v>
      </c>
      <c r="K93" t="s">
        <v>23</v>
      </c>
      <c r="L93">
        <f t="shared" si="3"/>
        <v>2023</v>
      </c>
      <c r="M93" t="str">
        <f t="shared" si="4"/>
        <v>Mar</v>
      </c>
      <c r="N93" s="2">
        <f t="shared" si="5"/>
        <v>0.14093311137676381</v>
      </c>
    </row>
    <row r="94" spans="1:14" x14ac:dyDescent="0.45">
      <c r="A94" t="s">
        <v>221</v>
      </c>
      <c r="B94" s="1">
        <v>44700</v>
      </c>
      <c r="C94" t="s">
        <v>222</v>
      </c>
      <c r="D94" t="s">
        <v>26</v>
      </c>
      <c r="E94" t="s">
        <v>14</v>
      </c>
      <c r="F94" t="s">
        <v>40</v>
      </c>
      <c r="G94">
        <v>3</v>
      </c>
      <c r="H94">
        <v>5483.12</v>
      </c>
      <c r="I94">
        <v>1354.53</v>
      </c>
      <c r="J94" t="s">
        <v>28</v>
      </c>
      <c r="K94" t="s">
        <v>23</v>
      </c>
      <c r="L94">
        <f t="shared" si="3"/>
        <v>2022</v>
      </c>
      <c r="M94" t="str">
        <f t="shared" si="4"/>
        <v>May</v>
      </c>
      <c r="N94" s="2">
        <f t="shared" si="5"/>
        <v>0.2470363588613782</v>
      </c>
    </row>
    <row r="95" spans="1:14" x14ac:dyDescent="0.45">
      <c r="A95" t="s">
        <v>223</v>
      </c>
      <c r="B95" s="1">
        <v>45377</v>
      </c>
      <c r="C95" t="s">
        <v>224</v>
      </c>
      <c r="D95" t="s">
        <v>56</v>
      </c>
      <c r="E95" t="s">
        <v>36</v>
      </c>
      <c r="F95" t="s">
        <v>37</v>
      </c>
      <c r="G95">
        <v>5</v>
      </c>
      <c r="H95">
        <v>24982</v>
      </c>
      <c r="I95">
        <v>4760.7700000000004</v>
      </c>
      <c r="J95" t="s">
        <v>28</v>
      </c>
      <c r="K95" t="s">
        <v>17</v>
      </c>
      <c r="L95">
        <f t="shared" si="3"/>
        <v>2024</v>
      </c>
      <c r="M95" t="str">
        <f t="shared" si="4"/>
        <v>Mar</v>
      </c>
      <c r="N95" s="2">
        <f t="shared" si="5"/>
        <v>0.19056800896645587</v>
      </c>
    </row>
    <row r="96" spans="1:14" x14ac:dyDescent="0.45">
      <c r="A96" t="s">
        <v>225</v>
      </c>
      <c r="B96" s="1">
        <v>44723</v>
      </c>
      <c r="C96" t="s">
        <v>226</v>
      </c>
      <c r="D96" t="s">
        <v>13</v>
      </c>
      <c r="E96" t="s">
        <v>20</v>
      </c>
      <c r="F96" t="s">
        <v>27</v>
      </c>
      <c r="G96">
        <v>2</v>
      </c>
      <c r="H96">
        <v>27119.85</v>
      </c>
      <c r="I96">
        <v>3892.67</v>
      </c>
      <c r="J96" t="s">
        <v>28</v>
      </c>
      <c r="K96" t="s">
        <v>29</v>
      </c>
      <c r="L96">
        <f t="shared" si="3"/>
        <v>2022</v>
      </c>
      <c r="M96" t="str">
        <f t="shared" si="4"/>
        <v>Jun</v>
      </c>
      <c r="N96" s="2">
        <f t="shared" si="5"/>
        <v>0.14353582339135357</v>
      </c>
    </row>
    <row r="97" spans="1:14" x14ac:dyDescent="0.45">
      <c r="A97" t="s">
        <v>227</v>
      </c>
      <c r="B97" s="1">
        <v>45200</v>
      </c>
      <c r="C97" t="s">
        <v>228</v>
      </c>
      <c r="D97" t="s">
        <v>13</v>
      </c>
      <c r="E97" t="s">
        <v>36</v>
      </c>
      <c r="F97" t="s">
        <v>53</v>
      </c>
      <c r="G97">
        <v>2</v>
      </c>
      <c r="H97">
        <v>855.69</v>
      </c>
      <c r="I97">
        <v>112.08</v>
      </c>
      <c r="J97" t="s">
        <v>71</v>
      </c>
      <c r="K97" t="s">
        <v>23</v>
      </c>
      <c r="L97">
        <f t="shared" si="3"/>
        <v>2023</v>
      </c>
      <c r="M97" t="str">
        <f t="shared" si="4"/>
        <v>Oct</v>
      </c>
      <c r="N97" s="2">
        <f t="shared" si="5"/>
        <v>0.13098201451460223</v>
      </c>
    </row>
    <row r="98" spans="1:14" x14ac:dyDescent="0.45">
      <c r="A98" t="s">
        <v>229</v>
      </c>
      <c r="B98" s="1">
        <v>44843</v>
      </c>
      <c r="C98" t="s">
        <v>230</v>
      </c>
      <c r="D98" t="s">
        <v>26</v>
      </c>
      <c r="E98" t="s">
        <v>20</v>
      </c>
      <c r="F98" t="s">
        <v>21</v>
      </c>
      <c r="G98">
        <v>3</v>
      </c>
      <c r="H98">
        <v>22103.68</v>
      </c>
      <c r="I98">
        <v>4019.99</v>
      </c>
      <c r="J98" t="s">
        <v>22</v>
      </c>
      <c r="K98" t="s">
        <v>23</v>
      </c>
      <c r="L98">
        <f t="shared" si="3"/>
        <v>2022</v>
      </c>
      <c r="M98" t="str">
        <f t="shared" si="4"/>
        <v>Oct</v>
      </c>
      <c r="N98" s="2">
        <f t="shared" si="5"/>
        <v>0.18186971581202765</v>
      </c>
    </row>
    <row r="99" spans="1:14" x14ac:dyDescent="0.45">
      <c r="A99" t="s">
        <v>231</v>
      </c>
      <c r="B99" s="1">
        <v>45415</v>
      </c>
      <c r="C99" t="s">
        <v>232</v>
      </c>
      <c r="D99" t="s">
        <v>56</v>
      </c>
      <c r="E99" t="s">
        <v>20</v>
      </c>
      <c r="F99" t="s">
        <v>43</v>
      </c>
      <c r="G99">
        <v>3</v>
      </c>
      <c r="H99">
        <v>31710.95</v>
      </c>
      <c r="I99">
        <v>1730.56</v>
      </c>
      <c r="J99" t="s">
        <v>71</v>
      </c>
      <c r="K99" t="s">
        <v>23</v>
      </c>
      <c r="L99">
        <f t="shared" si="3"/>
        <v>2024</v>
      </c>
      <c r="M99" t="str">
        <f t="shared" si="4"/>
        <v>May</v>
      </c>
      <c r="N99" s="2">
        <f t="shared" si="5"/>
        <v>5.4572947199626624E-2</v>
      </c>
    </row>
    <row r="100" spans="1:14" x14ac:dyDescent="0.45">
      <c r="A100" t="s">
        <v>233</v>
      </c>
      <c r="B100" s="1">
        <v>44857</v>
      </c>
      <c r="C100" t="s">
        <v>234</v>
      </c>
      <c r="D100" t="s">
        <v>26</v>
      </c>
      <c r="E100" t="s">
        <v>14</v>
      </c>
      <c r="F100" t="s">
        <v>15</v>
      </c>
      <c r="G100">
        <v>4</v>
      </c>
      <c r="H100">
        <v>35506.160000000003</v>
      </c>
      <c r="I100">
        <v>2576.5</v>
      </c>
      <c r="J100" t="s">
        <v>71</v>
      </c>
      <c r="K100" t="s">
        <v>23</v>
      </c>
      <c r="L100">
        <f t="shared" si="3"/>
        <v>2022</v>
      </c>
      <c r="M100" t="str">
        <f t="shared" si="4"/>
        <v>Oct</v>
      </c>
      <c r="N100" s="2">
        <f t="shared" si="5"/>
        <v>7.2564873250162781E-2</v>
      </c>
    </row>
    <row r="101" spans="1:14" x14ac:dyDescent="0.45">
      <c r="A101" t="s">
        <v>235</v>
      </c>
      <c r="B101" s="1">
        <v>45327</v>
      </c>
      <c r="C101" t="s">
        <v>236</v>
      </c>
      <c r="D101" t="s">
        <v>13</v>
      </c>
      <c r="E101" t="s">
        <v>14</v>
      </c>
      <c r="F101" t="s">
        <v>57</v>
      </c>
      <c r="G101">
        <v>1</v>
      </c>
      <c r="H101">
        <v>25507.65</v>
      </c>
      <c r="I101">
        <v>5025.37</v>
      </c>
      <c r="J101" t="s">
        <v>28</v>
      </c>
      <c r="K101" t="s">
        <v>29</v>
      </c>
      <c r="L101">
        <f t="shared" si="3"/>
        <v>2024</v>
      </c>
      <c r="M101" t="str">
        <f t="shared" si="4"/>
        <v>Feb</v>
      </c>
      <c r="N101" s="2">
        <f t="shared" si="5"/>
        <v>0.19701422906461394</v>
      </c>
    </row>
    <row r="102" spans="1:14" x14ac:dyDescent="0.45">
      <c r="A102" t="s">
        <v>237</v>
      </c>
      <c r="B102" s="1">
        <v>45218</v>
      </c>
      <c r="C102" t="s">
        <v>238</v>
      </c>
      <c r="D102" t="s">
        <v>56</v>
      </c>
      <c r="E102" t="s">
        <v>20</v>
      </c>
      <c r="F102" t="s">
        <v>50</v>
      </c>
      <c r="G102">
        <v>3</v>
      </c>
      <c r="H102">
        <v>2181.06</v>
      </c>
      <c r="I102">
        <v>299.72000000000003</v>
      </c>
      <c r="J102" t="s">
        <v>28</v>
      </c>
      <c r="K102" t="s">
        <v>33</v>
      </c>
      <c r="L102">
        <f t="shared" si="3"/>
        <v>2023</v>
      </c>
      <c r="M102" t="str">
        <f t="shared" si="4"/>
        <v>Oct</v>
      </c>
      <c r="N102" s="2">
        <f t="shared" si="5"/>
        <v>0.13741941991508719</v>
      </c>
    </row>
    <row r="103" spans="1:14" x14ac:dyDescent="0.45">
      <c r="A103" t="s">
        <v>239</v>
      </c>
      <c r="B103" s="1">
        <v>45542</v>
      </c>
      <c r="C103" t="s">
        <v>240</v>
      </c>
      <c r="D103" t="s">
        <v>56</v>
      </c>
      <c r="E103" t="s">
        <v>20</v>
      </c>
      <c r="F103" t="s">
        <v>27</v>
      </c>
      <c r="G103">
        <v>1</v>
      </c>
      <c r="H103">
        <v>21617.9</v>
      </c>
      <c r="I103">
        <v>3600.02</v>
      </c>
      <c r="J103" t="s">
        <v>47</v>
      </c>
      <c r="K103" t="s">
        <v>33</v>
      </c>
      <c r="L103">
        <f t="shared" si="3"/>
        <v>2024</v>
      </c>
      <c r="M103" t="str">
        <f t="shared" si="4"/>
        <v>Sep</v>
      </c>
      <c r="N103" s="2">
        <f t="shared" si="5"/>
        <v>0.16652958890549036</v>
      </c>
    </row>
    <row r="104" spans="1:14" x14ac:dyDescent="0.45">
      <c r="A104" t="s">
        <v>241</v>
      </c>
      <c r="B104" s="1">
        <v>45274</v>
      </c>
      <c r="C104" t="s">
        <v>242</v>
      </c>
      <c r="D104" t="s">
        <v>56</v>
      </c>
      <c r="E104" t="s">
        <v>14</v>
      </c>
      <c r="F104" t="s">
        <v>57</v>
      </c>
      <c r="G104">
        <v>2</v>
      </c>
      <c r="H104">
        <v>35029.089999999997</v>
      </c>
      <c r="I104">
        <v>4083.58</v>
      </c>
      <c r="J104" t="s">
        <v>28</v>
      </c>
      <c r="K104" t="s">
        <v>29</v>
      </c>
      <c r="L104">
        <f t="shared" si="3"/>
        <v>2023</v>
      </c>
      <c r="M104" t="str">
        <f t="shared" si="4"/>
        <v>Dec</v>
      </c>
      <c r="N104" s="2">
        <f t="shared" si="5"/>
        <v>0.11657682229255742</v>
      </c>
    </row>
    <row r="105" spans="1:14" x14ac:dyDescent="0.45">
      <c r="A105" t="s">
        <v>243</v>
      </c>
      <c r="B105" s="1">
        <v>45265</v>
      </c>
      <c r="C105" t="s">
        <v>244</v>
      </c>
      <c r="D105" t="s">
        <v>56</v>
      </c>
      <c r="E105" t="s">
        <v>14</v>
      </c>
      <c r="F105" t="s">
        <v>32</v>
      </c>
      <c r="G105">
        <v>5</v>
      </c>
      <c r="H105">
        <v>47904.03</v>
      </c>
      <c r="I105">
        <v>4024.63</v>
      </c>
      <c r="J105" t="s">
        <v>16</v>
      </c>
      <c r="K105" t="s">
        <v>23</v>
      </c>
      <c r="L105">
        <f t="shared" si="3"/>
        <v>2023</v>
      </c>
      <c r="M105" t="str">
        <f t="shared" si="4"/>
        <v>Dec</v>
      </c>
      <c r="N105" s="2">
        <f t="shared" si="5"/>
        <v>8.4014434693699055E-2</v>
      </c>
    </row>
    <row r="106" spans="1:14" x14ac:dyDescent="0.45">
      <c r="A106" t="s">
        <v>245</v>
      </c>
      <c r="B106" s="1">
        <v>45052</v>
      </c>
      <c r="C106" t="s">
        <v>246</v>
      </c>
      <c r="D106" t="s">
        <v>26</v>
      </c>
      <c r="E106" t="s">
        <v>36</v>
      </c>
      <c r="F106" t="s">
        <v>53</v>
      </c>
      <c r="G106">
        <v>1</v>
      </c>
      <c r="H106">
        <v>23081.15</v>
      </c>
      <c r="I106">
        <v>4958.6400000000003</v>
      </c>
      <c r="J106" t="s">
        <v>71</v>
      </c>
      <c r="K106" t="s">
        <v>23</v>
      </c>
      <c r="L106">
        <f t="shared" si="3"/>
        <v>2023</v>
      </c>
      <c r="M106" t="str">
        <f t="shared" si="4"/>
        <v>May</v>
      </c>
      <c r="N106" s="2">
        <f t="shared" si="5"/>
        <v>0.21483504938012188</v>
      </c>
    </row>
    <row r="107" spans="1:14" x14ac:dyDescent="0.45">
      <c r="A107" t="s">
        <v>247</v>
      </c>
      <c r="B107" s="1">
        <v>44763</v>
      </c>
      <c r="C107" t="s">
        <v>248</v>
      </c>
      <c r="D107" t="s">
        <v>13</v>
      </c>
      <c r="E107" t="s">
        <v>20</v>
      </c>
      <c r="F107" t="s">
        <v>21</v>
      </c>
      <c r="G107">
        <v>1</v>
      </c>
      <c r="H107">
        <v>37610.370000000003</v>
      </c>
      <c r="I107">
        <v>5507.99</v>
      </c>
      <c r="J107" t="s">
        <v>22</v>
      </c>
      <c r="K107" t="s">
        <v>33</v>
      </c>
      <c r="L107">
        <f t="shared" si="3"/>
        <v>2022</v>
      </c>
      <c r="M107" t="str">
        <f t="shared" si="4"/>
        <v>Jul</v>
      </c>
      <c r="N107" s="2">
        <f t="shared" si="5"/>
        <v>0.14644870550329603</v>
      </c>
    </row>
    <row r="108" spans="1:14" x14ac:dyDescent="0.45">
      <c r="A108" t="s">
        <v>249</v>
      </c>
      <c r="B108" s="1">
        <v>44727</v>
      </c>
      <c r="C108" t="s">
        <v>144</v>
      </c>
      <c r="D108" t="s">
        <v>26</v>
      </c>
      <c r="E108" t="s">
        <v>20</v>
      </c>
      <c r="F108" t="s">
        <v>50</v>
      </c>
      <c r="G108">
        <v>4</v>
      </c>
      <c r="H108">
        <v>27210.14</v>
      </c>
      <c r="I108">
        <v>2974.95</v>
      </c>
      <c r="J108" t="s">
        <v>28</v>
      </c>
      <c r="K108" t="s">
        <v>29</v>
      </c>
      <c r="L108">
        <f t="shared" si="3"/>
        <v>2022</v>
      </c>
      <c r="M108" t="str">
        <f t="shared" si="4"/>
        <v>Jun</v>
      </c>
      <c r="N108" s="2">
        <f t="shared" si="5"/>
        <v>0.10933240328789194</v>
      </c>
    </row>
    <row r="109" spans="1:14" x14ac:dyDescent="0.45">
      <c r="A109" t="s">
        <v>250</v>
      </c>
      <c r="B109" s="1">
        <v>45438</v>
      </c>
      <c r="C109" t="s">
        <v>251</v>
      </c>
      <c r="D109" t="s">
        <v>13</v>
      </c>
      <c r="E109" t="s">
        <v>20</v>
      </c>
      <c r="F109" t="s">
        <v>50</v>
      </c>
      <c r="G109">
        <v>1</v>
      </c>
      <c r="H109">
        <v>46967.43</v>
      </c>
      <c r="I109">
        <v>3903.94</v>
      </c>
      <c r="J109" t="s">
        <v>22</v>
      </c>
      <c r="K109" t="s">
        <v>29</v>
      </c>
      <c r="L109">
        <f t="shared" si="3"/>
        <v>2024</v>
      </c>
      <c r="M109" t="str">
        <f t="shared" si="4"/>
        <v>May</v>
      </c>
      <c r="N109" s="2">
        <f t="shared" si="5"/>
        <v>8.3120153689482265E-2</v>
      </c>
    </row>
    <row r="110" spans="1:14" x14ac:dyDescent="0.45">
      <c r="A110" t="s">
        <v>252</v>
      </c>
      <c r="B110" s="1">
        <v>44914</v>
      </c>
      <c r="C110" t="s">
        <v>253</v>
      </c>
      <c r="D110" t="s">
        <v>56</v>
      </c>
      <c r="E110" t="s">
        <v>36</v>
      </c>
      <c r="F110" t="s">
        <v>46</v>
      </c>
      <c r="G110">
        <v>4</v>
      </c>
      <c r="H110">
        <v>7032.03</v>
      </c>
      <c r="I110">
        <v>618.97</v>
      </c>
      <c r="J110" t="s">
        <v>22</v>
      </c>
      <c r="K110" t="s">
        <v>23</v>
      </c>
      <c r="L110">
        <f t="shared" si="3"/>
        <v>2022</v>
      </c>
      <c r="M110" t="str">
        <f t="shared" si="4"/>
        <v>Dec</v>
      </c>
      <c r="N110" s="2">
        <f t="shared" si="5"/>
        <v>8.8021524367785695E-2</v>
      </c>
    </row>
    <row r="111" spans="1:14" x14ac:dyDescent="0.45">
      <c r="A111" t="s">
        <v>254</v>
      </c>
      <c r="B111" s="1">
        <v>45305</v>
      </c>
      <c r="C111" t="s">
        <v>255</v>
      </c>
      <c r="D111" t="s">
        <v>56</v>
      </c>
      <c r="E111" t="s">
        <v>14</v>
      </c>
      <c r="F111" t="s">
        <v>40</v>
      </c>
      <c r="G111">
        <v>5</v>
      </c>
      <c r="H111">
        <v>31228.89</v>
      </c>
      <c r="I111">
        <v>5202.08</v>
      </c>
      <c r="J111" t="s">
        <v>47</v>
      </c>
      <c r="K111" t="s">
        <v>17</v>
      </c>
      <c r="L111">
        <f t="shared" si="3"/>
        <v>2024</v>
      </c>
      <c r="M111" t="str">
        <f t="shared" si="4"/>
        <v>Jan</v>
      </c>
      <c r="N111" s="2">
        <f t="shared" si="5"/>
        <v>0.16657908750519151</v>
      </c>
    </row>
    <row r="112" spans="1:14" x14ac:dyDescent="0.45">
      <c r="A112" t="s">
        <v>256</v>
      </c>
      <c r="B112" s="1">
        <v>45072</v>
      </c>
      <c r="C112" t="s">
        <v>257</v>
      </c>
      <c r="D112" t="s">
        <v>13</v>
      </c>
      <c r="E112" t="s">
        <v>14</v>
      </c>
      <c r="F112" t="s">
        <v>15</v>
      </c>
      <c r="G112">
        <v>3</v>
      </c>
      <c r="H112">
        <v>10231.33</v>
      </c>
      <c r="I112">
        <v>1596.41</v>
      </c>
      <c r="J112" t="s">
        <v>16</v>
      </c>
      <c r="K112" t="s">
        <v>23</v>
      </c>
      <c r="L112">
        <f t="shared" si="3"/>
        <v>2023</v>
      </c>
      <c r="M112" t="str">
        <f t="shared" si="4"/>
        <v>May</v>
      </c>
      <c r="N112" s="2">
        <f t="shared" si="5"/>
        <v>0.15603152278345045</v>
      </c>
    </row>
    <row r="113" spans="1:14" x14ac:dyDescent="0.45">
      <c r="A113" t="s">
        <v>258</v>
      </c>
      <c r="B113" s="1">
        <v>45479</v>
      </c>
      <c r="C113" t="s">
        <v>259</v>
      </c>
      <c r="D113" t="s">
        <v>56</v>
      </c>
      <c r="E113" t="s">
        <v>20</v>
      </c>
      <c r="F113" t="s">
        <v>43</v>
      </c>
      <c r="G113">
        <v>2</v>
      </c>
      <c r="H113">
        <v>49483.18</v>
      </c>
      <c r="I113">
        <v>6296.89</v>
      </c>
      <c r="J113" t="s">
        <v>47</v>
      </c>
      <c r="K113" t="s">
        <v>17</v>
      </c>
      <c r="L113">
        <f t="shared" si="3"/>
        <v>2024</v>
      </c>
      <c r="M113" t="str">
        <f t="shared" si="4"/>
        <v>Jul</v>
      </c>
      <c r="N113" s="2">
        <f t="shared" si="5"/>
        <v>0.12725313934957294</v>
      </c>
    </row>
    <row r="114" spans="1:14" x14ac:dyDescent="0.45">
      <c r="A114" t="s">
        <v>260</v>
      </c>
      <c r="B114" s="1">
        <v>44759</v>
      </c>
      <c r="C114" t="s">
        <v>261</v>
      </c>
      <c r="D114" t="s">
        <v>13</v>
      </c>
      <c r="E114" t="s">
        <v>20</v>
      </c>
      <c r="F114" t="s">
        <v>43</v>
      </c>
      <c r="G114">
        <v>3</v>
      </c>
      <c r="H114">
        <v>20622.02</v>
      </c>
      <c r="I114">
        <v>2630.43</v>
      </c>
      <c r="J114" t="s">
        <v>28</v>
      </c>
      <c r="K114" t="s">
        <v>29</v>
      </c>
      <c r="L114">
        <f t="shared" si="3"/>
        <v>2022</v>
      </c>
      <c r="M114" t="str">
        <f t="shared" si="4"/>
        <v>Jul</v>
      </c>
      <c r="N114" s="2">
        <f t="shared" si="5"/>
        <v>0.12755442968244624</v>
      </c>
    </row>
    <row r="115" spans="1:14" x14ac:dyDescent="0.45">
      <c r="A115" t="s">
        <v>262</v>
      </c>
      <c r="B115" s="1">
        <v>45192</v>
      </c>
      <c r="C115" t="s">
        <v>263</v>
      </c>
      <c r="D115" t="s">
        <v>13</v>
      </c>
      <c r="E115" t="s">
        <v>14</v>
      </c>
      <c r="F115" t="s">
        <v>32</v>
      </c>
      <c r="G115">
        <v>5</v>
      </c>
      <c r="H115">
        <v>47416.07</v>
      </c>
      <c r="I115">
        <v>10028.58</v>
      </c>
      <c r="J115" t="s">
        <v>28</v>
      </c>
      <c r="K115" t="s">
        <v>29</v>
      </c>
      <c r="L115">
        <f t="shared" si="3"/>
        <v>2023</v>
      </c>
      <c r="M115" t="str">
        <f t="shared" si="4"/>
        <v>Sep</v>
      </c>
      <c r="N115" s="2">
        <f t="shared" si="5"/>
        <v>0.21150171239413135</v>
      </c>
    </row>
    <row r="116" spans="1:14" x14ac:dyDescent="0.45">
      <c r="A116" t="s">
        <v>264</v>
      </c>
      <c r="B116" s="1">
        <v>45127</v>
      </c>
      <c r="C116" t="s">
        <v>265</v>
      </c>
      <c r="D116" t="s">
        <v>56</v>
      </c>
      <c r="E116" t="s">
        <v>14</v>
      </c>
      <c r="F116" t="s">
        <v>15</v>
      </c>
      <c r="G116">
        <v>2</v>
      </c>
      <c r="H116">
        <v>47579.32</v>
      </c>
      <c r="I116">
        <v>5827.52</v>
      </c>
      <c r="J116" t="s">
        <v>28</v>
      </c>
      <c r="K116" t="s">
        <v>17</v>
      </c>
      <c r="L116">
        <f t="shared" si="3"/>
        <v>2023</v>
      </c>
      <c r="M116" t="str">
        <f t="shared" si="4"/>
        <v>Jul</v>
      </c>
      <c r="N116" s="2">
        <f t="shared" si="5"/>
        <v>0.12248010270008064</v>
      </c>
    </row>
    <row r="117" spans="1:14" x14ac:dyDescent="0.45">
      <c r="A117" t="s">
        <v>266</v>
      </c>
      <c r="B117" s="1">
        <v>44871</v>
      </c>
      <c r="C117" t="s">
        <v>267</v>
      </c>
      <c r="D117" t="s">
        <v>26</v>
      </c>
      <c r="E117" t="s">
        <v>36</v>
      </c>
      <c r="F117" t="s">
        <v>53</v>
      </c>
      <c r="G117">
        <v>5</v>
      </c>
      <c r="H117">
        <v>3685.29</v>
      </c>
      <c r="I117">
        <v>336.99</v>
      </c>
      <c r="J117" t="s">
        <v>16</v>
      </c>
      <c r="K117" t="s">
        <v>29</v>
      </c>
      <c r="L117">
        <f t="shared" si="3"/>
        <v>2022</v>
      </c>
      <c r="M117" t="str">
        <f t="shared" si="4"/>
        <v>Nov</v>
      </c>
      <c r="N117" s="2">
        <f t="shared" si="5"/>
        <v>9.1441921802626114E-2</v>
      </c>
    </row>
    <row r="118" spans="1:14" x14ac:dyDescent="0.45">
      <c r="A118" t="s">
        <v>268</v>
      </c>
      <c r="B118" s="1">
        <v>44590</v>
      </c>
      <c r="C118" t="s">
        <v>269</v>
      </c>
      <c r="D118" t="s">
        <v>26</v>
      </c>
      <c r="E118" t="s">
        <v>20</v>
      </c>
      <c r="F118" t="s">
        <v>50</v>
      </c>
      <c r="G118">
        <v>2</v>
      </c>
      <c r="H118">
        <v>27215.439999999999</v>
      </c>
      <c r="I118">
        <v>3919.83</v>
      </c>
      <c r="J118" t="s">
        <v>16</v>
      </c>
      <c r="K118" t="s">
        <v>23</v>
      </c>
      <c r="L118">
        <f t="shared" si="3"/>
        <v>2022</v>
      </c>
      <c r="M118" t="str">
        <f t="shared" si="4"/>
        <v>Jan</v>
      </c>
      <c r="N118" s="2">
        <f t="shared" si="5"/>
        <v>0.14402963905782895</v>
      </c>
    </row>
    <row r="119" spans="1:14" x14ac:dyDescent="0.45">
      <c r="A119" t="s">
        <v>270</v>
      </c>
      <c r="B119" s="1">
        <v>44595</v>
      </c>
      <c r="C119" t="s">
        <v>271</v>
      </c>
      <c r="D119" t="s">
        <v>56</v>
      </c>
      <c r="E119" t="s">
        <v>20</v>
      </c>
      <c r="F119" t="s">
        <v>21</v>
      </c>
      <c r="G119">
        <v>3</v>
      </c>
      <c r="H119">
        <v>19469.16</v>
      </c>
      <c r="I119">
        <v>1599.44</v>
      </c>
      <c r="J119" t="s">
        <v>28</v>
      </c>
      <c r="K119" t="s">
        <v>23</v>
      </c>
      <c r="L119">
        <f t="shared" si="3"/>
        <v>2022</v>
      </c>
      <c r="M119" t="str">
        <f t="shared" si="4"/>
        <v>Feb</v>
      </c>
      <c r="N119" s="2">
        <f t="shared" si="5"/>
        <v>8.2152491427467861E-2</v>
      </c>
    </row>
    <row r="120" spans="1:14" x14ac:dyDescent="0.45">
      <c r="A120" t="s">
        <v>272</v>
      </c>
      <c r="B120" s="1">
        <v>45504</v>
      </c>
      <c r="C120" t="s">
        <v>273</v>
      </c>
      <c r="D120" t="s">
        <v>13</v>
      </c>
      <c r="E120" t="s">
        <v>20</v>
      </c>
      <c r="F120" t="s">
        <v>43</v>
      </c>
      <c r="G120">
        <v>1</v>
      </c>
      <c r="H120">
        <v>13841.13</v>
      </c>
      <c r="I120">
        <v>1183.31</v>
      </c>
      <c r="J120" t="s">
        <v>22</v>
      </c>
      <c r="K120" t="s">
        <v>33</v>
      </c>
      <c r="L120">
        <f t="shared" si="3"/>
        <v>2024</v>
      </c>
      <c r="M120" t="str">
        <f t="shared" si="4"/>
        <v>Jul</v>
      </c>
      <c r="N120" s="2">
        <f t="shared" si="5"/>
        <v>8.5492297232957135E-2</v>
      </c>
    </row>
    <row r="121" spans="1:14" x14ac:dyDescent="0.45">
      <c r="A121" t="s">
        <v>274</v>
      </c>
      <c r="B121" s="1">
        <v>45143</v>
      </c>
      <c r="C121" t="s">
        <v>275</v>
      </c>
      <c r="D121" t="s">
        <v>26</v>
      </c>
      <c r="E121" t="s">
        <v>20</v>
      </c>
      <c r="F121" t="s">
        <v>43</v>
      </c>
      <c r="G121">
        <v>5</v>
      </c>
      <c r="H121">
        <v>47693.47</v>
      </c>
      <c r="I121">
        <v>7316.17</v>
      </c>
      <c r="J121" t="s">
        <v>22</v>
      </c>
      <c r="K121" t="s">
        <v>17</v>
      </c>
      <c r="L121">
        <f t="shared" si="3"/>
        <v>2023</v>
      </c>
      <c r="M121" t="str">
        <f t="shared" si="4"/>
        <v>Aug</v>
      </c>
      <c r="N121" s="2">
        <f t="shared" si="5"/>
        <v>0.15339982601391763</v>
      </c>
    </row>
    <row r="122" spans="1:14" x14ac:dyDescent="0.45">
      <c r="A122" t="s">
        <v>276</v>
      </c>
      <c r="B122" s="1">
        <v>45606</v>
      </c>
      <c r="C122" t="s">
        <v>277</v>
      </c>
      <c r="D122" t="s">
        <v>56</v>
      </c>
      <c r="E122" t="s">
        <v>36</v>
      </c>
      <c r="F122" t="s">
        <v>64</v>
      </c>
      <c r="G122">
        <v>5</v>
      </c>
      <c r="H122">
        <v>17844.060000000001</v>
      </c>
      <c r="I122">
        <v>894.39</v>
      </c>
      <c r="J122" t="s">
        <v>28</v>
      </c>
      <c r="K122" t="s">
        <v>33</v>
      </c>
      <c r="L122">
        <f t="shared" si="3"/>
        <v>2024</v>
      </c>
      <c r="M122" t="str">
        <f t="shared" si="4"/>
        <v>Nov</v>
      </c>
      <c r="N122" s="2">
        <f t="shared" si="5"/>
        <v>5.0122561793672513E-2</v>
      </c>
    </row>
    <row r="123" spans="1:14" x14ac:dyDescent="0.45">
      <c r="A123" t="s">
        <v>278</v>
      </c>
      <c r="B123" s="1">
        <v>45280</v>
      </c>
      <c r="C123" t="s">
        <v>279</v>
      </c>
      <c r="D123" t="s">
        <v>13</v>
      </c>
      <c r="E123" t="s">
        <v>14</v>
      </c>
      <c r="F123" t="s">
        <v>57</v>
      </c>
      <c r="G123">
        <v>4</v>
      </c>
      <c r="H123">
        <v>26589.26</v>
      </c>
      <c r="I123">
        <v>6585.2</v>
      </c>
      <c r="J123" t="s">
        <v>22</v>
      </c>
      <c r="K123" t="s">
        <v>33</v>
      </c>
      <c r="L123">
        <f t="shared" si="3"/>
        <v>2023</v>
      </c>
      <c r="M123" t="str">
        <f t="shared" si="4"/>
        <v>Dec</v>
      </c>
      <c r="N123" s="2">
        <f t="shared" si="5"/>
        <v>0.24766390640431513</v>
      </c>
    </row>
    <row r="124" spans="1:14" x14ac:dyDescent="0.45">
      <c r="A124" t="s">
        <v>280</v>
      </c>
      <c r="B124" s="1">
        <v>44891</v>
      </c>
      <c r="C124" t="s">
        <v>281</v>
      </c>
      <c r="D124" t="s">
        <v>56</v>
      </c>
      <c r="E124" t="s">
        <v>20</v>
      </c>
      <c r="F124" t="s">
        <v>27</v>
      </c>
      <c r="G124">
        <v>2</v>
      </c>
      <c r="H124">
        <v>24969.13</v>
      </c>
      <c r="I124">
        <v>2174.6</v>
      </c>
      <c r="J124" t="s">
        <v>47</v>
      </c>
      <c r="K124" t="s">
        <v>17</v>
      </c>
      <c r="L124">
        <f t="shared" si="3"/>
        <v>2022</v>
      </c>
      <c r="M124" t="str">
        <f t="shared" si="4"/>
        <v>Nov</v>
      </c>
      <c r="N124" s="2">
        <f t="shared" si="5"/>
        <v>8.7091540634375325E-2</v>
      </c>
    </row>
    <row r="125" spans="1:14" x14ac:dyDescent="0.45">
      <c r="A125" t="s">
        <v>282</v>
      </c>
      <c r="B125" s="1">
        <v>44953</v>
      </c>
      <c r="C125" t="s">
        <v>283</v>
      </c>
      <c r="D125" t="s">
        <v>26</v>
      </c>
      <c r="E125" t="s">
        <v>36</v>
      </c>
      <c r="F125" t="s">
        <v>46</v>
      </c>
      <c r="G125">
        <v>4</v>
      </c>
      <c r="H125">
        <v>10270.1</v>
      </c>
      <c r="I125">
        <v>1357.69</v>
      </c>
      <c r="J125" t="s">
        <v>71</v>
      </c>
      <c r="K125" t="s">
        <v>23</v>
      </c>
      <c r="L125">
        <f t="shared" si="3"/>
        <v>2023</v>
      </c>
      <c r="M125" t="str">
        <f t="shared" si="4"/>
        <v>Jan</v>
      </c>
      <c r="N125" s="2">
        <f t="shared" si="5"/>
        <v>0.13219832328799136</v>
      </c>
    </row>
    <row r="126" spans="1:14" x14ac:dyDescent="0.45">
      <c r="A126" t="s">
        <v>284</v>
      </c>
      <c r="B126" s="1">
        <v>45580</v>
      </c>
      <c r="C126" t="s">
        <v>285</v>
      </c>
      <c r="D126" t="s">
        <v>56</v>
      </c>
      <c r="E126" t="s">
        <v>36</v>
      </c>
      <c r="F126" t="s">
        <v>53</v>
      </c>
      <c r="G126">
        <v>4</v>
      </c>
      <c r="H126">
        <v>37614.199999999997</v>
      </c>
      <c r="I126">
        <v>8613.86</v>
      </c>
      <c r="J126" t="s">
        <v>22</v>
      </c>
      <c r="K126" t="s">
        <v>17</v>
      </c>
      <c r="L126">
        <f t="shared" si="3"/>
        <v>2024</v>
      </c>
      <c r="M126" t="str">
        <f t="shared" si="4"/>
        <v>Oct</v>
      </c>
      <c r="N126" s="2">
        <f t="shared" si="5"/>
        <v>0.22900553514364258</v>
      </c>
    </row>
    <row r="127" spans="1:14" x14ac:dyDescent="0.45">
      <c r="A127" t="s">
        <v>286</v>
      </c>
      <c r="B127" s="1">
        <v>45533</v>
      </c>
      <c r="C127" t="s">
        <v>287</v>
      </c>
      <c r="D127" t="s">
        <v>26</v>
      </c>
      <c r="E127" t="s">
        <v>20</v>
      </c>
      <c r="F127" t="s">
        <v>50</v>
      </c>
      <c r="G127">
        <v>5</v>
      </c>
      <c r="H127">
        <v>18697.46</v>
      </c>
      <c r="I127">
        <v>4091.76</v>
      </c>
      <c r="J127" t="s">
        <v>47</v>
      </c>
      <c r="K127" t="s">
        <v>23</v>
      </c>
      <c r="L127">
        <f t="shared" si="3"/>
        <v>2024</v>
      </c>
      <c r="M127" t="str">
        <f t="shared" si="4"/>
        <v>Aug</v>
      </c>
      <c r="N127" s="2">
        <f t="shared" si="5"/>
        <v>0.21884042003566262</v>
      </c>
    </row>
    <row r="128" spans="1:14" x14ac:dyDescent="0.45">
      <c r="A128" t="s">
        <v>288</v>
      </c>
      <c r="B128" s="1">
        <v>44583</v>
      </c>
      <c r="C128" t="s">
        <v>289</v>
      </c>
      <c r="D128" t="s">
        <v>26</v>
      </c>
      <c r="E128" t="s">
        <v>20</v>
      </c>
      <c r="F128" t="s">
        <v>21</v>
      </c>
      <c r="G128">
        <v>3</v>
      </c>
      <c r="H128">
        <v>41121.47</v>
      </c>
      <c r="I128">
        <v>6067.77</v>
      </c>
      <c r="J128" t="s">
        <v>71</v>
      </c>
      <c r="K128" t="s">
        <v>17</v>
      </c>
      <c r="L128">
        <f t="shared" si="3"/>
        <v>2022</v>
      </c>
      <c r="M128" t="str">
        <f t="shared" si="4"/>
        <v>Jan</v>
      </c>
      <c r="N128" s="2">
        <f t="shared" si="5"/>
        <v>0.1475572249727454</v>
      </c>
    </row>
    <row r="129" spans="1:14" x14ac:dyDescent="0.45">
      <c r="A129" t="s">
        <v>290</v>
      </c>
      <c r="B129" s="1">
        <v>45250</v>
      </c>
      <c r="C129" t="s">
        <v>291</v>
      </c>
      <c r="D129" t="s">
        <v>56</v>
      </c>
      <c r="E129" t="s">
        <v>20</v>
      </c>
      <c r="F129" t="s">
        <v>43</v>
      </c>
      <c r="G129">
        <v>1</v>
      </c>
      <c r="H129">
        <v>15885.76</v>
      </c>
      <c r="I129">
        <v>974.19</v>
      </c>
      <c r="J129" t="s">
        <v>47</v>
      </c>
      <c r="K129" t="s">
        <v>33</v>
      </c>
      <c r="L129">
        <f t="shared" si="3"/>
        <v>2023</v>
      </c>
      <c r="M129" t="str">
        <f t="shared" si="4"/>
        <v>Nov</v>
      </c>
      <c r="N129" s="2">
        <f t="shared" si="5"/>
        <v>6.1324733597888932E-2</v>
      </c>
    </row>
    <row r="130" spans="1:14" x14ac:dyDescent="0.45">
      <c r="A130" t="s">
        <v>292</v>
      </c>
      <c r="B130" s="1">
        <v>45067</v>
      </c>
      <c r="C130" t="s">
        <v>293</v>
      </c>
      <c r="D130" t="s">
        <v>56</v>
      </c>
      <c r="E130" t="s">
        <v>20</v>
      </c>
      <c r="F130" t="s">
        <v>43</v>
      </c>
      <c r="G130">
        <v>4</v>
      </c>
      <c r="H130">
        <v>4807.63</v>
      </c>
      <c r="I130">
        <v>1180.19</v>
      </c>
      <c r="J130" t="s">
        <v>28</v>
      </c>
      <c r="K130" t="s">
        <v>29</v>
      </c>
      <c r="L130">
        <f t="shared" si="3"/>
        <v>2023</v>
      </c>
      <c r="M130" t="str">
        <f t="shared" si="4"/>
        <v>May</v>
      </c>
      <c r="N130" s="2">
        <f t="shared" si="5"/>
        <v>0.24548270145581089</v>
      </c>
    </row>
    <row r="131" spans="1:14" x14ac:dyDescent="0.45">
      <c r="A131" t="s">
        <v>294</v>
      </c>
      <c r="B131" s="1">
        <v>44978</v>
      </c>
      <c r="C131" t="s">
        <v>295</v>
      </c>
      <c r="D131" t="s">
        <v>26</v>
      </c>
      <c r="E131" t="s">
        <v>36</v>
      </c>
      <c r="F131" t="s">
        <v>53</v>
      </c>
      <c r="G131">
        <v>4</v>
      </c>
      <c r="H131">
        <v>19977.43</v>
      </c>
      <c r="I131">
        <v>1086.56</v>
      </c>
      <c r="J131" t="s">
        <v>28</v>
      </c>
      <c r="K131" t="s">
        <v>17</v>
      </c>
      <c r="L131">
        <f t="shared" ref="L131:L194" si="6">YEAR(B131 )</f>
        <v>2023</v>
      </c>
      <c r="M131" t="str">
        <f t="shared" ref="M131:M194" si="7">TEXT(B131,"MMM")</f>
        <v>Feb</v>
      </c>
      <c r="N131" s="2">
        <f t="shared" ref="N131:N194" si="8">I131 / H131</f>
        <v>5.4389378413539677E-2</v>
      </c>
    </row>
    <row r="132" spans="1:14" x14ac:dyDescent="0.45">
      <c r="A132" t="s">
        <v>296</v>
      </c>
      <c r="B132" s="1">
        <v>45501</v>
      </c>
      <c r="C132" t="s">
        <v>297</v>
      </c>
      <c r="D132" t="s">
        <v>56</v>
      </c>
      <c r="E132" t="s">
        <v>36</v>
      </c>
      <c r="F132" t="s">
        <v>64</v>
      </c>
      <c r="G132">
        <v>5</v>
      </c>
      <c r="H132">
        <v>16088.28</v>
      </c>
      <c r="I132">
        <v>2096.73</v>
      </c>
      <c r="J132" t="s">
        <v>71</v>
      </c>
      <c r="K132" t="s">
        <v>33</v>
      </c>
      <c r="L132">
        <f t="shared" si="6"/>
        <v>2024</v>
      </c>
      <c r="M132" t="str">
        <f t="shared" si="7"/>
        <v>Jul</v>
      </c>
      <c r="N132" s="2">
        <f t="shared" si="8"/>
        <v>0.13032654826992071</v>
      </c>
    </row>
    <row r="133" spans="1:14" x14ac:dyDescent="0.45">
      <c r="A133" t="s">
        <v>298</v>
      </c>
      <c r="B133" s="1">
        <v>44696</v>
      </c>
      <c r="C133" t="s">
        <v>299</v>
      </c>
      <c r="D133" t="s">
        <v>56</v>
      </c>
      <c r="E133" t="s">
        <v>20</v>
      </c>
      <c r="F133" t="s">
        <v>21</v>
      </c>
      <c r="G133">
        <v>3</v>
      </c>
      <c r="H133">
        <v>13382.6</v>
      </c>
      <c r="I133">
        <v>2513.9499999999998</v>
      </c>
      <c r="J133" t="s">
        <v>71</v>
      </c>
      <c r="K133" t="s">
        <v>17</v>
      </c>
      <c r="L133">
        <f t="shared" si="6"/>
        <v>2022</v>
      </c>
      <c r="M133" t="str">
        <f t="shared" si="7"/>
        <v>May</v>
      </c>
      <c r="N133" s="2">
        <f t="shared" si="8"/>
        <v>0.18785213635616396</v>
      </c>
    </row>
    <row r="134" spans="1:14" x14ac:dyDescent="0.45">
      <c r="A134" t="s">
        <v>300</v>
      </c>
      <c r="B134" s="1">
        <v>45277</v>
      </c>
      <c r="C134" t="s">
        <v>301</v>
      </c>
      <c r="D134" t="s">
        <v>13</v>
      </c>
      <c r="E134" t="s">
        <v>14</v>
      </c>
      <c r="F134" t="s">
        <v>57</v>
      </c>
      <c r="G134">
        <v>4</v>
      </c>
      <c r="H134">
        <v>6739.54</v>
      </c>
      <c r="I134">
        <v>1176.83</v>
      </c>
      <c r="J134" t="s">
        <v>22</v>
      </c>
      <c r="K134" t="s">
        <v>17</v>
      </c>
      <c r="L134">
        <f t="shared" si="6"/>
        <v>2023</v>
      </c>
      <c r="M134" t="str">
        <f t="shared" si="7"/>
        <v>Dec</v>
      </c>
      <c r="N134" s="2">
        <f t="shared" si="8"/>
        <v>0.17461577496386993</v>
      </c>
    </row>
    <row r="135" spans="1:14" x14ac:dyDescent="0.45">
      <c r="A135" t="s">
        <v>302</v>
      </c>
      <c r="B135" s="1">
        <v>45246</v>
      </c>
      <c r="C135" t="s">
        <v>303</v>
      </c>
      <c r="D135" t="s">
        <v>26</v>
      </c>
      <c r="E135" t="s">
        <v>36</v>
      </c>
      <c r="F135" t="s">
        <v>64</v>
      </c>
      <c r="G135">
        <v>4</v>
      </c>
      <c r="H135">
        <v>14777.43</v>
      </c>
      <c r="I135">
        <v>1759.42</v>
      </c>
      <c r="J135" t="s">
        <v>16</v>
      </c>
      <c r="K135" t="s">
        <v>17</v>
      </c>
      <c r="L135">
        <f t="shared" si="6"/>
        <v>2023</v>
      </c>
      <c r="M135" t="str">
        <f t="shared" si="7"/>
        <v>Nov</v>
      </c>
      <c r="N135" s="2">
        <f t="shared" si="8"/>
        <v>0.11906129820949922</v>
      </c>
    </row>
    <row r="136" spans="1:14" x14ac:dyDescent="0.45">
      <c r="A136" t="s">
        <v>304</v>
      </c>
      <c r="B136" s="1">
        <v>44991</v>
      </c>
      <c r="C136" t="s">
        <v>305</v>
      </c>
      <c r="D136" t="s">
        <v>13</v>
      </c>
      <c r="E136" t="s">
        <v>36</v>
      </c>
      <c r="F136" t="s">
        <v>64</v>
      </c>
      <c r="G136">
        <v>4</v>
      </c>
      <c r="H136">
        <v>8617.9</v>
      </c>
      <c r="I136">
        <v>615</v>
      </c>
      <c r="J136" t="s">
        <v>16</v>
      </c>
      <c r="K136" t="s">
        <v>33</v>
      </c>
      <c r="L136">
        <f t="shared" si="6"/>
        <v>2023</v>
      </c>
      <c r="M136" t="str">
        <f t="shared" si="7"/>
        <v>Mar</v>
      </c>
      <c r="N136" s="2">
        <f t="shared" si="8"/>
        <v>7.1363093096926164E-2</v>
      </c>
    </row>
    <row r="137" spans="1:14" x14ac:dyDescent="0.45">
      <c r="A137" t="s">
        <v>306</v>
      </c>
      <c r="B137" s="1">
        <v>45038</v>
      </c>
      <c r="C137" t="s">
        <v>307</v>
      </c>
      <c r="D137" t="s">
        <v>26</v>
      </c>
      <c r="E137" t="s">
        <v>20</v>
      </c>
      <c r="F137" t="s">
        <v>27</v>
      </c>
      <c r="G137">
        <v>2</v>
      </c>
      <c r="H137">
        <v>8265.39</v>
      </c>
      <c r="I137">
        <v>620.15</v>
      </c>
      <c r="J137" t="s">
        <v>28</v>
      </c>
      <c r="K137" t="s">
        <v>17</v>
      </c>
      <c r="L137">
        <f t="shared" si="6"/>
        <v>2023</v>
      </c>
      <c r="M137" t="str">
        <f t="shared" si="7"/>
        <v>Apr</v>
      </c>
      <c r="N137" s="2">
        <f t="shared" si="8"/>
        <v>7.5029732414320441E-2</v>
      </c>
    </row>
    <row r="138" spans="1:14" x14ac:dyDescent="0.45">
      <c r="A138" t="s">
        <v>308</v>
      </c>
      <c r="B138" s="1">
        <v>45006</v>
      </c>
      <c r="C138" t="s">
        <v>309</v>
      </c>
      <c r="D138" t="s">
        <v>13</v>
      </c>
      <c r="E138" t="s">
        <v>14</v>
      </c>
      <c r="F138" t="s">
        <v>15</v>
      </c>
      <c r="G138">
        <v>4</v>
      </c>
      <c r="H138">
        <v>37568.879999999997</v>
      </c>
      <c r="I138">
        <v>5193.75</v>
      </c>
      <c r="J138" t="s">
        <v>22</v>
      </c>
      <c r="K138" t="s">
        <v>23</v>
      </c>
      <c r="L138">
        <f t="shared" si="6"/>
        <v>2023</v>
      </c>
      <c r="M138" t="str">
        <f t="shared" si="7"/>
        <v>Mar</v>
      </c>
      <c r="N138" s="2">
        <f t="shared" si="8"/>
        <v>0.13824606961932323</v>
      </c>
    </row>
    <row r="139" spans="1:14" x14ac:dyDescent="0.45">
      <c r="A139" t="s">
        <v>310</v>
      </c>
      <c r="B139" s="1">
        <v>45170</v>
      </c>
      <c r="C139" t="s">
        <v>311</v>
      </c>
      <c r="D139" t="s">
        <v>13</v>
      </c>
      <c r="E139" t="s">
        <v>20</v>
      </c>
      <c r="F139" t="s">
        <v>27</v>
      </c>
      <c r="G139">
        <v>3</v>
      </c>
      <c r="H139">
        <v>47332.14</v>
      </c>
      <c r="I139">
        <v>6862.47</v>
      </c>
      <c r="J139" t="s">
        <v>71</v>
      </c>
      <c r="K139" t="s">
        <v>33</v>
      </c>
      <c r="L139">
        <f t="shared" si="6"/>
        <v>2023</v>
      </c>
      <c r="M139" t="str">
        <f t="shared" si="7"/>
        <v>Sep</v>
      </c>
      <c r="N139" s="2">
        <f t="shared" si="8"/>
        <v>0.14498541582949767</v>
      </c>
    </row>
    <row r="140" spans="1:14" x14ac:dyDescent="0.45">
      <c r="A140" t="s">
        <v>312</v>
      </c>
      <c r="B140" s="1">
        <v>45319</v>
      </c>
      <c r="C140" t="s">
        <v>313</v>
      </c>
      <c r="D140" t="s">
        <v>13</v>
      </c>
      <c r="E140" t="s">
        <v>20</v>
      </c>
      <c r="F140" t="s">
        <v>50</v>
      </c>
      <c r="G140">
        <v>5</v>
      </c>
      <c r="H140">
        <v>11441.48</v>
      </c>
      <c r="I140">
        <v>639.38</v>
      </c>
      <c r="J140" t="s">
        <v>28</v>
      </c>
      <c r="K140" t="s">
        <v>23</v>
      </c>
      <c r="L140">
        <f t="shared" si="6"/>
        <v>2024</v>
      </c>
      <c r="M140" t="str">
        <f t="shared" si="7"/>
        <v>Jan</v>
      </c>
      <c r="N140" s="2">
        <f t="shared" si="8"/>
        <v>5.5882630568772573E-2</v>
      </c>
    </row>
    <row r="141" spans="1:14" x14ac:dyDescent="0.45">
      <c r="A141" t="s">
        <v>314</v>
      </c>
      <c r="B141" s="1">
        <v>44690</v>
      </c>
      <c r="C141" t="s">
        <v>315</v>
      </c>
      <c r="D141" t="s">
        <v>26</v>
      </c>
      <c r="E141" t="s">
        <v>36</v>
      </c>
      <c r="F141" t="s">
        <v>37</v>
      </c>
      <c r="G141">
        <v>3</v>
      </c>
      <c r="H141">
        <v>30718.94</v>
      </c>
      <c r="I141">
        <v>6322.39</v>
      </c>
      <c r="J141" t="s">
        <v>28</v>
      </c>
      <c r="K141" t="s">
        <v>23</v>
      </c>
      <c r="L141">
        <f t="shared" si="6"/>
        <v>2022</v>
      </c>
      <c r="M141" t="str">
        <f t="shared" si="7"/>
        <v>May</v>
      </c>
      <c r="N141" s="2">
        <f t="shared" si="8"/>
        <v>0.20581406780312084</v>
      </c>
    </row>
    <row r="142" spans="1:14" x14ac:dyDescent="0.45">
      <c r="A142" t="s">
        <v>316</v>
      </c>
      <c r="B142" s="1">
        <v>45297</v>
      </c>
      <c r="C142" t="s">
        <v>317</v>
      </c>
      <c r="D142" t="s">
        <v>56</v>
      </c>
      <c r="E142" t="s">
        <v>36</v>
      </c>
      <c r="F142" t="s">
        <v>37</v>
      </c>
      <c r="G142">
        <v>3</v>
      </c>
      <c r="H142">
        <v>23097.06</v>
      </c>
      <c r="I142">
        <v>5667.52</v>
      </c>
      <c r="J142" t="s">
        <v>16</v>
      </c>
      <c r="K142" t="s">
        <v>29</v>
      </c>
      <c r="L142">
        <f t="shared" si="6"/>
        <v>2024</v>
      </c>
      <c r="M142" t="str">
        <f t="shared" si="7"/>
        <v>Jan</v>
      </c>
      <c r="N142" s="2">
        <f t="shared" si="8"/>
        <v>0.24537841612742056</v>
      </c>
    </row>
    <row r="143" spans="1:14" x14ac:dyDescent="0.45">
      <c r="A143" t="s">
        <v>318</v>
      </c>
      <c r="B143" s="1">
        <v>44818</v>
      </c>
      <c r="C143" t="s">
        <v>319</v>
      </c>
      <c r="D143" t="s">
        <v>13</v>
      </c>
      <c r="E143" t="s">
        <v>14</v>
      </c>
      <c r="F143" t="s">
        <v>57</v>
      </c>
      <c r="G143">
        <v>4</v>
      </c>
      <c r="H143">
        <v>19308.12</v>
      </c>
      <c r="I143">
        <v>3646.31</v>
      </c>
      <c r="J143" t="s">
        <v>16</v>
      </c>
      <c r="K143" t="s">
        <v>17</v>
      </c>
      <c r="L143">
        <f t="shared" si="6"/>
        <v>2022</v>
      </c>
      <c r="M143" t="str">
        <f t="shared" si="7"/>
        <v>Sep</v>
      </c>
      <c r="N143" s="2">
        <f t="shared" si="8"/>
        <v>0.18884852590516321</v>
      </c>
    </row>
    <row r="144" spans="1:14" x14ac:dyDescent="0.45">
      <c r="A144" t="s">
        <v>320</v>
      </c>
      <c r="B144" s="1">
        <v>45060</v>
      </c>
      <c r="C144" t="s">
        <v>321</v>
      </c>
      <c r="D144" t="s">
        <v>13</v>
      </c>
      <c r="E144" t="s">
        <v>14</v>
      </c>
      <c r="F144" t="s">
        <v>57</v>
      </c>
      <c r="G144">
        <v>3</v>
      </c>
      <c r="H144">
        <v>3533.69</v>
      </c>
      <c r="I144">
        <v>709.84</v>
      </c>
      <c r="J144" t="s">
        <v>47</v>
      </c>
      <c r="K144" t="s">
        <v>29</v>
      </c>
      <c r="L144">
        <f t="shared" si="6"/>
        <v>2023</v>
      </c>
      <c r="M144" t="str">
        <f t="shared" si="7"/>
        <v>May</v>
      </c>
      <c r="N144" s="2">
        <f t="shared" si="8"/>
        <v>0.20087783591656314</v>
      </c>
    </row>
    <row r="145" spans="1:14" x14ac:dyDescent="0.45">
      <c r="A145" t="s">
        <v>322</v>
      </c>
      <c r="B145" s="1">
        <v>45214</v>
      </c>
      <c r="C145" t="s">
        <v>323</v>
      </c>
      <c r="D145" t="s">
        <v>13</v>
      </c>
      <c r="E145" t="s">
        <v>36</v>
      </c>
      <c r="F145" t="s">
        <v>53</v>
      </c>
      <c r="G145">
        <v>2</v>
      </c>
      <c r="H145">
        <v>3843.52</v>
      </c>
      <c r="I145">
        <v>280.54000000000002</v>
      </c>
      <c r="J145" t="s">
        <v>47</v>
      </c>
      <c r="K145" t="s">
        <v>33</v>
      </c>
      <c r="L145">
        <f t="shared" si="6"/>
        <v>2023</v>
      </c>
      <c r="M145" t="str">
        <f t="shared" si="7"/>
        <v>Oct</v>
      </c>
      <c r="N145" s="2">
        <f t="shared" si="8"/>
        <v>7.2990383814836399E-2</v>
      </c>
    </row>
    <row r="146" spans="1:14" x14ac:dyDescent="0.45">
      <c r="A146" t="s">
        <v>324</v>
      </c>
      <c r="B146" s="1">
        <v>45022</v>
      </c>
      <c r="C146" t="s">
        <v>325</v>
      </c>
      <c r="D146" t="s">
        <v>26</v>
      </c>
      <c r="E146" t="s">
        <v>14</v>
      </c>
      <c r="F146" t="s">
        <v>32</v>
      </c>
      <c r="G146">
        <v>4</v>
      </c>
      <c r="H146">
        <v>31180.94</v>
      </c>
      <c r="I146">
        <v>5119.22</v>
      </c>
      <c r="J146" t="s">
        <v>47</v>
      </c>
      <c r="K146" t="s">
        <v>17</v>
      </c>
      <c r="L146">
        <f t="shared" si="6"/>
        <v>2023</v>
      </c>
      <c r="M146" t="str">
        <f t="shared" si="7"/>
        <v>Apr</v>
      </c>
      <c r="N146" s="2">
        <f t="shared" si="8"/>
        <v>0.1641778599362303</v>
      </c>
    </row>
    <row r="147" spans="1:14" x14ac:dyDescent="0.45">
      <c r="A147" t="s">
        <v>326</v>
      </c>
      <c r="B147" s="1">
        <v>44985</v>
      </c>
      <c r="C147" t="s">
        <v>327</v>
      </c>
      <c r="D147" t="s">
        <v>56</v>
      </c>
      <c r="E147" t="s">
        <v>14</v>
      </c>
      <c r="F147" t="s">
        <v>57</v>
      </c>
      <c r="G147">
        <v>1</v>
      </c>
      <c r="H147">
        <v>18262.57</v>
      </c>
      <c r="I147">
        <v>2548.8000000000002</v>
      </c>
      <c r="J147" t="s">
        <v>71</v>
      </c>
      <c r="K147" t="s">
        <v>23</v>
      </c>
      <c r="L147">
        <f t="shared" si="6"/>
        <v>2023</v>
      </c>
      <c r="M147" t="str">
        <f t="shared" si="7"/>
        <v>Feb</v>
      </c>
      <c r="N147" s="2">
        <f t="shared" si="8"/>
        <v>0.13956414677671325</v>
      </c>
    </row>
    <row r="148" spans="1:14" x14ac:dyDescent="0.45">
      <c r="A148" t="s">
        <v>328</v>
      </c>
      <c r="B148" s="1">
        <v>45226</v>
      </c>
      <c r="C148" t="s">
        <v>329</v>
      </c>
      <c r="D148" t="s">
        <v>13</v>
      </c>
      <c r="E148" t="s">
        <v>36</v>
      </c>
      <c r="F148" t="s">
        <v>46</v>
      </c>
      <c r="G148">
        <v>3</v>
      </c>
      <c r="H148">
        <v>49720.959999999999</v>
      </c>
      <c r="I148">
        <v>4025.35</v>
      </c>
      <c r="J148" t="s">
        <v>16</v>
      </c>
      <c r="K148" t="s">
        <v>23</v>
      </c>
      <c r="L148">
        <f t="shared" si="6"/>
        <v>2023</v>
      </c>
      <c r="M148" t="str">
        <f t="shared" si="7"/>
        <v>Oct</v>
      </c>
      <c r="N148" s="2">
        <f t="shared" si="8"/>
        <v>8.0958814954498068E-2</v>
      </c>
    </row>
    <row r="149" spans="1:14" x14ac:dyDescent="0.45">
      <c r="A149" t="s">
        <v>330</v>
      </c>
      <c r="B149" s="1">
        <v>44662</v>
      </c>
      <c r="C149" t="s">
        <v>331</v>
      </c>
      <c r="D149" t="s">
        <v>26</v>
      </c>
      <c r="E149" t="s">
        <v>36</v>
      </c>
      <c r="F149" t="s">
        <v>53</v>
      </c>
      <c r="G149">
        <v>1</v>
      </c>
      <c r="H149">
        <v>44891.9</v>
      </c>
      <c r="I149">
        <v>5984.2</v>
      </c>
      <c r="J149" t="s">
        <v>22</v>
      </c>
      <c r="K149" t="s">
        <v>33</v>
      </c>
      <c r="L149">
        <f t="shared" si="6"/>
        <v>2022</v>
      </c>
      <c r="M149" t="str">
        <f t="shared" si="7"/>
        <v>Apr</v>
      </c>
      <c r="N149" s="2">
        <f t="shared" si="8"/>
        <v>0.13330244431623522</v>
      </c>
    </row>
    <row r="150" spans="1:14" x14ac:dyDescent="0.45">
      <c r="A150" t="s">
        <v>332</v>
      </c>
      <c r="B150" s="1">
        <v>44970</v>
      </c>
      <c r="C150" t="s">
        <v>333</v>
      </c>
      <c r="D150" t="s">
        <v>56</v>
      </c>
      <c r="E150" t="s">
        <v>20</v>
      </c>
      <c r="F150" t="s">
        <v>21</v>
      </c>
      <c r="G150">
        <v>5</v>
      </c>
      <c r="H150">
        <v>49365.06</v>
      </c>
      <c r="I150">
        <v>10976.39</v>
      </c>
      <c r="J150" t="s">
        <v>22</v>
      </c>
      <c r="K150" t="s">
        <v>17</v>
      </c>
      <c r="L150">
        <f t="shared" si="6"/>
        <v>2023</v>
      </c>
      <c r="M150" t="str">
        <f t="shared" si="7"/>
        <v>Feb</v>
      </c>
      <c r="N150" s="2">
        <f t="shared" si="8"/>
        <v>0.22235139590633538</v>
      </c>
    </row>
    <row r="151" spans="1:14" x14ac:dyDescent="0.45">
      <c r="A151" t="s">
        <v>334</v>
      </c>
      <c r="B151" s="1">
        <v>44827</v>
      </c>
      <c r="C151" t="s">
        <v>335</v>
      </c>
      <c r="D151" t="s">
        <v>13</v>
      </c>
      <c r="E151" t="s">
        <v>14</v>
      </c>
      <c r="F151" t="s">
        <v>32</v>
      </c>
      <c r="G151">
        <v>3</v>
      </c>
      <c r="H151">
        <v>10187.879999999999</v>
      </c>
      <c r="I151">
        <v>859.63</v>
      </c>
      <c r="J151" t="s">
        <v>16</v>
      </c>
      <c r="K151" t="s">
        <v>17</v>
      </c>
      <c r="L151">
        <f t="shared" si="6"/>
        <v>2022</v>
      </c>
      <c r="M151" t="str">
        <f t="shared" si="7"/>
        <v>Sep</v>
      </c>
      <c r="N151" s="2">
        <f t="shared" si="8"/>
        <v>8.4377711555299051E-2</v>
      </c>
    </row>
    <row r="152" spans="1:14" x14ac:dyDescent="0.45">
      <c r="A152" t="s">
        <v>336</v>
      </c>
      <c r="B152" s="1">
        <v>44787</v>
      </c>
      <c r="C152" t="s">
        <v>337</v>
      </c>
      <c r="D152" t="s">
        <v>56</v>
      </c>
      <c r="E152" t="s">
        <v>14</v>
      </c>
      <c r="F152" t="s">
        <v>57</v>
      </c>
      <c r="G152">
        <v>1</v>
      </c>
      <c r="H152">
        <v>49163.86</v>
      </c>
      <c r="I152">
        <v>5326.99</v>
      </c>
      <c r="J152" t="s">
        <v>22</v>
      </c>
      <c r="K152" t="s">
        <v>17</v>
      </c>
      <c r="L152">
        <f t="shared" si="6"/>
        <v>2022</v>
      </c>
      <c r="M152" t="str">
        <f t="shared" si="7"/>
        <v>Aug</v>
      </c>
      <c r="N152" s="2">
        <f t="shared" si="8"/>
        <v>0.10835174455382469</v>
      </c>
    </row>
    <row r="153" spans="1:14" x14ac:dyDescent="0.45">
      <c r="A153" t="s">
        <v>338</v>
      </c>
      <c r="B153" s="1">
        <v>45500</v>
      </c>
      <c r="C153" t="s">
        <v>339</v>
      </c>
      <c r="D153" t="s">
        <v>13</v>
      </c>
      <c r="E153" t="s">
        <v>20</v>
      </c>
      <c r="F153" t="s">
        <v>27</v>
      </c>
      <c r="G153">
        <v>2</v>
      </c>
      <c r="H153">
        <v>2187.29</v>
      </c>
      <c r="I153">
        <v>231.8</v>
      </c>
      <c r="J153" t="s">
        <v>47</v>
      </c>
      <c r="K153" t="s">
        <v>17</v>
      </c>
      <c r="L153">
        <f t="shared" si="6"/>
        <v>2024</v>
      </c>
      <c r="M153" t="str">
        <f t="shared" si="7"/>
        <v>Jul</v>
      </c>
      <c r="N153" s="2">
        <f t="shared" si="8"/>
        <v>0.1059758879709595</v>
      </c>
    </row>
    <row r="154" spans="1:14" x14ac:dyDescent="0.45">
      <c r="A154" t="s">
        <v>340</v>
      </c>
      <c r="B154" s="1">
        <v>44948</v>
      </c>
      <c r="C154" t="s">
        <v>341</v>
      </c>
      <c r="D154" t="s">
        <v>56</v>
      </c>
      <c r="E154" t="s">
        <v>36</v>
      </c>
      <c r="F154" t="s">
        <v>37</v>
      </c>
      <c r="G154">
        <v>2</v>
      </c>
      <c r="H154">
        <v>22687.93</v>
      </c>
      <c r="I154">
        <v>1693.84</v>
      </c>
      <c r="J154" t="s">
        <v>22</v>
      </c>
      <c r="K154" t="s">
        <v>33</v>
      </c>
      <c r="L154">
        <f t="shared" si="6"/>
        <v>2023</v>
      </c>
      <c r="M154" t="str">
        <f t="shared" si="7"/>
        <v>Jan</v>
      </c>
      <c r="N154" s="2">
        <f t="shared" si="8"/>
        <v>7.4658199315671372E-2</v>
      </c>
    </row>
    <row r="155" spans="1:14" x14ac:dyDescent="0.45">
      <c r="A155" t="s">
        <v>342</v>
      </c>
      <c r="B155" s="1">
        <v>44854</v>
      </c>
      <c r="C155" t="s">
        <v>343</v>
      </c>
      <c r="D155" t="s">
        <v>26</v>
      </c>
      <c r="E155" t="s">
        <v>20</v>
      </c>
      <c r="F155" t="s">
        <v>27</v>
      </c>
      <c r="G155">
        <v>1</v>
      </c>
      <c r="H155">
        <v>30193.8</v>
      </c>
      <c r="I155">
        <v>6783.99</v>
      </c>
      <c r="J155" t="s">
        <v>47</v>
      </c>
      <c r="K155" t="s">
        <v>33</v>
      </c>
      <c r="L155">
        <f t="shared" si="6"/>
        <v>2022</v>
      </c>
      <c r="M155" t="str">
        <f t="shared" si="7"/>
        <v>Oct</v>
      </c>
      <c r="N155" s="2">
        <f t="shared" si="8"/>
        <v>0.22468155714086999</v>
      </c>
    </row>
    <row r="156" spans="1:14" x14ac:dyDescent="0.45">
      <c r="A156" t="s">
        <v>344</v>
      </c>
      <c r="B156" s="1">
        <v>44623</v>
      </c>
      <c r="C156" t="s">
        <v>345</v>
      </c>
      <c r="D156" t="s">
        <v>56</v>
      </c>
      <c r="E156" t="s">
        <v>36</v>
      </c>
      <c r="F156" t="s">
        <v>37</v>
      </c>
      <c r="G156">
        <v>1</v>
      </c>
      <c r="H156">
        <v>36792.980000000003</v>
      </c>
      <c r="I156">
        <v>6883.26</v>
      </c>
      <c r="J156" t="s">
        <v>28</v>
      </c>
      <c r="K156" t="s">
        <v>23</v>
      </c>
      <c r="L156">
        <f t="shared" si="6"/>
        <v>2022</v>
      </c>
      <c r="M156" t="str">
        <f t="shared" si="7"/>
        <v>Mar</v>
      </c>
      <c r="N156" s="2">
        <f t="shared" si="8"/>
        <v>0.18708079639105069</v>
      </c>
    </row>
    <row r="157" spans="1:14" x14ac:dyDescent="0.45">
      <c r="A157" t="s">
        <v>346</v>
      </c>
      <c r="B157" s="1">
        <v>44598</v>
      </c>
      <c r="C157" t="s">
        <v>347</v>
      </c>
      <c r="D157" t="s">
        <v>13</v>
      </c>
      <c r="E157" t="s">
        <v>20</v>
      </c>
      <c r="F157" t="s">
        <v>27</v>
      </c>
      <c r="G157">
        <v>5</v>
      </c>
      <c r="H157">
        <v>47995.11</v>
      </c>
      <c r="I157">
        <v>7074.59</v>
      </c>
      <c r="J157" t="s">
        <v>16</v>
      </c>
      <c r="K157" t="s">
        <v>17</v>
      </c>
      <c r="L157">
        <f t="shared" si="6"/>
        <v>2022</v>
      </c>
      <c r="M157" t="str">
        <f t="shared" si="7"/>
        <v>Feb</v>
      </c>
      <c r="N157" s="2">
        <f t="shared" si="8"/>
        <v>0.14740230827682238</v>
      </c>
    </row>
    <row r="158" spans="1:14" x14ac:dyDescent="0.45">
      <c r="A158" t="s">
        <v>348</v>
      </c>
      <c r="B158" s="1">
        <v>45089</v>
      </c>
      <c r="C158" t="s">
        <v>349</v>
      </c>
      <c r="D158" t="s">
        <v>13</v>
      </c>
      <c r="E158" t="s">
        <v>36</v>
      </c>
      <c r="F158" t="s">
        <v>37</v>
      </c>
      <c r="G158">
        <v>3</v>
      </c>
      <c r="H158">
        <v>36602.33</v>
      </c>
      <c r="I158">
        <v>5878</v>
      </c>
      <c r="J158" t="s">
        <v>71</v>
      </c>
      <c r="K158" t="s">
        <v>17</v>
      </c>
      <c r="L158">
        <f t="shared" si="6"/>
        <v>2023</v>
      </c>
      <c r="M158" t="str">
        <f t="shared" si="7"/>
        <v>Jun</v>
      </c>
      <c r="N158" s="2">
        <f t="shared" si="8"/>
        <v>0.16059086948836315</v>
      </c>
    </row>
    <row r="159" spans="1:14" x14ac:dyDescent="0.45">
      <c r="A159" t="s">
        <v>350</v>
      </c>
      <c r="B159" s="1">
        <v>44693</v>
      </c>
      <c r="C159" t="s">
        <v>351</v>
      </c>
      <c r="D159" t="s">
        <v>56</v>
      </c>
      <c r="E159" t="s">
        <v>20</v>
      </c>
      <c r="F159" t="s">
        <v>27</v>
      </c>
      <c r="G159">
        <v>3</v>
      </c>
      <c r="H159">
        <v>27675.94</v>
      </c>
      <c r="I159">
        <v>1866.95</v>
      </c>
      <c r="J159" t="s">
        <v>22</v>
      </c>
      <c r="K159" t="s">
        <v>17</v>
      </c>
      <c r="L159">
        <f t="shared" si="6"/>
        <v>2022</v>
      </c>
      <c r="M159" t="str">
        <f t="shared" si="7"/>
        <v>May</v>
      </c>
      <c r="N159" s="2">
        <f t="shared" si="8"/>
        <v>6.7457510024953093E-2</v>
      </c>
    </row>
    <row r="160" spans="1:14" x14ac:dyDescent="0.45">
      <c r="A160" t="s">
        <v>352</v>
      </c>
      <c r="B160" s="1">
        <v>44852</v>
      </c>
      <c r="C160" t="s">
        <v>353</v>
      </c>
      <c r="D160" t="s">
        <v>56</v>
      </c>
      <c r="E160" t="s">
        <v>14</v>
      </c>
      <c r="F160" t="s">
        <v>15</v>
      </c>
      <c r="G160">
        <v>1</v>
      </c>
      <c r="H160">
        <v>3596.58</v>
      </c>
      <c r="I160">
        <v>326.3</v>
      </c>
      <c r="J160" t="s">
        <v>16</v>
      </c>
      <c r="K160" t="s">
        <v>23</v>
      </c>
      <c r="L160">
        <f t="shared" si="6"/>
        <v>2022</v>
      </c>
      <c r="M160" t="str">
        <f t="shared" si="7"/>
        <v>Oct</v>
      </c>
      <c r="N160" s="2">
        <f t="shared" si="8"/>
        <v>9.0725077712715971E-2</v>
      </c>
    </row>
    <row r="161" spans="1:14" x14ac:dyDescent="0.45">
      <c r="A161" t="s">
        <v>354</v>
      </c>
      <c r="B161" s="1">
        <v>44966</v>
      </c>
      <c r="C161" t="s">
        <v>355</v>
      </c>
      <c r="D161" t="s">
        <v>13</v>
      </c>
      <c r="E161" t="s">
        <v>36</v>
      </c>
      <c r="F161" t="s">
        <v>53</v>
      </c>
      <c r="G161">
        <v>2</v>
      </c>
      <c r="H161">
        <v>42443.07</v>
      </c>
      <c r="I161">
        <v>7634.81</v>
      </c>
      <c r="J161" t="s">
        <v>28</v>
      </c>
      <c r="K161" t="s">
        <v>23</v>
      </c>
      <c r="L161">
        <f t="shared" si="6"/>
        <v>2023</v>
      </c>
      <c r="M161" t="str">
        <f t="shared" si="7"/>
        <v>Feb</v>
      </c>
      <c r="N161" s="2">
        <f t="shared" si="8"/>
        <v>0.17988354753791375</v>
      </c>
    </row>
    <row r="162" spans="1:14" x14ac:dyDescent="0.45">
      <c r="A162" t="s">
        <v>356</v>
      </c>
      <c r="B162" s="1">
        <v>44786</v>
      </c>
      <c r="C162" t="s">
        <v>357</v>
      </c>
      <c r="D162" t="s">
        <v>56</v>
      </c>
      <c r="E162" t="s">
        <v>14</v>
      </c>
      <c r="F162" t="s">
        <v>15</v>
      </c>
      <c r="G162">
        <v>1</v>
      </c>
      <c r="H162">
        <v>29378.01</v>
      </c>
      <c r="I162">
        <v>5705.92</v>
      </c>
      <c r="J162" t="s">
        <v>28</v>
      </c>
      <c r="K162" t="s">
        <v>17</v>
      </c>
      <c r="L162">
        <f t="shared" si="6"/>
        <v>2022</v>
      </c>
      <c r="M162" t="str">
        <f t="shared" si="7"/>
        <v>Aug</v>
      </c>
      <c r="N162" s="2">
        <f t="shared" si="8"/>
        <v>0.1942241833262362</v>
      </c>
    </row>
    <row r="163" spans="1:14" x14ac:dyDescent="0.45">
      <c r="A163" t="s">
        <v>358</v>
      </c>
      <c r="B163" s="1">
        <v>45643</v>
      </c>
      <c r="C163" t="s">
        <v>359</v>
      </c>
      <c r="D163" t="s">
        <v>56</v>
      </c>
      <c r="E163" t="s">
        <v>36</v>
      </c>
      <c r="F163" t="s">
        <v>37</v>
      </c>
      <c r="G163">
        <v>3</v>
      </c>
      <c r="H163">
        <v>18416.490000000002</v>
      </c>
      <c r="I163">
        <v>4005.78</v>
      </c>
      <c r="J163" t="s">
        <v>47</v>
      </c>
      <c r="K163" t="s">
        <v>29</v>
      </c>
      <c r="L163">
        <f t="shared" si="6"/>
        <v>2024</v>
      </c>
      <c r="M163" t="str">
        <f t="shared" si="7"/>
        <v>Dec</v>
      </c>
      <c r="N163" s="2">
        <f t="shared" si="8"/>
        <v>0.2175105028156831</v>
      </c>
    </row>
    <row r="164" spans="1:14" x14ac:dyDescent="0.45">
      <c r="A164" t="s">
        <v>360</v>
      </c>
      <c r="B164" s="1">
        <v>45439</v>
      </c>
      <c r="C164" t="s">
        <v>361</v>
      </c>
      <c r="D164" t="s">
        <v>56</v>
      </c>
      <c r="E164" t="s">
        <v>36</v>
      </c>
      <c r="F164" t="s">
        <v>53</v>
      </c>
      <c r="G164">
        <v>1</v>
      </c>
      <c r="H164">
        <v>17102.71</v>
      </c>
      <c r="I164">
        <v>3335.9</v>
      </c>
      <c r="J164" t="s">
        <v>16</v>
      </c>
      <c r="K164" t="s">
        <v>23</v>
      </c>
      <c r="L164">
        <f t="shared" si="6"/>
        <v>2024</v>
      </c>
      <c r="M164" t="str">
        <f t="shared" si="7"/>
        <v>May</v>
      </c>
      <c r="N164" s="2">
        <f t="shared" si="8"/>
        <v>0.19505095976017836</v>
      </c>
    </row>
    <row r="165" spans="1:14" x14ac:dyDescent="0.45">
      <c r="A165" t="s">
        <v>362</v>
      </c>
      <c r="B165" s="1">
        <v>45199</v>
      </c>
      <c r="C165" t="s">
        <v>363</v>
      </c>
      <c r="D165" t="s">
        <v>56</v>
      </c>
      <c r="E165" t="s">
        <v>36</v>
      </c>
      <c r="F165" t="s">
        <v>46</v>
      </c>
      <c r="G165">
        <v>5</v>
      </c>
      <c r="H165">
        <v>45405.99</v>
      </c>
      <c r="I165">
        <v>3291.2</v>
      </c>
      <c r="J165" t="s">
        <v>28</v>
      </c>
      <c r="K165" t="s">
        <v>29</v>
      </c>
      <c r="L165">
        <f t="shared" si="6"/>
        <v>2023</v>
      </c>
      <c r="M165" t="str">
        <f t="shared" si="7"/>
        <v>Sep</v>
      </c>
      <c r="N165" s="2">
        <f t="shared" si="8"/>
        <v>7.248382867546771E-2</v>
      </c>
    </row>
    <row r="166" spans="1:14" x14ac:dyDescent="0.45">
      <c r="A166" t="s">
        <v>364</v>
      </c>
      <c r="B166" s="1">
        <v>45509</v>
      </c>
      <c r="C166" t="s">
        <v>365</v>
      </c>
      <c r="D166" t="s">
        <v>13</v>
      </c>
      <c r="E166" t="s">
        <v>36</v>
      </c>
      <c r="F166" t="s">
        <v>46</v>
      </c>
      <c r="G166">
        <v>1</v>
      </c>
      <c r="H166">
        <v>45182.400000000001</v>
      </c>
      <c r="I166">
        <v>3859.64</v>
      </c>
      <c r="J166" t="s">
        <v>28</v>
      </c>
      <c r="K166" t="s">
        <v>29</v>
      </c>
      <c r="L166">
        <f t="shared" si="6"/>
        <v>2024</v>
      </c>
      <c r="M166" t="str">
        <f t="shared" si="7"/>
        <v>Aug</v>
      </c>
      <c r="N166" s="2">
        <f t="shared" si="8"/>
        <v>8.5423527745316752E-2</v>
      </c>
    </row>
    <row r="167" spans="1:14" x14ac:dyDescent="0.45">
      <c r="A167" t="s">
        <v>366</v>
      </c>
      <c r="B167" s="1">
        <v>45034</v>
      </c>
      <c r="C167" t="s">
        <v>367</v>
      </c>
      <c r="D167" t="s">
        <v>13</v>
      </c>
      <c r="E167" t="s">
        <v>36</v>
      </c>
      <c r="F167" t="s">
        <v>37</v>
      </c>
      <c r="G167">
        <v>1</v>
      </c>
      <c r="H167">
        <v>11564.54</v>
      </c>
      <c r="I167">
        <v>2258.2399999999998</v>
      </c>
      <c r="J167" t="s">
        <v>16</v>
      </c>
      <c r="K167" t="s">
        <v>23</v>
      </c>
      <c r="L167">
        <f t="shared" si="6"/>
        <v>2023</v>
      </c>
      <c r="M167" t="str">
        <f t="shared" si="7"/>
        <v>Apr</v>
      </c>
      <c r="N167" s="2">
        <f t="shared" si="8"/>
        <v>0.1952727907897763</v>
      </c>
    </row>
    <row r="168" spans="1:14" x14ac:dyDescent="0.45">
      <c r="A168" t="s">
        <v>368</v>
      </c>
      <c r="B168" s="1">
        <v>44571</v>
      </c>
      <c r="C168" t="s">
        <v>369</v>
      </c>
      <c r="D168" t="s">
        <v>13</v>
      </c>
      <c r="E168" t="s">
        <v>20</v>
      </c>
      <c r="F168" t="s">
        <v>27</v>
      </c>
      <c r="G168">
        <v>5</v>
      </c>
      <c r="H168">
        <v>14117.06</v>
      </c>
      <c r="I168">
        <v>1009.36</v>
      </c>
      <c r="J168" t="s">
        <v>16</v>
      </c>
      <c r="K168" t="s">
        <v>17</v>
      </c>
      <c r="L168">
        <f t="shared" si="6"/>
        <v>2022</v>
      </c>
      <c r="M168" t="str">
        <f t="shared" si="7"/>
        <v>Jan</v>
      </c>
      <c r="N168" s="2">
        <f t="shared" si="8"/>
        <v>7.1499306512829167E-2</v>
      </c>
    </row>
    <row r="169" spans="1:14" x14ac:dyDescent="0.45">
      <c r="A169" t="s">
        <v>370</v>
      </c>
      <c r="B169" s="1">
        <v>45605</v>
      </c>
      <c r="C169" t="s">
        <v>371</v>
      </c>
      <c r="D169" t="s">
        <v>26</v>
      </c>
      <c r="E169" t="s">
        <v>20</v>
      </c>
      <c r="F169" t="s">
        <v>27</v>
      </c>
      <c r="G169">
        <v>1</v>
      </c>
      <c r="H169">
        <v>23180.48</v>
      </c>
      <c r="I169">
        <v>5313.26</v>
      </c>
      <c r="J169" t="s">
        <v>28</v>
      </c>
      <c r="K169" t="s">
        <v>29</v>
      </c>
      <c r="L169">
        <f t="shared" si="6"/>
        <v>2024</v>
      </c>
      <c r="M169" t="str">
        <f t="shared" si="7"/>
        <v>Nov</v>
      </c>
      <c r="N169" s="2">
        <f t="shared" si="8"/>
        <v>0.22921268239484258</v>
      </c>
    </row>
    <row r="170" spans="1:14" x14ac:dyDescent="0.45">
      <c r="A170" t="s">
        <v>372</v>
      </c>
      <c r="B170" s="1">
        <v>45285</v>
      </c>
      <c r="C170" t="s">
        <v>373</v>
      </c>
      <c r="D170" t="s">
        <v>26</v>
      </c>
      <c r="E170" t="s">
        <v>14</v>
      </c>
      <c r="F170" t="s">
        <v>40</v>
      </c>
      <c r="G170">
        <v>3</v>
      </c>
      <c r="H170">
        <v>2956.33</v>
      </c>
      <c r="I170">
        <v>281.61</v>
      </c>
      <c r="J170" t="s">
        <v>47</v>
      </c>
      <c r="K170" t="s">
        <v>23</v>
      </c>
      <c r="L170">
        <f t="shared" si="6"/>
        <v>2023</v>
      </c>
      <c r="M170" t="str">
        <f t="shared" si="7"/>
        <v>Dec</v>
      </c>
      <c r="N170" s="2">
        <f t="shared" si="8"/>
        <v>9.5256618848369431E-2</v>
      </c>
    </row>
    <row r="171" spans="1:14" x14ac:dyDescent="0.45">
      <c r="A171" t="s">
        <v>374</v>
      </c>
      <c r="B171" s="1">
        <v>44667</v>
      </c>
      <c r="C171" t="s">
        <v>375</v>
      </c>
      <c r="D171" t="s">
        <v>13</v>
      </c>
      <c r="E171" t="s">
        <v>36</v>
      </c>
      <c r="F171" t="s">
        <v>53</v>
      </c>
      <c r="G171">
        <v>3</v>
      </c>
      <c r="H171">
        <v>39523.449999999997</v>
      </c>
      <c r="I171">
        <v>4931.7700000000004</v>
      </c>
      <c r="J171" t="s">
        <v>16</v>
      </c>
      <c r="K171" t="s">
        <v>29</v>
      </c>
      <c r="L171">
        <f t="shared" si="6"/>
        <v>2022</v>
      </c>
      <c r="M171" t="str">
        <f t="shared" si="7"/>
        <v>Apr</v>
      </c>
      <c r="N171" s="2">
        <f t="shared" si="8"/>
        <v>0.12478085794635844</v>
      </c>
    </row>
    <row r="172" spans="1:14" x14ac:dyDescent="0.45">
      <c r="A172" t="s">
        <v>376</v>
      </c>
      <c r="B172" s="1">
        <v>45540</v>
      </c>
      <c r="C172" t="s">
        <v>377</v>
      </c>
      <c r="D172" t="s">
        <v>13</v>
      </c>
      <c r="E172" t="s">
        <v>20</v>
      </c>
      <c r="F172" t="s">
        <v>27</v>
      </c>
      <c r="G172">
        <v>5</v>
      </c>
      <c r="H172">
        <v>32204.06</v>
      </c>
      <c r="I172">
        <v>6837.04</v>
      </c>
      <c r="J172" t="s">
        <v>16</v>
      </c>
      <c r="K172" t="s">
        <v>23</v>
      </c>
      <c r="L172">
        <f t="shared" si="6"/>
        <v>2024</v>
      </c>
      <c r="M172" t="str">
        <f t="shared" si="7"/>
        <v>Sep</v>
      </c>
      <c r="N172" s="2">
        <f t="shared" si="8"/>
        <v>0.21230366605949683</v>
      </c>
    </row>
    <row r="173" spans="1:14" x14ac:dyDescent="0.45">
      <c r="A173" t="s">
        <v>378</v>
      </c>
      <c r="B173" s="1">
        <v>45523</v>
      </c>
      <c r="C173" t="s">
        <v>379</v>
      </c>
      <c r="D173" t="s">
        <v>26</v>
      </c>
      <c r="E173" t="s">
        <v>36</v>
      </c>
      <c r="F173" t="s">
        <v>46</v>
      </c>
      <c r="G173">
        <v>3</v>
      </c>
      <c r="H173">
        <v>29899.02</v>
      </c>
      <c r="I173">
        <v>5957.99</v>
      </c>
      <c r="J173" t="s">
        <v>47</v>
      </c>
      <c r="K173" t="s">
        <v>29</v>
      </c>
      <c r="L173">
        <f t="shared" si="6"/>
        <v>2024</v>
      </c>
      <c r="M173" t="str">
        <f t="shared" si="7"/>
        <v>Aug</v>
      </c>
      <c r="N173" s="2">
        <f t="shared" si="8"/>
        <v>0.19927041086965391</v>
      </c>
    </row>
    <row r="174" spans="1:14" x14ac:dyDescent="0.45">
      <c r="A174" t="s">
        <v>380</v>
      </c>
      <c r="B174" s="1">
        <v>44782</v>
      </c>
      <c r="C174" t="s">
        <v>381</v>
      </c>
      <c r="D174" t="s">
        <v>26</v>
      </c>
      <c r="E174" t="s">
        <v>20</v>
      </c>
      <c r="F174" t="s">
        <v>50</v>
      </c>
      <c r="G174">
        <v>4</v>
      </c>
      <c r="H174">
        <v>46020.43</v>
      </c>
      <c r="I174">
        <v>9464.85</v>
      </c>
      <c r="J174" t="s">
        <v>47</v>
      </c>
      <c r="K174" t="s">
        <v>33</v>
      </c>
      <c r="L174">
        <f t="shared" si="6"/>
        <v>2022</v>
      </c>
      <c r="M174" t="str">
        <f t="shared" si="7"/>
        <v>Aug</v>
      </c>
      <c r="N174" s="2">
        <f t="shared" si="8"/>
        <v>0.20566626604749239</v>
      </c>
    </row>
    <row r="175" spans="1:14" x14ac:dyDescent="0.45">
      <c r="A175" t="s">
        <v>382</v>
      </c>
      <c r="B175" s="1">
        <v>45124</v>
      </c>
      <c r="C175" t="s">
        <v>383</v>
      </c>
      <c r="D175" t="s">
        <v>56</v>
      </c>
      <c r="E175" t="s">
        <v>14</v>
      </c>
      <c r="F175" t="s">
        <v>40</v>
      </c>
      <c r="G175">
        <v>5</v>
      </c>
      <c r="H175">
        <v>3262.69</v>
      </c>
      <c r="I175">
        <v>296.83</v>
      </c>
      <c r="J175" t="s">
        <v>22</v>
      </c>
      <c r="K175" t="s">
        <v>23</v>
      </c>
      <c r="L175">
        <f t="shared" si="6"/>
        <v>2023</v>
      </c>
      <c r="M175" t="str">
        <f t="shared" si="7"/>
        <v>Jul</v>
      </c>
      <c r="N175" s="2">
        <f t="shared" si="8"/>
        <v>9.0977077197036793E-2</v>
      </c>
    </row>
    <row r="176" spans="1:14" x14ac:dyDescent="0.45">
      <c r="A176" t="s">
        <v>384</v>
      </c>
      <c r="B176" s="1">
        <v>45028</v>
      </c>
      <c r="C176" t="s">
        <v>385</v>
      </c>
      <c r="D176" t="s">
        <v>56</v>
      </c>
      <c r="E176" t="s">
        <v>20</v>
      </c>
      <c r="F176" t="s">
        <v>43</v>
      </c>
      <c r="G176">
        <v>2</v>
      </c>
      <c r="H176">
        <v>17048.490000000002</v>
      </c>
      <c r="I176">
        <v>2154.04</v>
      </c>
      <c r="J176" t="s">
        <v>22</v>
      </c>
      <c r="K176" t="s">
        <v>23</v>
      </c>
      <c r="L176">
        <f t="shared" si="6"/>
        <v>2023</v>
      </c>
      <c r="M176" t="str">
        <f t="shared" si="7"/>
        <v>Apr</v>
      </c>
      <c r="N176" s="2">
        <f t="shared" si="8"/>
        <v>0.12634784664213661</v>
      </c>
    </row>
    <row r="177" spans="1:14" x14ac:dyDescent="0.45">
      <c r="A177" t="s">
        <v>386</v>
      </c>
      <c r="B177" s="1">
        <v>44913</v>
      </c>
      <c r="C177" t="s">
        <v>387</v>
      </c>
      <c r="D177" t="s">
        <v>56</v>
      </c>
      <c r="E177" t="s">
        <v>14</v>
      </c>
      <c r="F177" t="s">
        <v>15</v>
      </c>
      <c r="G177">
        <v>1</v>
      </c>
      <c r="H177">
        <v>9819.5300000000007</v>
      </c>
      <c r="I177">
        <v>2326.04</v>
      </c>
      <c r="J177" t="s">
        <v>71</v>
      </c>
      <c r="K177" t="s">
        <v>17</v>
      </c>
      <c r="L177">
        <f t="shared" si="6"/>
        <v>2022</v>
      </c>
      <c r="M177" t="str">
        <f t="shared" si="7"/>
        <v>Dec</v>
      </c>
      <c r="N177" s="2">
        <f t="shared" si="8"/>
        <v>0.2368789544917119</v>
      </c>
    </row>
    <row r="178" spans="1:14" x14ac:dyDescent="0.45">
      <c r="A178" t="s">
        <v>388</v>
      </c>
      <c r="B178" s="1">
        <v>44777</v>
      </c>
      <c r="C178" t="s">
        <v>389</v>
      </c>
      <c r="D178" t="s">
        <v>13</v>
      </c>
      <c r="E178" t="s">
        <v>36</v>
      </c>
      <c r="F178" t="s">
        <v>64</v>
      </c>
      <c r="G178">
        <v>3</v>
      </c>
      <c r="H178">
        <v>42149.52</v>
      </c>
      <c r="I178">
        <v>9044</v>
      </c>
      <c r="J178" t="s">
        <v>16</v>
      </c>
      <c r="K178" t="s">
        <v>23</v>
      </c>
      <c r="L178">
        <f t="shared" si="6"/>
        <v>2022</v>
      </c>
      <c r="M178" t="str">
        <f t="shared" si="7"/>
        <v>Aug</v>
      </c>
      <c r="N178" s="2">
        <f t="shared" si="8"/>
        <v>0.21456946603425142</v>
      </c>
    </row>
    <row r="179" spans="1:14" x14ac:dyDescent="0.45">
      <c r="A179" t="s">
        <v>390</v>
      </c>
      <c r="B179" s="1">
        <v>45102</v>
      </c>
      <c r="C179" t="s">
        <v>391</v>
      </c>
      <c r="D179" t="s">
        <v>56</v>
      </c>
      <c r="E179" t="s">
        <v>36</v>
      </c>
      <c r="F179" t="s">
        <v>37</v>
      </c>
      <c r="G179">
        <v>5</v>
      </c>
      <c r="H179">
        <v>27356.68</v>
      </c>
      <c r="I179">
        <v>2566.34</v>
      </c>
      <c r="J179" t="s">
        <v>28</v>
      </c>
      <c r="K179" t="s">
        <v>23</v>
      </c>
      <c r="L179">
        <f t="shared" si="6"/>
        <v>2023</v>
      </c>
      <c r="M179" t="str">
        <f t="shared" si="7"/>
        <v>Jun</v>
      </c>
      <c r="N179" s="2">
        <f t="shared" si="8"/>
        <v>9.3810360029067855E-2</v>
      </c>
    </row>
    <row r="180" spans="1:14" x14ac:dyDescent="0.45">
      <c r="A180" t="s">
        <v>392</v>
      </c>
      <c r="B180" s="1">
        <v>45316</v>
      </c>
      <c r="C180" t="s">
        <v>393</v>
      </c>
      <c r="D180" t="s">
        <v>26</v>
      </c>
      <c r="E180" t="s">
        <v>20</v>
      </c>
      <c r="F180" t="s">
        <v>43</v>
      </c>
      <c r="G180">
        <v>5</v>
      </c>
      <c r="H180">
        <v>1996.64</v>
      </c>
      <c r="I180">
        <v>290.42</v>
      </c>
      <c r="J180" t="s">
        <v>16</v>
      </c>
      <c r="K180" t="s">
        <v>17</v>
      </c>
      <c r="L180">
        <f t="shared" si="6"/>
        <v>2024</v>
      </c>
      <c r="M180" t="str">
        <f t="shared" si="7"/>
        <v>Jan</v>
      </c>
      <c r="N180" s="2">
        <f t="shared" si="8"/>
        <v>0.14545436333039508</v>
      </c>
    </row>
    <row r="181" spans="1:14" x14ac:dyDescent="0.45">
      <c r="A181" t="s">
        <v>394</v>
      </c>
      <c r="B181" s="1">
        <v>44713</v>
      </c>
      <c r="C181" t="s">
        <v>395</v>
      </c>
      <c r="D181" t="s">
        <v>26</v>
      </c>
      <c r="E181" t="s">
        <v>14</v>
      </c>
      <c r="F181" t="s">
        <v>57</v>
      </c>
      <c r="G181">
        <v>5</v>
      </c>
      <c r="H181">
        <v>34733.57</v>
      </c>
      <c r="I181">
        <v>6102.4</v>
      </c>
      <c r="J181" t="s">
        <v>28</v>
      </c>
      <c r="K181" t="s">
        <v>29</v>
      </c>
      <c r="L181">
        <f t="shared" si="6"/>
        <v>2022</v>
      </c>
      <c r="M181" t="str">
        <f t="shared" si="7"/>
        <v>Jun</v>
      </c>
      <c r="N181" s="2">
        <f t="shared" si="8"/>
        <v>0.17569170114099988</v>
      </c>
    </row>
    <row r="182" spans="1:14" x14ac:dyDescent="0.45">
      <c r="A182" t="s">
        <v>396</v>
      </c>
      <c r="B182" s="1">
        <v>45550</v>
      </c>
      <c r="C182" t="s">
        <v>397</v>
      </c>
      <c r="D182" t="s">
        <v>13</v>
      </c>
      <c r="E182" t="s">
        <v>14</v>
      </c>
      <c r="F182" t="s">
        <v>40</v>
      </c>
      <c r="G182">
        <v>3</v>
      </c>
      <c r="H182">
        <v>44990.85</v>
      </c>
      <c r="I182">
        <v>9932.2099999999991</v>
      </c>
      <c r="J182" t="s">
        <v>16</v>
      </c>
      <c r="K182" t="s">
        <v>23</v>
      </c>
      <c r="L182">
        <f t="shared" si="6"/>
        <v>2024</v>
      </c>
      <c r="M182" t="str">
        <f t="shared" si="7"/>
        <v>Sep</v>
      </c>
      <c r="N182" s="2">
        <f t="shared" si="8"/>
        <v>0.22076066577981968</v>
      </c>
    </row>
    <row r="183" spans="1:14" x14ac:dyDescent="0.45">
      <c r="A183" t="s">
        <v>398</v>
      </c>
      <c r="B183" s="1">
        <v>44869</v>
      </c>
      <c r="C183" t="s">
        <v>399</v>
      </c>
      <c r="D183" t="s">
        <v>13</v>
      </c>
      <c r="E183" t="s">
        <v>20</v>
      </c>
      <c r="F183" t="s">
        <v>43</v>
      </c>
      <c r="G183">
        <v>2</v>
      </c>
      <c r="H183">
        <v>16365.85</v>
      </c>
      <c r="I183">
        <v>2856.85</v>
      </c>
      <c r="J183" t="s">
        <v>71</v>
      </c>
      <c r="K183" t="s">
        <v>29</v>
      </c>
      <c r="L183">
        <f t="shared" si="6"/>
        <v>2022</v>
      </c>
      <c r="M183" t="str">
        <f t="shared" si="7"/>
        <v>Nov</v>
      </c>
      <c r="N183" s="2">
        <f t="shared" si="8"/>
        <v>0.17456166346385918</v>
      </c>
    </row>
    <row r="184" spans="1:14" x14ac:dyDescent="0.45">
      <c r="A184" t="s">
        <v>400</v>
      </c>
      <c r="B184" s="1">
        <v>44981</v>
      </c>
      <c r="C184" t="s">
        <v>401</v>
      </c>
      <c r="D184" t="s">
        <v>56</v>
      </c>
      <c r="E184" t="s">
        <v>36</v>
      </c>
      <c r="F184" t="s">
        <v>64</v>
      </c>
      <c r="G184">
        <v>2</v>
      </c>
      <c r="H184">
        <v>40821.949999999997</v>
      </c>
      <c r="I184">
        <v>5255.14</v>
      </c>
      <c r="J184" t="s">
        <v>16</v>
      </c>
      <c r="K184" t="s">
        <v>17</v>
      </c>
      <c r="L184">
        <f t="shared" si="6"/>
        <v>2023</v>
      </c>
      <c r="M184" t="str">
        <f t="shared" si="7"/>
        <v>Feb</v>
      </c>
      <c r="N184" s="2">
        <f t="shared" si="8"/>
        <v>0.1287331937842264</v>
      </c>
    </row>
    <row r="185" spans="1:14" x14ac:dyDescent="0.45">
      <c r="A185" t="s">
        <v>402</v>
      </c>
      <c r="B185" s="1">
        <v>45027</v>
      </c>
      <c r="C185" t="s">
        <v>403</v>
      </c>
      <c r="D185" t="s">
        <v>56</v>
      </c>
      <c r="E185" t="s">
        <v>20</v>
      </c>
      <c r="F185" t="s">
        <v>43</v>
      </c>
      <c r="G185">
        <v>2</v>
      </c>
      <c r="H185">
        <v>8528.5300000000007</v>
      </c>
      <c r="I185">
        <v>1453.21</v>
      </c>
      <c r="J185" t="s">
        <v>22</v>
      </c>
      <c r="K185" t="s">
        <v>17</v>
      </c>
      <c r="L185">
        <f t="shared" si="6"/>
        <v>2023</v>
      </c>
      <c r="M185" t="str">
        <f t="shared" si="7"/>
        <v>Apr</v>
      </c>
      <c r="N185" s="2">
        <f t="shared" si="8"/>
        <v>0.17039396003766183</v>
      </c>
    </row>
    <row r="186" spans="1:14" x14ac:dyDescent="0.45">
      <c r="A186" t="s">
        <v>404</v>
      </c>
      <c r="B186" s="1">
        <v>44750</v>
      </c>
      <c r="C186" t="s">
        <v>405</v>
      </c>
      <c r="D186" t="s">
        <v>56</v>
      </c>
      <c r="E186" t="s">
        <v>20</v>
      </c>
      <c r="F186" t="s">
        <v>43</v>
      </c>
      <c r="G186">
        <v>4</v>
      </c>
      <c r="H186">
        <v>23720.31</v>
      </c>
      <c r="I186">
        <v>4330.93</v>
      </c>
      <c r="J186" t="s">
        <v>47</v>
      </c>
      <c r="K186" t="s">
        <v>17</v>
      </c>
      <c r="L186">
        <f t="shared" si="6"/>
        <v>2022</v>
      </c>
      <c r="M186" t="str">
        <f t="shared" si="7"/>
        <v>Jul</v>
      </c>
      <c r="N186" s="2">
        <f t="shared" si="8"/>
        <v>0.18258319558218253</v>
      </c>
    </row>
    <row r="187" spans="1:14" x14ac:dyDescent="0.45">
      <c r="A187" t="s">
        <v>406</v>
      </c>
      <c r="B187" s="1">
        <v>44681</v>
      </c>
      <c r="C187" t="s">
        <v>407</v>
      </c>
      <c r="D187" t="s">
        <v>56</v>
      </c>
      <c r="E187" t="s">
        <v>14</v>
      </c>
      <c r="F187" t="s">
        <v>15</v>
      </c>
      <c r="G187">
        <v>4</v>
      </c>
      <c r="H187">
        <v>9410.82</v>
      </c>
      <c r="I187">
        <v>803</v>
      </c>
      <c r="J187" t="s">
        <v>16</v>
      </c>
      <c r="K187" t="s">
        <v>23</v>
      </c>
      <c r="L187">
        <f t="shared" si="6"/>
        <v>2022</v>
      </c>
      <c r="M187" t="str">
        <f t="shared" si="7"/>
        <v>Apr</v>
      </c>
      <c r="N187" s="2">
        <f t="shared" si="8"/>
        <v>8.5327314729215953E-2</v>
      </c>
    </row>
    <row r="188" spans="1:14" x14ac:dyDescent="0.45">
      <c r="A188" t="s">
        <v>408</v>
      </c>
      <c r="B188" s="1">
        <v>45064</v>
      </c>
      <c r="C188" t="s">
        <v>409</v>
      </c>
      <c r="D188" t="s">
        <v>56</v>
      </c>
      <c r="E188" t="s">
        <v>20</v>
      </c>
      <c r="F188" t="s">
        <v>43</v>
      </c>
      <c r="G188">
        <v>5</v>
      </c>
      <c r="H188">
        <v>25144.52</v>
      </c>
      <c r="I188">
        <v>4052.33</v>
      </c>
      <c r="J188" t="s">
        <v>71</v>
      </c>
      <c r="K188" t="s">
        <v>33</v>
      </c>
      <c r="L188">
        <f t="shared" si="6"/>
        <v>2023</v>
      </c>
      <c r="M188" t="str">
        <f t="shared" si="7"/>
        <v>May</v>
      </c>
      <c r="N188" s="2">
        <f t="shared" si="8"/>
        <v>0.16116155726973511</v>
      </c>
    </row>
    <row r="189" spans="1:14" x14ac:dyDescent="0.45">
      <c r="A189" t="s">
        <v>410</v>
      </c>
      <c r="B189" s="1">
        <v>45474</v>
      </c>
      <c r="C189" t="s">
        <v>411</v>
      </c>
      <c r="D189" t="s">
        <v>56</v>
      </c>
      <c r="E189" t="s">
        <v>14</v>
      </c>
      <c r="F189" t="s">
        <v>57</v>
      </c>
      <c r="G189">
        <v>1</v>
      </c>
      <c r="H189">
        <v>10884.22</v>
      </c>
      <c r="I189">
        <v>1155.67</v>
      </c>
      <c r="J189" t="s">
        <v>16</v>
      </c>
      <c r="K189" t="s">
        <v>17</v>
      </c>
      <c r="L189">
        <f t="shared" si="6"/>
        <v>2024</v>
      </c>
      <c r="M189" t="str">
        <f t="shared" si="7"/>
        <v>Jul</v>
      </c>
      <c r="N189" s="2">
        <f t="shared" si="8"/>
        <v>0.10617848591814573</v>
      </c>
    </row>
    <row r="190" spans="1:14" x14ac:dyDescent="0.45">
      <c r="A190" t="s">
        <v>412</v>
      </c>
      <c r="B190" s="1">
        <v>45174</v>
      </c>
      <c r="C190" t="s">
        <v>413</v>
      </c>
      <c r="D190" t="s">
        <v>56</v>
      </c>
      <c r="E190" t="s">
        <v>20</v>
      </c>
      <c r="F190" t="s">
        <v>27</v>
      </c>
      <c r="G190">
        <v>1</v>
      </c>
      <c r="H190">
        <v>6115.73</v>
      </c>
      <c r="I190">
        <v>921.03</v>
      </c>
      <c r="J190" t="s">
        <v>71</v>
      </c>
      <c r="K190" t="s">
        <v>33</v>
      </c>
      <c r="L190">
        <f t="shared" si="6"/>
        <v>2023</v>
      </c>
      <c r="M190" t="str">
        <f t="shared" si="7"/>
        <v>Sep</v>
      </c>
      <c r="N190" s="2">
        <f t="shared" si="8"/>
        <v>0.15060017365056994</v>
      </c>
    </row>
    <row r="191" spans="1:14" x14ac:dyDescent="0.45">
      <c r="A191" t="s">
        <v>414</v>
      </c>
      <c r="B191" s="1">
        <v>44614</v>
      </c>
      <c r="C191" t="s">
        <v>415</v>
      </c>
      <c r="D191" t="s">
        <v>56</v>
      </c>
      <c r="E191" t="s">
        <v>20</v>
      </c>
      <c r="F191" t="s">
        <v>21</v>
      </c>
      <c r="G191">
        <v>4</v>
      </c>
      <c r="H191">
        <v>5395.26</v>
      </c>
      <c r="I191">
        <v>630.1</v>
      </c>
      <c r="J191" t="s">
        <v>22</v>
      </c>
      <c r="K191" t="s">
        <v>29</v>
      </c>
      <c r="L191">
        <f t="shared" si="6"/>
        <v>2022</v>
      </c>
      <c r="M191" t="str">
        <f t="shared" si="7"/>
        <v>Feb</v>
      </c>
      <c r="N191" s="2">
        <f t="shared" si="8"/>
        <v>0.11678769883193767</v>
      </c>
    </row>
    <row r="192" spans="1:14" x14ac:dyDescent="0.45">
      <c r="A192" t="s">
        <v>416</v>
      </c>
      <c r="B192" s="1">
        <v>44595</v>
      </c>
      <c r="C192" t="s">
        <v>417</v>
      </c>
      <c r="D192" t="s">
        <v>13</v>
      </c>
      <c r="E192" t="s">
        <v>36</v>
      </c>
      <c r="F192" t="s">
        <v>64</v>
      </c>
      <c r="G192">
        <v>5</v>
      </c>
      <c r="H192">
        <v>3131.22</v>
      </c>
      <c r="I192">
        <v>277.07</v>
      </c>
      <c r="J192" t="s">
        <v>47</v>
      </c>
      <c r="K192" t="s">
        <v>29</v>
      </c>
      <c r="L192">
        <f t="shared" si="6"/>
        <v>2022</v>
      </c>
      <c r="M192" t="str">
        <f t="shared" si="7"/>
        <v>Feb</v>
      </c>
      <c r="N192" s="2">
        <f t="shared" si="8"/>
        <v>8.8486276914429521E-2</v>
      </c>
    </row>
    <row r="193" spans="1:14" x14ac:dyDescent="0.45">
      <c r="A193" t="s">
        <v>418</v>
      </c>
      <c r="B193" s="1">
        <v>45148</v>
      </c>
      <c r="C193" t="s">
        <v>419</v>
      </c>
      <c r="D193" t="s">
        <v>13</v>
      </c>
      <c r="E193" t="s">
        <v>20</v>
      </c>
      <c r="F193" t="s">
        <v>21</v>
      </c>
      <c r="G193">
        <v>3</v>
      </c>
      <c r="H193">
        <v>35477.379999999997</v>
      </c>
      <c r="I193">
        <v>5955.11</v>
      </c>
      <c r="J193" t="s">
        <v>28</v>
      </c>
      <c r="K193" t="s">
        <v>23</v>
      </c>
      <c r="L193">
        <f t="shared" si="6"/>
        <v>2023</v>
      </c>
      <c r="M193" t="str">
        <f t="shared" si="7"/>
        <v>Aug</v>
      </c>
      <c r="N193" s="2">
        <f t="shared" si="8"/>
        <v>0.16785653281048377</v>
      </c>
    </row>
    <row r="194" spans="1:14" x14ac:dyDescent="0.45">
      <c r="A194" t="s">
        <v>420</v>
      </c>
      <c r="B194" s="1">
        <v>44652</v>
      </c>
      <c r="C194" t="s">
        <v>421</v>
      </c>
      <c r="D194" t="s">
        <v>13</v>
      </c>
      <c r="E194" t="s">
        <v>20</v>
      </c>
      <c r="F194" t="s">
        <v>43</v>
      </c>
      <c r="G194">
        <v>5</v>
      </c>
      <c r="H194">
        <v>29764.33</v>
      </c>
      <c r="I194">
        <v>5296.38</v>
      </c>
      <c r="J194" t="s">
        <v>71</v>
      </c>
      <c r="K194" t="s">
        <v>33</v>
      </c>
      <c r="L194">
        <f t="shared" si="6"/>
        <v>2022</v>
      </c>
      <c r="M194" t="str">
        <f t="shared" si="7"/>
        <v>Apr</v>
      </c>
      <c r="N194" s="2">
        <f t="shared" si="8"/>
        <v>0.17794386771010803</v>
      </c>
    </row>
    <row r="195" spans="1:14" x14ac:dyDescent="0.45">
      <c r="A195" t="s">
        <v>422</v>
      </c>
      <c r="B195" s="1">
        <v>45004</v>
      </c>
      <c r="C195" t="s">
        <v>423</v>
      </c>
      <c r="D195" t="s">
        <v>13</v>
      </c>
      <c r="E195" t="s">
        <v>36</v>
      </c>
      <c r="F195" t="s">
        <v>64</v>
      </c>
      <c r="G195">
        <v>2</v>
      </c>
      <c r="H195">
        <v>49813.67</v>
      </c>
      <c r="I195">
        <v>9165.99</v>
      </c>
      <c r="J195" t="s">
        <v>16</v>
      </c>
      <c r="K195" t="s">
        <v>17</v>
      </c>
      <c r="L195">
        <f t="shared" ref="L195:L258" si="9">YEAR(B195 )</f>
        <v>2023</v>
      </c>
      <c r="M195" t="str">
        <f t="shared" ref="M195:M258" si="10">TEXT(B195,"MMM")</f>
        <v>Mar</v>
      </c>
      <c r="N195" s="2">
        <f t="shared" ref="N195:N258" si="11">I195 / H195</f>
        <v>0.18400551495202019</v>
      </c>
    </row>
    <row r="196" spans="1:14" x14ac:dyDescent="0.45">
      <c r="A196" t="s">
        <v>424</v>
      </c>
      <c r="B196" s="1">
        <v>45038</v>
      </c>
      <c r="C196" t="s">
        <v>425</v>
      </c>
      <c r="D196" t="s">
        <v>13</v>
      </c>
      <c r="E196" t="s">
        <v>36</v>
      </c>
      <c r="F196" t="s">
        <v>37</v>
      </c>
      <c r="G196">
        <v>1</v>
      </c>
      <c r="H196">
        <v>41602.639999999999</v>
      </c>
      <c r="I196">
        <v>7369.47</v>
      </c>
      <c r="J196" t="s">
        <v>71</v>
      </c>
      <c r="K196" t="s">
        <v>29</v>
      </c>
      <c r="L196">
        <f t="shared" si="9"/>
        <v>2023</v>
      </c>
      <c r="M196" t="str">
        <f t="shared" si="10"/>
        <v>Apr</v>
      </c>
      <c r="N196" s="2">
        <f t="shared" si="11"/>
        <v>0.17713947960994783</v>
      </c>
    </row>
    <row r="197" spans="1:14" x14ac:dyDescent="0.45">
      <c r="A197" t="s">
        <v>426</v>
      </c>
      <c r="B197" s="1">
        <v>45235</v>
      </c>
      <c r="C197" t="s">
        <v>427</v>
      </c>
      <c r="D197" t="s">
        <v>56</v>
      </c>
      <c r="E197" t="s">
        <v>20</v>
      </c>
      <c r="F197" t="s">
        <v>27</v>
      </c>
      <c r="G197">
        <v>3</v>
      </c>
      <c r="H197">
        <v>13826.07</v>
      </c>
      <c r="I197">
        <v>3024.28</v>
      </c>
      <c r="J197" t="s">
        <v>28</v>
      </c>
      <c r="K197" t="s">
        <v>33</v>
      </c>
      <c r="L197">
        <f t="shared" si="9"/>
        <v>2023</v>
      </c>
      <c r="M197" t="str">
        <f t="shared" si="10"/>
        <v>Nov</v>
      </c>
      <c r="N197" s="2">
        <f t="shared" si="11"/>
        <v>0.21873750096737543</v>
      </c>
    </row>
    <row r="198" spans="1:14" x14ac:dyDescent="0.45">
      <c r="A198" t="s">
        <v>428</v>
      </c>
      <c r="B198" s="1">
        <v>45253</v>
      </c>
      <c r="C198" t="s">
        <v>429</v>
      </c>
      <c r="D198" t="s">
        <v>26</v>
      </c>
      <c r="E198" t="s">
        <v>20</v>
      </c>
      <c r="F198" t="s">
        <v>43</v>
      </c>
      <c r="G198">
        <v>4</v>
      </c>
      <c r="H198">
        <v>43595.5</v>
      </c>
      <c r="I198">
        <v>9962.65</v>
      </c>
      <c r="J198" t="s">
        <v>28</v>
      </c>
      <c r="K198" t="s">
        <v>17</v>
      </c>
      <c r="L198">
        <f t="shared" si="9"/>
        <v>2023</v>
      </c>
      <c r="M198" t="str">
        <f t="shared" si="10"/>
        <v>Nov</v>
      </c>
      <c r="N198" s="2">
        <f t="shared" si="11"/>
        <v>0.22852473305731094</v>
      </c>
    </row>
    <row r="199" spans="1:14" x14ac:dyDescent="0.45">
      <c r="A199" t="s">
        <v>430</v>
      </c>
      <c r="B199" s="1">
        <v>45540</v>
      </c>
      <c r="C199" t="s">
        <v>431</v>
      </c>
      <c r="D199" t="s">
        <v>13</v>
      </c>
      <c r="E199" t="s">
        <v>14</v>
      </c>
      <c r="F199" t="s">
        <v>15</v>
      </c>
      <c r="G199">
        <v>5</v>
      </c>
      <c r="H199">
        <v>5238.1099999999997</v>
      </c>
      <c r="I199">
        <v>590.22</v>
      </c>
      <c r="J199" t="s">
        <v>16</v>
      </c>
      <c r="K199" t="s">
        <v>23</v>
      </c>
      <c r="L199">
        <f t="shared" si="9"/>
        <v>2024</v>
      </c>
      <c r="M199" t="str">
        <f t="shared" si="10"/>
        <v>Sep</v>
      </c>
      <c r="N199" s="2">
        <f t="shared" si="11"/>
        <v>0.11267804608914285</v>
      </c>
    </row>
    <row r="200" spans="1:14" x14ac:dyDescent="0.45">
      <c r="A200" t="s">
        <v>432</v>
      </c>
      <c r="B200" s="1">
        <v>44712</v>
      </c>
      <c r="C200" t="s">
        <v>433</v>
      </c>
      <c r="D200" t="s">
        <v>56</v>
      </c>
      <c r="E200" t="s">
        <v>36</v>
      </c>
      <c r="F200" t="s">
        <v>53</v>
      </c>
      <c r="G200">
        <v>5</v>
      </c>
      <c r="H200">
        <v>37931</v>
      </c>
      <c r="I200">
        <v>7062.4</v>
      </c>
      <c r="J200" t="s">
        <v>47</v>
      </c>
      <c r="K200" t="s">
        <v>17</v>
      </c>
      <c r="L200">
        <f t="shared" si="9"/>
        <v>2022</v>
      </c>
      <c r="M200" t="str">
        <f t="shared" si="10"/>
        <v>May</v>
      </c>
      <c r="N200" s="2">
        <f t="shared" si="11"/>
        <v>0.18619071471883156</v>
      </c>
    </row>
    <row r="201" spans="1:14" x14ac:dyDescent="0.45">
      <c r="A201" t="s">
        <v>434</v>
      </c>
      <c r="B201" s="1">
        <v>45034</v>
      </c>
      <c r="C201" t="s">
        <v>435</v>
      </c>
      <c r="D201" t="s">
        <v>13</v>
      </c>
      <c r="E201" t="s">
        <v>14</v>
      </c>
      <c r="F201" t="s">
        <v>40</v>
      </c>
      <c r="G201">
        <v>1</v>
      </c>
      <c r="H201">
        <v>13403.05</v>
      </c>
      <c r="I201">
        <v>3120.72</v>
      </c>
      <c r="J201" t="s">
        <v>71</v>
      </c>
      <c r="K201" t="s">
        <v>29</v>
      </c>
      <c r="L201">
        <f t="shared" si="9"/>
        <v>2023</v>
      </c>
      <c r="M201" t="str">
        <f t="shared" si="10"/>
        <v>Apr</v>
      </c>
      <c r="N201" s="2">
        <f t="shared" si="11"/>
        <v>0.23283655585855459</v>
      </c>
    </row>
    <row r="202" spans="1:14" x14ac:dyDescent="0.45">
      <c r="A202" t="s">
        <v>436</v>
      </c>
      <c r="B202" s="1">
        <v>45066</v>
      </c>
      <c r="C202" t="s">
        <v>437</v>
      </c>
      <c r="D202" t="s">
        <v>13</v>
      </c>
      <c r="E202" t="s">
        <v>36</v>
      </c>
      <c r="F202" t="s">
        <v>53</v>
      </c>
      <c r="G202">
        <v>2</v>
      </c>
      <c r="H202">
        <v>45468.02</v>
      </c>
      <c r="I202">
        <v>10494.57</v>
      </c>
      <c r="J202" t="s">
        <v>22</v>
      </c>
      <c r="K202" t="s">
        <v>23</v>
      </c>
      <c r="L202">
        <f t="shared" si="9"/>
        <v>2023</v>
      </c>
      <c r="M202" t="str">
        <f t="shared" si="10"/>
        <v>May</v>
      </c>
      <c r="N202" s="2">
        <f t="shared" si="11"/>
        <v>0.23081211805572358</v>
      </c>
    </row>
    <row r="203" spans="1:14" x14ac:dyDescent="0.45">
      <c r="A203" t="s">
        <v>438</v>
      </c>
      <c r="B203" s="1">
        <v>44806</v>
      </c>
      <c r="C203" t="s">
        <v>399</v>
      </c>
      <c r="D203" t="s">
        <v>26</v>
      </c>
      <c r="E203" t="s">
        <v>36</v>
      </c>
      <c r="F203" t="s">
        <v>37</v>
      </c>
      <c r="G203">
        <v>2</v>
      </c>
      <c r="H203">
        <v>32805.82</v>
      </c>
      <c r="I203">
        <v>4554.58</v>
      </c>
      <c r="J203" t="s">
        <v>28</v>
      </c>
      <c r="K203" t="s">
        <v>23</v>
      </c>
      <c r="L203">
        <f t="shared" si="9"/>
        <v>2022</v>
      </c>
      <c r="M203" t="str">
        <f t="shared" si="10"/>
        <v>Sep</v>
      </c>
      <c r="N203" s="2">
        <f t="shared" si="11"/>
        <v>0.13883451168115901</v>
      </c>
    </row>
    <row r="204" spans="1:14" x14ac:dyDescent="0.45">
      <c r="A204" t="s">
        <v>439</v>
      </c>
      <c r="B204" s="1">
        <v>44726</v>
      </c>
      <c r="C204" t="s">
        <v>440</v>
      </c>
      <c r="D204" t="s">
        <v>13</v>
      </c>
      <c r="E204" t="s">
        <v>14</v>
      </c>
      <c r="F204" t="s">
        <v>15</v>
      </c>
      <c r="G204">
        <v>4</v>
      </c>
      <c r="H204">
        <v>46621.52</v>
      </c>
      <c r="I204">
        <v>5000.72</v>
      </c>
      <c r="J204" t="s">
        <v>28</v>
      </c>
      <c r="K204" t="s">
        <v>23</v>
      </c>
      <c r="L204">
        <f t="shared" si="9"/>
        <v>2022</v>
      </c>
      <c r="M204" t="str">
        <f t="shared" si="10"/>
        <v>Jun</v>
      </c>
      <c r="N204" s="2">
        <f t="shared" si="11"/>
        <v>0.10726205409004255</v>
      </c>
    </row>
    <row r="205" spans="1:14" x14ac:dyDescent="0.45">
      <c r="A205" t="s">
        <v>441</v>
      </c>
      <c r="B205" s="1">
        <v>45452</v>
      </c>
      <c r="C205" t="s">
        <v>442</v>
      </c>
      <c r="D205" t="s">
        <v>56</v>
      </c>
      <c r="E205" t="s">
        <v>14</v>
      </c>
      <c r="F205" t="s">
        <v>15</v>
      </c>
      <c r="G205">
        <v>4</v>
      </c>
      <c r="H205">
        <v>16516.490000000002</v>
      </c>
      <c r="I205">
        <v>851.38</v>
      </c>
      <c r="J205" t="s">
        <v>71</v>
      </c>
      <c r="K205" t="s">
        <v>33</v>
      </c>
      <c r="L205">
        <f t="shared" si="9"/>
        <v>2024</v>
      </c>
      <c r="M205" t="str">
        <f t="shared" si="10"/>
        <v>Jun</v>
      </c>
      <c r="N205" s="2">
        <f t="shared" si="11"/>
        <v>5.1547271847710976E-2</v>
      </c>
    </row>
    <row r="206" spans="1:14" x14ac:dyDescent="0.45">
      <c r="A206" t="s">
        <v>443</v>
      </c>
      <c r="B206" s="1">
        <v>44631</v>
      </c>
      <c r="C206" t="s">
        <v>444</v>
      </c>
      <c r="D206" t="s">
        <v>26</v>
      </c>
      <c r="E206" t="s">
        <v>36</v>
      </c>
      <c r="F206" t="s">
        <v>46</v>
      </c>
      <c r="G206">
        <v>4</v>
      </c>
      <c r="H206">
        <v>21878.04</v>
      </c>
      <c r="I206">
        <v>2732.13</v>
      </c>
      <c r="J206" t="s">
        <v>22</v>
      </c>
      <c r="K206" t="s">
        <v>17</v>
      </c>
      <c r="L206">
        <f t="shared" si="9"/>
        <v>2022</v>
      </c>
      <c r="M206" t="str">
        <f t="shared" si="10"/>
        <v>Mar</v>
      </c>
      <c r="N206" s="2">
        <f t="shared" si="11"/>
        <v>0.12488001667425418</v>
      </c>
    </row>
    <row r="207" spans="1:14" x14ac:dyDescent="0.45">
      <c r="A207" t="s">
        <v>445</v>
      </c>
      <c r="B207" s="1">
        <v>45305</v>
      </c>
      <c r="C207" t="s">
        <v>446</v>
      </c>
      <c r="D207" t="s">
        <v>13</v>
      </c>
      <c r="E207" t="s">
        <v>14</v>
      </c>
      <c r="F207" t="s">
        <v>40</v>
      </c>
      <c r="G207">
        <v>5</v>
      </c>
      <c r="H207">
        <v>49719.73</v>
      </c>
      <c r="I207">
        <v>10040.64</v>
      </c>
      <c r="J207" t="s">
        <v>28</v>
      </c>
      <c r="K207" t="s">
        <v>33</v>
      </c>
      <c r="L207">
        <f t="shared" si="9"/>
        <v>2024</v>
      </c>
      <c r="M207" t="str">
        <f t="shared" si="10"/>
        <v>Jan</v>
      </c>
      <c r="N207" s="2">
        <f t="shared" si="11"/>
        <v>0.20194478127696991</v>
      </c>
    </row>
    <row r="208" spans="1:14" x14ac:dyDescent="0.45">
      <c r="A208" t="s">
        <v>447</v>
      </c>
      <c r="B208" s="1">
        <v>45419</v>
      </c>
      <c r="C208" t="s">
        <v>448</v>
      </c>
      <c r="D208" t="s">
        <v>56</v>
      </c>
      <c r="E208" t="s">
        <v>14</v>
      </c>
      <c r="F208" t="s">
        <v>15</v>
      </c>
      <c r="G208">
        <v>5</v>
      </c>
      <c r="H208">
        <v>16246.03</v>
      </c>
      <c r="I208">
        <v>1027.4000000000001</v>
      </c>
      <c r="J208" t="s">
        <v>71</v>
      </c>
      <c r="K208" t="s">
        <v>23</v>
      </c>
      <c r="L208">
        <f t="shared" si="9"/>
        <v>2024</v>
      </c>
      <c r="M208" t="str">
        <f t="shared" si="10"/>
        <v>May</v>
      </c>
      <c r="N208" s="2">
        <f t="shared" si="11"/>
        <v>6.3240065419059299E-2</v>
      </c>
    </row>
    <row r="209" spans="1:14" x14ac:dyDescent="0.45">
      <c r="A209" t="s">
        <v>449</v>
      </c>
      <c r="B209" s="1">
        <v>44988</v>
      </c>
      <c r="C209" t="s">
        <v>450</v>
      </c>
      <c r="D209" t="s">
        <v>56</v>
      </c>
      <c r="E209" t="s">
        <v>14</v>
      </c>
      <c r="F209" t="s">
        <v>15</v>
      </c>
      <c r="G209">
        <v>1</v>
      </c>
      <c r="H209">
        <v>2505.6999999999998</v>
      </c>
      <c r="I209">
        <v>598.74</v>
      </c>
      <c r="J209" t="s">
        <v>47</v>
      </c>
      <c r="K209" t="s">
        <v>23</v>
      </c>
      <c r="L209">
        <f t="shared" si="9"/>
        <v>2023</v>
      </c>
      <c r="M209" t="str">
        <f t="shared" si="10"/>
        <v>Mar</v>
      </c>
      <c r="N209" s="2">
        <f t="shared" si="11"/>
        <v>0.23895119128387279</v>
      </c>
    </row>
    <row r="210" spans="1:14" x14ac:dyDescent="0.45">
      <c r="A210" t="s">
        <v>451</v>
      </c>
      <c r="B210" s="1">
        <v>45567</v>
      </c>
      <c r="C210" t="s">
        <v>452</v>
      </c>
      <c r="D210" t="s">
        <v>13</v>
      </c>
      <c r="E210" t="s">
        <v>20</v>
      </c>
      <c r="F210" t="s">
        <v>43</v>
      </c>
      <c r="G210">
        <v>5</v>
      </c>
      <c r="H210">
        <v>13956.03</v>
      </c>
      <c r="I210">
        <v>3442.01</v>
      </c>
      <c r="J210" t="s">
        <v>16</v>
      </c>
      <c r="K210" t="s">
        <v>23</v>
      </c>
      <c r="L210">
        <f t="shared" si="9"/>
        <v>2024</v>
      </c>
      <c r="M210" t="str">
        <f t="shared" si="10"/>
        <v>Oct</v>
      </c>
      <c r="N210" s="2">
        <f t="shared" si="11"/>
        <v>0.24663245923088442</v>
      </c>
    </row>
    <row r="211" spans="1:14" x14ac:dyDescent="0.45">
      <c r="A211" t="s">
        <v>453</v>
      </c>
      <c r="B211" s="1">
        <v>45572</v>
      </c>
      <c r="C211" t="s">
        <v>454</v>
      </c>
      <c r="D211" t="s">
        <v>26</v>
      </c>
      <c r="E211" t="s">
        <v>20</v>
      </c>
      <c r="F211" t="s">
        <v>27</v>
      </c>
      <c r="G211">
        <v>1</v>
      </c>
      <c r="H211">
        <v>5027.79</v>
      </c>
      <c r="I211">
        <v>926.54</v>
      </c>
      <c r="J211" t="s">
        <v>16</v>
      </c>
      <c r="K211" t="s">
        <v>33</v>
      </c>
      <c r="L211">
        <f t="shared" si="9"/>
        <v>2024</v>
      </c>
      <c r="M211" t="str">
        <f t="shared" si="10"/>
        <v>Oct</v>
      </c>
      <c r="N211" s="2">
        <f t="shared" si="11"/>
        <v>0.18428375091242871</v>
      </c>
    </row>
    <row r="212" spans="1:14" x14ac:dyDescent="0.45">
      <c r="A212" t="s">
        <v>455</v>
      </c>
      <c r="B212" s="1">
        <v>44987</v>
      </c>
      <c r="C212" t="s">
        <v>456</v>
      </c>
      <c r="D212" t="s">
        <v>13</v>
      </c>
      <c r="E212" t="s">
        <v>36</v>
      </c>
      <c r="F212" t="s">
        <v>64</v>
      </c>
      <c r="G212">
        <v>2</v>
      </c>
      <c r="H212">
        <v>3645.15</v>
      </c>
      <c r="I212">
        <v>366.69</v>
      </c>
      <c r="J212" t="s">
        <v>28</v>
      </c>
      <c r="K212" t="s">
        <v>23</v>
      </c>
      <c r="L212">
        <f t="shared" si="9"/>
        <v>2023</v>
      </c>
      <c r="M212" t="str">
        <f t="shared" si="10"/>
        <v>Mar</v>
      </c>
      <c r="N212" s="2">
        <f t="shared" si="11"/>
        <v>0.10059668326406321</v>
      </c>
    </row>
    <row r="213" spans="1:14" x14ac:dyDescent="0.45">
      <c r="A213" t="s">
        <v>457</v>
      </c>
      <c r="B213" s="1">
        <v>45310</v>
      </c>
      <c r="C213" t="s">
        <v>458</v>
      </c>
      <c r="D213" t="s">
        <v>13</v>
      </c>
      <c r="E213" t="s">
        <v>14</v>
      </c>
      <c r="F213" t="s">
        <v>32</v>
      </c>
      <c r="G213">
        <v>4</v>
      </c>
      <c r="H213">
        <v>7519.89</v>
      </c>
      <c r="I213">
        <v>973.64</v>
      </c>
      <c r="J213" t="s">
        <v>22</v>
      </c>
      <c r="K213" t="s">
        <v>33</v>
      </c>
      <c r="L213">
        <f t="shared" si="9"/>
        <v>2024</v>
      </c>
      <c r="M213" t="str">
        <f t="shared" si="10"/>
        <v>Jan</v>
      </c>
      <c r="N213" s="2">
        <f t="shared" si="11"/>
        <v>0.12947529817590417</v>
      </c>
    </row>
    <row r="214" spans="1:14" x14ac:dyDescent="0.45">
      <c r="A214" t="s">
        <v>459</v>
      </c>
      <c r="B214" s="1">
        <v>44714</v>
      </c>
      <c r="C214" t="s">
        <v>460</v>
      </c>
      <c r="D214" t="s">
        <v>56</v>
      </c>
      <c r="E214" t="s">
        <v>20</v>
      </c>
      <c r="F214" t="s">
        <v>21</v>
      </c>
      <c r="G214">
        <v>4</v>
      </c>
      <c r="H214">
        <v>30185.47</v>
      </c>
      <c r="I214">
        <v>3214.52</v>
      </c>
      <c r="J214" t="s">
        <v>28</v>
      </c>
      <c r="K214" t="s">
        <v>29</v>
      </c>
      <c r="L214">
        <f t="shared" si="9"/>
        <v>2022</v>
      </c>
      <c r="M214" t="str">
        <f t="shared" si="10"/>
        <v>Jun</v>
      </c>
      <c r="N214" s="2">
        <f t="shared" si="11"/>
        <v>0.10649229579662002</v>
      </c>
    </row>
    <row r="215" spans="1:14" x14ac:dyDescent="0.45">
      <c r="A215" t="s">
        <v>461</v>
      </c>
      <c r="B215" s="1">
        <v>45269</v>
      </c>
      <c r="C215" t="s">
        <v>462</v>
      </c>
      <c r="D215" t="s">
        <v>13</v>
      </c>
      <c r="E215" t="s">
        <v>14</v>
      </c>
      <c r="F215" t="s">
        <v>15</v>
      </c>
      <c r="G215">
        <v>2</v>
      </c>
      <c r="H215">
        <v>6440.81</v>
      </c>
      <c r="I215">
        <v>1434.47</v>
      </c>
      <c r="J215" t="s">
        <v>16</v>
      </c>
      <c r="K215" t="s">
        <v>17</v>
      </c>
      <c r="L215">
        <f t="shared" si="9"/>
        <v>2023</v>
      </c>
      <c r="M215" t="str">
        <f t="shared" si="10"/>
        <v>Dec</v>
      </c>
      <c r="N215" s="2">
        <f t="shared" si="11"/>
        <v>0.22271577643184629</v>
      </c>
    </row>
    <row r="216" spans="1:14" x14ac:dyDescent="0.45">
      <c r="A216" t="s">
        <v>463</v>
      </c>
      <c r="B216" s="1">
        <v>44720</v>
      </c>
      <c r="C216" t="s">
        <v>464</v>
      </c>
      <c r="D216" t="s">
        <v>26</v>
      </c>
      <c r="E216" t="s">
        <v>20</v>
      </c>
      <c r="F216" t="s">
        <v>21</v>
      </c>
      <c r="G216">
        <v>4</v>
      </c>
      <c r="H216">
        <v>20680.78</v>
      </c>
      <c r="I216">
        <v>1385.28</v>
      </c>
      <c r="J216" t="s">
        <v>28</v>
      </c>
      <c r="K216" t="s">
        <v>33</v>
      </c>
      <c r="L216">
        <f t="shared" si="9"/>
        <v>2022</v>
      </c>
      <c r="M216" t="str">
        <f t="shared" si="10"/>
        <v>Jun</v>
      </c>
      <c r="N216" s="2">
        <f t="shared" si="11"/>
        <v>6.6983933874834506E-2</v>
      </c>
    </row>
    <row r="217" spans="1:14" x14ac:dyDescent="0.45">
      <c r="A217" t="s">
        <v>465</v>
      </c>
      <c r="B217" s="1">
        <v>44844</v>
      </c>
      <c r="C217" t="s">
        <v>466</v>
      </c>
      <c r="D217" t="s">
        <v>56</v>
      </c>
      <c r="E217" t="s">
        <v>14</v>
      </c>
      <c r="F217" t="s">
        <v>57</v>
      </c>
      <c r="G217">
        <v>3</v>
      </c>
      <c r="H217">
        <v>45413.27</v>
      </c>
      <c r="I217">
        <v>2384.15</v>
      </c>
      <c r="J217" t="s">
        <v>22</v>
      </c>
      <c r="K217" t="s">
        <v>33</v>
      </c>
      <c r="L217">
        <f t="shared" si="9"/>
        <v>2022</v>
      </c>
      <c r="M217" t="str">
        <f t="shared" si="10"/>
        <v>Oct</v>
      </c>
      <c r="N217" s="2">
        <f t="shared" si="11"/>
        <v>5.2498972216711112E-2</v>
      </c>
    </row>
    <row r="218" spans="1:14" x14ac:dyDescent="0.45">
      <c r="A218" t="s">
        <v>467</v>
      </c>
      <c r="B218" s="1">
        <v>44729</v>
      </c>
      <c r="C218" t="s">
        <v>468</v>
      </c>
      <c r="D218" t="s">
        <v>56</v>
      </c>
      <c r="E218" t="s">
        <v>20</v>
      </c>
      <c r="F218" t="s">
        <v>21</v>
      </c>
      <c r="G218">
        <v>4</v>
      </c>
      <c r="H218">
        <v>5137.72</v>
      </c>
      <c r="I218">
        <v>738.86</v>
      </c>
      <c r="J218" t="s">
        <v>47</v>
      </c>
      <c r="K218" t="s">
        <v>17</v>
      </c>
      <c r="L218">
        <f t="shared" si="9"/>
        <v>2022</v>
      </c>
      <c r="M218" t="str">
        <f t="shared" si="10"/>
        <v>Jun</v>
      </c>
      <c r="N218" s="2">
        <f t="shared" si="11"/>
        <v>0.14381087330566866</v>
      </c>
    </row>
    <row r="219" spans="1:14" x14ac:dyDescent="0.45">
      <c r="A219" t="s">
        <v>469</v>
      </c>
      <c r="B219" s="1">
        <v>44605</v>
      </c>
      <c r="C219" t="s">
        <v>470</v>
      </c>
      <c r="D219" t="s">
        <v>26</v>
      </c>
      <c r="E219" t="s">
        <v>14</v>
      </c>
      <c r="F219" t="s">
        <v>32</v>
      </c>
      <c r="G219">
        <v>1</v>
      </c>
      <c r="H219">
        <v>33421.199999999997</v>
      </c>
      <c r="I219">
        <v>4477.3900000000003</v>
      </c>
      <c r="J219" t="s">
        <v>71</v>
      </c>
      <c r="K219" t="s">
        <v>33</v>
      </c>
      <c r="L219">
        <f t="shared" si="9"/>
        <v>2022</v>
      </c>
      <c r="M219" t="str">
        <f t="shared" si="10"/>
        <v>Feb</v>
      </c>
      <c r="N219" s="2">
        <f t="shared" si="11"/>
        <v>0.13396855887879552</v>
      </c>
    </row>
    <row r="220" spans="1:14" x14ac:dyDescent="0.45">
      <c r="A220" t="s">
        <v>471</v>
      </c>
      <c r="B220" s="1">
        <v>45576</v>
      </c>
      <c r="C220" t="s">
        <v>472</v>
      </c>
      <c r="D220" t="s">
        <v>13</v>
      </c>
      <c r="E220" t="s">
        <v>20</v>
      </c>
      <c r="F220" t="s">
        <v>50</v>
      </c>
      <c r="G220">
        <v>4</v>
      </c>
      <c r="H220">
        <v>18299.599999999999</v>
      </c>
      <c r="I220">
        <v>2844.46</v>
      </c>
      <c r="J220" t="s">
        <v>71</v>
      </c>
      <c r="K220" t="s">
        <v>23</v>
      </c>
      <c r="L220">
        <f t="shared" si="9"/>
        <v>2024</v>
      </c>
      <c r="M220" t="str">
        <f t="shared" si="10"/>
        <v>Oct</v>
      </c>
      <c r="N220" s="2">
        <f t="shared" si="11"/>
        <v>0.15543837023760085</v>
      </c>
    </row>
    <row r="221" spans="1:14" x14ac:dyDescent="0.45">
      <c r="A221" t="s">
        <v>473</v>
      </c>
      <c r="B221" s="1">
        <v>44977</v>
      </c>
      <c r="C221" t="s">
        <v>474</v>
      </c>
      <c r="D221" t="s">
        <v>56</v>
      </c>
      <c r="E221" t="s">
        <v>20</v>
      </c>
      <c r="F221" t="s">
        <v>27</v>
      </c>
      <c r="G221">
        <v>5</v>
      </c>
      <c r="H221">
        <v>26194.1</v>
      </c>
      <c r="I221">
        <v>4054.25</v>
      </c>
      <c r="J221" t="s">
        <v>47</v>
      </c>
      <c r="K221" t="s">
        <v>23</v>
      </c>
      <c r="L221">
        <f t="shared" si="9"/>
        <v>2023</v>
      </c>
      <c r="M221" t="str">
        <f t="shared" si="10"/>
        <v>Feb</v>
      </c>
      <c r="N221" s="2">
        <f t="shared" si="11"/>
        <v>0.15477722082453682</v>
      </c>
    </row>
    <row r="222" spans="1:14" x14ac:dyDescent="0.45">
      <c r="A222" t="s">
        <v>475</v>
      </c>
      <c r="B222" s="1">
        <v>45198</v>
      </c>
      <c r="C222" t="s">
        <v>476</v>
      </c>
      <c r="D222" t="s">
        <v>26</v>
      </c>
      <c r="E222" t="s">
        <v>36</v>
      </c>
      <c r="F222" t="s">
        <v>53</v>
      </c>
      <c r="G222">
        <v>5</v>
      </c>
      <c r="H222">
        <v>46619.19</v>
      </c>
      <c r="I222">
        <v>6616.86</v>
      </c>
      <c r="J222" t="s">
        <v>71</v>
      </c>
      <c r="K222" t="s">
        <v>33</v>
      </c>
      <c r="L222">
        <f t="shared" si="9"/>
        <v>2023</v>
      </c>
      <c r="M222" t="str">
        <f t="shared" si="10"/>
        <v>Sep</v>
      </c>
      <c r="N222" s="2">
        <f t="shared" si="11"/>
        <v>0.14193425497096795</v>
      </c>
    </row>
    <row r="223" spans="1:14" x14ac:dyDescent="0.45">
      <c r="A223" t="s">
        <v>477</v>
      </c>
      <c r="B223" s="1">
        <v>44783</v>
      </c>
      <c r="C223" t="s">
        <v>478</v>
      </c>
      <c r="D223" t="s">
        <v>26</v>
      </c>
      <c r="E223" t="s">
        <v>14</v>
      </c>
      <c r="F223" t="s">
        <v>32</v>
      </c>
      <c r="G223">
        <v>2</v>
      </c>
      <c r="H223">
        <v>38252.720000000001</v>
      </c>
      <c r="I223">
        <v>8757.85</v>
      </c>
      <c r="J223" t="s">
        <v>71</v>
      </c>
      <c r="K223" t="s">
        <v>23</v>
      </c>
      <c r="L223">
        <f t="shared" si="9"/>
        <v>2022</v>
      </c>
      <c r="M223" t="str">
        <f t="shared" si="10"/>
        <v>Aug</v>
      </c>
      <c r="N223" s="2">
        <f t="shared" si="11"/>
        <v>0.22894711800886317</v>
      </c>
    </row>
    <row r="224" spans="1:14" x14ac:dyDescent="0.45">
      <c r="A224" t="s">
        <v>479</v>
      </c>
      <c r="B224" s="1">
        <v>45163</v>
      </c>
      <c r="C224" t="s">
        <v>480</v>
      </c>
      <c r="D224" t="s">
        <v>56</v>
      </c>
      <c r="E224" t="s">
        <v>14</v>
      </c>
      <c r="F224" t="s">
        <v>15</v>
      </c>
      <c r="G224">
        <v>2</v>
      </c>
      <c r="H224">
        <v>26248.95</v>
      </c>
      <c r="I224">
        <v>3078.41</v>
      </c>
      <c r="J224" t="s">
        <v>16</v>
      </c>
      <c r="K224" t="s">
        <v>33</v>
      </c>
      <c r="L224">
        <f t="shared" si="9"/>
        <v>2023</v>
      </c>
      <c r="M224" t="str">
        <f t="shared" si="10"/>
        <v>Aug</v>
      </c>
      <c r="N224" s="2">
        <f t="shared" si="11"/>
        <v>0.11727745300288202</v>
      </c>
    </row>
    <row r="225" spans="1:14" x14ac:dyDescent="0.45">
      <c r="A225" t="s">
        <v>481</v>
      </c>
      <c r="B225" s="1">
        <v>44698</v>
      </c>
      <c r="C225" t="s">
        <v>482</v>
      </c>
      <c r="D225" t="s">
        <v>56</v>
      </c>
      <c r="E225" t="s">
        <v>36</v>
      </c>
      <c r="F225" t="s">
        <v>53</v>
      </c>
      <c r="G225">
        <v>4</v>
      </c>
      <c r="H225">
        <v>35492.47</v>
      </c>
      <c r="I225">
        <v>3619.12</v>
      </c>
      <c r="J225" t="s">
        <v>28</v>
      </c>
      <c r="K225" t="s">
        <v>29</v>
      </c>
      <c r="L225">
        <f t="shared" si="9"/>
        <v>2022</v>
      </c>
      <c r="M225" t="str">
        <f t="shared" si="10"/>
        <v>May</v>
      </c>
      <c r="N225" s="2">
        <f t="shared" si="11"/>
        <v>0.10196867110122231</v>
      </c>
    </row>
    <row r="226" spans="1:14" x14ac:dyDescent="0.45">
      <c r="A226" t="s">
        <v>483</v>
      </c>
      <c r="B226" s="1">
        <v>44865</v>
      </c>
      <c r="C226" t="s">
        <v>484</v>
      </c>
      <c r="D226" t="s">
        <v>13</v>
      </c>
      <c r="E226" t="s">
        <v>20</v>
      </c>
      <c r="F226" t="s">
        <v>27</v>
      </c>
      <c r="G226">
        <v>4</v>
      </c>
      <c r="H226">
        <v>24941.37</v>
      </c>
      <c r="I226">
        <v>6184.39</v>
      </c>
      <c r="J226" t="s">
        <v>47</v>
      </c>
      <c r="K226" t="s">
        <v>33</v>
      </c>
      <c r="L226">
        <f t="shared" si="9"/>
        <v>2022</v>
      </c>
      <c r="M226" t="str">
        <f t="shared" si="10"/>
        <v>Oct</v>
      </c>
      <c r="N226" s="2">
        <f t="shared" si="11"/>
        <v>0.24795710901205509</v>
      </c>
    </row>
    <row r="227" spans="1:14" x14ac:dyDescent="0.45">
      <c r="A227" t="s">
        <v>485</v>
      </c>
      <c r="B227" s="1">
        <v>45622</v>
      </c>
      <c r="C227" t="s">
        <v>486</v>
      </c>
      <c r="D227" t="s">
        <v>13</v>
      </c>
      <c r="E227" t="s">
        <v>20</v>
      </c>
      <c r="F227" t="s">
        <v>43</v>
      </c>
      <c r="G227">
        <v>4</v>
      </c>
      <c r="H227">
        <v>1577.46</v>
      </c>
      <c r="I227">
        <v>343.13</v>
      </c>
      <c r="J227" t="s">
        <v>16</v>
      </c>
      <c r="K227" t="s">
        <v>23</v>
      </c>
      <c r="L227">
        <f t="shared" si="9"/>
        <v>2024</v>
      </c>
      <c r="M227" t="str">
        <f t="shared" si="10"/>
        <v>Nov</v>
      </c>
      <c r="N227" s="2">
        <f t="shared" si="11"/>
        <v>0.21752057104459066</v>
      </c>
    </row>
    <row r="228" spans="1:14" x14ac:dyDescent="0.45">
      <c r="A228" t="s">
        <v>487</v>
      </c>
      <c r="B228" s="1">
        <v>45217</v>
      </c>
      <c r="C228" t="s">
        <v>488</v>
      </c>
      <c r="D228" t="s">
        <v>26</v>
      </c>
      <c r="E228" t="s">
        <v>20</v>
      </c>
      <c r="F228" t="s">
        <v>27</v>
      </c>
      <c r="G228">
        <v>1</v>
      </c>
      <c r="H228">
        <v>25992.639999999999</v>
      </c>
      <c r="I228">
        <v>6184.23</v>
      </c>
      <c r="J228" t="s">
        <v>28</v>
      </c>
      <c r="K228" t="s">
        <v>17</v>
      </c>
      <c r="L228">
        <f t="shared" si="9"/>
        <v>2023</v>
      </c>
      <c r="M228" t="str">
        <f t="shared" si="10"/>
        <v>Oct</v>
      </c>
      <c r="N228" s="2">
        <f t="shared" si="11"/>
        <v>0.23792235032686174</v>
      </c>
    </row>
    <row r="229" spans="1:14" x14ac:dyDescent="0.45">
      <c r="A229" t="s">
        <v>489</v>
      </c>
      <c r="B229" s="1">
        <v>45427</v>
      </c>
      <c r="C229" t="s">
        <v>490</v>
      </c>
      <c r="D229" t="s">
        <v>13</v>
      </c>
      <c r="E229" t="s">
        <v>14</v>
      </c>
      <c r="F229" t="s">
        <v>57</v>
      </c>
      <c r="G229">
        <v>2</v>
      </c>
      <c r="H229">
        <v>16990.810000000001</v>
      </c>
      <c r="I229">
        <v>3898.44</v>
      </c>
      <c r="J229" t="s">
        <v>47</v>
      </c>
      <c r="K229" t="s">
        <v>23</v>
      </c>
      <c r="L229">
        <f t="shared" si="9"/>
        <v>2024</v>
      </c>
      <c r="M229" t="str">
        <f t="shared" si="10"/>
        <v>May</v>
      </c>
      <c r="N229" s="2">
        <f t="shared" si="11"/>
        <v>0.22944403474584199</v>
      </c>
    </row>
    <row r="230" spans="1:14" x14ac:dyDescent="0.45">
      <c r="A230" t="s">
        <v>491</v>
      </c>
      <c r="B230" s="1">
        <v>44973</v>
      </c>
      <c r="C230" t="s">
        <v>492</v>
      </c>
      <c r="D230" t="s">
        <v>56</v>
      </c>
      <c r="E230" t="s">
        <v>36</v>
      </c>
      <c r="F230" t="s">
        <v>53</v>
      </c>
      <c r="G230">
        <v>3</v>
      </c>
      <c r="H230">
        <v>19920.55</v>
      </c>
      <c r="I230">
        <v>3316.37</v>
      </c>
      <c r="J230" t="s">
        <v>28</v>
      </c>
      <c r="K230" t="s">
        <v>33</v>
      </c>
      <c r="L230">
        <f t="shared" si="9"/>
        <v>2023</v>
      </c>
      <c r="M230" t="str">
        <f t="shared" si="10"/>
        <v>Feb</v>
      </c>
      <c r="N230" s="2">
        <f t="shared" si="11"/>
        <v>0.16647984116904402</v>
      </c>
    </row>
    <row r="231" spans="1:14" x14ac:dyDescent="0.45">
      <c r="A231" t="s">
        <v>493</v>
      </c>
      <c r="B231" s="1">
        <v>44930</v>
      </c>
      <c r="C231" t="s">
        <v>494</v>
      </c>
      <c r="D231" t="s">
        <v>56</v>
      </c>
      <c r="E231" t="s">
        <v>20</v>
      </c>
      <c r="F231" t="s">
        <v>43</v>
      </c>
      <c r="G231">
        <v>2</v>
      </c>
      <c r="H231">
        <v>24581.19</v>
      </c>
      <c r="I231">
        <v>2595.94</v>
      </c>
      <c r="J231" t="s">
        <v>28</v>
      </c>
      <c r="K231" t="s">
        <v>29</v>
      </c>
      <c r="L231">
        <f t="shared" si="9"/>
        <v>2023</v>
      </c>
      <c r="M231" t="str">
        <f t="shared" si="10"/>
        <v>Jan</v>
      </c>
      <c r="N231" s="2">
        <f t="shared" si="11"/>
        <v>0.10560676680014272</v>
      </c>
    </row>
    <row r="232" spans="1:14" x14ac:dyDescent="0.45">
      <c r="A232" t="s">
        <v>495</v>
      </c>
      <c r="B232" s="1">
        <v>45487</v>
      </c>
      <c r="C232" t="s">
        <v>496</v>
      </c>
      <c r="D232" t="s">
        <v>56</v>
      </c>
      <c r="E232" t="s">
        <v>36</v>
      </c>
      <c r="F232" t="s">
        <v>64</v>
      </c>
      <c r="G232">
        <v>5</v>
      </c>
      <c r="H232">
        <v>23819.68</v>
      </c>
      <c r="I232">
        <v>4340.71</v>
      </c>
      <c r="J232" t="s">
        <v>47</v>
      </c>
      <c r="K232" t="s">
        <v>29</v>
      </c>
      <c r="L232">
        <f t="shared" si="9"/>
        <v>2024</v>
      </c>
      <c r="M232" t="str">
        <f t="shared" si="10"/>
        <v>Jul</v>
      </c>
      <c r="N232" s="2">
        <f t="shared" si="11"/>
        <v>0.18223208708093475</v>
      </c>
    </row>
    <row r="233" spans="1:14" x14ac:dyDescent="0.45">
      <c r="A233" t="s">
        <v>497</v>
      </c>
      <c r="B233" s="1">
        <v>44617</v>
      </c>
      <c r="C233" t="s">
        <v>498</v>
      </c>
      <c r="D233" t="s">
        <v>56</v>
      </c>
      <c r="E233" t="s">
        <v>36</v>
      </c>
      <c r="F233" t="s">
        <v>64</v>
      </c>
      <c r="G233">
        <v>1</v>
      </c>
      <c r="H233">
        <v>35129.449999999997</v>
      </c>
      <c r="I233">
        <v>3920.99</v>
      </c>
      <c r="J233" t="s">
        <v>71</v>
      </c>
      <c r="K233" t="s">
        <v>33</v>
      </c>
      <c r="L233">
        <f t="shared" si="9"/>
        <v>2022</v>
      </c>
      <c r="M233" t="str">
        <f t="shared" si="10"/>
        <v>Feb</v>
      </c>
      <c r="N233" s="2">
        <f t="shared" si="11"/>
        <v>0.11161546793359987</v>
      </c>
    </row>
    <row r="234" spans="1:14" x14ac:dyDescent="0.45">
      <c r="A234" t="s">
        <v>499</v>
      </c>
      <c r="B234" s="1">
        <v>44725</v>
      </c>
      <c r="C234" t="s">
        <v>500</v>
      </c>
      <c r="D234" t="s">
        <v>56</v>
      </c>
      <c r="E234" t="s">
        <v>36</v>
      </c>
      <c r="F234" t="s">
        <v>37</v>
      </c>
      <c r="G234">
        <v>4</v>
      </c>
      <c r="H234">
        <v>27867.94</v>
      </c>
      <c r="I234">
        <v>4594.26</v>
      </c>
      <c r="J234" t="s">
        <v>71</v>
      </c>
      <c r="K234" t="s">
        <v>17</v>
      </c>
      <c r="L234">
        <f t="shared" si="9"/>
        <v>2022</v>
      </c>
      <c r="M234" t="str">
        <f t="shared" si="10"/>
        <v>Jun</v>
      </c>
      <c r="N234" s="2">
        <f t="shared" si="11"/>
        <v>0.16485825647679736</v>
      </c>
    </row>
    <row r="235" spans="1:14" x14ac:dyDescent="0.45">
      <c r="A235" t="s">
        <v>501</v>
      </c>
      <c r="B235" s="1">
        <v>44595</v>
      </c>
      <c r="C235" t="s">
        <v>502</v>
      </c>
      <c r="D235" t="s">
        <v>56</v>
      </c>
      <c r="E235" t="s">
        <v>36</v>
      </c>
      <c r="F235" t="s">
        <v>37</v>
      </c>
      <c r="G235">
        <v>2</v>
      </c>
      <c r="H235">
        <v>15345.29</v>
      </c>
      <c r="I235">
        <v>1343.65</v>
      </c>
      <c r="J235" t="s">
        <v>71</v>
      </c>
      <c r="K235" t="s">
        <v>23</v>
      </c>
      <c r="L235">
        <f t="shared" si="9"/>
        <v>2022</v>
      </c>
      <c r="M235" t="str">
        <f t="shared" si="10"/>
        <v>Feb</v>
      </c>
      <c r="N235" s="2">
        <f t="shared" si="11"/>
        <v>8.7561069227104868E-2</v>
      </c>
    </row>
    <row r="236" spans="1:14" x14ac:dyDescent="0.45">
      <c r="A236" t="s">
        <v>503</v>
      </c>
      <c r="B236" s="1">
        <v>44934</v>
      </c>
      <c r="C236" t="s">
        <v>504</v>
      </c>
      <c r="D236" t="s">
        <v>26</v>
      </c>
      <c r="E236" t="s">
        <v>14</v>
      </c>
      <c r="F236" t="s">
        <v>15</v>
      </c>
      <c r="G236">
        <v>4</v>
      </c>
      <c r="H236">
        <v>43733.919999999998</v>
      </c>
      <c r="I236">
        <v>5105.1499999999996</v>
      </c>
      <c r="J236" t="s">
        <v>28</v>
      </c>
      <c r="K236" t="s">
        <v>17</v>
      </c>
      <c r="L236">
        <f t="shared" si="9"/>
        <v>2023</v>
      </c>
      <c r="M236" t="str">
        <f t="shared" si="10"/>
        <v>Jan</v>
      </c>
      <c r="N236" s="2">
        <f t="shared" si="11"/>
        <v>0.11673204688717589</v>
      </c>
    </row>
    <row r="237" spans="1:14" x14ac:dyDescent="0.45">
      <c r="A237" t="s">
        <v>505</v>
      </c>
      <c r="B237" s="1">
        <v>45228</v>
      </c>
      <c r="C237" t="s">
        <v>506</v>
      </c>
      <c r="D237" t="s">
        <v>26</v>
      </c>
      <c r="E237" t="s">
        <v>14</v>
      </c>
      <c r="F237" t="s">
        <v>57</v>
      </c>
      <c r="G237">
        <v>1</v>
      </c>
      <c r="H237">
        <v>5732.05</v>
      </c>
      <c r="I237">
        <v>287.02</v>
      </c>
      <c r="J237" t="s">
        <v>47</v>
      </c>
      <c r="K237" t="s">
        <v>23</v>
      </c>
      <c r="L237">
        <f t="shared" si="9"/>
        <v>2023</v>
      </c>
      <c r="M237" t="str">
        <f t="shared" si="10"/>
        <v>Oct</v>
      </c>
      <c r="N237" s="2">
        <f t="shared" si="11"/>
        <v>5.0072836070864692E-2</v>
      </c>
    </row>
    <row r="238" spans="1:14" x14ac:dyDescent="0.45">
      <c r="A238" t="s">
        <v>507</v>
      </c>
      <c r="B238" s="1">
        <v>45023</v>
      </c>
      <c r="C238" t="s">
        <v>508</v>
      </c>
      <c r="D238" t="s">
        <v>56</v>
      </c>
      <c r="E238" t="s">
        <v>36</v>
      </c>
      <c r="F238" t="s">
        <v>53</v>
      </c>
      <c r="G238">
        <v>1</v>
      </c>
      <c r="H238">
        <v>30017.61</v>
      </c>
      <c r="I238">
        <v>5709.77</v>
      </c>
      <c r="J238" t="s">
        <v>16</v>
      </c>
      <c r="K238" t="s">
        <v>17</v>
      </c>
      <c r="L238">
        <f t="shared" si="9"/>
        <v>2023</v>
      </c>
      <c r="M238" t="str">
        <f t="shared" si="10"/>
        <v>Apr</v>
      </c>
      <c r="N238" s="2">
        <f t="shared" si="11"/>
        <v>0.19021401104218491</v>
      </c>
    </row>
    <row r="239" spans="1:14" x14ac:dyDescent="0.45">
      <c r="A239" t="s">
        <v>509</v>
      </c>
      <c r="B239" s="1">
        <v>44686</v>
      </c>
      <c r="C239" t="s">
        <v>510</v>
      </c>
      <c r="D239" t="s">
        <v>13</v>
      </c>
      <c r="E239" t="s">
        <v>36</v>
      </c>
      <c r="F239" t="s">
        <v>37</v>
      </c>
      <c r="G239">
        <v>3</v>
      </c>
      <c r="H239">
        <v>40217.56</v>
      </c>
      <c r="I239">
        <v>9609.4599999999991</v>
      </c>
      <c r="J239" t="s">
        <v>47</v>
      </c>
      <c r="K239" t="s">
        <v>17</v>
      </c>
      <c r="L239">
        <f t="shared" si="9"/>
        <v>2022</v>
      </c>
      <c r="M239" t="str">
        <f t="shared" si="10"/>
        <v>May</v>
      </c>
      <c r="N239" s="2">
        <f t="shared" si="11"/>
        <v>0.2389369220808025</v>
      </c>
    </row>
    <row r="240" spans="1:14" x14ac:dyDescent="0.45">
      <c r="A240" t="s">
        <v>511</v>
      </c>
      <c r="B240" s="1">
        <v>44949</v>
      </c>
      <c r="C240" t="s">
        <v>512</v>
      </c>
      <c r="D240" t="s">
        <v>26</v>
      </c>
      <c r="E240" t="s">
        <v>36</v>
      </c>
      <c r="F240" t="s">
        <v>46</v>
      </c>
      <c r="G240">
        <v>4</v>
      </c>
      <c r="H240">
        <v>7545.15</v>
      </c>
      <c r="I240">
        <v>849.09</v>
      </c>
      <c r="J240" t="s">
        <v>22</v>
      </c>
      <c r="K240" t="s">
        <v>17</v>
      </c>
      <c r="L240">
        <f t="shared" si="9"/>
        <v>2023</v>
      </c>
      <c r="M240" t="str">
        <f t="shared" si="10"/>
        <v>Jan</v>
      </c>
      <c r="N240" s="2">
        <f t="shared" si="11"/>
        <v>0.11253454205681797</v>
      </c>
    </row>
    <row r="241" spans="1:14" x14ac:dyDescent="0.45">
      <c r="A241" t="s">
        <v>513</v>
      </c>
      <c r="B241" s="1">
        <v>45038</v>
      </c>
      <c r="C241" t="s">
        <v>514</v>
      </c>
      <c r="D241" t="s">
        <v>26</v>
      </c>
      <c r="E241" t="s">
        <v>14</v>
      </c>
      <c r="F241" t="s">
        <v>15</v>
      </c>
      <c r="G241">
        <v>5</v>
      </c>
      <c r="H241">
        <v>20788.349999999999</v>
      </c>
      <c r="I241">
        <v>1464.15</v>
      </c>
      <c r="J241" t="s">
        <v>22</v>
      </c>
      <c r="K241" t="s">
        <v>33</v>
      </c>
      <c r="L241">
        <f t="shared" si="9"/>
        <v>2023</v>
      </c>
      <c r="M241" t="str">
        <f t="shared" si="10"/>
        <v>Apr</v>
      </c>
      <c r="N241" s="2">
        <f t="shared" si="11"/>
        <v>7.0431275209432209E-2</v>
      </c>
    </row>
    <row r="242" spans="1:14" x14ac:dyDescent="0.45">
      <c r="A242" t="s">
        <v>515</v>
      </c>
      <c r="B242" s="1">
        <v>45176</v>
      </c>
      <c r="C242" t="s">
        <v>516</v>
      </c>
      <c r="D242" t="s">
        <v>13</v>
      </c>
      <c r="E242" t="s">
        <v>20</v>
      </c>
      <c r="F242" t="s">
        <v>27</v>
      </c>
      <c r="G242">
        <v>3</v>
      </c>
      <c r="H242">
        <v>10257.4</v>
      </c>
      <c r="I242">
        <v>1389.81</v>
      </c>
      <c r="J242" t="s">
        <v>16</v>
      </c>
      <c r="K242" t="s">
        <v>33</v>
      </c>
      <c r="L242">
        <f t="shared" si="9"/>
        <v>2023</v>
      </c>
      <c r="M242" t="str">
        <f t="shared" si="10"/>
        <v>Sep</v>
      </c>
      <c r="N242" s="2">
        <f t="shared" si="11"/>
        <v>0.13549339988691092</v>
      </c>
    </row>
    <row r="243" spans="1:14" x14ac:dyDescent="0.45">
      <c r="A243" t="s">
        <v>517</v>
      </c>
      <c r="B243" s="1">
        <v>44882</v>
      </c>
      <c r="C243" t="s">
        <v>518</v>
      </c>
      <c r="D243" t="s">
        <v>13</v>
      </c>
      <c r="E243" t="s">
        <v>36</v>
      </c>
      <c r="F243" t="s">
        <v>53</v>
      </c>
      <c r="G243">
        <v>2</v>
      </c>
      <c r="H243">
        <v>44118.38</v>
      </c>
      <c r="I243">
        <v>8708.2099999999991</v>
      </c>
      <c r="J243" t="s">
        <v>28</v>
      </c>
      <c r="K243" t="s">
        <v>33</v>
      </c>
      <c r="L243">
        <f t="shared" si="9"/>
        <v>2022</v>
      </c>
      <c r="M243" t="str">
        <f t="shared" si="10"/>
        <v>Nov</v>
      </c>
      <c r="N243" s="2">
        <f t="shared" si="11"/>
        <v>0.19738281414684763</v>
      </c>
    </row>
    <row r="244" spans="1:14" x14ac:dyDescent="0.45">
      <c r="A244" t="s">
        <v>519</v>
      </c>
      <c r="B244" s="1">
        <v>45629</v>
      </c>
      <c r="C244" t="s">
        <v>520</v>
      </c>
      <c r="D244" t="s">
        <v>26</v>
      </c>
      <c r="E244" t="s">
        <v>14</v>
      </c>
      <c r="F244" t="s">
        <v>40</v>
      </c>
      <c r="G244">
        <v>1</v>
      </c>
      <c r="H244">
        <v>49471.94</v>
      </c>
      <c r="I244">
        <v>4767.8100000000004</v>
      </c>
      <c r="J244" t="s">
        <v>47</v>
      </c>
      <c r="K244" t="s">
        <v>17</v>
      </c>
      <c r="L244">
        <f t="shared" si="9"/>
        <v>2024</v>
      </c>
      <c r="M244" t="str">
        <f t="shared" si="10"/>
        <v>Dec</v>
      </c>
      <c r="N244" s="2">
        <f t="shared" si="11"/>
        <v>9.6374025356596088E-2</v>
      </c>
    </row>
    <row r="245" spans="1:14" x14ac:dyDescent="0.45">
      <c r="A245" t="s">
        <v>521</v>
      </c>
      <c r="B245" s="1">
        <v>45657</v>
      </c>
      <c r="C245" t="s">
        <v>522</v>
      </c>
      <c r="D245" t="s">
        <v>56</v>
      </c>
      <c r="E245" t="s">
        <v>20</v>
      </c>
      <c r="F245" t="s">
        <v>27</v>
      </c>
      <c r="G245">
        <v>2</v>
      </c>
      <c r="H245">
        <v>35954.89</v>
      </c>
      <c r="I245">
        <v>2205.42</v>
      </c>
      <c r="J245" t="s">
        <v>71</v>
      </c>
      <c r="K245" t="s">
        <v>33</v>
      </c>
      <c r="L245">
        <f t="shared" si="9"/>
        <v>2024</v>
      </c>
      <c r="M245" t="str">
        <f t="shared" si="10"/>
        <v>Dec</v>
      </c>
      <c r="N245" s="2">
        <f t="shared" si="11"/>
        <v>6.1338527249005632E-2</v>
      </c>
    </row>
    <row r="246" spans="1:14" x14ac:dyDescent="0.45">
      <c r="A246" t="s">
        <v>523</v>
      </c>
      <c r="B246" s="1">
        <v>45220</v>
      </c>
      <c r="C246" t="s">
        <v>524</v>
      </c>
      <c r="D246" t="s">
        <v>26</v>
      </c>
      <c r="E246" t="s">
        <v>36</v>
      </c>
      <c r="F246" t="s">
        <v>64</v>
      </c>
      <c r="G246">
        <v>2</v>
      </c>
      <c r="H246">
        <v>45833.09</v>
      </c>
      <c r="I246">
        <v>10243.33</v>
      </c>
      <c r="J246" t="s">
        <v>47</v>
      </c>
      <c r="K246" t="s">
        <v>23</v>
      </c>
      <c r="L246">
        <f t="shared" si="9"/>
        <v>2023</v>
      </c>
      <c r="M246" t="str">
        <f t="shared" si="10"/>
        <v>Oct</v>
      </c>
      <c r="N246" s="2">
        <f t="shared" si="11"/>
        <v>0.22349202290310344</v>
      </c>
    </row>
    <row r="247" spans="1:14" x14ac:dyDescent="0.45">
      <c r="A247" t="s">
        <v>525</v>
      </c>
      <c r="B247" s="1">
        <v>45466</v>
      </c>
      <c r="C247" t="s">
        <v>526</v>
      </c>
      <c r="D247" t="s">
        <v>56</v>
      </c>
      <c r="E247" t="s">
        <v>20</v>
      </c>
      <c r="F247" t="s">
        <v>50</v>
      </c>
      <c r="G247">
        <v>3</v>
      </c>
      <c r="H247">
        <v>21033.15</v>
      </c>
      <c r="I247">
        <v>1755.66</v>
      </c>
      <c r="J247" t="s">
        <v>22</v>
      </c>
      <c r="K247" t="s">
        <v>33</v>
      </c>
      <c r="L247">
        <f t="shared" si="9"/>
        <v>2024</v>
      </c>
      <c r="M247" t="str">
        <f t="shared" si="10"/>
        <v>Jun</v>
      </c>
      <c r="N247" s="2">
        <f t="shared" si="11"/>
        <v>8.3471092061816701E-2</v>
      </c>
    </row>
    <row r="248" spans="1:14" x14ac:dyDescent="0.45">
      <c r="A248" t="s">
        <v>527</v>
      </c>
      <c r="B248" s="1">
        <v>45383</v>
      </c>
      <c r="C248" t="s">
        <v>289</v>
      </c>
      <c r="D248" t="s">
        <v>26</v>
      </c>
      <c r="E248" t="s">
        <v>14</v>
      </c>
      <c r="F248" t="s">
        <v>15</v>
      </c>
      <c r="G248">
        <v>3</v>
      </c>
      <c r="H248">
        <v>30600.85</v>
      </c>
      <c r="I248">
        <v>2793.82</v>
      </c>
      <c r="J248" t="s">
        <v>22</v>
      </c>
      <c r="K248" t="s">
        <v>17</v>
      </c>
      <c r="L248">
        <f t="shared" si="9"/>
        <v>2024</v>
      </c>
      <c r="M248" t="str">
        <f t="shared" si="10"/>
        <v>Apr</v>
      </c>
      <c r="N248" s="2">
        <f t="shared" si="11"/>
        <v>9.1298771112567151E-2</v>
      </c>
    </row>
    <row r="249" spans="1:14" x14ac:dyDescent="0.45">
      <c r="A249" t="s">
        <v>528</v>
      </c>
      <c r="B249" s="1">
        <v>44576</v>
      </c>
      <c r="C249" t="s">
        <v>529</v>
      </c>
      <c r="D249" t="s">
        <v>13</v>
      </c>
      <c r="E249" t="s">
        <v>14</v>
      </c>
      <c r="F249" t="s">
        <v>15</v>
      </c>
      <c r="G249">
        <v>3</v>
      </c>
      <c r="H249">
        <v>11564.07</v>
      </c>
      <c r="I249">
        <v>731.6</v>
      </c>
      <c r="J249" t="s">
        <v>71</v>
      </c>
      <c r="K249" t="s">
        <v>17</v>
      </c>
      <c r="L249">
        <f t="shared" si="9"/>
        <v>2022</v>
      </c>
      <c r="M249" t="str">
        <f t="shared" si="10"/>
        <v>Jan</v>
      </c>
      <c r="N249" s="2">
        <f t="shared" si="11"/>
        <v>6.3264923162865666E-2</v>
      </c>
    </row>
    <row r="250" spans="1:14" x14ac:dyDescent="0.45">
      <c r="A250" t="s">
        <v>530</v>
      </c>
      <c r="B250" s="1">
        <v>45058</v>
      </c>
      <c r="C250" t="s">
        <v>531</v>
      </c>
      <c r="D250" t="s">
        <v>26</v>
      </c>
      <c r="E250" t="s">
        <v>14</v>
      </c>
      <c r="F250" t="s">
        <v>15</v>
      </c>
      <c r="G250">
        <v>4</v>
      </c>
      <c r="H250">
        <v>41305.269999999997</v>
      </c>
      <c r="I250">
        <v>6353.6</v>
      </c>
      <c r="J250" t="s">
        <v>71</v>
      </c>
      <c r="K250" t="s">
        <v>29</v>
      </c>
      <c r="L250">
        <f t="shared" si="9"/>
        <v>2023</v>
      </c>
      <c r="M250" t="str">
        <f t="shared" si="10"/>
        <v>May</v>
      </c>
      <c r="N250" s="2">
        <f t="shared" si="11"/>
        <v>0.15382056575347408</v>
      </c>
    </row>
    <row r="251" spans="1:14" x14ac:dyDescent="0.45">
      <c r="A251" t="s">
        <v>532</v>
      </c>
      <c r="B251" s="1">
        <v>45422</v>
      </c>
      <c r="C251" t="s">
        <v>533</v>
      </c>
      <c r="D251" t="s">
        <v>26</v>
      </c>
      <c r="E251" t="s">
        <v>20</v>
      </c>
      <c r="F251" t="s">
        <v>27</v>
      </c>
      <c r="G251">
        <v>3</v>
      </c>
      <c r="H251">
        <v>34456.35</v>
      </c>
      <c r="I251">
        <v>5957.96</v>
      </c>
      <c r="J251" t="s">
        <v>16</v>
      </c>
      <c r="K251" t="s">
        <v>17</v>
      </c>
      <c r="L251">
        <f t="shared" si="9"/>
        <v>2024</v>
      </c>
      <c r="M251" t="str">
        <f t="shared" si="10"/>
        <v>May</v>
      </c>
      <c r="N251" s="2">
        <f t="shared" si="11"/>
        <v>0.17291326562447851</v>
      </c>
    </row>
    <row r="252" spans="1:14" x14ac:dyDescent="0.45">
      <c r="A252" t="s">
        <v>534</v>
      </c>
      <c r="B252" s="1">
        <v>45297</v>
      </c>
      <c r="C252" t="s">
        <v>535</v>
      </c>
      <c r="D252" t="s">
        <v>26</v>
      </c>
      <c r="E252" t="s">
        <v>14</v>
      </c>
      <c r="F252" t="s">
        <v>40</v>
      </c>
      <c r="G252">
        <v>3</v>
      </c>
      <c r="H252">
        <v>6778.34</v>
      </c>
      <c r="I252">
        <v>1563.38</v>
      </c>
      <c r="J252" t="s">
        <v>71</v>
      </c>
      <c r="K252" t="s">
        <v>23</v>
      </c>
      <c r="L252">
        <f t="shared" si="9"/>
        <v>2024</v>
      </c>
      <c r="M252" t="str">
        <f t="shared" si="10"/>
        <v>Jan</v>
      </c>
      <c r="N252" s="2">
        <f t="shared" si="11"/>
        <v>0.2306434908841988</v>
      </c>
    </row>
    <row r="253" spans="1:14" x14ac:dyDescent="0.45">
      <c r="A253" t="s">
        <v>536</v>
      </c>
      <c r="B253" s="1">
        <v>44974</v>
      </c>
      <c r="C253" t="s">
        <v>537</v>
      </c>
      <c r="D253" t="s">
        <v>26</v>
      </c>
      <c r="E253" t="s">
        <v>14</v>
      </c>
      <c r="F253" t="s">
        <v>32</v>
      </c>
      <c r="G253">
        <v>1</v>
      </c>
      <c r="H253">
        <v>4645.67</v>
      </c>
      <c r="I253">
        <v>388.93</v>
      </c>
      <c r="J253" t="s">
        <v>22</v>
      </c>
      <c r="K253" t="s">
        <v>29</v>
      </c>
      <c r="L253">
        <f t="shared" si="9"/>
        <v>2023</v>
      </c>
      <c r="M253" t="str">
        <f t="shared" si="10"/>
        <v>Feb</v>
      </c>
      <c r="N253" s="2">
        <f t="shared" si="11"/>
        <v>8.3718817737807469E-2</v>
      </c>
    </row>
    <row r="254" spans="1:14" x14ac:dyDescent="0.45">
      <c r="A254" t="s">
        <v>538</v>
      </c>
      <c r="B254" s="1">
        <v>44688</v>
      </c>
      <c r="C254" t="s">
        <v>539</v>
      </c>
      <c r="D254" t="s">
        <v>13</v>
      </c>
      <c r="E254" t="s">
        <v>14</v>
      </c>
      <c r="F254" t="s">
        <v>32</v>
      </c>
      <c r="G254">
        <v>1</v>
      </c>
      <c r="H254">
        <v>16533.78</v>
      </c>
      <c r="I254">
        <v>2994.93</v>
      </c>
      <c r="J254" t="s">
        <v>47</v>
      </c>
      <c r="K254" t="s">
        <v>23</v>
      </c>
      <c r="L254">
        <f t="shared" si="9"/>
        <v>2022</v>
      </c>
      <c r="M254" t="str">
        <f t="shared" si="10"/>
        <v>May</v>
      </c>
      <c r="N254" s="2">
        <f t="shared" si="11"/>
        <v>0.1811400659740241</v>
      </c>
    </row>
    <row r="255" spans="1:14" x14ac:dyDescent="0.45">
      <c r="A255" t="s">
        <v>540</v>
      </c>
      <c r="B255" s="1">
        <v>45265</v>
      </c>
      <c r="C255" t="s">
        <v>541</v>
      </c>
      <c r="D255" t="s">
        <v>26</v>
      </c>
      <c r="E255" t="s">
        <v>14</v>
      </c>
      <c r="F255" t="s">
        <v>40</v>
      </c>
      <c r="G255">
        <v>4</v>
      </c>
      <c r="H255">
        <v>31298.22</v>
      </c>
      <c r="I255">
        <v>3532.65</v>
      </c>
      <c r="J255" t="s">
        <v>28</v>
      </c>
      <c r="K255" t="s">
        <v>23</v>
      </c>
      <c r="L255">
        <f t="shared" si="9"/>
        <v>2023</v>
      </c>
      <c r="M255" t="str">
        <f t="shared" si="10"/>
        <v>Dec</v>
      </c>
      <c r="N255" s="2">
        <f t="shared" si="11"/>
        <v>0.112870636093682</v>
      </c>
    </row>
    <row r="256" spans="1:14" x14ac:dyDescent="0.45">
      <c r="A256" t="s">
        <v>542</v>
      </c>
      <c r="B256" s="1">
        <v>44765</v>
      </c>
      <c r="C256" t="s">
        <v>543</v>
      </c>
      <c r="D256" t="s">
        <v>26</v>
      </c>
      <c r="E256" t="s">
        <v>14</v>
      </c>
      <c r="F256" t="s">
        <v>15</v>
      </c>
      <c r="G256">
        <v>2</v>
      </c>
      <c r="H256">
        <v>5830.27</v>
      </c>
      <c r="I256">
        <v>777.43</v>
      </c>
      <c r="J256" t="s">
        <v>47</v>
      </c>
      <c r="K256" t="s">
        <v>17</v>
      </c>
      <c r="L256">
        <f t="shared" si="9"/>
        <v>2022</v>
      </c>
      <c r="M256" t="str">
        <f t="shared" si="10"/>
        <v>Jul</v>
      </c>
      <c r="N256" s="2">
        <f t="shared" si="11"/>
        <v>0.1333437387976886</v>
      </c>
    </row>
    <row r="257" spans="1:14" x14ac:dyDescent="0.45">
      <c r="A257" t="s">
        <v>544</v>
      </c>
      <c r="B257" s="1">
        <v>44936</v>
      </c>
      <c r="C257" t="s">
        <v>545</v>
      </c>
      <c r="D257" t="s">
        <v>56</v>
      </c>
      <c r="E257" t="s">
        <v>36</v>
      </c>
      <c r="F257" t="s">
        <v>53</v>
      </c>
      <c r="G257">
        <v>3</v>
      </c>
      <c r="H257">
        <v>11589.7</v>
      </c>
      <c r="I257">
        <v>2264.0700000000002</v>
      </c>
      <c r="J257" t="s">
        <v>71</v>
      </c>
      <c r="K257" t="s">
        <v>29</v>
      </c>
      <c r="L257">
        <f t="shared" si="9"/>
        <v>2023</v>
      </c>
      <c r="M257" t="str">
        <f t="shared" si="10"/>
        <v>Jan</v>
      </c>
      <c r="N257" s="2">
        <f t="shared" si="11"/>
        <v>0.19535190729699647</v>
      </c>
    </row>
    <row r="258" spans="1:14" x14ac:dyDescent="0.45">
      <c r="A258" t="s">
        <v>546</v>
      </c>
      <c r="B258" s="1">
        <v>45124</v>
      </c>
      <c r="C258" t="s">
        <v>547</v>
      </c>
      <c r="D258" t="s">
        <v>56</v>
      </c>
      <c r="E258" t="s">
        <v>14</v>
      </c>
      <c r="F258" t="s">
        <v>40</v>
      </c>
      <c r="G258">
        <v>5</v>
      </c>
      <c r="H258">
        <v>2102.5100000000002</v>
      </c>
      <c r="I258">
        <v>311.77999999999997</v>
      </c>
      <c r="J258" t="s">
        <v>16</v>
      </c>
      <c r="K258" t="s">
        <v>23</v>
      </c>
      <c r="L258">
        <f t="shared" si="9"/>
        <v>2023</v>
      </c>
      <c r="M258" t="str">
        <f t="shared" si="10"/>
        <v>Jul</v>
      </c>
      <c r="N258" s="2">
        <f t="shared" si="11"/>
        <v>0.14828942549619262</v>
      </c>
    </row>
    <row r="259" spans="1:14" x14ac:dyDescent="0.45">
      <c r="A259" t="s">
        <v>548</v>
      </c>
      <c r="B259" s="1">
        <v>44999</v>
      </c>
      <c r="C259" t="s">
        <v>549</v>
      </c>
      <c r="D259" t="s">
        <v>26</v>
      </c>
      <c r="E259" t="s">
        <v>36</v>
      </c>
      <c r="F259" t="s">
        <v>46</v>
      </c>
      <c r="G259">
        <v>1</v>
      </c>
      <c r="H259">
        <v>4030.85</v>
      </c>
      <c r="I259">
        <v>347.73</v>
      </c>
      <c r="J259" t="s">
        <v>28</v>
      </c>
      <c r="K259" t="s">
        <v>23</v>
      </c>
      <c r="L259">
        <f t="shared" ref="L259:L322" si="12">YEAR(B259 )</f>
        <v>2023</v>
      </c>
      <c r="M259" t="str">
        <f t="shared" ref="M259:M322" si="13">TEXT(B259,"MMM")</f>
        <v>Mar</v>
      </c>
      <c r="N259" s="2">
        <f t="shared" ref="N259:N322" si="14">I259 / H259</f>
        <v>8.6267164493841253E-2</v>
      </c>
    </row>
    <row r="260" spans="1:14" x14ac:dyDescent="0.45">
      <c r="A260" t="s">
        <v>550</v>
      </c>
      <c r="B260" s="1">
        <v>44897</v>
      </c>
      <c r="C260" t="s">
        <v>551</v>
      </c>
      <c r="D260" t="s">
        <v>56</v>
      </c>
      <c r="E260" t="s">
        <v>14</v>
      </c>
      <c r="F260" t="s">
        <v>57</v>
      </c>
      <c r="G260">
        <v>5</v>
      </c>
      <c r="H260">
        <v>41077.29</v>
      </c>
      <c r="I260">
        <v>2274.29</v>
      </c>
      <c r="J260" t="s">
        <v>28</v>
      </c>
      <c r="K260" t="s">
        <v>29</v>
      </c>
      <c r="L260">
        <f t="shared" si="12"/>
        <v>2022</v>
      </c>
      <c r="M260" t="str">
        <f t="shared" si="13"/>
        <v>Dec</v>
      </c>
      <c r="N260" s="2">
        <f t="shared" si="14"/>
        <v>5.5366115924395207E-2</v>
      </c>
    </row>
    <row r="261" spans="1:14" x14ac:dyDescent="0.45">
      <c r="A261" t="s">
        <v>552</v>
      </c>
      <c r="B261" s="1">
        <v>45407</v>
      </c>
      <c r="C261" t="s">
        <v>553</v>
      </c>
      <c r="D261" t="s">
        <v>56</v>
      </c>
      <c r="E261" t="s">
        <v>20</v>
      </c>
      <c r="F261" t="s">
        <v>21</v>
      </c>
      <c r="G261">
        <v>1</v>
      </c>
      <c r="H261">
        <v>27237.68</v>
      </c>
      <c r="I261">
        <v>2730.32</v>
      </c>
      <c r="J261" t="s">
        <v>16</v>
      </c>
      <c r="K261" t="s">
        <v>33</v>
      </c>
      <c r="L261">
        <f t="shared" si="12"/>
        <v>2024</v>
      </c>
      <c r="M261" t="str">
        <f t="shared" si="13"/>
        <v>Apr</v>
      </c>
      <c r="N261" s="2">
        <f t="shared" si="14"/>
        <v>0.10024054912165795</v>
      </c>
    </row>
    <row r="262" spans="1:14" x14ac:dyDescent="0.45">
      <c r="A262" t="s">
        <v>554</v>
      </c>
      <c r="B262" s="1">
        <v>44885</v>
      </c>
      <c r="C262" t="s">
        <v>248</v>
      </c>
      <c r="D262" t="s">
        <v>13</v>
      </c>
      <c r="E262" t="s">
        <v>20</v>
      </c>
      <c r="F262" t="s">
        <v>21</v>
      </c>
      <c r="G262">
        <v>3</v>
      </c>
      <c r="H262">
        <v>43886.21</v>
      </c>
      <c r="I262">
        <v>6143.89</v>
      </c>
      <c r="J262" t="s">
        <v>16</v>
      </c>
      <c r="K262" t="s">
        <v>23</v>
      </c>
      <c r="L262">
        <f t="shared" si="12"/>
        <v>2022</v>
      </c>
      <c r="M262" t="str">
        <f t="shared" si="13"/>
        <v>Nov</v>
      </c>
      <c r="N262" s="2">
        <f t="shared" si="14"/>
        <v>0.13999591215554955</v>
      </c>
    </row>
    <row r="263" spans="1:14" x14ac:dyDescent="0.45">
      <c r="A263" t="s">
        <v>555</v>
      </c>
      <c r="B263" s="1">
        <v>45531</v>
      </c>
      <c r="C263" t="s">
        <v>556</v>
      </c>
      <c r="D263" t="s">
        <v>13</v>
      </c>
      <c r="E263" t="s">
        <v>20</v>
      </c>
      <c r="F263" t="s">
        <v>50</v>
      </c>
      <c r="G263">
        <v>5</v>
      </c>
      <c r="H263">
        <v>30002.97</v>
      </c>
      <c r="I263">
        <v>5275</v>
      </c>
      <c r="J263" t="s">
        <v>22</v>
      </c>
      <c r="K263" t="s">
        <v>29</v>
      </c>
      <c r="L263">
        <f t="shared" si="12"/>
        <v>2024</v>
      </c>
      <c r="M263" t="str">
        <f t="shared" si="13"/>
        <v>Aug</v>
      </c>
      <c r="N263" s="2">
        <f t="shared" si="14"/>
        <v>0.17581592755650524</v>
      </c>
    </row>
    <row r="264" spans="1:14" x14ac:dyDescent="0.45">
      <c r="A264" t="s">
        <v>557</v>
      </c>
      <c r="B264" s="1">
        <v>44704</v>
      </c>
      <c r="C264" t="s">
        <v>558</v>
      </c>
      <c r="D264" t="s">
        <v>13</v>
      </c>
      <c r="E264" t="s">
        <v>14</v>
      </c>
      <c r="F264" t="s">
        <v>32</v>
      </c>
      <c r="G264">
        <v>3</v>
      </c>
      <c r="H264">
        <v>2475.35</v>
      </c>
      <c r="I264">
        <v>216.2</v>
      </c>
      <c r="J264" t="s">
        <v>47</v>
      </c>
      <c r="K264" t="s">
        <v>23</v>
      </c>
      <c r="L264">
        <f t="shared" si="12"/>
        <v>2022</v>
      </c>
      <c r="M264" t="str">
        <f t="shared" si="13"/>
        <v>May</v>
      </c>
      <c r="N264" s="2">
        <f t="shared" si="14"/>
        <v>8.7341184074979289E-2</v>
      </c>
    </row>
    <row r="265" spans="1:14" x14ac:dyDescent="0.45">
      <c r="A265" t="s">
        <v>559</v>
      </c>
      <c r="B265" s="1">
        <v>44593</v>
      </c>
      <c r="C265" t="s">
        <v>560</v>
      </c>
      <c r="D265" t="s">
        <v>56</v>
      </c>
      <c r="E265" t="s">
        <v>36</v>
      </c>
      <c r="F265" t="s">
        <v>46</v>
      </c>
      <c r="G265">
        <v>3</v>
      </c>
      <c r="H265">
        <v>19550.759999999998</v>
      </c>
      <c r="I265">
        <v>3384.07</v>
      </c>
      <c r="J265" t="s">
        <v>22</v>
      </c>
      <c r="K265" t="s">
        <v>33</v>
      </c>
      <c r="L265">
        <f t="shared" si="12"/>
        <v>2022</v>
      </c>
      <c r="M265" t="str">
        <f t="shared" si="13"/>
        <v>Feb</v>
      </c>
      <c r="N265" s="2">
        <f t="shared" si="14"/>
        <v>0.17309148084268849</v>
      </c>
    </row>
    <row r="266" spans="1:14" x14ac:dyDescent="0.45">
      <c r="A266" t="s">
        <v>561</v>
      </c>
      <c r="B266" s="1">
        <v>45418</v>
      </c>
      <c r="C266" t="s">
        <v>562</v>
      </c>
      <c r="D266" t="s">
        <v>13</v>
      </c>
      <c r="E266" t="s">
        <v>14</v>
      </c>
      <c r="F266" t="s">
        <v>15</v>
      </c>
      <c r="G266">
        <v>2</v>
      </c>
      <c r="H266">
        <v>48106.33</v>
      </c>
      <c r="I266">
        <v>4611.01</v>
      </c>
      <c r="J266" t="s">
        <v>28</v>
      </c>
      <c r="K266" t="s">
        <v>29</v>
      </c>
      <c r="L266">
        <f t="shared" si="12"/>
        <v>2024</v>
      </c>
      <c r="M266" t="str">
        <f t="shared" si="13"/>
        <v>May</v>
      </c>
      <c r="N266" s="2">
        <f t="shared" si="14"/>
        <v>9.5850379773306335E-2</v>
      </c>
    </row>
    <row r="267" spans="1:14" x14ac:dyDescent="0.45">
      <c r="A267" t="s">
        <v>563</v>
      </c>
      <c r="B267" s="1">
        <v>45533</v>
      </c>
      <c r="C267" t="s">
        <v>564</v>
      </c>
      <c r="D267" t="s">
        <v>56</v>
      </c>
      <c r="E267" t="s">
        <v>14</v>
      </c>
      <c r="F267" t="s">
        <v>15</v>
      </c>
      <c r="G267">
        <v>2</v>
      </c>
      <c r="H267">
        <v>22698.05</v>
      </c>
      <c r="I267">
        <v>1511.63</v>
      </c>
      <c r="J267" t="s">
        <v>71</v>
      </c>
      <c r="K267" t="s">
        <v>29</v>
      </c>
      <c r="L267">
        <f t="shared" si="12"/>
        <v>2024</v>
      </c>
      <c r="M267" t="str">
        <f t="shared" si="13"/>
        <v>Aug</v>
      </c>
      <c r="N267" s="2">
        <f t="shared" si="14"/>
        <v>6.6597350873753486E-2</v>
      </c>
    </row>
    <row r="268" spans="1:14" x14ac:dyDescent="0.45">
      <c r="A268" t="s">
        <v>565</v>
      </c>
      <c r="B268" s="1">
        <v>44780</v>
      </c>
      <c r="C268" t="s">
        <v>566</v>
      </c>
      <c r="D268" t="s">
        <v>56</v>
      </c>
      <c r="E268" t="s">
        <v>20</v>
      </c>
      <c r="F268" t="s">
        <v>21</v>
      </c>
      <c r="G268">
        <v>2</v>
      </c>
      <c r="H268">
        <v>11085.26</v>
      </c>
      <c r="I268">
        <v>914.67</v>
      </c>
      <c r="J268" t="s">
        <v>22</v>
      </c>
      <c r="K268" t="s">
        <v>29</v>
      </c>
      <c r="L268">
        <f t="shared" si="12"/>
        <v>2022</v>
      </c>
      <c r="M268" t="str">
        <f t="shared" si="13"/>
        <v>Aug</v>
      </c>
      <c r="N268" s="2">
        <f t="shared" si="14"/>
        <v>8.2512273054488564E-2</v>
      </c>
    </row>
    <row r="269" spans="1:14" x14ac:dyDescent="0.45">
      <c r="A269" t="s">
        <v>567</v>
      </c>
      <c r="B269" s="1">
        <v>45034</v>
      </c>
      <c r="C269" t="s">
        <v>568</v>
      </c>
      <c r="D269" t="s">
        <v>13</v>
      </c>
      <c r="E269" t="s">
        <v>36</v>
      </c>
      <c r="F269" t="s">
        <v>37</v>
      </c>
      <c r="G269">
        <v>5</v>
      </c>
      <c r="H269">
        <v>20068.310000000001</v>
      </c>
      <c r="I269">
        <v>2412.94</v>
      </c>
      <c r="J269" t="s">
        <v>71</v>
      </c>
      <c r="K269" t="s">
        <v>17</v>
      </c>
      <c r="L269">
        <f t="shared" si="12"/>
        <v>2023</v>
      </c>
      <c r="M269" t="str">
        <f t="shared" si="13"/>
        <v>Apr</v>
      </c>
      <c r="N269" s="2">
        <f t="shared" si="14"/>
        <v>0.12023633280530348</v>
      </c>
    </row>
    <row r="270" spans="1:14" x14ac:dyDescent="0.45">
      <c r="A270" t="s">
        <v>569</v>
      </c>
      <c r="B270" s="1">
        <v>45136</v>
      </c>
      <c r="C270" t="s">
        <v>570</v>
      </c>
      <c r="D270" t="s">
        <v>26</v>
      </c>
      <c r="E270" t="s">
        <v>20</v>
      </c>
      <c r="F270" t="s">
        <v>27</v>
      </c>
      <c r="G270">
        <v>4</v>
      </c>
      <c r="H270">
        <v>34881</v>
      </c>
      <c r="I270">
        <v>5230.2700000000004</v>
      </c>
      <c r="J270" t="s">
        <v>47</v>
      </c>
      <c r="K270" t="s">
        <v>23</v>
      </c>
      <c r="L270">
        <f t="shared" si="12"/>
        <v>2023</v>
      </c>
      <c r="M270" t="str">
        <f t="shared" si="13"/>
        <v>Jul</v>
      </c>
      <c r="N270" s="2">
        <f t="shared" si="14"/>
        <v>0.14994610246265877</v>
      </c>
    </row>
    <row r="271" spans="1:14" x14ac:dyDescent="0.45">
      <c r="A271" t="s">
        <v>571</v>
      </c>
      <c r="B271" s="1">
        <v>44567</v>
      </c>
      <c r="C271" t="s">
        <v>572</v>
      </c>
      <c r="D271" t="s">
        <v>13</v>
      </c>
      <c r="E271" t="s">
        <v>20</v>
      </c>
      <c r="F271" t="s">
        <v>21</v>
      </c>
      <c r="G271">
        <v>3</v>
      </c>
      <c r="H271">
        <v>26004.51</v>
      </c>
      <c r="I271">
        <v>4155.1000000000004</v>
      </c>
      <c r="J271" t="s">
        <v>71</v>
      </c>
      <c r="K271" t="s">
        <v>23</v>
      </c>
      <c r="L271">
        <f t="shared" si="12"/>
        <v>2022</v>
      </c>
      <c r="M271" t="str">
        <f t="shared" si="13"/>
        <v>Jan</v>
      </c>
      <c r="N271" s="2">
        <f t="shared" si="14"/>
        <v>0.15978382211393333</v>
      </c>
    </row>
    <row r="272" spans="1:14" x14ac:dyDescent="0.45">
      <c r="A272" t="s">
        <v>573</v>
      </c>
      <c r="B272" s="1">
        <v>45451</v>
      </c>
      <c r="C272" t="s">
        <v>574</v>
      </c>
      <c r="D272" t="s">
        <v>13</v>
      </c>
      <c r="E272" t="s">
        <v>20</v>
      </c>
      <c r="F272" t="s">
        <v>43</v>
      </c>
      <c r="G272">
        <v>4</v>
      </c>
      <c r="H272">
        <v>8163.31</v>
      </c>
      <c r="I272">
        <v>1172.8599999999999</v>
      </c>
      <c r="J272" t="s">
        <v>28</v>
      </c>
      <c r="K272" t="s">
        <v>23</v>
      </c>
      <c r="L272">
        <f t="shared" si="12"/>
        <v>2024</v>
      </c>
      <c r="M272" t="str">
        <f t="shared" si="13"/>
        <v>Jun</v>
      </c>
      <c r="N272" s="2">
        <f t="shared" si="14"/>
        <v>0.14367456338176546</v>
      </c>
    </row>
    <row r="273" spans="1:14" x14ac:dyDescent="0.45">
      <c r="A273" t="s">
        <v>575</v>
      </c>
      <c r="B273" s="1">
        <v>45411</v>
      </c>
      <c r="C273" t="s">
        <v>576</v>
      </c>
      <c r="D273" t="s">
        <v>56</v>
      </c>
      <c r="E273" t="s">
        <v>36</v>
      </c>
      <c r="F273" t="s">
        <v>46</v>
      </c>
      <c r="G273">
        <v>1</v>
      </c>
      <c r="H273">
        <v>23985.119999999999</v>
      </c>
      <c r="I273">
        <v>2171.3200000000002</v>
      </c>
      <c r="J273" t="s">
        <v>71</v>
      </c>
      <c r="K273" t="s">
        <v>23</v>
      </c>
      <c r="L273">
        <f t="shared" si="12"/>
        <v>2024</v>
      </c>
      <c r="M273" t="str">
        <f t="shared" si="13"/>
        <v>Apr</v>
      </c>
      <c r="N273" s="2">
        <f t="shared" si="14"/>
        <v>9.052779389888399E-2</v>
      </c>
    </row>
    <row r="274" spans="1:14" x14ac:dyDescent="0.45">
      <c r="A274" t="s">
        <v>577</v>
      </c>
      <c r="B274" s="1">
        <v>44707</v>
      </c>
      <c r="C274" t="s">
        <v>578</v>
      </c>
      <c r="D274" t="s">
        <v>13</v>
      </c>
      <c r="E274" t="s">
        <v>20</v>
      </c>
      <c r="F274" t="s">
        <v>27</v>
      </c>
      <c r="G274">
        <v>3</v>
      </c>
      <c r="H274">
        <v>15135.73</v>
      </c>
      <c r="I274">
        <v>874.48</v>
      </c>
      <c r="J274" t="s">
        <v>28</v>
      </c>
      <c r="K274" t="s">
        <v>17</v>
      </c>
      <c r="L274">
        <f t="shared" si="12"/>
        <v>2022</v>
      </c>
      <c r="M274" t="str">
        <f t="shared" si="13"/>
        <v>May</v>
      </c>
      <c r="N274" s="2">
        <f t="shared" si="14"/>
        <v>5.7775872059028538E-2</v>
      </c>
    </row>
    <row r="275" spans="1:14" x14ac:dyDescent="0.45">
      <c r="A275" t="s">
        <v>579</v>
      </c>
      <c r="B275" s="1">
        <v>44960</v>
      </c>
      <c r="C275" t="s">
        <v>580</v>
      </c>
      <c r="D275" t="s">
        <v>26</v>
      </c>
      <c r="E275" t="s">
        <v>20</v>
      </c>
      <c r="F275" t="s">
        <v>50</v>
      </c>
      <c r="G275">
        <v>1</v>
      </c>
      <c r="H275">
        <v>8292.8700000000008</v>
      </c>
      <c r="I275">
        <v>1769.07</v>
      </c>
      <c r="J275" t="s">
        <v>22</v>
      </c>
      <c r="K275" t="s">
        <v>23</v>
      </c>
      <c r="L275">
        <f t="shared" si="12"/>
        <v>2023</v>
      </c>
      <c r="M275" t="str">
        <f t="shared" si="13"/>
        <v>Feb</v>
      </c>
      <c r="N275" s="2">
        <f t="shared" si="14"/>
        <v>0.21332421706839727</v>
      </c>
    </row>
    <row r="276" spans="1:14" x14ac:dyDescent="0.45">
      <c r="A276" t="s">
        <v>581</v>
      </c>
      <c r="B276" s="1">
        <v>45556</v>
      </c>
      <c r="C276" t="s">
        <v>582</v>
      </c>
      <c r="D276" t="s">
        <v>26</v>
      </c>
      <c r="E276" t="s">
        <v>14</v>
      </c>
      <c r="F276" t="s">
        <v>32</v>
      </c>
      <c r="G276">
        <v>3</v>
      </c>
      <c r="H276">
        <v>548.73</v>
      </c>
      <c r="I276">
        <v>82.8</v>
      </c>
      <c r="J276" t="s">
        <v>28</v>
      </c>
      <c r="K276" t="s">
        <v>23</v>
      </c>
      <c r="L276">
        <f t="shared" si="12"/>
        <v>2024</v>
      </c>
      <c r="M276" t="str">
        <f t="shared" si="13"/>
        <v>Sep</v>
      </c>
      <c r="N276" s="2">
        <f t="shared" si="14"/>
        <v>0.15089388223716582</v>
      </c>
    </row>
    <row r="277" spans="1:14" x14ac:dyDescent="0.45">
      <c r="A277" t="s">
        <v>583</v>
      </c>
      <c r="B277" s="1">
        <v>44994</v>
      </c>
      <c r="C277" t="s">
        <v>584</v>
      </c>
      <c r="D277" t="s">
        <v>56</v>
      </c>
      <c r="E277" t="s">
        <v>14</v>
      </c>
      <c r="F277" t="s">
        <v>15</v>
      </c>
      <c r="G277">
        <v>3</v>
      </c>
      <c r="H277">
        <v>23404.87</v>
      </c>
      <c r="I277">
        <v>5662.55</v>
      </c>
      <c r="J277" t="s">
        <v>16</v>
      </c>
      <c r="K277" t="s">
        <v>33</v>
      </c>
      <c r="L277">
        <f t="shared" si="12"/>
        <v>2023</v>
      </c>
      <c r="M277" t="str">
        <f t="shared" si="13"/>
        <v>Mar</v>
      </c>
      <c r="N277" s="2">
        <f t="shared" si="14"/>
        <v>0.24193896398484591</v>
      </c>
    </row>
    <row r="278" spans="1:14" x14ac:dyDescent="0.45">
      <c r="A278" t="s">
        <v>585</v>
      </c>
      <c r="B278" s="1">
        <v>45383</v>
      </c>
      <c r="C278" t="s">
        <v>488</v>
      </c>
      <c r="D278" t="s">
        <v>13</v>
      </c>
      <c r="E278" t="s">
        <v>14</v>
      </c>
      <c r="F278" t="s">
        <v>57</v>
      </c>
      <c r="G278">
        <v>2</v>
      </c>
      <c r="H278">
        <v>44450.32</v>
      </c>
      <c r="I278">
        <v>6621.99</v>
      </c>
      <c r="J278" t="s">
        <v>16</v>
      </c>
      <c r="K278" t="s">
        <v>23</v>
      </c>
      <c r="L278">
        <f t="shared" si="12"/>
        <v>2024</v>
      </c>
      <c r="M278" t="str">
        <f t="shared" si="13"/>
        <v>Apr</v>
      </c>
      <c r="N278" s="2">
        <f t="shared" si="14"/>
        <v>0.14897508049435865</v>
      </c>
    </row>
    <row r="279" spans="1:14" x14ac:dyDescent="0.45">
      <c r="A279" t="s">
        <v>586</v>
      </c>
      <c r="B279" s="1">
        <v>45477</v>
      </c>
      <c r="C279" t="s">
        <v>587</v>
      </c>
      <c r="D279" t="s">
        <v>13</v>
      </c>
      <c r="E279" t="s">
        <v>20</v>
      </c>
      <c r="F279" t="s">
        <v>43</v>
      </c>
      <c r="G279">
        <v>3</v>
      </c>
      <c r="H279">
        <v>784.82</v>
      </c>
      <c r="I279">
        <v>155.75</v>
      </c>
      <c r="J279" t="s">
        <v>28</v>
      </c>
      <c r="K279" t="s">
        <v>17</v>
      </c>
      <c r="L279">
        <f t="shared" si="12"/>
        <v>2024</v>
      </c>
      <c r="M279" t="str">
        <f t="shared" si="13"/>
        <v>Jul</v>
      </c>
      <c r="N279" s="2">
        <f t="shared" si="14"/>
        <v>0.19845314849264797</v>
      </c>
    </row>
    <row r="280" spans="1:14" x14ac:dyDescent="0.45">
      <c r="A280" t="s">
        <v>588</v>
      </c>
      <c r="B280" s="1">
        <v>44613</v>
      </c>
      <c r="C280" t="s">
        <v>466</v>
      </c>
      <c r="D280" t="s">
        <v>56</v>
      </c>
      <c r="E280" t="s">
        <v>36</v>
      </c>
      <c r="F280" t="s">
        <v>46</v>
      </c>
      <c r="G280">
        <v>4</v>
      </c>
      <c r="H280">
        <v>23668.98</v>
      </c>
      <c r="I280">
        <v>3540.93</v>
      </c>
      <c r="J280" t="s">
        <v>71</v>
      </c>
      <c r="K280" t="s">
        <v>23</v>
      </c>
      <c r="L280">
        <f t="shared" si="12"/>
        <v>2022</v>
      </c>
      <c r="M280" t="str">
        <f t="shared" si="13"/>
        <v>Feb</v>
      </c>
      <c r="N280" s="2">
        <f t="shared" si="14"/>
        <v>0.14960213748120957</v>
      </c>
    </row>
    <row r="281" spans="1:14" x14ac:dyDescent="0.45">
      <c r="A281" t="s">
        <v>589</v>
      </c>
      <c r="B281" s="1">
        <v>45519</v>
      </c>
      <c r="C281" t="s">
        <v>590</v>
      </c>
      <c r="D281" t="s">
        <v>26</v>
      </c>
      <c r="E281" t="s">
        <v>36</v>
      </c>
      <c r="F281" t="s">
        <v>64</v>
      </c>
      <c r="G281">
        <v>1</v>
      </c>
      <c r="H281">
        <v>40240.9</v>
      </c>
      <c r="I281">
        <v>3158.44</v>
      </c>
      <c r="J281" t="s">
        <v>22</v>
      </c>
      <c r="K281" t="s">
        <v>33</v>
      </c>
      <c r="L281">
        <f t="shared" si="12"/>
        <v>2024</v>
      </c>
      <c r="M281" t="str">
        <f t="shared" si="13"/>
        <v>Aug</v>
      </c>
      <c r="N281" s="2">
        <f t="shared" si="14"/>
        <v>7.8488304188027602E-2</v>
      </c>
    </row>
    <row r="282" spans="1:14" x14ac:dyDescent="0.45">
      <c r="A282" t="s">
        <v>591</v>
      </c>
      <c r="B282" s="1">
        <v>45081</v>
      </c>
      <c r="C282" t="s">
        <v>592</v>
      </c>
      <c r="D282" t="s">
        <v>56</v>
      </c>
      <c r="E282" t="s">
        <v>20</v>
      </c>
      <c r="F282" t="s">
        <v>43</v>
      </c>
      <c r="G282">
        <v>1</v>
      </c>
      <c r="H282">
        <v>45965.99</v>
      </c>
      <c r="I282">
        <v>7958.44</v>
      </c>
      <c r="J282" t="s">
        <v>71</v>
      </c>
      <c r="K282" t="s">
        <v>29</v>
      </c>
      <c r="L282">
        <f t="shared" si="12"/>
        <v>2023</v>
      </c>
      <c r="M282" t="str">
        <f t="shared" si="13"/>
        <v>Jun</v>
      </c>
      <c r="N282" s="2">
        <f t="shared" si="14"/>
        <v>0.17313757410642086</v>
      </c>
    </row>
    <row r="283" spans="1:14" x14ac:dyDescent="0.45">
      <c r="A283" t="s">
        <v>593</v>
      </c>
      <c r="B283" s="1">
        <v>45643</v>
      </c>
      <c r="C283" t="s">
        <v>594</v>
      </c>
      <c r="D283" t="s">
        <v>56</v>
      </c>
      <c r="E283" t="s">
        <v>20</v>
      </c>
      <c r="F283" t="s">
        <v>43</v>
      </c>
      <c r="G283">
        <v>1</v>
      </c>
      <c r="H283">
        <v>10298.89</v>
      </c>
      <c r="I283">
        <v>2287.9</v>
      </c>
      <c r="J283" t="s">
        <v>71</v>
      </c>
      <c r="K283" t="s">
        <v>23</v>
      </c>
      <c r="L283">
        <f t="shared" si="12"/>
        <v>2024</v>
      </c>
      <c r="M283" t="str">
        <f t="shared" si="13"/>
        <v>Dec</v>
      </c>
      <c r="N283" s="2">
        <f t="shared" si="14"/>
        <v>0.22215015404572727</v>
      </c>
    </row>
    <row r="284" spans="1:14" x14ac:dyDescent="0.45">
      <c r="A284" t="s">
        <v>595</v>
      </c>
      <c r="B284" s="1">
        <v>44763</v>
      </c>
      <c r="C284" t="s">
        <v>596</v>
      </c>
      <c r="D284" t="s">
        <v>13</v>
      </c>
      <c r="E284" t="s">
        <v>14</v>
      </c>
      <c r="F284" t="s">
        <v>57</v>
      </c>
      <c r="G284">
        <v>5</v>
      </c>
      <c r="H284">
        <v>13722.52</v>
      </c>
      <c r="I284">
        <v>1722.75</v>
      </c>
      <c r="J284" t="s">
        <v>16</v>
      </c>
      <c r="K284" t="s">
        <v>17</v>
      </c>
      <c r="L284">
        <f t="shared" si="12"/>
        <v>2022</v>
      </c>
      <c r="M284" t="str">
        <f t="shared" si="13"/>
        <v>Jul</v>
      </c>
      <c r="N284" s="2">
        <f t="shared" si="14"/>
        <v>0.12554181010484955</v>
      </c>
    </row>
    <row r="285" spans="1:14" x14ac:dyDescent="0.45">
      <c r="A285" t="s">
        <v>597</v>
      </c>
      <c r="B285" s="1">
        <v>45239</v>
      </c>
      <c r="C285" t="s">
        <v>598</v>
      </c>
      <c r="D285" t="s">
        <v>26</v>
      </c>
      <c r="E285" t="s">
        <v>20</v>
      </c>
      <c r="F285" t="s">
        <v>27</v>
      </c>
      <c r="G285">
        <v>2</v>
      </c>
      <c r="H285">
        <v>13820.74</v>
      </c>
      <c r="I285">
        <v>1677.24</v>
      </c>
      <c r="J285" t="s">
        <v>28</v>
      </c>
      <c r="K285" t="s">
        <v>29</v>
      </c>
      <c r="L285">
        <f t="shared" si="12"/>
        <v>2023</v>
      </c>
      <c r="M285" t="str">
        <f t="shared" si="13"/>
        <v>Nov</v>
      </c>
      <c r="N285" s="2">
        <f t="shared" si="14"/>
        <v>0.12135674356076448</v>
      </c>
    </row>
    <row r="286" spans="1:14" x14ac:dyDescent="0.45">
      <c r="A286" t="s">
        <v>599</v>
      </c>
      <c r="B286" s="1">
        <v>45469</v>
      </c>
      <c r="C286" t="s">
        <v>600</v>
      </c>
      <c r="D286" t="s">
        <v>26</v>
      </c>
      <c r="E286" t="s">
        <v>14</v>
      </c>
      <c r="F286" t="s">
        <v>15</v>
      </c>
      <c r="G286">
        <v>4</v>
      </c>
      <c r="H286">
        <v>26166.11</v>
      </c>
      <c r="I286">
        <v>5783.25</v>
      </c>
      <c r="J286" t="s">
        <v>22</v>
      </c>
      <c r="K286" t="s">
        <v>33</v>
      </c>
      <c r="L286">
        <f t="shared" si="12"/>
        <v>2024</v>
      </c>
      <c r="M286" t="str">
        <f t="shared" si="13"/>
        <v>Jun</v>
      </c>
      <c r="N286" s="2">
        <f t="shared" si="14"/>
        <v>0.22102062553432664</v>
      </c>
    </row>
    <row r="287" spans="1:14" x14ac:dyDescent="0.45">
      <c r="A287" t="s">
        <v>601</v>
      </c>
      <c r="B287" s="1">
        <v>44644</v>
      </c>
      <c r="C287" t="s">
        <v>602</v>
      </c>
      <c r="D287" t="s">
        <v>13</v>
      </c>
      <c r="E287" t="s">
        <v>36</v>
      </c>
      <c r="F287" t="s">
        <v>53</v>
      </c>
      <c r="G287">
        <v>3</v>
      </c>
      <c r="H287">
        <v>49957.65</v>
      </c>
      <c r="I287">
        <v>8307.11</v>
      </c>
      <c r="J287" t="s">
        <v>16</v>
      </c>
      <c r="K287" t="s">
        <v>17</v>
      </c>
      <c r="L287">
        <f t="shared" si="12"/>
        <v>2022</v>
      </c>
      <c r="M287" t="str">
        <f t="shared" si="13"/>
        <v>Mar</v>
      </c>
      <c r="N287" s="2">
        <f t="shared" si="14"/>
        <v>0.1662830417363507</v>
      </c>
    </row>
    <row r="288" spans="1:14" x14ac:dyDescent="0.45">
      <c r="A288" t="s">
        <v>603</v>
      </c>
      <c r="B288" s="1">
        <v>45033</v>
      </c>
      <c r="C288" t="s">
        <v>604</v>
      </c>
      <c r="D288" t="s">
        <v>56</v>
      </c>
      <c r="E288" t="s">
        <v>14</v>
      </c>
      <c r="F288" t="s">
        <v>40</v>
      </c>
      <c r="G288">
        <v>5</v>
      </c>
      <c r="H288">
        <v>10880.16</v>
      </c>
      <c r="I288">
        <v>2069.11</v>
      </c>
      <c r="J288" t="s">
        <v>22</v>
      </c>
      <c r="K288" t="s">
        <v>29</v>
      </c>
      <c r="L288">
        <f t="shared" si="12"/>
        <v>2023</v>
      </c>
      <c r="M288" t="str">
        <f t="shared" si="13"/>
        <v>Apr</v>
      </c>
      <c r="N288" s="2">
        <f t="shared" si="14"/>
        <v>0.19017275481242923</v>
      </c>
    </row>
    <row r="289" spans="1:14" x14ac:dyDescent="0.45">
      <c r="A289" t="s">
        <v>605</v>
      </c>
      <c r="B289" s="1">
        <v>45008</v>
      </c>
      <c r="C289" t="s">
        <v>606</v>
      </c>
      <c r="D289" t="s">
        <v>13</v>
      </c>
      <c r="E289" t="s">
        <v>36</v>
      </c>
      <c r="F289" t="s">
        <v>46</v>
      </c>
      <c r="G289">
        <v>3</v>
      </c>
      <c r="H289">
        <v>25093.8</v>
      </c>
      <c r="I289">
        <v>1879.09</v>
      </c>
      <c r="J289" t="s">
        <v>16</v>
      </c>
      <c r="K289" t="s">
        <v>23</v>
      </c>
      <c r="L289">
        <f t="shared" si="12"/>
        <v>2023</v>
      </c>
      <c r="M289" t="str">
        <f t="shared" si="13"/>
        <v>Mar</v>
      </c>
      <c r="N289" s="2">
        <f t="shared" si="14"/>
        <v>7.4882640333468822E-2</v>
      </c>
    </row>
    <row r="290" spans="1:14" x14ac:dyDescent="0.45">
      <c r="A290" t="s">
        <v>607</v>
      </c>
      <c r="B290" s="1">
        <v>44775</v>
      </c>
      <c r="C290" t="s">
        <v>608</v>
      </c>
      <c r="D290" t="s">
        <v>13</v>
      </c>
      <c r="E290" t="s">
        <v>20</v>
      </c>
      <c r="F290" t="s">
        <v>21</v>
      </c>
      <c r="G290">
        <v>2</v>
      </c>
      <c r="H290">
        <v>36546.04</v>
      </c>
      <c r="I290">
        <v>4117.62</v>
      </c>
      <c r="J290" t="s">
        <v>47</v>
      </c>
      <c r="K290" t="s">
        <v>17</v>
      </c>
      <c r="L290">
        <f t="shared" si="12"/>
        <v>2022</v>
      </c>
      <c r="M290" t="str">
        <f t="shared" si="13"/>
        <v>Aug</v>
      </c>
      <c r="N290" s="2">
        <f t="shared" si="14"/>
        <v>0.1126693890774486</v>
      </c>
    </row>
    <row r="291" spans="1:14" x14ac:dyDescent="0.45">
      <c r="A291" t="s">
        <v>609</v>
      </c>
      <c r="B291" s="1">
        <v>45435</v>
      </c>
      <c r="C291" t="s">
        <v>610</v>
      </c>
      <c r="D291" t="s">
        <v>26</v>
      </c>
      <c r="E291" t="s">
        <v>20</v>
      </c>
      <c r="F291" t="s">
        <v>27</v>
      </c>
      <c r="G291">
        <v>5</v>
      </c>
      <c r="H291">
        <v>24767.97</v>
      </c>
      <c r="I291">
        <v>1956.3</v>
      </c>
      <c r="J291" t="s">
        <v>22</v>
      </c>
      <c r="K291" t="s">
        <v>17</v>
      </c>
      <c r="L291">
        <f t="shared" si="12"/>
        <v>2024</v>
      </c>
      <c r="M291" t="str">
        <f t="shared" si="13"/>
        <v>May</v>
      </c>
      <c r="N291" s="2">
        <f t="shared" si="14"/>
        <v>7.8985076290063336E-2</v>
      </c>
    </row>
    <row r="292" spans="1:14" x14ac:dyDescent="0.45">
      <c r="A292" t="s">
        <v>611</v>
      </c>
      <c r="B292" s="1">
        <v>44635</v>
      </c>
      <c r="C292" t="s">
        <v>612</v>
      </c>
      <c r="D292" t="s">
        <v>56</v>
      </c>
      <c r="E292" t="s">
        <v>36</v>
      </c>
      <c r="F292" t="s">
        <v>46</v>
      </c>
      <c r="G292">
        <v>5</v>
      </c>
      <c r="H292">
        <v>6849.86</v>
      </c>
      <c r="I292">
        <v>1401.99</v>
      </c>
      <c r="J292" t="s">
        <v>71</v>
      </c>
      <c r="K292" t="s">
        <v>33</v>
      </c>
      <c r="L292">
        <f t="shared" si="12"/>
        <v>2022</v>
      </c>
      <c r="M292" t="str">
        <f t="shared" si="13"/>
        <v>Mar</v>
      </c>
      <c r="N292" s="2">
        <f t="shared" si="14"/>
        <v>0.2046742561161834</v>
      </c>
    </row>
    <row r="293" spans="1:14" x14ac:dyDescent="0.45">
      <c r="A293" t="s">
        <v>613</v>
      </c>
      <c r="B293" s="1">
        <v>45231</v>
      </c>
      <c r="C293" t="s">
        <v>614</v>
      </c>
      <c r="D293" t="s">
        <v>56</v>
      </c>
      <c r="E293" t="s">
        <v>14</v>
      </c>
      <c r="F293" t="s">
        <v>57</v>
      </c>
      <c r="G293">
        <v>3</v>
      </c>
      <c r="H293">
        <v>34990.82</v>
      </c>
      <c r="I293">
        <v>4479.6499999999996</v>
      </c>
      <c r="J293" t="s">
        <v>47</v>
      </c>
      <c r="K293" t="s">
        <v>29</v>
      </c>
      <c r="L293">
        <f t="shared" si="12"/>
        <v>2023</v>
      </c>
      <c r="M293" t="str">
        <f t="shared" si="13"/>
        <v>Nov</v>
      </c>
      <c r="N293" s="2">
        <f t="shared" si="14"/>
        <v>0.12802357875579937</v>
      </c>
    </row>
    <row r="294" spans="1:14" x14ac:dyDescent="0.45">
      <c r="A294" t="s">
        <v>615</v>
      </c>
      <c r="B294" s="1">
        <v>45290</v>
      </c>
      <c r="C294" t="s">
        <v>616</v>
      </c>
      <c r="D294" t="s">
        <v>26</v>
      </c>
      <c r="E294" t="s">
        <v>20</v>
      </c>
      <c r="F294" t="s">
        <v>43</v>
      </c>
      <c r="G294">
        <v>2</v>
      </c>
      <c r="H294">
        <v>9914.09</v>
      </c>
      <c r="I294">
        <v>1211.6400000000001</v>
      </c>
      <c r="J294" t="s">
        <v>71</v>
      </c>
      <c r="K294" t="s">
        <v>29</v>
      </c>
      <c r="L294">
        <f t="shared" si="12"/>
        <v>2023</v>
      </c>
      <c r="M294" t="str">
        <f t="shared" si="13"/>
        <v>Dec</v>
      </c>
      <c r="N294" s="2">
        <f t="shared" si="14"/>
        <v>0.12221393995818074</v>
      </c>
    </row>
    <row r="295" spans="1:14" x14ac:dyDescent="0.45">
      <c r="A295" t="s">
        <v>617</v>
      </c>
      <c r="B295" s="1">
        <v>45562</v>
      </c>
      <c r="C295" t="s">
        <v>618</v>
      </c>
      <c r="D295" t="s">
        <v>26</v>
      </c>
      <c r="E295" t="s">
        <v>36</v>
      </c>
      <c r="F295" t="s">
        <v>53</v>
      </c>
      <c r="G295">
        <v>3</v>
      </c>
      <c r="H295">
        <v>36338.550000000003</v>
      </c>
      <c r="I295">
        <v>8276.89</v>
      </c>
      <c r="J295" t="s">
        <v>47</v>
      </c>
      <c r="K295" t="s">
        <v>29</v>
      </c>
      <c r="L295">
        <f t="shared" si="12"/>
        <v>2024</v>
      </c>
      <c r="M295" t="str">
        <f t="shared" si="13"/>
        <v>Sep</v>
      </c>
      <c r="N295" s="2">
        <f t="shared" si="14"/>
        <v>0.22777160893871656</v>
      </c>
    </row>
    <row r="296" spans="1:14" x14ac:dyDescent="0.45">
      <c r="A296" t="s">
        <v>619</v>
      </c>
      <c r="B296" s="1">
        <v>45037</v>
      </c>
      <c r="C296" t="s">
        <v>620</v>
      </c>
      <c r="D296" t="s">
        <v>56</v>
      </c>
      <c r="E296" t="s">
        <v>14</v>
      </c>
      <c r="F296" t="s">
        <v>57</v>
      </c>
      <c r="G296">
        <v>4</v>
      </c>
      <c r="H296">
        <v>19269.439999999999</v>
      </c>
      <c r="I296">
        <v>2756</v>
      </c>
      <c r="J296" t="s">
        <v>71</v>
      </c>
      <c r="K296" t="s">
        <v>33</v>
      </c>
      <c r="L296">
        <f t="shared" si="12"/>
        <v>2023</v>
      </c>
      <c r="M296" t="str">
        <f t="shared" si="13"/>
        <v>Apr</v>
      </c>
      <c r="N296" s="2">
        <f t="shared" si="14"/>
        <v>0.14302439510437254</v>
      </c>
    </row>
    <row r="297" spans="1:14" x14ac:dyDescent="0.45">
      <c r="A297" t="s">
        <v>621</v>
      </c>
      <c r="B297" s="1">
        <v>45347</v>
      </c>
      <c r="C297" t="s">
        <v>622</v>
      </c>
      <c r="D297" t="s">
        <v>56</v>
      </c>
      <c r="E297" t="s">
        <v>14</v>
      </c>
      <c r="F297" t="s">
        <v>57</v>
      </c>
      <c r="G297">
        <v>3</v>
      </c>
      <c r="H297">
        <v>25662.18</v>
      </c>
      <c r="I297">
        <v>2572.5100000000002</v>
      </c>
      <c r="J297" t="s">
        <v>47</v>
      </c>
      <c r="K297" t="s">
        <v>23</v>
      </c>
      <c r="L297">
        <f t="shared" si="12"/>
        <v>2024</v>
      </c>
      <c r="M297" t="str">
        <f t="shared" si="13"/>
        <v>Feb</v>
      </c>
      <c r="N297" s="2">
        <f t="shared" si="14"/>
        <v>0.10024518571687986</v>
      </c>
    </row>
    <row r="298" spans="1:14" x14ac:dyDescent="0.45">
      <c r="A298" t="s">
        <v>623</v>
      </c>
      <c r="B298" s="1">
        <v>44679</v>
      </c>
      <c r="C298" t="s">
        <v>624</v>
      </c>
      <c r="D298" t="s">
        <v>13</v>
      </c>
      <c r="E298" t="s">
        <v>20</v>
      </c>
      <c r="F298" t="s">
        <v>21</v>
      </c>
      <c r="G298">
        <v>3</v>
      </c>
      <c r="H298">
        <v>24979.919999999998</v>
      </c>
      <c r="I298">
        <v>3142.06</v>
      </c>
      <c r="J298" t="s">
        <v>16</v>
      </c>
      <c r="K298" t="s">
        <v>29</v>
      </c>
      <c r="L298">
        <f t="shared" si="12"/>
        <v>2022</v>
      </c>
      <c r="M298" t="str">
        <f t="shared" si="13"/>
        <v>Apr</v>
      </c>
      <c r="N298" s="2">
        <f t="shared" si="14"/>
        <v>0.12578342925037392</v>
      </c>
    </row>
    <row r="299" spans="1:14" x14ac:dyDescent="0.45">
      <c r="A299" t="s">
        <v>625</v>
      </c>
      <c r="B299" s="1">
        <v>44659</v>
      </c>
      <c r="C299" t="s">
        <v>626</v>
      </c>
      <c r="D299" t="s">
        <v>56</v>
      </c>
      <c r="E299" t="s">
        <v>36</v>
      </c>
      <c r="F299" t="s">
        <v>37</v>
      </c>
      <c r="G299">
        <v>4</v>
      </c>
      <c r="H299">
        <v>19935.32</v>
      </c>
      <c r="I299">
        <v>1036.3599999999999</v>
      </c>
      <c r="J299" t="s">
        <v>28</v>
      </c>
      <c r="K299" t="s">
        <v>17</v>
      </c>
      <c r="L299">
        <f t="shared" si="12"/>
        <v>2022</v>
      </c>
      <c r="M299" t="str">
        <f t="shared" si="13"/>
        <v>Apr</v>
      </c>
      <c r="N299" s="2">
        <f t="shared" si="14"/>
        <v>5.1986123122177118E-2</v>
      </c>
    </row>
    <row r="300" spans="1:14" x14ac:dyDescent="0.45">
      <c r="A300" t="s">
        <v>627</v>
      </c>
      <c r="B300" s="1">
        <v>44864</v>
      </c>
      <c r="C300" t="s">
        <v>628</v>
      </c>
      <c r="D300" t="s">
        <v>56</v>
      </c>
      <c r="E300" t="s">
        <v>14</v>
      </c>
      <c r="F300" t="s">
        <v>40</v>
      </c>
      <c r="G300">
        <v>2</v>
      </c>
      <c r="H300">
        <v>46837.2</v>
      </c>
      <c r="I300">
        <v>9309.07</v>
      </c>
      <c r="J300" t="s">
        <v>28</v>
      </c>
      <c r="K300" t="s">
        <v>17</v>
      </c>
      <c r="L300">
        <f t="shared" si="12"/>
        <v>2022</v>
      </c>
      <c r="M300" t="str">
        <f t="shared" si="13"/>
        <v>Oct</v>
      </c>
      <c r="N300" s="2">
        <f t="shared" si="14"/>
        <v>0.19875376837214864</v>
      </c>
    </row>
    <row r="301" spans="1:14" x14ac:dyDescent="0.45">
      <c r="A301" t="s">
        <v>629</v>
      </c>
      <c r="B301" s="1">
        <v>45451</v>
      </c>
      <c r="C301" t="s">
        <v>630</v>
      </c>
      <c r="D301" t="s">
        <v>13</v>
      </c>
      <c r="E301" t="s">
        <v>20</v>
      </c>
      <c r="F301" t="s">
        <v>27</v>
      </c>
      <c r="G301">
        <v>3</v>
      </c>
      <c r="H301">
        <v>17508.45</v>
      </c>
      <c r="I301">
        <v>1527.3</v>
      </c>
      <c r="J301" t="s">
        <v>28</v>
      </c>
      <c r="K301" t="s">
        <v>33</v>
      </c>
      <c r="L301">
        <f t="shared" si="12"/>
        <v>2024</v>
      </c>
      <c r="M301" t="str">
        <f t="shared" si="13"/>
        <v>Jun</v>
      </c>
      <c r="N301" s="2">
        <f t="shared" si="14"/>
        <v>8.7232165040309104E-2</v>
      </c>
    </row>
    <row r="302" spans="1:14" x14ac:dyDescent="0.45">
      <c r="A302" t="s">
        <v>631</v>
      </c>
      <c r="B302" s="1">
        <v>45163</v>
      </c>
      <c r="C302" t="s">
        <v>632</v>
      </c>
      <c r="D302" t="s">
        <v>26</v>
      </c>
      <c r="E302" t="s">
        <v>20</v>
      </c>
      <c r="F302" t="s">
        <v>43</v>
      </c>
      <c r="G302">
        <v>3</v>
      </c>
      <c r="H302">
        <v>32935.69</v>
      </c>
      <c r="I302">
        <v>7981.51</v>
      </c>
      <c r="J302" t="s">
        <v>71</v>
      </c>
      <c r="K302" t="s">
        <v>33</v>
      </c>
      <c r="L302">
        <f t="shared" si="12"/>
        <v>2023</v>
      </c>
      <c r="M302" t="str">
        <f t="shared" si="13"/>
        <v>Aug</v>
      </c>
      <c r="N302" s="2">
        <f t="shared" si="14"/>
        <v>0.24233620124551816</v>
      </c>
    </row>
    <row r="303" spans="1:14" x14ac:dyDescent="0.45">
      <c r="A303" t="s">
        <v>633</v>
      </c>
      <c r="B303" s="1">
        <v>45333</v>
      </c>
      <c r="C303" t="s">
        <v>634</v>
      </c>
      <c r="D303" t="s">
        <v>13</v>
      </c>
      <c r="E303" t="s">
        <v>36</v>
      </c>
      <c r="F303" t="s">
        <v>53</v>
      </c>
      <c r="G303">
        <v>1</v>
      </c>
      <c r="H303">
        <v>29462.53</v>
      </c>
      <c r="I303">
        <v>3319.76</v>
      </c>
      <c r="J303" t="s">
        <v>22</v>
      </c>
      <c r="K303" t="s">
        <v>33</v>
      </c>
      <c r="L303">
        <f t="shared" si="12"/>
        <v>2024</v>
      </c>
      <c r="M303" t="str">
        <f t="shared" si="13"/>
        <v>Feb</v>
      </c>
      <c r="N303" s="2">
        <f t="shared" si="14"/>
        <v>0.11267735662891137</v>
      </c>
    </row>
    <row r="304" spans="1:14" x14ac:dyDescent="0.45">
      <c r="A304" t="s">
        <v>635</v>
      </c>
      <c r="B304" s="1">
        <v>45372</v>
      </c>
      <c r="C304" t="s">
        <v>636</v>
      </c>
      <c r="D304" t="s">
        <v>13</v>
      </c>
      <c r="E304" t="s">
        <v>14</v>
      </c>
      <c r="F304" t="s">
        <v>32</v>
      </c>
      <c r="G304">
        <v>1</v>
      </c>
      <c r="H304">
        <v>15023.41</v>
      </c>
      <c r="I304">
        <v>1231.25</v>
      </c>
      <c r="J304" t="s">
        <v>47</v>
      </c>
      <c r="K304" t="s">
        <v>33</v>
      </c>
      <c r="L304">
        <f t="shared" si="12"/>
        <v>2024</v>
      </c>
      <c r="M304" t="str">
        <f t="shared" si="13"/>
        <v>Mar</v>
      </c>
      <c r="N304" s="2">
        <f t="shared" si="14"/>
        <v>8.1955428228344965E-2</v>
      </c>
    </row>
    <row r="305" spans="1:14" x14ac:dyDescent="0.45">
      <c r="A305" t="s">
        <v>637</v>
      </c>
      <c r="B305" s="1">
        <v>45135</v>
      </c>
      <c r="C305" t="s">
        <v>638</v>
      </c>
      <c r="D305" t="s">
        <v>56</v>
      </c>
      <c r="E305" t="s">
        <v>20</v>
      </c>
      <c r="F305" t="s">
        <v>50</v>
      </c>
      <c r="G305">
        <v>1</v>
      </c>
      <c r="H305">
        <v>13971.32</v>
      </c>
      <c r="I305">
        <v>3075.68</v>
      </c>
      <c r="J305" t="s">
        <v>28</v>
      </c>
      <c r="K305" t="s">
        <v>29</v>
      </c>
      <c r="L305">
        <f t="shared" si="12"/>
        <v>2023</v>
      </c>
      <c r="M305" t="str">
        <f t="shared" si="13"/>
        <v>Jul</v>
      </c>
      <c r="N305" s="2">
        <f t="shared" si="14"/>
        <v>0.22014240601460705</v>
      </c>
    </row>
    <row r="306" spans="1:14" x14ac:dyDescent="0.45">
      <c r="A306" t="s">
        <v>639</v>
      </c>
      <c r="B306" s="1">
        <v>45351</v>
      </c>
      <c r="C306" t="s">
        <v>640</v>
      </c>
      <c r="D306" t="s">
        <v>26</v>
      </c>
      <c r="E306" t="s">
        <v>36</v>
      </c>
      <c r="F306" t="s">
        <v>46</v>
      </c>
      <c r="G306">
        <v>2</v>
      </c>
      <c r="H306">
        <v>43501.120000000003</v>
      </c>
      <c r="I306">
        <v>4177.13</v>
      </c>
      <c r="J306" t="s">
        <v>16</v>
      </c>
      <c r="K306" t="s">
        <v>23</v>
      </c>
      <c r="L306">
        <f t="shared" si="12"/>
        <v>2024</v>
      </c>
      <c r="M306" t="str">
        <f t="shared" si="13"/>
        <v>Feb</v>
      </c>
      <c r="N306" s="2">
        <f t="shared" si="14"/>
        <v>9.6023504682178296E-2</v>
      </c>
    </row>
    <row r="307" spans="1:14" x14ac:dyDescent="0.45">
      <c r="A307" t="s">
        <v>641</v>
      </c>
      <c r="B307" s="1">
        <v>44752</v>
      </c>
      <c r="C307" t="s">
        <v>642</v>
      </c>
      <c r="D307" t="s">
        <v>26</v>
      </c>
      <c r="E307" t="s">
        <v>36</v>
      </c>
      <c r="F307" t="s">
        <v>46</v>
      </c>
      <c r="G307">
        <v>4</v>
      </c>
      <c r="H307">
        <v>39466.160000000003</v>
      </c>
      <c r="I307">
        <v>4089.89</v>
      </c>
      <c r="J307" t="s">
        <v>28</v>
      </c>
      <c r="K307" t="s">
        <v>29</v>
      </c>
      <c r="L307">
        <f t="shared" si="12"/>
        <v>2022</v>
      </c>
      <c r="M307" t="str">
        <f t="shared" si="13"/>
        <v>Jul</v>
      </c>
      <c r="N307" s="2">
        <f t="shared" si="14"/>
        <v>0.10363029998358086</v>
      </c>
    </row>
    <row r="308" spans="1:14" x14ac:dyDescent="0.45">
      <c r="A308" t="s">
        <v>643</v>
      </c>
      <c r="B308" s="1">
        <v>45042</v>
      </c>
      <c r="C308" t="s">
        <v>644</v>
      </c>
      <c r="D308" t="s">
        <v>13</v>
      </c>
      <c r="E308" t="s">
        <v>20</v>
      </c>
      <c r="F308" t="s">
        <v>27</v>
      </c>
      <c r="G308">
        <v>3</v>
      </c>
      <c r="H308">
        <v>1253.3699999999999</v>
      </c>
      <c r="I308">
        <v>73.83</v>
      </c>
      <c r="J308" t="s">
        <v>71</v>
      </c>
      <c r="K308" t="s">
        <v>33</v>
      </c>
      <c r="L308">
        <f t="shared" si="12"/>
        <v>2023</v>
      </c>
      <c r="M308" t="str">
        <f t="shared" si="13"/>
        <v>Apr</v>
      </c>
      <c r="N308" s="2">
        <f t="shared" si="14"/>
        <v>5.8905191603437136E-2</v>
      </c>
    </row>
    <row r="309" spans="1:14" x14ac:dyDescent="0.45">
      <c r="A309" t="s">
        <v>645</v>
      </c>
      <c r="B309" s="1">
        <v>44698</v>
      </c>
      <c r="C309" t="s">
        <v>646</v>
      </c>
      <c r="D309" t="s">
        <v>13</v>
      </c>
      <c r="E309" t="s">
        <v>14</v>
      </c>
      <c r="F309" t="s">
        <v>15</v>
      </c>
      <c r="G309">
        <v>2</v>
      </c>
      <c r="H309">
        <v>18748.8</v>
      </c>
      <c r="I309">
        <v>3938.5</v>
      </c>
      <c r="J309" t="s">
        <v>16</v>
      </c>
      <c r="K309" t="s">
        <v>29</v>
      </c>
      <c r="L309">
        <f t="shared" si="12"/>
        <v>2022</v>
      </c>
      <c r="M309" t="str">
        <f t="shared" si="13"/>
        <v>May</v>
      </c>
      <c r="N309" s="2">
        <f t="shared" si="14"/>
        <v>0.21006677760710019</v>
      </c>
    </row>
    <row r="310" spans="1:14" x14ac:dyDescent="0.45">
      <c r="A310" t="s">
        <v>647</v>
      </c>
      <c r="B310" s="1">
        <v>45401</v>
      </c>
      <c r="C310" t="s">
        <v>648</v>
      </c>
      <c r="D310" t="s">
        <v>26</v>
      </c>
      <c r="E310" t="s">
        <v>36</v>
      </c>
      <c r="F310" t="s">
        <v>64</v>
      </c>
      <c r="G310">
        <v>1</v>
      </c>
      <c r="H310">
        <v>16216.28</v>
      </c>
      <c r="I310">
        <v>3523.03</v>
      </c>
      <c r="J310" t="s">
        <v>47</v>
      </c>
      <c r="K310" t="s">
        <v>23</v>
      </c>
      <c r="L310">
        <f t="shared" si="12"/>
        <v>2024</v>
      </c>
      <c r="M310" t="str">
        <f t="shared" si="13"/>
        <v>Apr</v>
      </c>
      <c r="N310" s="2">
        <f t="shared" si="14"/>
        <v>0.21725266213952893</v>
      </c>
    </row>
    <row r="311" spans="1:14" x14ac:dyDescent="0.45">
      <c r="A311" t="s">
        <v>649</v>
      </c>
      <c r="B311" s="1">
        <v>45495</v>
      </c>
      <c r="C311" t="s">
        <v>650</v>
      </c>
      <c r="D311" t="s">
        <v>13</v>
      </c>
      <c r="E311" t="s">
        <v>14</v>
      </c>
      <c r="F311" t="s">
        <v>57</v>
      </c>
      <c r="G311">
        <v>5</v>
      </c>
      <c r="H311">
        <v>40738.51</v>
      </c>
      <c r="I311">
        <v>6269.38</v>
      </c>
      <c r="J311" t="s">
        <v>71</v>
      </c>
      <c r="K311" t="s">
        <v>29</v>
      </c>
      <c r="L311">
        <f t="shared" si="12"/>
        <v>2024</v>
      </c>
      <c r="M311" t="str">
        <f t="shared" si="13"/>
        <v>Jul</v>
      </c>
      <c r="N311" s="2">
        <f t="shared" si="14"/>
        <v>0.15389320817084376</v>
      </c>
    </row>
    <row r="312" spans="1:14" x14ac:dyDescent="0.45">
      <c r="A312" t="s">
        <v>651</v>
      </c>
      <c r="B312" s="1">
        <v>45527</v>
      </c>
      <c r="C312" t="s">
        <v>652</v>
      </c>
      <c r="D312" t="s">
        <v>56</v>
      </c>
      <c r="E312" t="s">
        <v>36</v>
      </c>
      <c r="F312" t="s">
        <v>37</v>
      </c>
      <c r="G312">
        <v>1</v>
      </c>
      <c r="H312">
        <v>16716.439999999999</v>
      </c>
      <c r="I312">
        <v>3580.18</v>
      </c>
      <c r="J312" t="s">
        <v>16</v>
      </c>
      <c r="K312" t="s">
        <v>29</v>
      </c>
      <c r="L312">
        <f t="shared" si="12"/>
        <v>2024</v>
      </c>
      <c r="M312" t="str">
        <f t="shared" si="13"/>
        <v>Aug</v>
      </c>
      <c r="N312" s="2">
        <f t="shared" si="14"/>
        <v>0.21417119913091545</v>
      </c>
    </row>
    <row r="313" spans="1:14" x14ac:dyDescent="0.45">
      <c r="A313" t="s">
        <v>653</v>
      </c>
      <c r="B313" s="1">
        <v>44843</v>
      </c>
      <c r="C313" t="s">
        <v>654</v>
      </c>
      <c r="D313" t="s">
        <v>26</v>
      </c>
      <c r="E313" t="s">
        <v>14</v>
      </c>
      <c r="F313" t="s">
        <v>32</v>
      </c>
      <c r="G313">
        <v>1</v>
      </c>
      <c r="H313">
        <v>2561.4899999999998</v>
      </c>
      <c r="I313">
        <v>459.04</v>
      </c>
      <c r="J313" t="s">
        <v>47</v>
      </c>
      <c r="K313" t="s">
        <v>23</v>
      </c>
      <c r="L313">
        <f t="shared" si="12"/>
        <v>2022</v>
      </c>
      <c r="M313" t="str">
        <f t="shared" si="13"/>
        <v>Oct</v>
      </c>
      <c r="N313" s="2">
        <f t="shared" si="14"/>
        <v>0.17920819523011999</v>
      </c>
    </row>
    <row r="314" spans="1:14" x14ac:dyDescent="0.45">
      <c r="A314" t="s">
        <v>655</v>
      </c>
      <c r="B314" s="1">
        <v>45615</v>
      </c>
      <c r="C314" t="s">
        <v>656</v>
      </c>
      <c r="D314" t="s">
        <v>13</v>
      </c>
      <c r="E314" t="s">
        <v>14</v>
      </c>
      <c r="F314" t="s">
        <v>15</v>
      </c>
      <c r="G314">
        <v>2</v>
      </c>
      <c r="H314">
        <v>23946.92</v>
      </c>
      <c r="I314">
        <v>3228.28</v>
      </c>
      <c r="J314" t="s">
        <v>22</v>
      </c>
      <c r="K314" t="s">
        <v>29</v>
      </c>
      <c r="L314">
        <f t="shared" si="12"/>
        <v>2024</v>
      </c>
      <c r="M314" t="str">
        <f t="shared" si="13"/>
        <v>Nov</v>
      </c>
      <c r="N314" s="2">
        <f t="shared" si="14"/>
        <v>0.13480982105423162</v>
      </c>
    </row>
    <row r="315" spans="1:14" x14ac:dyDescent="0.45">
      <c r="A315" t="s">
        <v>657</v>
      </c>
      <c r="B315" s="1">
        <v>45394</v>
      </c>
      <c r="C315" t="s">
        <v>658</v>
      </c>
      <c r="D315" t="s">
        <v>26</v>
      </c>
      <c r="E315" t="s">
        <v>36</v>
      </c>
      <c r="F315" t="s">
        <v>53</v>
      </c>
      <c r="G315">
        <v>1</v>
      </c>
      <c r="H315">
        <v>27273.15</v>
      </c>
      <c r="I315">
        <v>2689.91</v>
      </c>
      <c r="J315" t="s">
        <v>47</v>
      </c>
      <c r="K315" t="s">
        <v>17</v>
      </c>
      <c r="L315">
        <f t="shared" si="12"/>
        <v>2024</v>
      </c>
      <c r="M315" t="str">
        <f t="shared" si="13"/>
        <v>Apr</v>
      </c>
      <c r="N315" s="2">
        <f t="shared" si="14"/>
        <v>9.8628504591512151E-2</v>
      </c>
    </row>
    <row r="316" spans="1:14" x14ac:dyDescent="0.45">
      <c r="A316" t="s">
        <v>659</v>
      </c>
      <c r="B316" s="1">
        <v>45319</v>
      </c>
      <c r="C316" t="s">
        <v>660</v>
      </c>
      <c r="D316" t="s">
        <v>13</v>
      </c>
      <c r="E316" t="s">
        <v>14</v>
      </c>
      <c r="F316" t="s">
        <v>40</v>
      </c>
      <c r="G316">
        <v>1</v>
      </c>
      <c r="H316">
        <v>19565</v>
      </c>
      <c r="I316">
        <v>1934.19</v>
      </c>
      <c r="J316" t="s">
        <v>47</v>
      </c>
      <c r="K316" t="s">
        <v>23</v>
      </c>
      <c r="L316">
        <f t="shared" si="12"/>
        <v>2024</v>
      </c>
      <c r="M316" t="str">
        <f t="shared" si="13"/>
        <v>Jan</v>
      </c>
      <c r="N316" s="2">
        <f t="shared" si="14"/>
        <v>9.8859698441093796E-2</v>
      </c>
    </row>
    <row r="317" spans="1:14" x14ac:dyDescent="0.45">
      <c r="A317" t="s">
        <v>661</v>
      </c>
      <c r="B317" s="1">
        <v>44919</v>
      </c>
      <c r="C317" t="s">
        <v>662</v>
      </c>
      <c r="D317" t="s">
        <v>56</v>
      </c>
      <c r="E317" t="s">
        <v>20</v>
      </c>
      <c r="F317" t="s">
        <v>50</v>
      </c>
      <c r="G317">
        <v>3</v>
      </c>
      <c r="H317">
        <v>41750.46</v>
      </c>
      <c r="I317">
        <v>9983.11</v>
      </c>
      <c r="J317" t="s">
        <v>47</v>
      </c>
      <c r="K317" t="s">
        <v>33</v>
      </c>
      <c r="L317">
        <f t="shared" si="12"/>
        <v>2022</v>
      </c>
      <c r="M317" t="str">
        <f t="shared" si="13"/>
        <v>Dec</v>
      </c>
      <c r="N317" s="2">
        <f t="shared" si="14"/>
        <v>0.23911377263867276</v>
      </c>
    </row>
    <row r="318" spans="1:14" x14ac:dyDescent="0.45">
      <c r="A318" t="s">
        <v>663</v>
      </c>
      <c r="B318" s="1">
        <v>44788</v>
      </c>
      <c r="C318" t="s">
        <v>664</v>
      </c>
      <c r="D318" t="s">
        <v>26</v>
      </c>
      <c r="E318" t="s">
        <v>36</v>
      </c>
      <c r="F318" t="s">
        <v>46</v>
      </c>
      <c r="G318">
        <v>1</v>
      </c>
      <c r="H318">
        <v>2215.08</v>
      </c>
      <c r="I318">
        <v>492.33</v>
      </c>
      <c r="J318" t="s">
        <v>22</v>
      </c>
      <c r="K318" t="s">
        <v>33</v>
      </c>
      <c r="L318">
        <f t="shared" si="12"/>
        <v>2022</v>
      </c>
      <c r="M318" t="str">
        <f t="shared" si="13"/>
        <v>Aug</v>
      </c>
      <c r="N318" s="2">
        <f t="shared" si="14"/>
        <v>0.22226285280892791</v>
      </c>
    </row>
    <row r="319" spans="1:14" x14ac:dyDescent="0.45">
      <c r="A319" t="s">
        <v>665</v>
      </c>
      <c r="B319" s="1">
        <v>44783</v>
      </c>
      <c r="C319" t="s">
        <v>666</v>
      </c>
      <c r="D319" t="s">
        <v>26</v>
      </c>
      <c r="E319" t="s">
        <v>14</v>
      </c>
      <c r="F319" t="s">
        <v>40</v>
      </c>
      <c r="G319">
        <v>4</v>
      </c>
      <c r="H319">
        <v>29766.38</v>
      </c>
      <c r="I319">
        <v>3183.85</v>
      </c>
      <c r="J319" t="s">
        <v>71</v>
      </c>
      <c r="K319" t="s">
        <v>17</v>
      </c>
      <c r="L319">
        <f t="shared" si="12"/>
        <v>2022</v>
      </c>
      <c r="M319" t="str">
        <f t="shared" si="13"/>
        <v>Aug</v>
      </c>
      <c r="N319" s="2">
        <f t="shared" si="14"/>
        <v>0.10696127644678324</v>
      </c>
    </row>
    <row r="320" spans="1:14" x14ac:dyDescent="0.45">
      <c r="A320" t="s">
        <v>667</v>
      </c>
      <c r="B320" s="1">
        <v>45603</v>
      </c>
      <c r="C320" t="s">
        <v>668</v>
      </c>
      <c r="D320" t="s">
        <v>26</v>
      </c>
      <c r="E320" t="s">
        <v>20</v>
      </c>
      <c r="F320" t="s">
        <v>43</v>
      </c>
      <c r="G320">
        <v>4</v>
      </c>
      <c r="H320">
        <v>40755.24</v>
      </c>
      <c r="I320">
        <v>7512.84</v>
      </c>
      <c r="J320" t="s">
        <v>47</v>
      </c>
      <c r="K320" t="s">
        <v>33</v>
      </c>
      <c r="L320">
        <f t="shared" si="12"/>
        <v>2024</v>
      </c>
      <c r="M320" t="str">
        <f t="shared" si="13"/>
        <v>Nov</v>
      </c>
      <c r="N320" s="2">
        <f t="shared" si="14"/>
        <v>0.18434046763066542</v>
      </c>
    </row>
    <row r="321" spans="1:14" x14ac:dyDescent="0.45">
      <c r="A321" t="s">
        <v>669</v>
      </c>
      <c r="B321" s="1">
        <v>45160</v>
      </c>
      <c r="C321" t="s">
        <v>670</v>
      </c>
      <c r="D321" t="s">
        <v>56</v>
      </c>
      <c r="E321" t="s">
        <v>20</v>
      </c>
      <c r="F321" t="s">
        <v>21</v>
      </c>
      <c r="G321">
        <v>5</v>
      </c>
      <c r="H321">
        <v>14668.25</v>
      </c>
      <c r="I321">
        <v>1972.93</v>
      </c>
      <c r="J321" t="s">
        <v>71</v>
      </c>
      <c r="K321" t="s">
        <v>23</v>
      </c>
      <c r="L321">
        <f t="shared" si="12"/>
        <v>2023</v>
      </c>
      <c r="M321" t="str">
        <f t="shared" si="13"/>
        <v>Aug</v>
      </c>
      <c r="N321" s="2">
        <f t="shared" si="14"/>
        <v>0.13450343428834388</v>
      </c>
    </row>
    <row r="322" spans="1:14" x14ac:dyDescent="0.45">
      <c r="A322" t="s">
        <v>671</v>
      </c>
      <c r="B322" s="1">
        <v>45505</v>
      </c>
      <c r="C322" t="s">
        <v>672</v>
      </c>
      <c r="D322" t="s">
        <v>56</v>
      </c>
      <c r="E322" t="s">
        <v>36</v>
      </c>
      <c r="F322" t="s">
        <v>64</v>
      </c>
      <c r="G322">
        <v>5</v>
      </c>
      <c r="H322">
        <v>41136.57</v>
      </c>
      <c r="I322">
        <v>4467.1499999999996</v>
      </c>
      <c r="J322" t="s">
        <v>22</v>
      </c>
      <c r="K322" t="s">
        <v>17</v>
      </c>
      <c r="L322">
        <f t="shared" si="12"/>
        <v>2024</v>
      </c>
      <c r="M322" t="str">
        <f t="shared" si="13"/>
        <v>Aug</v>
      </c>
      <c r="N322" s="2">
        <f t="shared" si="14"/>
        <v>0.10859315689178752</v>
      </c>
    </row>
    <row r="323" spans="1:14" x14ac:dyDescent="0.45">
      <c r="A323" t="s">
        <v>673</v>
      </c>
      <c r="B323" s="1">
        <v>44566</v>
      </c>
      <c r="C323" t="s">
        <v>674</v>
      </c>
      <c r="D323" t="s">
        <v>56</v>
      </c>
      <c r="E323" t="s">
        <v>36</v>
      </c>
      <c r="F323" t="s">
        <v>53</v>
      </c>
      <c r="G323">
        <v>4</v>
      </c>
      <c r="H323">
        <v>33450.39</v>
      </c>
      <c r="I323">
        <v>5945.29</v>
      </c>
      <c r="J323" t="s">
        <v>28</v>
      </c>
      <c r="K323" t="s">
        <v>29</v>
      </c>
      <c r="L323">
        <f t="shared" ref="L323:L386" si="15">YEAR(B323 )</f>
        <v>2022</v>
      </c>
      <c r="M323" t="str">
        <f t="shared" ref="M323:M386" si="16">TEXT(B323,"MMM")</f>
        <v>Jan</v>
      </c>
      <c r="N323" s="2">
        <f t="shared" ref="N323:N386" si="17">I323 / H323</f>
        <v>0.17773454958223209</v>
      </c>
    </row>
    <row r="324" spans="1:14" x14ac:dyDescent="0.45">
      <c r="A324" t="s">
        <v>675</v>
      </c>
      <c r="B324" s="1">
        <v>44765</v>
      </c>
      <c r="C324" t="s">
        <v>676</v>
      </c>
      <c r="D324" t="s">
        <v>56</v>
      </c>
      <c r="E324" t="s">
        <v>36</v>
      </c>
      <c r="F324" t="s">
        <v>46</v>
      </c>
      <c r="G324">
        <v>2</v>
      </c>
      <c r="H324">
        <v>30847.040000000001</v>
      </c>
      <c r="I324">
        <v>1651.96</v>
      </c>
      <c r="J324" t="s">
        <v>71</v>
      </c>
      <c r="K324" t="s">
        <v>29</v>
      </c>
      <c r="L324">
        <f t="shared" si="15"/>
        <v>2022</v>
      </c>
      <c r="M324" t="str">
        <f t="shared" si="16"/>
        <v>Jul</v>
      </c>
      <c r="N324" s="2">
        <f t="shared" si="17"/>
        <v>5.3553274479496246E-2</v>
      </c>
    </row>
    <row r="325" spans="1:14" x14ac:dyDescent="0.45">
      <c r="A325" t="s">
        <v>677</v>
      </c>
      <c r="B325" s="1">
        <v>45353</v>
      </c>
      <c r="C325" t="s">
        <v>678</v>
      </c>
      <c r="D325" t="s">
        <v>56</v>
      </c>
      <c r="E325" t="s">
        <v>14</v>
      </c>
      <c r="F325" t="s">
        <v>15</v>
      </c>
      <c r="G325">
        <v>3</v>
      </c>
      <c r="H325">
        <v>39066.47</v>
      </c>
      <c r="I325">
        <v>5598.2</v>
      </c>
      <c r="J325" t="s">
        <v>71</v>
      </c>
      <c r="K325" t="s">
        <v>33</v>
      </c>
      <c r="L325">
        <f t="shared" si="15"/>
        <v>2024</v>
      </c>
      <c r="M325" t="str">
        <f t="shared" si="16"/>
        <v>Mar</v>
      </c>
      <c r="N325" s="2">
        <f t="shared" si="17"/>
        <v>0.1432993561998307</v>
      </c>
    </row>
    <row r="326" spans="1:14" x14ac:dyDescent="0.45">
      <c r="A326" t="s">
        <v>679</v>
      </c>
      <c r="B326" s="1">
        <v>45473</v>
      </c>
      <c r="C326" t="s">
        <v>680</v>
      </c>
      <c r="D326" t="s">
        <v>56</v>
      </c>
      <c r="E326" t="s">
        <v>14</v>
      </c>
      <c r="F326" t="s">
        <v>57</v>
      </c>
      <c r="G326">
        <v>5</v>
      </c>
      <c r="H326">
        <v>42961.69</v>
      </c>
      <c r="I326">
        <v>7119.86</v>
      </c>
      <c r="J326" t="s">
        <v>22</v>
      </c>
      <c r="K326" t="s">
        <v>29</v>
      </c>
      <c r="L326">
        <f t="shared" si="15"/>
        <v>2024</v>
      </c>
      <c r="M326" t="str">
        <f t="shared" si="16"/>
        <v>Jun</v>
      </c>
      <c r="N326" s="2">
        <f t="shared" si="17"/>
        <v>0.16572578965119852</v>
      </c>
    </row>
    <row r="327" spans="1:14" x14ac:dyDescent="0.45">
      <c r="A327" t="s">
        <v>681</v>
      </c>
      <c r="B327" s="1">
        <v>44665</v>
      </c>
      <c r="C327" t="s">
        <v>682</v>
      </c>
      <c r="D327" t="s">
        <v>26</v>
      </c>
      <c r="E327" t="s">
        <v>36</v>
      </c>
      <c r="F327" t="s">
        <v>46</v>
      </c>
      <c r="G327">
        <v>1</v>
      </c>
      <c r="H327">
        <v>37875.75</v>
      </c>
      <c r="I327">
        <v>7198.74</v>
      </c>
      <c r="J327" t="s">
        <v>22</v>
      </c>
      <c r="K327" t="s">
        <v>23</v>
      </c>
      <c r="L327">
        <f t="shared" si="15"/>
        <v>2022</v>
      </c>
      <c r="M327" t="str">
        <f t="shared" si="16"/>
        <v>Apr</v>
      </c>
      <c r="N327" s="2">
        <f t="shared" si="17"/>
        <v>0.19006197897071345</v>
      </c>
    </row>
    <row r="328" spans="1:14" x14ac:dyDescent="0.45">
      <c r="A328" t="s">
        <v>683</v>
      </c>
      <c r="B328" s="1">
        <v>45292</v>
      </c>
      <c r="C328" t="s">
        <v>684</v>
      </c>
      <c r="D328" t="s">
        <v>26</v>
      </c>
      <c r="E328" t="s">
        <v>14</v>
      </c>
      <c r="F328" t="s">
        <v>15</v>
      </c>
      <c r="G328">
        <v>1</v>
      </c>
      <c r="H328">
        <v>7589.68</v>
      </c>
      <c r="I328">
        <v>1217.23</v>
      </c>
      <c r="J328" t="s">
        <v>71</v>
      </c>
      <c r="K328" t="s">
        <v>17</v>
      </c>
      <c r="L328">
        <f t="shared" si="15"/>
        <v>2024</v>
      </c>
      <c r="M328" t="str">
        <f t="shared" si="16"/>
        <v>Jan</v>
      </c>
      <c r="N328" s="2">
        <f t="shared" si="17"/>
        <v>0.16037962074817383</v>
      </c>
    </row>
    <row r="329" spans="1:14" x14ac:dyDescent="0.45">
      <c r="A329" t="s">
        <v>685</v>
      </c>
      <c r="B329" s="1">
        <v>45645</v>
      </c>
      <c r="C329" t="s">
        <v>686</v>
      </c>
      <c r="D329" t="s">
        <v>13</v>
      </c>
      <c r="E329" t="s">
        <v>14</v>
      </c>
      <c r="F329" t="s">
        <v>15</v>
      </c>
      <c r="G329">
        <v>3</v>
      </c>
      <c r="H329">
        <v>29806</v>
      </c>
      <c r="I329">
        <v>3785.73</v>
      </c>
      <c r="J329" t="s">
        <v>47</v>
      </c>
      <c r="K329" t="s">
        <v>17</v>
      </c>
      <c r="L329">
        <f t="shared" si="15"/>
        <v>2024</v>
      </c>
      <c r="M329" t="str">
        <f t="shared" si="16"/>
        <v>Dec</v>
      </c>
      <c r="N329" s="2">
        <f t="shared" si="17"/>
        <v>0.12701234650741461</v>
      </c>
    </row>
    <row r="330" spans="1:14" x14ac:dyDescent="0.45">
      <c r="A330" t="s">
        <v>687</v>
      </c>
      <c r="B330" s="1">
        <v>44747</v>
      </c>
      <c r="C330" t="s">
        <v>688</v>
      </c>
      <c r="D330" t="s">
        <v>56</v>
      </c>
      <c r="E330" t="s">
        <v>36</v>
      </c>
      <c r="F330" t="s">
        <v>53</v>
      </c>
      <c r="G330">
        <v>4</v>
      </c>
      <c r="H330">
        <v>4149.5200000000004</v>
      </c>
      <c r="I330">
        <v>1025.92</v>
      </c>
      <c r="J330" t="s">
        <v>16</v>
      </c>
      <c r="K330" t="s">
        <v>23</v>
      </c>
      <c r="L330">
        <f t="shared" si="15"/>
        <v>2022</v>
      </c>
      <c r="M330" t="str">
        <f t="shared" si="16"/>
        <v>Jul</v>
      </c>
      <c r="N330" s="2">
        <f t="shared" si="17"/>
        <v>0.24723823478378221</v>
      </c>
    </row>
    <row r="331" spans="1:14" x14ac:dyDescent="0.45">
      <c r="A331" t="s">
        <v>689</v>
      </c>
      <c r="B331" s="1">
        <v>45477</v>
      </c>
      <c r="C331" t="s">
        <v>690</v>
      </c>
      <c r="D331" t="s">
        <v>26</v>
      </c>
      <c r="E331" t="s">
        <v>20</v>
      </c>
      <c r="F331" t="s">
        <v>43</v>
      </c>
      <c r="G331">
        <v>3</v>
      </c>
      <c r="H331">
        <v>13816.53</v>
      </c>
      <c r="I331">
        <v>843.24</v>
      </c>
      <c r="J331" t="s">
        <v>28</v>
      </c>
      <c r="K331" t="s">
        <v>29</v>
      </c>
      <c r="L331">
        <f t="shared" si="15"/>
        <v>2024</v>
      </c>
      <c r="M331" t="str">
        <f t="shared" si="16"/>
        <v>Jul</v>
      </c>
      <c r="N331" s="2">
        <f t="shared" si="17"/>
        <v>6.1031243011088886E-2</v>
      </c>
    </row>
    <row r="332" spans="1:14" x14ac:dyDescent="0.45">
      <c r="A332" t="s">
        <v>691</v>
      </c>
      <c r="B332" s="1">
        <v>45142</v>
      </c>
      <c r="C332" t="s">
        <v>692</v>
      </c>
      <c r="D332" t="s">
        <v>56</v>
      </c>
      <c r="E332" t="s">
        <v>36</v>
      </c>
      <c r="F332" t="s">
        <v>37</v>
      </c>
      <c r="G332">
        <v>4</v>
      </c>
      <c r="H332">
        <v>19460.71</v>
      </c>
      <c r="I332">
        <v>1461.33</v>
      </c>
      <c r="J332" t="s">
        <v>71</v>
      </c>
      <c r="K332" t="s">
        <v>17</v>
      </c>
      <c r="L332">
        <f t="shared" si="15"/>
        <v>2023</v>
      </c>
      <c r="M332" t="str">
        <f t="shared" si="16"/>
        <v>Aug</v>
      </c>
      <c r="N332" s="2">
        <f t="shared" si="17"/>
        <v>7.5091299341082621E-2</v>
      </c>
    </row>
    <row r="333" spans="1:14" x14ac:dyDescent="0.45">
      <c r="A333" t="s">
        <v>693</v>
      </c>
      <c r="B333" s="1">
        <v>44771</v>
      </c>
      <c r="C333" t="s">
        <v>694</v>
      </c>
      <c r="D333" t="s">
        <v>13</v>
      </c>
      <c r="E333" t="s">
        <v>20</v>
      </c>
      <c r="F333" t="s">
        <v>50</v>
      </c>
      <c r="G333">
        <v>2</v>
      </c>
      <c r="H333">
        <v>2720.37</v>
      </c>
      <c r="I333">
        <v>491.62</v>
      </c>
      <c r="J333" t="s">
        <v>22</v>
      </c>
      <c r="K333" t="s">
        <v>23</v>
      </c>
      <c r="L333">
        <f t="shared" si="15"/>
        <v>2022</v>
      </c>
      <c r="M333" t="str">
        <f t="shared" si="16"/>
        <v>Jul</v>
      </c>
      <c r="N333" s="2">
        <f t="shared" si="17"/>
        <v>0.18071806408687055</v>
      </c>
    </row>
    <row r="334" spans="1:14" x14ac:dyDescent="0.45">
      <c r="A334" t="s">
        <v>695</v>
      </c>
      <c r="B334" s="1">
        <v>44655</v>
      </c>
      <c r="C334" t="s">
        <v>696</v>
      </c>
      <c r="D334" t="s">
        <v>13</v>
      </c>
      <c r="E334" t="s">
        <v>36</v>
      </c>
      <c r="F334" t="s">
        <v>46</v>
      </c>
      <c r="G334">
        <v>5</v>
      </c>
      <c r="H334">
        <v>22201.360000000001</v>
      </c>
      <c r="I334">
        <v>2406.21</v>
      </c>
      <c r="J334" t="s">
        <v>22</v>
      </c>
      <c r="K334" t="s">
        <v>29</v>
      </c>
      <c r="L334">
        <f t="shared" si="15"/>
        <v>2022</v>
      </c>
      <c r="M334" t="str">
        <f t="shared" si="16"/>
        <v>Apr</v>
      </c>
      <c r="N334" s="2">
        <f t="shared" si="17"/>
        <v>0.10838119826893487</v>
      </c>
    </row>
    <row r="335" spans="1:14" x14ac:dyDescent="0.45">
      <c r="A335" t="s">
        <v>697</v>
      </c>
      <c r="B335" s="1">
        <v>44583</v>
      </c>
      <c r="C335" t="s">
        <v>698</v>
      </c>
      <c r="D335" t="s">
        <v>26</v>
      </c>
      <c r="E335" t="s">
        <v>14</v>
      </c>
      <c r="F335" t="s">
        <v>57</v>
      </c>
      <c r="G335">
        <v>1</v>
      </c>
      <c r="H335">
        <v>34467.120000000003</v>
      </c>
      <c r="I335">
        <v>8479.4699999999993</v>
      </c>
      <c r="J335" t="s">
        <v>28</v>
      </c>
      <c r="K335" t="s">
        <v>29</v>
      </c>
      <c r="L335">
        <f t="shared" si="15"/>
        <v>2022</v>
      </c>
      <c r="M335" t="str">
        <f t="shared" si="16"/>
        <v>Jan</v>
      </c>
      <c r="N335" s="2">
        <f t="shared" si="17"/>
        <v>0.24601620326850629</v>
      </c>
    </row>
    <row r="336" spans="1:14" x14ac:dyDescent="0.45">
      <c r="A336" t="s">
        <v>699</v>
      </c>
      <c r="B336" s="1">
        <v>44891</v>
      </c>
      <c r="C336" t="s">
        <v>700</v>
      </c>
      <c r="D336" t="s">
        <v>13</v>
      </c>
      <c r="E336" t="s">
        <v>36</v>
      </c>
      <c r="F336" t="s">
        <v>64</v>
      </c>
      <c r="G336">
        <v>4</v>
      </c>
      <c r="H336">
        <v>48599.81</v>
      </c>
      <c r="I336">
        <v>10295.370000000001</v>
      </c>
      <c r="J336" t="s">
        <v>71</v>
      </c>
      <c r="K336" t="s">
        <v>17</v>
      </c>
      <c r="L336">
        <f t="shared" si="15"/>
        <v>2022</v>
      </c>
      <c r="M336" t="str">
        <f t="shared" si="16"/>
        <v>Nov</v>
      </c>
      <c r="N336" s="2">
        <f t="shared" si="17"/>
        <v>0.21183971706885277</v>
      </c>
    </row>
    <row r="337" spans="1:14" x14ac:dyDescent="0.45">
      <c r="A337" t="s">
        <v>701</v>
      </c>
      <c r="B337" s="1">
        <v>45131</v>
      </c>
      <c r="C337" t="s">
        <v>702</v>
      </c>
      <c r="D337" t="s">
        <v>56</v>
      </c>
      <c r="E337" t="s">
        <v>14</v>
      </c>
      <c r="F337" t="s">
        <v>15</v>
      </c>
      <c r="G337">
        <v>2</v>
      </c>
      <c r="H337">
        <v>2900.12</v>
      </c>
      <c r="I337">
        <v>301.74</v>
      </c>
      <c r="J337" t="s">
        <v>16</v>
      </c>
      <c r="K337" t="s">
        <v>29</v>
      </c>
      <c r="L337">
        <f t="shared" si="15"/>
        <v>2023</v>
      </c>
      <c r="M337" t="str">
        <f t="shared" si="16"/>
        <v>Jul</v>
      </c>
      <c r="N337" s="2">
        <f t="shared" si="17"/>
        <v>0.10404397059432025</v>
      </c>
    </row>
    <row r="338" spans="1:14" x14ac:dyDescent="0.45">
      <c r="A338" t="s">
        <v>703</v>
      </c>
      <c r="B338" s="1">
        <v>45324</v>
      </c>
      <c r="C338" t="s">
        <v>704</v>
      </c>
      <c r="D338" t="s">
        <v>56</v>
      </c>
      <c r="E338" t="s">
        <v>36</v>
      </c>
      <c r="F338" t="s">
        <v>46</v>
      </c>
      <c r="G338">
        <v>1</v>
      </c>
      <c r="H338">
        <v>16677.18</v>
      </c>
      <c r="I338">
        <v>3438.75</v>
      </c>
      <c r="J338" t="s">
        <v>22</v>
      </c>
      <c r="K338" t="s">
        <v>29</v>
      </c>
      <c r="L338">
        <f t="shared" si="15"/>
        <v>2024</v>
      </c>
      <c r="M338" t="str">
        <f t="shared" si="16"/>
        <v>Feb</v>
      </c>
      <c r="N338" s="2">
        <f t="shared" si="17"/>
        <v>0.20619493223674507</v>
      </c>
    </row>
    <row r="339" spans="1:14" x14ac:dyDescent="0.45">
      <c r="A339" t="s">
        <v>705</v>
      </c>
      <c r="B339" s="1">
        <v>45075</v>
      </c>
      <c r="C339" t="s">
        <v>706</v>
      </c>
      <c r="D339" t="s">
        <v>13</v>
      </c>
      <c r="E339" t="s">
        <v>36</v>
      </c>
      <c r="F339" t="s">
        <v>46</v>
      </c>
      <c r="G339">
        <v>5</v>
      </c>
      <c r="H339">
        <v>34353.24</v>
      </c>
      <c r="I339">
        <v>1821.54</v>
      </c>
      <c r="J339" t="s">
        <v>47</v>
      </c>
      <c r="K339" t="s">
        <v>17</v>
      </c>
      <c r="L339">
        <f t="shared" si="15"/>
        <v>2023</v>
      </c>
      <c r="M339" t="str">
        <f t="shared" si="16"/>
        <v>May</v>
      </c>
      <c r="N339" s="2">
        <f t="shared" si="17"/>
        <v>5.3023819587322767E-2</v>
      </c>
    </row>
    <row r="340" spans="1:14" x14ac:dyDescent="0.45">
      <c r="A340" t="s">
        <v>707</v>
      </c>
      <c r="B340" s="1">
        <v>45399</v>
      </c>
      <c r="C340" t="s">
        <v>708</v>
      </c>
      <c r="D340" t="s">
        <v>13</v>
      </c>
      <c r="E340" t="s">
        <v>36</v>
      </c>
      <c r="F340" t="s">
        <v>64</v>
      </c>
      <c r="G340">
        <v>2</v>
      </c>
      <c r="H340">
        <v>41029.11</v>
      </c>
      <c r="I340">
        <v>2771.58</v>
      </c>
      <c r="J340" t="s">
        <v>16</v>
      </c>
      <c r="K340" t="s">
        <v>33</v>
      </c>
      <c r="L340">
        <f t="shared" si="15"/>
        <v>2024</v>
      </c>
      <c r="M340" t="str">
        <f t="shared" si="16"/>
        <v>Apr</v>
      </c>
      <c r="N340" s="2">
        <f t="shared" si="17"/>
        <v>6.7551550594200066E-2</v>
      </c>
    </row>
    <row r="341" spans="1:14" x14ac:dyDescent="0.45">
      <c r="A341" t="s">
        <v>709</v>
      </c>
      <c r="B341" s="1">
        <v>45377</v>
      </c>
      <c r="C341" t="s">
        <v>710</v>
      </c>
      <c r="D341" t="s">
        <v>26</v>
      </c>
      <c r="E341" t="s">
        <v>14</v>
      </c>
      <c r="F341" t="s">
        <v>40</v>
      </c>
      <c r="G341">
        <v>4</v>
      </c>
      <c r="H341">
        <v>17866.16</v>
      </c>
      <c r="I341">
        <v>2363.79</v>
      </c>
      <c r="J341" t="s">
        <v>71</v>
      </c>
      <c r="K341" t="s">
        <v>17</v>
      </c>
      <c r="L341">
        <f t="shared" si="15"/>
        <v>2024</v>
      </c>
      <c r="M341" t="str">
        <f t="shared" si="16"/>
        <v>Mar</v>
      </c>
      <c r="N341" s="2">
        <f t="shared" si="17"/>
        <v>0.13230543104953724</v>
      </c>
    </row>
    <row r="342" spans="1:14" x14ac:dyDescent="0.45">
      <c r="A342" t="s">
        <v>711</v>
      </c>
      <c r="B342" s="1">
        <v>45042</v>
      </c>
      <c r="C342" t="s">
        <v>712</v>
      </c>
      <c r="D342" t="s">
        <v>26</v>
      </c>
      <c r="E342" t="s">
        <v>20</v>
      </c>
      <c r="F342" t="s">
        <v>21</v>
      </c>
      <c r="G342">
        <v>4</v>
      </c>
      <c r="H342">
        <v>10478.4</v>
      </c>
      <c r="I342">
        <v>2393.41</v>
      </c>
      <c r="J342" t="s">
        <v>16</v>
      </c>
      <c r="K342" t="s">
        <v>33</v>
      </c>
      <c r="L342">
        <f t="shared" si="15"/>
        <v>2023</v>
      </c>
      <c r="M342" t="str">
        <f t="shared" si="16"/>
        <v>Apr</v>
      </c>
      <c r="N342" s="2">
        <f t="shared" si="17"/>
        <v>0.22841368911284166</v>
      </c>
    </row>
    <row r="343" spans="1:14" x14ac:dyDescent="0.45">
      <c r="A343" t="s">
        <v>713</v>
      </c>
      <c r="B343" s="1">
        <v>45234</v>
      </c>
      <c r="C343" t="s">
        <v>714</v>
      </c>
      <c r="D343" t="s">
        <v>26</v>
      </c>
      <c r="E343" t="s">
        <v>14</v>
      </c>
      <c r="F343" t="s">
        <v>40</v>
      </c>
      <c r="G343">
        <v>1</v>
      </c>
      <c r="H343">
        <v>13145.28</v>
      </c>
      <c r="I343">
        <v>3196.98</v>
      </c>
      <c r="J343" t="s">
        <v>47</v>
      </c>
      <c r="K343" t="s">
        <v>17</v>
      </c>
      <c r="L343">
        <f t="shared" si="15"/>
        <v>2023</v>
      </c>
      <c r="M343" t="str">
        <f t="shared" si="16"/>
        <v>Nov</v>
      </c>
      <c r="N343" s="2">
        <f t="shared" si="17"/>
        <v>0.24320364419776527</v>
      </c>
    </row>
    <row r="344" spans="1:14" x14ac:dyDescent="0.45">
      <c r="A344" t="s">
        <v>715</v>
      </c>
      <c r="B344" s="1">
        <v>45458</v>
      </c>
      <c r="C344" t="s">
        <v>716</v>
      </c>
      <c r="D344" t="s">
        <v>13</v>
      </c>
      <c r="E344" t="s">
        <v>14</v>
      </c>
      <c r="F344" t="s">
        <v>40</v>
      </c>
      <c r="G344">
        <v>1</v>
      </c>
      <c r="H344">
        <v>17377.43</v>
      </c>
      <c r="I344">
        <v>997.89</v>
      </c>
      <c r="J344" t="s">
        <v>47</v>
      </c>
      <c r="K344" t="s">
        <v>33</v>
      </c>
      <c r="L344">
        <f t="shared" si="15"/>
        <v>2024</v>
      </c>
      <c r="M344" t="str">
        <f t="shared" si="16"/>
        <v>Jun</v>
      </c>
      <c r="N344" s="2">
        <f t="shared" si="17"/>
        <v>5.7424486819972802E-2</v>
      </c>
    </row>
    <row r="345" spans="1:14" x14ac:dyDescent="0.45">
      <c r="A345" t="s">
        <v>717</v>
      </c>
      <c r="B345" s="1">
        <v>45257</v>
      </c>
      <c r="C345" t="s">
        <v>718</v>
      </c>
      <c r="D345" t="s">
        <v>56</v>
      </c>
      <c r="E345" t="s">
        <v>20</v>
      </c>
      <c r="F345" t="s">
        <v>21</v>
      </c>
      <c r="G345">
        <v>5</v>
      </c>
      <c r="H345">
        <v>21986.76</v>
      </c>
      <c r="I345">
        <v>4957.59</v>
      </c>
      <c r="J345" t="s">
        <v>22</v>
      </c>
      <c r="K345" t="s">
        <v>29</v>
      </c>
      <c r="L345">
        <f t="shared" si="15"/>
        <v>2023</v>
      </c>
      <c r="M345" t="str">
        <f t="shared" si="16"/>
        <v>Nov</v>
      </c>
      <c r="N345" s="2">
        <f t="shared" si="17"/>
        <v>0.22548069838393653</v>
      </c>
    </row>
    <row r="346" spans="1:14" x14ac:dyDescent="0.45">
      <c r="A346" t="s">
        <v>719</v>
      </c>
      <c r="B346" s="1">
        <v>44762</v>
      </c>
      <c r="C346" t="s">
        <v>720</v>
      </c>
      <c r="D346" t="s">
        <v>56</v>
      </c>
      <c r="E346" t="s">
        <v>20</v>
      </c>
      <c r="F346" t="s">
        <v>21</v>
      </c>
      <c r="G346">
        <v>3</v>
      </c>
      <c r="H346">
        <v>26366.61</v>
      </c>
      <c r="I346">
        <v>2780.44</v>
      </c>
      <c r="J346" t="s">
        <v>28</v>
      </c>
      <c r="K346" t="s">
        <v>29</v>
      </c>
      <c r="L346">
        <f t="shared" si="15"/>
        <v>2022</v>
      </c>
      <c r="M346" t="str">
        <f t="shared" si="16"/>
        <v>Jul</v>
      </c>
      <c r="N346" s="2">
        <f t="shared" si="17"/>
        <v>0.10545307113807956</v>
      </c>
    </row>
    <row r="347" spans="1:14" x14ac:dyDescent="0.45">
      <c r="A347" t="s">
        <v>721</v>
      </c>
      <c r="B347" s="1">
        <v>45314</v>
      </c>
      <c r="C347" t="s">
        <v>722</v>
      </c>
      <c r="D347" t="s">
        <v>13</v>
      </c>
      <c r="E347" t="s">
        <v>14</v>
      </c>
      <c r="F347" t="s">
        <v>15</v>
      </c>
      <c r="G347">
        <v>5</v>
      </c>
      <c r="H347">
        <v>21221.38</v>
      </c>
      <c r="I347">
        <v>4663.29</v>
      </c>
      <c r="J347" t="s">
        <v>16</v>
      </c>
      <c r="K347" t="s">
        <v>29</v>
      </c>
      <c r="L347">
        <f t="shared" si="15"/>
        <v>2024</v>
      </c>
      <c r="M347" t="str">
        <f t="shared" si="16"/>
        <v>Jan</v>
      </c>
      <c r="N347" s="2">
        <f t="shared" si="17"/>
        <v>0.21974489877661113</v>
      </c>
    </row>
    <row r="348" spans="1:14" x14ac:dyDescent="0.45">
      <c r="A348" t="s">
        <v>723</v>
      </c>
      <c r="B348" s="1">
        <v>44911</v>
      </c>
      <c r="C348" t="s">
        <v>724</v>
      </c>
      <c r="D348" t="s">
        <v>13</v>
      </c>
      <c r="E348" t="s">
        <v>20</v>
      </c>
      <c r="F348" t="s">
        <v>27</v>
      </c>
      <c r="G348">
        <v>5</v>
      </c>
      <c r="H348">
        <v>15749.1</v>
      </c>
      <c r="I348">
        <v>2109.46</v>
      </c>
      <c r="J348" t="s">
        <v>28</v>
      </c>
      <c r="K348" t="s">
        <v>29</v>
      </c>
      <c r="L348">
        <f t="shared" si="15"/>
        <v>2022</v>
      </c>
      <c r="M348" t="str">
        <f t="shared" si="16"/>
        <v>Dec</v>
      </c>
      <c r="N348" s="2">
        <f t="shared" si="17"/>
        <v>0.13394162206094318</v>
      </c>
    </row>
    <row r="349" spans="1:14" x14ac:dyDescent="0.45">
      <c r="A349" t="s">
        <v>725</v>
      </c>
      <c r="B349" s="1">
        <v>44802</v>
      </c>
      <c r="C349" t="s">
        <v>726</v>
      </c>
      <c r="D349" t="s">
        <v>13</v>
      </c>
      <c r="E349" t="s">
        <v>20</v>
      </c>
      <c r="F349" t="s">
        <v>43</v>
      </c>
      <c r="G349">
        <v>1</v>
      </c>
      <c r="H349">
        <v>29457.17</v>
      </c>
      <c r="I349">
        <v>3574.12</v>
      </c>
      <c r="J349" t="s">
        <v>47</v>
      </c>
      <c r="K349" t="s">
        <v>23</v>
      </c>
      <c r="L349">
        <f t="shared" si="15"/>
        <v>2022</v>
      </c>
      <c r="M349" t="str">
        <f t="shared" si="16"/>
        <v>Aug</v>
      </c>
      <c r="N349" s="2">
        <f t="shared" si="17"/>
        <v>0.1213327688980306</v>
      </c>
    </row>
    <row r="350" spans="1:14" x14ac:dyDescent="0.45">
      <c r="A350" t="s">
        <v>727</v>
      </c>
      <c r="B350" s="1">
        <v>44693</v>
      </c>
      <c r="C350" t="s">
        <v>728</v>
      </c>
      <c r="D350" t="s">
        <v>56</v>
      </c>
      <c r="E350" t="s">
        <v>20</v>
      </c>
      <c r="F350" t="s">
        <v>50</v>
      </c>
      <c r="G350">
        <v>1</v>
      </c>
      <c r="H350">
        <v>34229.86</v>
      </c>
      <c r="I350">
        <v>6390.66</v>
      </c>
      <c r="J350" t="s">
        <v>47</v>
      </c>
      <c r="K350" t="s">
        <v>29</v>
      </c>
      <c r="L350">
        <f t="shared" si="15"/>
        <v>2022</v>
      </c>
      <c r="M350" t="str">
        <f t="shared" si="16"/>
        <v>May</v>
      </c>
      <c r="N350" s="2">
        <f t="shared" si="17"/>
        <v>0.18669839724731563</v>
      </c>
    </row>
    <row r="351" spans="1:14" x14ac:dyDescent="0.45">
      <c r="A351" t="s">
        <v>729</v>
      </c>
      <c r="B351" s="1">
        <v>45211</v>
      </c>
      <c r="C351" t="s">
        <v>730</v>
      </c>
      <c r="D351" t="s">
        <v>56</v>
      </c>
      <c r="E351" t="s">
        <v>20</v>
      </c>
      <c r="F351" t="s">
        <v>27</v>
      </c>
      <c r="G351">
        <v>1</v>
      </c>
      <c r="H351">
        <v>44881.62</v>
      </c>
      <c r="I351">
        <v>10157.219999999999</v>
      </c>
      <c r="J351" t="s">
        <v>22</v>
      </c>
      <c r="K351" t="s">
        <v>23</v>
      </c>
      <c r="L351">
        <f t="shared" si="15"/>
        <v>2023</v>
      </c>
      <c r="M351" t="str">
        <f t="shared" si="16"/>
        <v>Oct</v>
      </c>
      <c r="N351" s="2">
        <f t="shared" si="17"/>
        <v>0.22631134972400727</v>
      </c>
    </row>
    <row r="352" spans="1:14" x14ac:dyDescent="0.45">
      <c r="A352" t="s">
        <v>731</v>
      </c>
      <c r="B352" s="1">
        <v>44593</v>
      </c>
      <c r="C352" t="s">
        <v>732</v>
      </c>
      <c r="D352" t="s">
        <v>13</v>
      </c>
      <c r="E352" t="s">
        <v>20</v>
      </c>
      <c r="F352" t="s">
        <v>43</v>
      </c>
      <c r="G352">
        <v>5</v>
      </c>
      <c r="H352">
        <v>10172.950000000001</v>
      </c>
      <c r="I352">
        <v>1566.11</v>
      </c>
      <c r="J352" t="s">
        <v>16</v>
      </c>
      <c r="K352" t="s">
        <v>33</v>
      </c>
      <c r="L352">
        <f t="shared" si="15"/>
        <v>2022</v>
      </c>
      <c r="M352" t="str">
        <f t="shared" si="16"/>
        <v>Feb</v>
      </c>
      <c r="N352" s="2">
        <f t="shared" si="17"/>
        <v>0.15394846136076554</v>
      </c>
    </row>
    <row r="353" spans="1:14" x14ac:dyDescent="0.45">
      <c r="A353" t="s">
        <v>733</v>
      </c>
      <c r="B353" s="1">
        <v>45403</v>
      </c>
      <c r="C353" t="s">
        <v>734</v>
      </c>
      <c r="D353" t="s">
        <v>13</v>
      </c>
      <c r="E353" t="s">
        <v>36</v>
      </c>
      <c r="F353" t="s">
        <v>46</v>
      </c>
      <c r="G353">
        <v>3</v>
      </c>
      <c r="H353">
        <v>36527.919999999998</v>
      </c>
      <c r="I353">
        <v>6707.12</v>
      </c>
      <c r="J353" t="s">
        <v>16</v>
      </c>
      <c r="K353" t="s">
        <v>33</v>
      </c>
      <c r="L353">
        <f t="shared" si="15"/>
        <v>2024</v>
      </c>
      <c r="M353" t="str">
        <f t="shared" si="16"/>
        <v>Apr</v>
      </c>
      <c r="N353" s="2">
        <f t="shared" si="17"/>
        <v>0.18361625846749555</v>
      </c>
    </row>
    <row r="354" spans="1:14" x14ac:dyDescent="0.45">
      <c r="A354" t="s">
        <v>735</v>
      </c>
      <c r="B354" s="1">
        <v>45586</v>
      </c>
      <c r="C354" t="s">
        <v>736</v>
      </c>
      <c r="D354" t="s">
        <v>13</v>
      </c>
      <c r="E354" t="s">
        <v>36</v>
      </c>
      <c r="F354" t="s">
        <v>37</v>
      </c>
      <c r="G354">
        <v>1</v>
      </c>
      <c r="H354">
        <v>21209.200000000001</v>
      </c>
      <c r="I354">
        <v>2846.76</v>
      </c>
      <c r="J354" t="s">
        <v>16</v>
      </c>
      <c r="K354" t="s">
        <v>23</v>
      </c>
      <c r="L354">
        <f t="shared" si="15"/>
        <v>2024</v>
      </c>
      <c r="M354" t="str">
        <f t="shared" si="16"/>
        <v>Oct</v>
      </c>
      <c r="N354" s="2">
        <f t="shared" si="17"/>
        <v>0.13422288440865285</v>
      </c>
    </row>
    <row r="355" spans="1:14" x14ac:dyDescent="0.45">
      <c r="A355" t="s">
        <v>737</v>
      </c>
      <c r="B355" s="1">
        <v>44833</v>
      </c>
      <c r="C355" t="s">
        <v>738</v>
      </c>
      <c r="D355" t="s">
        <v>26</v>
      </c>
      <c r="E355" t="s">
        <v>20</v>
      </c>
      <c r="F355" t="s">
        <v>43</v>
      </c>
      <c r="G355">
        <v>3</v>
      </c>
      <c r="H355">
        <v>48768.959999999999</v>
      </c>
      <c r="I355">
        <v>4326.37</v>
      </c>
      <c r="J355" t="s">
        <v>28</v>
      </c>
      <c r="K355" t="s">
        <v>17</v>
      </c>
      <c r="L355">
        <f t="shared" si="15"/>
        <v>2022</v>
      </c>
      <c r="M355" t="str">
        <f t="shared" si="16"/>
        <v>Sep</v>
      </c>
      <c r="N355" s="2">
        <f t="shared" si="17"/>
        <v>8.8711549313333721E-2</v>
      </c>
    </row>
    <row r="356" spans="1:14" x14ac:dyDescent="0.45">
      <c r="A356" t="s">
        <v>739</v>
      </c>
      <c r="B356" s="1">
        <v>45648</v>
      </c>
      <c r="C356" t="s">
        <v>740</v>
      </c>
      <c r="D356" t="s">
        <v>56</v>
      </c>
      <c r="E356" t="s">
        <v>14</v>
      </c>
      <c r="F356" t="s">
        <v>32</v>
      </c>
      <c r="G356">
        <v>2</v>
      </c>
      <c r="H356">
        <v>5940.98</v>
      </c>
      <c r="I356">
        <v>619.78</v>
      </c>
      <c r="J356" t="s">
        <v>22</v>
      </c>
      <c r="K356" t="s">
        <v>33</v>
      </c>
      <c r="L356">
        <f t="shared" si="15"/>
        <v>2024</v>
      </c>
      <c r="M356" t="str">
        <f t="shared" si="16"/>
        <v>Dec</v>
      </c>
      <c r="N356" s="2">
        <f t="shared" si="17"/>
        <v>0.10432285582513323</v>
      </c>
    </row>
    <row r="357" spans="1:14" x14ac:dyDescent="0.45">
      <c r="A357" t="s">
        <v>741</v>
      </c>
      <c r="B357" s="1">
        <v>44877</v>
      </c>
      <c r="C357" t="s">
        <v>742</v>
      </c>
      <c r="D357" t="s">
        <v>26</v>
      </c>
      <c r="E357" t="s">
        <v>14</v>
      </c>
      <c r="F357" t="s">
        <v>15</v>
      </c>
      <c r="G357">
        <v>3</v>
      </c>
      <c r="H357">
        <v>33552.230000000003</v>
      </c>
      <c r="I357">
        <v>2498.4299999999998</v>
      </c>
      <c r="J357" t="s">
        <v>71</v>
      </c>
      <c r="K357" t="s">
        <v>29</v>
      </c>
      <c r="L357">
        <f t="shared" si="15"/>
        <v>2022</v>
      </c>
      <c r="M357" t="str">
        <f t="shared" si="16"/>
        <v>Nov</v>
      </c>
      <c r="N357" s="2">
        <f t="shared" si="17"/>
        <v>7.446390299541937E-2</v>
      </c>
    </row>
    <row r="358" spans="1:14" x14ac:dyDescent="0.45">
      <c r="A358" t="s">
        <v>743</v>
      </c>
      <c r="B358" s="1">
        <v>45055</v>
      </c>
      <c r="C358" t="s">
        <v>744</v>
      </c>
      <c r="D358" t="s">
        <v>26</v>
      </c>
      <c r="E358" t="s">
        <v>20</v>
      </c>
      <c r="F358" t="s">
        <v>27</v>
      </c>
      <c r="G358">
        <v>5</v>
      </c>
      <c r="H358">
        <v>43589.42</v>
      </c>
      <c r="I358">
        <v>4181.71</v>
      </c>
      <c r="J358" t="s">
        <v>71</v>
      </c>
      <c r="K358" t="s">
        <v>23</v>
      </c>
      <c r="L358">
        <f t="shared" si="15"/>
        <v>2023</v>
      </c>
      <c r="M358" t="str">
        <f t="shared" si="16"/>
        <v>May</v>
      </c>
      <c r="N358" s="2">
        <f t="shared" si="17"/>
        <v>9.5934059228133806E-2</v>
      </c>
    </row>
    <row r="359" spans="1:14" x14ac:dyDescent="0.45">
      <c r="A359" t="s">
        <v>745</v>
      </c>
      <c r="B359" s="1">
        <v>44928</v>
      </c>
      <c r="C359" t="s">
        <v>746</v>
      </c>
      <c r="D359" t="s">
        <v>26</v>
      </c>
      <c r="E359" t="s">
        <v>14</v>
      </c>
      <c r="F359" t="s">
        <v>15</v>
      </c>
      <c r="G359">
        <v>4</v>
      </c>
      <c r="H359">
        <v>16281.72</v>
      </c>
      <c r="I359">
        <v>3316.11</v>
      </c>
      <c r="J359" t="s">
        <v>47</v>
      </c>
      <c r="K359" t="s">
        <v>33</v>
      </c>
      <c r="L359">
        <f t="shared" si="15"/>
        <v>2023</v>
      </c>
      <c r="M359" t="str">
        <f t="shared" si="16"/>
        <v>Jan</v>
      </c>
      <c r="N359" s="2">
        <f t="shared" si="17"/>
        <v>0.20367074240313679</v>
      </c>
    </row>
    <row r="360" spans="1:14" x14ac:dyDescent="0.45">
      <c r="A360" t="s">
        <v>747</v>
      </c>
      <c r="B360" s="1">
        <v>45475</v>
      </c>
      <c r="C360" t="s">
        <v>748</v>
      </c>
      <c r="D360" t="s">
        <v>56</v>
      </c>
      <c r="E360" t="s">
        <v>20</v>
      </c>
      <c r="F360" t="s">
        <v>27</v>
      </c>
      <c r="G360">
        <v>5</v>
      </c>
      <c r="H360">
        <v>20253.36</v>
      </c>
      <c r="I360">
        <v>1613.35</v>
      </c>
      <c r="J360" t="s">
        <v>71</v>
      </c>
      <c r="K360" t="s">
        <v>29</v>
      </c>
      <c r="L360">
        <f t="shared" si="15"/>
        <v>2024</v>
      </c>
      <c r="M360" t="str">
        <f t="shared" si="16"/>
        <v>Jul</v>
      </c>
      <c r="N360" s="2">
        <f t="shared" si="17"/>
        <v>7.9658387546560169E-2</v>
      </c>
    </row>
    <row r="361" spans="1:14" x14ac:dyDescent="0.45">
      <c r="A361" t="s">
        <v>749</v>
      </c>
      <c r="B361" s="1">
        <v>44809</v>
      </c>
      <c r="C361" t="s">
        <v>750</v>
      </c>
      <c r="D361" t="s">
        <v>56</v>
      </c>
      <c r="E361" t="s">
        <v>14</v>
      </c>
      <c r="F361" t="s">
        <v>40</v>
      </c>
      <c r="G361">
        <v>4</v>
      </c>
      <c r="H361">
        <v>2234.64</v>
      </c>
      <c r="I361">
        <v>448.84</v>
      </c>
      <c r="J361" t="s">
        <v>16</v>
      </c>
      <c r="K361" t="s">
        <v>23</v>
      </c>
      <c r="L361">
        <f t="shared" si="15"/>
        <v>2022</v>
      </c>
      <c r="M361" t="str">
        <f t="shared" si="16"/>
        <v>Sep</v>
      </c>
      <c r="N361" s="2">
        <f t="shared" si="17"/>
        <v>0.20085561880213368</v>
      </c>
    </row>
    <row r="362" spans="1:14" x14ac:dyDescent="0.45">
      <c r="A362" t="s">
        <v>751</v>
      </c>
      <c r="B362" s="1">
        <v>45373</v>
      </c>
      <c r="C362" t="s">
        <v>212</v>
      </c>
      <c r="D362" t="s">
        <v>13</v>
      </c>
      <c r="E362" t="s">
        <v>14</v>
      </c>
      <c r="F362" t="s">
        <v>32</v>
      </c>
      <c r="G362">
        <v>5</v>
      </c>
      <c r="H362">
        <v>49188.35</v>
      </c>
      <c r="I362">
        <v>3677.81</v>
      </c>
      <c r="J362" t="s">
        <v>16</v>
      </c>
      <c r="K362" t="s">
        <v>33</v>
      </c>
      <c r="L362">
        <f t="shared" si="15"/>
        <v>2024</v>
      </c>
      <c r="M362" t="str">
        <f t="shared" si="16"/>
        <v>Mar</v>
      </c>
      <c r="N362" s="2">
        <f t="shared" si="17"/>
        <v>7.4769940443214708E-2</v>
      </c>
    </row>
    <row r="363" spans="1:14" x14ac:dyDescent="0.45">
      <c r="A363" t="s">
        <v>752</v>
      </c>
      <c r="B363" s="1">
        <v>45519</v>
      </c>
      <c r="C363" t="s">
        <v>753</v>
      </c>
      <c r="D363" t="s">
        <v>26</v>
      </c>
      <c r="E363" t="s">
        <v>36</v>
      </c>
      <c r="F363" t="s">
        <v>64</v>
      </c>
      <c r="G363">
        <v>5</v>
      </c>
      <c r="H363">
        <v>23408.16</v>
      </c>
      <c r="I363">
        <v>3168.51</v>
      </c>
      <c r="J363" t="s">
        <v>16</v>
      </c>
      <c r="K363" t="s">
        <v>29</v>
      </c>
      <c r="L363">
        <f t="shared" si="15"/>
        <v>2024</v>
      </c>
      <c r="M363" t="str">
        <f t="shared" si="16"/>
        <v>Aug</v>
      </c>
      <c r="N363" s="2">
        <f t="shared" si="17"/>
        <v>0.13535920807103166</v>
      </c>
    </row>
    <row r="364" spans="1:14" x14ac:dyDescent="0.45">
      <c r="A364" t="s">
        <v>754</v>
      </c>
      <c r="B364" s="1">
        <v>44808</v>
      </c>
      <c r="C364" t="s">
        <v>755</v>
      </c>
      <c r="D364" t="s">
        <v>56</v>
      </c>
      <c r="E364" t="s">
        <v>14</v>
      </c>
      <c r="F364" t="s">
        <v>40</v>
      </c>
      <c r="G364">
        <v>1</v>
      </c>
      <c r="H364">
        <v>8656.17</v>
      </c>
      <c r="I364">
        <v>2051.5100000000002</v>
      </c>
      <c r="J364" t="s">
        <v>47</v>
      </c>
      <c r="K364" t="s">
        <v>23</v>
      </c>
      <c r="L364">
        <f t="shared" si="15"/>
        <v>2022</v>
      </c>
      <c r="M364" t="str">
        <f t="shared" si="16"/>
        <v>Sep</v>
      </c>
      <c r="N364" s="2">
        <f t="shared" si="17"/>
        <v>0.23699973544881861</v>
      </c>
    </row>
    <row r="365" spans="1:14" x14ac:dyDescent="0.45">
      <c r="A365" t="s">
        <v>756</v>
      </c>
      <c r="B365" s="1">
        <v>44764</v>
      </c>
      <c r="C365" t="s">
        <v>757</v>
      </c>
      <c r="D365" t="s">
        <v>13</v>
      </c>
      <c r="E365" t="s">
        <v>14</v>
      </c>
      <c r="F365" t="s">
        <v>15</v>
      </c>
      <c r="G365">
        <v>1</v>
      </c>
      <c r="H365">
        <v>41299.769999999997</v>
      </c>
      <c r="I365">
        <v>7430.66</v>
      </c>
      <c r="J365" t="s">
        <v>47</v>
      </c>
      <c r="K365" t="s">
        <v>23</v>
      </c>
      <c r="L365">
        <f t="shared" si="15"/>
        <v>2022</v>
      </c>
      <c r="M365" t="str">
        <f t="shared" si="16"/>
        <v>Jul</v>
      </c>
      <c r="N365" s="2">
        <f t="shared" si="17"/>
        <v>0.17992013030581044</v>
      </c>
    </row>
    <row r="366" spans="1:14" x14ac:dyDescent="0.45">
      <c r="A366" t="s">
        <v>758</v>
      </c>
      <c r="B366" s="1">
        <v>44868</v>
      </c>
      <c r="C366" t="s">
        <v>759</v>
      </c>
      <c r="D366" t="s">
        <v>13</v>
      </c>
      <c r="E366" t="s">
        <v>36</v>
      </c>
      <c r="F366" t="s">
        <v>37</v>
      </c>
      <c r="G366">
        <v>2</v>
      </c>
      <c r="H366">
        <v>14983.43</v>
      </c>
      <c r="I366">
        <v>1431.5</v>
      </c>
      <c r="J366" t="s">
        <v>16</v>
      </c>
      <c r="K366" t="s">
        <v>29</v>
      </c>
      <c r="L366">
        <f t="shared" si="15"/>
        <v>2022</v>
      </c>
      <c r="M366" t="str">
        <f t="shared" si="16"/>
        <v>Nov</v>
      </c>
      <c r="N366" s="2">
        <f t="shared" si="17"/>
        <v>9.5538871940536979E-2</v>
      </c>
    </row>
    <row r="367" spans="1:14" x14ac:dyDescent="0.45">
      <c r="A367" t="s">
        <v>760</v>
      </c>
      <c r="B367" s="1">
        <v>44840</v>
      </c>
      <c r="C367" t="s">
        <v>761</v>
      </c>
      <c r="D367" t="s">
        <v>13</v>
      </c>
      <c r="E367" t="s">
        <v>36</v>
      </c>
      <c r="F367" t="s">
        <v>46</v>
      </c>
      <c r="G367">
        <v>1</v>
      </c>
      <c r="H367">
        <v>17051.830000000002</v>
      </c>
      <c r="I367">
        <v>3431.51</v>
      </c>
      <c r="J367" t="s">
        <v>71</v>
      </c>
      <c r="K367" t="s">
        <v>29</v>
      </c>
      <c r="L367">
        <f t="shared" si="15"/>
        <v>2022</v>
      </c>
      <c r="M367" t="str">
        <f t="shared" si="16"/>
        <v>Oct</v>
      </c>
      <c r="N367" s="2">
        <f t="shared" si="17"/>
        <v>0.20123998421283815</v>
      </c>
    </row>
    <row r="368" spans="1:14" x14ac:dyDescent="0.45">
      <c r="A368" t="s">
        <v>762</v>
      </c>
      <c r="B368" s="1">
        <v>45536</v>
      </c>
      <c r="C368" t="s">
        <v>763</v>
      </c>
      <c r="D368" t="s">
        <v>56</v>
      </c>
      <c r="E368" t="s">
        <v>14</v>
      </c>
      <c r="F368" t="s">
        <v>57</v>
      </c>
      <c r="G368">
        <v>5</v>
      </c>
      <c r="H368">
        <v>18112.900000000001</v>
      </c>
      <c r="I368">
        <v>2009.06</v>
      </c>
      <c r="J368" t="s">
        <v>71</v>
      </c>
      <c r="K368" t="s">
        <v>17</v>
      </c>
      <c r="L368">
        <f t="shared" si="15"/>
        <v>2024</v>
      </c>
      <c r="M368" t="str">
        <f t="shared" si="16"/>
        <v>Sep</v>
      </c>
      <c r="N368" s="2">
        <f t="shared" si="17"/>
        <v>0.11091873747439669</v>
      </c>
    </row>
    <row r="369" spans="1:14" x14ac:dyDescent="0.45">
      <c r="A369" t="s">
        <v>764</v>
      </c>
      <c r="B369" s="1">
        <v>44731</v>
      </c>
      <c r="C369" t="s">
        <v>765</v>
      </c>
      <c r="D369" t="s">
        <v>56</v>
      </c>
      <c r="E369" t="s">
        <v>14</v>
      </c>
      <c r="F369" t="s">
        <v>32</v>
      </c>
      <c r="G369">
        <v>5</v>
      </c>
      <c r="H369">
        <v>683.71</v>
      </c>
      <c r="I369">
        <v>115.86</v>
      </c>
      <c r="J369" t="s">
        <v>22</v>
      </c>
      <c r="K369" t="s">
        <v>33</v>
      </c>
      <c r="L369">
        <f t="shared" si="15"/>
        <v>2022</v>
      </c>
      <c r="M369" t="str">
        <f t="shared" si="16"/>
        <v>Jun</v>
      </c>
      <c r="N369" s="2">
        <f t="shared" si="17"/>
        <v>0.16945781106024482</v>
      </c>
    </row>
    <row r="370" spans="1:14" x14ac:dyDescent="0.45">
      <c r="A370" t="s">
        <v>766</v>
      </c>
      <c r="B370" s="1">
        <v>45595</v>
      </c>
      <c r="C370" t="s">
        <v>767</v>
      </c>
      <c r="D370" t="s">
        <v>26</v>
      </c>
      <c r="E370" t="s">
        <v>20</v>
      </c>
      <c r="F370" t="s">
        <v>27</v>
      </c>
      <c r="G370">
        <v>1</v>
      </c>
      <c r="H370">
        <v>40375.29</v>
      </c>
      <c r="I370">
        <v>3439.14</v>
      </c>
      <c r="J370" t="s">
        <v>22</v>
      </c>
      <c r="K370" t="s">
        <v>29</v>
      </c>
      <c r="L370">
        <f t="shared" si="15"/>
        <v>2024</v>
      </c>
      <c r="M370" t="str">
        <f t="shared" si="16"/>
        <v>Oct</v>
      </c>
      <c r="N370" s="2">
        <f t="shared" si="17"/>
        <v>8.5179326266139513E-2</v>
      </c>
    </row>
    <row r="371" spans="1:14" x14ac:dyDescent="0.45">
      <c r="A371" t="s">
        <v>768</v>
      </c>
      <c r="B371" s="1">
        <v>45518</v>
      </c>
      <c r="C371" t="s">
        <v>769</v>
      </c>
      <c r="D371" t="s">
        <v>13</v>
      </c>
      <c r="E371" t="s">
        <v>36</v>
      </c>
      <c r="F371" t="s">
        <v>37</v>
      </c>
      <c r="G371">
        <v>4</v>
      </c>
      <c r="H371">
        <v>38250.68</v>
      </c>
      <c r="I371">
        <v>9470.24</v>
      </c>
      <c r="J371" t="s">
        <v>71</v>
      </c>
      <c r="K371" t="s">
        <v>17</v>
      </c>
      <c r="L371">
        <f t="shared" si="15"/>
        <v>2024</v>
      </c>
      <c r="M371" t="str">
        <f t="shared" si="16"/>
        <v>Aug</v>
      </c>
      <c r="N371" s="2">
        <f t="shared" si="17"/>
        <v>0.24758357237047812</v>
      </c>
    </row>
    <row r="372" spans="1:14" x14ac:dyDescent="0.45">
      <c r="A372" t="s">
        <v>770</v>
      </c>
      <c r="B372" s="1">
        <v>44679</v>
      </c>
      <c r="C372" t="s">
        <v>771</v>
      </c>
      <c r="D372" t="s">
        <v>13</v>
      </c>
      <c r="E372" t="s">
        <v>20</v>
      </c>
      <c r="F372" t="s">
        <v>50</v>
      </c>
      <c r="G372">
        <v>2</v>
      </c>
      <c r="H372">
        <v>16106.41</v>
      </c>
      <c r="I372">
        <v>894.36</v>
      </c>
      <c r="J372" t="s">
        <v>71</v>
      </c>
      <c r="K372" t="s">
        <v>29</v>
      </c>
      <c r="L372">
        <f t="shared" si="15"/>
        <v>2022</v>
      </c>
      <c r="M372" t="str">
        <f t="shared" si="16"/>
        <v>Apr</v>
      </c>
      <c r="N372" s="2">
        <f t="shared" si="17"/>
        <v>5.5528202746608336E-2</v>
      </c>
    </row>
    <row r="373" spans="1:14" x14ac:dyDescent="0.45">
      <c r="A373" t="s">
        <v>772</v>
      </c>
      <c r="B373" s="1">
        <v>45116</v>
      </c>
      <c r="C373" t="s">
        <v>773</v>
      </c>
      <c r="D373" t="s">
        <v>26</v>
      </c>
      <c r="E373" t="s">
        <v>20</v>
      </c>
      <c r="F373" t="s">
        <v>21</v>
      </c>
      <c r="G373">
        <v>2</v>
      </c>
      <c r="H373">
        <v>674.53</v>
      </c>
      <c r="I373">
        <v>110.49</v>
      </c>
      <c r="J373" t="s">
        <v>16</v>
      </c>
      <c r="K373" t="s">
        <v>29</v>
      </c>
      <c r="L373">
        <f t="shared" si="15"/>
        <v>2023</v>
      </c>
      <c r="M373" t="str">
        <f t="shared" si="16"/>
        <v>Jul</v>
      </c>
      <c r="N373" s="2">
        <f t="shared" si="17"/>
        <v>0.16380294427230813</v>
      </c>
    </row>
    <row r="374" spans="1:14" x14ac:dyDescent="0.45">
      <c r="A374" t="s">
        <v>774</v>
      </c>
      <c r="B374" s="1">
        <v>45094</v>
      </c>
      <c r="C374" t="s">
        <v>775</v>
      </c>
      <c r="D374" t="s">
        <v>56</v>
      </c>
      <c r="E374" t="s">
        <v>20</v>
      </c>
      <c r="F374" t="s">
        <v>27</v>
      </c>
      <c r="G374">
        <v>2</v>
      </c>
      <c r="H374">
        <v>42841.14</v>
      </c>
      <c r="I374">
        <v>10679.28</v>
      </c>
      <c r="J374" t="s">
        <v>47</v>
      </c>
      <c r="K374" t="s">
        <v>33</v>
      </c>
      <c r="L374">
        <f t="shared" si="15"/>
        <v>2023</v>
      </c>
      <c r="M374" t="str">
        <f t="shared" si="16"/>
        <v>Jun</v>
      </c>
      <c r="N374" s="2">
        <f t="shared" si="17"/>
        <v>0.24927627976286348</v>
      </c>
    </row>
    <row r="375" spans="1:14" x14ac:dyDescent="0.45">
      <c r="A375" t="s">
        <v>776</v>
      </c>
      <c r="B375" s="1">
        <v>45168</v>
      </c>
      <c r="C375" t="s">
        <v>777</v>
      </c>
      <c r="D375" t="s">
        <v>13</v>
      </c>
      <c r="E375" t="s">
        <v>14</v>
      </c>
      <c r="F375" t="s">
        <v>32</v>
      </c>
      <c r="G375">
        <v>1</v>
      </c>
      <c r="H375">
        <v>44613.45</v>
      </c>
      <c r="I375">
        <v>9945.5499999999993</v>
      </c>
      <c r="J375" t="s">
        <v>16</v>
      </c>
      <c r="K375" t="s">
        <v>29</v>
      </c>
      <c r="L375">
        <f t="shared" si="15"/>
        <v>2023</v>
      </c>
      <c r="M375" t="str">
        <f t="shared" si="16"/>
        <v>Aug</v>
      </c>
      <c r="N375" s="2">
        <f t="shared" si="17"/>
        <v>0.22292716658317166</v>
      </c>
    </row>
    <row r="376" spans="1:14" x14ac:dyDescent="0.45">
      <c r="A376" t="s">
        <v>778</v>
      </c>
      <c r="B376" s="1">
        <v>44756</v>
      </c>
      <c r="C376" t="s">
        <v>779</v>
      </c>
      <c r="D376" t="s">
        <v>13</v>
      </c>
      <c r="E376" t="s">
        <v>14</v>
      </c>
      <c r="F376" t="s">
        <v>40</v>
      </c>
      <c r="G376">
        <v>4</v>
      </c>
      <c r="H376">
        <v>43723.23</v>
      </c>
      <c r="I376">
        <v>8625.07</v>
      </c>
      <c r="J376" t="s">
        <v>22</v>
      </c>
      <c r="K376" t="s">
        <v>17</v>
      </c>
      <c r="L376">
        <f t="shared" si="15"/>
        <v>2022</v>
      </c>
      <c r="M376" t="str">
        <f t="shared" si="16"/>
        <v>Jul</v>
      </c>
      <c r="N376" s="2">
        <f t="shared" si="17"/>
        <v>0.19726516087672386</v>
      </c>
    </row>
    <row r="377" spans="1:14" x14ac:dyDescent="0.45">
      <c r="A377" t="s">
        <v>780</v>
      </c>
      <c r="B377" s="1">
        <v>45114</v>
      </c>
      <c r="C377" t="s">
        <v>781</v>
      </c>
      <c r="D377" t="s">
        <v>13</v>
      </c>
      <c r="E377" t="s">
        <v>36</v>
      </c>
      <c r="F377" t="s">
        <v>53</v>
      </c>
      <c r="G377">
        <v>1</v>
      </c>
      <c r="H377">
        <v>39585.550000000003</v>
      </c>
      <c r="I377">
        <v>5020.24</v>
      </c>
      <c r="J377" t="s">
        <v>16</v>
      </c>
      <c r="K377" t="s">
        <v>33</v>
      </c>
      <c r="L377">
        <f t="shared" si="15"/>
        <v>2023</v>
      </c>
      <c r="M377" t="str">
        <f t="shared" si="16"/>
        <v>Jul</v>
      </c>
      <c r="N377" s="2">
        <f t="shared" si="17"/>
        <v>0.12682001386869701</v>
      </c>
    </row>
    <row r="378" spans="1:14" x14ac:dyDescent="0.45">
      <c r="A378" t="s">
        <v>782</v>
      </c>
      <c r="B378" s="1">
        <v>45581</v>
      </c>
      <c r="C378" t="s">
        <v>783</v>
      </c>
      <c r="D378" t="s">
        <v>26</v>
      </c>
      <c r="E378" t="s">
        <v>20</v>
      </c>
      <c r="F378" t="s">
        <v>27</v>
      </c>
      <c r="G378">
        <v>3</v>
      </c>
      <c r="H378">
        <v>3029.1</v>
      </c>
      <c r="I378">
        <v>212.43</v>
      </c>
      <c r="J378" t="s">
        <v>47</v>
      </c>
      <c r="K378" t="s">
        <v>17</v>
      </c>
      <c r="L378">
        <f t="shared" si="15"/>
        <v>2024</v>
      </c>
      <c r="M378" t="str">
        <f t="shared" si="16"/>
        <v>Oct</v>
      </c>
      <c r="N378" s="2">
        <f t="shared" si="17"/>
        <v>7.012974150737844E-2</v>
      </c>
    </row>
    <row r="379" spans="1:14" x14ac:dyDescent="0.45">
      <c r="A379" t="s">
        <v>784</v>
      </c>
      <c r="B379" s="1">
        <v>45233</v>
      </c>
      <c r="C379" t="s">
        <v>785</v>
      </c>
      <c r="D379" t="s">
        <v>56</v>
      </c>
      <c r="E379" t="s">
        <v>36</v>
      </c>
      <c r="F379" t="s">
        <v>64</v>
      </c>
      <c r="G379">
        <v>3</v>
      </c>
      <c r="H379">
        <v>6928.55</v>
      </c>
      <c r="I379">
        <v>1094.6199999999999</v>
      </c>
      <c r="J379" t="s">
        <v>47</v>
      </c>
      <c r="K379" t="s">
        <v>29</v>
      </c>
      <c r="L379">
        <f t="shared" si="15"/>
        <v>2023</v>
      </c>
      <c r="M379" t="str">
        <f t="shared" si="16"/>
        <v>Nov</v>
      </c>
      <c r="N379" s="2">
        <f t="shared" si="17"/>
        <v>0.15798688037179495</v>
      </c>
    </row>
    <row r="380" spans="1:14" x14ac:dyDescent="0.45">
      <c r="A380" t="s">
        <v>786</v>
      </c>
      <c r="B380" s="1">
        <v>45110</v>
      </c>
      <c r="C380" t="s">
        <v>787</v>
      </c>
      <c r="D380" t="s">
        <v>13</v>
      </c>
      <c r="E380" t="s">
        <v>36</v>
      </c>
      <c r="F380" t="s">
        <v>37</v>
      </c>
      <c r="G380">
        <v>1</v>
      </c>
      <c r="H380">
        <v>29194.97</v>
      </c>
      <c r="I380">
        <v>3338.53</v>
      </c>
      <c r="J380" t="s">
        <v>16</v>
      </c>
      <c r="K380" t="s">
        <v>17</v>
      </c>
      <c r="L380">
        <f t="shared" si="15"/>
        <v>2023</v>
      </c>
      <c r="M380" t="str">
        <f t="shared" si="16"/>
        <v>Jul</v>
      </c>
      <c r="N380" s="2">
        <f t="shared" si="17"/>
        <v>0.11435291764300494</v>
      </c>
    </row>
    <row r="381" spans="1:14" x14ac:dyDescent="0.45">
      <c r="A381" t="s">
        <v>788</v>
      </c>
      <c r="B381" s="1">
        <v>44941</v>
      </c>
      <c r="C381" t="s">
        <v>789</v>
      </c>
      <c r="D381" t="s">
        <v>13</v>
      </c>
      <c r="E381" t="s">
        <v>36</v>
      </c>
      <c r="F381" t="s">
        <v>64</v>
      </c>
      <c r="G381">
        <v>4</v>
      </c>
      <c r="H381">
        <v>7610.63</v>
      </c>
      <c r="I381">
        <v>778.35</v>
      </c>
      <c r="J381" t="s">
        <v>22</v>
      </c>
      <c r="K381" t="s">
        <v>17</v>
      </c>
      <c r="L381">
        <f t="shared" si="15"/>
        <v>2023</v>
      </c>
      <c r="M381" t="str">
        <f t="shared" si="16"/>
        <v>Jan</v>
      </c>
      <c r="N381" s="2">
        <f t="shared" si="17"/>
        <v>0.10227142825232602</v>
      </c>
    </row>
    <row r="382" spans="1:14" x14ac:dyDescent="0.45">
      <c r="A382" t="s">
        <v>790</v>
      </c>
      <c r="B382" s="1">
        <v>44700</v>
      </c>
      <c r="C382" t="s">
        <v>791</v>
      </c>
      <c r="D382" t="s">
        <v>56</v>
      </c>
      <c r="E382" t="s">
        <v>20</v>
      </c>
      <c r="F382" t="s">
        <v>50</v>
      </c>
      <c r="G382">
        <v>1</v>
      </c>
      <c r="H382">
        <v>34068.400000000001</v>
      </c>
      <c r="I382">
        <v>1824.45</v>
      </c>
      <c r="J382" t="s">
        <v>71</v>
      </c>
      <c r="K382" t="s">
        <v>33</v>
      </c>
      <c r="L382">
        <f t="shared" si="15"/>
        <v>2022</v>
      </c>
      <c r="M382" t="str">
        <f t="shared" si="16"/>
        <v>May</v>
      </c>
      <c r="N382" s="2">
        <f t="shared" si="17"/>
        <v>5.3552558969602329E-2</v>
      </c>
    </row>
    <row r="383" spans="1:14" x14ac:dyDescent="0.45">
      <c r="A383" t="s">
        <v>792</v>
      </c>
      <c r="B383" s="1">
        <v>45190</v>
      </c>
      <c r="C383" t="s">
        <v>793</v>
      </c>
      <c r="D383" t="s">
        <v>56</v>
      </c>
      <c r="E383" t="s">
        <v>14</v>
      </c>
      <c r="F383" t="s">
        <v>32</v>
      </c>
      <c r="G383">
        <v>5</v>
      </c>
      <c r="H383">
        <v>49977.4</v>
      </c>
      <c r="I383">
        <v>4072.75</v>
      </c>
      <c r="J383" t="s">
        <v>28</v>
      </c>
      <c r="K383" t="s">
        <v>23</v>
      </c>
      <c r="L383">
        <f t="shared" si="15"/>
        <v>2023</v>
      </c>
      <c r="M383" t="str">
        <f t="shared" si="16"/>
        <v>Sep</v>
      </c>
      <c r="N383" s="2">
        <f t="shared" si="17"/>
        <v>8.1491834309107711E-2</v>
      </c>
    </row>
    <row r="384" spans="1:14" x14ac:dyDescent="0.45">
      <c r="A384" t="s">
        <v>794</v>
      </c>
      <c r="B384" s="1">
        <v>44858</v>
      </c>
      <c r="C384" t="s">
        <v>795</v>
      </c>
      <c r="D384" t="s">
        <v>13</v>
      </c>
      <c r="E384" t="s">
        <v>36</v>
      </c>
      <c r="F384" t="s">
        <v>53</v>
      </c>
      <c r="G384">
        <v>3</v>
      </c>
      <c r="H384">
        <v>41482.85</v>
      </c>
      <c r="I384">
        <v>10222.92</v>
      </c>
      <c r="J384" t="s">
        <v>28</v>
      </c>
      <c r="K384" t="s">
        <v>23</v>
      </c>
      <c r="L384">
        <f t="shared" si="15"/>
        <v>2022</v>
      </c>
      <c r="M384" t="str">
        <f t="shared" si="16"/>
        <v>Oct</v>
      </c>
      <c r="N384" s="2">
        <f t="shared" si="17"/>
        <v>0.24643726262780885</v>
      </c>
    </row>
    <row r="385" spans="1:14" x14ac:dyDescent="0.45">
      <c r="A385" t="s">
        <v>796</v>
      </c>
      <c r="B385" s="1">
        <v>44752</v>
      </c>
      <c r="C385" t="s">
        <v>755</v>
      </c>
      <c r="D385" t="s">
        <v>56</v>
      </c>
      <c r="E385" t="s">
        <v>36</v>
      </c>
      <c r="F385" t="s">
        <v>64</v>
      </c>
      <c r="G385">
        <v>3</v>
      </c>
      <c r="H385">
        <v>28454.02</v>
      </c>
      <c r="I385">
        <v>5078.88</v>
      </c>
      <c r="J385" t="s">
        <v>22</v>
      </c>
      <c r="K385" t="s">
        <v>17</v>
      </c>
      <c r="L385">
        <f t="shared" si="15"/>
        <v>2022</v>
      </c>
      <c r="M385" t="str">
        <f t="shared" si="16"/>
        <v>Jul</v>
      </c>
      <c r="N385" s="2">
        <f t="shared" si="17"/>
        <v>0.17849428657180955</v>
      </c>
    </row>
    <row r="386" spans="1:14" x14ac:dyDescent="0.45">
      <c r="A386" t="s">
        <v>797</v>
      </c>
      <c r="B386" s="1">
        <v>44809</v>
      </c>
      <c r="C386" t="s">
        <v>798</v>
      </c>
      <c r="D386" t="s">
        <v>13</v>
      </c>
      <c r="E386" t="s">
        <v>36</v>
      </c>
      <c r="F386" t="s">
        <v>53</v>
      </c>
      <c r="G386">
        <v>1</v>
      </c>
      <c r="H386">
        <v>9163.0300000000007</v>
      </c>
      <c r="I386">
        <v>1404.15</v>
      </c>
      <c r="J386" t="s">
        <v>28</v>
      </c>
      <c r="K386" t="s">
        <v>23</v>
      </c>
      <c r="L386">
        <f t="shared" si="15"/>
        <v>2022</v>
      </c>
      <c r="M386" t="str">
        <f t="shared" si="16"/>
        <v>Sep</v>
      </c>
      <c r="N386" s="2">
        <f t="shared" si="17"/>
        <v>0.15324079480259259</v>
      </c>
    </row>
    <row r="387" spans="1:14" x14ac:dyDescent="0.45">
      <c r="A387" t="s">
        <v>799</v>
      </c>
      <c r="B387" s="1">
        <v>44730</v>
      </c>
      <c r="C387" t="s">
        <v>800</v>
      </c>
      <c r="D387" t="s">
        <v>26</v>
      </c>
      <c r="E387" t="s">
        <v>14</v>
      </c>
      <c r="F387" t="s">
        <v>32</v>
      </c>
      <c r="G387">
        <v>3</v>
      </c>
      <c r="H387">
        <v>26611.439999999999</v>
      </c>
      <c r="I387">
        <v>2604.86</v>
      </c>
      <c r="J387" t="s">
        <v>28</v>
      </c>
      <c r="K387" t="s">
        <v>17</v>
      </c>
      <c r="L387">
        <f t="shared" ref="L387:L450" si="18">YEAR(B387 )</f>
        <v>2022</v>
      </c>
      <c r="M387" t="str">
        <f t="shared" ref="M387:M450" si="19">TEXT(B387,"MMM")</f>
        <v>Jun</v>
      </c>
      <c r="N387" s="2">
        <f t="shared" ref="N387:N450" si="20">I387 / H387</f>
        <v>9.7884969772398647E-2</v>
      </c>
    </row>
    <row r="388" spans="1:14" x14ac:dyDescent="0.45">
      <c r="A388" t="s">
        <v>801</v>
      </c>
      <c r="B388" s="1">
        <v>44685</v>
      </c>
      <c r="C388" t="s">
        <v>802</v>
      </c>
      <c r="D388" t="s">
        <v>13</v>
      </c>
      <c r="E388" t="s">
        <v>14</v>
      </c>
      <c r="F388" t="s">
        <v>40</v>
      </c>
      <c r="G388">
        <v>2</v>
      </c>
      <c r="H388">
        <v>8522.65</v>
      </c>
      <c r="I388">
        <v>912.56</v>
      </c>
      <c r="J388" t="s">
        <v>22</v>
      </c>
      <c r="K388" t="s">
        <v>29</v>
      </c>
      <c r="L388">
        <f t="shared" si="18"/>
        <v>2022</v>
      </c>
      <c r="M388" t="str">
        <f t="shared" si="19"/>
        <v>May</v>
      </c>
      <c r="N388" s="2">
        <f t="shared" si="20"/>
        <v>0.10707467747707579</v>
      </c>
    </row>
    <row r="389" spans="1:14" x14ac:dyDescent="0.45">
      <c r="A389" t="s">
        <v>803</v>
      </c>
      <c r="B389" s="1">
        <v>45225</v>
      </c>
      <c r="C389" t="s">
        <v>804</v>
      </c>
      <c r="D389" t="s">
        <v>26</v>
      </c>
      <c r="E389" t="s">
        <v>20</v>
      </c>
      <c r="F389" t="s">
        <v>27</v>
      </c>
      <c r="G389">
        <v>4</v>
      </c>
      <c r="H389">
        <v>43103.53</v>
      </c>
      <c r="I389">
        <v>10721.84</v>
      </c>
      <c r="J389" t="s">
        <v>71</v>
      </c>
      <c r="K389" t="s">
        <v>33</v>
      </c>
      <c r="L389">
        <f t="shared" si="18"/>
        <v>2023</v>
      </c>
      <c r="M389" t="str">
        <f t="shared" si="19"/>
        <v>Oct</v>
      </c>
      <c r="N389" s="2">
        <f t="shared" si="20"/>
        <v>0.24874621637717376</v>
      </c>
    </row>
    <row r="390" spans="1:14" x14ac:dyDescent="0.45">
      <c r="A390" t="s">
        <v>805</v>
      </c>
      <c r="B390" s="1">
        <v>45549</v>
      </c>
      <c r="C390" t="s">
        <v>806</v>
      </c>
      <c r="D390" t="s">
        <v>56</v>
      </c>
      <c r="E390" t="s">
        <v>36</v>
      </c>
      <c r="F390" t="s">
        <v>53</v>
      </c>
      <c r="G390">
        <v>3</v>
      </c>
      <c r="H390">
        <v>27966.17</v>
      </c>
      <c r="I390">
        <v>4375.78</v>
      </c>
      <c r="J390" t="s">
        <v>71</v>
      </c>
      <c r="K390" t="s">
        <v>23</v>
      </c>
      <c r="L390">
        <f t="shared" si="18"/>
        <v>2024</v>
      </c>
      <c r="M390" t="str">
        <f t="shared" si="19"/>
        <v>Sep</v>
      </c>
      <c r="N390" s="2">
        <f t="shared" si="20"/>
        <v>0.15646690268992858</v>
      </c>
    </row>
    <row r="391" spans="1:14" x14ac:dyDescent="0.45">
      <c r="A391" t="s">
        <v>807</v>
      </c>
      <c r="B391" s="1">
        <v>44609</v>
      </c>
      <c r="C391" t="s">
        <v>808</v>
      </c>
      <c r="D391" t="s">
        <v>56</v>
      </c>
      <c r="E391" t="s">
        <v>20</v>
      </c>
      <c r="F391" t="s">
        <v>50</v>
      </c>
      <c r="G391">
        <v>5</v>
      </c>
      <c r="H391">
        <v>30498.240000000002</v>
      </c>
      <c r="I391">
        <v>4099.13</v>
      </c>
      <c r="J391" t="s">
        <v>16</v>
      </c>
      <c r="K391" t="s">
        <v>17</v>
      </c>
      <c r="L391">
        <f t="shared" si="18"/>
        <v>2022</v>
      </c>
      <c r="M391" t="str">
        <f t="shared" si="19"/>
        <v>Feb</v>
      </c>
      <c r="N391" s="2">
        <f t="shared" si="20"/>
        <v>0.1344054607741299</v>
      </c>
    </row>
    <row r="392" spans="1:14" x14ac:dyDescent="0.45">
      <c r="A392" t="s">
        <v>809</v>
      </c>
      <c r="B392" s="1">
        <v>45127</v>
      </c>
      <c r="C392" t="s">
        <v>309</v>
      </c>
      <c r="D392" t="s">
        <v>56</v>
      </c>
      <c r="E392" t="s">
        <v>14</v>
      </c>
      <c r="F392" t="s">
        <v>15</v>
      </c>
      <c r="G392">
        <v>2</v>
      </c>
      <c r="H392">
        <v>41878.17</v>
      </c>
      <c r="I392">
        <v>5556.59</v>
      </c>
      <c r="J392" t="s">
        <v>71</v>
      </c>
      <c r="K392" t="s">
        <v>17</v>
      </c>
      <c r="L392">
        <f t="shared" si="18"/>
        <v>2023</v>
      </c>
      <c r="M392" t="str">
        <f t="shared" si="19"/>
        <v>Jul</v>
      </c>
      <c r="N392" s="2">
        <f t="shared" si="20"/>
        <v>0.13268464214171727</v>
      </c>
    </row>
    <row r="393" spans="1:14" x14ac:dyDescent="0.45">
      <c r="A393" t="s">
        <v>810</v>
      </c>
      <c r="B393" s="1">
        <v>45056</v>
      </c>
      <c r="C393" t="s">
        <v>811</v>
      </c>
      <c r="D393" t="s">
        <v>26</v>
      </c>
      <c r="E393" t="s">
        <v>20</v>
      </c>
      <c r="F393" t="s">
        <v>50</v>
      </c>
      <c r="G393">
        <v>5</v>
      </c>
      <c r="H393">
        <v>31742.01</v>
      </c>
      <c r="I393">
        <v>2610.9499999999998</v>
      </c>
      <c r="J393" t="s">
        <v>47</v>
      </c>
      <c r="K393" t="s">
        <v>29</v>
      </c>
      <c r="L393">
        <f t="shared" si="18"/>
        <v>2023</v>
      </c>
      <c r="M393" t="str">
        <f t="shared" si="19"/>
        <v>May</v>
      </c>
      <c r="N393" s="2">
        <f t="shared" si="20"/>
        <v>8.2255345518447001E-2</v>
      </c>
    </row>
    <row r="394" spans="1:14" x14ac:dyDescent="0.45">
      <c r="A394" t="s">
        <v>812</v>
      </c>
      <c r="B394" s="1">
        <v>45386</v>
      </c>
      <c r="C394" t="s">
        <v>813</v>
      </c>
      <c r="D394" t="s">
        <v>26</v>
      </c>
      <c r="E394" t="s">
        <v>36</v>
      </c>
      <c r="F394" t="s">
        <v>64</v>
      </c>
      <c r="G394">
        <v>5</v>
      </c>
      <c r="H394">
        <v>31668.42</v>
      </c>
      <c r="I394">
        <v>7704.5</v>
      </c>
      <c r="J394" t="s">
        <v>71</v>
      </c>
      <c r="K394" t="s">
        <v>33</v>
      </c>
      <c r="L394">
        <f t="shared" si="18"/>
        <v>2024</v>
      </c>
      <c r="M394" t="str">
        <f t="shared" si="19"/>
        <v>Apr</v>
      </c>
      <c r="N394" s="2">
        <f t="shared" si="20"/>
        <v>0.24328652960899219</v>
      </c>
    </row>
    <row r="395" spans="1:14" x14ac:dyDescent="0.45">
      <c r="A395" t="s">
        <v>814</v>
      </c>
      <c r="B395" s="1">
        <v>45329</v>
      </c>
      <c r="C395" t="s">
        <v>315</v>
      </c>
      <c r="D395" t="s">
        <v>56</v>
      </c>
      <c r="E395" t="s">
        <v>14</v>
      </c>
      <c r="F395" t="s">
        <v>57</v>
      </c>
      <c r="G395">
        <v>1</v>
      </c>
      <c r="H395">
        <v>47749.79</v>
      </c>
      <c r="I395">
        <v>8382.08</v>
      </c>
      <c r="J395" t="s">
        <v>22</v>
      </c>
      <c r="K395" t="s">
        <v>29</v>
      </c>
      <c r="L395">
        <f t="shared" si="18"/>
        <v>2024</v>
      </c>
      <c r="M395" t="str">
        <f t="shared" si="19"/>
        <v>Feb</v>
      </c>
      <c r="N395" s="2">
        <f t="shared" si="20"/>
        <v>0.17554171442429381</v>
      </c>
    </row>
    <row r="396" spans="1:14" x14ac:dyDescent="0.45">
      <c r="A396" t="s">
        <v>815</v>
      </c>
      <c r="B396" s="1">
        <v>45463</v>
      </c>
      <c r="C396" t="s">
        <v>816</v>
      </c>
      <c r="D396" t="s">
        <v>13</v>
      </c>
      <c r="E396" t="s">
        <v>36</v>
      </c>
      <c r="F396" t="s">
        <v>64</v>
      </c>
      <c r="G396">
        <v>4</v>
      </c>
      <c r="H396">
        <v>36033.589999999997</v>
      </c>
      <c r="I396">
        <v>2158.81</v>
      </c>
      <c r="J396" t="s">
        <v>71</v>
      </c>
      <c r="K396" t="s">
        <v>29</v>
      </c>
      <c r="L396">
        <f t="shared" si="18"/>
        <v>2024</v>
      </c>
      <c r="M396" t="str">
        <f t="shared" si="19"/>
        <v>Jun</v>
      </c>
      <c r="N396" s="2">
        <f t="shared" si="20"/>
        <v>5.9911044111896711E-2</v>
      </c>
    </row>
    <row r="397" spans="1:14" x14ac:dyDescent="0.45">
      <c r="A397" t="s">
        <v>817</v>
      </c>
      <c r="B397" s="1">
        <v>44719</v>
      </c>
      <c r="C397" t="s">
        <v>818</v>
      </c>
      <c r="D397" t="s">
        <v>26</v>
      </c>
      <c r="E397" t="s">
        <v>14</v>
      </c>
      <c r="F397" t="s">
        <v>32</v>
      </c>
      <c r="G397">
        <v>5</v>
      </c>
      <c r="H397">
        <v>47585.45</v>
      </c>
      <c r="I397">
        <v>4269.8</v>
      </c>
      <c r="J397" t="s">
        <v>16</v>
      </c>
      <c r="K397" t="s">
        <v>33</v>
      </c>
      <c r="L397">
        <f t="shared" si="18"/>
        <v>2022</v>
      </c>
      <c r="M397" t="str">
        <f t="shared" si="19"/>
        <v>Jun</v>
      </c>
      <c r="N397" s="2">
        <f t="shared" si="20"/>
        <v>8.9729108372412159E-2</v>
      </c>
    </row>
    <row r="398" spans="1:14" x14ac:dyDescent="0.45">
      <c r="A398" t="s">
        <v>819</v>
      </c>
      <c r="B398" s="1">
        <v>44814</v>
      </c>
      <c r="C398" t="s">
        <v>820</v>
      </c>
      <c r="D398" t="s">
        <v>56</v>
      </c>
      <c r="E398" t="s">
        <v>36</v>
      </c>
      <c r="F398" t="s">
        <v>64</v>
      </c>
      <c r="G398">
        <v>1</v>
      </c>
      <c r="H398">
        <v>28804.75</v>
      </c>
      <c r="I398">
        <v>2695.83</v>
      </c>
      <c r="J398" t="s">
        <v>16</v>
      </c>
      <c r="K398" t="s">
        <v>33</v>
      </c>
      <c r="L398">
        <f t="shared" si="18"/>
        <v>2022</v>
      </c>
      <c r="M398" t="str">
        <f t="shared" si="19"/>
        <v>Sep</v>
      </c>
      <c r="N398" s="2">
        <f t="shared" si="20"/>
        <v>9.3589772520157266E-2</v>
      </c>
    </row>
    <row r="399" spans="1:14" x14ac:dyDescent="0.45">
      <c r="A399" t="s">
        <v>821</v>
      </c>
      <c r="B399" s="1">
        <v>45586</v>
      </c>
      <c r="C399" t="s">
        <v>822</v>
      </c>
      <c r="D399" t="s">
        <v>13</v>
      </c>
      <c r="E399" t="s">
        <v>36</v>
      </c>
      <c r="F399" t="s">
        <v>64</v>
      </c>
      <c r="G399">
        <v>2</v>
      </c>
      <c r="H399">
        <v>29472.63</v>
      </c>
      <c r="I399">
        <v>7237.83</v>
      </c>
      <c r="J399" t="s">
        <v>22</v>
      </c>
      <c r="K399" t="s">
        <v>23</v>
      </c>
      <c r="L399">
        <f t="shared" si="18"/>
        <v>2024</v>
      </c>
      <c r="M399" t="str">
        <f t="shared" si="19"/>
        <v>Oct</v>
      </c>
      <c r="N399" s="2">
        <f t="shared" si="20"/>
        <v>0.24557801594224879</v>
      </c>
    </row>
    <row r="400" spans="1:14" x14ac:dyDescent="0.45">
      <c r="A400" t="s">
        <v>823</v>
      </c>
      <c r="B400" s="1">
        <v>45414</v>
      </c>
      <c r="C400" t="s">
        <v>824</v>
      </c>
      <c r="D400" t="s">
        <v>26</v>
      </c>
      <c r="E400" t="s">
        <v>36</v>
      </c>
      <c r="F400" t="s">
        <v>37</v>
      </c>
      <c r="G400">
        <v>1</v>
      </c>
      <c r="H400">
        <v>18582.64</v>
      </c>
      <c r="I400">
        <v>966.96</v>
      </c>
      <c r="J400" t="s">
        <v>16</v>
      </c>
      <c r="K400" t="s">
        <v>23</v>
      </c>
      <c r="L400">
        <f t="shared" si="18"/>
        <v>2024</v>
      </c>
      <c r="M400" t="str">
        <f t="shared" si="19"/>
        <v>May</v>
      </c>
      <c r="N400" s="2">
        <f t="shared" si="20"/>
        <v>5.2035663393360687E-2</v>
      </c>
    </row>
    <row r="401" spans="1:14" x14ac:dyDescent="0.45">
      <c r="A401" t="s">
        <v>825</v>
      </c>
      <c r="B401" s="1">
        <v>44940</v>
      </c>
      <c r="C401" t="s">
        <v>826</v>
      </c>
      <c r="D401" t="s">
        <v>56</v>
      </c>
      <c r="E401" t="s">
        <v>20</v>
      </c>
      <c r="F401" t="s">
        <v>43</v>
      </c>
      <c r="G401">
        <v>1</v>
      </c>
      <c r="H401">
        <v>26504.01</v>
      </c>
      <c r="I401">
        <v>5517.79</v>
      </c>
      <c r="J401" t="s">
        <v>47</v>
      </c>
      <c r="K401" t="s">
        <v>29</v>
      </c>
      <c r="L401">
        <f t="shared" si="18"/>
        <v>2023</v>
      </c>
      <c r="M401" t="str">
        <f t="shared" si="19"/>
        <v>Jan</v>
      </c>
      <c r="N401" s="2">
        <f t="shared" si="20"/>
        <v>0.20818698755395884</v>
      </c>
    </row>
    <row r="402" spans="1:14" x14ac:dyDescent="0.45">
      <c r="A402" t="s">
        <v>827</v>
      </c>
      <c r="B402" s="1">
        <v>45474</v>
      </c>
      <c r="C402" t="s">
        <v>828</v>
      </c>
      <c r="D402" t="s">
        <v>13</v>
      </c>
      <c r="E402" t="s">
        <v>14</v>
      </c>
      <c r="F402" t="s">
        <v>32</v>
      </c>
      <c r="G402">
        <v>5</v>
      </c>
      <c r="H402">
        <v>25339.64</v>
      </c>
      <c r="I402">
        <v>1290.0899999999999</v>
      </c>
      <c r="J402" t="s">
        <v>28</v>
      </c>
      <c r="K402" t="s">
        <v>23</v>
      </c>
      <c r="L402">
        <f t="shared" si="18"/>
        <v>2024</v>
      </c>
      <c r="M402" t="str">
        <f t="shared" si="19"/>
        <v>Jul</v>
      </c>
      <c r="N402" s="2">
        <f t="shared" si="20"/>
        <v>5.0911930871946086E-2</v>
      </c>
    </row>
    <row r="403" spans="1:14" x14ac:dyDescent="0.45">
      <c r="A403" t="s">
        <v>829</v>
      </c>
      <c r="B403" s="1">
        <v>44586</v>
      </c>
      <c r="C403" t="s">
        <v>830</v>
      </c>
      <c r="D403" t="s">
        <v>26</v>
      </c>
      <c r="E403" t="s">
        <v>36</v>
      </c>
      <c r="F403" t="s">
        <v>46</v>
      </c>
      <c r="G403">
        <v>1</v>
      </c>
      <c r="H403">
        <v>45706.57</v>
      </c>
      <c r="I403">
        <v>7278.06</v>
      </c>
      <c r="J403" t="s">
        <v>47</v>
      </c>
      <c r="K403" t="s">
        <v>23</v>
      </c>
      <c r="L403">
        <f t="shared" si="18"/>
        <v>2022</v>
      </c>
      <c r="M403" t="str">
        <f t="shared" si="19"/>
        <v>Jan</v>
      </c>
      <c r="N403" s="2">
        <f t="shared" si="20"/>
        <v>0.15923443828753722</v>
      </c>
    </row>
    <row r="404" spans="1:14" x14ac:dyDescent="0.45">
      <c r="A404" t="s">
        <v>831</v>
      </c>
      <c r="B404" s="1">
        <v>45646</v>
      </c>
      <c r="C404" t="s">
        <v>832</v>
      </c>
      <c r="D404" t="s">
        <v>56</v>
      </c>
      <c r="E404" t="s">
        <v>14</v>
      </c>
      <c r="F404" t="s">
        <v>57</v>
      </c>
      <c r="G404">
        <v>3</v>
      </c>
      <c r="H404">
        <v>43250.86</v>
      </c>
      <c r="I404">
        <v>6620.3</v>
      </c>
      <c r="J404" t="s">
        <v>16</v>
      </c>
      <c r="K404" t="s">
        <v>17</v>
      </c>
      <c r="L404">
        <f t="shared" si="18"/>
        <v>2024</v>
      </c>
      <c r="M404" t="str">
        <f t="shared" si="19"/>
        <v>Dec</v>
      </c>
      <c r="N404" s="2">
        <f t="shared" si="20"/>
        <v>0.15306747657734435</v>
      </c>
    </row>
    <row r="405" spans="1:14" x14ac:dyDescent="0.45">
      <c r="A405" t="s">
        <v>833</v>
      </c>
      <c r="B405" s="1">
        <v>45349</v>
      </c>
      <c r="C405" t="s">
        <v>834</v>
      </c>
      <c r="D405" t="s">
        <v>13</v>
      </c>
      <c r="E405" t="s">
        <v>20</v>
      </c>
      <c r="F405" t="s">
        <v>43</v>
      </c>
      <c r="G405">
        <v>3</v>
      </c>
      <c r="H405">
        <v>30201.69</v>
      </c>
      <c r="I405">
        <v>3220.17</v>
      </c>
      <c r="J405" t="s">
        <v>47</v>
      </c>
      <c r="K405" t="s">
        <v>17</v>
      </c>
      <c r="L405">
        <f t="shared" si="18"/>
        <v>2024</v>
      </c>
      <c r="M405" t="str">
        <f t="shared" si="19"/>
        <v>Feb</v>
      </c>
      <c r="N405" s="2">
        <f t="shared" si="20"/>
        <v>0.10662217908997808</v>
      </c>
    </row>
    <row r="406" spans="1:14" x14ac:dyDescent="0.45">
      <c r="A406" t="s">
        <v>835</v>
      </c>
      <c r="B406" s="1">
        <v>45332</v>
      </c>
      <c r="C406" t="s">
        <v>836</v>
      </c>
      <c r="D406" t="s">
        <v>56</v>
      </c>
      <c r="E406" t="s">
        <v>20</v>
      </c>
      <c r="F406" t="s">
        <v>21</v>
      </c>
      <c r="G406">
        <v>4</v>
      </c>
      <c r="H406">
        <v>26902.23</v>
      </c>
      <c r="I406">
        <v>4528</v>
      </c>
      <c r="J406" t="s">
        <v>16</v>
      </c>
      <c r="K406" t="s">
        <v>33</v>
      </c>
      <c r="L406">
        <f t="shared" si="18"/>
        <v>2024</v>
      </c>
      <c r="M406" t="str">
        <f t="shared" si="19"/>
        <v>Feb</v>
      </c>
      <c r="N406" s="2">
        <f t="shared" si="20"/>
        <v>0.16831318444604779</v>
      </c>
    </row>
    <row r="407" spans="1:14" x14ac:dyDescent="0.45">
      <c r="A407" t="s">
        <v>837</v>
      </c>
      <c r="B407" s="1">
        <v>45172</v>
      </c>
      <c r="C407" t="s">
        <v>838</v>
      </c>
      <c r="D407" t="s">
        <v>56</v>
      </c>
      <c r="E407" t="s">
        <v>20</v>
      </c>
      <c r="F407" t="s">
        <v>21</v>
      </c>
      <c r="G407">
        <v>5</v>
      </c>
      <c r="H407">
        <v>42982.9</v>
      </c>
      <c r="I407">
        <v>7777.42</v>
      </c>
      <c r="J407" t="s">
        <v>28</v>
      </c>
      <c r="K407" t="s">
        <v>17</v>
      </c>
      <c r="L407">
        <f t="shared" si="18"/>
        <v>2023</v>
      </c>
      <c r="M407" t="str">
        <f t="shared" si="19"/>
        <v>Sep</v>
      </c>
      <c r="N407" s="2">
        <f t="shared" si="20"/>
        <v>0.18094218863780712</v>
      </c>
    </row>
    <row r="408" spans="1:14" x14ac:dyDescent="0.45">
      <c r="A408" t="s">
        <v>839</v>
      </c>
      <c r="B408" s="1">
        <v>44911</v>
      </c>
      <c r="C408" t="s">
        <v>840</v>
      </c>
      <c r="D408" t="s">
        <v>56</v>
      </c>
      <c r="E408" t="s">
        <v>36</v>
      </c>
      <c r="F408" t="s">
        <v>64</v>
      </c>
      <c r="G408">
        <v>1</v>
      </c>
      <c r="H408">
        <v>41042.78</v>
      </c>
      <c r="I408">
        <v>9508.9</v>
      </c>
      <c r="J408" t="s">
        <v>16</v>
      </c>
      <c r="K408" t="s">
        <v>29</v>
      </c>
      <c r="L408">
        <f t="shared" si="18"/>
        <v>2022</v>
      </c>
      <c r="M408" t="str">
        <f t="shared" si="19"/>
        <v>Dec</v>
      </c>
      <c r="N408" s="2">
        <f t="shared" si="20"/>
        <v>0.23168264917727308</v>
      </c>
    </row>
    <row r="409" spans="1:14" x14ac:dyDescent="0.45">
      <c r="A409" t="s">
        <v>841</v>
      </c>
      <c r="B409" s="1">
        <v>45322</v>
      </c>
      <c r="C409" t="s">
        <v>842</v>
      </c>
      <c r="D409" t="s">
        <v>13</v>
      </c>
      <c r="E409" t="s">
        <v>14</v>
      </c>
      <c r="F409" t="s">
        <v>32</v>
      </c>
      <c r="G409">
        <v>3</v>
      </c>
      <c r="H409">
        <v>48301.42</v>
      </c>
      <c r="I409">
        <v>11302.14</v>
      </c>
      <c r="J409" t="s">
        <v>28</v>
      </c>
      <c r="K409" t="s">
        <v>23</v>
      </c>
      <c r="L409">
        <f t="shared" si="18"/>
        <v>2024</v>
      </c>
      <c r="M409" t="str">
        <f t="shared" si="19"/>
        <v>Jan</v>
      </c>
      <c r="N409" s="2">
        <f t="shared" si="20"/>
        <v>0.23399187849963832</v>
      </c>
    </row>
    <row r="410" spans="1:14" x14ac:dyDescent="0.45">
      <c r="A410" t="s">
        <v>843</v>
      </c>
      <c r="B410" s="1">
        <v>44822</v>
      </c>
      <c r="C410" t="s">
        <v>844</v>
      </c>
      <c r="D410" t="s">
        <v>13</v>
      </c>
      <c r="E410" t="s">
        <v>14</v>
      </c>
      <c r="F410" t="s">
        <v>15</v>
      </c>
      <c r="G410">
        <v>1</v>
      </c>
      <c r="H410">
        <v>38614.43</v>
      </c>
      <c r="I410">
        <v>3131.02</v>
      </c>
      <c r="J410" t="s">
        <v>28</v>
      </c>
      <c r="K410" t="s">
        <v>17</v>
      </c>
      <c r="L410">
        <f t="shared" si="18"/>
        <v>2022</v>
      </c>
      <c r="M410" t="str">
        <f t="shared" si="19"/>
        <v>Sep</v>
      </c>
      <c r="N410" s="2">
        <f t="shared" si="20"/>
        <v>8.1084195726830621E-2</v>
      </c>
    </row>
    <row r="411" spans="1:14" x14ac:dyDescent="0.45">
      <c r="A411" t="s">
        <v>845</v>
      </c>
      <c r="B411" s="1">
        <v>45638</v>
      </c>
      <c r="C411" t="s">
        <v>846</v>
      </c>
      <c r="D411" t="s">
        <v>13</v>
      </c>
      <c r="E411" t="s">
        <v>20</v>
      </c>
      <c r="F411" t="s">
        <v>43</v>
      </c>
      <c r="G411">
        <v>2</v>
      </c>
      <c r="H411">
        <v>36292.25</v>
      </c>
      <c r="I411">
        <v>6958.58</v>
      </c>
      <c r="J411" t="s">
        <v>28</v>
      </c>
      <c r="K411" t="s">
        <v>23</v>
      </c>
      <c r="L411">
        <f t="shared" si="18"/>
        <v>2024</v>
      </c>
      <c r="M411" t="str">
        <f t="shared" si="19"/>
        <v>Dec</v>
      </c>
      <c r="N411" s="2">
        <f t="shared" si="20"/>
        <v>0.1917373543938444</v>
      </c>
    </row>
    <row r="412" spans="1:14" x14ac:dyDescent="0.45">
      <c r="A412" t="s">
        <v>847</v>
      </c>
      <c r="B412" s="1">
        <v>45316</v>
      </c>
      <c r="C412" t="s">
        <v>848</v>
      </c>
      <c r="D412" t="s">
        <v>13</v>
      </c>
      <c r="E412" t="s">
        <v>36</v>
      </c>
      <c r="F412" t="s">
        <v>37</v>
      </c>
      <c r="G412">
        <v>3</v>
      </c>
      <c r="H412">
        <v>29632.720000000001</v>
      </c>
      <c r="I412">
        <v>7275.02</v>
      </c>
      <c r="J412" t="s">
        <v>47</v>
      </c>
      <c r="K412" t="s">
        <v>33</v>
      </c>
      <c r="L412">
        <f t="shared" si="18"/>
        <v>2024</v>
      </c>
      <c r="M412" t="str">
        <f t="shared" si="19"/>
        <v>Jan</v>
      </c>
      <c r="N412" s="2">
        <f t="shared" si="20"/>
        <v>0.24550631869096054</v>
      </c>
    </row>
    <row r="413" spans="1:14" x14ac:dyDescent="0.45">
      <c r="A413" t="s">
        <v>849</v>
      </c>
      <c r="B413" s="1">
        <v>45495</v>
      </c>
      <c r="C413" t="s">
        <v>850</v>
      </c>
      <c r="D413" t="s">
        <v>26</v>
      </c>
      <c r="E413" t="s">
        <v>36</v>
      </c>
      <c r="F413" t="s">
        <v>64</v>
      </c>
      <c r="G413">
        <v>5</v>
      </c>
      <c r="H413">
        <v>46762.55</v>
      </c>
      <c r="I413">
        <v>8031.45</v>
      </c>
      <c r="J413" t="s">
        <v>28</v>
      </c>
      <c r="K413" t="s">
        <v>33</v>
      </c>
      <c r="L413">
        <f t="shared" si="18"/>
        <v>2024</v>
      </c>
      <c r="M413" t="str">
        <f t="shared" si="19"/>
        <v>Jul</v>
      </c>
      <c r="N413" s="2">
        <f t="shared" si="20"/>
        <v>0.17174961587851817</v>
      </c>
    </row>
    <row r="414" spans="1:14" x14ac:dyDescent="0.45">
      <c r="A414" t="s">
        <v>851</v>
      </c>
      <c r="B414" s="1">
        <v>44733</v>
      </c>
      <c r="C414" t="s">
        <v>852</v>
      </c>
      <c r="D414" t="s">
        <v>56</v>
      </c>
      <c r="E414" t="s">
        <v>36</v>
      </c>
      <c r="F414" t="s">
        <v>64</v>
      </c>
      <c r="G414">
        <v>3</v>
      </c>
      <c r="H414">
        <v>5184.5200000000004</v>
      </c>
      <c r="I414">
        <v>569.39</v>
      </c>
      <c r="J414" t="s">
        <v>28</v>
      </c>
      <c r="K414" t="s">
        <v>23</v>
      </c>
      <c r="L414">
        <f t="shared" si="18"/>
        <v>2022</v>
      </c>
      <c r="M414" t="str">
        <f t="shared" si="19"/>
        <v>Jun</v>
      </c>
      <c r="N414" s="2">
        <f t="shared" si="20"/>
        <v>0.10982501755225169</v>
      </c>
    </row>
    <row r="415" spans="1:14" x14ac:dyDescent="0.45">
      <c r="A415" t="s">
        <v>853</v>
      </c>
      <c r="B415" s="1">
        <v>44646</v>
      </c>
      <c r="C415" t="s">
        <v>854</v>
      </c>
      <c r="D415" t="s">
        <v>26</v>
      </c>
      <c r="E415" t="s">
        <v>20</v>
      </c>
      <c r="F415" t="s">
        <v>27</v>
      </c>
      <c r="G415">
        <v>1</v>
      </c>
      <c r="H415">
        <v>8593.7999999999993</v>
      </c>
      <c r="I415">
        <v>919.09</v>
      </c>
      <c r="J415" t="s">
        <v>71</v>
      </c>
      <c r="K415" t="s">
        <v>23</v>
      </c>
      <c r="L415">
        <f t="shared" si="18"/>
        <v>2022</v>
      </c>
      <c r="M415" t="str">
        <f t="shared" si="19"/>
        <v>Mar</v>
      </c>
      <c r="N415" s="2">
        <f t="shared" si="20"/>
        <v>0.10694803230235753</v>
      </c>
    </row>
    <row r="416" spans="1:14" x14ac:dyDescent="0.45">
      <c r="A416" t="s">
        <v>855</v>
      </c>
      <c r="B416" s="1">
        <v>44754</v>
      </c>
      <c r="C416" t="s">
        <v>856</v>
      </c>
      <c r="D416" t="s">
        <v>56</v>
      </c>
      <c r="E416" t="s">
        <v>20</v>
      </c>
      <c r="F416" t="s">
        <v>50</v>
      </c>
      <c r="G416">
        <v>1</v>
      </c>
      <c r="H416">
        <v>35235.75</v>
      </c>
      <c r="I416">
        <v>3796.65</v>
      </c>
      <c r="J416" t="s">
        <v>28</v>
      </c>
      <c r="K416" t="s">
        <v>33</v>
      </c>
      <c r="L416">
        <f t="shared" si="18"/>
        <v>2022</v>
      </c>
      <c r="M416" t="str">
        <f t="shared" si="19"/>
        <v>Jul</v>
      </c>
      <c r="N416" s="2">
        <f t="shared" si="20"/>
        <v>0.1077499414656989</v>
      </c>
    </row>
    <row r="417" spans="1:14" x14ac:dyDescent="0.45">
      <c r="A417" t="s">
        <v>857</v>
      </c>
      <c r="B417" s="1">
        <v>45588</v>
      </c>
      <c r="C417" t="s">
        <v>858</v>
      </c>
      <c r="D417" t="s">
        <v>26</v>
      </c>
      <c r="E417" t="s">
        <v>14</v>
      </c>
      <c r="F417" t="s">
        <v>32</v>
      </c>
      <c r="G417">
        <v>2</v>
      </c>
      <c r="H417">
        <v>25492.55</v>
      </c>
      <c r="I417">
        <v>6110.27</v>
      </c>
      <c r="J417" t="s">
        <v>16</v>
      </c>
      <c r="K417" t="s">
        <v>29</v>
      </c>
      <c r="L417">
        <f t="shared" si="18"/>
        <v>2024</v>
      </c>
      <c r="M417" t="str">
        <f t="shared" si="19"/>
        <v>Oct</v>
      </c>
      <c r="N417" s="2">
        <f t="shared" si="20"/>
        <v>0.23968845800047467</v>
      </c>
    </row>
    <row r="418" spans="1:14" x14ac:dyDescent="0.45">
      <c r="A418" t="s">
        <v>859</v>
      </c>
      <c r="B418" s="1">
        <v>45203</v>
      </c>
      <c r="C418" t="s">
        <v>860</v>
      </c>
      <c r="D418" t="s">
        <v>26</v>
      </c>
      <c r="E418" t="s">
        <v>36</v>
      </c>
      <c r="F418" t="s">
        <v>64</v>
      </c>
      <c r="G418">
        <v>2</v>
      </c>
      <c r="H418">
        <v>25291.17</v>
      </c>
      <c r="I418">
        <v>5244.61</v>
      </c>
      <c r="J418" t="s">
        <v>71</v>
      </c>
      <c r="K418" t="s">
        <v>23</v>
      </c>
      <c r="L418">
        <f t="shared" si="18"/>
        <v>2023</v>
      </c>
      <c r="M418" t="str">
        <f t="shared" si="19"/>
        <v>Oct</v>
      </c>
      <c r="N418" s="2">
        <f t="shared" si="20"/>
        <v>0.20736921225866578</v>
      </c>
    </row>
    <row r="419" spans="1:14" x14ac:dyDescent="0.45">
      <c r="A419" t="s">
        <v>861</v>
      </c>
      <c r="B419" s="1">
        <v>45639</v>
      </c>
      <c r="C419" t="s">
        <v>862</v>
      </c>
      <c r="D419" t="s">
        <v>56</v>
      </c>
      <c r="E419" t="s">
        <v>36</v>
      </c>
      <c r="F419" t="s">
        <v>64</v>
      </c>
      <c r="G419">
        <v>5</v>
      </c>
      <c r="H419">
        <v>46473.49</v>
      </c>
      <c r="I419">
        <v>10583.3</v>
      </c>
      <c r="J419" t="s">
        <v>47</v>
      </c>
      <c r="K419" t="s">
        <v>29</v>
      </c>
      <c r="L419">
        <f t="shared" si="18"/>
        <v>2024</v>
      </c>
      <c r="M419" t="str">
        <f t="shared" si="19"/>
        <v>Dec</v>
      </c>
      <c r="N419" s="2">
        <f t="shared" si="20"/>
        <v>0.22772767872608662</v>
      </c>
    </row>
    <row r="420" spans="1:14" x14ac:dyDescent="0.45">
      <c r="A420" t="s">
        <v>863</v>
      </c>
      <c r="B420" s="1">
        <v>45458</v>
      </c>
      <c r="C420" t="s">
        <v>144</v>
      </c>
      <c r="D420" t="s">
        <v>13</v>
      </c>
      <c r="E420" t="s">
        <v>14</v>
      </c>
      <c r="F420" t="s">
        <v>32</v>
      </c>
      <c r="G420">
        <v>2</v>
      </c>
      <c r="H420">
        <v>26623.79</v>
      </c>
      <c r="I420">
        <v>6505.07</v>
      </c>
      <c r="J420" t="s">
        <v>16</v>
      </c>
      <c r="K420" t="s">
        <v>33</v>
      </c>
      <c r="L420">
        <f t="shared" si="18"/>
        <v>2024</v>
      </c>
      <c r="M420" t="str">
        <f t="shared" si="19"/>
        <v>Jun</v>
      </c>
      <c r="N420" s="2">
        <f t="shared" si="20"/>
        <v>0.24433298189326161</v>
      </c>
    </row>
    <row r="421" spans="1:14" x14ac:dyDescent="0.45">
      <c r="A421" t="s">
        <v>864</v>
      </c>
      <c r="B421" s="1">
        <v>45032</v>
      </c>
      <c r="C421" t="s">
        <v>865</v>
      </c>
      <c r="D421" t="s">
        <v>26</v>
      </c>
      <c r="E421" t="s">
        <v>20</v>
      </c>
      <c r="F421" t="s">
        <v>21</v>
      </c>
      <c r="G421">
        <v>5</v>
      </c>
      <c r="H421">
        <v>14471.61</v>
      </c>
      <c r="I421">
        <v>1261.3800000000001</v>
      </c>
      <c r="J421" t="s">
        <v>71</v>
      </c>
      <c r="K421" t="s">
        <v>23</v>
      </c>
      <c r="L421">
        <f t="shared" si="18"/>
        <v>2023</v>
      </c>
      <c r="M421" t="str">
        <f t="shared" si="19"/>
        <v>Apr</v>
      </c>
      <c r="N421" s="2">
        <f t="shared" si="20"/>
        <v>8.7162382070826952E-2</v>
      </c>
    </row>
    <row r="422" spans="1:14" x14ac:dyDescent="0.45">
      <c r="A422" t="s">
        <v>866</v>
      </c>
      <c r="B422" s="1">
        <v>45077</v>
      </c>
      <c r="C422" t="s">
        <v>867</v>
      </c>
      <c r="D422" t="s">
        <v>13</v>
      </c>
      <c r="E422" t="s">
        <v>36</v>
      </c>
      <c r="F422" t="s">
        <v>64</v>
      </c>
      <c r="G422">
        <v>5</v>
      </c>
      <c r="H422">
        <v>44619.22</v>
      </c>
      <c r="I422">
        <v>10740.84</v>
      </c>
      <c r="J422" t="s">
        <v>47</v>
      </c>
      <c r="K422" t="s">
        <v>29</v>
      </c>
      <c r="L422">
        <f t="shared" si="18"/>
        <v>2023</v>
      </c>
      <c r="M422" t="str">
        <f t="shared" si="19"/>
        <v>May</v>
      </c>
      <c r="N422" s="2">
        <f t="shared" si="20"/>
        <v>0.24072227170264293</v>
      </c>
    </row>
    <row r="423" spans="1:14" x14ac:dyDescent="0.45">
      <c r="A423" t="s">
        <v>868</v>
      </c>
      <c r="B423" s="1">
        <v>45357</v>
      </c>
      <c r="C423" t="s">
        <v>869</v>
      </c>
      <c r="D423" t="s">
        <v>26</v>
      </c>
      <c r="E423" t="s">
        <v>20</v>
      </c>
      <c r="F423" t="s">
        <v>21</v>
      </c>
      <c r="G423">
        <v>4</v>
      </c>
      <c r="H423">
        <v>48004.78</v>
      </c>
      <c r="I423">
        <v>8853.17</v>
      </c>
      <c r="J423" t="s">
        <v>22</v>
      </c>
      <c r="K423" t="s">
        <v>17</v>
      </c>
      <c r="L423">
        <f t="shared" si="18"/>
        <v>2024</v>
      </c>
      <c r="M423" t="str">
        <f t="shared" si="19"/>
        <v>Mar</v>
      </c>
      <c r="N423" s="2">
        <f t="shared" si="20"/>
        <v>0.18442267624182426</v>
      </c>
    </row>
    <row r="424" spans="1:14" x14ac:dyDescent="0.45">
      <c r="A424" t="s">
        <v>870</v>
      </c>
      <c r="B424" s="1">
        <v>44701</v>
      </c>
      <c r="C424" t="s">
        <v>871</v>
      </c>
      <c r="D424" t="s">
        <v>13</v>
      </c>
      <c r="E424" t="s">
        <v>14</v>
      </c>
      <c r="F424" t="s">
        <v>32</v>
      </c>
      <c r="G424">
        <v>3</v>
      </c>
      <c r="H424">
        <v>29851.55</v>
      </c>
      <c r="I424">
        <v>2319.12</v>
      </c>
      <c r="J424" t="s">
        <v>22</v>
      </c>
      <c r="K424" t="s">
        <v>23</v>
      </c>
      <c r="L424">
        <f t="shared" si="18"/>
        <v>2022</v>
      </c>
      <c r="M424" t="str">
        <f t="shared" si="19"/>
        <v>May</v>
      </c>
      <c r="N424" s="2">
        <f t="shared" si="20"/>
        <v>7.7688428239069657E-2</v>
      </c>
    </row>
    <row r="425" spans="1:14" x14ac:dyDescent="0.45">
      <c r="A425" t="s">
        <v>872</v>
      </c>
      <c r="B425" s="1">
        <v>45578</v>
      </c>
      <c r="C425" t="s">
        <v>873</v>
      </c>
      <c r="D425" t="s">
        <v>13</v>
      </c>
      <c r="E425" t="s">
        <v>20</v>
      </c>
      <c r="F425" t="s">
        <v>50</v>
      </c>
      <c r="G425">
        <v>2</v>
      </c>
      <c r="H425">
        <v>35959.39</v>
      </c>
      <c r="I425">
        <v>4611.8900000000003</v>
      </c>
      <c r="J425" t="s">
        <v>16</v>
      </c>
      <c r="K425" t="s">
        <v>33</v>
      </c>
      <c r="L425">
        <f t="shared" si="18"/>
        <v>2024</v>
      </c>
      <c r="M425" t="str">
        <f t="shared" si="19"/>
        <v>Oct</v>
      </c>
      <c r="N425" s="2">
        <f t="shared" si="20"/>
        <v>0.12825273176213503</v>
      </c>
    </row>
    <row r="426" spans="1:14" x14ac:dyDescent="0.45">
      <c r="A426" t="s">
        <v>874</v>
      </c>
      <c r="B426" s="1">
        <v>45081</v>
      </c>
      <c r="C426" t="s">
        <v>875</v>
      </c>
      <c r="D426" t="s">
        <v>26</v>
      </c>
      <c r="E426" t="s">
        <v>14</v>
      </c>
      <c r="F426" t="s">
        <v>15</v>
      </c>
      <c r="G426">
        <v>1</v>
      </c>
      <c r="H426">
        <v>525.99</v>
      </c>
      <c r="I426">
        <v>27.62</v>
      </c>
      <c r="J426" t="s">
        <v>47</v>
      </c>
      <c r="K426" t="s">
        <v>33</v>
      </c>
      <c r="L426">
        <f t="shared" si="18"/>
        <v>2023</v>
      </c>
      <c r="M426" t="str">
        <f t="shared" si="19"/>
        <v>Jun</v>
      </c>
      <c r="N426" s="2">
        <f t="shared" si="20"/>
        <v>5.2510504001977223E-2</v>
      </c>
    </row>
    <row r="427" spans="1:14" x14ac:dyDescent="0.45">
      <c r="A427" t="s">
        <v>876</v>
      </c>
      <c r="B427" s="1">
        <v>44907</v>
      </c>
      <c r="C427" t="s">
        <v>877</v>
      </c>
      <c r="D427" t="s">
        <v>13</v>
      </c>
      <c r="E427" t="s">
        <v>36</v>
      </c>
      <c r="F427" t="s">
        <v>46</v>
      </c>
      <c r="G427">
        <v>4</v>
      </c>
      <c r="H427">
        <v>38123.519999999997</v>
      </c>
      <c r="I427">
        <v>8088.85</v>
      </c>
      <c r="J427" t="s">
        <v>28</v>
      </c>
      <c r="K427" t="s">
        <v>29</v>
      </c>
      <c r="L427">
        <f t="shared" si="18"/>
        <v>2022</v>
      </c>
      <c r="M427" t="str">
        <f t="shared" si="19"/>
        <v>Dec</v>
      </c>
      <c r="N427" s="2">
        <f t="shared" si="20"/>
        <v>0.21217479393298419</v>
      </c>
    </row>
    <row r="428" spans="1:14" x14ac:dyDescent="0.45">
      <c r="A428" t="s">
        <v>878</v>
      </c>
      <c r="B428" s="1">
        <v>44756</v>
      </c>
      <c r="C428" t="s">
        <v>879</v>
      </c>
      <c r="D428" t="s">
        <v>56</v>
      </c>
      <c r="E428" t="s">
        <v>14</v>
      </c>
      <c r="F428" t="s">
        <v>32</v>
      </c>
      <c r="G428">
        <v>4</v>
      </c>
      <c r="H428">
        <v>32006.43</v>
      </c>
      <c r="I428">
        <v>3820.03</v>
      </c>
      <c r="J428" t="s">
        <v>47</v>
      </c>
      <c r="K428" t="s">
        <v>23</v>
      </c>
      <c r="L428">
        <f t="shared" si="18"/>
        <v>2022</v>
      </c>
      <c r="M428" t="str">
        <f t="shared" si="19"/>
        <v>Jul</v>
      </c>
      <c r="N428" s="2">
        <f t="shared" si="20"/>
        <v>0.11935195521649869</v>
      </c>
    </row>
    <row r="429" spans="1:14" x14ac:dyDescent="0.45">
      <c r="A429" t="s">
        <v>880</v>
      </c>
      <c r="B429" s="1">
        <v>44749</v>
      </c>
      <c r="C429" t="s">
        <v>881</v>
      </c>
      <c r="D429" t="s">
        <v>56</v>
      </c>
      <c r="E429" t="s">
        <v>36</v>
      </c>
      <c r="F429" t="s">
        <v>37</v>
      </c>
      <c r="G429">
        <v>2</v>
      </c>
      <c r="H429">
        <v>47198.09</v>
      </c>
      <c r="I429">
        <v>8500</v>
      </c>
      <c r="J429" t="s">
        <v>47</v>
      </c>
      <c r="K429" t="s">
        <v>23</v>
      </c>
      <c r="L429">
        <f t="shared" si="18"/>
        <v>2022</v>
      </c>
      <c r="M429" t="str">
        <f t="shared" si="19"/>
        <v>Jul</v>
      </c>
      <c r="N429" s="2">
        <f t="shared" si="20"/>
        <v>0.18009203338524929</v>
      </c>
    </row>
    <row r="430" spans="1:14" x14ac:dyDescent="0.45">
      <c r="A430" t="s">
        <v>882</v>
      </c>
      <c r="B430" s="1">
        <v>45558</v>
      </c>
      <c r="C430" t="s">
        <v>883</v>
      </c>
      <c r="D430" t="s">
        <v>26</v>
      </c>
      <c r="E430" t="s">
        <v>36</v>
      </c>
      <c r="F430" t="s">
        <v>37</v>
      </c>
      <c r="G430">
        <v>2</v>
      </c>
      <c r="H430">
        <v>8219.39</v>
      </c>
      <c r="I430">
        <v>1058.08</v>
      </c>
      <c r="J430" t="s">
        <v>47</v>
      </c>
      <c r="K430" t="s">
        <v>29</v>
      </c>
      <c r="L430">
        <f t="shared" si="18"/>
        <v>2024</v>
      </c>
      <c r="M430" t="str">
        <f t="shared" si="19"/>
        <v>Sep</v>
      </c>
      <c r="N430" s="2">
        <f t="shared" si="20"/>
        <v>0.12872974758467479</v>
      </c>
    </row>
    <row r="431" spans="1:14" x14ac:dyDescent="0.45">
      <c r="A431" t="s">
        <v>884</v>
      </c>
      <c r="B431" s="1">
        <v>45628</v>
      </c>
      <c r="C431" t="s">
        <v>885</v>
      </c>
      <c r="D431" t="s">
        <v>26</v>
      </c>
      <c r="E431" t="s">
        <v>20</v>
      </c>
      <c r="F431" t="s">
        <v>21</v>
      </c>
      <c r="G431">
        <v>1</v>
      </c>
      <c r="H431">
        <v>23726.16</v>
      </c>
      <c r="I431">
        <v>4118.99</v>
      </c>
      <c r="J431" t="s">
        <v>28</v>
      </c>
      <c r="K431" t="s">
        <v>17</v>
      </c>
      <c r="L431">
        <f t="shared" si="18"/>
        <v>2024</v>
      </c>
      <c r="M431" t="str">
        <f t="shared" si="19"/>
        <v>Dec</v>
      </c>
      <c r="N431" s="2">
        <f t="shared" si="20"/>
        <v>0.17360542118910097</v>
      </c>
    </row>
    <row r="432" spans="1:14" x14ac:dyDescent="0.45">
      <c r="A432" t="s">
        <v>886</v>
      </c>
      <c r="B432" s="1">
        <v>45606</v>
      </c>
      <c r="C432" t="s">
        <v>887</v>
      </c>
      <c r="D432" t="s">
        <v>26</v>
      </c>
      <c r="E432" t="s">
        <v>36</v>
      </c>
      <c r="F432" t="s">
        <v>37</v>
      </c>
      <c r="G432">
        <v>3</v>
      </c>
      <c r="H432">
        <v>30476.09</v>
      </c>
      <c r="I432">
        <v>2997.7</v>
      </c>
      <c r="J432" t="s">
        <v>47</v>
      </c>
      <c r="K432" t="s">
        <v>17</v>
      </c>
      <c r="L432">
        <f t="shared" si="18"/>
        <v>2024</v>
      </c>
      <c r="M432" t="str">
        <f t="shared" si="19"/>
        <v>Nov</v>
      </c>
      <c r="N432" s="2">
        <f t="shared" si="20"/>
        <v>9.8362355538390914E-2</v>
      </c>
    </row>
    <row r="433" spans="1:14" x14ac:dyDescent="0.45">
      <c r="A433" t="s">
        <v>888</v>
      </c>
      <c r="B433" s="1">
        <v>45382</v>
      </c>
      <c r="C433" t="s">
        <v>889</v>
      </c>
      <c r="D433" t="s">
        <v>26</v>
      </c>
      <c r="E433" t="s">
        <v>20</v>
      </c>
      <c r="F433" t="s">
        <v>27</v>
      </c>
      <c r="G433">
        <v>3</v>
      </c>
      <c r="H433">
        <v>41605.54</v>
      </c>
      <c r="I433">
        <v>6236.06</v>
      </c>
      <c r="J433" t="s">
        <v>71</v>
      </c>
      <c r="K433" t="s">
        <v>29</v>
      </c>
      <c r="L433">
        <f t="shared" si="18"/>
        <v>2024</v>
      </c>
      <c r="M433" t="str">
        <f t="shared" si="19"/>
        <v>Mar</v>
      </c>
      <c r="N433" s="2">
        <f t="shared" si="20"/>
        <v>0.14988532777125355</v>
      </c>
    </row>
    <row r="434" spans="1:14" x14ac:dyDescent="0.45">
      <c r="A434" t="s">
        <v>890</v>
      </c>
      <c r="B434" s="1">
        <v>45072</v>
      </c>
      <c r="C434" t="s">
        <v>891</v>
      </c>
      <c r="D434" t="s">
        <v>13</v>
      </c>
      <c r="E434" t="s">
        <v>36</v>
      </c>
      <c r="F434" t="s">
        <v>46</v>
      </c>
      <c r="G434">
        <v>4</v>
      </c>
      <c r="H434">
        <v>44366.879999999997</v>
      </c>
      <c r="I434">
        <v>10996.44</v>
      </c>
      <c r="J434" t="s">
        <v>71</v>
      </c>
      <c r="K434" t="s">
        <v>33</v>
      </c>
      <c r="L434">
        <f t="shared" si="18"/>
        <v>2023</v>
      </c>
      <c r="M434" t="str">
        <f t="shared" si="19"/>
        <v>May</v>
      </c>
      <c r="N434" s="2">
        <f t="shared" si="20"/>
        <v>0.2478524520994039</v>
      </c>
    </row>
    <row r="435" spans="1:14" x14ac:dyDescent="0.45">
      <c r="A435" t="s">
        <v>892</v>
      </c>
      <c r="B435" s="1">
        <v>44829</v>
      </c>
      <c r="C435" t="s">
        <v>893</v>
      </c>
      <c r="D435" t="s">
        <v>13</v>
      </c>
      <c r="E435" t="s">
        <v>14</v>
      </c>
      <c r="F435" t="s">
        <v>32</v>
      </c>
      <c r="G435">
        <v>2</v>
      </c>
      <c r="H435">
        <v>36110.949999999997</v>
      </c>
      <c r="I435">
        <v>6814.99</v>
      </c>
      <c r="J435" t="s">
        <v>47</v>
      </c>
      <c r="K435" t="s">
        <v>23</v>
      </c>
      <c r="L435">
        <f t="shared" si="18"/>
        <v>2022</v>
      </c>
      <c r="M435" t="str">
        <f t="shared" si="19"/>
        <v>Sep</v>
      </c>
      <c r="N435" s="2">
        <f t="shared" si="20"/>
        <v>0.18872364199778738</v>
      </c>
    </row>
    <row r="436" spans="1:14" x14ac:dyDescent="0.45">
      <c r="A436" t="s">
        <v>894</v>
      </c>
      <c r="B436" s="1">
        <v>44693</v>
      </c>
      <c r="C436" t="s">
        <v>895</v>
      </c>
      <c r="D436" t="s">
        <v>56</v>
      </c>
      <c r="E436" t="s">
        <v>20</v>
      </c>
      <c r="F436" t="s">
        <v>43</v>
      </c>
      <c r="G436">
        <v>2</v>
      </c>
      <c r="H436">
        <v>20487.68</v>
      </c>
      <c r="I436">
        <v>3473.62</v>
      </c>
      <c r="J436" t="s">
        <v>47</v>
      </c>
      <c r="K436" t="s">
        <v>23</v>
      </c>
      <c r="L436">
        <f t="shared" si="18"/>
        <v>2022</v>
      </c>
      <c r="M436" t="str">
        <f t="shared" si="19"/>
        <v>May</v>
      </c>
      <c r="N436" s="2">
        <f t="shared" si="20"/>
        <v>0.16954677152317879</v>
      </c>
    </row>
    <row r="437" spans="1:14" x14ac:dyDescent="0.45">
      <c r="A437" t="s">
        <v>896</v>
      </c>
      <c r="B437" s="1">
        <v>44746</v>
      </c>
      <c r="C437" t="s">
        <v>897</v>
      </c>
      <c r="D437" t="s">
        <v>13</v>
      </c>
      <c r="E437" t="s">
        <v>14</v>
      </c>
      <c r="F437" t="s">
        <v>40</v>
      </c>
      <c r="G437">
        <v>4</v>
      </c>
      <c r="H437">
        <v>28641.38</v>
      </c>
      <c r="I437">
        <v>2500.35</v>
      </c>
      <c r="J437" t="s">
        <v>47</v>
      </c>
      <c r="K437" t="s">
        <v>29</v>
      </c>
      <c r="L437">
        <f t="shared" si="18"/>
        <v>2022</v>
      </c>
      <c r="M437" t="str">
        <f t="shared" si="19"/>
        <v>Jul</v>
      </c>
      <c r="N437" s="2">
        <f t="shared" si="20"/>
        <v>8.7298517040729176E-2</v>
      </c>
    </row>
    <row r="438" spans="1:14" x14ac:dyDescent="0.45">
      <c r="A438" t="s">
        <v>898</v>
      </c>
      <c r="B438" s="1">
        <v>44777</v>
      </c>
      <c r="C438" t="s">
        <v>899</v>
      </c>
      <c r="D438" t="s">
        <v>13</v>
      </c>
      <c r="E438" t="s">
        <v>20</v>
      </c>
      <c r="F438" t="s">
        <v>50</v>
      </c>
      <c r="G438">
        <v>5</v>
      </c>
      <c r="H438">
        <v>17408.939999999999</v>
      </c>
      <c r="I438">
        <v>2551.08</v>
      </c>
      <c r="J438" t="s">
        <v>28</v>
      </c>
      <c r="K438" t="s">
        <v>33</v>
      </c>
      <c r="L438">
        <f t="shared" si="18"/>
        <v>2022</v>
      </c>
      <c r="M438" t="str">
        <f t="shared" si="19"/>
        <v>Aug</v>
      </c>
      <c r="N438" s="2">
        <f t="shared" si="20"/>
        <v>0.14653850263140664</v>
      </c>
    </row>
    <row r="439" spans="1:14" x14ac:dyDescent="0.45">
      <c r="A439" t="s">
        <v>900</v>
      </c>
      <c r="B439" s="1">
        <v>45539</v>
      </c>
      <c r="C439" t="s">
        <v>901</v>
      </c>
      <c r="D439" t="s">
        <v>13</v>
      </c>
      <c r="E439" t="s">
        <v>20</v>
      </c>
      <c r="F439" t="s">
        <v>50</v>
      </c>
      <c r="G439">
        <v>4</v>
      </c>
      <c r="H439">
        <v>40612.35</v>
      </c>
      <c r="I439">
        <v>4348.7700000000004</v>
      </c>
      <c r="J439" t="s">
        <v>71</v>
      </c>
      <c r="K439" t="s">
        <v>33</v>
      </c>
      <c r="L439">
        <f t="shared" si="18"/>
        <v>2024</v>
      </c>
      <c r="M439" t="str">
        <f t="shared" si="19"/>
        <v>Sep</v>
      </c>
      <c r="N439" s="2">
        <f t="shared" si="20"/>
        <v>0.1070799892151033</v>
      </c>
    </row>
    <row r="440" spans="1:14" x14ac:dyDescent="0.45">
      <c r="A440" t="s">
        <v>902</v>
      </c>
      <c r="B440" s="1">
        <v>45140</v>
      </c>
      <c r="C440" t="s">
        <v>903</v>
      </c>
      <c r="D440" t="s">
        <v>26</v>
      </c>
      <c r="E440" t="s">
        <v>14</v>
      </c>
      <c r="F440" t="s">
        <v>57</v>
      </c>
      <c r="G440">
        <v>5</v>
      </c>
      <c r="H440">
        <v>41880.03</v>
      </c>
      <c r="I440">
        <v>4554.67</v>
      </c>
      <c r="J440" t="s">
        <v>22</v>
      </c>
      <c r="K440" t="s">
        <v>33</v>
      </c>
      <c r="L440">
        <f t="shared" si="18"/>
        <v>2023</v>
      </c>
      <c r="M440" t="str">
        <f t="shared" si="19"/>
        <v>Aug</v>
      </c>
      <c r="N440" s="2">
        <f t="shared" si="20"/>
        <v>0.10875517519925368</v>
      </c>
    </row>
    <row r="441" spans="1:14" x14ac:dyDescent="0.45">
      <c r="A441" t="s">
        <v>904</v>
      </c>
      <c r="B441" s="1">
        <v>44603</v>
      </c>
      <c r="C441" t="s">
        <v>905</v>
      </c>
      <c r="D441" t="s">
        <v>56</v>
      </c>
      <c r="E441" t="s">
        <v>20</v>
      </c>
      <c r="F441" t="s">
        <v>27</v>
      </c>
      <c r="G441">
        <v>4</v>
      </c>
      <c r="H441">
        <v>38319.64</v>
      </c>
      <c r="I441">
        <v>6234.94</v>
      </c>
      <c r="J441" t="s">
        <v>22</v>
      </c>
      <c r="K441" t="s">
        <v>23</v>
      </c>
      <c r="L441">
        <f t="shared" si="18"/>
        <v>2022</v>
      </c>
      <c r="M441" t="str">
        <f t="shared" si="19"/>
        <v>Feb</v>
      </c>
      <c r="N441" s="2">
        <f t="shared" si="20"/>
        <v>0.16270873108411246</v>
      </c>
    </row>
    <row r="442" spans="1:14" x14ac:dyDescent="0.45">
      <c r="A442" t="s">
        <v>906</v>
      </c>
      <c r="B442" s="1">
        <v>44668</v>
      </c>
      <c r="C442" t="s">
        <v>907</v>
      </c>
      <c r="D442" t="s">
        <v>56</v>
      </c>
      <c r="E442" t="s">
        <v>20</v>
      </c>
      <c r="F442" t="s">
        <v>50</v>
      </c>
      <c r="G442">
        <v>4</v>
      </c>
      <c r="H442">
        <v>7353.21</v>
      </c>
      <c r="I442">
        <v>1754.35</v>
      </c>
      <c r="J442" t="s">
        <v>28</v>
      </c>
      <c r="K442" t="s">
        <v>29</v>
      </c>
      <c r="L442">
        <f t="shared" si="18"/>
        <v>2022</v>
      </c>
      <c r="M442" t="str">
        <f t="shared" si="19"/>
        <v>Apr</v>
      </c>
      <c r="N442" s="2">
        <f t="shared" si="20"/>
        <v>0.23858287741000186</v>
      </c>
    </row>
    <row r="443" spans="1:14" x14ac:dyDescent="0.45">
      <c r="A443" t="s">
        <v>908</v>
      </c>
      <c r="B443" s="1">
        <v>44848</v>
      </c>
      <c r="C443" t="s">
        <v>909</v>
      </c>
      <c r="D443" t="s">
        <v>26</v>
      </c>
      <c r="E443" t="s">
        <v>14</v>
      </c>
      <c r="F443" t="s">
        <v>32</v>
      </c>
      <c r="G443">
        <v>5</v>
      </c>
      <c r="H443">
        <v>13807.66</v>
      </c>
      <c r="I443">
        <v>1079.95</v>
      </c>
      <c r="J443" t="s">
        <v>47</v>
      </c>
      <c r="K443" t="s">
        <v>23</v>
      </c>
      <c r="L443">
        <f t="shared" si="18"/>
        <v>2022</v>
      </c>
      <c r="M443" t="str">
        <f t="shared" si="19"/>
        <v>Oct</v>
      </c>
      <c r="N443" s="2">
        <f t="shared" si="20"/>
        <v>7.821383203236465E-2</v>
      </c>
    </row>
    <row r="444" spans="1:14" x14ac:dyDescent="0.45">
      <c r="A444" t="s">
        <v>910</v>
      </c>
      <c r="B444" s="1">
        <v>44644</v>
      </c>
      <c r="C444" t="s">
        <v>911</v>
      </c>
      <c r="D444" t="s">
        <v>56</v>
      </c>
      <c r="E444" t="s">
        <v>20</v>
      </c>
      <c r="F444" t="s">
        <v>21</v>
      </c>
      <c r="G444">
        <v>3</v>
      </c>
      <c r="H444">
        <v>8757.15</v>
      </c>
      <c r="I444">
        <v>1270.68</v>
      </c>
      <c r="J444" t="s">
        <v>71</v>
      </c>
      <c r="K444" t="s">
        <v>29</v>
      </c>
      <c r="L444">
        <f t="shared" si="18"/>
        <v>2022</v>
      </c>
      <c r="M444" t="str">
        <f t="shared" si="19"/>
        <v>Mar</v>
      </c>
      <c r="N444" s="2">
        <f t="shared" si="20"/>
        <v>0.14510200236378276</v>
      </c>
    </row>
    <row r="445" spans="1:14" x14ac:dyDescent="0.45">
      <c r="A445" t="s">
        <v>912</v>
      </c>
      <c r="B445" s="1">
        <v>45373</v>
      </c>
      <c r="C445" t="s">
        <v>913</v>
      </c>
      <c r="D445" t="s">
        <v>13</v>
      </c>
      <c r="E445" t="s">
        <v>14</v>
      </c>
      <c r="F445" t="s">
        <v>57</v>
      </c>
      <c r="G445">
        <v>4</v>
      </c>
      <c r="H445">
        <v>9890.2900000000009</v>
      </c>
      <c r="I445">
        <v>1415.12</v>
      </c>
      <c r="J445" t="s">
        <v>71</v>
      </c>
      <c r="K445" t="s">
        <v>29</v>
      </c>
      <c r="L445">
        <f t="shared" si="18"/>
        <v>2024</v>
      </c>
      <c r="M445" t="str">
        <f t="shared" si="19"/>
        <v>Mar</v>
      </c>
      <c r="N445" s="2">
        <f t="shared" si="20"/>
        <v>0.14308174987791053</v>
      </c>
    </row>
    <row r="446" spans="1:14" x14ac:dyDescent="0.45">
      <c r="A446" t="s">
        <v>914</v>
      </c>
      <c r="B446" s="1">
        <v>45619</v>
      </c>
      <c r="C446" t="s">
        <v>915</v>
      </c>
      <c r="D446" t="s">
        <v>13</v>
      </c>
      <c r="E446" t="s">
        <v>36</v>
      </c>
      <c r="F446" t="s">
        <v>37</v>
      </c>
      <c r="G446">
        <v>5</v>
      </c>
      <c r="H446">
        <v>7934.17</v>
      </c>
      <c r="I446">
        <v>787.13</v>
      </c>
      <c r="J446" t="s">
        <v>22</v>
      </c>
      <c r="K446" t="s">
        <v>33</v>
      </c>
      <c r="L446">
        <f t="shared" si="18"/>
        <v>2024</v>
      </c>
      <c r="M446" t="str">
        <f t="shared" si="19"/>
        <v>Nov</v>
      </c>
      <c r="N446" s="2">
        <f t="shared" si="20"/>
        <v>9.9207604576156044E-2</v>
      </c>
    </row>
    <row r="447" spans="1:14" x14ac:dyDescent="0.45">
      <c r="A447" t="s">
        <v>916</v>
      </c>
      <c r="B447" s="1">
        <v>45149</v>
      </c>
      <c r="C447" t="s">
        <v>917</v>
      </c>
      <c r="D447" t="s">
        <v>56</v>
      </c>
      <c r="E447" t="s">
        <v>14</v>
      </c>
      <c r="F447" t="s">
        <v>57</v>
      </c>
      <c r="G447">
        <v>1</v>
      </c>
      <c r="H447">
        <v>6654.69</v>
      </c>
      <c r="I447">
        <v>1578.59</v>
      </c>
      <c r="J447" t="s">
        <v>47</v>
      </c>
      <c r="K447" t="s">
        <v>29</v>
      </c>
      <c r="L447">
        <f t="shared" si="18"/>
        <v>2023</v>
      </c>
      <c r="M447" t="str">
        <f t="shared" si="19"/>
        <v>Aug</v>
      </c>
      <c r="N447" s="2">
        <f t="shared" si="20"/>
        <v>0.23721465612973708</v>
      </c>
    </row>
    <row r="448" spans="1:14" x14ac:dyDescent="0.45">
      <c r="A448" t="s">
        <v>918</v>
      </c>
      <c r="B448" s="1">
        <v>45153</v>
      </c>
      <c r="C448" t="s">
        <v>919</v>
      </c>
      <c r="D448" t="s">
        <v>13</v>
      </c>
      <c r="E448" t="s">
        <v>20</v>
      </c>
      <c r="F448" t="s">
        <v>43</v>
      </c>
      <c r="G448">
        <v>5</v>
      </c>
      <c r="H448">
        <v>20257.55</v>
      </c>
      <c r="I448">
        <v>1999.22</v>
      </c>
      <c r="J448" t="s">
        <v>71</v>
      </c>
      <c r="K448" t="s">
        <v>29</v>
      </c>
      <c r="L448">
        <f t="shared" si="18"/>
        <v>2023</v>
      </c>
      <c r="M448" t="str">
        <f t="shared" si="19"/>
        <v>Aug</v>
      </c>
      <c r="N448" s="2">
        <f t="shared" si="20"/>
        <v>9.8690118005385657E-2</v>
      </c>
    </row>
    <row r="449" spans="1:14" x14ac:dyDescent="0.45">
      <c r="A449" t="s">
        <v>920</v>
      </c>
      <c r="B449" s="1">
        <v>45571</v>
      </c>
      <c r="C449" t="s">
        <v>921</v>
      </c>
      <c r="D449" t="s">
        <v>13</v>
      </c>
      <c r="E449" t="s">
        <v>20</v>
      </c>
      <c r="F449" t="s">
        <v>21</v>
      </c>
      <c r="G449">
        <v>4</v>
      </c>
      <c r="H449">
        <v>29637.02</v>
      </c>
      <c r="I449">
        <v>3890.3</v>
      </c>
      <c r="J449" t="s">
        <v>28</v>
      </c>
      <c r="K449" t="s">
        <v>29</v>
      </c>
      <c r="L449">
        <f t="shared" si="18"/>
        <v>2024</v>
      </c>
      <c r="M449" t="str">
        <f t="shared" si="19"/>
        <v>Oct</v>
      </c>
      <c r="N449" s="2">
        <f t="shared" si="20"/>
        <v>0.13126488425624439</v>
      </c>
    </row>
    <row r="450" spans="1:14" x14ac:dyDescent="0.45">
      <c r="A450" t="s">
        <v>922</v>
      </c>
      <c r="B450" s="1">
        <v>45584</v>
      </c>
      <c r="C450" t="s">
        <v>923</v>
      </c>
      <c r="D450" t="s">
        <v>13</v>
      </c>
      <c r="E450" t="s">
        <v>36</v>
      </c>
      <c r="F450" t="s">
        <v>46</v>
      </c>
      <c r="G450">
        <v>5</v>
      </c>
      <c r="H450">
        <v>13375.56</v>
      </c>
      <c r="I450">
        <v>2438.0700000000002</v>
      </c>
      <c r="J450" t="s">
        <v>71</v>
      </c>
      <c r="K450" t="s">
        <v>29</v>
      </c>
      <c r="L450">
        <f t="shared" si="18"/>
        <v>2024</v>
      </c>
      <c r="M450" t="str">
        <f t="shared" si="19"/>
        <v>Oct</v>
      </c>
      <c r="N450" s="2">
        <f t="shared" si="20"/>
        <v>0.18227797565111295</v>
      </c>
    </row>
    <row r="451" spans="1:14" x14ac:dyDescent="0.45">
      <c r="A451" t="s">
        <v>924</v>
      </c>
      <c r="B451" s="1">
        <v>44890</v>
      </c>
      <c r="C451" t="s">
        <v>925</v>
      </c>
      <c r="D451" t="s">
        <v>26</v>
      </c>
      <c r="E451" t="s">
        <v>20</v>
      </c>
      <c r="F451" t="s">
        <v>21</v>
      </c>
      <c r="G451">
        <v>4</v>
      </c>
      <c r="H451">
        <v>22424.880000000001</v>
      </c>
      <c r="I451">
        <v>4441.1099999999997</v>
      </c>
      <c r="J451" t="s">
        <v>16</v>
      </c>
      <c r="K451" t="s">
        <v>23</v>
      </c>
      <c r="L451">
        <f t="shared" ref="L451:L514" si="21">YEAR(B451 )</f>
        <v>2022</v>
      </c>
      <c r="M451" t="str">
        <f t="shared" ref="M451:M514" si="22">TEXT(B451,"MMM")</f>
        <v>Nov</v>
      </c>
      <c r="N451" s="2">
        <f t="shared" ref="N451:N514" si="23">I451 / H451</f>
        <v>0.19804386913107225</v>
      </c>
    </row>
    <row r="452" spans="1:14" x14ac:dyDescent="0.45">
      <c r="A452" t="s">
        <v>926</v>
      </c>
      <c r="B452" s="1">
        <v>44627</v>
      </c>
      <c r="C452" t="s">
        <v>927</v>
      </c>
      <c r="D452" t="s">
        <v>13</v>
      </c>
      <c r="E452" t="s">
        <v>20</v>
      </c>
      <c r="F452" t="s">
        <v>50</v>
      </c>
      <c r="G452">
        <v>3</v>
      </c>
      <c r="H452">
        <v>32146.41</v>
      </c>
      <c r="I452">
        <v>2477.91</v>
      </c>
      <c r="J452" t="s">
        <v>47</v>
      </c>
      <c r="K452" t="s">
        <v>33</v>
      </c>
      <c r="L452">
        <f t="shared" si="21"/>
        <v>2022</v>
      </c>
      <c r="M452" t="str">
        <f t="shared" si="22"/>
        <v>Mar</v>
      </c>
      <c r="N452" s="2">
        <f t="shared" si="23"/>
        <v>7.708201320147412E-2</v>
      </c>
    </row>
    <row r="453" spans="1:14" x14ac:dyDescent="0.45">
      <c r="A453" t="s">
        <v>928</v>
      </c>
      <c r="B453" s="1">
        <v>44942</v>
      </c>
      <c r="C453" t="s">
        <v>929</v>
      </c>
      <c r="D453" t="s">
        <v>26</v>
      </c>
      <c r="E453" t="s">
        <v>36</v>
      </c>
      <c r="F453" t="s">
        <v>46</v>
      </c>
      <c r="G453">
        <v>5</v>
      </c>
      <c r="H453">
        <v>17921.84</v>
      </c>
      <c r="I453">
        <v>1348.03</v>
      </c>
      <c r="J453" t="s">
        <v>16</v>
      </c>
      <c r="K453" t="s">
        <v>17</v>
      </c>
      <c r="L453">
        <f t="shared" si="21"/>
        <v>2023</v>
      </c>
      <c r="M453" t="str">
        <f t="shared" si="22"/>
        <v>Jan</v>
      </c>
      <c r="N453" s="2">
        <f t="shared" si="23"/>
        <v>7.5217165201787312E-2</v>
      </c>
    </row>
    <row r="454" spans="1:14" x14ac:dyDescent="0.45">
      <c r="A454" t="s">
        <v>930</v>
      </c>
      <c r="B454" s="1">
        <v>44824</v>
      </c>
      <c r="C454" t="s">
        <v>931</v>
      </c>
      <c r="D454" t="s">
        <v>26</v>
      </c>
      <c r="E454" t="s">
        <v>20</v>
      </c>
      <c r="F454" t="s">
        <v>43</v>
      </c>
      <c r="G454">
        <v>3</v>
      </c>
      <c r="H454">
        <v>45818.65</v>
      </c>
      <c r="I454">
        <v>4964.79</v>
      </c>
      <c r="J454" t="s">
        <v>28</v>
      </c>
      <c r="K454" t="s">
        <v>17</v>
      </c>
      <c r="L454">
        <f t="shared" si="21"/>
        <v>2022</v>
      </c>
      <c r="M454" t="str">
        <f t="shared" si="22"/>
        <v>Sep</v>
      </c>
      <c r="N454" s="2">
        <f t="shared" si="23"/>
        <v>0.10835740468128152</v>
      </c>
    </row>
    <row r="455" spans="1:14" x14ac:dyDescent="0.45">
      <c r="A455" t="s">
        <v>932</v>
      </c>
      <c r="B455" s="1">
        <v>45471</v>
      </c>
      <c r="C455" t="s">
        <v>933</v>
      </c>
      <c r="D455" t="s">
        <v>26</v>
      </c>
      <c r="E455" t="s">
        <v>20</v>
      </c>
      <c r="F455" t="s">
        <v>27</v>
      </c>
      <c r="G455">
        <v>4</v>
      </c>
      <c r="H455">
        <v>34110.519999999997</v>
      </c>
      <c r="I455">
        <v>4372.3900000000003</v>
      </c>
      <c r="J455" t="s">
        <v>28</v>
      </c>
      <c r="K455" t="s">
        <v>29</v>
      </c>
      <c r="L455">
        <f t="shared" si="21"/>
        <v>2024</v>
      </c>
      <c r="M455" t="str">
        <f t="shared" si="22"/>
        <v>Jun</v>
      </c>
      <c r="N455" s="2">
        <f t="shared" si="23"/>
        <v>0.12818303561481914</v>
      </c>
    </row>
    <row r="456" spans="1:14" x14ac:dyDescent="0.45">
      <c r="A456" t="s">
        <v>934</v>
      </c>
      <c r="B456" s="1">
        <v>44858</v>
      </c>
      <c r="C456" t="s">
        <v>935</v>
      </c>
      <c r="D456" t="s">
        <v>26</v>
      </c>
      <c r="E456" t="s">
        <v>20</v>
      </c>
      <c r="F456" t="s">
        <v>27</v>
      </c>
      <c r="G456">
        <v>2</v>
      </c>
      <c r="H456">
        <v>44508.41</v>
      </c>
      <c r="I456">
        <v>6599.48</v>
      </c>
      <c r="J456" t="s">
        <v>47</v>
      </c>
      <c r="K456" t="s">
        <v>17</v>
      </c>
      <c r="L456">
        <f t="shared" si="21"/>
        <v>2022</v>
      </c>
      <c r="M456" t="str">
        <f t="shared" si="22"/>
        <v>Oct</v>
      </c>
      <c r="N456" s="2">
        <f t="shared" si="23"/>
        <v>0.14827489905840266</v>
      </c>
    </row>
    <row r="457" spans="1:14" x14ac:dyDescent="0.45">
      <c r="A457" t="s">
        <v>936</v>
      </c>
      <c r="B457" s="1">
        <v>45175</v>
      </c>
      <c r="C457" t="s">
        <v>937</v>
      </c>
      <c r="D457" t="s">
        <v>56</v>
      </c>
      <c r="E457" t="s">
        <v>14</v>
      </c>
      <c r="F457" t="s">
        <v>40</v>
      </c>
      <c r="G457">
        <v>3</v>
      </c>
      <c r="H457">
        <v>26286.84</v>
      </c>
      <c r="I457">
        <v>2019.75</v>
      </c>
      <c r="J457" t="s">
        <v>28</v>
      </c>
      <c r="K457" t="s">
        <v>33</v>
      </c>
      <c r="L457">
        <f t="shared" si="21"/>
        <v>2023</v>
      </c>
      <c r="M457" t="str">
        <f t="shared" si="22"/>
        <v>Sep</v>
      </c>
      <c r="N457" s="2">
        <f t="shared" si="23"/>
        <v>7.6835024673943306E-2</v>
      </c>
    </row>
    <row r="458" spans="1:14" x14ac:dyDescent="0.45">
      <c r="A458" t="s">
        <v>938</v>
      </c>
      <c r="B458" s="1">
        <v>44893</v>
      </c>
      <c r="C458" t="s">
        <v>939</v>
      </c>
      <c r="D458" t="s">
        <v>56</v>
      </c>
      <c r="E458" t="s">
        <v>20</v>
      </c>
      <c r="F458" t="s">
        <v>21</v>
      </c>
      <c r="G458">
        <v>5</v>
      </c>
      <c r="H458">
        <v>24031.49</v>
      </c>
      <c r="I458">
        <v>1477.07</v>
      </c>
      <c r="J458" t="s">
        <v>71</v>
      </c>
      <c r="K458" t="s">
        <v>23</v>
      </c>
      <c r="L458">
        <f t="shared" si="21"/>
        <v>2022</v>
      </c>
      <c r="M458" t="str">
        <f t="shared" si="22"/>
        <v>Nov</v>
      </c>
      <c r="N458" s="2">
        <f t="shared" si="23"/>
        <v>6.146393752530533E-2</v>
      </c>
    </row>
    <row r="459" spans="1:14" x14ac:dyDescent="0.45">
      <c r="A459" t="s">
        <v>940</v>
      </c>
      <c r="B459" s="1">
        <v>45274</v>
      </c>
      <c r="C459" t="s">
        <v>600</v>
      </c>
      <c r="D459" t="s">
        <v>13</v>
      </c>
      <c r="E459" t="s">
        <v>20</v>
      </c>
      <c r="F459" t="s">
        <v>27</v>
      </c>
      <c r="G459">
        <v>2</v>
      </c>
      <c r="H459">
        <v>36056.97</v>
      </c>
      <c r="I459">
        <v>4362.28</v>
      </c>
      <c r="J459" t="s">
        <v>16</v>
      </c>
      <c r="K459" t="s">
        <v>23</v>
      </c>
      <c r="L459">
        <f t="shared" si="21"/>
        <v>2023</v>
      </c>
      <c r="M459" t="str">
        <f t="shared" si="22"/>
        <v>Dec</v>
      </c>
      <c r="N459" s="2">
        <f t="shared" si="23"/>
        <v>0.12098298886456625</v>
      </c>
    </row>
    <row r="460" spans="1:14" x14ac:dyDescent="0.45">
      <c r="A460" t="s">
        <v>941</v>
      </c>
      <c r="B460" s="1">
        <v>44666</v>
      </c>
      <c r="C460" t="s">
        <v>942</v>
      </c>
      <c r="D460" t="s">
        <v>13</v>
      </c>
      <c r="E460" t="s">
        <v>20</v>
      </c>
      <c r="F460" t="s">
        <v>21</v>
      </c>
      <c r="G460">
        <v>5</v>
      </c>
      <c r="H460">
        <v>3496.68</v>
      </c>
      <c r="I460">
        <v>774.16</v>
      </c>
      <c r="J460" t="s">
        <v>47</v>
      </c>
      <c r="K460" t="s">
        <v>33</v>
      </c>
      <c r="L460">
        <f t="shared" si="21"/>
        <v>2022</v>
      </c>
      <c r="M460" t="str">
        <f t="shared" si="22"/>
        <v>Apr</v>
      </c>
      <c r="N460" s="2">
        <f t="shared" si="23"/>
        <v>0.22139858379948979</v>
      </c>
    </row>
    <row r="461" spans="1:14" x14ac:dyDescent="0.45">
      <c r="A461" t="s">
        <v>943</v>
      </c>
      <c r="B461" s="1">
        <v>45616</v>
      </c>
      <c r="C461" t="s">
        <v>944</v>
      </c>
      <c r="D461" t="s">
        <v>13</v>
      </c>
      <c r="E461" t="s">
        <v>14</v>
      </c>
      <c r="F461" t="s">
        <v>15</v>
      </c>
      <c r="G461">
        <v>2</v>
      </c>
      <c r="H461">
        <v>27816.21</v>
      </c>
      <c r="I461">
        <v>2441.37</v>
      </c>
      <c r="J461" t="s">
        <v>16</v>
      </c>
      <c r="K461" t="s">
        <v>33</v>
      </c>
      <c r="L461">
        <f t="shared" si="21"/>
        <v>2024</v>
      </c>
      <c r="M461" t="str">
        <f t="shared" si="22"/>
        <v>Nov</v>
      </c>
      <c r="N461" s="2">
        <f t="shared" si="23"/>
        <v>8.776788786107094E-2</v>
      </c>
    </row>
    <row r="462" spans="1:14" x14ac:dyDescent="0.45">
      <c r="A462" t="s">
        <v>945</v>
      </c>
      <c r="B462" s="1">
        <v>45157</v>
      </c>
      <c r="C462" t="s">
        <v>946</v>
      </c>
      <c r="D462" t="s">
        <v>26</v>
      </c>
      <c r="E462" t="s">
        <v>20</v>
      </c>
      <c r="F462" t="s">
        <v>50</v>
      </c>
      <c r="G462">
        <v>2</v>
      </c>
      <c r="H462">
        <v>24678.13</v>
      </c>
      <c r="I462">
        <v>5060.2299999999996</v>
      </c>
      <c r="J462" t="s">
        <v>22</v>
      </c>
      <c r="K462" t="s">
        <v>29</v>
      </c>
      <c r="L462">
        <f t="shared" si="21"/>
        <v>2023</v>
      </c>
      <c r="M462" t="str">
        <f t="shared" si="22"/>
        <v>Aug</v>
      </c>
      <c r="N462" s="2">
        <f t="shared" si="23"/>
        <v>0.20504916701549103</v>
      </c>
    </row>
    <row r="463" spans="1:14" x14ac:dyDescent="0.45">
      <c r="A463" t="s">
        <v>947</v>
      </c>
      <c r="B463" s="1">
        <v>45530</v>
      </c>
      <c r="C463" t="s">
        <v>948</v>
      </c>
      <c r="D463" t="s">
        <v>56</v>
      </c>
      <c r="E463" t="s">
        <v>20</v>
      </c>
      <c r="F463" t="s">
        <v>21</v>
      </c>
      <c r="G463">
        <v>2</v>
      </c>
      <c r="H463">
        <v>44053.11</v>
      </c>
      <c r="I463">
        <v>6224.66</v>
      </c>
      <c r="J463" t="s">
        <v>71</v>
      </c>
      <c r="K463" t="s">
        <v>23</v>
      </c>
      <c r="L463">
        <f t="shared" si="21"/>
        <v>2024</v>
      </c>
      <c r="M463" t="str">
        <f t="shared" si="22"/>
        <v>Aug</v>
      </c>
      <c r="N463" s="2">
        <f t="shared" si="23"/>
        <v>0.14129899114954653</v>
      </c>
    </row>
    <row r="464" spans="1:14" x14ac:dyDescent="0.45">
      <c r="A464" t="s">
        <v>949</v>
      </c>
      <c r="B464" s="1">
        <v>44798</v>
      </c>
      <c r="C464" t="s">
        <v>950</v>
      </c>
      <c r="D464" t="s">
        <v>13</v>
      </c>
      <c r="E464" t="s">
        <v>20</v>
      </c>
      <c r="F464" t="s">
        <v>21</v>
      </c>
      <c r="G464">
        <v>5</v>
      </c>
      <c r="H464">
        <v>25963.09</v>
      </c>
      <c r="I464">
        <v>4143.59</v>
      </c>
      <c r="J464" t="s">
        <v>28</v>
      </c>
      <c r="K464" t="s">
        <v>33</v>
      </c>
      <c r="L464">
        <f t="shared" si="21"/>
        <v>2022</v>
      </c>
      <c r="M464" t="str">
        <f t="shared" si="22"/>
        <v>Aug</v>
      </c>
      <c r="N464" s="2">
        <f t="shared" si="23"/>
        <v>0.15959541025355611</v>
      </c>
    </row>
    <row r="465" spans="1:14" x14ac:dyDescent="0.45">
      <c r="A465" t="s">
        <v>951</v>
      </c>
      <c r="B465" s="1">
        <v>45376</v>
      </c>
      <c r="C465" t="s">
        <v>952</v>
      </c>
      <c r="D465" t="s">
        <v>13</v>
      </c>
      <c r="E465" t="s">
        <v>20</v>
      </c>
      <c r="F465" t="s">
        <v>27</v>
      </c>
      <c r="G465">
        <v>5</v>
      </c>
      <c r="H465">
        <v>32453.66</v>
      </c>
      <c r="I465">
        <v>4938.54</v>
      </c>
      <c r="J465" t="s">
        <v>71</v>
      </c>
      <c r="K465" t="s">
        <v>23</v>
      </c>
      <c r="L465">
        <f t="shared" si="21"/>
        <v>2024</v>
      </c>
      <c r="M465" t="str">
        <f t="shared" si="22"/>
        <v>Mar</v>
      </c>
      <c r="N465" s="2">
        <f t="shared" si="23"/>
        <v>0.15217205085651356</v>
      </c>
    </row>
    <row r="466" spans="1:14" x14ac:dyDescent="0.45">
      <c r="A466" t="s">
        <v>953</v>
      </c>
      <c r="B466" s="1">
        <v>45494</v>
      </c>
      <c r="C466" t="s">
        <v>954</v>
      </c>
      <c r="D466" t="s">
        <v>56</v>
      </c>
      <c r="E466" t="s">
        <v>20</v>
      </c>
      <c r="F466" t="s">
        <v>21</v>
      </c>
      <c r="G466">
        <v>2</v>
      </c>
      <c r="H466">
        <v>12732.72</v>
      </c>
      <c r="I466">
        <v>2540.63</v>
      </c>
      <c r="J466" t="s">
        <v>71</v>
      </c>
      <c r="K466" t="s">
        <v>17</v>
      </c>
      <c r="L466">
        <f t="shared" si="21"/>
        <v>2024</v>
      </c>
      <c r="M466" t="str">
        <f t="shared" si="22"/>
        <v>Jul</v>
      </c>
      <c r="N466" s="2">
        <f t="shared" si="23"/>
        <v>0.19953552736571606</v>
      </c>
    </row>
    <row r="467" spans="1:14" x14ac:dyDescent="0.45">
      <c r="A467" t="s">
        <v>955</v>
      </c>
      <c r="B467" s="1">
        <v>45083</v>
      </c>
      <c r="C467" t="s">
        <v>956</v>
      </c>
      <c r="D467" t="s">
        <v>56</v>
      </c>
      <c r="E467" t="s">
        <v>14</v>
      </c>
      <c r="F467" t="s">
        <v>40</v>
      </c>
      <c r="G467">
        <v>5</v>
      </c>
      <c r="H467">
        <v>9890.02</v>
      </c>
      <c r="I467">
        <v>1805.39</v>
      </c>
      <c r="J467" t="s">
        <v>16</v>
      </c>
      <c r="K467" t="s">
        <v>29</v>
      </c>
      <c r="L467">
        <f t="shared" si="21"/>
        <v>2023</v>
      </c>
      <c r="M467" t="str">
        <f t="shared" si="22"/>
        <v>Jun</v>
      </c>
      <c r="N467" s="2">
        <f t="shared" si="23"/>
        <v>0.18254664803508991</v>
      </c>
    </row>
    <row r="468" spans="1:14" x14ac:dyDescent="0.45">
      <c r="A468" t="s">
        <v>957</v>
      </c>
      <c r="B468" s="1">
        <v>45429</v>
      </c>
      <c r="C468" t="s">
        <v>958</v>
      </c>
      <c r="D468" t="s">
        <v>13</v>
      </c>
      <c r="E468" t="s">
        <v>14</v>
      </c>
      <c r="F468" t="s">
        <v>40</v>
      </c>
      <c r="G468">
        <v>5</v>
      </c>
      <c r="H468">
        <v>24989.45</v>
      </c>
      <c r="I468">
        <v>3242.74</v>
      </c>
      <c r="J468" t="s">
        <v>28</v>
      </c>
      <c r="K468" t="s">
        <v>23</v>
      </c>
      <c r="L468">
        <f t="shared" si="21"/>
        <v>2024</v>
      </c>
      <c r="M468" t="str">
        <f t="shared" si="22"/>
        <v>May</v>
      </c>
      <c r="N468" s="2">
        <f t="shared" si="23"/>
        <v>0.12976436056015636</v>
      </c>
    </row>
    <row r="469" spans="1:14" x14ac:dyDescent="0.45">
      <c r="A469" t="s">
        <v>959</v>
      </c>
      <c r="B469" s="1">
        <v>45444</v>
      </c>
      <c r="C469" t="s">
        <v>960</v>
      </c>
      <c r="D469" t="s">
        <v>56</v>
      </c>
      <c r="E469" t="s">
        <v>20</v>
      </c>
      <c r="F469" t="s">
        <v>21</v>
      </c>
      <c r="G469">
        <v>2</v>
      </c>
      <c r="H469">
        <v>48890</v>
      </c>
      <c r="I469">
        <v>11305.9</v>
      </c>
      <c r="J469" t="s">
        <v>16</v>
      </c>
      <c r="K469" t="s">
        <v>17</v>
      </c>
      <c r="L469">
        <f t="shared" si="21"/>
        <v>2024</v>
      </c>
      <c r="M469" t="str">
        <f t="shared" si="22"/>
        <v>Jun</v>
      </c>
      <c r="N469" s="2">
        <f t="shared" si="23"/>
        <v>0.23125178973205154</v>
      </c>
    </row>
    <row r="470" spans="1:14" x14ac:dyDescent="0.45">
      <c r="A470" t="s">
        <v>961</v>
      </c>
      <c r="B470" s="1">
        <v>45102</v>
      </c>
      <c r="C470" t="s">
        <v>962</v>
      </c>
      <c r="D470" t="s">
        <v>26</v>
      </c>
      <c r="E470" t="s">
        <v>36</v>
      </c>
      <c r="F470" t="s">
        <v>64</v>
      </c>
      <c r="G470">
        <v>1</v>
      </c>
      <c r="H470">
        <v>44154.43</v>
      </c>
      <c r="I470">
        <v>10001.15</v>
      </c>
      <c r="J470" t="s">
        <v>28</v>
      </c>
      <c r="K470" t="s">
        <v>17</v>
      </c>
      <c r="L470">
        <f t="shared" si="21"/>
        <v>2023</v>
      </c>
      <c r="M470" t="str">
        <f t="shared" si="22"/>
        <v>Jun</v>
      </c>
      <c r="N470" s="2">
        <f t="shared" si="23"/>
        <v>0.22650388647299941</v>
      </c>
    </row>
    <row r="471" spans="1:14" x14ac:dyDescent="0.45">
      <c r="A471" t="s">
        <v>963</v>
      </c>
      <c r="B471" s="1">
        <v>45113</v>
      </c>
      <c r="C471" t="s">
        <v>964</v>
      </c>
      <c r="D471" t="s">
        <v>56</v>
      </c>
      <c r="E471" t="s">
        <v>14</v>
      </c>
      <c r="F471" t="s">
        <v>32</v>
      </c>
      <c r="G471">
        <v>2</v>
      </c>
      <c r="H471">
        <v>5254.88</v>
      </c>
      <c r="I471">
        <v>820.74</v>
      </c>
      <c r="J471" t="s">
        <v>22</v>
      </c>
      <c r="K471" t="s">
        <v>23</v>
      </c>
      <c r="L471">
        <f t="shared" si="21"/>
        <v>2023</v>
      </c>
      <c r="M471" t="str">
        <f t="shared" si="22"/>
        <v>Jul</v>
      </c>
      <c r="N471" s="2">
        <f t="shared" si="23"/>
        <v>0.15618624973358097</v>
      </c>
    </row>
    <row r="472" spans="1:14" x14ac:dyDescent="0.45">
      <c r="A472" t="s">
        <v>965</v>
      </c>
      <c r="B472" s="1">
        <v>45427</v>
      </c>
      <c r="C472" t="s">
        <v>966</v>
      </c>
      <c r="D472" t="s">
        <v>26</v>
      </c>
      <c r="E472" t="s">
        <v>14</v>
      </c>
      <c r="F472" t="s">
        <v>40</v>
      </c>
      <c r="G472">
        <v>1</v>
      </c>
      <c r="H472">
        <v>13819.97</v>
      </c>
      <c r="I472">
        <v>1380.13</v>
      </c>
      <c r="J472" t="s">
        <v>28</v>
      </c>
      <c r="K472" t="s">
        <v>23</v>
      </c>
      <c r="L472">
        <f t="shared" si="21"/>
        <v>2024</v>
      </c>
      <c r="M472" t="str">
        <f t="shared" si="22"/>
        <v>May</v>
      </c>
      <c r="N472" s="2">
        <f t="shared" si="23"/>
        <v>9.9864905640171447E-2</v>
      </c>
    </row>
    <row r="473" spans="1:14" x14ac:dyDescent="0.45">
      <c r="A473" t="s">
        <v>967</v>
      </c>
      <c r="B473" s="1">
        <v>45593</v>
      </c>
      <c r="C473" t="s">
        <v>968</v>
      </c>
      <c r="D473" t="s">
        <v>26</v>
      </c>
      <c r="E473" t="s">
        <v>36</v>
      </c>
      <c r="F473" t="s">
        <v>64</v>
      </c>
      <c r="G473">
        <v>2</v>
      </c>
      <c r="H473">
        <v>37415.49</v>
      </c>
      <c r="I473">
        <v>3547.28</v>
      </c>
      <c r="J473" t="s">
        <v>16</v>
      </c>
      <c r="K473" t="s">
        <v>23</v>
      </c>
      <c r="L473">
        <f t="shared" si="21"/>
        <v>2024</v>
      </c>
      <c r="M473" t="str">
        <f t="shared" si="22"/>
        <v>Oct</v>
      </c>
      <c r="N473" s="2">
        <f t="shared" si="23"/>
        <v>9.4807792173776162E-2</v>
      </c>
    </row>
    <row r="474" spans="1:14" x14ac:dyDescent="0.45">
      <c r="A474" t="s">
        <v>969</v>
      </c>
      <c r="B474" s="1">
        <v>45000</v>
      </c>
      <c r="C474" t="s">
        <v>970</v>
      </c>
      <c r="D474" t="s">
        <v>26</v>
      </c>
      <c r="E474" t="s">
        <v>20</v>
      </c>
      <c r="F474" t="s">
        <v>50</v>
      </c>
      <c r="G474">
        <v>2</v>
      </c>
      <c r="H474">
        <v>42780.25</v>
      </c>
      <c r="I474">
        <v>4993.38</v>
      </c>
      <c r="J474" t="s">
        <v>16</v>
      </c>
      <c r="K474" t="s">
        <v>29</v>
      </c>
      <c r="L474">
        <f t="shared" si="21"/>
        <v>2023</v>
      </c>
      <c r="M474" t="str">
        <f t="shared" si="22"/>
        <v>Mar</v>
      </c>
      <c r="N474" s="2">
        <f t="shared" si="23"/>
        <v>0.11672161803636023</v>
      </c>
    </row>
    <row r="475" spans="1:14" x14ac:dyDescent="0.45">
      <c r="A475" t="s">
        <v>971</v>
      </c>
      <c r="B475" s="1">
        <v>45070</v>
      </c>
      <c r="C475" t="s">
        <v>972</v>
      </c>
      <c r="D475" t="s">
        <v>13</v>
      </c>
      <c r="E475" t="s">
        <v>14</v>
      </c>
      <c r="F475" t="s">
        <v>32</v>
      </c>
      <c r="G475">
        <v>1</v>
      </c>
      <c r="H475">
        <v>46100.19</v>
      </c>
      <c r="I475">
        <v>5831.29</v>
      </c>
      <c r="J475" t="s">
        <v>22</v>
      </c>
      <c r="K475" t="s">
        <v>23</v>
      </c>
      <c r="L475">
        <f t="shared" si="21"/>
        <v>2023</v>
      </c>
      <c r="M475" t="str">
        <f t="shared" si="22"/>
        <v>May</v>
      </c>
      <c r="N475" s="2">
        <f t="shared" si="23"/>
        <v>0.12649166955711028</v>
      </c>
    </row>
    <row r="476" spans="1:14" x14ac:dyDescent="0.45">
      <c r="A476" t="s">
        <v>973</v>
      </c>
      <c r="B476" s="1">
        <v>44699</v>
      </c>
      <c r="C476" t="s">
        <v>974</v>
      </c>
      <c r="D476" t="s">
        <v>13</v>
      </c>
      <c r="E476" t="s">
        <v>20</v>
      </c>
      <c r="F476" t="s">
        <v>50</v>
      </c>
      <c r="G476">
        <v>4</v>
      </c>
      <c r="H476">
        <v>46410.62</v>
      </c>
      <c r="I476">
        <v>3100.72</v>
      </c>
      <c r="J476" t="s">
        <v>22</v>
      </c>
      <c r="K476" t="s">
        <v>23</v>
      </c>
      <c r="L476">
        <f t="shared" si="21"/>
        <v>2022</v>
      </c>
      <c r="M476" t="str">
        <f t="shared" si="22"/>
        <v>May</v>
      </c>
      <c r="N476" s="2">
        <f t="shared" si="23"/>
        <v>6.6810570511663059E-2</v>
      </c>
    </row>
    <row r="477" spans="1:14" x14ac:dyDescent="0.45">
      <c r="A477" t="s">
        <v>975</v>
      </c>
      <c r="B477" s="1">
        <v>44870</v>
      </c>
      <c r="C477" t="s">
        <v>976</v>
      </c>
      <c r="D477" t="s">
        <v>13</v>
      </c>
      <c r="E477" t="s">
        <v>36</v>
      </c>
      <c r="F477" t="s">
        <v>53</v>
      </c>
      <c r="G477">
        <v>5</v>
      </c>
      <c r="H477">
        <v>25562.87</v>
      </c>
      <c r="I477">
        <v>4345.6099999999997</v>
      </c>
      <c r="J477" t="s">
        <v>22</v>
      </c>
      <c r="K477" t="s">
        <v>17</v>
      </c>
      <c r="L477">
        <f t="shared" si="21"/>
        <v>2022</v>
      </c>
      <c r="M477" t="str">
        <f t="shared" si="22"/>
        <v>Nov</v>
      </c>
      <c r="N477" s="2">
        <f t="shared" si="23"/>
        <v>0.16999695261134606</v>
      </c>
    </row>
    <row r="478" spans="1:14" x14ac:dyDescent="0.45">
      <c r="A478" t="s">
        <v>977</v>
      </c>
      <c r="B478" s="1">
        <v>45626</v>
      </c>
      <c r="C478" t="s">
        <v>978</v>
      </c>
      <c r="D478" t="s">
        <v>56</v>
      </c>
      <c r="E478" t="s">
        <v>14</v>
      </c>
      <c r="F478" t="s">
        <v>32</v>
      </c>
      <c r="G478">
        <v>2</v>
      </c>
      <c r="H478">
        <v>7122.19</v>
      </c>
      <c r="I478">
        <v>919.98</v>
      </c>
      <c r="J478" t="s">
        <v>47</v>
      </c>
      <c r="K478" t="s">
        <v>23</v>
      </c>
      <c r="L478">
        <f t="shared" si="21"/>
        <v>2024</v>
      </c>
      <c r="M478" t="str">
        <f t="shared" si="22"/>
        <v>Nov</v>
      </c>
      <c r="N478" s="2">
        <f t="shared" si="23"/>
        <v>0.12917094320707537</v>
      </c>
    </row>
    <row r="479" spans="1:14" x14ac:dyDescent="0.45">
      <c r="A479" t="s">
        <v>979</v>
      </c>
      <c r="B479" s="1">
        <v>45135</v>
      </c>
      <c r="C479" t="s">
        <v>980</v>
      </c>
      <c r="D479" t="s">
        <v>56</v>
      </c>
      <c r="E479" t="s">
        <v>36</v>
      </c>
      <c r="F479" t="s">
        <v>46</v>
      </c>
      <c r="G479">
        <v>4</v>
      </c>
      <c r="H479">
        <v>23392.22</v>
      </c>
      <c r="I479">
        <v>1790.52</v>
      </c>
      <c r="J479" t="s">
        <v>47</v>
      </c>
      <c r="K479" t="s">
        <v>23</v>
      </c>
      <c r="L479">
        <f t="shared" si="21"/>
        <v>2023</v>
      </c>
      <c r="M479" t="str">
        <f t="shared" si="22"/>
        <v>Jul</v>
      </c>
      <c r="N479" s="2">
        <f t="shared" si="23"/>
        <v>7.6543397762161944E-2</v>
      </c>
    </row>
    <row r="480" spans="1:14" x14ac:dyDescent="0.45">
      <c r="A480" t="s">
        <v>981</v>
      </c>
      <c r="B480" s="1">
        <v>44889</v>
      </c>
      <c r="C480" t="s">
        <v>982</v>
      </c>
      <c r="D480" t="s">
        <v>26</v>
      </c>
      <c r="E480" t="s">
        <v>20</v>
      </c>
      <c r="F480" t="s">
        <v>21</v>
      </c>
      <c r="G480">
        <v>5</v>
      </c>
      <c r="H480">
        <v>35549.65</v>
      </c>
      <c r="I480">
        <v>7003.33</v>
      </c>
      <c r="J480" t="s">
        <v>22</v>
      </c>
      <c r="K480" t="s">
        <v>17</v>
      </c>
      <c r="L480">
        <f t="shared" si="21"/>
        <v>2022</v>
      </c>
      <c r="M480" t="str">
        <f t="shared" si="22"/>
        <v>Nov</v>
      </c>
      <c r="N480" s="2">
        <f t="shared" si="23"/>
        <v>0.19700137694745234</v>
      </c>
    </row>
    <row r="481" spans="1:14" x14ac:dyDescent="0.45">
      <c r="A481" t="s">
        <v>983</v>
      </c>
      <c r="B481" s="1">
        <v>45597</v>
      </c>
      <c r="C481" t="s">
        <v>984</v>
      </c>
      <c r="D481" t="s">
        <v>56</v>
      </c>
      <c r="E481" t="s">
        <v>20</v>
      </c>
      <c r="F481" t="s">
        <v>21</v>
      </c>
      <c r="G481">
        <v>3</v>
      </c>
      <c r="H481">
        <v>46821.29</v>
      </c>
      <c r="I481">
        <v>10763.54</v>
      </c>
      <c r="J481" t="s">
        <v>22</v>
      </c>
      <c r="K481" t="s">
        <v>17</v>
      </c>
      <c r="L481">
        <f t="shared" si="21"/>
        <v>2024</v>
      </c>
      <c r="M481" t="str">
        <f t="shared" si="22"/>
        <v>Nov</v>
      </c>
      <c r="N481" s="2">
        <f t="shared" si="23"/>
        <v>0.22988559264385924</v>
      </c>
    </row>
    <row r="482" spans="1:14" x14ac:dyDescent="0.45">
      <c r="A482" t="s">
        <v>985</v>
      </c>
      <c r="B482" s="1">
        <v>45338</v>
      </c>
      <c r="C482" t="s">
        <v>986</v>
      </c>
      <c r="D482" t="s">
        <v>13</v>
      </c>
      <c r="E482" t="s">
        <v>20</v>
      </c>
      <c r="F482" t="s">
        <v>27</v>
      </c>
      <c r="G482">
        <v>2</v>
      </c>
      <c r="H482">
        <v>47716.78</v>
      </c>
      <c r="I482">
        <v>3044.54</v>
      </c>
      <c r="J482" t="s">
        <v>71</v>
      </c>
      <c r="K482" t="s">
        <v>29</v>
      </c>
      <c r="L482">
        <f t="shared" si="21"/>
        <v>2024</v>
      </c>
      <c r="M482" t="str">
        <f t="shared" si="22"/>
        <v>Feb</v>
      </c>
      <c r="N482" s="2">
        <f t="shared" si="23"/>
        <v>6.3804389147800844E-2</v>
      </c>
    </row>
    <row r="483" spans="1:14" x14ac:dyDescent="0.45">
      <c r="A483" t="s">
        <v>987</v>
      </c>
      <c r="B483" s="1">
        <v>45143</v>
      </c>
      <c r="C483" t="s">
        <v>988</v>
      </c>
      <c r="D483" t="s">
        <v>56</v>
      </c>
      <c r="E483" t="s">
        <v>14</v>
      </c>
      <c r="F483" t="s">
        <v>32</v>
      </c>
      <c r="G483">
        <v>4</v>
      </c>
      <c r="H483">
        <v>25870.46</v>
      </c>
      <c r="I483">
        <v>5888.59</v>
      </c>
      <c r="J483" t="s">
        <v>22</v>
      </c>
      <c r="K483" t="s">
        <v>17</v>
      </c>
      <c r="L483">
        <f t="shared" si="21"/>
        <v>2023</v>
      </c>
      <c r="M483" t="str">
        <f t="shared" si="22"/>
        <v>Aug</v>
      </c>
      <c r="N483" s="2">
        <f t="shared" si="23"/>
        <v>0.22761829515207693</v>
      </c>
    </row>
    <row r="484" spans="1:14" x14ac:dyDescent="0.45">
      <c r="A484" t="s">
        <v>989</v>
      </c>
      <c r="B484" s="1">
        <v>45344</v>
      </c>
      <c r="C484" t="s">
        <v>990</v>
      </c>
      <c r="D484" t="s">
        <v>26</v>
      </c>
      <c r="E484" t="s">
        <v>14</v>
      </c>
      <c r="F484" t="s">
        <v>40</v>
      </c>
      <c r="G484">
        <v>4</v>
      </c>
      <c r="H484">
        <v>34445.01</v>
      </c>
      <c r="I484">
        <v>5674.88</v>
      </c>
      <c r="J484" t="s">
        <v>22</v>
      </c>
      <c r="K484" t="s">
        <v>17</v>
      </c>
      <c r="L484">
        <f t="shared" si="21"/>
        <v>2024</v>
      </c>
      <c r="M484" t="str">
        <f t="shared" si="22"/>
        <v>Feb</v>
      </c>
      <c r="N484" s="2">
        <f t="shared" si="23"/>
        <v>0.16475187552565668</v>
      </c>
    </row>
    <row r="485" spans="1:14" x14ac:dyDescent="0.45">
      <c r="A485" t="s">
        <v>991</v>
      </c>
      <c r="B485" s="1">
        <v>45330</v>
      </c>
      <c r="C485" t="s">
        <v>992</v>
      </c>
      <c r="D485" t="s">
        <v>26</v>
      </c>
      <c r="E485" t="s">
        <v>36</v>
      </c>
      <c r="F485" t="s">
        <v>64</v>
      </c>
      <c r="G485">
        <v>1</v>
      </c>
      <c r="H485">
        <v>10405.76</v>
      </c>
      <c r="I485">
        <v>1853.07</v>
      </c>
      <c r="J485" t="s">
        <v>22</v>
      </c>
      <c r="K485" t="s">
        <v>29</v>
      </c>
      <c r="L485">
        <f t="shared" si="21"/>
        <v>2024</v>
      </c>
      <c r="M485" t="str">
        <f t="shared" si="22"/>
        <v>Feb</v>
      </c>
      <c r="N485" s="2">
        <f t="shared" si="23"/>
        <v>0.17808117811673535</v>
      </c>
    </row>
    <row r="486" spans="1:14" x14ac:dyDescent="0.45">
      <c r="A486" t="s">
        <v>993</v>
      </c>
      <c r="B486" s="1">
        <v>44681</v>
      </c>
      <c r="C486" t="s">
        <v>994</v>
      </c>
      <c r="D486" t="s">
        <v>56</v>
      </c>
      <c r="E486" t="s">
        <v>20</v>
      </c>
      <c r="F486" t="s">
        <v>50</v>
      </c>
      <c r="G486">
        <v>1</v>
      </c>
      <c r="H486">
        <v>46720.56</v>
      </c>
      <c r="I486">
        <v>9234.34</v>
      </c>
      <c r="J486" t="s">
        <v>22</v>
      </c>
      <c r="K486" t="s">
        <v>17</v>
      </c>
      <c r="L486">
        <f t="shared" si="21"/>
        <v>2022</v>
      </c>
      <c r="M486" t="str">
        <f t="shared" si="22"/>
        <v>Apr</v>
      </c>
      <c r="N486" s="2">
        <f t="shared" si="23"/>
        <v>0.19765045624453134</v>
      </c>
    </row>
    <row r="487" spans="1:14" x14ac:dyDescent="0.45">
      <c r="A487" t="s">
        <v>995</v>
      </c>
      <c r="B487" s="1">
        <v>45649</v>
      </c>
      <c r="C487" t="s">
        <v>996</v>
      </c>
      <c r="D487" t="s">
        <v>13</v>
      </c>
      <c r="E487" t="s">
        <v>36</v>
      </c>
      <c r="F487" t="s">
        <v>37</v>
      </c>
      <c r="G487">
        <v>4</v>
      </c>
      <c r="H487">
        <v>4727.3100000000004</v>
      </c>
      <c r="I487">
        <v>967.8</v>
      </c>
      <c r="J487" t="s">
        <v>22</v>
      </c>
      <c r="K487" t="s">
        <v>33</v>
      </c>
      <c r="L487">
        <f t="shared" si="21"/>
        <v>2024</v>
      </c>
      <c r="M487" t="str">
        <f t="shared" si="22"/>
        <v>Dec</v>
      </c>
      <c r="N487" s="2">
        <f t="shared" si="23"/>
        <v>0.2047253088966029</v>
      </c>
    </row>
    <row r="488" spans="1:14" x14ac:dyDescent="0.45">
      <c r="A488" t="s">
        <v>997</v>
      </c>
      <c r="B488" s="1">
        <v>44878</v>
      </c>
      <c r="C488" t="s">
        <v>998</v>
      </c>
      <c r="D488" t="s">
        <v>26</v>
      </c>
      <c r="E488" t="s">
        <v>36</v>
      </c>
      <c r="F488" t="s">
        <v>64</v>
      </c>
      <c r="G488">
        <v>2</v>
      </c>
      <c r="H488">
        <v>45349.99</v>
      </c>
      <c r="I488">
        <v>5829.03</v>
      </c>
      <c r="J488" t="s">
        <v>28</v>
      </c>
      <c r="K488" t="s">
        <v>23</v>
      </c>
      <c r="L488">
        <f t="shared" si="21"/>
        <v>2022</v>
      </c>
      <c r="M488" t="str">
        <f t="shared" si="22"/>
        <v>Nov</v>
      </c>
      <c r="N488" s="2">
        <f t="shared" si="23"/>
        <v>0.12853431720712619</v>
      </c>
    </row>
    <row r="489" spans="1:14" x14ac:dyDescent="0.45">
      <c r="A489" t="s">
        <v>999</v>
      </c>
      <c r="B489" s="1">
        <v>44639</v>
      </c>
      <c r="C489" t="s">
        <v>1000</v>
      </c>
      <c r="D489" t="s">
        <v>56</v>
      </c>
      <c r="E489" t="s">
        <v>20</v>
      </c>
      <c r="F489" t="s">
        <v>21</v>
      </c>
      <c r="G489">
        <v>4</v>
      </c>
      <c r="H489">
        <v>46191.91</v>
      </c>
      <c r="I489">
        <v>4875.6499999999996</v>
      </c>
      <c r="J489" t="s">
        <v>22</v>
      </c>
      <c r="K489" t="s">
        <v>23</v>
      </c>
      <c r="L489">
        <f t="shared" si="21"/>
        <v>2022</v>
      </c>
      <c r="M489" t="str">
        <f t="shared" si="22"/>
        <v>Mar</v>
      </c>
      <c r="N489" s="2">
        <f t="shared" si="23"/>
        <v>0.10555203281267216</v>
      </c>
    </row>
    <row r="490" spans="1:14" x14ac:dyDescent="0.45">
      <c r="A490" t="s">
        <v>1001</v>
      </c>
      <c r="B490" s="1">
        <v>45435</v>
      </c>
      <c r="C490" t="s">
        <v>1002</v>
      </c>
      <c r="D490" t="s">
        <v>56</v>
      </c>
      <c r="E490" t="s">
        <v>36</v>
      </c>
      <c r="F490" t="s">
        <v>53</v>
      </c>
      <c r="G490">
        <v>4</v>
      </c>
      <c r="H490">
        <v>45550.11</v>
      </c>
      <c r="I490">
        <v>10534.28</v>
      </c>
      <c r="J490" t="s">
        <v>47</v>
      </c>
      <c r="K490" t="s">
        <v>23</v>
      </c>
      <c r="L490">
        <f t="shared" si="21"/>
        <v>2024</v>
      </c>
      <c r="M490" t="str">
        <f t="shared" si="22"/>
        <v>May</v>
      </c>
      <c r="N490" s="2">
        <f t="shared" si="23"/>
        <v>0.23126793766249962</v>
      </c>
    </row>
    <row r="491" spans="1:14" x14ac:dyDescent="0.45">
      <c r="A491" t="s">
        <v>1003</v>
      </c>
      <c r="B491" s="1">
        <v>44729</v>
      </c>
      <c r="C491" t="s">
        <v>206</v>
      </c>
      <c r="D491" t="s">
        <v>56</v>
      </c>
      <c r="E491" t="s">
        <v>36</v>
      </c>
      <c r="F491" t="s">
        <v>53</v>
      </c>
      <c r="G491">
        <v>3</v>
      </c>
      <c r="H491">
        <v>6414.42</v>
      </c>
      <c r="I491">
        <v>1242.0999999999999</v>
      </c>
      <c r="J491" t="s">
        <v>22</v>
      </c>
      <c r="K491" t="s">
        <v>33</v>
      </c>
      <c r="L491">
        <f t="shared" si="21"/>
        <v>2022</v>
      </c>
      <c r="M491" t="str">
        <f t="shared" si="22"/>
        <v>Jun</v>
      </c>
      <c r="N491" s="2">
        <f t="shared" si="23"/>
        <v>0.19364182576133149</v>
      </c>
    </row>
    <row r="492" spans="1:14" x14ac:dyDescent="0.45">
      <c r="A492" t="s">
        <v>1004</v>
      </c>
      <c r="B492" s="1">
        <v>45216</v>
      </c>
      <c r="C492" t="s">
        <v>1005</v>
      </c>
      <c r="D492" t="s">
        <v>56</v>
      </c>
      <c r="E492" t="s">
        <v>14</v>
      </c>
      <c r="F492" t="s">
        <v>40</v>
      </c>
      <c r="G492">
        <v>2</v>
      </c>
      <c r="H492">
        <v>21042.1</v>
      </c>
      <c r="I492">
        <v>4395.2700000000004</v>
      </c>
      <c r="J492" t="s">
        <v>22</v>
      </c>
      <c r="K492" t="s">
        <v>23</v>
      </c>
      <c r="L492">
        <f t="shared" si="21"/>
        <v>2023</v>
      </c>
      <c r="M492" t="str">
        <f t="shared" si="22"/>
        <v>Oct</v>
      </c>
      <c r="N492" s="2">
        <f t="shared" si="23"/>
        <v>0.20887981712851858</v>
      </c>
    </row>
    <row r="493" spans="1:14" x14ac:dyDescent="0.45">
      <c r="A493" t="s">
        <v>1006</v>
      </c>
      <c r="B493" s="1">
        <v>45512</v>
      </c>
      <c r="C493" t="s">
        <v>1007</v>
      </c>
      <c r="D493" t="s">
        <v>13</v>
      </c>
      <c r="E493" t="s">
        <v>36</v>
      </c>
      <c r="F493" t="s">
        <v>37</v>
      </c>
      <c r="G493">
        <v>1</v>
      </c>
      <c r="H493">
        <v>27762.49</v>
      </c>
      <c r="I493">
        <v>2989.94</v>
      </c>
      <c r="J493" t="s">
        <v>16</v>
      </c>
      <c r="K493" t="s">
        <v>17</v>
      </c>
      <c r="L493">
        <f t="shared" si="21"/>
        <v>2024</v>
      </c>
      <c r="M493" t="str">
        <f t="shared" si="22"/>
        <v>Aug</v>
      </c>
      <c r="N493" s="2">
        <f t="shared" si="23"/>
        <v>0.10769711218266084</v>
      </c>
    </row>
    <row r="494" spans="1:14" x14ac:dyDescent="0.45">
      <c r="A494" t="s">
        <v>1008</v>
      </c>
      <c r="B494" s="1">
        <v>45131</v>
      </c>
      <c r="C494" t="s">
        <v>1009</v>
      </c>
      <c r="D494" t="s">
        <v>56</v>
      </c>
      <c r="E494" t="s">
        <v>20</v>
      </c>
      <c r="F494" t="s">
        <v>21</v>
      </c>
      <c r="G494">
        <v>3</v>
      </c>
      <c r="H494">
        <v>15980.49</v>
      </c>
      <c r="I494">
        <v>2752.75</v>
      </c>
      <c r="J494" t="s">
        <v>71</v>
      </c>
      <c r="K494" t="s">
        <v>33</v>
      </c>
      <c r="L494">
        <f t="shared" si="21"/>
        <v>2023</v>
      </c>
      <c r="M494" t="str">
        <f t="shared" si="22"/>
        <v>Jul</v>
      </c>
      <c r="N494" s="2">
        <f t="shared" si="23"/>
        <v>0.17225692078277952</v>
      </c>
    </row>
    <row r="495" spans="1:14" x14ac:dyDescent="0.45">
      <c r="A495" t="s">
        <v>1010</v>
      </c>
      <c r="B495" s="1">
        <v>44769</v>
      </c>
      <c r="C495" t="s">
        <v>1011</v>
      </c>
      <c r="D495" t="s">
        <v>26</v>
      </c>
      <c r="E495" t="s">
        <v>20</v>
      </c>
      <c r="F495" t="s">
        <v>21</v>
      </c>
      <c r="G495">
        <v>3</v>
      </c>
      <c r="H495">
        <v>19227.259999999998</v>
      </c>
      <c r="I495">
        <v>4036.34</v>
      </c>
      <c r="J495" t="s">
        <v>71</v>
      </c>
      <c r="K495" t="s">
        <v>23</v>
      </c>
      <c r="L495">
        <f t="shared" si="21"/>
        <v>2022</v>
      </c>
      <c r="M495" t="str">
        <f t="shared" si="22"/>
        <v>Jul</v>
      </c>
      <c r="N495" s="2">
        <f t="shared" si="23"/>
        <v>0.20992798765918808</v>
      </c>
    </row>
    <row r="496" spans="1:14" x14ac:dyDescent="0.45">
      <c r="A496" t="s">
        <v>1012</v>
      </c>
      <c r="B496" s="1">
        <v>45651</v>
      </c>
      <c r="C496" t="s">
        <v>1013</v>
      </c>
      <c r="D496" t="s">
        <v>56</v>
      </c>
      <c r="E496" t="s">
        <v>36</v>
      </c>
      <c r="F496" t="s">
        <v>64</v>
      </c>
      <c r="G496">
        <v>3</v>
      </c>
      <c r="H496">
        <v>2395.91</v>
      </c>
      <c r="I496">
        <v>582.33000000000004</v>
      </c>
      <c r="J496" t="s">
        <v>28</v>
      </c>
      <c r="K496" t="s">
        <v>23</v>
      </c>
      <c r="L496">
        <f t="shared" si="21"/>
        <v>2024</v>
      </c>
      <c r="M496" t="str">
        <f t="shared" si="22"/>
        <v>Dec</v>
      </c>
      <c r="N496" s="2">
        <f t="shared" si="23"/>
        <v>0.24305170060645018</v>
      </c>
    </row>
    <row r="497" spans="1:14" x14ac:dyDescent="0.45">
      <c r="A497" t="s">
        <v>1014</v>
      </c>
      <c r="B497" s="1">
        <v>45475</v>
      </c>
      <c r="C497" t="s">
        <v>1015</v>
      </c>
      <c r="D497" t="s">
        <v>26</v>
      </c>
      <c r="E497" t="s">
        <v>20</v>
      </c>
      <c r="F497" t="s">
        <v>21</v>
      </c>
      <c r="G497">
        <v>5</v>
      </c>
      <c r="H497">
        <v>26081.78</v>
      </c>
      <c r="I497">
        <v>4005.14</v>
      </c>
      <c r="J497" t="s">
        <v>22</v>
      </c>
      <c r="K497" t="s">
        <v>17</v>
      </c>
      <c r="L497">
        <f t="shared" si="21"/>
        <v>2024</v>
      </c>
      <c r="M497" t="str">
        <f t="shared" si="22"/>
        <v>Jul</v>
      </c>
      <c r="N497" s="2">
        <f t="shared" si="23"/>
        <v>0.15356083825567121</v>
      </c>
    </row>
    <row r="498" spans="1:14" x14ac:dyDescent="0.45">
      <c r="A498" t="s">
        <v>1016</v>
      </c>
      <c r="B498" s="1">
        <v>45141</v>
      </c>
      <c r="C498" t="s">
        <v>1017</v>
      </c>
      <c r="D498" t="s">
        <v>26</v>
      </c>
      <c r="E498" t="s">
        <v>20</v>
      </c>
      <c r="F498" t="s">
        <v>21</v>
      </c>
      <c r="G498">
        <v>1</v>
      </c>
      <c r="H498">
        <v>13061.99</v>
      </c>
      <c r="I498">
        <v>1129.6400000000001</v>
      </c>
      <c r="J498" t="s">
        <v>22</v>
      </c>
      <c r="K498" t="s">
        <v>23</v>
      </c>
      <c r="L498">
        <f t="shared" si="21"/>
        <v>2023</v>
      </c>
      <c r="M498" t="str">
        <f t="shared" si="22"/>
        <v>Aug</v>
      </c>
      <c r="N498" s="2">
        <f t="shared" si="23"/>
        <v>8.6482993785786097E-2</v>
      </c>
    </row>
    <row r="499" spans="1:14" x14ac:dyDescent="0.45">
      <c r="A499" t="s">
        <v>1018</v>
      </c>
      <c r="B499" s="1">
        <v>45043</v>
      </c>
      <c r="C499" t="s">
        <v>549</v>
      </c>
      <c r="D499" t="s">
        <v>13</v>
      </c>
      <c r="E499" t="s">
        <v>36</v>
      </c>
      <c r="F499" t="s">
        <v>64</v>
      </c>
      <c r="G499">
        <v>5</v>
      </c>
      <c r="H499">
        <v>7672.91</v>
      </c>
      <c r="I499">
        <v>600.16</v>
      </c>
      <c r="J499" t="s">
        <v>71</v>
      </c>
      <c r="K499" t="s">
        <v>23</v>
      </c>
      <c r="L499">
        <f t="shared" si="21"/>
        <v>2023</v>
      </c>
      <c r="M499" t="str">
        <f t="shared" si="22"/>
        <v>Apr</v>
      </c>
      <c r="N499" s="2">
        <f t="shared" si="23"/>
        <v>7.8218042437614932E-2</v>
      </c>
    </row>
    <row r="500" spans="1:14" x14ac:dyDescent="0.45">
      <c r="A500" t="s">
        <v>1019</v>
      </c>
      <c r="B500" s="1">
        <v>44692</v>
      </c>
      <c r="C500" t="s">
        <v>1020</v>
      </c>
      <c r="D500" t="s">
        <v>13</v>
      </c>
      <c r="E500" t="s">
        <v>20</v>
      </c>
      <c r="F500" t="s">
        <v>27</v>
      </c>
      <c r="G500">
        <v>2</v>
      </c>
      <c r="H500">
        <v>11125.96</v>
      </c>
      <c r="I500">
        <v>2328.69</v>
      </c>
      <c r="J500" t="s">
        <v>47</v>
      </c>
      <c r="K500" t="s">
        <v>33</v>
      </c>
      <c r="L500">
        <f t="shared" si="21"/>
        <v>2022</v>
      </c>
      <c r="M500" t="str">
        <f t="shared" si="22"/>
        <v>May</v>
      </c>
      <c r="N500" s="2">
        <f t="shared" si="23"/>
        <v>0.20930238828829154</v>
      </c>
    </row>
    <row r="501" spans="1:14" x14ac:dyDescent="0.45">
      <c r="A501" t="s">
        <v>1021</v>
      </c>
      <c r="B501" s="1">
        <v>44683</v>
      </c>
      <c r="C501" t="s">
        <v>1022</v>
      </c>
      <c r="D501" t="s">
        <v>26</v>
      </c>
      <c r="E501" t="s">
        <v>36</v>
      </c>
      <c r="F501" t="s">
        <v>37</v>
      </c>
      <c r="G501">
        <v>4</v>
      </c>
      <c r="H501">
        <v>2077.21</v>
      </c>
      <c r="I501">
        <v>228.02</v>
      </c>
      <c r="J501" t="s">
        <v>22</v>
      </c>
      <c r="K501" t="s">
        <v>17</v>
      </c>
      <c r="L501">
        <f t="shared" si="21"/>
        <v>2022</v>
      </c>
      <c r="M501" t="str">
        <f t="shared" si="22"/>
        <v>May</v>
      </c>
      <c r="N501" s="2">
        <f t="shared" si="23"/>
        <v>0.10977224257537756</v>
      </c>
    </row>
    <row r="502" spans="1:14" x14ac:dyDescent="0.45">
      <c r="A502" t="s">
        <v>1023</v>
      </c>
      <c r="B502" s="1">
        <v>45517</v>
      </c>
      <c r="C502" t="s">
        <v>1024</v>
      </c>
      <c r="D502" t="s">
        <v>56</v>
      </c>
      <c r="E502" t="s">
        <v>20</v>
      </c>
      <c r="F502" t="s">
        <v>43</v>
      </c>
      <c r="G502">
        <v>4</v>
      </c>
      <c r="H502">
        <v>41367.53</v>
      </c>
      <c r="I502">
        <v>6875.09</v>
      </c>
      <c r="J502" t="s">
        <v>71</v>
      </c>
      <c r="K502" t="s">
        <v>23</v>
      </c>
      <c r="L502">
        <f t="shared" si="21"/>
        <v>2024</v>
      </c>
      <c r="M502" t="str">
        <f t="shared" si="22"/>
        <v>Aug</v>
      </c>
      <c r="N502" s="2">
        <f t="shared" si="23"/>
        <v>0.16619532275676116</v>
      </c>
    </row>
    <row r="503" spans="1:14" x14ac:dyDescent="0.45">
      <c r="A503" t="s">
        <v>1025</v>
      </c>
      <c r="B503" s="1">
        <v>44986</v>
      </c>
      <c r="C503" t="s">
        <v>1026</v>
      </c>
      <c r="D503" t="s">
        <v>26</v>
      </c>
      <c r="E503" t="s">
        <v>20</v>
      </c>
      <c r="F503" t="s">
        <v>43</v>
      </c>
      <c r="G503">
        <v>2</v>
      </c>
      <c r="H503">
        <v>36950.81</v>
      </c>
      <c r="I503">
        <v>5881.52</v>
      </c>
      <c r="J503" t="s">
        <v>28</v>
      </c>
      <c r="K503" t="s">
        <v>23</v>
      </c>
      <c r="L503">
        <f t="shared" si="21"/>
        <v>2023</v>
      </c>
      <c r="M503" t="str">
        <f t="shared" si="22"/>
        <v>Mar</v>
      </c>
      <c r="N503" s="2">
        <f t="shared" si="23"/>
        <v>0.15917161220552406</v>
      </c>
    </row>
    <row r="504" spans="1:14" x14ac:dyDescent="0.45">
      <c r="A504" t="s">
        <v>1027</v>
      </c>
      <c r="B504" s="1">
        <v>44850</v>
      </c>
      <c r="C504" t="s">
        <v>1028</v>
      </c>
      <c r="D504" t="s">
        <v>13</v>
      </c>
      <c r="E504" t="s">
        <v>36</v>
      </c>
      <c r="F504" t="s">
        <v>53</v>
      </c>
      <c r="G504">
        <v>3</v>
      </c>
      <c r="H504">
        <v>3809.31</v>
      </c>
      <c r="I504">
        <v>522.16999999999996</v>
      </c>
      <c r="J504" t="s">
        <v>71</v>
      </c>
      <c r="K504" t="s">
        <v>33</v>
      </c>
      <c r="L504">
        <f t="shared" si="21"/>
        <v>2022</v>
      </c>
      <c r="M504" t="str">
        <f t="shared" si="22"/>
        <v>Oct</v>
      </c>
      <c r="N504" s="2">
        <f t="shared" si="23"/>
        <v>0.1370773184644988</v>
      </c>
    </row>
    <row r="505" spans="1:14" x14ac:dyDescent="0.45">
      <c r="A505" t="s">
        <v>1029</v>
      </c>
      <c r="B505" s="1">
        <v>44687</v>
      </c>
      <c r="C505" t="s">
        <v>1030</v>
      </c>
      <c r="D505" t="s">
        <v>26</v>
      </c>
      <c r="E505" t="s">
        <v>36</v>
      </c>
      <c r="F505" t="s">
        <v>64</v>
      </c>
      <c r="G505">
        <v>3</v>
      </c>
      <c r="H505">
        <v>34271.81</v>
      </c>
      <c r="I505">
        <v>4992.34</v>
      </c>
      <c r="J505" t="s">
        <v>47</v>
      </c>
      <c r="K505" t="s">
        <v>33</v>
      </c>
      <c r="L505">
        <f t="shared" si="21"/>
        <v>2022</v>
      </c>
      <c r="M505" t="str">
        <f t="shared" si="22"/>
        <v>May</v>
      </c>
      <c r="N505" s="2">
        <f t="shared" si="23"/>
        <v>0.14566899151226623</v>
      </c>
    </row>
    <row r="506" spans="1:14" x14ac:dyDescent="0.45">
      <c r="A506" t="s">
        <v>1031</v>
      </c>
      <c r="B506" s="1">
        <v>44966</v>
      </c>
      <c r="C506" t="s">
        <v>1032</v>
      </c>
      <c r="D506" t="s">
        <v>26</v>
      </c>
      <c r="E506" t="s">
        <v>14</v>
      </c>
      <c r="F506" t="s">
        <v>40</v>
      </c>
      <c r="G506">
        <v>4</v>
      </c>
      <c r="H506">
        <v>23119.85</v>
      </c>
      <c r="I506">
        <v>3341.57</v>
      </c>
      <c r="J506" t="s">
        <v>47</v>
      </c>
      <c r="K506" t="s">
        <v>29</v>
      </c>
      <c r="L506">
        <f t="shared" si="21"/>
        <v>2023</v>
      </c>
      <c r="M506" t="str">
        <f t="shared" si="22"/>
        <v>Feb</v>
      </c>
      <c r="N506" s="2">
        <f t="shared" si="23"/>
        <v>0.14453251210539864</v>
      </c>
    </row>
    <row r="507" spans="1:14" x14ac:dyDescent="0.45">
      <c r="A507" t="s">
        <v>1033</v>
      </c>
      <c r="B507" s="1">
        <v>45381</v>
      </c>
      <c r="C507" t="s">
        <v>1034</v>
      </c>
      <c r="D507" t="s">
        <v>13</v>
      </c>
      <c r="E507" t="s">
        <v>36</v>
      </c>
      <c r="F507" t="s">
        <v>37</v>
      </c>
      <c r="G507">
        <v>5</v>
      </c>
      <c r="H507">
        <v>29772.55</v>
      </c>
      <c r="I507">
        <v>5370.24</v>
      </c>
      <c r="J507" t="s">
        <v>28</v>
      </c>
      <c r="K507" t="s">
        <v>23</v>
      </c>
      <c r="L507">
        <f t="shared" si="21"/>
        <v>2024</v>
      </c>
      <c r="M507" t="str">
        <f t="shared" si="22"/>
        <v>Mar</v>
      </c>
      <c r="N507" s="2">
        <f t="shared" si="23"/>
        <v>0.18037554727425095</v>
      </c>
    </row>
    <row r="508" spans="1:14" x14ac:dyDescent="0.45">
      <c r="A508" t="s">
        <v>1035</v>
      </c>
      <c r="B508" s="1">
        <v>44916</v>
      </c>
      <c r="C508" t="s">
        <v>1036</v>
      </c>
      <c r="D508" t="s">
        <v>13</v>
      </c>
      <c r="E508" t="s">
        <v>20</v>
      </c>
      <c r="F508" t="s">
        <v>43</v>
      </c>
      <c r="G508">
        <v>2</v>
      </c>
      <c r="H508">
        <v>12878.93</v>
      </c>
      <c r="I508">
        <v>2868.07</v>
      </c>
      <c r="J508" t="s">
        <v>22</v>
      </c>
      <c r="K508" t="s">
        <v>23</v>
      </c>
      <c r="L508">
        <f t="shared" si="21"/>
        <v>2022</v>
      </c>
      <c r="M508" t="str">
        <f t="shared" si="22"/>
        <v>Dec</v>
      </c>
      <c r="N508" s="2">
        <f t="shared" si="23"/>
        <v>0.2226947424980181</v>
      </c>
    </row>
    <row r="509" spans="1:14" x14ac:dyDescent="0.45">
      <c r="A509" t="s">
        <v>1037</v>
      </c>
      <c r="B509" s="1">
        <v>45263</v>
      </c>
      <c r="C509" t="s">
        <v>1038</v>
      </c>
      <c r="D509" t="s">
        <v>26</v>
      </c>
      <c r="E509" t="s">
        <v>20</v>
      </c>
      <c r="F509" t="s">
        <v>27</v>
      </c>
      <c r="G509">
        <v>5</v>
      </c>
      <c r="H509">
        <v>27889.17</v>
      </c>
      <c r="I509">
        <v>4736.6499999999996</v>
      </c>
      <c r="J509" t="s">
        <v>22</v>
      </c>
      <c r="K509" t="s">
        <v>33</v>
      </c>
      <c r="L509">
        <f t="shared" si="21"/>
        <v>2023</v>
      </c>
      <c r="M509" t="str">
        <f t="shared" si="22"/>
        <v>Dec</v>
      </c>
      <c r="N509" s="2">
        <f t="shared" si="23"/>
        <v>0.16983832792442372</v>
      </c>
    </row>
    <row r="510" spans="1:14" x14ac:dyDescent="0.45">
      <c r="A510" t="s">
        <v>1039</v>
      </c>
      <c r="B510" s="1">
        <v>44682</v>
      </c>
      <c r="C510" t="s">
        <v>1040</v>
      </c>
      <c r="D510" t="s">
        <v>56</v>
      </c>
      <c r="E510" t="s">
        <v>14</v>
      </c>
      <c r="F510" t="s">
        <v>57</v>
      </c>
      <c r="G510">
        <v>4</v>
      </c>
      <c r="H510">
        <v>21720.71</v>
      </c>
      <c r="I510">
        <v>1234.04</v>
      </c>
      <c r="J510" t="s">
        <v>16</v>
      </c>
      <c r="K510" t="s">
        <v>33</v>
      </c>
      <c r="L510">
        <f t="shared" si="21"/>
        <v>2022</v>
      </c>
      <c r="M510" t="str">
        <f t="shared" si="22"/>
        <v>May</v>
      </c>
      <c r="N510" s="2">
        <f t="shared" si="23"/>
        <v>5.6813980758455868E-2</v>
      </c>
    </row>
    <row r="511" spans="1:14" x14ac:dyDescent="0.45">
      <c r="A511" t="s">
        <v>1041</v>
      </c>
      <c r="B511" s="1">
        <v>45551</v>
      </c>
      <c r="C511" t="s">
        <v>1042</v>
      </c>
      <c r="D511" t="s">
        <v>56</v>
      </c>
      <c r="E511" t="s">
        <v>20</v>
      </c>
      <c r="F511" t="s">
        <v>21</v>
      </c>
      <c r="G511">
        <v>1</v>
      </c>
      <c r="H511">
        <v>31663.17</v>
      </c>
      <c r="I511">
        <v>4013.56</v>
      </c>
      <c r="J511" t="s">
        <v>28</v>
      </c>
      <c r="K511" t="s">
        <v>33</v>
      </c>
      <c r="L511">
        <f t="shared" si="21"/>
        <v>2024</v>
      </c>
      <c r="M511" t="str">
        <f t="shared" si="22"/>
        <v>Sep</v>
      </c>
      <c r="N511" s="2">
        <f t="shared" si="23"/>
        <v>0.12675799675143076</v>
      </c>
    </row>
    <row r="512" spans="1:14" x14ac:dyDescent="0.45">
      <c r="A512" t="s">
        <v>1043</v>
      </c>
      <c r="B512" s="1">
        <v>45152</v>
      </c>
      <c r="C512" t="s">
        <v>1044</v>
      </c>
      <c r="D512" t="s">
        <v>56</v>
      </c>
      <c r="E512" t="s">
        <v>36</v>
      </c>
      <c r="F512" t="s">
        <v>64</v>
      </c>
      <c r="G512">
        <v>4</v>
      </c>
      <c r="H512">
        <v>20960.43</v>
      </c>
      <c r="I512">
        <v>5074.38</v>
      </c>
      <c r="J512" t="s">
        <v>47</v>
      </c>
      <c r="K512" t="s">
        <v>17</v>
      </c>
      <c r="L512">
        <f t="shared" si="21"/>
        <v>2023</v>
      </c>
      <c r="M512" t="str">
        <f t="shared" si="22"/>
        <v>Aug</v>
      </c>
      <c r="N512" s="2">
        <f t="shared" si="23"/>
        <v>0.24209331583369234</v>
      </c>
    </row>
    <row r="513" spans="1:14" x14ac:dyDescent="0.45">
      <c r="A513" t="s">
        <v>1045</v>
      </c>
      <c r="B513" s="1">
        <v>44636</v>
      </c>
      <c r="C513" t="s">
        <v>1046</v>
      </c>
      <c r="D513" t="s">
        <v>26</v>
      </c>
      <c r="E513" t="s">
        <v>20</v>
      </c>
      <c r="F513" t="s">
        <v>43</v>
      </c>
      <c r="G513">
        <v>3</v>
      </c>
      <c r="H513">
        <v>31750.26</v>
      </c>
      <c r="I513">
        <v>3368.39</v>
      </c>
      <c r="J513" t="s">
        <v>47</v>
      </c>
      <c r="K513" t="s">
        <v>23</v>
      </c>
      <c r="L513">
        <f t="shared" si="21"/>
        <v>2022</v>
      </c>
      <c r="M513" t="str">
        <f t="shared" si="22"/>
        <v>Mar</v>
      </c>
      <c r="N513" s="2">
        <f t="shared" si="23"/>
        <v>0.10609015485227523</v>
      </c>
    </row>
    <row r="514" spans="1:14" x14ac:dyDescent="0.45">
      <c r="A514" t="s">
        <v>1047</v>
      </c>
      <c r="B514" s="1">
        <v>45403</v>
      </c>
      <c r="C514" t="s">
        <v>1048</v>
      </c>
      <c r="D514" t="s">
        <v>26</v>
      </c>
      <c r="E514" t="s">
        <v>20</v>
      </c>
      <c r="F514" t="s">
        <v>21</v>
      </c>
      <c r="G514">
        <v>5</v>
      </c>
      <c r="H514">
        <v>28181.54</v>
      </c>
      <c r="I514">
        <v>2722.89</v>
      </c>
      <c r="J514" t="s">
        <v>28</v>
      </c>
      <c r="K514" t="s">
        <v>29</v>
      </c>
      <c r="L514">
        <f t="shared" si="21"/>
        <v>2024</v>
      </c>
      <c r="M514" t="str">
        <f t="shared" si="22"/>
        <v>Apr</v>
      </c>
      <c r="N514" s="2">
        <f t="shared" si="23"/>
        <v>9.661963114861713E-2</v>
      </c>
    </row>
    <row r="515" spans="1:14" x14ac:dyDescent="0.45">
      <c r="A515" t="s">
        <v>1049</v>
      </c>
      <c r="B515" s="1">
        <v>44801</v>
      </c>
      <c r="C515" t="s">
        <v>1050</v>
      </c>
      <c r="D515" t="s">
        <v>13</v>
      </c>
      <c r="E515" t="s">
        <v>14</v>
      </c>
      <c r="F515" t="s">
        <v>32</v>
      </c>
      <c r="G515">
        <v>1</v>
      </c>
      <c r="H515">
        <v>31340.78</v>
      </c>
      <c r="I515">
        <v>7244.07</v>
      </c>
      <c r="J515" t="s">
        <v>28</v>
      </c>
      <c r="K515" t="s">
        <v>29</v>
      </c>
      <c r="L515">
        <f t="shared" ref="L515:L578" si="24">YEAR(B515 )</f>
        <v>2022</v>
      </c>
      <c r="M515" t="str">
        <f t="shared" ref="M515:M578" si="25">TEXT(B515,"MMM")</f>
        <v>Aug</v>
      </c>
      <c r="N515" s="2">
        <f t="shared" ref="N515:N578" si="26">I515 / H515</f>
        <v>0.23113879105752952</v>
      </c>
    </row>
    <row r="516" spans="1:14" x14ac:dyDescent="0.45">
      <c r="A516" t="s">
        <v>1051</v>
      </c>
      <c r="B516" s="1">
        <v>44800</v>
      </c>
      <c r="C516" t="s">
        <v>1052</v>
      </c>
      <c r="D516" t="s">
        <v>26</v>
      </c>
      <c r="E516" t="s">
        <v>14</v>
      </c>
      <c r="F516" t="s">
        <v>57</v>
      </c>
      <c r="G516">
        <v>2</v>
      </c>
      <c r="H516">
        <v>14949.08</v>
      </c>
      <c r="I516">
        <v>3585.86</v>
      </c>
      <c r="J516" t="s">
        <v>22</v>
      </c>
      <c r="K516" t="s">
        <v>23</v>
      </c>
      <c r="L516">
        <f t="shared" si="24"/>
        <v>2022</v>
      </c>
      <c r="M516" t="str">
        <f t="shared" si="25"/>
        <v>Aug</v>
      </c>
      <c r="N516" s="2">
        <f t="shared" si="26"/>
        <v>0.23987161751759975</v>
      </c>
    </row>
    <row r="517" spans="1:14" x14ac:dyDescent="0.45">
      <c r="A517" t="s">
        <v>1053</v>
      </c>
      <c r="B517" s="1">
        <v>44831</v>
      </c>
      <c r="C517" t="s">
        <v>1054</v>
      </c>
      <c r="D517" t="s">
        <v>13</v>
      </c>
      <c r="E517" t="s">
        <v>36</v>
      </c>
      <c r="F517" t="s">
        <v>37</v>
      </c>
      <c r="G517">
        <v>4</v>
      </c>
      <c r="H517">
        <v>34524.800000000003</v>
      </c>
      <c r="I517">
        <v>4066.2</v>
      </c>
      <c r="J517" t="s">
        <v>16</v>
      </c>
      <c r="K517" t="s">
        <v>23</v>
      </c>
      <c r="L517">
        <f t="shared" si="24"/>
        <v>2022</v>
      </c>
      <c r="M517" t="str">
        <f t="shared" si="25"/>
        <v>Sep</v>
      </c>
      <c r="N517" s="2">
        <f t="shared" si="26"/>
        <v>0.11777620724812307</v>
      </c>
    </row>
    <row r="518" spans="1:14" x14ac:dyDescent="0.45">
      <c r="A518" t="s">
        <v>1055</v>
      </c>
      <c r="B518" s="1">
        <v>44985</v>
      </c>
      <c r="C518" t="s">
        <v>1056</v>
      </c>
      <c r="D518" t="s">
        <v>56</v>
      </c>
      <c r="E518" t="s">
        <v>20</v>
      </c>
      <c r="F518" t="s">
        <v>27</v>
      </c>
      <c r="G518">
        <v>5</v>
      </c>
      <c r="H518">
        <v>14892.59</v>
      </c>
      <c r="I518">
        <v>3100.21</v>
      </c>
      <c r="J518" t="s">
        <v>47</v>
      </c>
      <c r="K518" t="s">
        <v>33</v>
      </c>
      <c r="L518">
        <f t="shared" si="24"/>
        <v>2023</v>
      </c>
      <c r="M518" t="str">
        <f t="shared" si="25"/>
        <v>Feb</v>
      </c>
      <c r="N518" s="2">
        <f t="shared" si="26"/>
        <v>0.20817131204176037</v>
      </c>
    </row>
    <row r="519" spans="1:14" x14ac:dyDescent="0.45">
      <c r="A519" t="s">
        <v>1057</v>
      </c>
      <c r="B519" s="1">
        <v>44857</v>
      </c>
      <c r="C519" t="s">
        <v>1058</v>
      </c>
      <c r="D519" t="s">
        <v>13</v>
      </c>
      <c r="E519" t="s">
        <v>14</v>
      </c>
      <c r="F519" t="s">
        <v>57</v>
      </c>
      <c r="G519">
        <v>4</v>
      </c>
      <c r="H519">
        <v>30092.9</v>
      </c>
      <c r="I519">
        <v>1808.69</v>
      </c>
      <c r="J519" t="s">
        <v>47</v>
      </c>
      <c r="K519" t="s">
        <v>29</v>
      </c>
      <c r="L519">
        <f t="shared" si="24"/>
        <v>2022</v>
      </c>
      <c r="M519" t="str">
        <f t="shared" si="25"/>
        <v>Oct</v>
      </c>
      <c r="N519" s="2">
        <f t="shared" si="26"/>
        <v>6.0103546019160667E-2</v>
      </c>
    </row>
    <row r="520" spans="1:14" x14ac:dyDescent="0.45">
      <c r="A520" t="s">
        <v>1059</v>
      </c>
      <c r="B520" s="1">
        <v>45609</v>
      </c>
      <c r="C520" t="s">
        <v>214</v>
      </c>
      <c r="D520" t="s">
        <v>13</v>
      </c>
      <c r="E520" t="s">
        <v>36</v>
      </c>
      <c r="F520" t="s">
        <v>53</v>
      </c>
      <c r="G520">
        <v>5</v>
      </c>
      <c r="H520">
        <v>23411.86</v>
      </c>
      <c r="I520">
        <v>2241.13</v>
      </c>
      <c r="J520" t="s">
        <v>47</v>
      </c>
      <c r="K520" t="s">
        <v>17</v>
      </c>
      <c r="L520">
        <f t="shared" si="24"/>
        <v>2024</v>
      </c>
      <c r="M520" t="str">
        <f t="shared" si="25"/>
        <v>Nov</v>
      </c>
      <c r="N520" s="2">
        <f t="shared" si="26"/>
        <v>9.5726268651871324E-2</v>
      </c>
    </row>
    <row r="521" spans="1:14" x14ac:dyDescent="0.45">
      <c r="A521" t="s">
        <v>1060</v>
      </c>
      <c r="B521" s="1">
        <v>45222</v>
      </c>
      <c r="C521" t="s">
        <v>1061</v>
      </c>
      <c r="D521" t="s">
        <v>56</v>
      </c>
      <c r="E521" t="s">
        <v>14</v>
      </c>
      <c r="F521" t="s">
        <v>32</v>
      </c>
      <c r="G521">
        <v>3</v>
      </c>
      <c r="H521">
        <v>30121.94</v>
      </c>
      <c r="I521">
        <v>6269.7</v>
      </c>
      <c r="J521" t="s">
        <v>28</v>
      </c>
      <c r="K521" t="s">
        <v>17</v>
      </c>
      <c r="L521">
        <f t="shared" si="24"/>
        <v>2023</v>
      </c>
      <c r="M521" t="str">
        <f t="shared" si="25"/>
        <v>Oct</v>
      </c>
      <c r="N521" s="2">
        <f t="shared" si="26"/>
        <v>0.20814396416698261</v>
      </c>
    </row>
    <row r="522" spans="1:14" x14ac:dyDescent="0.45">
      <c r="A522" t="s">
        <v>1062</v>
      </c>
      <c r="B522" s="1">
        <v>45547</v>
      </c>
      <c r="C522" t="s">
        <v>1063</v>
      </c>
      <c r="D522" t="s">
        <v>56</v>
      </c>
      <c r="E522" t="s">
        <v>36</v>
      </c>
      <c r="F522" t="s">
        <v>53</v>
      </c>
      <c r="G522">
        <v>5</v>
      </c>
      <c r="H522">
        <v>31128.26</v>
      </c>
      <c r="I522">
        <v>5759.98</v>
      </c>
      <c r="J522" t="s">
        <v>47</v>
      </c>
      <c r="K522" t="s">
        <v>33</v>
      </c>
      <c r="L522">
        <f t="shared" si="24"/>
        <v>2024</v>
      </c>
      <c r="M522" t="str">
        <f t="shared" si="25"/>
        <v>Sep</v>
      </c>
      <c r="N522" s="2">
        <f t="shared" si="26"/>
        <v>0.18504021747441071</v>
      </c>
    </row>
    <row r="523" spans="1:14" x14ac:dyDescent="0.45">
      <c r="A523" t="s">
        <v>1064</v>
      </c>
      <c r="B523" s="1">
        <v>44730</v>
      </c>
      <c r="C523" t="s">
        <v>1065</v>
      </c>
      <c r="D523" t="s">
        <v>13</v>
      </c>
      <c r="E523" t="s">
        <v>14</v>
      </c>
      <c r="F523" t="s">
        <v>32</v>
      </c>
      <c r="G523">
        <v>4</v>
      </c>
      <c r="H523">
        <v>39611.24</v>
      </c>
      <c r="I523">
        <v>9353.58</v>
      </c>
      <c r="J523" t="s">
        <v>22</v>
      </c>
      <c r="K523" t="s">
        <v>33</v>
      </c>
      <c r="L523">
        <f t="shared" si="24"/>
        <v>2022</v>
      </c>
      <c r="M523" t="str">
        <f t="shared" si="25"/>
        <v>Jun</v>
      </c>
      <c r="N523" s="2">
        <f t="shared" si="26"/>
        <v>0.23613449111918738</v>
      </c>
    </row>
    <row r="524" spans="1:14" x14ac:dyDescent="0.45">
      <c r="A524" t="s">
        <v>1066</v>
      </c>
      <c r="B524" s="1">
        <v>45112</v>
      </c>
      <c r="C524" t="s">
        <v>1067</v>
      </c>
      <c r="D524" t="s">
        <v>13</v>
      </c>
      <c r="E524" t="s">
        <v>14</v>
      </c>
      <c r="F524" t="s">
        <v>15</v>
      </c>
      <c r="G524">
        <v>2</v>
      </c>
      <c r="H524">
        <v>6546.97</v>
      </c>
      <c r="I524">
        <v>752.79</v>
      </c>
      <c r="J524" t="s">
        <v>47</v>
      </c>
      <c r="K524" t="s">
        <v>33</v>
      </c>
      <c r="L524">
        <f t="shared" si="24"/>
        <v>2023</v>
      </c>
      <c r="M524" t="str">
        <f t="shared" si="25"/>
        <v>Jul</v>
      </c>
      <c r="N524" s="2">
        <f t="shared" si="26"/>
        <v>0.11498296158375552</v>
      </c>
    </row>
    <row r="525" spans="1:14" x14ac:dyDescent="0.45">
      <c r="A525" t="s">
        <v>1068</v>
      </c>
      <c r="B525" s="1">
        <v>44841</v>
      </c>
      <c r="C525" t="s">
        <v>1069</v>
      </c>
      <c r="D525" t="s">
        <v>13</v>
      </c>
      <c r="E525" t="s">
        <v>20</v>
      </c>
      <c r="F525" t="s">
        <v>21</v>
      </c>
      <c r="G525">
        <v>4</v>
      </c>
      <c r="H525">
        <v>11910.07</v>
      </c>
      <c r="I525">
        <v>1623.77</v>
      </c>
      <c r="J525" t="s">
        <v>22</v>
      </c>
      <c r="K525" t="s">
        <v>23</v>
      </c>
      <c r="L525">
        <f t="shared" si="24"/>
        <v>2022</v>
      </c>
      <c r="M525" t="str">
        <f t="shared" si="25"/>
        <v>Oct</v>
      </c>
      <c r="N525" s="2">
        <f t="shared" si="26"/>
        <v>0.13633589055312018</v>
      </c>
    </row>
    <row r="526" spans="1:14" x14ac:dyDescent="0.45">
      <c r="A526" t="s">
        <v>1070</v>
      </c>
      <c r="B526" s="1">
        <v>44868</v>
      </c>
      <c r="C526" t="s">
        <v>144</v>
      </c>
      <c r="D526" t="s">
        <v>13</v>
      </c>
      <c r="E526" t="s">
        <v>20</v>
      </c>
      <c r="F526" t="s">
        <v>21</v>
      </c>
      <c r="G526">
        <v>4</v>
      </c>
      <c r="H526">
        <v>33387.300000000003</v>
      </c>
      <c r="I526">
        <v>6604.56</v>
      </c>
      <c r="J526" t="s">
        <v>16</v>
      </c>
      <c r="K526" t="s">
        <v>29</v>
      </c>
      <c r="L526">
        <f t="shared" si="24"/>
        <v>2022</v>
      </c>
      <c r="M526" t="str">
        <f t="shared" si="25"/>
        <v>Nov</v>
      </c>
      <c r="N526" s="2">
        <f t="shared" si="26"/>
        <v>0.19781653502978677</v>
      </c>
    </row>
    <row r="527" spans="1:14" x14ac:dyDescent="0.45">
      <c r="A527" t="s">
        <v>1071</v>
      </c>
      <c r="B527" s="1">
        <v>45362</v>
      </c>
      <c r="C527" t="s">
        <v>1072</v>
      </c>
      <c r="D527" t="s">
        <v>26</v>
      </c>
      <c r="E527" t="s">
        <v>36</v>
      </c>
      <c r="F527" t="s">
        <v>64</v>
      </c>
      <c r="G527">
        <v>4</v>
      </c>
      <c r="H527">
        <v>47233.86</v>
      </c>
      <c r="I527">
        <v>5071.95</v>
      </c>
      <c r="J527" t="s">
        <v>16</v>
      </c>
      <c r="K527" t="s">
        <v>33</v>
      </c>
      <c r="L527">
        <f t="shared" si="24"/>
        <v>2024</v>
      </c>
      <c r="M527" t="str">
        <f t="shared" si="25"/>
        <v>Mar</v>
      </c>
      <c r="N527" s="2">
        <f t="shared" si="26"/>
        <v>0.10737953662901994</v>
      </c>
    </row>
    <row r="528" spans="1:14" x14ac:dyDescent="0.45">
      <c r="A528" t="s">
        <v>1073</v>
      </c>
      <c r="B528" s="1">
        <v>45159</v>
      </c>
      <c r="C528" t="s">
        <v>427</v>
      </c>
      <c r="D528" t="s">
        <v>56</v>
      </c>
      <c r="E528" t="s">
        <v>20</v>
      </c>
      <c r="F528" t="s">
        <v>50</v>
      </c>
      <c r="G528">
        <v>5</v>
      </c>
      <c r="H528">
        <v>21416.18</v>
      </c>
      <c r="I528">
        <v>2195.6999999999998</v>
      </c>
      <c r="J528" t="s">
        <v>47</v>
      </c>
      <c r="K528" t="s">
        <v>33</v>
      </c>
      <c r="L528">
        <f t="shared" si="24"/>
        <v>2023</v>
      </c>
      <c r="M528" t="str">
        <f t="shared" si="25"/>
        <v>Aug</v>
      </c>
      <c r="N528" s="2">
        <f t="shared" si="26"/>
        <v>0.10252528695593704</v>
      </c>
    </row>
    <row r="529" spans="1:14" x14ac:dyDescent="0.45">
      <c r="A529" t="s">
        <v>1074</v>
      </c>
      <c r="B529" s="1">
        <v>45262</v>
      </c>
      <c r="C529" t="s">
        <v>1075</v>
      </c>
      <c r="D529" t="s">
        <v>56</v>
      </c>
      <c r="E529" t="s">
        <v>14</v>
      </c>
      <c r="F529" t="s">
        <v>40</v>
      </c>
      <c r="G529">
        <v>4</v>
      </c>
      <c r="H529">
        <v>37457.1</v>
      </c>
      <c r="I529">
        <v>2296.9699999999998</v>
      </c>
      <c r="J529" t="s">
        <v>28</v>
      </c>
      <c r="K529" t="s">
        <v>23</v>
      </c>
      <c r="L529">
        <f t="shared" si="24"/>
        <v>2023</v>
      </c>
      <c r="M529" t="str">
        <f t="shared" si="25"/>
        <v>Dec</v>
      </c>
      <c r="N529" s="2">
        <f t="shared" si="26"/>
        <v>6.1322686486674084E-2</v>
      </c>
    </row>
    <row r="530" spans="1:14" x14ac:dyDescent="0.45">
      <c r="A530" t="s">
        <v>1076</v>
      </c>
      <c r="B530" s="1">
        <v>45390</v>
      </c>
      <c r="C530" t="s">
        <v>1077</v>
      </c>
      <c r="D530" t="s">
        <v>13</v>
      </c>
      <c r="E530" t="s">
        <v>14</v>
      </c>
      <c r="F530" t="s">
        <v>40</v>
      </c>
      <c r="G530">
        <v>2</v>
      </c>
      <c r="H530">
        <v>17324.580000000002</v>
      </c>
      <c r="I530">
        <v>1291.76</v>
      </c>
      <c r="J530" t="s">
        <v>16</v>
      </c>
      <c r="K530" t="s">
        <v>23</v>
      </c>
      <c r="L530">
        <f t="shared" si="24"/>
        <v>2024</v>
      </c>
      <c r="M530" t="str">
        <f t="shared" si="25"/>
        <v>Apr</v>
      </c>
      <c r="N530" s="2">
        <f t="shared" si="26"/>
        <v>7.4562269330627345E-2</v>
      </c>
    </row>
    <row r="531" spans="1:14" x14ac:dyDescent="0.45">
      <c r="A531" t="s">
        <v>1078</v>
      </c>
      <c r="B531" s="1">
        <v>45376</v>
      </c>
      <c r="C531" t="s">
        <v>775</v>
      </c>
      <c r="D531" t="s">
        <v>56</v>
      </c>
      <c r="E531" t="s">
        <v>36</v>
      </c>
      <c r="F531" t="s">
        <v>64</v>
      </c>
      <c r="G531">
        <v>4</v>
      </c>
      <c r="H531">
        <v>2864.58</v>
      </c>
      <c r="I531">
        <v>550.08000000000004</v>
      </c>
      <c r="J531" t="s">
        <v>71</v>
      </c>
      <c r="K531" t="s">
        <v>23</v>
      </c>
      <c r="L531">
        <f t="shared" si="24"/>
        <v>2024</v>
      </c>
      <c r="M531" t="str">
        <f t="shared" si="25"/>
        <v>Mar</v>
      </c>
      <c r="N531" s="2">
        <f t="shared" si="26"/>
        <v>0.1920281507236663</v>
      </c>
    </row>
    <row r="532" spans="1:14" x14ac:dyDescent="0.45">
      <c r="A532" t="s">
        <v>1079</v>
      </c>
      <c r="B532" s="1">
        <v>44866</v>
      </c>
      <c r="C532" t="s">
        <v>1080</v>
      </c>
      <c r="D532" t="s">
        <v>26</v>
      </c>
      <c r="E532" t="s">
        <v>36</v>
      </c>
      <c r="F532" t="s">
        <v>46</v>
      </c>
      <c r="G532">
        <v>3</v>
      </c>
      <c r="H532">
        <v>37925.72</v>
      </c>
      <c r="I532">
        <v>8381.92</v>
      </c>
      <c r="J532" t="s">
        <v>47</v>
      </c>
      <c r="K532" t="s">
        <v>29</v>
      </c>
      <c r="L532">
        <f t="shared" si="24"/>
        <v>2022</v>
      </c>
      <c r="M532" t="str">
        <f t="shared" si="25"/>
        <v>Nov</v>
      </c>
      <c r="N532" s="2">
        <f t="shared" si="26"/>
        <v>0.22100885625902422</v>
      </c>
    </row>
    <row r="533" spans="1:14" x14ac:dyDescent="0.45">
      <c r="A533" t="s">
        <v>1081</v>
      </c>
      <c r="B533" s="1">
        <v>44765</v>
      </c>
      <c r="C533" t="s">
        <v>1082</v>
      </c>
      <c r="D533" t="s">
        <v>13</v>
      </c>
      <c r="E533" t="s">
        <v>20</v>
      </c>
      <c r="F533" t="s">
        <v>21</v>
      </c>
      <c r="G533">
        <v>1</v>
      </c>
      <c r="H533">
        <v>26077.27</v>
      </c>
      <c r="I533">
        <v>5321.54</v>
      </c>
      <c r="J533" t="s">
        <v>16</v>
      </c>
      <c r="K533" t="s">
        <v>29</v>
      </c>
      <c r="L533">
        <f t="shared" si="24"/>
        <v>2022</v>
      </c>
      <c r="M533" t="str">
        <f t="shared" si="25"/>
        <v>Jul</v>
      </c>
      <c r="N533" s="2">
        <f t="shared" si="26"/>
        <v>0.2040681405683954</v>
      </c>
    </row>
    <row r="534" spans="1:14" x14ac:dyDescent="0.45">
      <c r="A534" t="s">
        <v>1083</v>
      </c>
      <c r="B534" s="1">
        <v>44912</v>
      </c>
      <c r="C534" t="s">
        <v>1084</v>
      </c>
      <c r="D534" t="s">
        <v>13</v>
      </c>
      <c r="E534" t="s">
        <v>36</v>
      </c>
      <c r="F534" t="s">
        <v>46</v>
      </c>
      <c r="G534">
        <v>3</v>
      </c>
      <c r="H534">
        <v>40857.620000000003</v>
      </c>
      <c r="I534">
        <v>9027.0300000000007</v>
      </c>
      <c r="J534" t="s">
        <v>16</v>
      </c>
      <c r="K534" t="s">
        <v>17</v>
      </c>
      <c r="L534">
        <f t="shared" si="24"/>
        <v>2022</v>
      </c>
      <c r="M534" t="str">
        <f t="shared" si="25"/>
        <v>Dec</v>
      </c>
      <c r="N534" s="2">
        <f t="shared" si="26"/>
        <v>0.2209387135129261</v>
      </c>
    </row>
    <row r="535" spans="1:14" x14ac:dyDescent="0.45">
      <c r="A535" t="s">
        <v>1085</v>
      </c>
      <c r="B535" s="1">
        <v>45446</v>
      </c>
      <c r="C535" t="s">
        <v>1086</v>
      </c>
      <c r="D535" t="s">
        <v>26</v>
      </c>
      <c r="E535" t="s">
        <v>36</v>
      </c>
      <c r="F535" t="s">
        <v>64</v>
      </c>
      <c r="G535">
        <v>1</v>
      </c>
      <c r="H535">
        <v>11625.66</v>
      </c>
      <c r="I535">
        <v>2275.5300000000002</v>
      </c>
      <c r="J535" t="s">
        <v>28</v>
      </c>
      <c r="K535" t="s">
        <v>33</v>
      </c>
      <c r="L535">
        <f t="shared" si="24"/>
        <v>2024</v>
      </c>
      <c r="M535" t="str">
        <f t="shared" si="25"/>
        <v>Jun</v>
      </c>
      <c r="N535" s="2">
        <f t="shared" si="26"/>
        <v>0.19573340352289678</v>
      </c>
    </row>
    <row r="536" spans="1:14" x14ac:dyDescent="0.45">
      <c r="A536" t="s">
        <v>1087</v>
      </c>
      <c r="B536" s="1">
        <v>44787</v>
      </c>
      <c r="C536" t="s">
        <v>1088</v>
      </c>
      <c r="D536" t="s">
        <v>13</v>
      </c>
      <c r="E536" t="s">
        <v>20</v>
      </c>
      <c r="F536" t="s">
        <v>50</v>
      </c>
      <c r="G536">
        <v>1</v>
      </c>
      <c r="H536">
        <v>20251.939999999999</v>
      </c>
      <c r="I536">
        <v>4447.42</v>
      </c>
      <c r="J536" t="s">
        <v>71</v>
      </c>
      <c r="K536" t="s">
        <v>29</v>
      </c>
      <c r="L536">
        <f t="shared" si="24"/>
        <v>2022</v>
      </c>
      <c r="M536" t="str">
        <f t="shared" si="25"/>
        <v>Aug</v>
      </c>
      <c r="N536" s="2">
        <f t="shared" si="26"/>
        <v>0.2196046403455669</v>
      </c>
    </row>
    <row r="537" spans="1:14" x14ac:dyDescent="0.45">
      <c r="A537" t="s">
        <v>1089</v>
      </c>
      <c r="B537" s="1">
        <v>44826</v>
      </c>
      <c r="C537" t="s">
        <v>1090</v>
      </c>
      <c r="D537" t="s">
        <v>26</v>
      </c>
      <c r="E537" t="s">
        <v>20</v>
      </c>
      <c r="F537" t="s">
        <v>43</v>
      </c>
      <c r="G537">
        <v>5</v>
      </c>
      <c r="H537">
        <v>3831.5</v>
      </c>
      <c r="I537">
        <v>439.62</v>
      </c>
      <c r="J537" t="s">
        <v>71</v>
      </c>
      <c r="K537" t="s">
        <v>29</v>
      </c>
      <c r="L537">
        <f t="shared" si="24"/>
        <v>2022</v>
      </c>
      <c r="M537" t="str">
        <f t="shared" si="25"/>
        <v>Sep</v>
      </c>
      <c r="N537" s="2">
        <f t="shared" si="26"/>
        <v>0.11473835312540781</v>
      </c>
    </row>
    <row r="538" spans="1:14" x14ac:dyDescent="0.45">
      <c r="A538" t="s">
        <v>1091</v>
      </c>
      <c r="B538" s="1">
        <v>45491</v>
      </c>
      <c r="C538" t="s">
        <v>1092</v>
      </c>
      <c r="D538" t="s">
        <v>13</v>
      </c>
      <c r="E538" t="s">
        <v>36</v>
      </c>
      <c r="F538" t="s">
        <v>53</v>
      </c>
      <c r="G538">
        <v>1</v>
      </c>
      <c r="H538">
        <v>34937.96</v>
      </c>
      <c r="I538">
        <v>6835.66</v>
      </c>
      <c r="J538" t="s">
        <v>28</v>
      </c>
      <c r="K538" t="s">
        <v>33</v>
      </c>
      <c r="L538">
        <f t="shared" si="24"/>
        <v>2024</v>
      </c>
      <c r="M538" t="str">
        <f t="shared" si="25"/>
        <v>Jul</v>
      </c>
      <c r="N538" s="2">
        <f t="shared" si="26"/>
        <v>0.19565137747023581</v>
      </c>
    </row>
    <row r="539" spans="1:14" x14ac:dyDescent="0.45">
      <c r="A539" t="s">
        <v>1093</v>
      </c>
      <c r="B539" s="1">
        <v>45409</v>
      </c>
      <c r="C539" t="s">
        <v>1094</v>
      </c>
      <c r="D539" t="s">
        <v>56</v>
      </c>
      <c r="E539" t="s">
        <v>36</v>
      </c>
      <c r="F539" t="s">
        <v>64</v>
      </c>
      <c r="G539">
        <v>5</v>
      </c>
      <c r="H539">
        <v>22378.89</v>
      </c>
      <c r="I539">
        <v>5373.8</v>
      </c>
      <c r="J539" t="s">
        <v>47</v>
      </c>
      <c r="K539" t="s">
        <v>33</v>
      </c>
      <c r="L539">
        <f t="shared" si="24"/>
        <v>2024</v>
      </c>
      <c r="M539" t="str">
        <f t="shared" si="25"/>
        <v>Apr</v>
      </c>
      <c r="N539" s="2">
        <f t="shared" si="26"/>
        <v>0.24012808499438534</v>
      </c>
    </row>
    <row r="540" spans="1:14" x14ac:dyDescent="0.45">
      <c r="A540" t="s">
        <v>1095</v>
      </c>
      <c r="B540" s="1">
        <v>45326</v>
      </c>
      <c r="C540" t="s">
        <v>1096</v>
      </c>
      <c r="D540" t="s">
        <v>13</v>
      </c>
      <c r="E540" t="s">
        <v>36</v>
      </c>
      <c r="F540" t="s">
        <v>37</v>
      </c>
      <c r="G540">
        <v>1</v>
      </c>
      <c r="H540">
        <v>33328.85</v>
      </c>
      <c r="I540">
        <v>7670.76</v>
      </c>
      <c r="J540" t="s">
        <v>71</v>
      </c>
      <c r="K540" t="s">
        <v>23</v>
      </c>
      <c r="L540">
        <f t="shared" si="24"/>
        <v>2024</v>
      </c>
      <c r="M540" t="str">
        <f t="shared" si="25"/>
        <v>Feb</v>
      </c>
      <c r="N540" s="2">
        <f t="shared" si="26"/>
        <v>0.23015375568013899</v>
      </c>
    </row>
    <row r="541" spans="1:14" x14ac:dyDescent="0.45">
      <c r="A541" t="s">
        <v>1097</v>
      </c>
      <c r="B541" s="1">
        <v>44781</v>
      </c>
      <c r="C541" t="s">
        <v>1098</v>
      </c>
      <c r="D541" t="s">
        <v>13</v>
      </c>
      <c r="E541" t="s">
        <v>36</v>
      </c>
      <c r="F541" t="s">
        <v>46</v>
      </c>
      <c r="G541">
        <v>4</v>
      </c>
      <c r="H541">
        <v>36962.31</v>
      </c>
      <c r="I541">
        <v>5713.98</v>
      </c>
      <c r="J541" t="s">
        <v>28</v>
      </c>
      <c r="K541" t="s">
        <v>29</v>
      </c>
      <c r="L541">
        <f t="shared" si="24"/>
        <v>2022</v>
      </c>
      <c r="M541" t="str">
        <f t="shared" si="25"/>
        <v>Aug</v>
      </c>
      <c r="N541" s="2">
        <f t="shared" si="26"/>
        <v>0.15458936413876731</v>
      </c>
    </row>
    <row r="542" spans="1:14" x14ac:dyDescent="0.45">
      <c r="A542" t="s">
        <v>1099</v>
      </c>
      <c r="B542" s="1">
        <v>44650</v>
      </c>
      <c r="C542" t="s">
        <v>1100</v>
      </c>
      <c r="D542" t="s">
        <v>13</v>
      </c>
      <c r="E542" t="s">
        <v>14</v>
      </c>
      <c r="F542" t="s">
        <v>40</v>
      </c>
      <c r="G542">
        <v>1</v>
      </c>
      <c r="H542">
        <v>29374.2</v>
      </c>
      <c r="I542">
        <v>2244.0300000000002</v>
      </c>
      <c r="J542" t="s">
        <v>47</v>
      </c>
      <c r="K542" t="s">
        <v>23</v>
      </c>
      <c r="L542">
        <f t="shared" si="24"/>
        <v>2022</v>
      </c>
      <c r="M542" t="str">
        <f t="shared" si="25"/>
        <v>Mar</v>
      </c>
      <c r="N542" s="2">
        <f t="shared" si="26"/>
        <v>7.6394591171844689E-2</v>
      </c>
    </row>
    <row r="543" spans="1:14" x14ac:dyDescent="0.45">
      <c r="A543" t="s">
        <v>1101</v>
      </c>
      <c r="B543" s="1">
        <v>45245</v>
      </c>
      <c r="C543" t="s">
        <v>808</v>
      </c>
      <c r="D543" t="s">
        <v>56</v>
      </c>
      <c r="E543" t="s">
        <v>36</v>
      </c>
      <c r="F543" t="s">
        <v>64</v>
      </c>
      <c r="G543">
        <v>3</v>
      </c>
      <c r="H543">
        <v>22442.7</v>
      </c>
      <c r="I543">
        <v>2053.08</v>
      </c>
      <c r="J543" t="s">
        <v>28</v>
      </c>
      <c r="K543" t="s">
        <v>17</v>
      </c>
      <c r="L543">
        <f t="shared" si="24"/>
        <v>2023</v>
      </c>
      <c r="M543" t="str">
        <f t="shared" si="25"/>
        <v>Nov</v>
      </c>
      <c r="N543" s="2">
        <f t="shared" si="26"/>
        <v>9.1480971540857381E-2</v>
      </c>
    </row>
    <row r="544" spans="1:14" x14ac:dyDescent="0.45">
      <c r="A544" t="s">
        <v>1102</v>
      </c>
      <c r="B544" s="1">
        <v>44684</v>
      </c>
      <c r="C544" t="s">
        <v>1103</v>
      </c>
      <c r="D544" t="s">
        <v>26</v>
      </c>
      <c r="E544" t="s">
        <v>36</v>
      </c>
      <c r="F544" t="s">
        <v>37</v>
      </c>
      <c r="G544">
        <v>1</v>
      </c>
      <c r="H544">
        <v>19357.43</v>
      </c>
      <c r="I544">
        <v>4486.46</v>
      </c>
      <c r="J544" t="s">
        <v>16</v>
      </c>
      <c r="K544" t="s">
        <v>33</v>
      </c>
      <c r="L544">
        <f t="shared" si="24"/>
        <v>2022</v>
      </c>
      <c r="M544" t="str">
        <f t="shared" si="25"/>
        <v>May</v>
      </c>
      <c r="N544" s="2">
        <f t="shared" si="26"/>
        <v>0.23176940327305845</v>
      </c>
    </row>
    <row r="545" spans="1:14" x14ac:dyDescent="0.45">
      <c r="A545" t="s">
        <v>1104</v>
      </c>
      <c r="B545" s="1">
        <v>44615</v>
      </c>
      <c r="C545" t="s">
        <v>1105</v>
      </c>
      <c r="D545" t="s">
        <v>26</v>
      </c>
      <c r="E545" t="s">
        <v>20</v>
      </c>
      <c r="F545" t="s">
        <v>50</v>
      </c>
      <c r="G545">
        <v>4</v>
      </c>
      <c r="H545">
        <v>47518.53</v>
      </c>
      <c r="I545">
        <v>6723.36</v>
      </c>
      <c r="J545" t="s">
        <v>71</v>
      </c>
      <c r="K545" t="s">
        <v>23</v>
      </c>
      <c r="L545">
        <f t="shared" si="24"/>
        <v>2022</v>
      </c>
      <c r="M545" t="str">
        <f t="shared" si="25"/>
        <v>Feb</v>
      </c>
      <c r="N545" s="2">
        <f t="shared" si="26"/>
        <v>0.14148922536113806</v>
      </c>
    </row>
    <row r="546" spans="1:14" x14ac:dyDescent="0.45">
      <c r="A546" t="s">
        <v>1106</v>
      </c>
      <c r="B546" s="1">
        <v>44759</v>
      </c>
      <c r="C546" t="s">
        <v>1107</v>
      </c>
      <c r="D546" t="s">
        <v>26</v>
      </c>
      <c r="E546" t="s">
        <v>14</v>
      </c>
      <c r="F546" t="s">
        <v>32</v>
      </c>
      <c r="G546">
        <v>3</v>
      </c>
      <c r="H546">
        <v>47692.19</v>
      </c>
      <c r="I546">
        <v>11621.15</v>
      </c>
      <c r="J546" t="s">
        <v>71</v>
      </c>
      <c r="K546" t="s">
        <v>33</v>
      </c>
      <c r="L546">
        <f t="shared" si="24"/>
        <v>2022</v>
      </c>
      <c r="M546" t="str">
        <f t="shared" si="25"/>
        <v>Jul</v>
      </c>
      <c r="N546" s="2">
        <f t="shared" si="26"/>
        <v>0.24366987550791858</v>
      </c>
    </row>
    <row r="547" spans="1:14" x14ac:dyDescent="0.45">
      <c r="A547" t="s">
        <v>1108</v>
      </c>
      <c r="B547" s="1">
        <v>45143</v>
      </c>
      <c r="C547" t="s">
        <v>1109</v>
      </c>
      <c r="D547" t="s">
        <v>56</v>
      </c>
      <c r="E547" t="s">
        <v>36</v>
      </c>
      <c r="F547" t="s">
        <v>64</v>
      </c>
      <c r="G547">
        <v>2</v>
      </c>
      <c r="H547">
        <v>30874.99</v>
      </c>
      <c r="I547">
        <v>6808.21</v>
      </c>
      <c r="J547" t="s">
        <v>71</v>
      </c>
      <c r="K547" t="s">
        <v>17</v>
      </c>
      <c r="L547">
        <f t="shared" si="24"/>
        <v>2023</v>
      </c>
      <c r="M547" t="str">
        <f t="shared" si="25"/>
        <v>Aug</v>
      </c>
      <c r="N547" s="2">
        <f t="shared" si="26"/>
        <v>0.22050889733081694</v>
      </c>
    </row>
    <row r="548" spans="1:14" x14ac:dyDescent="0.45">
      <c r="A548" t="s">
        <v>1110</v>
      </c>
      <c r="B548" s="1">
        <v>45499</v>
      </c>
      <c r="C548" t="s">
        <v>1111</v>
      </c>
      <c r="D548" t="s">
        <v>13</v>
      </c>
      <c r="E548" t="s">
        <v>36</v>
      </c>
      <c r="F548" t="s">
        <v>64</v>
      </c>
      <c r="G548">
        <v>2</v>
      </c>
      <c r="H548">
        <v>21102.400000000001</v>
      </c>
      <c r="I548">
        <v>1666.88</v>
      </c>
      <c r="J548" t="s">
        <v>22</v>
      </c>
      <c r="K548" t="s">
        <v>23</v>
      </c>
      <c r="L548">
        <f t="shared" si="24"/>
        <v>2024</v>
      </c>
      <c r="M548" t="str">
        <f t="shared" si="25"/>
        <v>Jul</v>
      </c>
      <c r="N548" s="2">
        <f t="shared" si="26"/>
        <v>7.8990067480476156E-2</v>
      </c>
    </row>
    <row r="549" spans="1:14" x14ac:dyDescent="0.45">
      <c r="A549" t="s">
        <v>1112</v>
      </c>
      <c r="B549" s="1">
        <v>44859</v>
      </c>
      <c r="C549" t="s">
        <v>1113</v>
      </c>
      <c r="D549" t="s">
        <v>13</v>
      </c>
      <c r="E549" t="s">
        <v>36</v>
      </c>
      <c r="F549" t="s">
        <v>37</v>
      </c>
      <c r="G549">
        <v>5</v>
      </c>
      <c r="H549">
        <v>25901.17</v>
      </c>
      <c r="I549">
        <v>1827</v>
      </c>
      <c r="J549" t="s">
        <v>22</v>
      </c>
      <c r="K549" t="s">
        <v>23</v>
      </c>
      <c r="L549">
        <f t="shared" si="24"/>
        <v>2022</v>
      </c>
      <c r="M549" t="str">
        <f t="shared" si="25"/>
        <v>Oct</v>
      </c>
      <c r="N549" s="2">
        <f t="shared" si="26"/>
        <v>7.0537354104081018E-2</v>
      </c>
    </row>
    <row r="550" spans="1:14" x14ac:dyDescent="0.45">
      <c r="A550" t="s">
        <v>1114</v>
      </c>
      <c r="B550" s="1">
        <v>44790</v>
      </c>
      <c r="C550" t="s">
        <v>1115</v>
      </c>
      <c r="D550" t="s">
        <v>26</v>
      </c>
      <c r="E550" t="s">
        <v>20</v>
      </c>
      <c r="F550" t="s">
        <v>50</v>
      </c>
      <c r="G550">
        <v>3</v>
      </c>
      <c r="H550">
        <v>49897.3</v>
      </c>
      <c r="I550">
        <v>7221.69</v>
      </c>
      <c r="J550" t="s">
        <v>71</v>
      </c>
      <c r="K550" t="s">
        <v>29</v>
      </c>
      <c r="L550">
        <f t="shared" si="24"/>
        <v>2022</v>
      </c>
      <c r="M550" t="str">
        <f t="shared" si="25"/>
        <v>Aug</v>
      </c>
      <c r="N550" s="2">
        <f t="shared" si="26"/>
        <v>0.1447310776334591</v>
      </c>
    </row>
    <row r="551" spans="1:14" x14ac:dyDescent="0.45">
      <c r="A551" t="s">
        <v>1116</v>
      </c>
      <c r="B551" s="1">
        <v>45515</v>
      </c>
      <c r="C551" t="s">
        <v>948</v>
      </c>
      <c r="D551" t="s">
        <v>56</v>
      </c>
      <c r="E551" t="s">
        <v>36</v>
      </c>
      <c r="F551" t="s">
        <v>53</v>
      </c>
      <c r="G551">
        <v>5</v>
      </c>
      <c r="H551">
        <v>18872.39</v>
      </c>
      <c r="I551">
        <v>999.27</v>
      </c>
      <c r="J551" t="s">
        <v>28</v>
      </c>
      <c r="K551" t="s">
        <v>23</v>
      </c>
      <c r="L551">
        <f t="shared" si="24"/>
        <v>2024</v>
      </c>
      <c r="M551" t="str">
        <f t="shared" si="25"/>
        <v>Aug</v>
      </c>
      <c r="N551" s="2">
        <f t="shared" si="26"/>
        <v>5.2948778612565764E-2</v>
      </c>
    </row>
    <row r="552" spans="1:14" x14ac:dyDescent="0.45">
      <c r="A552" t="s">
        <v>1117</v>
      </c>
      <c r="B552" s="1">
        <v>44980</v>
      </c>
      <c r="C552" t="s">
        <v>1118</v>
      </c>
      <c r="D552" t="s">
        <v>56</v>
      </c>
      <c r="E552" t="s">
        <v>20</v>
      </c>
      <c r="F552" t="s">
        <v>50</v>
      </c>
      <c r="G552">
        <v>1</v>
      </c>
      <c r="H552">
        <v>17765.400000000001</v>
      </c>
      <c r="I552">
        <v>4106.92</v>
      </c>
      <c r="J552" t="s">
        <v>71</v>
      </c>
      <c r="K552" t="s">
        <v>23</v>
      </c>
      <c r="L552">
        <f t="shared" si="24"/>
        <v>2023</v>
      </c>
      <c r="M552" t="str">
        <f t="shared" si="25"/>
        <v>Feb</v>
      </c>
      <c r="N552" s="2">
        <f t="shared" si="26"/>
        <v>0.23117520573699438</v>
      </c>
    </row>
    <row r="553" spans="1:14" x14ac:dyDescent="0.45">
      <c r="A553" t="s">
        <v>1119</v>
      </c>
      <c r="B553" s="1">
        <v>45338</v>
      </c>
      <c r="C553" t="s">
        <v>1120</v>
      </c>
      <c r="D553" t="s">
        <v>26</v>
      </c>
      <c r="E553" t="s">
        <v>36</v>
      </c>
      <c r="F553" t="s">
        <v>53</v>
      </c>
      <c r="G553">
        <v>4</v>
      </c>
      <c r="H553">
        <v>48938.91</v>
      </c>
      <c r="I553">
        <v>7542.34</v>
      </c>
      <c r="J553" t="s">
        <v>28</v>
      </c>
      <c r="K553" t="s">
        <v>29</v>
      </c>
      <c r="L553">
        <f t="shared" si="24"/>
        <v>2024</v>
      </c>
      <c r="M553" t="str">
        <f t="shared" si="25"/>
        <v>Feb</v>
      </c>
      <c r="N553" s="2">
        <f t="shared" si="26"/>
        <v>0.1541174496939143</v>
      </c>
    </row>
    <row r="554" spans="1:14" x14ac:dyDescent="0.45">
      <c r="A554" t="s">
        <v>1121</v>
      </c>
      <c r="B554" s="1">
        <v>44756</v>
      </c>
      <c r="C554" t="s">
        <v>1122</v>
      </c>
      <c r="D554" t="s">
        <v>56</v>
      </c>
      <c r="E554" t="s">
        <v>20</v>
      </c>
      <c r="F554" t="s">
        <v>43</v>
      </c>
      <c r="G554">
        <v>3</v>
      </c>
      <c r="H554">
        <v>27228.78</v>
      </c>
      <c r="I554">
        <v>3451.81</v>
      </c>
      <c r="J554" t="s">
        <v>47</v>
      </c>
      <c r="K554" t="s">
        <v>29</v>
      </c>
      <c r="L554">
        <f t="shared" si="24"/>
        <v>2022</v>
      </c>
      <c r="M554" t="str">
        <f t="shared" si="25"/>
        <v>Jul</v>
      </c>
      <c r="N554" s="2">
        <f t="shared" si="26"/>
        <v>0.12677064488383247</v>
      </c>
    </row>
    <row r="555" spans="1:14" x14ac:dyDescent="0.45">
      <c r="A555" t="s">
        <v>1123</v>
      </c>
      <c r="B555" s="1">
        <v>44975</v>
      </c>
      <c r="C555" t="s">
        <v>1124</v>
      </c>
      <c r="D555" t="s">
        <v>26</v>
      </c>
      <c r="E555" t="s">
        <v>36</v>
      </c>
      <c r="F555" t="s">
        <v>53</v>
      </c>
      <c r="G555">
        <v>4</v>
      </c>
      <c r="H555">
        <v>18562.27</v>
      </c>
      <c r="I555">
        <v>4075.56</v>
      </c>
      <c r="J555" t="s">
        <v>16</v>
      </c>
      <c r="K555" t="s">
        <v>29</v>
      </c>
      <c r="L555">
        <f t="shared" si="24"/>
        <v>2023</v>
      </c>
      <c r="M555" t="str">
        <f t="shared" si="25"/>
        <v>Feb</v>
      </c>
      <c r="N555" s="2">
        <f t="shared" si="26"/>
        <v>0.21956150837155153</v>
      </c>
    </row>
    <row r="556" spans="1:14" x14ac:dyDescent="0.45">
      <c r="A556" t="s">
        <v>1125</v>
      </c>
      <c r="B556" s="1">
        <v>45128</v>
      </c>
      <c r="C556" t="s">
        <v>1126</v>
      </c>
      <c r="D556" t="s">
        <v>26</v>
      </c>
      <c r="E556" t="s">
        <v>36</v>
      </c>
      <c r="F556" t="s">
        <v>64</v>
      </c>
      <c r="G556">
        <v>4</v>
      </c>
      <c r="H556">
        <v>3749.93</v>
      </c>
      <c r="I556">
        <v>656.31</v>
      </c>
      <c r="J556" t="s">
        <v>47</v>
      </c>
      <c r="K556" t="s">
        <v>29</v>
      </c>
      <c r="L556">
        <f t="shared" si="24"/>
        <v>2023</v>
      </c>
      <c r="M556" t="str">
        <f t="shared" si="25"/>
        <v>Jul</v>
      </c>
      <c r="N556" s="2">
        <f t="shared" si="26"/>
        <v>0.17501926702631782</v>
      </c>
    </row>
    <row r="557" spans="1:14" x14ac:dyDescent="0.45">
      <c r="A557" t="s">
        <v>1127</v>
      </c>
      <c r="B557" s="1">
        <v>44920</v>
      </c>
      <c r="C557" t="s">
        <v>1128</v>
      </c>
      <c r="D557" t="s">
        <v>13</v>
      </c>
      <c r="E557" t="s">
        <v>36</v>
      </c>
      <c r="F557" t="s">
        <v>53</v>
      </c>
      <c r="G557">
        <v>2</v>
      </c>
      <c r="H557">
        <v>28735.93</v>
      </c>
      <c r="I557">
        <v>3587.77</v>
      </c>
      <c r="J557" t="s">
        <v>47</v>
      </c>
      <c r="K557" t="s">
        <v>17</v>
      </c>
      <c r="L557">
        <f t="shared" si="24"/>
        <v>2022</v>
      </c>
      <c r="M557" t="str">
        <f t="shared" si="25"/>
        <v>Dec</v>
      </c>
      <c r="N557" s="2">
        <f t="shared" si="26"/>
        <v>0.12485310202245063</v>
      </c>
    </row>
    <row r="558" spans="1:14" x14ac:dyDescent="0.45">
      <c r="A558" t="s">
        <v>1129</v>
      </c>
      <c r="B558" s="1">
        <v>45066</v>
      </c>
      <c r="C558" t="s">
        <v>240</v>
      </c>
      <c r="D558" t="s">
        <v>56</v>
      </c>
      <c r="E558" t="s">
        <v>14</v>
      </c>
      <c r="F558" t="s">
        <v>32</v>
      </c>
      <c r="G558">
        <v>4</v>
      </c>
      <c r="H558">
        <v>8058.38</v>
      </c>
      <c r="I558">
        <v>1201.6500000000001</v>
      </c>
      <c r="J558" t="s">
        <v>47</v>
      </c>
      <c r="K558" t="s">
        <v>33</v>
      </c>
      <c r="L558">
        <f t="shared" si="24"/>
        <v>2023</v>
      </c>
      <c r="M558" t="str">
        <f t="shared" si="25"/>
        <v>May</v>
      </c>
      <c r="N558" s="2">
        <f t="shared" si="26"/>
        <v>0.14911806095021582</v>
      </c>
    </row>
    <row r="559" spans="1:14" x14ac:dyDescent="0.45">
      <c r="A559" t="s">
        <v>1130</v>
      </c>
      <c r="B559" s="1">
        <v>44982</v>
      </c>
      <c r="C559" t="s">
        <v>1131</v>
      </c>
      <c r="D559" t="s">
        <v>26</v>
      </c>
      <c r="E559" t="s">
        <v>36</v>
      </c>
      <c r="F559" t="s">
        <v>46</v>
      </c>
      <c r="G559">
        <v>3</v>
      </c>
      <c r="H559">
        <v>15866.45</v>
      </c>
      <c r="I559">
        <v>3713.44</v>
      </c>
      <c r="J559" t="s">
        <v>22</v>
      </c>
      <c r="K559" t="s">
        <v>29</v>
      </c>
      <c r="L559">
        <f t="shared" si="24"/>
        <v>2023</v>
      </c>
      <c r="M559" t="str">
        <f t="shared" si="25"/>
        <v>Feb</v>
      </c>
      <c r="N559" s="2">
        <f t="shared" si="26"/>
        <v>0.23404353210705608</v>
      </c>
    </row>
    <row r="560" spans="1:14" x14ac:dyDescent="0.45">
      <c r="A560" t="s">
        <v>1132</v>
      </c>
      <c r="B560" s="1">
        <v>44687</v>
      </c>
      <c r="C560" t="s">
        <v>1133</v>
      </c>
      <c r="D560" t="s">
        <v>13</v>
      </c>
      <c r="E560" t="s">
        <v>36</v>
      </c>
      <c r="F560" t="s">
        <v>53</v>
      </c>
      <c r="G560">
        <v>5</v>
      </c>
      <c r="H560">
        <v>26179.97</v>
      </c>
      <c r="I560">
        <v>6448.27</v>
      </c>
      <c r="J560" t="s">
        <v>71</v>
      </c>
      <c r="K560" t="s">
        <v>23</v>
      </c>
      <c r="L560">
        <f t="shared" si="24"/>
        <v>2022</v>
      </c>
      <c r="M560" t="str">
        <f t="shared" si="25"/>
        <v>May</v>
      </c>
      <c r="N560" s="2">
        <f t="shared" si="26"/>
        <v>0.24630547704982092</v>
      </c>
    </row>
    <row r="561" spans="1:14" x14ac:dyDescent="0.45">
      <c r="A561" t="s">
        <v>1134</v>
      </c>
      <c r="B561" s="1">
        <v>44695</v>
      </c>
      <c r="C561" t="s">
        <v>1135</v>
      </c>
      <c r="D561" t="s">
        <v>56</v>
      </c>
      <c r="E561" t="s">
        <v>20</v>
      </c>
      <c r="F561" t="s">
        <v>27</v>
      </c>
      <c r="G561">
        <v>2</v>
      </c>
      <c r="H561">
        <v>1229</v>
      </c>
      <c r="I561">
        <v>286.35000000000002</v>
      </c>
      <c r="J561" t="s">
        <v>28</v>
      </c>
      <c r="K561" t="s">
        <v>29</v>
      </c>
      <c r="L561">
        <f t="shared" si="24"/>
        <v>2022</v>
      </c>
      <c r="M561" t="str">
        <f t="shared" si="25"/>
        <v>May</v>
      </c>
      <c r="N561" s="2">
        <f t="shared" si="26"/>
        <v>0.23299430431244916</v>
      </c>
    </row>
    <row r="562" spans="1:14" x14ac:dyDescent="0.45">
      <c r="A562" t="s">
        <v>1136</v>
      </c>
      <c r="B562" s="1">
        <v>45297</v>
      </c>
      <c r="C562" t="s">
        <v>1137</v>
      </c>
      <c r="D562" t="s">
        <v>56</v>
      </c>
      <c r="E562" t="s">
        <v>20</v>
      </c>
      <c r="F562" t="s">
        <v>50</v>
      </c>
      <c r="G562">
        <v>1</v>
      </c>
      <c r="H562">
        <v>23983.57</v>
      </c>
      <c r="I562">
        <v>1864.95</v>
      </c>
      <c r="J562" t="s">
        <v>22</v>
      </c>
      <c r="K562" t="s">
        <v>23</v>
      </c>
      <c r="L562">
        <f t="shared" si="24"/>
        <v>2024</v>
      </c>
      <c r="M562" t="str">
        <f t="shared" si="25"/>
        <v>Jan</v>
      </c>
      <c r="N562" s="2">
        <f t="shared" si="26"/>
        <v>7.775948284596497E-2</v>
      </c>
    </row>
    <row r="563" spans="1:14" x14ac:dyDescent="0.45">
      <c r="A563" t="s">
        <v>1138</v>
      </c>
      <c r="B563" s="1">
        <v>44757</v>
      </c>
      <c r="C563" t="s">
        <v>1139</v>
      </c>
      <c r="D563" t="s">
        <v>13</v>
      </c>
      <c r="E563" t="s">
        <v>36</v>
      </c>
      <c r="F563" t="s">
        <v>46</v>
      </c>
      <c r="G563">
        <v>1</v>
      </c>
      <c r="H563">
        <v>22879.360000000001</v>
      </c>
      <c r="I563">
        <v>4695.25</v>
      </c>
      <c r="J563" t="s">
        <v>16</v>
      </c>
      <c r="K563" t="s">
        <v>29</v>
      </c>
      <c r="L563">
        <f t="shared" si="24"/>
        <v>2022</v>
      </c>
      <c r="M563" t="str">
        <f t="shared" si="25"/>
        <v>Jul</v>
      </c>
      <c r="N563" s="2">
        <f t="shared" si="26"/>
        <v>0.20521771588016446</v>
      </c>
    </row>
    <row r="564" spans="1:14" x14ac:dyDescent="0.45">
      <c r="A564" t="s">
        <v>1140</v>
      </c>
      <c r="B564" s="1">
        <v>45075</v>
      </c>
      <c r="C564" t="s">
        <v>1141</v>
      </c>
      <c r="D564" t="s">
        <v>26</v>
      </c>
      <c r="E564" t="s">
        <v>20</v>
      </c>
      <c r="F564" t="s">
        <v>27</v>
      </c>
      <c r="G564">
        <v>4</v>
      </c>
      <c r="H564">
        <v>16068.44</v>
      </c>
      <c r="I564">
        <v>2699.46</v>
      </c>
      <c r="J564" t="s">
        <v>16</v>
      </c>
      <c r="K564" t="s">
        <v>29</v>
      </c>
      <c r="L564">
        <f t="shared" si="24"/>
        <v>2023</v>
      </c>
      <c r="M564" t="str">
        <f t="shared" si="25"/>
        <v>May</v>
      </c>
      <c r="N564" s="2">
        <f t="shared" si="26"/>
        <v>0.1679976400944958</v>
      </c>
    </row>
    <row r="565" spans="1:14" x14ac:dyDescent="0.45">
      <c r="A565" t="s">
        <v>1142</v>
      </c>
      <c r="B565" s="1">
        <v>45405</v>
      </c>
      <c r="C565" t="s">
        <v>1143</v>
      </c>
      <c r="D565" t="s">
        <v>56</v>
      </c>
      <c r="E565" t="s">
        <v>36</v>
      </c>
      <c r="F565" t="s">
        <v>53</v>
      </c>
      <c r="G565">
        <v>4</v>
      </c>
      <c r="H565">
        <v>33862.26</v>
      </c>
      <c r="I565">
        <v>5887.29</v>
      </c>
      <c r="J565" t="s">
        <v>22</v>
      </c>
      <c r="K565" t="s">
        <v>33</v>
      </c>
      <c r="L565">
        <f t="shared" si="24"/>
        <v>2024</v>
      </c>
      <c r="M565" t="str">
        <f t="shared" si="25"/>
        <v>Apr</v>
      </c>
      <c r="N565" s="2">
        <f t="shared" si="26"/>
        <v>0.17385992547455484</v>
      </c>
    </row>
    <row r="566" spans="1:14" x14ac:dyDescent="0.45">
      <c r="A566" t="s">
        <v>1144</v>
      </c>
      <c r="B566" s="1">
        <v>44756</v>
      </c>
      <c r="C566" t="s">
        <v>1145</v>
      </c>
      <c r="D566" t="s">
        <v>26</v>
      </c>
      <c r="E566" t="s">
        <v>20</v>
      </c>
      <c r="F566" t="s">
        <v>50</v>
      </c>
      <c r="G566">
        <v>5</v>
      </c>
      <c r="H566">
        <v>43652.72</v>
      </c>
      <c r="I566">
        <v>8927.34</v>
      </c>
      <c r="J566" t="s">
        <v>71</v>
      </c>
      <c r="K566" t="s">
        <v>23</v>
      </c>
      <c r="L566">
        <f t="shared" si="24"/>
        <v>2022</v>
      </c>
      <c r="M566" t="str">
        <f t="shared" si="25"/>
        <v>Jul</v>
      </c>
      <c r="N566" s="2">
        <f t="shared" si="26"/>
        <v>0.20450821850276454</v>
      </c>
    </row>
    <row r="567" spans="1:14" x14ac:dyDescent="0.45">
      <c r="A567" t="s">
        <v>1146</v>
      </c>
      <c r="B567" s="1">
        <v>45394</v>
      </c>
      <c r="C567" t="s">
        <v>1147</v>
      </c>
      <c r="D567" t="s">
        <v>56</v>
      </c>
      <c r="E567" t="s">
        <v>20</v>
      </c>
      <c r="F567" t="s">
        <v>43</v>
      </c>
      <c r="G567">
        <v>5</v>
      </c>
      <c r="H567">
        <v>40722.81</v>
      </c>
      <c r="I567">
        <v>3774.35</v>
      </c>
      <c r="J567" t="s">
        <v>47</v>
      </c>
      <c r="K567" t="s">
        <v>17</v>
      </c>
      <c r="L567">
        <f t="shared" si="24"/>
        <v>2024</v>
      </c>
      <c r="M567" t="str">
        <f t="shared" si="25"/>
        <v>Apr</v>
      </c>
      <c r="N567" s="2">
        <f t="shared" si="26"/>
        <v>9.2683928245619593E-2</v>
      </c>
    </row>
    <row r="568" spans="1:14" x14ac:dyDescent="0.45">
      <c r="A568" t="s">
        <v>1148</v>
      </c>
      <c r="B568" s="1">
        <v>45577</v>
      </c>
      <c r="C568" t="s">
        <v>1149</v>
      </c>
      <c r="D568" t="s">
        <v>13</v>
      </c>
      <c r="E568" t="s">
        <v>36</v>
      </c>
      <c r="F568" t="s">
        <v>46</v>
      </c>
      <c r="G568">
        <v>1</v>
      </c>
      <c r="H568">
        <v>22951.53</v>
      </c>
      <c r="I568">
        <v>3818.28</v>
      </c>
      <c r="J568" t="s">
        <v>16</v>
      </c>
      <c r="K568" t="s">
        <v>17</v>
      </c>
      <c r="L568">
        <f t="shared" si="24"/>
        <v>2024</v>
      </c>
      <c r="M568" t="str">
        <f t="shared" si="25"/>
        <v>Oct</v>
      </c>
      <c r="N568" s="2">
        <f t="shared" si="26"/>
        <v>0.16636276535812647</v>
      </c>
    </row>
    <row r="569" spans="1:14" x14ac:dyDescent="0.45">
      <c r="A569" t="s">
        <v>1150</v>
      </c>
      <c r="B569" s="1">
        <v>45194</v>
      </c>
      <c r="C569" t="s">
        <v>1151</v>
      </c>
      <c r="D569" t="s">
        <v>56</v>
      </c>
      <c r="E569" t="s">
        <v>14</v>
      </c>
      <c r="F569" t="s">
        <v>40</v>
      </c>
      <c r="G569">
        <v>5</v>
      </c>
      <c r="H569">
        <v>15080.38</v>
      </c>
      <c r="I569">
        <v>2456.25</v>
      </c>
      <c r="J569" t="s">
        <v>16</v>
      </c>
      <c r="K569" t="s">
        <v>33</v>
      </c>
      <c r="L569">
        <f t="shared" si="24"/>
        <v>2023</v>
      </c>
      <c r="M569" t="str">
        <f t="shared" si="25"/>
        <v>Sep</v>
      </c>
      <c r="N569" s="2">
        <f t="shared" si="26"/>
        <v>0.16287719540223788</v>
      </c>
    </row>
    <row r="570" spans="1:14" x14ac:dyDescent="0.45">
      <c r="A570" t="s">
        <v>1152</v>
      </c>
      <c r="B570" s="1">
        <v>44967</v>
      </c>
      <c r="C570" t="s">
        <v>1153</v>
      </c>
      <c r="D570" t="s">
        <v>13</v>
      </c>
      <c r="E570" t="s">
        <v>14</v>
      </c>
      <c r="F570" t="s">
        <v>32</v>
      </c>
      <c r="G570">
        <v>2</v>
      </c>
      <c r="H570">
        <v>4981.3</v>
      </c>
      <c r="I570">
        <v>756.21</v>
      </c>
      <c r="J570" t="s">
        <v>71</v>
      </c>
      <c r="K570" t="s">
        <v>17</v>
      </c>
      <c r="L570">
        <f t="shared" si="24"/>
        <v>2023</v>
      </c>
      <c r="M570" t="str">
        <f t="shared" si="25"/>
        <v>Feb</v>
      </c>
      <c r="N570" s="2">
        <f t="shared" si="26"/>
        <v>0.15180976853431835</v>
      </c>
    </row>
    <row r="571" spans="1:14" x14ac:dyDescent="0.45">
      <c r="A571" t="s">
        <v>1154</v>
      </c>
      <c r="B571" s="1">
        <v>45050</v>
      </c>
      <c r="C571" t="s">
        <v>1155</v>
      </c>
      <c r="D571" t="s">
        <v>56</v>
      </c>
      <c r="E571" t="s">
        <v>20</v>
      </c>
      <c r="F571" t="s">
        <v>43</v>
      </c>
      <c r="G571">
        <v>4</v>
      </c>
      <c r="H571">
        <v>3077.73</v>
      </c>
      <c r="I571">
        <v>329.36</v>
      </c>
      <c r="J571" t="s">
        <v>16</v>
      </c>
      <c r="K571" t="s">
        <v>33</v>
      </c>
      <c r="L571">
        <f t="shared" si="24"/>
        <v>2023</v>
      </c>
      <c r="M571" t="str">
        <f t="shared" si="25"/>
        <v>May</v>
      </c>
      <c r="N571" s="2">
        <f t="shared" si="26"/>
        <v>0.10701393559539012</v>
      </c>
    </row>
    <row r="572" spans="1:14" x14ac:dyDescent="0.45">
      <c r="A572" t="s">
        <v>1156</v>
      </c>
      <c r="B572" s="1">
        <v>44576</v>
      </c>
      <c r="C572" t="s">
        <v>1157</v>
      </c>
      <c r="D572" t="s">
        <v>56</v>
      </c>
      <c r="E572" t="s">
        <v>14</v>
      </c>
      <c r="F572" t="s">
        <v>15</v>
      </c>
      <c r="G572">
        <v>4</v>
      </c>
      <c r="H572">
        <v>35494.58</v>
      </c>
      <c r="I572">
        <v>2257.96</v>
      </c>
      <c r="J572" t="s">
        <v>47</v>
      </c>
      <c r="K572" t="s">
        <v>17</v>
      </c>
      <c r="L572">
        <f t="shared" si="24"/>
        <v>2022</v>
      </c>
      <c r="M572" t="str">
        <f t="shared" si="25"/>
        <v>Jan</v>
      </c>
      <c r="N572" s="2">
        <f t="shared" si="26"/>
        <v>6.3614219410400116E-2</v>
      </c>
    </row>
    <row r="573" spans="1:14" x14ac:dyDescent="0.45">
      <c r="A573" t="s">
        <v>1158</v>
      </c>
      <c r="B573" s="1">
        <v>45582</v>
      </c>
      <c r="C573" t="s">
        <v>1159</v>
      </c>
      <c r="D573" t="s">
        <v>56</v>
      </c>
      <c r="E573" t="s">
        <v>36</v>
      </c>
      <c r="F573" t="s">
        <v>53</v>
      </c>
      <c r="G573">
        <v>4</v>
      </c>
      <c r="H573">
        <v>11794.1</v>
      </c>
      <c r="I573">
        <v>941.96</v>
      </c>
      <c r="J573" t="s">
        <v>47</v>
      </c>
      <c r="K573" t="s">
        <v>17</v>
      </c>
      <c r="L573">
        <f t="shared" si="24"/>
        <v>2024</v>
      </c>
      <c r="M573" t="str">
        <f t="shared" si="25"/>
        <v>Oct</v>
      </c>
      <c r="N573" s="2">
        <f t="shared" si="26"/>
        <v>7.9867052170152872E-2</v>
      </c>
    </row>
    <row r="574" spans="1:14" x14ac:dyDescent="0.45">
      <c r="A574" t="s">
        <v>1160</v>
      </c>
      <c r="B574" s="1">
        <v>44954</v>
      </c>
      <c r="C574" t="s">
        <v>1161</v>
      </c>
      <c r="D574" t="s">
        <v>13</v>
      </c>
      <c r="E574" t="s">
        <v>36</v>
      </c>
      <c r="F574" t="s">
        <v>53</v>
      </c>
      <c r="G574">
        <v>4</v>
      </c>
      <c r="H574">
        <v>7233.47</v>
      </c>
      <c r="I574">
        <v>1199.24</v>
      </c>
      <c r="J574" t="s">
        <v>28</v>
      </c>
      <c r="K574" t="s">
        <v>23</v>
      </c>
      <c r="L574">
        <f t="shared" si="24"/>
        <v>2023</v>
      </c>
      <c r="M574" t="str">
        <f t="shared" si="25"/>
        <v>Jan</v>
      </c>
      <c r="N574" s="2">
        <f t="shared" si="26"/>
        <v>0.16579041594144994</v>
      </c>
    </row>
    <row r="575" spans="1:14" x14ac:dyDescent="0.45">
      <c r="A575" t="s">
        <v>1162</v>
      </c>
      <c r="B575" s="1">
        <v>45170</v>
      </c>
      <c r="C575" t="s">
        <v>1163</v>
      </c>
      <c r="D575" t="s">
        <v>13</v>
      </c>
      <c r="E575" t="s">
        <v>14</v>
      </c>
      <c r="F575" t="s">
        <v>40</v>
      </c>
      <c r="G575">
        <v>5</v>
      </c>
      <c r="H575">
        <v>39834.42</v>
      </c>
      <c r="I575">
        <v>4344.59</v>
      </c>
      <c r="J575" t="s">
        <v>47</v>
      </c>
      <c r="K575" t="s">
        <v>33</v>
      </c>
      <c r="L575">
        <f t="shared" si="24"/>
        <v>2023</v>
      </c>
      <c r="M575" t="str">
        <f t="shared" si="25"/>
        <v>Sep</v>
      </c>
      <c r="N575" s="2">
        <f t="shared" si="26"/>
        <v>0.10906622965766792</v>
      </c>
    </row>
    <row r="576" spans="1:14" x14ac:dyDescent="0.45">
      <c r="A576" t="s">
        <v>1164</v>
      </c>
      <c r="B576" s="1">
        <v>45574</v>
      </c>
      <c r="C576" t="s">
        <v>1165</v>
      </c>
      <c r="D576" t="s">
        <v>13</v>
      </c>
      <c r="E576" t="s">
        <v>20</v>
      </c>
      <c r="F576" t="s">
        <v>50</v>
      </c>
      <c r="G576">
        <v>2</v>
      </c>
      <c r="H576">
        <v>11619.33</v>
      </c>
      <c r="I576">
        <v>2412</v>
      </c>
      <c r="J576" t="s">
        <v>16</v>
      </c>
      <c r="K576" t="s">
        <v>29</v>
      </c>
      <c r="L576">
        <f t="shared" si="24"/>
        <v>2024</v>
      </c>
      <c r="M576" t="str">
        <f t="shared" si="25"/>
        <v>Oct</v>
      </c>
      <c r="N576" s="2">
        <f t="shared" si="26"/>
        <v>0.20758511893542916</v>
      </c>
    </row>
    <row r="577" spans="1:14" x14ac:dyDescent="0.45">
      <c r="A577" t="s">
        <v>1166</v>
      </c>
      <c r="B577" s="1">
        <v>45173</v>
      </c>
      <c r="C577" t="s">
        <v>1167</v>
      </c>
      <c r="D577" t="s">
        <v>13</v>
      </c>
      <c r="E577" t="s">
        <v>14</v>
      </c>
      <c r="F577" t="s">
        <v>57</v>
      </c>
      <c r="G577">
        <v>3</v>
      </c>
      <c r="H577">
        <v>33235.15</v>
      </c>
      <c r="I577">
        <v>6288.49</v>
      </c>
      <c r="J577" t="s">
        <v>28</v>
      </c>
      <c r="K577" t="s">
        <v>17</v>
      </c>
      <c r="L577">
        <f t="shared" si="24"/>
        <v>2023</v>
      </c>
      <c r="M577" t="str">
        <f t="shared" si="25"/>
        <v>Sep</v>
      </c>
      <c r="N577" s="2">
        <f t="shared" si="26"/>
        <v>0.18921202401674131</v>
      </c>
    </row>
    <row r="578" spans="1:14" x14ac:dyDescent="0.45">
      <c r="A578" t="s">
        <v>1168</v>
      </c>
      <c r="B578" s="1">
        <v>45055</v>
      </c>
      <c r="C578" t="s">
        <v>1169</v>
      </c>
      <c r="D578" t="s">
        <v>26</v>
      </c>
      <c r="E578" t="s">
        <v>20</v>
      </c>
      <c r="F578" t="s">
        <v>21</v>
      </c>
      <c r="G578">
        <v>3</v>
      </c>
      <c r="H578">
        <v>37425.64</v>
      </c>
      <c r="I578">
        <v>2383.52</v>
      </c>
      <c r="J578" t="s">
        <v>71</v>
      </c>
      <c r="K578" t="s">
        <v>23</v>
      </c>
      <c r="L578">
        <f t="shared" si="24"/>
        <v>2023</v>
      </c>
      <c r="M578" t="str">
        <f t="shared" si="25"/>
        <v>May</v>
      </c>
      <c r="N578" s="2">
        <f t="shared" si="26"/>
        <v>6.3686820051707865E-2</v>
      </c>
    </row>
    <row r="579" spans="1:14" x14ac:dyDescent="0.45">
      <c r="A579" t="s">
        <v>1170</v>
      </c>
      <c r="B579" s="1">
        <v>45343</v>
      </c>
      <c r="C579" t="s">
        <v>1171</v>
      </c>
      <c r="D579" t="s">
        <v>26</v>
      </c>
      <c r="E579" t="s">
        <v>36</v>
      </c>
      <c r="F579" t="s">
        <v>53</v>
      </c>
      <c r="G579">
        <v>5</v>
      </c>
      <c r="H579">
        <v>4364.28</v>
      </c>
      <c r="I579">
        <v>736.76</v>
      </c>
      <c r="J579" t="s">
        <v>71</v>
      </c>
      <c r="K579" t="s">
        <v>29</v>
      </c>
      <c r="L579">
        <f t="shared" ref="L579:L642" si="27">YEAR(B579 )</f>
        <v>2024</v>
      </c>
      <c r="M579" t="str">
        <f t="shared" ref="M579:M642" si="28">TEXT(B579,"MMM")</f>
        <v>Feb</v>
      </c>
      <c r="N579" s="2">
        <f t="shared" ref="N579:N642" si="29">I579 / H579</f>
        <v>0.16881593298321831</v>
      </c>
    </row>
    <row r="580" spans="1:14" x14ac:dyDescent="0.45">
      <c r="A580" t="s">
        <v>1172</v>
      </c>
      <c r="B580" s="1">
        <v>44612</v>
      </c>
      <c r="C580" t="s">
        <v>1173</v>
      </c>
      <c r="D580" t="s">
        <v>13</v>
      </c>
      <c r="E580" t="s">
        <v>14</v>
      </c>
      <c r="F580" t="s">
        <v>57</v>
      </c>
      <c r="G580">
        <v>3</v>
      </c>
      <c r="H580">
        <v>29429.45</v>
      </c>
      <c r="I580">
        <v>5408.87</v>
      </c>
      <c r="J580" t="s">
        <v>28</v>
      </c>
      <c r="K580" t="s">
        <v>23</v>
      </c>
      <c r="L580">
        <f t="shared" si="27"/>
        <v>2022</v>
      </c>
      <c r="M580" t="str">
        <f t="shared" si="28"/>
        <v>Feb</v>
      </c>
      <c r="N580" s="2">
        <f t="shared" si="29"/>
        <v>0.18379106643175458</v>
      </c>
    </row>
    <row r="581" spans="1:14" x14ac:dyDescent="0.45">
      <c r="A581" t="s">
        <v>1174</v>
      </c>
      <c r="B581" s="1">
        <v>45534</v>
      </c>
      <c r="C581" t="s">
        <v>1175</v>
      </c>
      <c r="D581" t="s">
        <v>13</v>
      </c>
      <c r="E581" t="s">
        <v>36</v>
      </c>
      <c r="F581" t="s">
        <v>64</v>
      </c>
      <c r="G581">
        <v>1</v>
      </c>
      <c r="H581">
        <v>40013.79</v>
      </c>
      <c r="I581">
        <v>4042.18</v>
      </c>
      <c r="J581" t="s">
        <v>22</v>
      </c>
      <c r="K581" t="s">
        <v>29</v>
      </c>
      <c r="L581">
        <f t="shared" si="27"/>
        <v>2024</v>
      </c>
      <c r="M581" t="str">
        <f t="shared" si="28"/>
        <v>Aug</v>
      </c>
      <c r="N581" s="2">
        <f t="shared" si="29"/>
        <v>0.10101967346757205</v>
      </c>
    </row>
    <row r="582" spans="1:14" x14ac:dyDescent="0.45">
      <c r="A582" t="s">
        <v>1176</v>
      </c>
      <c r="B582" s="1">
        <v>44777</v>
      </c>
      <c r="C582" t="s">
        <v>1177</v>
      </c>
      <c r="D582" t="s">
        <v>56</v>
      </c>
      <c r="E582" t="s">
        <v>36</v>
      </c>
      <c r="F582" t="s">
        <v>64</v>
      </c>
      <c r="G582">
        <v>3</v>
      </c>
      <c r="H582">
        <v>33659.230000000003</v>
      </c>
      <c r="I582">
        <v>8042.17</v>
      </c>
      <c r="J582" t="s">
        <v>71</v>
      </c>
      <c r="K582" t="s">
        <v>29</v>
      </c>
      <c r="L582">
        <f t="shared" si="27"/>
        <v>2022</v>
      </c>
      <c r="M582" t="str">
        <f t="shared" si="28"/>
        <v>Aug</v>
      </c>
      <c r="N582" s="2">
        <f t="shared" si="29"/>
        <v>0.23892911394586266</v>
      </c>
    </row>
    <row r="583" spans="1:14" x14ac:dyDescent="0.45">
      <c r="A583" t="s">
        <v>1178</v>
      </c>
      <c r="B583" s="1">
        <v>44566</v>
      </c>
      <c r="C583" t="s">
        <v>1179</v>
      </c>
      <c r="D583" t="s">
        <v>13</v>
      </c>
      <c r="E583" t="s">
        <v>36</v>
      </c>
      <c r="F583" t="s">
        <v>46</v>
      </c>
      <c r="G583">
        <v>5</v>
      </c>
      <c r="H583">
        <v>8883.0499999999993</v>
      </c>
      <c r="I583">
        <v>1155.0999999999999</v>
      </c>
      <c r="J583" t="s">
        <v>28</v>
      </c>
      <c r="K583" t="s">
        <v>33</v>
      </c>
      <c r="L583">
        <f t="shared" si="27"/>
        <v>2022</v>
      </c>
      <c r="M583" t="str">
        <f t="shared" si="28"/>
        <v>Jan</v>
      </c>
      <c r="N583" s="2">
        <f t="shared" si="29"/>
        <v>0.13003416619291797</v>
      </c>
    </row>
    <row r="584" spans="1:14" x14ac:dyDescent="0.45">
      <c r="A584" t="s">
        <v>1180</v>
      </c>
      <c r="B584" s="1">
        <v>44578</v>
      </c>
      <c r="C584" t="s">
        <v>1181</v>
      </c>
      <c r="D584" t="s">
        <v>13</v>
      </c>
      <c r="E584" t="s">
        <v>14</v>
      </c>
      <c r="F584" t="s">
        <v>15</v>
      </c>
      <c r="G584">
        <v>5</v>
      </c>
      <c r="H584">
        <v>23608.91</v>
      </c>
      <c r="I584">
        <v>2179.9699999999998</v>
      </c>
      <c r="J584" t="s">
        <v>22</v>
      </c>
      <c r="K584" t="s">
        <v>23</v>
      </c>
      <c r="L584">
        <f t="shared" si="27"/>
        <v>2022</v>
      </c>
      <c r="M584" t="str">
        <f t="shared" si="28"/>
        <v>Jan</v>
      </c>
      <c r="N584" s="2">
        <f t="shared" si="29"/>
        <v>9.2336749134119267E-2</v>
      </c>
    </row>
    <row r="585" spans="1:14" x14ac:dyDescent="0.45">
      <c r="A585" t="s">
        <v>1182</v>
      </c>
      <c r="B585" s="1">
        <v>45079</v>
      </c>
      <c r="C585" t="s">
        <v>1183</v>
      </c>
      <c r="D585" t="s">
        <v>13</v>
      </c>
      <c r="E585" t="s">
        <v>14</v>
      </c>
      <c r="F585" t="s">
        <v>32</v>
      </c>
      <c r="G585">
        <v>3</v>
      </c>
      <c r="H585">
        <v>9876.4599999999991</v>
      </c>
      <c r="I585">
        <v>788.59</v>
      </c>
      <c r="J585" t="s">
        <v>28</v>
      </c>
      <c r="K585" t="s">
        <v>33</v>
      </c>
      <c r="L585">
        <f t="shared" si="27"/>
        <v>2023</v>
      </c>
      <c r="M585" t="str">
        <f t="shared" si="28"/>
        <v>Jun</v>
      </c>
      <c r="N585" s="2">
        <f t="shared" si="29"/>
        <v>7.9845410197580929E-2</v>
      </c>
    </row>
    <row r="586" spans="1:14" x14ac:dyDescent="0.45">
      <c r="A586" t="s">
        <v>1184</v>
      </c>
      <c r="B586" s="1">
        <v>45322</v>
      </c>
      <c r="C586" t="s">
        <v>1185</v>
      </c>
      <c r="D586" t="s">
        <v>26</v>
      </c>
      <c r="E586" t="s">
        <v>14</v>
      </c>
      <c r="F586" t="s">
        <v>40</v>
      </c>
      <c r="G586">
        <v>4</v>
      </c>
      <c r="H586">
        <v>20919.509999999998</v>
      </c>
      <c r="I586">
        <v>4340.88</v>
      </c>
      <c r="J586" t="s">
        <v>28</v>
      </c>
      <c r="K586" t="s">
        <v>29</v>
      </c>
      <c r="L586">
        <f t="shared" si="27"/>
        <v>2024</v>
      </c>
      <c r="M586" t="str">
        <f t="shared" si="28"/>
        <v>Jan</v>
      </c>
      <c r="N586" s="2">
        <f t="shared" si="29"/>
        <v>0.20750390425014736</v>
      </c>
    </row>
    <row r="587" spans="1:14" x14ac:dyDescent="0.45">
      <c r="A587" t="s">
        <v>1186</v>
      </c>
      <c r="B587" s="1">
        <v>45232</v>
      </c>
      <c r="C587" t="s">
        <v>562</v>
      </c>
      <c r="D587" t="s">
        <v>13</v>
      </c>
      <c r="E587" t="s">
        <v>36</v>
      </c>
      <c r="F587" t="s">
        <v>53</v>
      </c>
      <c r="G587">
        <v>3</v>
      </c>
      <c r="H587">
        <v>26582.97</v>
      </c>
      <c r="I587">
        <v>5839.58</v>
      </c>
      <c r="J587" t="s">
        <v>28</v>
      </c>
      <c r="K587" t="s">
        <v>23</v>
      </c>
      <c r="L587">
        <f t="shared" si="27"/>
        <v>2023</v>
      </c>
      <c r="M587" t="str">
        <f t="shared" si="28"/>
        <v>Nov</v>
      </c>
      <c r="N587" s="2">
        <f t="shared" si="29"/>
        <v>0.21967372344023259</v>
      </c>
    </row>
    <row r="588" spans="1:14" x14ac:dyDescent="0.45">
      <c r="A588" t="s">
        <v>1187</v>
      </c>
      <c r="B588" s="1">
        <v>45514</v>
      </c>
      <c r="C588" t="s">
        <v>1188</v>
      </c>
      <c r="D588" t="s">
        <v>26</v>
      </c>
      <c r="E588" t="s">
        <v>36</v>
      </c>
      <c r="F588" t="s">
        <v>53</v>
      </c>
      <c r="G588">
        <v>1</v>
      </c>
      <c r="H588">
        <v>9474.41</v>
      </c>
      <c r="I588">
        <v>1102.97</v>
      </c>
      <c r="J588" t="s">
        <v>47</v>
      </c>
      <c r="K588" t="s">
        <v>23</v>
      </c>
      <c r="L588">
        <f t="shared" si="27"/>
        <v>2024</v>
      </c>
      <c r="M588" t="str">
        <f t="shared" si="28"/>
        <v>Aug</v>
      </c>
      <c r="N588" s="2">
        <f t="shared" si="29"/>
        <v>0.11641569237556745</v>
      </c>
    </row>
    <row r="589" spans="1:14" x14ac:dyDescent="0.45">
      <c r="A589" t="s">
        <v>1189</v>
      </c>
      <c r="B589" s="1">
        <v>44974</v>
      </c>
      <c r="C589" t="s">
        <v>1190</v>
      </c>
      <c r="D589" t="s">
        <v>13</v>
      </c>
      <c r="E589" t="s">
        <v>20</v>
      </c>
      <c r="F589" t="s">
        <v>50</v>
      </c>
      <c r="G589">
        <v>4</v>
      </c>
      <c r="H589">
        <v>10443.48</v>
      </c>
      <c r="I589">
        <v>1729.84</v>
      </c>
      <c r="J589" t="s">
        <v>16</v>
      </c>
      <c r="K589" t="s">
        <v>23</v>
      </c>
      <c r="L589">
        <f t="shared" si="27"/>
        <v>2023</v>
      </c>
      <c r="M589" t="str">
        <f t="shared" si="28"/>
        <v>Feb</v>
      </c>
      <c r="N589" s="2">
        <f t="shared" si="29"/>
        <v>0.16563827383209428</v>
      </c>
    </row>
    <row r="590" spans="1:14" x14ac:dyDescent="0.45">
      <c r="A590" t="s">
        <v>1191</v>
      </c>
      <c r="B590" s="1">
        <v>44626</v>
      </c>
      <c r="C590" t="s">
        <v>1192</v>
      </c>
      <c r="D590" t="s">
        <v>13</v>
      </c>
      <c r="E590" t="s">
        <v>14</v>
      </c>
      <c r="F590" t="s">
        <v>32</v>
      </c>
      <c r="G590">
        <v>5</v>
      </c>
      <c r="H590">
        <v>14333.73</v>
      </c>
      <c r="I590">
        <v>1713.75</v>
      </c>
      <c r="J590" t="s">
        <v>47</v>
      </c>
      <c r="K590" t="s">
        <v>23</v>
      </c>
      <c r="L590">
        <f t="shared" si="27"/>
        <v>2022</v>
      </c>
      <c r="M590" t="str">
        <f t="shared" si="28"/>
        <v>Mar</v>
      </c>
      <c r="N590" s="2">
        <f t="shared" si="29"/>
        <v>0.11956064471704156</v>
      </c>
    </row>
    <row r="591" spans="1:14" x14ac:dyDescent="0.45">
      <c r="A591" t="s">
        <v>1193</v>
      </c>
      <c r="B591" s="1">
        <v>44757</v>
      </c>
      <c r="C591" t="s">
        <v>1194</v>
      </c>
      <c r="D591" t="s">
        <v>26</v>
      </c>
      <c r="E591" t="s">
        <v>36</v>
      </c>
      <c r="F591" t="s">
        <v>64</v>
      </c>
      <c r="G591">
        <v>1</v>
      </c>
      <c r="H591">
        <v>40209.67</v>
      </c>
      <c r="I591">
        <v>7156.18</v>
      </c>
      <c r="J591" t="s">
        <v>47</v>
      </c>
      <c r="K591" t="s">
        <v>17</v>
      </c>
      <c r="L591">
        <f t="shared" si="27"/>
        <v>2022</v>
      </c>
      <c r="M591" t="str">
        <f t="shared" si="28"/>
        <v>Jul</v>
      </c>
      <c r="N591" s="2">
        <f t="shared" si="29"/>
        <v>0.17797161727514801</v>
      </c>
    </row>
    <row r="592" spans="1:14" x14ac:dyDescent="0.45">
      <c r="A592" t="s">
        <v>1195</v>
      </c>
      <c r="B592" s="1">
        <v>44655</v>
      </c>
      <c r="C592" t="s">
        <v>1196</v>
      </c>
      <c r="D592" t="s">
        <v>56</v>
      </c>
      <c r="E592" t="s">
        <v>20</v>
      </c>
      <c r="F592" t="s">
        <v>21</v>
      </c>
      <c r="G592">
        <v>2</v>
      </c>
      <c r="H592">
        <v>1152.5899999999999</v>
      </c>
      <c r="I592">
        <v>94.31</v>
      </c>
      <c r="J592" t="s">
        <v>28</v>
      </c>
      <c r="K592" t="s">
        <v>29</v>
      </c>
      <c r="L592">
        <f t="shared" si="27"/>
        <v>2022</v>
      </c>
      <c r="M592" t="str">
        <f t="shared" si="28"/>
        <v>Apr</v>
      </c>
      <c r="N592" s="2">
        <f t="shared" si="29"/>
        <v>8.1824412844116304E-2</v>
      </c>
    </row>
    <row r="593" spans="1:14" x14ac:dyDescent="0.45">
      <c r="A593" t="s">
        <v>1197</v>
      </c>
      <c r="B593" s="1">
        <v>45134</v>
      </c>
      <c r="C593" t="s">
        <v>1198</v>
      </c>
      <c r="D593" t="s">
        <v>26</v>
      </c>
      <c r="E593" t="s">
        <v>36</v>
      </c>
      <c r="F593" t="s">
        <v>64</v>
      </c>
      <c r="G593">
        <v>2</v>
      </c>
      <c r="H593">
        <v>44910.38</v>
      </c>
      <c r="I593">
        <v>6621.16</v>
      </c>
      <c r="J593" t="s">
        <v>47</v>
      </c>
      <c r="K593" t="s">
        <v>33</v>
      </c>
      <c r="L593">
        <f t="shared" si="27"/>
        <v>2023</v>
      </c>
      <c r="M593" t="str">
        <f t="shared" si="28"/>
        <v>Jul</v>
      </c>
      <c r="N593" s="2">
        <f t="shared" si="29"/>
        <v>0.14743050493004067</v>
      </c>
    </row>
    <row r="594" spans="1:14" x14ac:dyDescent="0.45">
      <c r="A594" t="s">
        <v>1199</v>
      </c>
      <c r="B594" s="1">
        <v>45568</v>
      </c>
      <c r="C594" t="s">
        <v>1200</v>
      </c>
      <c r="D594" t="s">
        <v>13</v>
      </c>
      <c r="E594" t="s">
        <v>14</v>
      </c>
      <c r="F594" t="s">
        <v>40</v>
      </c>
      <c r="G594">
        <v>1</v>
      </c>
      <c r="H594">
        <v>24493.58</v>
      </c>
      <c r="I594">
        <v>4134.92</v>
      </c>
      <c r="J594" t="s">
        <v>47</v>
      </c>
      <c r="K594" t="s">
        <v>29</v>
      </c>
      <c r="L594">
        <f t="shared" si="27"/>
        <v>2024</v>
      </c>
      <c r="M594" t="str">
        <f t="shared" si="28"/>
        <v>Oct</v>
      </c>
      <c r="N594" s="2">
        <f t="shared" si="29"/>
        <v>0.16881648170663496</v>
      </c>
    </row>
    <row r="595" spans="1:14" x14ac:dyDescent="0.45">
      <c r="A595" t="s">
        <v>1201</v>
      </c>
      <c r="B595" s="1">
        <v>45466</v>
      </c>
      <c r="C595" t="s">
        <v>1202</v>
      </c>
      <c r="D595" t="s">
        <v>13</v>
      </c>
      <c r="E595" t="s">
        <v>20</v>
      </c>
      <c r="F595" t="s">
        <v>43</v>
      </c>
      <c r="G595">
        <v>5</v>
      </c>
      <c r="H595">
        <v>16847.349999999999</v>
      </c>
      <c r="I595">
        <v>903.51</v>
      </c>
      <c r="J595" t="s">
        <v>28</v>
      </c>
      <c r="K595" t="s">
        <v>29</v>
      </c>
      <c r="L595">
        <f t="shared" si="27"/>
        <v>2024</v>
      </c>
      <c r="M595" t="str">
        <f t="shared" si="28"/>
        <v>Jun</v>
      </c>
      <c r="N595" s="2">
        <f t="shared" si="29"/>
        <v>5.362920578013753E-2</v>
      </c>
    </row>
    <row r="596" spans="1:14" x14ac:dyDescent="0.45">
      <c r="A596" t="s">
        <v>1203</v>
      </c>
      <c r="B596" s="1">
        <v>44793</v>
      </c>
      <c r="C596" t="s">
        <v>1204</v>
      </c>
      <c r="D596" t="s">
        <v>13</v>
      </c>
      <c r="E596" t="s">
        <v>36</v>
      </c>
      <c r="F596" t="s">
        <v>64</v>
      </c>
      <c r="G596">
        <v>1</v>
      </c>
      <c r="H596">
        <v>3887.19</v>
      </c>
      <c r="I596">
        <v>272.23</v>
      </c>
      <c r="J596" t="s">
        <v>16</v>
      </c>
      <c r="K596" t="s">
        <v>33</v>
      </c>
      <c r="L596">
        <f t="shared" si="27"/>
        <v>2022</v>
      </c>
      <c r="M596" t="str">
        <f t="shared" si="28"/>
        <v>Aug</v>
      </c>
      <c r="N596" s="2">
        <f t="shared" si="29"/>
        <v>7.0032594239026136E-2</v>
      </c>
    </row>
    <row r="597" spans="1:14" x14ac:dyDescent="0.45">
      <c r="A597" t="s">
        <v>1205</v>
      </c>
      <c r="B597" s="1">
        <v>44806</v>
      </c>
      <c r="C597" t="s">
        <v>1206</v>
      </c>
      <c r="D597" t="s">
        <v>26</v>
      </c>
      <c r="E597" t="s">
        <v>14</v>
      </c>
      <c r="F597" t="s">
        <v>32</v>
      </c>
      <c r="G597">
        <v>5</v>
      </c>
      <c r="H597">
        <v>42722.23</v>
      </c>
      <c r="I597">
        <v>4191.6099999999997</v>
      </c>
      <c r="J597" t="s">
        <v>71</v>
      </c>
      <c r="K597" t="s">
        <v>23</v>
      </c>
      <c r="L597">
        <f t="shared" si="27"/>
        <v>2022</v>
      </c>
      <c r="M597" t="str">
        <f t="shared" si="28"/>
        <v>Sep</v>
      </c>
      <c r="N597" s="2">
        <f t="shared" si="29"/>
        <v>9.8113090070438724E-2</v>
      </c>
    </row>
    <row r="598" spans="1:14" x14ac:dyDescent="0.45">
      <c r="A598" t="s">
        <v>1207</v>
      </c>
      <c r="B598" s="1">
        <v>45223</v>
      </c>
      <c r="C598" t="s">
        <v>1208</v>
      </c>
      <c r="D598" t="s">
        <v>56</v>
      </c>
      <c r="E598" t="s">
        <v>36</v>
      </c>
      <c r="F598" t="s">
        <v>46</v>
      </c>
      <c r="G598">
        <v>2</v>
      </c>
      <c r="H598">
        <v>7092.99</v>
      </c>
      <c r="I598">
        <v>1209.68</v>
      </c>
      <c r="J598" t="s">
        <v>22</v>
      </c>
      <c r="K598" t="s">
        <v>29</v>
      </c>
      <c r="L598">
        <f t="shared" si="27"/>
        <v>2023</v>
      </c>
      <c r="M598" t="str">
        <f t="shared" si="28"/>
        <v>Oct</v>
      </c>
      <c r="N598" s="2">
        <f t="shared" si="29"/>
        <v>0.17054584878873369</v>
      </c>
    </row>
    <row r="599" spans="1:14" x14ac:dyDescent="0.45">
      <c r="A599" t="s">
        <v>1209</v>
      </c>
      <c r="B599" s="1">
        <v>45321</v>
      </c>
      <c r="C599" t="s">
        <v>1210</v>
      </c>
      <c r="D599" t="s">
        <v>13</v>
      </c>
      <c r="E599" t="s">
        <v>20</v>
      </c>
      <c r="F599" t="s">
        <v>43</v>
      </c>
      <c r="G599">
        <v>5</v>
      </c>
      <c r="H599">
        <v>27137.15</v>
      </c>
      <c r="I599">
        <v>2385.89</v>
      </c>
      <c r="J599" t="s">
        <v>71</v>
      </c>
      <c r="K599" t="s">
        <v>33</v>
      </c>
      <c r="L599">
        <f t="shared" si="27"/>
        <v>2024</v>
      </c>
      <c r="M599" t="str">
        <f t="shared" si="28"/>
        <v>Jan</v>
      </c>
      <c r="N599" s="2">
        <f t="shared" si="29"/>
        <v>8.7919696799405977E-2</v>
      </c>
    </row>
    <row r="600" spans="1:14" x14ac:dyDescent="0.45">
      <c r="A600" t="s">
        <v>1211</v>
      </c>
      <c r="B600" s="1">
        <v>45446</v>
      </c>
      <c r="C600" t="s">
        <v>1212</v>
      </c>
      <c r="D600" t="s">
        <v>56</v>
      </c>
      <c r="E600" t="s">
        <v>20</v>
      </c>
      <c r="F600" t="s">
        <v>27</v>
      </c>
      <c r="G600">
        <v>1</v>
      </c>
      <c r="H600">
        <v>33666.559999999998</v>
      </c>
      <c r="I600">
        <v>7518.4</v>
      </c>
      <c r="J600" t="s">
        <v>28</v>
      </c>
      <c r="K600" t="s">
        <v>29</v>
      </c>
      <c r="L600">
        <f t="shared" si="27"/>
        <v>2024</v>
      </c>
      <c r="M600" t="str">
        <f t="shared" si="28"/>
        <v>Jun</v>
      </c>
      <c r="N600" s="2">
        <f t="shared" si="29"/>
        <v>0.22331951942818037</v>
      </c>
    </row>
    <row r="601" spans="1:14" x14ac:dyDescent="0.45">
      <c r="A601" t="s">
        <v>1213</v>
      </c>
      <c r="B601" s="1">
        <v>45006</v>
      </c>
      <c r="C601" t="s">
        <v>1214</v>
      </c>
      <c r="D601" t="s">
        <v>26</v>
      </c>
      <c r="E601" t="s">
        <v>14</v>
      </c>
      <c r="F601" t="s">
        <v>15</v>
      </c>
      <c r="G601">
        <v>1</v>
      </c>
      <c r="H601">
        <v>42745.120000000003</v>
      </c>
      <c r="I601">
        <v>7449.05</v>
      </c>
      <c r="J601" t="s">
        <v>47</v>
      </c>
      <c r="K601" t="s">
        <v>33</v>
      </c>
      <c r="L601">
        <f t="shared" si="27"/>
        <v>2023</v>
      </c>
      <c r="M601" t="str">
        <f t="shared" si="28"/>
        <v>Mar</v>
      </c>
      <c r="N601" s="2">
        <f t="shared" si="29"/>
        <v>0.17426667652354233</v>
      </c>
    </row>
    <row r="602" spans="1:14" x14ac:dyDescent="0.45">
      <c r="A602" t="s">
        <v>1215</v>
      </c>
      <c r="B602" s="1">
        <v>44951</v>
      </c>
      <c r="C602" t="s">
        <v>1216</v>
      </c>
      <c r="D602" t="s">
        <v>26</v>
      </c>
      <c r="E602" t="s">
        <v>20</v>
      </c>
      <c r="F602" t="s">
        <v>21</v>
      </c>
      <c r="G602">
        <v>5</v>
      </c>
      <c r="H602">
        <v>19506.169999999998</v>
      </c>
      <c r="I602">
        <v>3719.3</v>
      </c>
      <c r="J602" t="s">
        <v>28</v>
      </c>
      <c r="K602" t="s">
        <v>17</v>
      </c>
      <c r="L602">
        <f t="shared" si="27"/>
        <v>2023</v>
      </c>
      <c r="M602" t="str">
        <f t="shared" si="28"/>
        <v>Jan</v>
      </c>
      <c r="N602" s="2">
        <f t="shared" si="29"/>
        <v>0.19067300243974089</v>
      </c>
    </row>
    <row r="603" spans="1:14" x14ac:dyDescent="0.45">
      <c r="A603" t="s">
        <v>1217</v>
      </c>
      <c r="B603" s="1">
        <v>45277</v>
      </c>
      <c r="C603" t="s">
        <v>1218</v>
      </c>
      <c r="D603" t="s">
        <v>13</v>
      </c>
      <c r="E603" t="s">
        <v>14</v>
      </c>
      <c r="F603" t="s">
        <v>57</v>
      </c>
      <c r="G603">
        <v>4</v>
      </c>
      <c r="H603">
        <v>48922.05</v>
      </c>
      <c r="I603">
        <v>10126.129999999999</v>
      </c>
      <c r="J603" t="s">
        <v>28</v>
      </c>
      <c r="K603" t="s">
        <v>17</v>
      </c>
      <c r="L603">
        <f t="shared" si="27"/>
        <v>2023</v>
      </c>
      <c r="M603" t="str">
        <f t="shared" si="28"/>
        <v>Dec</v>
      </c>
      <c r="N603" s="2">
        <f t="shared" si="29"/>
        <v>0.20698498938617654</v>
      </c>
    </row>
    <row r="604" spans="1:14" x14ac:dyDescent="0.45">
      <c r="A604" t="s">
        <v>1219</v>
      </c>
      <c r="B604" s="1">
        <v>44743</v>
      </c>
      <c r="C604" t="s">
        <v>1220</v>
      </c>
      <c r="D604" t="s">
        <v>26</v>
      </c>
      <c r="E604" t="s">
        <v>36</v>
      </c>
      <c r="F604" t="s">
        <v>53</v>
      </c>
      <c r="G604">
        <v>3</v>
      </c>
      <c r="H604">
        <v>37911.43</v>
      </c>
      <c r="I604">
        <v>2442.13</v>
      </c>
      <c r="J604" t="s">
        <v>47</v>
      </c>
      <c r="K604" t="s">
        <v>29</v>
      </c>
      <c r="L604">
        <f t="shared" si="27"/>
        <v>2022</v>
      </c>
      <c r="M604" t="str">
        <f t="shared" si="28"/>
        <v>Jul</v>
      </c>
      <c r="N604" s="2">
        <f t="shared" si="29"/>
        <v>6.4416720762049864E-2</v>
      </c>
    </row>
    <row r="605" spans="1:14" x14ac:dyDescent="0.45">
      <c r="A605" t="s">
        <v>1221</v>
      </c>
      <c r="B605" s="1">
        <v>44940</v>
      </c>
      <c r="C605" t="s">
        <v>1222</v>
      </c>
      <c r="D605" t="s">
        <v>26</v>
      </c>
      <c r="E605" t="s">
        <v>14</v>
      </c>
      <c r="F605" t="s">
        <v>40</v>
      </c>
      <c r="G605">
        <v>3</v>
      </c>
      <c r="H605">
        <v>14275.64</v>
      </c>
      <c r="I605">
        <v>3509.57</v>
      </c>
      <c r="J605" t="s">
        <v>22</v>
      </c>
      <c r="K605" t="s">
        <v>33</v>
      </c>
      <c r="L605">
        <f t="shared" si="27"/>
        <v>2023</v>
      </c>
      <c r="M605" t="str">
        <f t="shared" si="28"/>
        <v>Jan</v>
      </c>
      <c r="N605" s="2">
        <f t="shared" si="29"/>
        <v>0.24584326867306827</v>
      </c>
    </row>
    <row r="606" spans="1:14" x14ac:dyDescent="0.45">
      <c r="A606" t="s">
        <v>1223</v>
      </c>
      <c r="B606" s="1">
        <v>45191</v>
      </c>
      <c r="C606" t="s">
        <v>1224</v>
      </c>
      <c r="D606" t="s">
        <v>13</v>
      </c>
      <c r="E606" t="s">
        <v>20</v>
      </c>
      <c r="F606" t="s">
        <v>43</v>
      </c>
      <c r="G606">
        <v>4</v>
      </c>
      <c r="H606">
        <v>38107.269999999997</v>
      </c>
      <c r="I606">
        <v>7820.15</v>
      </c>
      <c r="J606" t="s">
        <v>16</v>
      </c>
      <c r="K606" t="s">
        <v>29</v>
      </c>
      <c r="L606">
        <f t="shared" si="27"/>
        <v>2023</v>
      </c>
      <c r="M606" t="str">
        <f t="shared" si="28"/>
        <v>Sep</v>
      </c>
      <c r="N606" s="2">
        <f t="shared" si="29"/>
        <v>0.20521412318436877</v>
      </c>
    </row>
    <row r="607" spans="1:14" x14ac:dyDescent="0.45">
      <c r="A607" t="s">
        <v>1225</v>
      </c>
      <c r="B607" s="1">
        <v>44877</v>
      </c>
      <c r="C607" t="s">
        <v>1226</v>
      </c>
      <c r="D607" t="s">
        <v>56</v>
      </c>
      <c r="E607" t="s">
        <v>36</v>
      </c>
      <c r="F607" t="s">
        <v>46</v>
      </c>
      <c r="G607">
        <v>1</v>
      </c>
      <c r="H607">
        <v>15531.33</v>
      </c>
      <c r="I607">
        <v>1538.34</v>
      </c>
      <c r="J607" t="s">
        <v>22</v>
      </c>
      <c r="K607" t="s">
        <v>17</v>
      </c>
      <c r="L607">
        <f t="shared" si="27"/>
        <v>2022</v>
      </c>
      <c r="M607" t="str">
        <f t="shared" si="28"/>
        <v>Nov</v>
      </c>
      <c r="N607" s="2">
        <f t="shared" si="29"/>
        <v>9.904753810523631E-2</v>
      </c>
    </row>
    <row r="608" spans="1:14" x14ac:dyDescent="0.45">
      <c r="A608" t="s">
        <v>1227</v>
      </c>
      <c r="B608" s="1">
        <v>44730</v>
      </c>
      <c r="C608" t="s">
        <v>1228</v>
      </c>
      <c r="D608" t="s">
        <v>56</v>
      </c>
      <c r="E608" t="s">
        <v>20</v>
      </c>
      <c r="F608" t="s">
        <v>50</v>
      </c>
      <c r="G608">
        <v>1</v>
      </c>
      <c r="H608">
        <v>21380.46</v>
      </c>
      <c r="I608">
        <v>4620.12</v>
      </c>
      <c r="J608" t="s">
        <v>16</v>
      </c>
      <c r="K608" t="s">
        <v>17</v>
      </c>
      <c r="L608">
        <f t="shared" si="27"/>
        <v>2022</v>
      </c>
      <c r="M608" t="str">
        <f t="shared" si="28"/>
        <v>Jun</v>
      </c>
      <c r="N608" s="2">
        <f t="shared" si="29"/>
        <v>0.21609076699004606</v>
      </c>
    </row>
    <row r="609" spans="1:14" x14ac:dyDescent="0.45">
      <c r="A609" t="s">
        <v>1229</v>
      </c>
      <c r="B609" s="1">
        <v>45084</v>
      </c>
      <c r="C609" t="s">
        <v>1230</v>
      </c>
      <c r="D609" t="s">
        <v>26</v>
      </c>
      <c r="E609" t="s">
        <v>14</v>
      </c>
      <c r="F609" t="s">
        <v>40</v>
      </c>
      <c r="G609">
        <v>2</v>
      </c>
      <c r="H609">
        <v>41861.96</v>
      </c>
      <c r="I609">
        <v>4936.8500000000004</v>
      </c>
      <c r="J609" t="s">
        <v>22</v>
      </c>
      <c r="K609" t="s">
        <v>23</v>
      </c>
      <c r="L609">
        <f t="shared" si="27"/>
        <v>2023</v>
      </c>
      <c r="M609" t="str">
        <f t="shared" si="28"/>
        <v>Jun</v>
      </c>
      <c r="N609" s="2">
        <f t="shared" si="29"/>
        <v>0.11793164964086728</v>
      </c>
    </row>
    <row r="610" spans="1:14" x14ac:dyDescent="0.45">
      <c r="A610" t="s">
        <v>1231</v>
      </c>
      <c r="B610" s="1">
        <v>45291</v>
      </c>
      <c r="C610" t="s">
        <v>1232</v>
      </c>
      <c r="D610" t="s">
        <v>13</v>
      </c>
      <c r="E610" t="s">
        <v>14</v>
      </c>
      <c r="F610" t="s">
        <v>15</v>
      </c>
      <c r="G610">
        <v>1</v>
      </c>
      <c r="H610">
        <v>5239.6000000000004</v>
      </c>
      <c r="I610">
        <v>1182.49</v>
      </c>
      <c r="J610" t="s">
        <v>28</v>
      </c>
      <c r="K610" t="s">
        <v>17</v>
      </c>
      <c r="L610">
        <f t="shared" si="27"/>
        <v>2023</v>
      </c>
      <c r="M610" t="str">
        <f t="shared" si="28"/>
        <v>Dec</v>
      </c>
      <c r="N610" s="2">
        <f t="shared" si="29"/>
        <v>0.22568325826398961</v>
      </c>
    </row>
    <row r="611" spans="1:14" x14ac:dyDescent="0.45">
      <c r="A611" t="s">
        <v>1233</v>
      </c>
      <c r="B611" s="1">
        <v>44896</v>
      </c>
      <c r="C611" t="s">
        <v>1234</v>
      </c>
      <c r="D611" t="s">
        <v>13</v>
      </c>
      <c r="E611" t="s">
        <v>20</v>
      </c>
      <c r="F611" t="s">
        <v>43</v>
      </c>
      <c r="G611">
        <v>4</v>
      </c>
      <c r="H611">
        <v>49741.95</v>
      </c>
      <c r="I611">
        <v>6741.86</v>
      </c>
      <c r="J611" t="s">
        <v>71</v>
      </c>
      <c r="K611" t="s">
        <v>29</v>
      </c>
      <c r="L611">
        <f t="shared" si="27"/>
        <v>2022</v>
      </c>
      <c r="M611" t="str">
        <f t="shared" si="28"/>
        <v>Dec</v>
      </c>
      <c r="N611" s="2">
        <f t="shared" si="29"/>
        <v>0.13553670493416523</v>
      </c>
    </row>
    <row r="612" spans="1:14" x14ac:dyDescent="0.45">
      <c r="A612" t="s">
        <v>1235</v>
      </c>
      <c r="B612" s="1">
        <v>44780</v>
      </c>
      <c r="C612" t="s">
        <v>1236</v>
      </c>
      <c r="D612" t="s">
        <v>13</v>
      </c>
      <c r="E612" t="s">
        <v>14</v>
      </c>
      <c r="F612" t="s">
        <v>15</v>
      </c>
      <c r="G612">
        <v>5</v>
      </c>
      <c r="H612">
        <v>22715.599999999999</v>
      </c>
      <c r="I612">
        <v>5496.33</v>
      </c>
      <c r="J612" t="s">
        <v>47</v>
      </c>
      <c r="K612" t="s">
        <v>23</v>
      </c>
      <c r="L612">
        <f t="shared" si="27"/>
        <v>2022</v>
      </c>
      <c r="M612" t="str">
        <f t="shared" si="28"/>
        <v>Aug</v>
      </c>
      <c r="N612" s="2">
        <f t="shared" si="29"/>
        <v>0.24196279209001745</v>
      </c>
    </row>
    <row r="613" spans="1:14" x14ac:dyDescent="0.45">
      <c r="A613" t="s">
        <v>1237</v>
      </c>
      <c r="B613" s="1">
        <v>44959</v>
      </c>
      <c r="C613" t="s">
        <v>1238</v>
      </c>
      <c r="D613" t="s">
        <v>13</v>
      </c>
      <c r="E613" t="s">
        <v>20</v>
      </c>
      <c r="F613" t="s">
        <v>21</v>
      </c>
      <c r="G613">
        <v>2</v>
      </c>
      <c r="H613">
        <v>2860.92</v>
      </c>
      <c r="I613">
        <v>398.4</v>
      </c>
      <c r="J613" t="s">
        <v>71</v>
      </c>
      <c r="K613" t="s">
        <v>23</v>
      </c>
      <c r="L613">
        <f t="shared" si="27"/>
        <v>2023</v>
      </c>
      <c r="M613" t="str">
        <f t="shared" si="28"/>
        <v>Feb</v>
      </c>
      <c r="N613" s="2">
        <f t="shared" si="29"/>
        <v>0.13925590369531479</v>
      </c>
    </row>
    <row r="614" spans="1:14" x14ac:dyDescent="0.45">
      <c r="A614" t="s">
        <v>1239</v>
      </c>
      <c r="B614" s="1">
        <v>45140</v>
      </c>
      <c r="C614" t="s">
        <v>1240</v>
      </c>
      <c r="D614" t="s">
        <v>56</v>
      </c>
      <c r="E614" t="s">
        <v>14</v>
      </c>
      <c r="F614" t="s">
        <v>57</v>
      </c>
      <c r="G614">
        <v>5</v>
      </c>
      <c r="H614">
        <v>48606.91</v>
      </c>
      <c r="I614">
        <v>5657.54</v>
      </c>
      <c r="J614" t="s">
        <v>16</v>
      </c>
      <c r="K614" t="s">
        <v>33</v>
      </c>
      <c r="L614">
        <f t="shared" si="27"/>
        <v>2023</v>
      </c>
      <c r="M614" t="str">
        <f t="shared" si="28"/>
        <v>Aug</v>
      </c>
      <c r="N614" s="2">
        <f t="shared" si="29"/>
        <v>0.11639373907948478</v>
      </c>
    </row>
    <row r="615" spans="1:14" x14ac:dyDescent="0.45">
      <c r="A615" t="s">
        <v>1241</v>
      </c>
      <c r="B615" s="1">
        <v>44611</v>
      </c>
      <c r="C615" t="s">
        <v>1242</v>
      </c>
      <c r="D615" t="s">
        <v>56</v>
      </c>
      <c r="E615" t="s">
        <v>20</v>
      </c>
      <c r="F615" t="s">
        <v>50</v>
      </c>
      <c r="G615">
        <v>4</v>
      </c>
      <c r="H615">
        <v>33475.919999999998</v>
      </c>
      <c r="I615">
        <v>3552.47</v>
      </c>
      <c r="J615" t="s">
        <v>28</v>
      </c>
      <c r="K615" t="s">
        <v>17</v>
      </c>
      <c r="L615">
        <f t="shared" si="27"/>
        <v>2022</v>
      </c>
      <c r="M615" t="str">
        <f t="shared" si="28"/>
        <v>Feb</v>
      </c>
      <c r="N615" s="2">
        <f t="shared" si="29"/>
        <v>0.10612016040186498</v>
      </c>
    </row>
    <row r="616" spans="1:14" x14ac:dyDescent="0.45">
      <c r="A616" t="s">
        <v>1243</v>
      </c>
      <c r="B616" s="1">
        <v>44737</v>
      </c>
      <c r="C616" t="s">
        <v>1244</v>
      </c>
      <c r="D616" t="s">
        <v>26</v>
      </c>
      <c r="E616" t="s">
        <v>20</v>
      </c>
      <c r="F616" t="s">
        <v>21</v>
      </c>
      <c r="G616">
        <v>5</v>
      </c>
      <c r="H616">
        <v>19789.330000000002</v>
      </c>
      <c r="I616">
        <v>3825.28</v>
      </c>
      <c r="J616" t="s">
        <v>71</v>
      </c>
      <c r="K616" t="s">
        <v>23</v>
      </c>
      <c r="L616">
        <f t="shared" si="27"/>
        <v>2022</v>
      </c>
      <c r="M616" t="str">
        <f t="shared" si="28"/>
        <v>Jun</v>
      </c>
      <c r="N616" s="2">
        <f t="shared" si="29"/>
        <v>0.19330012688655956</v>
      </c>
    </row>
    <row r="617" spans="1:14" x14ac:dyDescent="0.45">
      <c r="A617" t="s">
        <v>1245</v>
      </c>
      <c r="B617" s="1">
        <v>45482</v>
      </c>
      <c r="C617" t="s">
        <v>1246</v>
      </c>
      <c r="D617" t="s">
        <v>26</v>
      </c>
      <c r="E617" t="s">
        <v>20</v>
      </c>
      <c r="F617" t="s">
        <v>50</v>
      </c>
      <c r="G617">
        <v>4</v>
      </c>
      <c r="H617">
        <v>16575.18</v>
      </c>
      <c r="I617">
        <v>1130.8399999999999</v>
      </c>
      <c r="J617" t="s">
        <v>22</v>
      </c>
      <c r="K617" t="s">
        <v>33</v>
      </c>
      <c r="L617">
        <f t="shared" si="27"/>
        <v>2024</v>
      </c>
      <c r="M617" t="str">
        <f t="shared" si="28"/>
        <v>Jul</v>
      </c>
      <c r="N617" s="2">
        <f t="shared" si="29"/>
        <v>6.8224900121748297E-2</v>
      </c>
    </row>
    <row r="618" spans="1:14" x14ac:dyDescent="0.45">
      <c r="A618" t="s">
        <v>1247</v>
      </c>
      <c r="B618" s="1">
        <v>45327</v>
      </c>
      <c r="C618" t="s">
        <v>1248</v>
      </c>
      <c r="D618" t="s">
        <v>56</v>
      </c>
      <c r="E618" t="s">
        <v>36</v>
      </c>
      <c r="F618" t="s">
        <v>53</v>
      </c>
      <c r="G618">
        <v>2</v>
      </c>
      <c r="H618">
        <v>27639.64</v>
      </c>
      <c r="I618">
        <v>2144.3200000000002</v>
      </c>
      <c r="J618" t="s">
        <v>28</v>
      </c>
      <c r="K618" t="s">
        <v>33</v>
      </c>
      <c r="L618">
        <f t="shared" si="27"/>
        <v>2024</v>
      </c>
      <c r="M618" t="str">
        <f t="shared" si="28"/>
        <v>Feb</v>
      </c>
      <c r="N618" s="2">
        <f t="shared" si="29"/>
        <v>7.75813288450935E-2</v>
      </c>
    </row>
    <row r="619" spans="1:14" x14ac:dyDescent="0.45">
      <c r="A619" t="s">
        <v>1249</v>
      </c>
      <c r="B619" s="1">
        <v>45007</v>
      </c>
      <c r="C619" t="s">
        <v>1250</v>
      </c>
      <c r="D619" t="s">
        <v>56</v>
      </c>
      <c r="E619" t="s">
        <v>20</v>
      </c>
      <c r="F619" t="s">
        <v>27</v>
      </c>
      <c r="G619">
        <v>2</v>
      </c>
      <c r="H619">
        <v>20216.32</v>
      </c>
      <c r="I619">
        <v>1227.8499999999999</v>
      </c>
      <c r="J619" t="s">
        <v>22</v>
      </c>
      <c r="K619" t="s">
        <v>17</v>
      </c>
      <c r="L619">
        <f t="shared" si="27"/>
        <v>2023</v>
      </c>
      <c r="M619" t="str">
        <f t="shared" si="28"/>
        <v>Mar</v>
      </c>
      <c r="N619" s="2">
        <f t="shared" si="29"/>
        <v>6.0735583924275034E-2</v>
      </c>
    </row>
    <row r="620" spans="1:14" x14ac:dyDescent="0.45">
      <c r="A620" t="s">
        <v>1251</v>
      </c>
      <c r="B620" s="1">
        <v>45448</v>
      </c>
      <c r="C620" t="s">
        <v>1252</v>
      </c>
      <c r="D620" t="s">
        <v>56</v>
      </c>
      <c r="E620" t="s">
        <v>14</v>
      </c>
      <c r="F620" t="s">
        <v>57</v>
      </c>
      <c r="G620">
        <v>1</v>
      </c>
      <c r="H620">
        <v>1792.6</v>
      </c>
      <c r="I620">
        <v>317.08999999999997</v>
      </c>
      <c r="J620" t="s">
        <v>16</v>
      </c>
      <c r="K620" t="s">
        <v>23</v>
      </c>
      <c r="L620">
        <f t="shared" si="27"/>
        <v>2024</v>
      </c>
      <c r="M620" t="str">
        <f t="shared" si="28"/>
        <v>Jun</v>
      </c>
      <c r="N620" s="2">
        <f t="shared" si="29"/>
        <v>0.17688831864331139</v>
      </c>
    </row>
    <row r="621" spans="1:14" x14ac:dyDescent="0.45">
      <c r="A621" t="s">
        <v>1253</v>
      </c>
      <c r="B621" s="1">
        <v>45641</v>
      </c>
      <c r="C621" t="s">
        <v>1254</v>
      </c>
      <c r="D621" t="s">
        <v>26</v>
      </c>
      <c r="E621" t="s">
        <v>36</v>
      </c>
      <c r="F621" t="s">
        <v>64</v>
      </c>
      <c r="G621">
        <v>1</v>
      </c>
      <c r="H621">
        <v>32789.31</v>
      </c>
      <c r="I621">
        <v>3675.74</v>
      </c>
      <c r="J621" t="s">
        <v>16</v>
      </c>
      <c r="K621" t="s">
        <v>23</v>
      </c>
      <c r="L621">
        <f t="shared" si="27"/>
        <v>2024</v>
      </c>
      <c r="M621" t="str">
        <f t="shared" si="28"/>
        <v>Dec</v>
      </c>
      <c r="N621" s="2">
        <f t="shared" si="29"/>
        <v>0.11210177951289613</v>
      </c>
    </row>
    <row r="622" spans="1:14" x14ac:dyDescent="0.45">
      <c r="A622" t="s">
        <v>1255</v>
      </c>
      <c r="B622" s="1">
        <v>45079</v>
      </c>
      <c r="C622" t="s">
        <v>1256</v>
      </c>
      <c r="D622" t="s">
        <v>13</v>
      </c>
      <c r="E622" t="s">
        <v>36</v>
      </c>
      <c r="F622" t="s">
        <v>53</v>
      </c>
      <c r="G622">
        <v>4</v>
      </c>
      <c r="H622">
        <v>36608.6</v>
      </c>
      <c r="I622">
        <v>3053.43</v>
      </c>
      <c r="J622" t="s">
        <v>47</v>
      </c>
      <c r="K622" t="s">
        <v>29</v>
      </c>
      <c r="L622">
        <f t="shared" si="27"/>
        <v>2023</v>
      </c>
      <c r="M622" t="str">
        <f t="shared" si="28"/>
        <v>Jun</v>
      </c>
      <c r="N622" s="2">
        <f t="shared" si="29"/>
        <v>8.3407450708303507E-2</v>
      </c>
    </row>
    <row r="623" spans="1:14" x14ac:dyDescent="0.45">
      <c r="A623" t="s">
        <v>1257</v>
      </c>
      <c r="B623" s="1">
        <v>45157</v>
      </c>
      <c r="C623" t="s">
        <v>1258</v>
      </c>
      <c r="D623" t="s">
        <v>56</v>
      </c>
      <c r="E623" t="s">
        <v>14</v>
      </c>
      <c r="F623" t="s">
        <v>40</v>
      </c>
      <c r="G623">
        <v>1</v>
      </c>
      <c r="H623">
        <v>10042.39</v>
      </c>
      <c r="I623">
        <v>910.77</v>
      </c>
      <c r="J623" t="s">
        <v>28</v>
      </c>
      <c r="K623" t="s">
        <v>29</v>
      </c>
      <c r="L623">
        <f t="shared" si="27"/>
        <v>2023</v>
      </c>
      <c r="M623" t="str">
        <f t="shared" si="28"/>
        <v>Aug</v>
      </c>
      <c r="N623" s="2">
        <f t="shared" si="29"/>
        <v>9.0692554262481351E-2</v>
      </c>
    </row>
    <row r="624" spans="1:14" x14ac:dyDescent="0.45">
      <c r="A624" t="s">
        <v>1259</v>
      </c>
      <c r="B624" s="1">
        <v>45026</v>
      </c>
      <c r="C624" t="s">
        <v>1260</v>
      </c>
      <c r="D624" t="s">
        <v>56</v>
      </c>
      <c r="E624" t="s">
        <v>20</v>
      </c>
      <c r="F624" t="s">
        <v>21</v>
      </c>
      <c r="G624">
        <v>4</v>
      </c>
      <c r="H624">
        <v>11087.64</v>
      </c>
      <c r="I624">
        <v>2264.29</v>
      </c>
      <c r="J624" t="s">
        <v>47</v>
      </c>
      <c r="K624" t="s">
        <v>17</v>
      </c>
      <c r="L624">
        <f t="shared" si="27"/>
        <v>2023</v>
      </c>
      <c r="M624" t="str">
        <f t="shared" si="28"/>
        <v>Apr</v>
      </c>
      <c r="N624" s="2">
        <f t="shared" si="29"/>
        <v>0.20421748902381393</v>
      </c>
    </row>
    <row r="625" spans="1:14" x14ac:dyDescent="0.45">
      <c r="A625" t="s">
        <v>1261</v>
      </c>
      <c r="B625" s="1">
        <v>44904</v>
      </c>
      <c r="C625" t="s">
        <v>1262</v>
      </c>
      <c r="D625" t="s">
        <v>26</v>
      </c>
      <c r="E625" t="s">
        <v>14</v>
      </c>
      <c r="F625" t="s">
        <v>40</v>
      </c>
      <c r="G625">
        <v>3</v>
      </c>
      <c r="H625">
        <v>21452.19</v>
      </c>
      <c r="I625">
        <v>3473.9</v>
      </c>
      <c r="J625" t="s">
        <v>71</v>
      </c>
      <c r="K625" t="s">
        <v>29</v>
      </c>
      <c r="L625">
        <f t="shared" si="27"/>
        <v>2022</v>
      </c>
      <c r="M625" t="str">
        <f t="shared" si="28"/>
        <v>Dec</v>
      </c>
      <c r="N625" s="2">
        <f t="shared" si="29"/>
        <v>0.16193684654107576</v>
      </c>
    </row>
    <row r="626" spans="1:14" x14ac:dyDescent="0.45">
      <c r="A626" t="s">
        <v>1263</v>
      </c>
      <c r="B626" s="1">
        <v>44792</v>
      </c>
      <c r="C626" t="s">
        <v>1264</v>
      </c>
      <c r="D626" t="s">
        <v>13</v>
      </c>
      <c r="E626" t="s">
        <v>20</v>
      </c>
      <c r="F626" t="s">
        <v>27</v>
      </c>
      <c r="G626">
        <v>5</v>
      </c>
      <c r="H626">
        <v>13645.87</v>
      </c>
      <c r="I626">
        <v>1146.24</v>
      </c>
      <c r="J626" t="s">
        <v>22</v>
      </c>
      <c r="K626" t="s">
        <v>29</v>
      </c>
      <c r="L626">
        <f t="shared" si="27"/>
        <v>2022</v>
      </c>
      <c r="M626" t="str">
        <f t="shared" si="28"/>
        <v>Aug</v>
      </c>
      <c r="N626" s="2">
        <f t="shared" si="29"/>
        <v>8.3999041468224442E-2</v>
      </c>
    </row>
    <row r="627" spans="1:14" x14ac:dyDescent="0.45">
      <c r="A627" t="s">
        <v>1265</v>
      </c>
      <c r="B627" s="1">
        <v>44634</v>
      </c>
      <c r="C627" t="s">
        <v>1266</v>
      </c>
      <c r="D627" t="s">
        <v>26</v>
      </c>
      <c r="E627" t="s">
        <v>14</v>
      </c>
      <c r="F627" t="s">
        <v>40</v>
      </c>
      <c r="G627">
        <v>5</v>
      </c>
      <c r="H627">
        <v>33107.040000000001</v>
      </c>
      <c r="I627">
        <v>8051.71</v>
      </c>
      <c r="J627" t="s">
        <v>47</v>
      </c>
      <c r="K627" t="s">
        <v>33</v>
      </c>
      <c r="L627">
        <f t="shared" si="27"/>
        <v>2022</v>
      </c>
      <c r="M627" t="str">
        <f t="shared" si="28"/>
        <v>Mar</v>
      </c>
      <c r="N627" s="2">
        <f t="shared" si="29"/>
        <v>0.24320235212812744</v>
      </c>
    </row>
    <row r="628" spans="1:14" x14ac:dyDescent="0.45">
      <c r="A628" t="s">
        <v>1267</v>
      </c>
      <c r="B628" s="1">
        <v>45227</v>
      </c>
      <c r="C628" t="s">
        <v>1268</v>
      </c>
      <c r="D628" t="s">
        <v>56</v>
      </c>
      <c r="E628" t="s">
        <v>20</v>
      </c>
      <c r="F628" t="s">
        <v>50</v>
      </c>
      <c r="G628">
        <v>5</v>
      </c>
      <c r="H628">
        <v>4971.8</v>
      </c>
      <c r="I628">
        <v>353.6</v>
      </c>
      <c r="J628" t="s">
        <v>47</v>
      </c>
      <c r="K628" t="s">
        <v>29</v>
      </c>
      <c r="L628">
        <f t="shared" si="27"/>
        <v>2023</v>
      </c>
      <c r="M628" t="str">
        <f t="shared" si="28"/>
        <v>Oct</v>
      </c>
      <c r="N628" s="2">
        <f t="shared" si="29"/>
        <v>7.1121123134478464E-2</v>
      </c>
    </row>
    <row r="629" spans="1:14" x14ac:dyDescent="0.45">
      <c r="A629" t="s">
        <v>1269</v>
      </c>
      <c r="B629" s="1">
        <v>45342</v>
      </c>
      <c r="C629" t="s">
        <v>1270</v>
      </c>
      <c r="D629" t="s">
        <v>56</v>
      </c>
      <c r="E629" t="s">
        <v>36</v>
      </c>
      <c r="F629" t="s">
        <v>53</v>
      </c>
      <c r="G629">
        <v>1</v>
      </c>
      <c r="H629">
        <v>22432.62</v>
      </c>
      <c r="I629">
        <v>5082.83</v>
      </c>
      <c r="J629" t="s">
        <v>47</v>
      </c>
      <c r="K629" t="s">
        <v>29</v>
      </c>
      <c r="L629">
        <f t="shared" si="27"/>
        <v>2024</v>
      </c>
      <c r="M629" t="str">
        <f t="shared" si="28"/>
        <v>Feb</v>
      </c>
      <c r="N629" s="2">
        <f t="shared" si="29"/>
        <v>0.22658209339791785</v>
      </c>
    </row>
    <row r="630" spans="1:14" x14ac:dyDescent="0.45">
      <c r="A630" t="s">
        <v>1271</v>
      </c>
      <c r="B630" s="1">
        <v>45266</v>
      </c>
      <c r="C630" t="s">
        <v>1272</v>
      </c>
      <c r="D630" t="s">
        <v>26</v>
      </c>
      <c r="E630" t="s">
        <v>14</v>
      </c>
      <c r="F630" t="s">
        <v>40</v>
      </c>
      <c r="G630">
        <v>2</v>
      </c>
      <c r="H630">
        <v>10288.290000000001</v>
      </c>
      <c r="I630">
        <v>2270.54</v>
      </c>
      <c r="J630" t="s">
        <v>28</v>
      </c>
      <c r="K630" t="s">
        <v>29</v>
      </c>
      <c r="L630">
        <f t="shared" si="27"/>
        <v>2023</v>
      </c>
      <c r="M630" t="str">
        <f t="shared" si="28"/>
        <v>Dec</v>
      </c>
      <c r="N630" s="2">
        <f t="shared" si="29"/>
        <v>0.22069167956968552</v>
      </c>
    </row>
    <row r="631" spans="1:14" x14ac:dyDescent="0.45">
      <c r="A631" t="s">
        <v>1273</v>
      </c>
      <c r="B631" s="1">
        <v>45400</v>
      </c>
      <c r="C631" t="s">
        <v>1274</v>
      </c>
      <c r="D631" t="s">
        <v>13</v>
      </c>
      <c r="E631" t="s">
        <v>14</v>
      </c>
      <c r="F631" t="s">
        <v>40</v>
      </c>
      <c r="G631">
        <v>1</v>
      </c>
      <c r="H631">
        <v>32941.19</v>
      </c>
      <c r="I631">
        <v>6332.8</v>
      </c>
      <c r="J631" t="s">
        <v>22</v>
      </c>
      <c r="K631" t="s">
        <v>17</v>
      </c>
      <c r="L631">
        <f t="shared" si="27"/>
        <v>2024</v>
      </c>
      <c r="M631" t="str">
        <f t="shared" si="28"/>
        <v>Apr</v>
      </c>
      <c r="N631" s="2">
        <f t="shared" si="29"/>
        <v>0.19224563532768549</v>
      </c>
    </row>
    <row r="632" spans="1:14" x14ac:dyDescent="0.45">
      <c r="A632" t="s">
        <v>1275</v>
      </c>
      <c r="B632" s="1">
        <v>45251</v>
      </c>
      <c r="C632" t="s">
        <v>1276</v>
      </c>
      <c r="D632" t="s">
        <v>56</v>
      </c>
      <c r="E632" t="s">
        <v>20</v>
      </c>
      <c r="F632" t="s">
        <v>43</v>
      </c>
      <c r="G632">
        <v>2</v>
      </c>
      <c r="H632">
        <v>25528.36</v>
      </c>
      <c r="I632">
        <v>4331.83</v>
      </c>
      <c r="J632" t="s">
        <v>16</v>
      </c>
      <c r="K632" t="s">
        <v>29</v>
      </c>
      <c r="L632">
        <f t="shared" si="27"/>
        <v>2023</v>
      </c>
      <c r="M632" t="str">
        <f t="shared" si="28"/>
        <v>Nov</v>
      </c>
      <c r="N632" s="2">
        <f t="shared" si="29"/>
        <v>0.16968696774880956</v>
      </c>
    </row>
    <row r="633" spans="1:14" x14ac:dyDescent="0.45">
      <c r="A633" t="s">
        <v>1277</v>
      </c>
      <c r="B633" s="1">
        <v>44984</v>
      </c>
      <c r="C633" t="s">
        <v>1278</v>
      </c>
      <c r="D633" t="s">
        <v>56</v>
      </c>
      <c r="E633" t="s">
        <v>20</v>
      </c>
      <c r="F633" t="s">
        <v>43</v>
      </c>
      <c r="G633">
        <v>3</v>
      </c>
      <c r="H633">
        <v>14693.95</v>
      </c>
      <c r="I633">
        <v>1059.97</v>
      </c>
      <c r="J633" t="s">
        <v>16</v>
      </c>
      <c r="K633" t="s">
        <v>29</v>
      </c>
      <c r="L633">
        <f t="shared" si="27"/>
        <v>2023</v>
      </c>
      <c r="M633" t="str">
        <f t="shared" si="28"/>
        <v>Feb</v>
      </c>
      <c r="N633" s="2">
        <f t="shared" si="29"/>
        <v>7.2136491549243051E-2</v>
      </c>
    </row>
    <row r="634" spans="1:14" x14ac:dyDescent="0.45">
      <c r="A634" t="s">
        <v>1279</v>
      </c>
      <c r="B634" s="1">
        <v>44850</v>
      </c>
      <c r="C634" t="s">
        <v>1280</v>
      </c>
      <c r="D634" t="s">
        <v>56</v>
      </c>
      <c r="E634" t="s">
        <v>14</v>
      </c>
      <c r="F634" t="s">
        <v>32</v>
      </c>
      <c r="G634">
        <v>1</v>
      </c>
      <c r="H634">
        <v>10576.22</v>
      </c>
      <c r="I634">
        <v>2531.87</v>
      </c>
      <c r="J634" t="s">
        <v>47</v>
      </c>
      <c r="K634" t="s">
        <v>23</v>
      </c>
      <c r="L634">
        <f t="shared" si="27"/>
        <v>2022</v>
      </c>
      <c r="M634" t="str">
        <f t="shared" si="28"/>
        <v>Oct</v>
      </c>
      <c r="N634" s="2">
        <f t="shared" si="29"/>
        <v>0.2393927130865281</v>
      </c>
    </row>
    <row r="635" spans="1:14" x14ac:dyDescent="0.45">
      <c r="A635" t="s">
        <v>1281</v>
      </c>
      <c r="B635" s="1">
        <v>45530</v>
      </c>
      <c r="C635" t="s">
        <v>1282</v>
      </c>
      <c r="D635" t="s">
        <v>56</v>
      </c>
      <c r="E635" t="s">
        <v>36</v>
      </c>
      <c r="F635" t="s">
        <v>64</v>
      </c>
      <c r="G635">
        <v>5</v>
      </c>
      <c r="H635">
        <v>6649.04</v>
      </c>
      <c r="I635">
        <v>972.72</v>
      </c>
      <c r="J635" t="s">
        <v>47</v>
      </c>
      <c r="K635" t="s">
        <v>33</v>
      </c>
      <c r="L635">
        <f t="shared" si="27"/>
        <v>2024</v>
      </c>
      <c r="M635" t="str">
        <f t="shared" si="28"/>
        <v>Aug</v>
      </c>
      <c r="N635" s="2">
        <f t="shared" si="29"/>
        <v>0.14629480346034918</v>
      </c>
    </row>
    <row r="636" spans="1:14" x14ac:dyDescent="0.45">
      <c r="A636" t="s">
        <v>1283</v>
      </c>
      <c r="B636" s="1">
        <v>45281</v>
      </c>
      <c r="C636" t="s">
        <v>1284</v>
      </c>
      <c r="D636" t="s">
        <v>13</v>
      </c>
      <c r="E636" t="s">
        <v>14</v>
      </c>
      <c r="F636" t="s">
        <v>40</v>
      </c>
      <c r="G636">
        <v>3</v>
      </c>
      <c r="H636">
        <v>12987.28</v>
      </c>
      <c r="I636">
        <v>3225.01</v>
      </c>
      <c r="J636" t="s">
        <v>16</v>
      </c>
      <c r="K636" t="s">
        <v>17</v>
      </c>
      <c r="L636">
        <f t="shared" si="27"/>
        <v>2023</v>
      </c>
      <c r="M636" t="str">
        <f t="shared" si="28"/>
        <v>Dec</v>
      </c>
      <c r="N636" s="2">
        <f t="shared" si="29"/>
        <v>0.24832066452713733</v>
      </c>
    </row>
    <row r="637" spans="1:14" x14ac:dyDescent="0.45">
      <c r="A637" t="s">
        <v>1285</v>
      </c>
      <c r="B637" s="1">
        <v>45314</v>
      </c>
      <c r="C637" t="s">
        <v>1286</v>
      </c>
      <c r="D637" t="s">
        <v>13</v>
      </c>
      <c r="E637" t="s">
        <v>36</v>
      </c>
      <c r="F637" t="s">
        <v>37</v>
      </c>
      <c r="G637">
        <v>2</v>
      </c>
      <c r="H637">
        <v>41228.25</v>
      </c>
      <c r="I637">
        <v>9218.7999999999993</v>
      </c>
      <c r="J637" t="s">
        <v>47</v>
      </c>
      <c r="K637" t="s">
        <v>33</v>
      </c>
      <c r="L637">
        <f t="shared" si="27"/>
        <v>2024</v>
      </c>
      <c r="M637" t="str">
        <f t="shared" si="28"/>
        <v>Jan</v>
      </c>
      <c r="N637" s="2">
        <f t="shared" si="29"/>
        <v>0.22360396087634085</v>
      </c>
    </row>
    <row r="638" spans="1:14" x14ac:dyDescent="0.45">
      <c r="A638" t="s">
        <v>1287</v>
      </c>
      <c r="B638" s="1">
        <v>45321</v>
      </c>
      <c r="C638" t="s">
        <v>1288</v>
      </c>
      <c r="D638" t="s">
        <v>56</v>
      </c>
      <c r="E638" t="s">
        <v>36</v>
      </c>
      <c r="F638" t="s">
        <v>64</v>
      </c>
      <c r="G638">
        <v>5</v>
      </c>
      <c r="H638">
        <v>15853.73</v>
      </c>
      <c r="I638">
        <v>3378.52</v>
      </c>
      <c r="J638" t="s">
        <v>71</v>
      </c>
      <c r="K638" t="s">
        <v>23</v>
      </c>
      <c r="L638">
        <f t="shared" si="27"/>
        <v>2024</v>
      </c>
      <c r="M638" t="str">
        <f t="shared" si="28"/>
        <v>Jan</v>
      </c>
      <c r="N638" s="2">
        <f t="shared" si="29"/>
        <v>0.21310568553898673</v>
      </c>
    </row>
    <row r="639" spans="1:14" x14ac:dyDescent="0.45">
      <c r="A639" t="s">
        <v>1289</v>
      </c>
      <c r="B639" s="1">
        <v>45202</v>
      </c>
      <c r="C639" t="s">
        <v>1290</v>
      </c>
      <c r="D639" t="s">
        <v>26</v>
      </c>
      <c r="E639" t="s">
        <v>14</v>
      </c>
      <c r="F639" t="s">
        <v>32</v>
      </c>
      <c r="G639">
        <v>4</v>
      </c>
      <c r="H639">
        <v>31009.02</v>
      </c>
      <c r="I639">
        <v>3465.84</v>
      </c>
      <c r="J639" t="s">
        <v>28</v>
      </c>
      <c r="K639" t="s">
        <v>33</v>
      </c>
      <c r="L639">
        <f t="shared" si="27"/>
        <v>2023</v>
      </c>
      <c r="M639" t="str">
        <f t="shared" si="28"/>
        <v>Oct</v>
      </c>
      <c r="N639" s="2">
        <f t="shared" si="29"/>
        <v>0.11176876921618291</v>
      </c>
    </row>
    <row r="640" spans="1:14" x14ac:dyDescent="0.45">
      <c r="A640" t="s">
        <v>1291</v>
      </c>
      <c r="B640" s="1">
        <v>45020</v>
      </c>
      <c r="C640" t="s">
        <v>1292</v>
      </c>
      <c r="D640" t="s">
        <v>13</v>
      </c>
      <c r="E640" t="s">
        <v>14</v>
      </c>
      <c r="F640" t="s">
        <v>40</v>
      </c>
      <c r="G640">
        <v>2</v>
      </c>
      <c r="H640">
        <v>29851.77</v>
      </c>
      <c r="I640">
        <v>4328.8599999999997</v>
      </c>
      <c r="J640" t="s">
        <v>16</v>
      </c>
      <c r="K640" t="s">
        <v>33</v>
      </c>
      <c r="L640">
        <f t="shared" si="27"/>
        <v>2023</v>
      </c>
      <c r="M640" t="str">
        <f t="shared" si="28"/>
        <v>Apr</v>
      </c>
      <c r="N640" s="2">
        <f t="shared" si="29"/>
        <v>0.14501183681905627</v>
      </c>
    </row>
    <row r="641" spans="1:14" x14ac:dyDescent="0.45">
      <c r="A641" t="s">
        <v>1293</v>
      </c>
      <c r="B641" s="1">
        <v>45366</v>
      </c>
      <c r="C641" t="s">
        <v>1294</v>
      </c>
      <c r="D641" t="s">
        <v>26</v>
      </c>
      <c r="E641" t="s">
        <v>14</v>
      </c>
      <c r="F641" t="s">
        <v>40</v>
      </c>
      <c r="G641">
        <v>3</v>
      </c>
      <c r="H641">
        <v>41861.949999999997</v>
      </c>
      <c r="I641">
        <v>6395.2</v>
      </c>
      <c r="J641" t="s">
        <v>47</v>
      </c>
      <c r="K641" t="s">
        <v>23</v>
      </c>
      <c r="L641">
        <f t="shared" si="27"/>
        <v>2024</v>
      </c>
      <c r="M641" t="str">
        <f t="shared" si="28"/>
        <v>Mar</v>
      </c>
      <c r="N641" s="2">
        <f t="shared" si="29"/>
        <v>0.15276880317328745</v>
      </c>
    </row>
    <row r="642" spans="1:14" x14ac:dyDescent="0.45">
      <c r="A642" t="s">
        <v>1295</v>
      </c>
      <c r="B642" s="1">
        <v>45269</v>
      </c>
      <c r="C642" t="s">
        <v>1296</v>
      </c>
      <c r="D642" t="s">
        <v>56</v>
      </c>
      <c r="E642" t="s">
        <v>20</v>
      </c>
      <c r="F642" t="s">
        <v>27</v>
      </c>
      <c r="G642">
        <v>5</v>
      </c>
      <c r="H642">
        <v>34778.36</v>
      </c>
      <c r="I642">
        <v>2465.3000000000002</v>
      </c>
      <c r="J642" t="s">
        <v>47</v>
      </c>
      <c r="K642" t="s">
        <v>17</v>
      </c>
      <c r="L642">
        <f t="shared" si="27"/>
        <v>2023</v>
      </c>
      <c r="M642" t="str">
        <f t="shared" si="28"/>
        <v>Dec</v>
      </c>
      <c r="N642" s="2">
        <f t="shared" si="29"/>
        <v>7.0886033729019998E-2</v>
      </c>
    </row>
    <row r="643" spans="1:14" x14ac:dyDescent="0.45">
      <c r="A643" t="s">
        <v>1297</v>
      </c>
      <c r="B643" s="1">
        <v>45191</v>
      </c>
      <c r="C643" t="s">
        <v>1298</v>
      </c>
      <c r="D643" t="s">
        <v>56</v>
      </c>
      <c r="E643" t="s">
        <v>36</v>
      </c>
      <c r="F643" t="s">
        <v>37</v>
      </c>
      <c r="G643">
        <v>1</v>
      </c>
      <c r="H643">
        <v>19681.45</v>
      </c>
      <c r="I643">
        <v>2276.06</v>
      </c>
      <c r="J643" t="s">
        <v>28</v>
      </c>
      <c r="K643" t="s">
        <v>33</v>
      </c>
      <c r="L643">
        <f t="shared" ref="L643:L706" si="30">YEAR(B643 )</f>
        <v>2023</v>
      </c>
      <c r="M643" t="str">
        <f t="shared" ref="M643:M706" si="31">TEXT(B643,"MMM")</f>
        <v>Sep</v>
      </c>
      <c r="N643" s="2">
        <f t="shared" ref="N643:N706" si="32">I643 / H643</f>
        <v>0.11564493469739272</v>
      </c>
    </row>
    <row r="644" spans="1:14" x14ac:dyDescent="0.45">
      <c r="A644" t="s">
        <v>1299</v>
      </c>
      <c r="B644" s="1">
        <v>44660</v>
      </c>
      <c r="C644" t="s">
        <v>1300</v>
      </c>
      <c r="D644" t="s">
        <v>26</v>
      </c>
      <c r="E644" t="s">
        <v>36</v>
      </c>
      <c r="F644" t="s">
        <v>64</v>
      </c>
      <c r="G644">
        <v>1</v>
      </c>
      <c r="H644">
        <v>11130.41</v>
      </c>
      <c r="I644">
        <v>1046.58</v>
      </c>
      <c r="J644" t="s">
        <v>47</v>
      </c>
      <c r="K644" t="s">
        <v>33</v>
      </c>
      <c r="L644">
        <f t="shared" si="30"/>
        <v>2022</v>
      </c>
      <c r="M644" t="str">
        <f t="shared" si="31"/>
        <v>Apr</v>
      </c>
      <c r="N644" s="2">
        <f t="shared" si="32"/>
        <v>9.4028881236180875E-2</v>
      </c>
    </row>
    <row r="645" spans="1:14" x14ac:dyDescent="0.45">
      <c r="A645" t="s">
        <v>1301</v>
      </c>
      <c r="B645" s="1">
        <v>45507</v>
      </c>
      <c r="C645" t="s">
        <v>1302</v>
      </c>
      <c r="D645" t="s">
        <v>26</v>
      </c>
      <c r="E645" t="s">
        <v>36</v>
      </c>
      <c r="F645" t="s">
        <v>64</v>
      </c>
      <c r="G645">
        <v>2</v>
      </c>
      <c r="H645">
        <v>30909.23</v>
      </c>
      <c r="I645">
        <v>7314.27</v>
      </c>
      <c r="J645" t="s">
        <v>22</v>
      </c>
      <c r="K645" t="s">
        <v>23</v>
      </c>
      <c r="L645">
        <f t="shared" si="30"/>
        <v>2024</v>
      </c>
      <c r="M645" t="str">
        <f t="shared" si="31"/>
        <v>Aug</v>
      </c>
      <c r="N645" s="2">
        <f t="shared" si="32"/>
        <v>0.23663708219195367</v>
      </c>
    </row>
    <row r="646" spans="1:14" x14ac:dyDescent="0.45">
      <c r="A646" t="s">
        <v>1303</v>
      </c>
      <c r="B646" s="1">
        <v>44926</v>
      </c>
      <c r="C646" t="s">
        <v>1304</v>
      </c>
      <c r="D646" t="s">
        <v>26</v>
      </c>
      <c r="E646" t="s">
        <v>14</v>
      </c>
      <c r="F646" t="s">
        <v>57</v>
      </c>
      <c r="G646">
        <v>1</v>
      </c>
      <c r="H646">
        <v>35003.47</v>
      </c>
      <c r="I646">
        <v>5222.93</v>
      </c>
      <c r="J646" t="s">
        <v>16</v>
      </c>
      <c r="K646" t="s">
        <v>33</v>
      </c>
      <c r="L646">
        <f t="shared" si="30"/>
        <v>2022</v>
      </c>
      <c r="M646" t="str">
        <f t="shared" si="31"/>
        <v>Dec</v>
      </c>
      <c r="N646" s="2">
        <f t="shared" si="32"/>
        <v>0.14921177814656661</v>
      </c>
    </row>
    <row r="647" spans="1:14" x14ac:dyDescent="0.45">
      <c r="A647" t="s">
        <v>1305</v>
      </c>
      <c r="B647" s="1">
        <v>45475</v>
      </c>
      <c r="C647" t="s">
        <v>1306</v>
      </c>
      <c r="D647" t="s">
        <v>13</v>
      </c>
      <c r="E647" t="s">
        <v>14</v>
      </c>
      <c r="F647" t="s">
        <v>32</v>
      </c>
      <c r="G647">
        <v>2</v>
      </c>
      <c r="H647">
        <v>39643.879999999997</v>
      </c>
      <c r="I647">
        <v>6492.55</v>
      </c>
      <c r="J647" t="s">
        <v>47</v>
      </c>
      <c r="K647" t="s">
        <v>17</v>
      </c>
      <c r="L647">
        <f t="shared" si="30"/>
        <v>2024</v>
      </c>
      <c r="M647" t="str">
        <f t="shared" si="31"/>
        <v>Jul</v>
      </c>
      <c r="N647" s="2">
        <f t="shared" si="32"/>
        <v>0.16377181042824265</v>
      </c>
    </row>
    <row r="648" spans="1:14" x14ac:dyDescent="0.45">
      <c r="A648" t="s">
        <v>1307</v>
      </c>
      <c r="B648" s="1">
        <v>45073</v>
      </c>
      <c r="C648" t="s">
        <v>1308</v>
      </c>
      <c r="D648" t="s">
        <v>26</v>
      </c>
      <c r="E648" t="s">
        <v>14</v>
      </c>
      <c r="F648" t="s">
        <v>32</v>
      </c>
      <c r="G648">
        <v>2</v>
      </c>
      <c r="H648">
        <v>20381.599999999999</v>
      </c>
      <c r="I648">
        <v>4138.6400000000003</v>
      </c>
      <c r="J648" t="s">
        <v>71</v>
      </c>
      <c r="K648" t="s">
        <v>29</v>
      </c>
      <c r="L648">
        <f t="shared" si="30"/>
        <v>2023</v>
      </c>
      <c r="M648" t="str">
        <f t="shared" si="31"/>
        <v>May</v>
      </c>
      <c r="N648" s="2">
        <f t="shared" si="32"/>
        <v>0.20305765985006086</v>
      </c>
    </row>
    <row r="649" spans="1:14" x14ac:dyDescent="0.45">
      <c r="A649" t="s">
        <v>1309</v>
      </c>
      <c r="B649" s="1">
        <v>44865</v>
      </c>
      <c r="C649" t="s">
        <v>1310</v>
      </c>
      <c r="D649" t="s">
        <v>56</v>
      </c>
      <c r="E649" t="s">
        <v>14</v>
      </c>
      <c r="F649" t="s">
        <v>40</v>
      </c>
      <c r="G649">
        <v>1</v>
      </c>
      <c r="H649">
        <v>34595.040000000001</v>
      </c>
      <c r="I649">
        <v>4519.21</v>
      </c>
      <c r="J649" t="s">
        <v>28</v>
      </c>
      <c r="K649" t="s">
        <v>33</v>
      </c>
      <c r="L649">
        <f t="shared" si="30"/>
        <v>2022</v>
      </c>
      <c r="M649" t="str">
        <f t="shared" si="31"/>
        <v>Oct</v>
      </c>
      <c r="N649" s="2">
        <f t="shared" si="32"/>
        <v>0.13063173217894819</v>
      </c>
    </row>
    <row r="650" spans="1:14" x14ac:dyDescent="0.45">
      <c r="A650" t="s">
        <v>1311</v>
      </c>
      <c r="B650" s="1">
        <v>44699</v>
      </c>
      <c r="C650" t="s">
        <v>1312</v>
      </c>
      <c r="D650" t="s">
        <v>13</v>
      </c>
      <c r="E650" t="s">
        <v>20</v>
      </c>
      <c r="F650" t="s">
        <v>21</v>
      </c>
      <c r="G650">
        <v>4</v>
      </c>
      <c r="H650">
        <v>46733.83</v>
      </c>
      <c r="I650">
        <v>2352.23</v>
      </c>
      <c r="J650" t="s">
        <v>16</v>
      </c>
      <c r="K650" t="s">
        <v>33</v>
      </c>
      <c r="L650">
        <f t="shared" si="30"/>
        <v>2022</v>
      </c>
      <c r="M650" t="str">
        <f t="shared" si="31"/>
        <v>May</v>
      </c>
      <c r="N650" s="2">
        <f t="shared" si="32"/>
        <v>5.0332489333743881E-2</v>
      </c>
    </row>
    <row r="651" spans="1:14" x14ac:dyDescent="0.45">
      <c r="A651" t="s">
        <v>1313</v>
      </c>
      <c r="B651" s="1">
        <v>45481</v>
      </c>
      <c r="C651" t="s">
        <v>537</v>
      </c>
      <c r="D651" t="s">
        <v>13</v>
      </c>
      <c r="E651" t="s">
        <v>14</v>
      </c>
      <c r="F651" t="s">
        <v>32</v>
      </c>
      <c r="G651">
        <v>2</v>
      </c>
      <c r="H651">
        <v>13958.7</v>
      </c>
      <c r="I651">
        <v>2311.14</v>
      </c>
      <c r="J651" t="s">
        <v>22</v>
      </c>
      <c r="K651" t="s">
        <v>23</v>
      </c>
      <c r="L651">
        <f t="shared" si="30"/>
        <v>2024</v>
      </c>
      <c r="M651" t="str">
        <f t="shared" si="31"/>
        <v>Jul</v>
      </c>
      <c r="N651" s="2">
        <f t="shared" si="32"/>
        <v>0.16556985965741794</v>
      </c>
    </row>
    <row r="652" spans="1:14" x14ac:dyDescent="0.45">
      <c r="A652" t="s">
        <v>1314</v>
      </c>
      <c r="B652" s="1">
        <v>44689</v>
      </c>
      <c r="C652" t="s">
        <v>1315</v>
      </c>
      <c r="D652" t="s">
        <v>26</v>
      </c>
      <c r="E652" t="s">
        <v>36</v>
      </c>
      <c r="F652" t="s">
        <v>37</v>
      </c>
      <c r="G652">
        <v>4</v>
      </c>
      <c r="H652">
        <v>34970.85</v>
      </c>
      <c r="I652">
        <v>2059.4699999999998</v>
      </c>
      <c r="J652" t="s">
        <v>22</v>
      </c>
      <c r="K652" t="s">
        <v>17</v>
      </c>
      <c r="L652">
        <f t="shared" si="30"/>
        <v>2022</v>
      </c>
      <c r="M652" t="str">
        <f t="shared" si="31"/>
        <v>May</v>
      </c>
      <c r="N652" s="2">
        <f t="shared" si="32"/>
        <v>5.8891047829835418E-2</v>
      </c>
    </row>
    <row r="653" spans="1:14" x14ac:dyDescent="0.45">
      <c r="A653" t="s">
        <v>1316</v>
      </c>
      <c r="B653" s="1">
        <v>45059</v>
      </c>
      <c r="C653" t="s">
        <v>1317</v>
      </c>
      <c r="D653" t="s">
        <v>13</v>
      </c>
      <c r="E653" t="s">
        <v>14</v>
      </c>
      <c r="F653" t="s">
        <v>40</v>
      </c>
      <c r="G653">
        <v>2</v>
      </c>
      <c r="H653">
        <v>8546.74</v>
      </c>
      <c r="I653">
        <v>912.98</v>
      </c>
      <c r="J653" t="s">
        <v>16</v>
      </c>
      <c r="K653" t="s">
        <v>17</v>
      </c>
      <c r="L653">
        <f t="shared" si="30"/>
        <v>2023</v>
      </c>
      <c r="M653" t="str">
        <f t="shared" si="31"/>
        <v>May</v>
      </c>
      <c r="N653" s="2">
        <f t="shared" si="32"/>
        <v>0.10682201634775365</v>
      </c>
    </row>
    <row r="654" spans="1:14" x14ac:dyDescent="0.45">
      <c r="A654" t="s">
        <v>1318</v>
      </c>
      <c r="B654" s="1">
        <v>45083</v>
      </c>
      <c r="C654" t="s">
        <v>1319</v>
      </c>
      <c r="D654" t="s">
        <v>26</v>
      </c>
      <c r="E654" t="s">
        <v>20</v>
      </c>
      <c r="F654" t="s">
        <v>50</v>
      </c>
      <c r="G654">
        <v>4</v>
      </c>
      <c r="H654">
        <v>2314.66</v>
      </c>
      <c r="I654">
        <v>474.97</v>
      </c>
      <c r="J654" t="s">
        <v>22</v>
      </c>
      <c r="K654" t="s">
        <v>17</v>
      </c>
      <c r="L654">
        <f t="shared" si="30"/>
        <v>2023</v>
      </c>
      <c r="M654" t="str">
        <f t="shared" si="31"/>
        <v>Jun</v>
      </c>
      <c r="N654" s="2">
        <f t="shared" si="32"/>
        <v>0.20520076382708477</v>
      </c>
    </row>
    <row r="655" spans="1:14" x14ac:dyDescent="0.45">
      <c r="A655" t="s">
        <v>1320</v>
      </c>
      <c r="B655" s="1">
        <v>45468</v>
      </c>
      <c r="C655" t="s">
        <v>1321</v>
      </c>
      <c r="D655" t="s">
        <v>26</v>
      </c>
      <c r="E655" t="s">
        <v>36</v>
      </c>
      <c r="F655" t="s">
        <v>53</v>
      </c>
      <c r="G655">
        <v>2</v>
      </c>
      <c r="H655">
        <v>39660.68</v>
      </c>
      <c r="I655">
        <v>4241.9799999999996</v>
      </c>
      <c r="J655" t="s">
        <v>71</v>
      </c>
      <c r="K655" t="s">
        <v>17</v>
      </c>
      <c r="L655">
        <f t="shared" si="30"/>
        <v>2024</v>
      </c>
      <c r="M655" t="str">
        <f t="shared" si="31"/>
        <v>Jun</v>
      </c>
      <c r="N655" s="2">
        <f t="shared" si="32"/>
        <v>0.10695681465875016</v>
      </c>
    </row>
    <row r="656" spans="1:14" x14ac:dyDescent="0.45">
      <c r="A656" t="s">
        <v>1322</v>
      </c>
      <c r="B656" s="1">
        <v>44835</v>
      </c>
      <c r="C656" t="s">
        <v>1323</v>
      </c>
      <c r="D656" t="s">
        <v>56</v>
      </c>
      <c r="E656" t="s">
        <v>20</v>
      </c>
      <c r="F656" t="s">
        <v>27</v>
      </c>
      <c r="G656">
        <v>2</v>
      </c>
      <c r="H656">
        <v>13393.02</v>
      </c>
      <c r="I656">
        <v>2234.21</v>
      </c>
      <c r="J656" t="s">
        <v>28</v>
      </c>
      <c r="K656" t="s">
        <v>33</v>
      </c>
      <c r="L656">
        <f t="shared" si="30"/>
        <v>2022</v>
      </c>
      <c r="M656" t="str">
        <f t="shared" si="31"/>
        <v>Oct</v>
      </c>
      <c r="N656" s="2">
        <f t="shared" si="32"/>
        <v>0.16681898481447799</v>
      </c>
    </row>
    <row r="657" spans="1:14" x14ac:dyDescent="0.45">
      <c r="A657" t="s">
        <v>1324</v>
      </c>
      <c r="B657" s="1">
        <v>45356</v>
      </c>
      <c r="C657" t="s">
        <v>1325</v>
      </c>
      <c r="D657" t="s">
        <v>56</v>
      </c>
      <c r="E657" t="s">
        <v>36</v>
      </c>
      <c r="F657" t="s">
        <v>64</v>
      </c>
      <c r="G657">
        <v>5</v>
      </c>
      <c r="H657">
        <v>43002.81</v>
      </c>
      <c r="I657">
        <v>7032.09</v>
      </c>
      <c r="J657" t="s">
        <v>71</v>
      </c>
      <c r="K657" t="s">
        <v>17</v>
      </c>
      <c r="L657">
        <f t="shared" si="30"/>
        <v>2024</v>
      </c>
      <c r="M657" t="str">
        <f t="shared" si="31"/>
        <v>Mar</v>
      </c>
      <c r="N657" s="2">
        <f t="shared" si="32"/>
        <v>0.16352629049124931</v>
      </c>
    </row>
    <row r="658" spans="1:14" x14ac:dyDescent="0.45">
      <c r="A658" t="s">
        <v>1326</v>
      </c>
      <c r="B658" s="1">
        <v>44948</v>
      </c>
      <c r="C658" t="s">
        <v>1327</v>
      </c>
      <c r="D658" t="s">
        <v>56</v>
      </c>
      <c r="E658" t="s">
        <v>14</v>
      </c>
      <c r="F658" t="s">
        <v>32</v>
      </c>
      <c r="G658">
        <v>3</v>
      </c>
      <c r="H658">
        <v>33083.31</v>
      </c>
      <c r="I658">
        <v>2569.02</v>
      </c>
      <c r="J658" t="s">
        <v>47</v>
      </c>
      <c r="K658" t="s">
        <v>29</v>
      </c>
      <c r="L658">
        <f t="shared" si="30"/>
        <v>2023</v>
      </c>
      <c r="M658" t="str">
        <f t="shared" si="31"/>
        <v>Jan</v>
      </c>
      <c r="N658" s="2">
        <f t="shared" si="32"/>
        <v>7.7653052249004109E-2</v>
      </c>
    </row>
    <row r="659" spans="1:14" x14ac:dyDescent="0.45">
      <c r="A659" t="s">
        <v>1328</v>
      </c>
      <c r="B659" s="1">
        <v>45485</v>
      </c>
      <c r="C659" t="s">
        <v>1329</v>
      </c>
      <c r="D659" t="s">
        <v>56</v>
      </c>
      <c r="E659" t="s">
        <v>36</v>
      </c>
      <c r="F659" t="s">
        <v>37</v>
      </c>
      <c r="G659">
        <v>1</v>
      </c>
      <c r="H659">
        <v>16220.04</v>
      </c>
      <c r="I659">
        <v>3341.63</v>
      </c>
      <c r="J659" t="s">
        <v>28</v>
      </c>
      <c r="K659" t="s">
        <v>33</v>
      </c>
      <c r="L659">
        <f t="shared" si="30"/>
        <v>2024</v>
      </c>
      <c r="M659" t="str">
        <f t="shared" si="31"/>
        <v>Jul</v>
      </c>
      <c r="N659" s="2">
        <f t="shared" si="32"/>
        <v>0.2060186041464756</v>
      </c>
    </row>
    <row r="660" spans="1:14" x14ac:dyDescent="0.45">
      <c r="A660" t="s">
        <v>1330</v>
      </c>
      <c r="B660" s="1">
        <v>45078</v>
      </c>
      <c r="C660" t="s">
        <v>1331</v>
      </c>
      <c r="D660" t="s">
        <v>56</v>
      </c>
      <c r="E660" t="s">
        <v>20</v>
      </c>
      <c r="F660" t="s">
        <v>50</v>
      </c>
      <c r="G660">
        <v>4</v>
      </c>
      <c r="H660">
        <v>34920.120000000003</v>
      </c>
      <c r="I660">
        <v>5615.29</v>
      </c>
      <c r="J660" t="s">
        <v>47</v>
      </c>
      <c r="K660" t="s">
        <v>33</v>
      </c>
      <c r="L660">
        <f t="shared" si="30"/>
        <v>2023</v>
      </c>
      <c r="M660" t="str">
        <f t="shared" si="31"/>
        <v>Jun</v>
      </c>
      <c r="N660" s="2">
        <f t="shared" si="32"/>
        <v>0.16080385748960771</v>
      </c>
    </row>
    <row r="661" spans="1:14" x14ac:dyDescent="0.45">
      <c r="A661" t="s">
        <v>1332</v>
      </c>
      <c r="B661" s="1">
        <v>45374</v>
      </c>
      <c r="C661" t="s">
        <v>1333</v>
      </c>
      <c r="D661" t="s">
        <v>13</v>
      </c>
      <c r="E661" t="s">
        <v>36</v>
      </c>
      <c r="F661" t="s">
        <v>37</v>
      </c>
      <c r="G661">
        <v>3</v>
      </c>
      <c r="H661">
        <v>25660.07</v>
      </c>
      <c r="I661">
        <v>1960.71</v>
      </c>
      <c r="J661" t="s">
        <v>71</v>
      </c>
      <c r="K661" t="s">
        <v>23</v>
      </c>
      <c r="L661">
        <f t="shared" si="30"/>
        <v>2024</v>
      </c>
      <c r="M661" t="str">
        <f t="shared" si="31"/>
        <v>Mar</v>
      </c>
      <c r="N661" s="2">
        <f t="shared" si="32"/>
        <v>7.6410937304535798E-2</v>
      </c>
    </row>
    <row r="662" spans="1:14" x14ac:dyDescent="0.45">
      <c r="A662" t="s">
        <v>1334</v>
      </c>
      <c r="B662" s="1">
        <v>45635</v>
      </c>
      <c r="C662" t="s">
        <v>1335</v>
      </c>
      <c r="D662" t="s">
        <v>56</v>
      </c>
      <c r="E662" t="s">
        <v>20</v>
      </c>
      <c r="F662" t="s">
        <v>21</v>
      </c>
      <c r="G662">
        <v>1</v>
      </c>
      <c r="H662">
        <v>26361.98</v>
      </c>
      <c r="I662">
        <v>6211.11</v>
      </c>
      <c r="J662" t="s">
        <v>28</v>
      </c>
      <c r="K662" t="s">
        <v>33</v>
      </c>
      <c r="L662">
        <f t="shared" si="30"/>
        <v>2024</v>
      </c>
      <c r="M662" t="str">
        <f t="shared" si="31"/>
        <v>Dec</v>
      </c>
      <c r="N662" s="2">
        <f t="shared" si="32"/>
        <v>0.23560863030773863</v>
      </c>
    </row>
    <row r="663" spans="1:14" x14ac:dyDescent="0.45">
      <c r="A663" t="s">
        <v>1336</v>
      </c>
      <c r="B663" s="1">
        <v>45108</v>
      </c>
      <c r="C663" t="s">
        <v>1337</v>
      </c>
      <c r="D663" t="s">
        <v>56</v>
      </c>
      <c r="E663" t="s">
        <v>36</v>
      </c>
      <c r="F663" t="s">
        <v>64</v>
      </c>
      <c r="G663">
        <v>2</v>
      </c>
      <c r="H663">
        <v>13882.97</v>
      </c>
      <c r="I663">
        <v>2653.71</v>
      </c>
      <c r="J663" t="s">
        <v>28</v>
      </c>
      <c r="K663" t="s">
        <v>33</v>
      </c>
      <c r="L663">
        <f t="shared" si="30"/>
        <v>2023</v>
      </c>
      <c r="M663" t="str">
        <f t="shared" si="31"/>
        <v>Jul</v>
      </c>
      <c r="N663" s="2">
        <f t="shared" si="32"/>
        <v>0.19114857987880116</v>
      </c>
    </row>
    <row r="664" spans="1:14" x14ac:dyDescent="0.45">
      <c r="A664" t="s">
        <v>1338</v>
      </c>
      <c r="B664" s="1">
        <v>45475</v>
      </c>
      <c r="C664" t="s">
        <v>1126</v>
      </c>
      <c r="D664" t="s">
        <v>26</v>
      </c>
      <c r="E664" t="s">
        <v>20</v>
      </c>
      <c r="F664" t="s">
        <v>27</v>
      </c>
      <c r="G664">
        <v>1</v>
      </c>
      <c r="H664">
        <v>40817.43</v>
      </c>
      <c r="I664">
        <v>7199.68</v>
      </c>
      <c r="J664" t="s">
        <v>28</v>
      </c>
      <c r="K664" t="s">
        <v>23</v>
      </c>
      <c r="L664">
        <f t="shared" si="30"/>
        <v>2024</v>
      </c>
      <c r="M664" t="str">
        <f t="shared" si="31"/>
        <v>Jul</v>
      </c>
      <c r="N664" s="2">
        <f t="shared" si="32"/>
        <v>0.1763873913668744</v>
      </c>
    </row>
    <row r="665" spans="1:14" x14ac:dyDescent="0.45">
      <c r="A665" t="s">
        <v>1339</v>
      </c>
      <c r="B665" s="1">
        <v>44898</v>
      </c>
      <c r="C665" t="s">
        <v>1340</v>
      </c>
      <c r="D665" t="s">
        <v>26</v>
      </c>
      <c r="E665" t="s">
        <v>20</v>
      </c>
      <c r="F665" t="s">
        <v>50</v>
      </c>
      <c r="G665">
        <v>3</v>
      </c>
      <c r="H665">
        <v>10026.43</v>
      </c>
      <c r="I665">
        <v>905.11</v>
      </c>
      <c r="J665" t="s">
        <v>16</v>
      </c>
      <c r="K665" t="s">
        <v>29</v>
      </c>
      <c r="L665">
        <f t="shared" si="30"/>
        <v>2022</v>
      </c>
      <c r="M665" t="str">
        <f t="shared" si="31"/>
        <v>Dec</v>
      </c>
      <c r="N665" s="2">
        <f t="shared" si="32"/>
        <v>9.0272410020316302E-2</v>
      </c>
    </row>
    <row r="666" spans="1:14" x14ac:dyDescent="0.45">
      <c r="A666" t="s">
        <v>1341</v>
      </c>
      <c r="B666" s="1">
        <v>44992</v>
      </c>
      <c r="C666" t="s">
        <v>1342</v>
      </c>
      <c r="D666" t="s">
        <v>56</v>
      </c>
      <c r="E666" t="s">
        <v>14</v>
      </c>
      <c r="F666" t="s">
        <v>40</v>
      </c>
      <c r="G666">
        <v>5</v>
      </c>
      <c r="H666">
        <v>13753.94</v>
      </c>
      <c r="I666">
        <v>898.22</v>
      </c>
      <c r="J666" t="s">
        <v>47</v>
      </c>
      <c r="K666" t="s">
        <v>17</v>
      </c>
      <c r="L666">
        <f t="shared" si="30"/>
        <v>2023</v>
      </c>
      <c r="M666" t="str">
        <f t="shared" si="31"/>
        <v>Mar</v>
      </c>
      <c r="N666" s="2">
        <f t="shared" si="32"/>
        <v>6.5306377663418624E-2</v>
      </c>
    </row>
    <row r="667" spans="1:14" x14ac:dyDescent="0.45">
      <c r="A667" t="s">
        <v>1343</v>
      </c>
      <c r="B667" s="1">
        <v>45521</v>
      </c>
      <c r="C667" t="s">
        <v>1344</v>
      </c>
      <c r="D667" t="s">
        <v>56</v>
      </c>
      <c r="E667" t="s">
        <v>20</v>
      </c>
      <c r="F667" t="s">
        <v>27</v>
      </c>
      <c r="G667">
        <v>2</v>
      </c>
      <c r="H667">
        <v>7122.13</v>
      </c>
      <c r="I667">
        <v>990.34</v>
      </c>
      <c r="J667" t="s">
        <v>71</v>
      </c>
      <c r="K667" t="s">
        <v>17</v>
      </c>
      <c r="L667">
        <f t="shared" si="30"/>
        <v>2024</v>
      </c>
      <c r="M667" t="str">
        <f t="shared" si="31"/>
        <v>Aug</v>
      </c>
      <c r="N667" s="2">
        <f t="shared" si="32"/>
        <v>0.1390510984775622</v>
      </c>
    </row>
    <row r="668" spans="1:14" x14ac:dyDescent="0.45">
      <c r="A668" t="s">
        <v>1345</v>
      </c>
      <c r="B668" s="1">
        <v>45609</v>
      </c>
      <c r="C668" t="s">
        <v>1346</v>
      </c>
      <c r="D668" t="s">
        <v>26</v>
      </c>
      <c r="E668" t="s">
        <v>36</v>
      </c>
      <c r="F668" t="s">
        <v>46</v>
      </c>
      <c r="G668">
        <v>4</v>
      </c>
      <c r="H668">
        <v>27629.74</v>
      </c>
      <c r="I668">
        <v>6010.77</v>
      </c>
      <c r="J668" t="s">
        <v>47</v>
      </c>
      <c r="K668" t="s">
        <v>33</v>
      </c>
      <c r="L668">
        <f t="shared" si="30"/>
        <v>2024</v>
      </c>
      <c r="M668" t="str">
        <f t="shared" si="31"/>
        <v>Nov</v>
      </c>
      <c r="N668" s="2">
        <f t="shared" si="32"/>
        <v>0.21754710684935871</v>
      </c>
    </row>
    <row r="669" spans="1:14" x14ac:dyDescent="0.45">
      <c r="A669" t="s">
        <v>1347</v>
      </c>
      <c r="B669" s="1">
        <v>44941</v>
      </c>
      <c r="C669" t="s">
        <v>1348</v>
      </c>
      <c r="D669" t="s">
        <v>56</v>
      </c>
      <c r="E669" t="s">
        <v>20</v>
      </c>
      <c r="F669" t="s">
        <v>21</v>
      </c>
      <c r="G669">
        <v>1</v>
      </c>
      <c r="H669">
        <v>25416.04</v>
      </c>
      <c r="I669">
        <v>3511.15</v>
      </c>
      <c r="J669" t="s">
        <v>71</v>
      </c>
      <c r="K669" t="s">
        <v>29</v>
      </c>
      <c r="L669">
        <f t="shared" si="30"/>
        <v>2023</v>
      </c>
      <c r="M669" t="str">
        <f t="shared" si="31"/>
        <v>Jan</v>
      </c>
      <c r="N669" s="2">
        <f t="shared" si="32"/>
        <v>0.13814701267388627</v>
      </c>
    </row>
    <row r="670" spans="1:14" x14ac:dyDescent="0.45">
      <c r="A670" t="s">
        <v>1349</v>
      </c>
      <c r="B670" s="1">
        <v>45397</v>
      </c>
      <c r="C670" t="s">
        <v>1350</v>
      </c>
      <c r="D670" t="s">
        <v>13</v>
      </c>
      <c r="E670" t="s">
        <v>36</v>
      </c>
      <c r="F670" t="s">
        <v>64</v>
      </c>
      <c r="G670">
        <v>2</v>
      </c>
      <c r="H670">
        <v>45413.38</v>
      </c>
      <c r="I670">
        <v>5783.34</v>
      </c>
      <c r="J670" t="s">
        <v>28</v>
      </c>
      <c r="K670" t="s">
        <v>29</v>
      </c>
      <c r="L670">
        <f t="shared" si="30"/>
        <v>2024</v>
      </c>
      <c r="M670" t="str">
        <f t="shared" si="31"/>
        <v>Apr</v>
      </c>
      <c r="N670" s="2">
        <f t="shared" si="32"/>
        <v>0.12734881217826113</v>
      </c>
    </row>
    <row r="671" spans="1:14" x14ac:dyDescent="0.45">
      <c r="A671" t="s">
        <v>1351</v>
      </c>
      <c r="B671" s="1">
        <v>45126</v>
      </c>
      <c r="C671" t="s">
        <v>1352</v>
      </c>
      <c r="D671" t="s">
        <v>13</v>
      </c>
      <c r="E671" t="s">
        <v>14</v>
      </c>
      <c r="F671" t="s">
        <v>15</v>
      </c>
      <c r="G671">
        <v>2</v>
      </c>
      <c r="H671">
        <v>10855.2</v>
      </c>
      <c r="I671">
        <v>1660.35</v>
      </c>
      <c r="J671" t="s">
        <v>71</v>
      </c>
      <c r="K671" t="s">
        <v>33</v>
      </c>
      <c r="L671">
        <f t="shared" si="30"/>
        <v>2023</v>
      </c>
      <c r="M671" t="str">
        <f t="shared" si="31"/>
        <v>Jul</v>
      </c>
      <c r="N671" s="2">
        <f t="shared" si="32"/>
        <v>0.1529543444616405</v>
      </c>
    </row>
    <row r="672" spans="1:14" x14ac:dyDescent="0.45">
      <c r="A672" t="s">
        <v>1353</v>
      </c>
      <c r="B672" s="1">
        <v>45108</v>
      </c>
      <c r="C672" t="s">
        <v>1354</v>
      </c>
      <c r="D672" t="s">
        <v>13</v>
      </c>
      <c r="E672" t="s">
        <v>14</v>
      </c>
      <c r="F672" t="s">
        <v>57</v>
      </c>
      <c r="G672">
        <v>3</v>
      </c>
      <c r="H672">
        <v>47040</v>
      </c>
      <c r="I672">
        <v>10697.26</v>
      </c>
      <c r="J672" t="s">
        <v>28</v>
      </c>
      <c r="K672" t="s">
        <v>29</v>
      </c>
      <c r="L672">
        <f t="shared" si="30"/>
        <v>2023</v>
      </c>
      <c r="M672" t="str">
        <f t="shared" si="31"/>
        <v>Jul</v>
      </c>
      <c r="N672" s="2">
        <f t="shared" si="32"/>
        <v>0.22740773809523809</v>
      </c>
    </row>
    <row r="673" spans="1:14" x14ac:dyDescent="0.45">
      <c r="A673" t="s">
        <v>1355</v>
      </c>
      <c r="B673" s="1">
        <v>44821</v>
      </c>
      <c r="C673" t="s">
        <v>1356</v>
      </c>
      <c r="D673" t="s">
        <v>13</v>
      </c>
      <c r="E673" t="s">
        <v>14</v>
      </c>
      <c r="F673" t="s">
        <v>32</v>
      </c>
      <c r="G673">
        <v>4</v>
      </c>
      <c r="H673">
        <v>41210.74</v>
      </c>
      <c r="I673">
        <v>6767.52</v>
      </c>
      <c r="J673" t="s">
        <v>47</v>
      </c>
      <c r="K673" t="s">
        <v>29</v>
      </c>
      <c r="L673">
        <f t="shared" si="30"/>
        <v>2022</v>
      </c>
      <c r="M673" t="str">
        <f t="shared" si="31"/>
        <v>Sep</v>
      </c>
      <c r="N673" s="2">
        <f t="shared" si="32"/>
        <v>0.16421738605033545</v>
      </c>
    </row>
    <row r="674" spans="1:14" x14ac:dyDescent="0.45">
      <c r="A674" t="s">
        <v>1357</v>
      </c>
      <c r="B674" s="1">
        <v>45130</v>
      </c>
      <c r="C674" t="s">
        <v>1358</v>
      </c>
      <c r="D674" t="s">
        <v>56</v>
      </c>
      <c r="E674" t="s">
        <v>36</v>
      </c>
      <c r="F674" t="s">
        <v>64</v>
      </c>
      <c r="G674">
        <v>3</v>
      </c>
      <c r="H674">
        <v>36317.49</v>
      </c>
      <c r="I674">
        <v>5505.97</v>
      </c>
      <c r="J674" t="s">
        <v>16</v>
      </c>
      <c r="K674" t="s">
        <v>29</v>
      </c>
      <c r="L674">
        <f t="shared" si="30"/>
        <v>2023</v>
      </c>
      <c r="M674" t="str">
        <f t="shared" si="31"/>
        <v>Jul</v>
      </c>
      <c r="N674" s="2">
        <f t="shared" si="32"/>
        <v>0.15160656752435261</v>
      </c>
    </row>
    <row r="675" spans="1:14" x14ac:dyDescent="0.45">
      <c r="A675" t="s">
        <v>1359</v>
      </c>
      <c r="B675" s="1">
        <v>44858</v>
      </c>
      <c r="C675" t="s">
        <v>1360</v>
      </c>
      <c r="D675" t="s">
        <v>26</v>
      </c>
      <c r="E675" t="s">
        <v>20</v>
      </c>
      <c r="F675" t="s">
        <v>50</v>
      </c>
      <c r="G675">
        <v>5</v>
      </c>
      <c r="H675">
        <v>28259.7</v>
      </c>
      <c r="I675">
        <v>5780.89</v>
      </c>
      <c r="J675" t="s">
        <v>16</v>
      </c>
      <c r="K675" t="s">
        <v>29</v>
      </c>
      <c r="L675">
        <f t="shared" si="30"/>
        <v>2022</v>
      </c>
      <c r="M675" t="str">
        <f t="shared" si="31"/>
        <v>Oct</v>
      </c>
      <c r="N675" s="2">
        <f t="shared" si="32"/>
        <v>0.20456303499329434</v>
      </c>
    </row>
    <row r="676" spans="1:14" x14ac:dyDescent="0.45">
      <c r="A676" t="s">
        <v>1361</v>
      </c>
      <c r="B676" s="1">
        <v>44563</v>
      </c>
      <c r="C676" t="s">
        <v>1362</v>
      </c>
      <c r="D676" t="s">
        <v>13</v>
      </c>
      <c r="E676" t="s">
        <v>20</v>
      </c>
      <c r="F676" t="s">
        <v>27</v>
      </c>
      <c r="G676">
        <v>4</v>
      </c>
      <c r="H676">
        <v>1769.64</v>
      </c>
      <c r="I676">
        <v>387.32</v>
      </c>
      <c r="J676" t="s">
        <v>47</v>
      </c>
      <c r="K676" t="s">
        <v>17</v>
      </c>
      <c r="L676">
        <f t="shared" si="30"/>
        <v>2022</v>
      </c>
      <c r="M676" t="str">
        <f t="shared" si="31"/>
        <v>Jan</v>
      </c>
      <c r="N676" s="2">
        <f t="shared" si="32"/>
        <v>0.21886937456205779</v>
      </c>
    </row>
    <row r="677" spans="1:14" x14ac:dyDescent="0.45">
      <c r="A677" t="s">
        <v>1363</v>
      </c>
      <c r="B677" s="1">
        <v>45013</v>
      </c>
      <c r="C677" t="s">
        <v>1364</v>
      </c>
      <c r="D677" t="s">
        <v>56</v>
      </c>
      <c r="E677" t="s">
        <v>36</v>
      </c>
      <c r="F677" t="s">
        <v>37</v>
      </c>
      <c r="G677">
        <v>3</v>
      </c>
      <c r="H677">
        <v>12603.52</v>
      </c>
      <c r="I677">
        <v>1897.25</v>
      </c>
      <c r="J677" t="s">
        <v>16</v>
      </c>
      <c r="K677" t="s">
        <v>17</v>
      </c>
      <c r="L677">
        <f t="shared" si="30"/>
        <v>2023</v>
      </c>
      <c r="M677" t="str">
        <f t="shared" si="31"/>
        <v>Mar</v>
      </c>
      <c r="N677" s="2">
        <f t="shared" si="32"/>
        <v>0.15053334306606408</v>
      </c>
    </row>
    <row r="678" spans="1:14" x14ac:dyDescent="0.45">
      <c r="A678" t="s">
        <v>1365</v>
      </c>
      <c r="B678" s="1">
        <v>45159</v>
      </c>
      <c r="C678" t="s">
        <v>1366</v>
      </c>
      <c r="D678" t="s">
        <v>13</v>
      </c>
      <c r="E678" t="s">
        <v>14</v>
      </c>
      <c r="F678" t="s">
        <v>15</v>
      </c>
      <c r="G678">
        <v>1</v>
      </c>
      <c r="H678">
        <v>18083.28</v>
      </c>
      <c r="I678">
        <v>1893.1</v>
      </c>
      <c r="J678" t="s">
        <v>22</v>
      </c>
      <c r="K678" t="s">
        <v>33</v>
      </c>
      <c r="L678">
        <f t="shared" si="30"/>
        <v>2023</v>
      </c>
      <c r="M678" t="str">
        <f t="shared" si="31"/>
        <v>Aug</v>
      </c>
      <c r="N678" s="2">
        <f t="shared" si="32"/>
        <v>0.10468786636052752</v>
      </c>
    </row>
    <row r="679" spans="1:14" x14ac:dyDescent="0.45">
      <c r="A679" t="s">
        <v>1367</v>
      </c>
      <c r="B679" s="1">
        <v>45283</v>
      </c>
      <c r="C679" t="s">
        <v>1368</v>
      </c>
      <c r="D679" t="s">
        <v>13</v>
      </c>
      <c r="E679" t="s">
        <v>20</v>
      </c>
      <c r="F679" t="s">
        <v>21</v>
      </c>
      <c r="G679">
        <v>5</v>
      </c>
      <c r="H679">
        <v>46944.61</v>
      </c>
      <c r="I679">
        <v>10993.4</v>
      </c>
      <c r="J679" t="s">
        <v>71</v>
      </c>
      <c r="K679" t="s">
        <v>29</v>
      </c>
      <c r="L679">
        <f t="shared" si="30"/>
        <v>2023</v>
      </c>
      <c r="M679" t="str">
        <f t="shared" si="31"/>
        <v>Dec</v>
      </c>
      <c r="N679" s="2">
        <f t="shared" si="32"/>
        <v>0.23417810905234912</v>
      </c>
    </row>
    <row r="680" spans="1:14" x14ac:dyDescent="0.45">
      <c r="A680" t="s">
        <v>1369</v>
      </c>
      <c r="B680" s="1">
        <v>45325</v>
      </c>
      <c r="C680" t="s">
        <v>1370</v>
      </c>
      <c r="D680" t="s">
        <v>56</v>
      </c>
      <c r="E680" t="s">
        <v>14</v>
      </c>
      <c r="F680" t="s">
        <v>40</v>
      </c>
      <c r="G680">
        <v>5</v>
      </c>
      <c r="H680">
        <v>44277.13</v>
      </c>
      <c r="I680">
        <v>9782.34</v>
      </c>
      <c r="J680" t="s">
        <v>16</v>
      </c>
      <c r="K680" t="s">
        <v>33</v>
      </c>
      <c r="L680">
        <f t="shared" si="30"/>
        <v>2024</v>
      </c>
      <c r="M680" t="str">
        <f t="shared" si="31"/>
        <v>Feb</v>
      </c>
      <c r="N680" s="2">
        <f t="shared" si="32"/>
        <v>0.22093437402108043</v>
      </c>
    </row>
    <row r="681" spans="1:14" x14ac:dyDescent="0.45">
      <c r="A681" t="s">
        <v>1371</v>
      </c>
      <c r="B681" s="1">
        <v>45624</v>
      </c>
      <c r="C681" t="s">
        <v>1372</v>
      </c>
      <c r="D681" t="s">
        <v>26</v>
      </c>
      <c r="E681" t="s">
        <v>20</v>
      </c>
      <c r="F681" t="s">
        <v>50</v>
      </c>
      <c r="G681">
        <v>4</v>
      </c>
      <c r="H681">
        <v>9974.17</v>
      </c>
      <c r="I681">
        <v>1993.89</v>
      </c>
      <c r="J681" t="s">
        <v>71</v>
      </c>
      <c r="K681" t="s">
        <v>17</v>
      </c>
      <c r="L681">
        <f t="shared" si="30"/>
        <v>2024</v>
      </c>
      <c r="M681" t="str">
        <f t="shared" si="31"/>
        <v>Nov</v>
      </c>
      <c r="N681" s="2">
        <f t="shared" si="32"/>
        <v>0.19990535553334263</v>
      </c>
    </row>
    <row r="682" spans="1:14" x14ac:dyDescent="0.45">
      <c r="A682" t="s">
        <v>1373</v>
      </c>
      <c r="B682" s="1">
        <v>44835</v>
      </c>
      <c r="C682" t="s">
        <v>1374</v>
      </c>
      <c r="D682" t="s">
        <v>26</v>
      </c>
      <c r="E682" t="s">
        <v>20</v>
      </c>
      <c r="F682" t="s">
        <v>43</v>
      </c>
      <c r="G682">
        <v>2</v>
      </c>
      <c r="H682">
        <v>37403.919999999998</v>
      </c>
      <c r="I682">
        <v>6044.03</v>
      </c>
      <c r="J682" t="s">
        <v>28</v>
      </c>
      <c r="K682" t="s">
        <v>29</v>
      </c>
      <c r="L682">
        <f t="shared" si="30"/>
        <v>2022</v>
      </c>
      <c r="M682" t="str">
        <f t="shared" si="31"/>
        <v>Oct</v>
      </c>
      <c r="N682" s="2">
        <f t="shared" si="32"/>
        <v>0.16158814370258517</v>
      </c>
    </row>
    <row r="683" spans="1:14" x14ac:dyDescent="0.45">
      <c r="A683" t="s">
        <v>1375</v>
      </c>
      <c r="B683" s="1">
        <v>44829</v>
      </c>
      <c r="C683" t="s">
        <v>1376</v>
      </c>
      <c r="D683" t="s">
        <v>56</v>
      </c>
      <c r="E683" t="s">
        <v>20</v>
      </c>
      <c r="F683" t="s">
        <v>27</v>
      </c>
      <c r="G683">
        <v>4</v>
      </c>
      <c r="H683">
        <v>12783.45</v>
      </c>
      <c r="I683">
        <v>2396.04</v>
      </c>
      <c r="J683" t="s">
        <v>28</v>
      </c>
      <c r="K683" t="s">
        <v>29</v>
      </c>
      <c r="L683">
        <f t="shared" si="30"/>
        <v>2022</v>
      </c>
      <c r="M683" t="str">
        <f t="shared" si="31"/>
        <v>Sep</v>
      </c>
      <c r="N683" s="2">
        <f t="shared" si="32"/>
        <v>0.18743296997289463</v>
      </c>
    </row>
    <row r="684" spans="1:14" x14ac:dyDescent="0.45">
      <c r="A684" t="s">
        <v>1377</v>
      </c>
      <c r="B684" s="1">
        <v>45211</v>
      </c>
      <c r="C684" t="s">
        <v>1378</v>
      </c>
      <c r="D684" t="s">
        <v>56</v>
      </c>
      <c r="E684" t="s">
        <v>20</v>
      </c>
      <c r="F684" t="s">
        <v>50</v>
      </c>
      <c r="G684">
        <v>4</v>
      </c>
      <c r="H684">
        <v>31187.16</v>
      </c>
      <c r="I684">
        <v>4728.38</v>
      </c>
      <c r="J684" t="s">
        <v>47</v>
      </c>
      <c r="K684" t="s">
        <v>23</v>
      </c>
      <c r="L684">
        <f t="shared" si="30"/>
        <v>2023</v>
      </c>
      <c r="M684" t="str">
        <f t="shared" si="31"/>
        <v>Oct</v>
      </c>
      <c r="N684" s="2">
        <f t="shared" si="32"/>
        <v>0.1516130356210697</v>
      </c>
    </row>
    <row r="685" spans="1:14" x14ac:dyDescent="0.45">
      <c r="A685" t="s">
        <v>1379</v>
      </c>
      <c r="B685" s="1">
        <v>45101</v>
      </c>
      <c r="C685" t="s">
        <v>1380</v>
      </c>
      <c r="D685" t="s">
        <v>26</v>
      </c>
      <c r="E685" t="s">
        <v>36</v>
      </c>
      <c r="F685" t="s">
        <v>37</v>
      </c>
      <c r="G685">
        <v>4</v>
      </c>
      <c r="H685">
        <v>2232.9699999999998</v>
      </c>
      <c r="I685">
        <v>445.46</v>
      </c>
      <c r="J685" t="s">
        <v>47</v>
      </c>
      <c r="K685" t="s">
        <v>17</v>
      </c>
      <c r="L685">
        <f t="shared" si="30"/>
        <v>2023</v>
      </c>
      <c r="M685" t="str">
        <f t="shared" si="31"/>
        <v>Jun</v>
      </c>
      <c r="N685" s="2">
        <f t="shared" si="32"/>
        <v>0.19949215618660351</v>
      </c>
    </row>
    <row r="686" spans="1:14" x14ac:dyDescent="0.45">
      <c r="A686" t="s">
        <v>1381</v>
      </c>
      <c r="B686" s="1">
        <v>44977</v>
      </c>
      <c r="C686" t="s">
        <v>1382</v>
      </c>
      <c r="D686" t="s">
        <v>13</v>
      </c>
      <c r="E686" t="s">
        <v>14</v>
      </c>
      <c r="F686" t="s">
        <v>15</v>
      </c>
      <c r="G686">
        <v>3</v>
      </c>
      <c r="H686">
        <v>10140.57</v>
      </c>
      <c r="I686">
        <v>783.04</v>
      </c>
      <c r="J686" t="s">
        <v>28</v>
      </c>
      <c r="K686" t="s">
        <v>17</v>
      </c>
      <c r="L686">
        <f t="shared" si="30"/>
        <v>2023</v>
      </c>
      <c r="M686" t="str">
        <f t="shared" si="31"/>
        <v>Feb</v>
      </c>
      <c r="N686" s="2">
        <f t="shared" si="32"/>
        <v>7.7218538997314748E-2</v>
      </c>
    </row>
    <row r="687" spans="1:14" x14ac:dyDescent="0.45">
      <c r="A687" t="s">
        <v>1383</v>
      </c>
      <c r="B687" s="1">
        <v>45413</v>
      </c>
      <c r="C687" t="s">
        <v>1384</v>
      </c>
      <c r="D687" t="s">
        <v>13</v>
      </c>
      <c r="E687" t="s">
        <v>36</v>
      </c>
      <c r="F687" t="s">
        <v>37</v>
      </c>
      <c r="G687">
        <v>3</v>
      </c>
      <c r="H687">
        <v>36211.379999999997</v>
      </c>
      <c r="I687">
        <v>4171.18</v>
      </c>
      <c r="J687" t="s">
        <v>47</v>
      </c>
      <c r="K687" t="s">
        <v>23</v>
      </c>
      <c r="L687">
        <f t="shared" si="30"/>
        <v>2024</v>
      </c>
      <c r="M687" t="str">
        <f t="shared" si="31"/>
        <v>May</v>
      </c>
      <c r="N687" s="2">
        <f t="shared" si="32"/>
        <v>0.11518975526478142</v>
      </c>
    </row>
    <row r="688" spans="1:14" x14ac:dyDescent="0.45">
      <c r="A688" t="s">
        <v>1385</v>
      </c>
      <c r="B688" s="1">
        <v>45240</v>
      </c>
      <c r="C688" t="s">
        <v>1386</v>
      </c>
      <c r="D688" t="s">
        <v>26</v>
      </c>
      <c r="E688" t="s">
        <v>14</v>
      </c>
      <c r="F688" t="s">
        <v>40</v>
      </c>
      <c r="G688">
        <v>1</v>
      </c>
      <c r="H688">
        <v>40180.160000000003</v>
      </c>
      <c r="I688">
        <v>6113.65</v>
      </c>
      <c r="J688" t="s">
        <v>71</v>
      </c>
      <c r="K688" t="s">
        <v>29</v>
      </c>
      <c r="L688">
        <f t="shared" si="30"/>
        <v>2023</v>
      </c>
      <c r="M688" t="str">
        <f t="shared" si="31"/>
        <v>Nov</v>
      </c>
      <c r="N688" s="2">
        <f t="shared" si="32"/>
        <v>0.15215593964782617</v>
      </c>
    </row>
    <row r="689" spans="1:14" x14ac:dyDescent="0.45">
      <c r="A689" t="s">
        <v>1387</v>
      </c>
      <c r="B689" s="1">
        <v>45615</v>
      </c>
      <c r="C689" t="s">
        <v>1388</v>
      </c>
      <c r="D689" t="s">
        <v>56</v>
      </c>
      <c r="E689" t="s">
        <v>20</v>
      </c>
      <c r="F689" t="s">
        <v>50</v>
      </c>
      <c r="G689">
        <v>1</v>
      </c>
      <c r="H689">
        <v>32223.25</v>
      </c>
      <c r="I689">
        <v>7394.16</v>
      </c>
      <c r="J689" t="s">
        <v>28</v>
      </c>
      <c r="K689" t="s">
        <v>23</v>
      </c>
      <c r="L689">
        <f t="shared" si="30"/>
        <v>2024</v>
      </c>
      <c r="M689" t="str">
        <f t="shared" si="31"/>
        <v>Nov</v>
      </c>
      <c r="N689" s="2">
        <f t="shared" si="32"/>
        <v>0.2294666118408292</v>
      </c>
    </row>
    <row r="690" spans="1:14" x14ac:dyDescent="0.45">
      <c r="A690" t="s">
        <v>1389</v>
      </c>
      <c r="B690" s="1">
        <v>44965</v>
      </c>
      <c r="C690" t="s">
        <v>1390</v>
      </c>
      <c r="D690" t="s">
        <v>26</v>
      </c>
      <c r="E690" t="s">
        <v>20</v>
      </c>
      <c r="F690" t="s">
        <v>43</v>
      </c>
      <c r="G690">
        <v>4</v>
      </c>
      <c r="H690">
        <v>44394.58</v>
      </c>
      <c r="I690">
        <v>10772.05</v>
      </c>
      <c r="J690" t="s">
        <v>16</v>
      </c>
      <c r="K690" t="s">
        <v>17</v>
      </c>
      <c r="L690">
        <f t="shared" si="30"/>
        <v>2023</v>
      </c>
      <c r="M690" t="str">
        <f t="shared" si="31"/>
        <v>Feb</v>
      </c>
      <c r="N690" s="2">
        <f t="shared" si="32"/>
        <v>0.24264335871631174</v>
      </c>
    </row>
    <row r="691" spans="1:14" x14ac:dyDescent="0.45">
      <c r="A691" t="s">
        <v>1391</v>
      </c>
      <c r="B691" s="1">
        <v>45607</v>
      </c>
      <c r="C691" t="s">
        <v>1392</v>
      </c>
      <c r="D691" t="s">
        <v>56</v>
      </c>
      <c r="E691" t="s">
        <v>20</v>
      </c>
      <c r="F691" t="s">
        <v>21</v>
      </c>
      <c r="G691">
        <v>3</v>
      </c>
      <c r="H691">
        <v>25961.82</v>
      </c>
      <c r="I691">
        <v>4045.7</v>
      </c>
      <c r="J691" t="s">
        <v>16</v>
      </c>
      <c r="K691" t="s">
        <v>17</v>
      </c>
      <c r="L691">
        <f t="shared" si="30"/>
        <v>2024</v>
      </c>
      <c r="M691" t="str">
        <f t="shared" si="31"/>
        <v>Nov</v>
      </c>
      <c r="N691" s="2">
        <f t="shared" si="32"/>
        <v>0.15583268045152457</v>
      </c>
    </row>
    <row r="692" spans="1:14" x14ac:dyDescent="0.45">
      <c r="A692" t="s">
        <v>1393</v>
      </c>
      <c r="B692" s="1">
        <v>44867</v>
      </c>
      <c r="C692" t="s">
        <v>1394</v>
      </c>
      <c r="D692" t="s">
        <v>13</v>
      </c>
      <c r="E692" t="s">
        <v>20</v>
      </c>
      <c r="F692" t="s">
        <v>43</v>
      </c>
      <c r="G692">
        <v>3</v>
      </c>
      <c r="H692">
        <v>18053.8</v>
      </c>
      <c r="I692">
        <v>2122.34</v>
      </c>
      <c r="J692" t="s">
        <v>16</v>
      </c>
      <c r="K692" t="s">
        <v>23</v>
      </c>
      <c r="L692">
        <f t="shared" si="30"/>
        <v>2022</v>
      </c>
      <c r="M692" t="str">
        <f t="shared" si="31"/>
        <v>Nov</v>
      </c>
      <c r="N692" s="2">
        <f t="shared" si="32"/>
        <v>0.11755641471601548</v>
      </c>
    </row>
    <row r="693" spans="1:14" x14ac:dyDescent="0.45">
      <c r="A693" t="s">
        <v>1395</v>
      </c>
      <c r="B693" s="1">
        <v>45549</v>
      </c>
      <c r="C693" t="s">
        <v>1396</v>
      </c>
      <c r="D693" t="s">
        <v>26</v>
      </c>
      <c r="E693" t="s">
        <v>20</v>
      </c>
      <c r="F693" t="s">
        <v>27</v>
      </c>
      <c r="G693">
        <v>5</v>
      </c>
      <c r="H693">
        <v>37516.870000000003</v>
      </c>
      <c r="I693">
        <v>6632.08</v>
      </c>
      <c r="J693" t="s">
        <v>71</v>
      </c>
      <c r="K693" t="s">
        <v>23</v>
      </c>
      <c r="L693">
        <f t="shared" si="30"/>
        <v>2024</v>
      </c>
      <c r="M693" t="str">
        <f t="shared" si="31"/>
        <v>Sep</v>
      </c>
      <c r="N693" s="2">
        <f t="shared" si="32"/>
        <v>0.17677594106331362</v>
      </c>
    </row>
    <row r="694" spans="1:14" x14ac:dyDescent="0.45">
      <c r="A694" t="s">
        <v>1397</v>
      </c>
      <c r="B694" s="1">
        <v>44722</v>
      </c>
      <c r="C694" t="s">
        <v>1398</v>
      </c>
      <c r="D694" t="s">
        <v>56</v>
      </c>
      <c r="E694" t="s">
        <v>14</v>
      </c>
      <c r="F694" t="s">
        <v>40</v>
      </c>
      <c r="G694">
        <v>4</v>
      </c>
      <c r="H694">
        <v>19117.599999999999</v>
      </c>
      <c r="I694">
        <v>3969.46</v>
      </c>
      <c r="J694" t="s">
        <v>28</v>
      </c>
      <c r="K694" t="s">
        <v>17</v>
      </c>
      <c r="L694">
        <f t="shared" si="30"/>
        <v>2022</v>
      </c>
      <c r="M694" t="str">
        <f t="shared" si="31"/>
        <v>Jun</v>
      </c>
      <c r="N694" s="2">
        <f t="shared" si="32"/>
        <v>0.20763380340628532</v>
      </c>
    </row>
    <row r="695" spans="1:14" x14ac:dyDescent="0.45">
      <c r="A695" t="s">
        <v>1399</v>
      </c>
      <c r="B695" s="1">
        <v>45537</v>
      </c>
      <c r="C695" t="s">
        <v>1400</v>
      </c>
      <c r="D695" t="s">
        <v>26</v>
      </c>
      <c r="E695" t="s">
        <v>36</v>
      </c>
      <c r="F695" t="s">
        <v>37</v>
      </c>
      <c r="G695">
        <v>5</v>
      </c>
      <c r="H695">
        <v>7507.51</v>
      </c>
      <c r="I695">
        <v>1047.26</v>
      </c>
      <c r="J695" t="s">
        <v>22</v>
      </c>
      <c r="K695" t="s">
        <v>23</v>
      </c>
      <c r="L695">
        <f t="shared" si="30"/>
        <v>2024</v>
      </c>
      <c r="M695" t="str">
        <f t="shared" si="31"/>
        <v>Sep</v>
      </c>
      <c r="N695" s="2">
        <f t="shared" si="32"/>
        <v>0.13949498568766475</v>
      </c>
    </row>
    <row r="696" spans="1:14" x14ac:dyDescent="0.45">
      <c r="A696" t="s">
        <v>1401</v>
      </c>
      <c r="B696" s="1">
        <v>45053</v>
      </c>
      <c r="C696" t="s">
        <v>1402</v>
      </c>
      <c r="D696" t="s">
        <v>56</v>
      </c>
      <c r="E696" t="s">
        <v>20</v>
      </c>
      <c r="F696" t="s">
        <v>27</v>
      </c>
      <c r="G696">
        <v>4</v>
      </c>
      <c r="H696">
        <v>49876.35</v>
      </c>
      <c r="I696">
        <v>7617.44</v>
      </c>
      <c r="J696" t="s">
        <v>71</v>
      </c>
      <c r="K696" t="s">
        <v>23</v>
      </c>
      <c r="L696">
        <f t="shared" si="30"/>
        <v>2023</v>
      </c>
      <c r="M696" t="str">
        <f t="shared" si="31"/>
        <v>May</v>
      </c>
      <c r="N696" s="2">
        <f t="shared" si="32"/>
        <v>0.15272649261623997</v>
      </c>
    </row>
    <row r="697" spans="1:14" x14ac:dyDescent="0.45">
      <c r="A697" t="s">
        <v>1403</v>
      </c>
      <c r="B697" s="1">
        <v>45283</v>
      </c>
      <c r="C697" t="s">
        <v>1404</v>
      </c>
      <c r="D697" t="s">
        <v>13</v>
      </c>
      <c r="E697" t="s">
        <v>14</v>
      </c>
      <c r="F697" t="s">
        <v>15</v>
      </c>
      <c r="G697">
        <v>4</v>
      </c>
      <c r="H697">
        <v>18410.21</v>
      </c>
      <c r="I697">
        <v>4426.58</v>
      </c>
      <c r="J697" t="s">
        <v>28</v>
      </c>
      <c r="K697" t="s">
        <v>29</v>
      </c>
      <c r="L697">
        <f t="shared" si="30"/>
        <v>2023</v>
      </c>
      <c r="M697" t="str">
        <f t="shared" si="31"/>
        <v>Dec</v>
      </c>
      <c r="N697" s="2">
        <f t="shared" si="32"/>
        <v>0.24044158105746757</v>
      </c>
    </row>
    <row r="698" spans="1:14" x14ac:dyDescent="0.45">
      <c r="A698" t="s">
        <v>1405</v>
      </c>
      <c r="B698" s="1">
        <v>45386</v>
      </c>
      <c r="C698" t="s">
        <v>1406</v>
      </c>
      <c r="D698" t="s">
        <v>26</v>
      </c>
      <c r="E698" t="s">
        <v>14</v>
      </c>
      <c r="F698" t="s">
        <v>57</v>
      </c>
      <c r="G698">
        <v>5</v>
      </c>
      <c r="H698">
        <v>42222.62</v>
      </c>
      <c r="I698">
        <v>9651.59</v>
      </c>
      <c r="J698" t="s">
        <v>47</v>
      </c>
      <c r="K698" t="s">
        <v>29</v>
      </c>
      <c r="L698">
        <f t="shared" si="30"/>
        <v>2024</v>
      </c>
      <c r="M698" t="str">
        <f t="shared" si="31"/>
        <v>Apr</v>
      </c>
      <c r="N698" s="2">
        <f t="shared" si="32"/>
        <v>0.22858813593282462</v>
      </c>
    </row>
    <row r="699" spans="1:14" x14ac:dyDescent="0.45">
      <c r="A699" t="s">
        <v>1407</v>
      </c>
      <c r="B699" s="1">
        <v>45296</v>
      </c>
      <c r="C699" t="s">
        <v>1408</v>
      </c>
      <c r="D699" t="s">
        <v>56</v>
      </c>
      <c r="E699" t="s">
        <v>20</v>
      </c>
      <c r="F699" t="s">
        <v>27</v>
      </c>
      <c r="G699">
        <v>4</v>
      </c>
      <c r="H699">
        <v>49446.8</v>
      </c>
      <c r="I699">
        <v>9323.5400000000009</v>
      </c>
      <c r="J699" t="s">
        <v>47</v>
      </c>
      <c r="K699" t="s">
        <v>29</v>
      </c>
      <c r="L699">
        <f t="shared" si="30"/>
        <v>2024</v>
      </c>
      <c r="M699" t="str">
        <f t="shared" si="31"/>
        <v>Jan</v>
      </c>
      <c r="N699" s="2">
        <f t="shared" si="32"/>
        <v>0.188556994588123</v>
      </c>
    </row>
    <row r="700" spans="1:14" x14ac:dyDescent="0.45">
      <c r="A700" t="s">
        <v>1409</v>
      </c>
      <c r="B700" s="1">
        <v>44777</v>
      </c>
      <c r="C700" t="s">
        <v>1410</v>
      </c>
      <c r="D700" t="s">
        <v>13</v>
      </c>
      <c r="E700" t="s">
        <v>36</v>
      </c>
      <c r="F700" t="s">
        <v>46</v>
      </c>
      <c r="G700">
        <v>3</v>
      </c>
      <c r="H700">
        <v>20028.61</v>
      </c>
      <c r="I700">
        <v>1090.67</v>
      </c>
      <c r="J700" t="s">
        <v>28</v>
      </c>
      <c r="K700" t="s">
        <v>33</v>
      </c>
      <c r="L700">
        <f t="shared" si="30"/>
        <v>2022</v>
      </c>
      <c r="M700" t="str">
        <f t="shared" si="31"/>
        <v>Aug</v>
      </c>
      <c r="N700" s="2">
        <f t="shared" si="32"/>
        <v>5.4455601262394147E-2</v>
      </c>
    </row>
    <row r="701" spans="1:14" x14ac:dyDescent="0.45">
      <c r="A701" t="s">
        <v>1411</v>
      </c>
      <c r="B701" s="1">
        <v>45039</v>
      </c>
      <c r="C701" t="s">
        <v>1412</v>
      </c>
      <c r="D701" t="s">
        <v>13</v>
      </c>
      <c r="E701" t="s">
        <v>20</v>
      </c>
      <c r="F701" t="s">
        <v>43</v>
      </c>
      <c r="G701">
        <v>4</v>
      </c>
      <c r="H701">
        <v>47417.39</v>
      </c>
      <c r="I701">
        <v>8038.92</v>
      </c>
      <c r="J701" t="s">
        <v>28</v>
      </c>
      <c r="K701" t="s">
        <v>33</v>
      </c>
      <c r="L701">
        <f t="shared" si="30"/>
        <v>2023</v>
      </c>
      <c r="M701" t="str">
        <f t="shared" si="31"/>
        <v>Apr</v>
      </c>
      <c r="N701" s="2">
        <f t="shared" si="32"/>
        <v>0.16953526965528892</v>
      </c>
    </row>
    <row r="702" spans="1:14" x14ac:dyDescent="0.45">
      <c r="A702" t="s">
        <v>1413</v>
      </c>
      <c r="B702" s="1">
        <v>45550</v>
      </c>
      <c r="C702" t="s">
        <v>1414</v>
      </c>
      <c r="D702" t="s">
        <v>13</v>
      </c>
      <c r="E702" t="s">
        <v>14</v>
      </c>
      <c r="F702" t="s">
        <v>15</v>
      </c>
      <c r="G702">
        <v>5</v>
      </c>
      <c r="H702">
        <v>1394.35</v>
      </c>
      <c r="I702">
        <v>167.55</v>
      </c>
      <c r="J702" t="s">
        <v>16</v>
      </c>
      <c r="K702" t="s">
        <v>29</v>
      </c>
      <c r="L702">
        <f t="shared" si="30"/>
        <v>2024</v>
      </c>
      <c r="M702" t="str">
        <f t="shared" si="31"/>
        <v>Sep</v>
      </c>
      <c r="N702" s="2">
        <f t="shared" si="32"/>
        <v>0.12016351705095565</v>
      </c>
    </row>
    <row r="703" spans="1:14" x14ac:dyDescent="0.45">
      <c r="A703" t="s">
        <v>1415</v>
      </c>
      <c r="B703" s="1">
        <v>45293</v>
      </c>
      <c r="C703" t="s">
        <v>1416</v>
      </c>
      <c r="D703" t="s">
        <v>56</v>
      </c>
      <c r="E703" t="s">
        <v>20</v>
      </c>
      <c r="F703" t="s">
        <v>43</v>
      </c>
      <c r="G703">
        <v>5</v>
      </c>
      <c r="H703">
        <v>36643.53</v>
      </c>
      <c r="I703">
        <v>3460.07</v>
      </c>
      <c r="J703" t="s">
        <v>28</v>
      </c>
      <c r="K703" t="s">
        <v>33</v>
      </c>
      <c r="L703">
        <f t="shared" si="30"/>
        <v>2024</v>
      </c>
      <c r="M703" t="str">
        <f t="shared" si="31"/>
        <v>Jan</v>
      </c>
      <c r="N703" s="2">
        <f t="shared" si="32"/>
        <v>9.4425127710130549E-2</v>
      </c>
    </row>
    <row r="704" spans="1:14" x14ac:dyDescent="0.45">
      <c r="A704" t="s">
        <v>1417</v>
      </c>
      <c r="B704" s="1">
        <v>44670</v>
      </c>
      <c r="C704" t="s">
        <v>1418</v>
      </c>
      <c r="D704" t="s">
        <v>13</v>
      </c>
      <c r="E704" t="s">
        <v>20</v>
      </c>
      <c r="F704" t="s">
        <v>21</v>
      </c>
      <c r="G704">
        <v>4</v>
      </c>
      <c r="H704">
        <v>36317.72</v>
      </c>
      <c r="I704">
        <v>2749.71</v>
      </c>
      <c r="J704" t="s">
        <v>47</v>
      </c>
      <c r="K704" t="s">
        <v>29</v>
      </c>
      <c r="L704">
        <f t="shared" si="30"/>
        <v>2022</v>
      </c>
      <c r="M704" t="str">
        <f t="shared" si="31"/>
        <v>Apr</v>
      </c>
      <c r="N704" s="2">
        <f t="shared" si="32"/>
        <v>7.5712627334535321E-2</v>
      </c>
    </row>
    <row r="705" spans="1:14" x14ac:dyDescent="0.45">
      <c r="A705" t="s">
        <v>1419</v>
      </c>
      <c r="B705" s="1">
        <v>44657</v>
      </c>
      <c r="C705" t="s">
        <v>1420</v>
      </c>
      <c r="D705" t="s">
        <v>13</v>
      </c>
      <c r="E705" t="s">
        <v>36</v>
      </c>
      <c r="F705" t="s">
        <v>46</v>
      </c>
      <c r="G705">
        <v>1</v>
      </c>
      <c r="H705">
        <v>31812.18</v>
      </c>
      <c r="I705">
        <v>3354.94</v>
      </c>
      <c r="J705" t="s">
        <v>47</v>
      </c>
      <c r="K705" t="s">
        <v>17</v>
      </c>
      <c r="L705">
        <f t="shared" si="30"/>
        <v>2022</v>
      </c>
      <c r="M705" t="str">
        <f t="shared" si="31"/>
        <v>Apr</v>
      </c>
      <c r="N705" s="2">
        <f t="shared" si="32"/>
        <v>0.10546086436075743</v>
      </c>
    </row>
    <row r="706" spans="1:14" x14ac:dyDescent="0.45">
      <c r="A706" t="s">
        <v>1421</v>
      </c>
      <c r="B706" s="1">
        <v>45451</v>
      </c>
      <c r="C706" t="s">
        <v>1422</v>
      </c>
      <c r="D706" t="s">
        <v>26</v>
      </c>
      <c r="E706" t="s">
        <v>14</v>
      </c>
      <c r="F706" t="s">
        <v>32</v>
      </c>
      <c r="G706">
        <v>5</v>
      </c>
      <c r="H706">
        <v>12094.95</v>
      </c>
      <c r="I706">
        <v>2797.35</v>
      </c>
      <c r="J706" t="s">
        <v>28</v>
      </c>
      <c r="K706" t="s">
        <v>23</v>
      </c>
      <c r="L706">
        <f t="shared" si="30"/>
        <v>2024</v>
      </c>
      <c r="M706" t="str">
        <f t="shared" si="31"/>
        <v>Jun</v>
      </c>
      <c r="N706" s="2">
        <f t="shared" si="32"/>
        <v>0.23128247739759153</v>
      </c>
    </row>
    <row r="707" spans="1:14" x14ac:dyDescent="0.45">
      <c r="A707" t="s">
        <v>1423</v>
      </c>
      <c r="B707" s="1">
        <v>45152</v>
      </c>
      <c r="C707" t="s">
        <v>1424</v>
      </c>
      <c r="D707" t="s">
        <v>56</v>
      </c>
      <c r="E707" t="s">
        <v>20</v>
      </c>
      <c r="F707" t="s">
        <v>43</v>
      </c>
      <c r="G707">
        <v>4</v>
      </c>
      <c r="H707">
        <v>18449.2</v>
      </c>
      <c r="I707">
        <v>3524.81</v>
      </c>
      <c r="J707" t="s">
        <v>28</v>
      </c>
      <c r="K707" t="s">
        <v>23</v>
      </c>
      <c r="L707">
        <f t="shared" ref="L707:L770" si="33">YEAR(B707 )</f>
        <v>2023</v>
      </c>
      <c r="M707" t="str">
        <f t="shared" ref="M707:M770" si="34">TEXT(B707,"MMM")</f>
        <v>Aug</v>
      </c>
      <c r="N707" s="2">
        <f t="shared" ref="N707:N770" si="35">I707 / H707</f>
        <v>0.19105489668928732</v>
      </c>
    </row>
    <row r="708" spans="1:14" x14ac:dyDescent="0.45">
      <c r="A708" t="s">
        <v>1425</v>
      </c>
      <c r="B708" s="1">
        <v>45545</v>
      </c>
      <c r="C708" t="s">
        <v>1426</v>
      </c>
      <c r="D708" t="s">
        <v>26</v>
      </c>
      <c r="E708" t="s">
        <v>20</v>
      </c>
      <c r="F708" t="s">
        <v>27</v>
      </c>
      <c r="G708">
        <v>5</v>
      </c>
      <c r="H708">
        <v>19814.59</v>
      </c>
      <c r="I708">
        <v>2788.39</v>
      </c>
      <c r="J708" t="s">
        <v>47</v>
      </c>
      <c r="K708" t="s">
        <v>33</v>
      </c>
      <c r="L708">
        <f t="shared" si="33"/>
        <v>2024</v>
      </c>
      <c r="M708" t="str">
        <f t="shared" si="34"/>
        <v>Sep</v>
      </c>
      <c r="N708" s="2">
        <f t="shared" si="35"/>
        <v>0.14072408260781574</v>
      </c>
    </row>
    <row r="709" spans="1:14" x14ac:dyDescent="0.45">
      <c r="A709" t="s">
        <v>1427</v>
      </c>
      <c r="B709" s="1">
        <v>44663</v>
      </c>
      <c r="C709" t="s">
        <v>1428</v>
      </c>
      <c r="D709" t="s">
        <v>13</v>
      </c>
      <c r="E709" t="s">
        <v>14</v>
      </c>
      <c r="F709" t="s">
        <v>15</v>
      </c>
      <c r="G709">
        <v>4</v>
      </c>
      <c r="H709">
        <v>6263.63</v>
      </c>
      <c r="I709">
        <v>797.37</v>
      </c>
      <c r="J709" t="s">
        <v>71</v>
      </c>
      <c r="K709" t="s">
        <v>23</v>
      </c>
      <c r="L709">
        <f t="shared" si="33"/>
        <v>2022</v>
      </c>
      <c r="M709" t="str">
        <f t="shared" si="34"/>
        <v>Apr</v>
      </c>
      <c r="N709" s="2">
        <f t="shared" si="35"/>
        <v>0.12730158071278155</v>
      </c>
    </row>
    <row r="710" spans="1:14" x14ac:dyDescent="0.45">
      <c r="A710" t="s">
        <v>1429</v>
      </c>
      <c r="B710" s="1">
        <v>44701</v>
      </c>
      <c r="C710" t="s">
        <v>1430</v>
      </c>
      <c r="D710" t="s">
        <v>13</v>
      </c>
      <c r="E710" t="s">
        <v>14</v>
      </c>
      <c r="F710" t="s">
        <v>57</v>
      </c>
      <c r="G710">
        <v>5</v>
      </c>
      <c r="H710">
        <v>43303.21</v>
      </c>
      <c r="I710">
        <v>10233.99</v>
      </c>
      <c r="J710" t="s">
        <v>22</v>
      </c>
      <c r="K710" t="s">
        <v>33</v>
      </c>
      <c r="L710">
        <f t="shared" si="33"/>
        <v>2022</v>
      </c>
      <c r="M710" t="str">
        <f t="shared" si="34"/>
        <v>May</v>
      </c>
      <c r="N710" s="2">
        <f t="shared" si="35"/>
        <v>0.23633328799412329</v>
      </c>
    </row>
    <row r="711" spans="1:14" x14ac:dyDescent="0.45">
      <c r="A711" t="s">
        <v>1431</v>
      </c>
      <c r="B711" s="1">
        <v>44771</v>
      </c>
      <c r="C711" t="s">
        <v>1432</v>
      </c>
      <c r="D711" t="s">
        <v>56</v>
      </c>
      <c r="E711" t="s">
        <v>36</v>
      </c>
      <c r="F711" t="s">
        <v>46</v>
      </c>
      <c r="G711">
        <v>2</v>
      </c>
      <c r="H711">
        <v>30430.9</v>
      </c>
      <c r="I711">
        <v>3463.37</v>
      </c>
      <c r="J711" t="s">
        <v>28</v>
      </c>
      <c r="K711" t="s">
        <v>23</v>
      </c>
      <c r="L711">
        <f t="shared" si="33"/>
        <v>2022</v>
      </c>
      <c r="M711" t="str">
        <f t="shared" si="34"/>
        <v>Jul</v>
      </c>
      <c r="N711" s="2">
        <f t="shared" si="35"/>
        <v>0.1138109618841375</v>
      </c>
    </row>
    <row r="712" spans="1:14" x14ac:dyDescent="0.45">
      <c r="A712" t="s">
        <v>1433</v>
      </c>
      <c r="B712" s="1">
        <v>44847</v>
      </c>
      <c r="C712" t="s">
        <v>1434</v>
      </c>
      <c r="D712" t="s">
        <v>56</v>
      </c>
      <c r="E712" t="s">
        <v>36</v>
      </c>
      <c r="F712" t="s">
        <v>64</v>
      </c>
      <c r="G712">
        <v>5</v>
      </c>
      <c r="H712">
        <v>21612.14</v>
      </c>
      <c r="I712">
        <v>1778.76</v>
      </c>
      <c r="J712" t="s">
        <v>71</v>
      </c>
      <c r="K712" t="s">
        <v>23</v>
      </c>
      <c r="L712">
        <f t="shared" si="33"/>
        <v>2022</v>
      </c>
      <c r="M712" t="str">
        <f t="shared" si="34"/>
        <v>Oct</v>
      </c>
      <c r="N712" s="2">
        <f t="shared" si="35"/>
        <v>8.2303742248569553E-2</v>
      </c>
    </row>
    <row r="713" spans="1:14" x14ac:dyDescent="0.45">
      <c r="A713" t="s">
        <v>1435</v>
      </c>
      <c r="B713" s="1">
        <v>45483</v>
      </c>
      <c r="C713" t="s">
        <v>539</v>
      </c>
      <c r="D713" t="s">
        <v>26</v>
      </c>
      <c r="E713" t="s">
        <v>20</v>
      </c>
      <c r="F713" t="s">
        <v>21</v>
      </c>
      <c r="G713">
        <v>4</v>
      </c>
      <c r="H713">
        <v>25659.599999999999</v>
      </c>
      <c r="I713">
        <v>6230.86</v>
      </c>
      <c r="J713" t="s">
        <v>47</v>
      </c>
      <c r="K713" t="s">
        <v>29</v>
      </c>
      <c r="L713">
        <f t="shared" si="33"/>
        <v>2024</v>
      </c>
      <c r="M713" t="str">
        <f t="shared" si="34"/>
        <v>Jul</v>
      </c>
      <c r="N713" s="2">
        <f t="shared" si="35"/>
        <v>0.24282763566072738</v>
      </c>
    </row>
    <row r="714" spans="1:14" x14ac:dyDescent="0.45">
      <c r="A714" t="s">
        <v>1436</v>
      </c>
      <c r="B714" s="1">
        <v>45599</v>
      </c>
      <c r="C714" t="s">
        <v>1437</v>
      </c>
      <c r="D714" t="s">
        <v>56</v>
      </c>
      <c r="E714" t="s">
        <v>36</v>
      </c>
      <c r="F714" t="s">
        <v>64</v>
      </c>
      <c r="G714">
        <v>2</v>
      </c>
      <c r="H714">
        <v>45801.89</v>
      </c>
      <c r="I714">
        <v>6988.09</v>
      </c>
      <c r="J714" t="s">
        <v>22</v>
      </c>
      <c r="K714" t="s">
        <v>29</v>
      </c>
      <c r="L714">
        <f t="shared" si="33"/>
        <v>2024</v>
      </c>
      <c r="M714" t="str">
        <f t="shared" si="34"/>
        <v>Nov</v>
      </c>
      <c r="N714" s="2">
        <f t="shared" si="35"/>
        <v>0.15257208818238724</v>
      </c>
    </row>
    <row r="715" spans="1:14" x14ac:dyDescent="0.45">
      <c r="A715" t="s">
        <v>1438</v>
      </c>
      <c r="B715" s="1">
        <v>45003</v>
      </c>
      <c r="C715" t="s">
        <v>1439</v>
      </c>
      <c r="D715" t="s">
        <v>13</v>
      </c>
      <c r="E715" t="s">
        <v>20</v>
      </c>
      <c r="F715" t="s">
        <v>21</v>
      </c>
      <c r="G715">
        <v>5</v>
      </c>
      <c r="H715">
        <v>3312.82</v>
      </c>
      <c r="I715">
        <v>326.12</v>
      </c>
      <c r="J715" t="s">
        <v>22</v>
      </c>
      <c r="K715" t="s">
        <v>17</v>
      </c>
      <c r="L715">
        <f t="shared" si="33"/>
        <v>2023</v>
      </c>
      <c r="M715" t="str">
        <f t="shared" si="34"/>
        <v>Mar</v>
      </c>
      <c r="N715" s="2">
        <f t="shared" si="35"/>
        <v>9.8441810904305094E-2</v>
      </c>
    </row>
    <row r="716" spans="1:14" x14ac:dyDescent="0.45">
      <c r="A716" t="s">
        <v>1440</v>
      </c>
      <c r="B716" s="1">
        <v>44764</v>
      </c>
      <c r="C716" t="s">
        <v>1441</v>
      </c>
      <c r="D716" t="s">
        <v>13</v>
      </c>
      <c r="E716" t="s">
        <v>20</v>
      </c>
      <c r="F716" t="s">
        <v>27</v>
      </c>
      <c r="G716">
        <v>2</v>
      </c>
      <c r="H716">
        <v>4049.01</v>
      </c>
      <c r="I716">
        <v>744.68</v>
      </c>
      <c r="J716" t="s">
        <v>16</v>
      </c>
      <c r="K716" t="s">
        <v>33</v>
      </c>
      <c r="L716">
        <f t="shared" si="33"/>
        <v>2022</v>
      </c>
      <c r="M716" t="str">
        <f t="shared" si="34"/>
        <v>Jul</v>
      </c>
      <c r="N716" s="2">
        <f t="shared" si="35"/>
        <v>0.18391656232017206</v>
      </c>
    </row>
    <row r="717" spans="1:14" x14ac:dyDescent="0.45">
      <c r="A717" t="s">
        <v>1442</v>
      </c>
      <c r="B717" s="1">
        <v>45072</v>
      </c>
      <c r="C717" t="s">
        <v>1214</v>
      </c>
      <c r="D717" t="s">
        <v>13</v>
      </c>
      <c r="E717" t="s">
        <v>20</v>
      </c>
      <c r="F717" t="s">
        <v>27</v>
      </c>
      <c r="G717">
        <v>3</v>
      </c>
      <c r="H717">
        <v>49562.78</v>
      </c>
      <c r="I717">
        <v>7010.98</v>
      </c>
      <c r="J717" t="s">
        <v>47</v>
      </c>
      <c r="K717" t="s">
        <v>17</v>
      </c>
      <c r="L717">
        <f t="shared" si="33"/>
        <v>2023</v>
      </c>
      <c r="M717" t="str">
        <f t="shared" si="34"/>
        <v>May</v>
      </c>
      <c r="N717" s="2">
        <f t="shared" si="35"/>
        <v>0.14145655267924842</v>
      </c>
    </row>
    <row r="718" spans="1:14" x14ac:dyDescent="0.45">
      <c r="A718" t="s">
        <v>1443</v>
      </c>
      <c r="B718" s="1">
        <v>45459</v>
      </c>
      <c r="C718" t="s">
        <v>1444</v>
      </c>
      <c r="D718" t="s">
        <v>13</v>
      </c>
      <c r="E718" t="s">
        <v>14</v>
      </c>
      <c r="F718" t="s">
        <v>57</v>
      </c>
      <c r="G718">
        <v>4</v>
      </c>
      <c r="H718">
        <v>40673.71</v>
      </c>
      <c r="I718">
        <v>2590.0100000000002</v>
      </c>
      <c r="J718" t="s">
        <v>71</v>
      </c>
      <c r="K718" t="s">
        <v>23</v>
      </c>
      <c r="L718">
        <f t="shared" si="33"/>
        <v>2024</v>
      </c>
      <c r="M718" t="str">
        <f t="shared" si="34"/>
        <v>Jun</v>
      </c>
      <c r="N718" s="2">
        <f t="shared" si="35"/>
        <v>6.3677741715717606E-2</v>
      </c>
    </row>
    <row r="719" spans="1:14" x14ac:dyDescent="0.45">
      <c r="A719" t="s">
        <v>1445</v>
      </c>
      <c r="B719" s="1">
        <v>45362</v>
      </c>
      <c r="C719" t="s">
        <v>1446</v>
      </c>
      <c r="D719" t="s">
        <v>56</v>
      </c>
      <c r="E719" t="s">
        <v>14</v>
      </c>
      <c r="F719" t="s">
        <v>15</v>
      </c>
      <c r="G719">
        <v>2</v>
      </c>
      <c r="H719">
        <v>9313.14</v>
      </c>
      <c r="I719">
        <v>2128.31</v>
      </c>
      <c r="J719" t="s">
        <v>22</v>
      </c>
      <c r="K719" t="s">
        <v>29</v>
      </c>
      <c r="L719">
        <f t="shared" si="33"/>
        <v>2024</v>
      </c>
      <c r="M719" t="str">
        <f t="shared" si="34"/>
        <v>Mar</v>
      </c>
      <c r="N719" s="2">
        <f t="shared" si="35"/>
        <v>0.22852765018028293</v>
      </c>
    </row>
    <row r="720" spans="1:14" x14ac:dyDescent="0.45">
      <c r="A720" t="s">
        <v>1447</v>
      </c>
      <c r="B720" s="1">
        <v>45466</v>
      </c>
      <c r="C720" t="s">
        <v>1448</v>
      </c>
      <c r="D720" t="s">
        <v>26</v>
      </c>
      <c r="E720" t="s">
        <v>14</v>
      </c>
      <c r="F720" t="s">
        <v>32</v>
      </c>
      <c r="G720">
        <v>1</v>
      </c>
      <c r="H720">
        <v>23236.31</v>
      </c>
      <c r="I720">
        <v>3568.39</v>
      </c>
      <c r="J720" t="s">
        <v>71</v>
      </c>
      <c r="K720" t="s">
        <v>29</v>
      </c>
      <c r="L720">
        <f t="shared" si="33"/>
        <v>2024</v>
      </c>
      <c r="M720" t="str">
        <f t="shared" si="34"/>
        <v>Jun</v>
      </c>
      <c r="N720" s="2">
        <f t="shared" si="35"/>
        <v>0.1535695641863962</v>
      </c>
    </row>
    <row r="721" spans="1:14" x14ac:dyDescent="0.45">
      <c r="A721" t="s">
        <v>1449</v>
      </c>
      <c r="B721" s="1">
        <v>44823</v>
      </c>
      <c r="C721" t="s">
        <v>1450</v>
      </c>
      <c r="D721" t="s">
        <v>13</v>
      </c>
      <c r="E721" t="s">
        <v>36</v>
      </c>
      <c r="F721" t="s">
        <v>53</v>
      </c>
      <c r="G721">
        <v>1</v>
      </c>
      <c r="H721">
        <v>20966.830000000002</v>
      </c>
      <c r="I721">
        <v>1552.78</v>
      </c>
      <c r="J721" t="s">
        <v>16</v>
      </c>
      <c r="K721" t="s">
        <v>29</v>
      </c>
      <c r="L721">
        <f t="shared" si="33"/>
        <v>2022</v>
      </c>
      <c r="M721" t="str">
        <f t="shared" si="34"/>
        <v>Sep</v>
      </c>
      <c r="N721" s="2">
        <f t="shared" si="35"/>
        <v>7.4058882530167888E-2</v>
      </c>
    </row>
    <row r="722" spans="1:14" x14ac:dyDescent="0.45">
      <c r="A722" t="s">
        <v>1451</v>
      </c>
      <c r="B722" s="1">
        <v>44623</v>
      </c>
      <c r="C722" t="s">
        <v>1452</v>
      </c>
      <c r="D722" t="s">
        <v>13</v>
      </c>
      <c r="E722" t="s">
        <v>14</v>
      </c>
      <c r="F722" t="s">
        <v>57</v>
      </c>
      <c r="G722">
        <v>1</v>
      </c>
      <c r="H722">
        <v>44583.59</v>
      </c>
      <c r="I722">
        <v>6963.7</v>
      </c>
      <c r="J722" t="s">
        <v>47</v>
      </c>
      <c r="K722" t="s">
        <v>23</v>
      </c>
      <c r="L722">
        <f t="shared" si="33"/>
        <v>2022</v>
      </c>
      <c r="M722" t="str">
        <f t="shared" si="34"/>
        <v>Mar</v>
      </c>
      <c r="N722" s="2">
        <f t="shared" si="35"/>
        <v>0.15619424097521084</v>
      </c>
    </row>
    <row r="723" spans="1:14" x14ac:dyDescent="0.45">
      <c r="A723" t="s">
        <v>1453</v>
      </c>
      <c r="B723" s="1">
        <v>45087</v>
      </c>
      <c r="C723" t="s">
        <v>1454</v>
      </c>
      <c r="D723" t="s">
        <v>26</v>
      </c>
      <c r="E723" t="s">
        <v>14</v>
      </c>
      <c r="F723" t="s">
        <v>40</v>
      </c>
      <c r="G723">
        <v>3</v>
      </c>
      <c r="H723">
        <v>13383.72</v>
      </c>
      <c r="I723">
        <v>2661.13</v>
      </c>
      <c r="J723" t="s">
        <v>47</v>
      </c>
      <c r="K723" t="s">
        <v>23</v>
      </c>
      <c r="L723">
        <f t="shared" si="33"/>
        <v>2023</v>
      </c>
      <c r="M723" t="str">
        <f t="shared" si="34"/>
        <v>Jun</v>
      </c>
      <c r="N723" s="2">
        <f t="shared" si="35"/>
        <v>0.19883335873733163</v>
      </c>
    </row>
    <row r="724" spans="1:14" x14ac:dyDescent="0.45">
      <c r="A724" t="s">
        <v>1455</v>
      </c>
      <c r="B724" s="1">
        <v>45555</v>
      </c>
      <c r="C724" t="s">
        <v>1456</v>
      </c>
      <c r="D724" t="s">
        <v>13</v>
      </c>
      <c r="E724" t="s">
        <v>20</v>
      </c>
      <c r="F724" t="s">
        <v>43</v>
      </c>
      <c r="G724">
        <v>1</v>
      </c>
      <c r="H724">
        <v>14831.11</v>
      </c>
      <c r="I724">
        <v>1842.29</v>
      </c>
      <c r="J724" t="s">
        <v>28</v>
      </c>
      <c r="K724" t="s">
        <v>17</v>
      </c>
      <c r="L724">
        <f t="shared" si="33"/>
        <v>2024</v>
      </c>
      <c r="M724" t="str">
        <f t="shared" si="34"/>
        <v>Sep</v>
      </c>
      <c r="N724" s="2">
        <f t="shared" si="35"/>
        <v>0.12421794457731079</v>
      </c>
    </row>
    <row r="725" spans="1:14" x14ac:dyDescent="0.45">
      <c r="A725" t="s">
        <v>1457</v>
      </c>
      <c r="B725" s="1">
        <v>45474</v>
      </c>
      <c r="C725" t="s">
        <v>1458</v>
      </c>
      <c r="D725" t="s">
        <v>26</v>
      </c>
      <c r="E725" t="s">
        <v>14</v>
      </c>
      <c r="F725" t="s">
        <v>32</v>
      </c>
      <c r="G725">
        <v>2</v>
      </c>
      <c r="H725">
        <v>8948.2199999999993</v>
      </c>
      <c r="I725">
        <v>1740.36</v>
      </c>
      <c r="J725" t="s">
        <v>16</v>
      </c>
      <c r="K725" t="s">
        <v>23</v>
      </c>
      <c r="L725">
        <f t="shared" si="33"/>
        <v>2024</v>
      </c>
      <c r="M725" t="str">
        <f t="shared" si="34"/>
        <v>Jul</v>
      </c>
      <c r="N725" s="2">
        <f t="shared" si="35"/>
        <v>0.19449231243755741</v>
      </c>
    </row>
    <row r="726" spans="1:14" x14ac:dyDescent="0.45">
      <c r="A726" t="s">
        <v>1459</v>
      </c>
      <c r="B726" s="1">
        <v>44699</v>
      </c>
      <c r="C726" t="s">
        <v>1460</v>
      </c>
      <c r="D726" t="s">
        <v>26</v>
      </c>
      <c r="E726" t="s">
        <v>20</v>
      </c>
      <c r="F726" t="s">
        <v>27</v>
      </c>
      <c r="G726">
        <v>3</v>
      </c>
      <c r="H726">
        <v>47898.05</v>
      </c>
      <c r="I726">
        <v>8920.1</v>
      </c>
      <c r="J726" t="s">
        <v>28</v>
      </c>
      <c r="K726" t="s">
        <v>29</v>
      </c>
      <c r="L726">
        <f t="shared" si="33"/>
        <v>2022</v>
      </c>
      <c r="M726" t="str">
        <f t="shared" si="34"/>
        <v>May</v>
      </c>
      <c r="N726" s="2">
        <f t="shared" si="35"/>
        <v>0.18623096347346083</v>
      </c>
    </row>
    <row r="727" spans="1:14" x14ac:dyDescent="0.45">
      <c r="A727" t="s">
        <v>1461</v>
      </c>
      <c r="B727" s="1">
        <v>44859</v>
      </c>
      <c r="C727" t="s">
        <v>1462</v>
      </c>
      <c r="D727" t="s">
        <v>56</v>
      </c>
      <c r="E727" t="s">
        <v>14</v>
      </c>
      <c r="F727" t="s">
        <v>32</v>
      </c>
      <c r="G727">
        <v>4</v>
      </c>
      <c r="H727">
        <v>42859.56</v>
      </c>
      <c r="I727">
        <v>10032.59</v>
      </c>
      <c r="J727" t="s">
        <v>22</v>
      </c>
      <c r="K727" t="s">
        <v>29</v>
      </c>
      <c r="L727">
        <f t="shared" si="33"/>
        <v>2022</v>
      </c>
      <c r="M727" t="str">
        <f t="shared" si="34"/>
        <v>Oct</v>
      </c>
      <c r="N727" s="2">
        <f t="shared" si="35"/>
        <v>0.23408056452282761</v>
      </c>
    </row>
    <row r="728" spans="1:14" x14ac:dyDescent="0.45">
      <c r="A728" t="s">
        <v>1463</v>
      </c>
      <c r="B728" s="1">
        <v>44909</v>
      </c>
      <c r="C728" t="s">
        <v>1464</v>
      </c>
      <c r="D728" t="s">
        <v>13</v>
      </c>
      <c r="E728" t="s">
        <v>14</v>
      </c>
      <c r="F728" t="s">
        <v>32</v>
      </c>
      <c r="G728">
        <v>1</v>
      </c>
      <c r="H728">
        <v>46791.43</v>
      </c>
      <c r="I728">
        <v>10655.51</v>
      </c>
      <c r="J728" t="s">
        <v>22</v>
      </c>
      <c r="K728" t="s">
        <v>33</v>
      </c>
      <c r="L728">
        <f t="shared" si="33"/>
        <v>2022</v>
      </c>
      <c r="M728" t="str">
        <f t="shared" si="34"/>
        <v>Dec</v>
      </c>
      <c r="N728" s="2">
        <f t="shared" si="35"/>
        <v>0.22772353826331018</v>
      </c>
    </row>
    <row r="729" spans="1:14" x14ac:dyDescent="0.45">
      <c r="A729" t="s">
        <v>1465</v>
      </c>
      <c r="B729" s="1">
        <v>45539</v>
      </c>
      <c r="C729" t="s">
        <v>1466</v>
      </c>
      <c r="D729" t="s">
        <v>26</v>
      </c>
      <c r="E729" t="s">
        <v>36</v>
      </c>
      <c r="F729" t="s">
        <v>53</v>
      </c>
      <c r="G729">
        <v>2</v>
      </c>
      <c r="H729">
        <v>32996.26</v>
      </c>
      <c r="I729">
        <v>2441.19</v>
      </c>
      <c r="J729" t="s">
        <v>47</v>
      </c>
      <c r="K729" t="s">
        <v>17</v>
      </c>
      <c r="L729">
        <f t="shared" si="33"/>
        <v>2024</v>
      </c>
      <c r="M729" t="str">
        <f t="shared" si="34"/>
        <v>Sep</v>
      </c>
      <c r="N729" s="2">
        <f t="shared" si="35"/>
        <v>7.3983839380584338E-2</v>
      </c>
    </row>
    <row r="730" spans="1:14" x14ac:dyDescent="0.45">
      <c r="A730" t="s">
        <v>1467</v>
      </c>
      <c r="B730" s="1">
        <v>45460</v>
      </c>
      <c r="C730" t="s">
        <v>1468</v>
      </c>
      <c r="D730" t="s">
        <v>13</v>
      </c>
      <c r="E730" t="s">
        <v>20</v>
      </c>
      <c r="F730" t="s">
        <v>43</v>
      </c>
      <c r="G730">
        <v>3</v>
      </c>
      <c r="H730">
        <v>38628.660000000003</v>
      </c>
      <c r="I730">
        <v>3705.22</v>
      </c>
      <c r="J730" t="s">
        <v>16</v>
      </c>
      <c r="K730" t="s">
        <v>33</v>
      </c>
      <c r="L730">
        <f t="shared" si="33"/>
        <v>2024</v>
      </c>
      <c r="M730" t="str">
        <f t="shared" si="34"/>
        <v>Jun</v>
      </c>
      <c r="N730" s="2">
        <f t="shared" si="35"/>
        <v>9.5918936872260122E-2</v>
      </c>
    </row>
    <row r="731" spans="1:14" x14ac:dyDescent="0.45">
      <c r="A731" t="s">
        <v>1469</v>
      </c>
      <c r="B731" s="1">
        <v>44785</v>
      </c>
      <c r="C731" t="s">
        <v>1470</v>
      </c>
      <c r="D731" t="s">
        <v>56</v>
      </c>
      <c r="E731" t="s">
        <v>20</v>
      </c>
      <c r="F731" t="s">
        <v>50</v>
      </c>
      <c r="G731">
        <v>2</v>
      </c>
      <c r="H731">
        <v>27923.88</v>
      </c>
      <c r="I731">
        <v>6188.19</v>
      </c>
      <c r="J731" t="s">
        <v>71</v>
      </c>
      <c r="K731" t="s">
        <v>33</v>
      </c>
      <c r="L731">
        <f t="shared" si="33"/>
        <v>2022</v>
      </c>
      <c r="M731" t="str">
        <f t="shared" si="34"/>
        <v>Aug</v>
      </c>
      <c r="N731" s="2">
        <f t="shared" si="35"/>
        <v>0.22160924627952847</v>
      </c>
    </row>
    <row r="732" spans="1:14" x14ac:dyDescent="0.45">
      <c r="A732" t="s">
        <v>1471</v>
      </c>
      <c r="B732" s="1">
        <v>45266</v>
      </c>
      <c r="C732" t="s">
        <v>1472</v>
      </c>
      <c r="D732" t="s">
        <v>13</v>
      </c>
      <c r="E732" t="s">
        <v>20</v>
      </c>
      <c r="F732" t="s">
        <v>21</v>
      </c>
      <c r="G732">
        <v>3</v>
      </c>
      <c r="H732">
        <v>3897.39</v>
      </c>
      <c r="I732">
        <v>951.07</v>
      </c>
      <c r="J732" t="s">
        <v>22</v>
      </c>
      <c r="K732" t="s">
        <v>29</v>
      </c>
      <c r="L732">
        <f t="shared" si="33"/>
        <v>2023</v>
      </c>
      <c r="M732" t="str">
        <f t="shared" si="34"/>
        <v>Dec</v>
      </c>
      <c r="N732" s="2">
        <f t="shared" si="35"/>
        <v>0.24402741321756358</v>
      </c>
    </row>
    <row r="733" spans="1:14" x14ac:dyDescent="0.45">
      <c r="A733" t="s">
        <v>1473</v>
      </c>
      <c r="B733" s="1">
        <v>44620</v>
      </c>
      <c r="C733" t="s">
        <v>1474</v>
      </c>
      <c r="D733" t="s">
        <v>56</v>
      </c>
      <c r="E733" t="s">
        <v>36</v>
      </c>
      <c r="F733" t="s">
        <v>46</v>
      </c>
      <c r="G733">
        <v>5</v>
      </c>
      <c r="H733">
        <v>43517.440000000002</v>
      </c>
      <c r="I733">
        <v>2958.81</v>
      </c>
      <c r="J733" t="s">
        <v>22</v>
      </c>
      <c r="K733" t="s">
        <v>23</v>
      </c>
      <c r="L733">
        <f t="shared" si="33"/>
        <v>2022</v>
      </c>
      <c r="M733" t="str">
        <f t="shared" si="34"/>
        <v>Feb</v>
      </c>
      <c r="N733" s="2">
        <f t="shared" si="35"/>
        <v>6.7991361624213181E-2</v>
      </c>
    </row>
    <row r="734" spans="1:14" x14ac:dyDescent="0.45">
      <c r="A734" t="s">
        <v>1475</v>
      </c>
      <c r="B734" s="1">
        <v>44756</v>
      </c>
      <c r="C734" t="s">
        <v>1476</v>
      </c>
      <c r="D734" t="s">
        <v>56</v>
      </c>
      <c r="E734" t="s">
        <v>36</v>
      </c>
      <c r="F734" t="s">
        <v>46</v>
      </c>
      <c r="G734">
        <v>2</v>
      </c>
      <c r="H734">
        <v>25714.12</v>
      </c>
      <c r="I734">
        <v>5132.4399999999996</v>
      </c>
      <c r="J734" t="s">
        <v>47</v>
      </c>
      <c r="K734" t="s">
        <v>33</v>
      </c>
      <c r="L734">
        <f t="shared" si="33"/>
        <v>2022</v>
      </c>
      <c r="M734" t="str">
        <f t="shared" si="34"/>
        <v>Jul</v>
      </c>
      <c r="N734" s="2">
        <f t="shared" si="35"/>
        <v>0.19959617517535111</v>
      </c>
    </row>
    <row r="735" spans="1:14" x14ac:dyDescent="0.45">
      <c r="A735" t="s">
        <v>1477</v>
      </c>
      <c r="B735" s="1">
        <v>45608</v>
      </c>
      <c r="C735" t="s">
        <v>1478</v>
      </c>
      <c r="D735" t="s">
        <v>13</v>
      </c>
      <c r="E735" t="s">
        <v>36</v>
      </c>
      <c r="F735" t="s">
        <v>53</v>
      </c>
      <c r="G735">
        <v>4</v>
      </c>
      <c r="H735">
        <v>9472.91</v>
      </c>
      <c r="I735">
        <v>675.75</v>
      </c>
      <c r="J735" t="s">
        <v>47</v>
      </c>
      <c r="K735" t="s">
        <v>29</v>
      </c>
      <c r="L735">
        <f t="shared" si="33"/>
        <v>2024</v>
      </c>
      <c r="M735" t="str">
        <f t="shared" si="34"/>
        <v>Nov</v>
      </c>
      <c r="N735" s="2">
        <f t="shared" si="35"/>
        <v>7.1334996321088237E-2</v>
      </c>
    </row>
    <row r="736" spans="1:14" x14ac:dyDescent="0.45">
      <c r="A736" t="s">
        <v>1479</v>
      </c>
      <c r="B736" s="1">
        <v>45098</v>
      </c>
      <c r="C736" t="s">
        <v>1480</v>
      </c>
      <c r="D736" t="s">
        <v>13</v>
      </c>
      <c r="E736" t="s">
        <v>14</v>
      </c>
      <c r="F736" t="s">
        <v>40</v>
      </c>
      <c r="G736">
        <v>4</v>
      </c>
      <c r="H736">
        <v>30543.360000000001</v>
      </c>
      <c r="I736">
        <v>6618.69</v>
      </c>
      <c r="J736" t="s">
        <v>22</v>
      </c>
      <c r="K736" t="s">
        <v>23</v>
      </c>
      <c r="L736">
        <f t="shared" si="33"/>
        <v>2023</v>
      </c>
      <c r="M736" t="str">
        <f t="shared" si="34"/>
        <v>Jun</v>
      </c>
      <c r="N736" s="2">
        <f t="shared" si="35"/>
        <v>0.21669816287402563</v>
      </c>
    </row>
    <row r="737" spans="1:14" x14ac:dyDescent="0.45">
      <c r="A737" t="s">
        <v>1481</v>
      </c>
      <c r="B737" s="1">
        <v>44592</v>
      </c>
      <c r="C737" t="s">
        <v>1482</v>
      </c>
      <c r="D737" t="s">
        <v>56</v>
      </c>
      <c r="E737" t="s">
        <v>14</v>
      </c>
      <c r="F737" t="s">
        <v>57</v>
      </c>
      <c r="G737">
        <v>1</v>
      </c>
      <c r="H737">
        <v>48894.96</v>
      </c>
      <c r="I737">
        <v>3550.79</v>
      </c>
      <c r="J737" t="s">
        <v>16</v>
      </c>
      <c r="K737" t="s">
        <v>29</v>
      </c>
      <c r="L737">
        <f t="shared" si="33"/>
        <v>2022</v>
      </c>
      <c r="M737" t="str">
        <f t="shared" si="34"/>
        <v>Jan</v>
      </c>
      <c r="N737" s="2">
        <f t="shared" si="35"/>
        <v>7.2620777274385748E-2</v>
      </c>
    </row>
    <row r="738" spans="1:14" x14ac:dyDescent="0.45">
      <c r="A738" t="s">
        <v>1483</v>
      </c>
      <c r="B738" s="1">
        <v>44985</v>
      </c>
      <c r="C738" t="s">
        <v>1484</v>
      </c>
      <c r="D738" t="s">
        <v>13</v>
      </c>
      <c r="E738" t="s">
        <v>20</v>
      </c>
      <c r="F738" t="s">
        <v>50</v>
      </c>
      <c r="G738">
        <v>2</v>
      </c>
      <c r="H738">
        <v>13793.86</v>
      </c>
      <c r="I738">
        <v>2857.87</v>
      </c>
      <c r="J738" t="s">
        <v>71</v>
      </c>
      <c r="K738" t="s">
        <v>17</v>
      </c>
      <c r="L738">
        <f t="shared" si="33"/>
        <v>2023</v>
      </c>
      <c r="M738" t="str">
        <f t="shared" si="34"/>
        <v>Feb</v>
      </c>
      <c r="N738" s="2">
        <f t="shared" si="35"/>
        <v>0.2071842109460296</v>
      </c>
    </row>
    <row r="739" spans="1:14" x14ac:dyDescent="0.45">
      <c r="A739" t="s">
        <v>1485</v>
      </c>
      <c r="B739" s="1">
        <v>45094</v>
      </c>
      <c r="C739" t="s">
        <v>1486</v>
      </c>
      <c r="D739" t="s">
        <v>56</v>
      </c>
      <c r="E739" t="s">
        <v>14</v>
      </c>
      <c r="F739" t="s">
        <v>40</v>
      </c>
      <c r="G739">
        <v>2</v>
      </c>
      <c r="H739">
        <v>17807.59</v>
      </c>
      <c r="I739">
        <v>1710.26</v>
      </c>
      <c r="J739" t="s">
        <v>47</v>
      </c>
      <c r="K739" t="s">
        <v>29</v>
      </c>
      <c r="L739">
        <f t="shared" si="33"/>
        <v>2023</v>
      </c>
      <c r="M739" t="str">
        <f t="shared" si="34"/>
        <v>Jun</v>
      </c>
      <c r="N739" s="2">
        <f t="shared" si="35"/>
        <v>9.6041070127962286E-2</v>
      </c>
    </row>
    <row r="740" spans="1:14" x14ac:dyDescent="0.45">
      <c r="A740" t="s">
        <v>1487</v>
      </c>
      <c r="B740" s="1">
        <v>45630</v>
      </c>
      <c r="C740" t="s">
        <v>1488</v>
      </c>
      <c r="D740" t="s">
        <v>26</v>
      </c>
      <c r="E740" t="s">
        <v>14</v>
      </c>
      <c r="F740" t="s">
        <v>40</v>
      </c>
      <c r="G740">
        <v>1</v>
      </c>
      <c r="H740">
        <v>32199.23</v>
      </c>
      <c r="I740">
        <v>4124.9799999999996</v>
      </c>
      <c r="J740" t="s">
        <v>47</v>
      </c>
      <c r="K740" t="s">
        <v>23</v>
      </c>
      <c r="L740">
        <f t="shared" si="33"/>
        <v>2024</v>
      </c>
      <c r="M740" t="str">
        <f t="shared" si="34"/>
        <v>Dec</v>
      </c>
      <c r="N740" s="2">
        <f t="shared" si="35"/>
        <v>0.12810803239704799</v>
      </c>
    </row>
    <row r="741" spans="1:14" x14ac:dyDescent="0.45">
      <c r="A741" t="s">
        <v>1489</v>
      </c>
      <c r="B741" s="1">
        <v>44980</v>
      </c>
      <c r="C741" t="s">
        <v>1490</v>
      </c>
      <c r="D741" t="s">
        <v>13</v>
      </c>
      <c r="E741" t="s">
        <v>20</v>
      </c>
      <c r="F741" t="s">
        <v>43</v>
      </c>
      <c r="G741">
        <v>5</v>
      </c>
      <c r="H741">
        <v>12496.76</v>
      </c>
      <c r="I741">
        <v>1999.37</v>
      </c>
      <c r="J741" t="s">
        <v>47</v>
      </c>
      <c r="K741" t="s">
        <v>23</v>
      </c>
      <c r="L741">
        <f t="shared" si="33"/>
        <v>2023</v>
      </c>
      <c r="M741" t="str">
        <f t="shared" si="34"/>
        <v>Feb</v>
      </c>
      <c r="N741" s="2">
        <f t="shared" si="35"/>
        <v>0.15999106968526242</v>
      </c>
    </row>
    <row r="742" spans="1:14" x14ac:dyDescent="0.45">
      <c r="A742" t="s">
        <v>1491</v>
      </c>
      <c r="B742" s="1">
        <v>45632</v>
      </c>
      <c r="C742" t="s">
        <v>1492</v>
      </c>
      <c r="D742" t="s">
        <v>13</v>
      </c>
      <c r="E742" t="s">
        <v>36</v>
      </c>
      <c r="F742" t="s">
        <v>37</v>
      </c>
      <c r="G742">
        <v>5</v>
      </c>
      <c r="H742">
        <v>33701.74</v>
      </c>
      <c r="I742">
        <v>5987.08</v>
      </c>
      <c r="J742" t="s">
        <v>47</v>
      </c>
      <c r="K742" t="s">
        <v>29</v>
      </c>
      <c r="L742">
        <f t="shared" si="33"/>
        <v>2024</v>
      </c>
      <c r="M742" t="str">
        <f t="shared" si="34"/>
        <v>Dec</v>
      </c>
      <c r="N742" s="2">
        <f t="shared" si="35"/>
        <v>0.17764898785641337</v>
      </c>
    </row>
    <row r="743" spans="1:14" x14ac:dyDescent="0.45">
      <c r="A743" t="s">
        <v>1493</v>
      </c>
      <c r="B743" s="1">
        <v>44782</v>
      </c>
      <c r="C743" t="s">
        <v>1494</v>
      </c>
      <c r="D743" t="s">
        <v>56</v>
      </c>
      <c r="E743" t="s">
        <v>36</v>
      </c>
      <c r="F743" t="s">
        <v>37</v>
      </c>
      <c r="G743">
        <v>5</v>
      </c>
      <c r="H743">
        <v>9998.8799999999992</v>
      </c>
      <c r="I743">
        <v>2210.9499999999998</v>
      </c>
      <c r="J743" t="s">
        <v>16</v>
      </c>
      <c r="K743" t="s">
        <v>29</v>
      </c>
      <c r="L743">
        <f t="shared" si="33"/>
        <v>2022</v>
      </c>
      <c r="M743" t="str">
        <f t="shared" si="34"/>
        <v>Aug</v>
      </c>
      <c r="N743" s="2">
        <f t="shared" si="35"/>
        <v>0.22111976541372633</v>
      </c>
    </row>
    <row r="744" spans="1:14" x14ac:dyDescent="0.45">
      <c r="A744" t="s">
        <v>1495</v>
      </c>
      <c r="B744" s="1">
        <v>44921</v>
      </c>
      <c r="C744" t="s">
        <v>1496</v>
      </c>
      <c r="D744" t="s">
        <v>56</v>
      </c>
      <c r="E744" t="s">
        <v>14</v>
      </c>
      <c r="F744" t="s">
        <v>40</v>
      </c>
      <c r="G744">
        <v>2</v>
      </c>
      <c r="H744">
        <v>13578.45</v>
      </c>
      <c r="I744">
        <v>2475.52</v>
      </c>
      <c r="J744" t="s">
        <v>71</v>
      </c>
      <c r="K744" t="s">
        <v>23</v>
      </c>
      <c r="L744">
        <f t="shared" si="33"/>
        <v>2022</v>
      </c>
      <c r="M744" t="str">
        <f t="shared" si="34"/>
        <v>Dec</v>
      </c>
      <c r="N744" s="2">
        <f t="shared" si="35"/>
        <v>0.18231241415625493</v>
      </c>
    </row>
    <row r="745" spans="1:14" x14ac:dyDescent="0.45">
      <c r="A745" t="s">
        <v>1497</v>
      </c>
      <c r="B745" s="1">
        <v>45622</v>
      </c>
      <c r="C745" t="s">
        <v>1498</v>
      </c>
      <c r="D745" t="s">
        <v>13</v>
      </c>
      <c r="E745" t="s">
        <v>20</v>
      </c>
      <c r="F745" t="s">
        <v>21</v>
      </c>
      <c r="G745">
        <v>4</v>
      </c>
      <c r="H745">
        <v>48929.58</v>
      </c>
      <c r="I745">
        <v>7241.13</v>
      </c>
      <c r="J745" t="s">
        <v>28</v>
      </c>
      <c r="K745" t="s">
        <v>23</v>
      </c>
      <c r="L745">
        <f t="shared" si="33"/>
        <v>2024</v>
      </c>
      <c r="M745" t="str">
        <f t="shared" si="34"/>
        <v>Nov</v>
      </c>
      <c r="N745" s="2">
        <f t="shared" si="35"/>
        <v>0.14799084725436024</v>
      </c>
    </row>
    <row r="746" spans="1:14" x14ac:dyDescent="0.45">
      <c r="A746" t="s">
        <v>1499</v>
      </c>
      <c r="B746" s="1">
        <v>45641</v>
      </c>
      <c r="C746" t="s">
        <v>1500</v>
      </c>
      <c r="D746" t="s">
        <v>13</v>
      </c>
      <c r="E746" t="s">
        <v>14</v>
      </c>
      <c r="F746" t="s">
        <v>57</v>
      </c>
      <c r="G746">
        <v>5</v>
      </c>
      <c r="H746">
        <v>27572.04</v>
      </c>
      <c r="I746">
        <v>4059.56</v>
      </c>
      <c r="J746" t="s">
        <v>28</v>
      </c>
      <c r="K746" t="s">
        <v>17</v>
      </c>
      <c r="L746">
        <f t="shared" si="33"/>
        <v>2024</v>
      </c>
      <c r="M746" t="str">
        <f t="shared" si="34"/>
        <v>Dec</v>
      </c>
      <c r="N746" s="2">
        <f t="shared" si="35"/>
        <v>0.14723466236085542</v>
      </c>
    </row>
    <row r="747" spans="1:14" x14ac:dyDescent="0.45">
      <c r="A747" t="s">
        <v>1501</v>
      </c>
      <c r="B747" s="1">
        <v>44755</v>
      </c>
      <c r="C747" t="s">
        <v>1502</v>
      </c>
      <c r="D747" t="s">
        <v>13</v>
      </c>
      <c r="E747" t="s">
        <v>20</v>
      </c>
      <c r="F747" t="s">
        <v>50</v>
      </c>
      <c r="G747">
        <v>4</v>
      </c>
      <c r="H747">
        <v>33861</v>
      </c>
      <c r="I747">
        <v>7825.11</v>
      </c>
      <c r="J747" t="s">
        <v>16</v>
      </c>
      <c r="K747" t="s">
        <v>33</v>
      </c>
      <c r="L747">
        <f t="shared" si="33"/>
        <v>2022</v>
      </c>
      <c r="M747" t="str">
        <f t="shared" si="34"/>
        <v>Jul</v>
      </c>
      <c r="N747" s="2">
        <f t="shared" si="35"/>
        <v>0.23109506511916364</v>
      </c>
    </row>
    <row r="748" spans="1:14" x14ac:dyDescent="0.45">
      <c r="A748" t="s">
        <v>1503</v>
      </c>
      <c r="B748" s="1">
        <v>44825</v>
      </c>
      <c r="C748" t="s">
        <v>1504</v>
      </c>
      <c r="D748" t="s">
        <v>56</v>
      </c>
      <c r="E748" t="s">
        <v>36</v>
      </c>
      <c r="F748" t="s">
        <v>53</v>
      </c>
      <c r="G748">
        <v>2</v>
      </c>
      <c r="H748">
        <v>19015.439999999999</v>
      </c>
      <c r="I748">
        <v>2736.77</v>
      </c>
      <c r="J748" t="s">
        <v>71</v>
      </c>
      <c r="K748" t="s">
        <v>29</v>
      </c>
      <c r="L748">
        <f t="shared" si="33"/>
        <v>2022</v>
      </c>
      <c r="M748" t="str">
        <f t="shared" si="34"/>
        <v>Sep</v>
      </c>
      <c r="N748" s="2">
        <f t="shared" si="35"/>
        <v>0.14392356947827661</v>
      </c>
    </row>
    <row r="749" spans="1:14" x14ac:dyDescent="0.45">
      <c r="A749" t="s">
        <v>1505</v>
      </c>
      <c r="B749" s="1">
        <v>45654</v>
      </c>
      <c r="C749" t="s">
        <v>1506</v>
      </c>
      <c r="D749" t="s">
        <v>56</v>
      </c>
      <c r="E749" t="s">
        <v>36</v>
      </c>
      <c r="F749" t="s">
        <v>37</v>
      </c>
      <c r="G749">
        <v>3</v>
      </c>
      <c r="H749">
        <v>42874.38</v>
      </c>
      <c r="I749">
        <v>4985.3</v>
      </c>
      <c r="J749" t="s">
        <v>28</v>
      </c>
      <c r="K749" t="s">
        <v>17</v>
      </c>
      <c r="L749">
        <f t="shared" si="33"/>
        <v>2024</v>
      </c>
      <c r="M749" t="str">
        <f t="shared" si="34"/>
        <v>Dec</v>
      </c>
      <c r="N749" s="2">
        <f t="shared" si="35"/>
        <v>0.11627690009744748</v>
      </c>
    </row>
    <row r="750" spans="1:14" x14ac:dyDescent="0.45">
      <c r="A750" t="s">
        <v>1507</v>
      </c>
      <c r="B750" s="1">
        <v>44986</v>
      </c>
      <c r="C750" t="s">
        <v>1508</v>
      </c>
      <c r="D750" t="s">
        <v>13</v>
      </c>
      <c r="E750" t="s">
        <v>36</v>
      </c>
      <c r="F750" t="s">
        <v>46</v>
      </c>
      <c r="G750">
        <v>5</v>
      </c>
      <c r="H750">
        <v>31931.86</v>
      </c>
      <c r="I750">
        <v>6039.19</v>
      </c>
      <c r="J750" t="s">
        <v>28</v>
      </c>
      <c r="K750" t="s">
        <v>29</v>
      </c>
      <c r="L750">
        <f t="shared" si="33"/>
        <v>2023</v>
      </c>
      <c r="M750" t="str">
        <f t="shared" si="34"/>
        <v>Mar</v>
      </c>
      <c r="N750" s="2">
        <f t="shared" si="35"/>
        <v>0.18912741068011696</v>
      </c>
    </row>
    <row r="751" spans="1:14" x14ac:dyDescent="0.45">
      <c r="A751" t="s">
        <v>1509</v>
      </c>
      <c r="B751" s="1">
        <v>45101</v>
      </c>
      <c r="C751" t="s">
        <v>1510</v>
      </c>
      <c r="D751" t="s">
        <v>56</v>
      </c>
      <c r="E751" t="s">
        <v>36</v>
      </c>
      <c r="F751" t="s">
        <v>46</v>
      </c>
      <c r="G751">
        <v>2</v>
      </c>
      <c r="H751">
        <v>17075.509999999998</v>
      </c>
      <c r="I751">
        <v>3480.4</v>
      </c>
      <c r="J751" t="s">
        <v>28</v>
      </c>
      <c r="K751" t="s">
        <v>23</v>
      </c>
      <c r="L751">
        <f t="shared" si="33"/>
        <v>2023</v>
      </c>
      <c r="M751" t="str">
        <f t="shared" si="34"/>
        <v>Jun</v>
      </c>
      <c r="N751" s="2">
        <f t="shared" si="35"/>
        <v>0.20382407319020049</v>
      </c>
    </row>
    <row r="752" spans="1:14" x14ac:dyDescent="0.45">
      <c r="A752" t="s">
        <v>1511</v>
      </c>
      <c r="B752" s="1">
        <v>44677</v>
      </c>
      <c r="C752" t="s">
        <v>1512</v>
      </c>
      <c r="D752" t="s">
        <v>13</v>
      </c>
      <c r="E752" t="s">
        <v>14</v>
      </c>
      <c r="F752" t="s">
        <v>57</v>
      </c>
      <c r="G752">
        <v>1</v>
      </c>
      <c r="H752">
        <v>12696.05</v>
      </c>
      <c r="I752">
        <v>2267.06</v>
      </c>
      <c r="J752" t="s">
        <v>16</v>
      </c>
      <c r="K752" t="s">
        <v>23</v>
      </c>
      <c r="L752">
        <f t="shared" si="33"/>
        <v>2022</v>
      </c>
      <c r="M752" t="str">
        <f t="shared" si="34"/>
        <v>Apr</v>
      </c>
      <c r="N752" s="2">
        <f t="shared" si="35"/>
        <v>0.17856419910129528</v>
      </c>
    </row>
    <row r="753" spans="1:14" x14ac:dyDescent="0.45">
      <c r="A753" t="s">
        <v>1513</v>
      </c>
      <c r="B753" s="1">
        <v>45206</v>
      </c>
      <c r="C753" t="s">
        <v>1514</v>
      </c>
      <c r="D753" t="s">
        <v>56</v>
      </c>
      <c r="E753" t="s">
        <v>14</v>
      </c>
      <c r="F753" t="s">
        <v>57</v>
      </c>
      <c r="G753">
        <v>5</v>
      </c>
      <c r="H753">
        <v>25967.06</v>
      </c>
      <c r="I753">
        <v>4898.25</v>
      </c>
      <c r="J753" t="s">
        <v>47</v>
      </c>
      <c r="K753" t="s">
        <v>29</v>
      </c>
      <c r="L753">
        <f t="shared" si="33"/>
        <v>2023</v>
      </c>
      <c r="M753" t="str">
        <f t="shared" si="34"/>
        <v>Oct</v>
      </c>
      <c r="N753" s="2">
        <f t="shared" si="35"/>
        <v>0.18863321454180795</v>
      </c>
    </row>
    <row r="754" spans="1:14" x14ac:dyDescent="0.45">
      <c r="A754" t="s">
        <v>1515</v>
      </c>
      <c r="B754" s="1">
        <v>45353</v>
      </c>
      <c r="C754" t="s">
        <v>1516</v>
      </c>
      <c r="D754" t="s">
        <v>13</v>
      </c>
      <c r="E754" t="s">
        <v>20</v>
      </c>
      <c r="F754" t="s">
        <v>43</v>
      </c>
      <c r="G754">
        <v>1</v>
      </c>
      <c r="H754">
        <v>30635.88</v>
      </c>
      <c r="I754">
        <v>5155.2299999999996</v>
      </c>
      <c r="J754" t="s">
        <v>16</v>
      </c>
      <c r="K754" t="s">
        <v>29</v>
      </c>
      <c r="L754">
        <f t="shared" si="33"/>
        <v>2024</v>
      </c>
      <c r="M754" t="str">
        <f t="shared" si="34"/>
        <v>Mar</v>
      </c>
      <c r="N754" s="2">
        <f t="shared" si="35"/>
        <v>0.16827425881025776</v>
      </c>
    </row>
    <row r="755" spans="1:14" x14ac:dyDescent="0.45">
      <c r="A755" t="s">
        <v>1517</v>
      </c>
      <c r="B755" s="1">
        <v>45571</v>
      </c>
      <c r="C755" t="s">
        <v>1518</v>
      </c>
      <c r="D755" t="s">
        <v>13</v>
      </c>
      <c r="E755" t="s">
        <v>14</v>
      </c>
      <c r="F755" t="s">
        <v>32</v>
      </c>
      <c r="G755">
        <v>3</v>
      </c>
      <c r="H755">
        <v>14008.42</v>
      </c>
      <c r="I755">
        <v>1360.65</v>
      </c>
      <c r="J755" t="s">
        <v>47</v>
      </c>
      <c r="K755" t="s">
        <v>29</v>
      </c>
      <c r="L755">
        <f t="shared" si="33"/>
        <v>2024</v>
      </c>
      <c r="M755" t="str">
        <f t="shared" si="34"/>
        <v>Oct</v>
      </c>
      <c r="N755" s="2">
        <f t="shared" si="35"/>
        <v>9.7130868434841339E-2</v>
      </c>
    </row>
    <row r="756" spans="1:14" x14ac:dyDescent="0.45">
      <c r="A756" t="s">
        <v>1519</v>
      </c>
      <c r="B756" s="1">
        <v>45224</v>
      </c>
      <c r="C756" t="s">
        <v>1520</v>
      </c>
      <c r="D756" t="s">
        <v>26</v>
      </c>
      <c r="E756" t="s">
        <v>20</v>
      </c>
      <c r="F756" t="s">
        <v>50</v>
      </c>
      <c r="G756">
        <v>1</v>
      </c>
      <c r="H756">
        <v>34980.03</v>
      </c>
      <c r="I756">
        <v>5261.28</v>
      </c>
      <c r="J756" t="s">
        <v>22</v>
      </c>
      <c r="K756" t="s">
        <v>29</v>
      </c>
      <c r="L756">
        <f t="shared" si="33"/>
        <v>2023</v>
      </c>
      <c r="M756" t="str">
        <f t="shared" si="34"/>
        <v>Oct</v>
      </c>
      <c r="N756" s="2">
        <f t="shared" si="35"/>
        <v>0.15040810428121418</v>
      </c>
    </row>
    <row r="757" spans="1:14" x14ac:dyDescent="0.45">
      <c r="A757" t="s">
        <v>1521</v>
      </c>
      <c r="B757" s="1">
        <v>44732</v>
      </c>
      <c r="C757" t="s">
        <v>1522</v>
      </c>
      <c r="D757" t="s">
        <v>26</v>
      </c>
      <c r="E757" t="s">
        <v>36</v>
      </c>
      <c r="F757" t="s">
        <v>53</v>
      </c>
      <c r="G757">
        <v>2</v>
      </c>
      <c r="H757">
        <v>30935.919999999998</v>
      </c>
      <c r="I757">
        <v>2296.85</v>
      </c>
      <c r="J757" t="s">
        <v>71</v>
      </c>
      <c r="K757" t="s">
        <v>23</v>
      </c>
      <c r="L757">
        <f t="shared" si="33"/>
        <v>2022</v>
      </c>
      <c r="M757" t="str">
        <f t="shared" si="34"/>
        <v>Jun</v>
      </c>
      <c r="N757" s="2">
        <f t="shared" si="35"/>
        <v>7.4245407927095747E-2</v>
      </c>
    </row>
    <row r="758" spans="1:14" x14ac:dyDescent="0.45">
      <c r="A758" t="s">
        <v>1523</v>
      </c>
      <c r="B758" s="1">
        <v>45126</v>
      </c>
      <c r="C758" t="s">
        <v>1524</v>
      </c>
      <c r="D758" t="s">
        <v>56</v>
      </c>
      <c r="E758" t="s">
        <v>36</v>
      </c>
      <c r="F758" t="s">
        <v>53</v>
      </c>
      <c r="G758">
        <v>5</v>
      </c>
      <c r="H758">
        <v>31696.37</v>
      </c>
      <c r="I758">
        <v>2304.2800000000002</v>
      </c>
      <c r="J758" t="s">
        <v>22</v>
      </c>
      <c r="K758" t="s">
        <v>33</v>
      </c>
      <c r="L758">
        <f t="shared" si="33"/>
        <v>2023</v>
      </c>
      <c r="M758" t="str">
        <f t="shared" si="34"/>
        <v>Jul</v>
      </c>
      <c r="N758" s="2">
        <f t="shared" si="35"/>
        <v>7.2698545606326534E-2</v>
      </c>
    </row>
    <row r="759" spans="1:14" x14ac:dyDescent="0.45">
      <c r="A759" t="s">
        <v>1525</v>
      </c>
      <c r="B759" s="1">
        <v>45130</v>
      </c>
      <c r="C759" t="s">
        <v>1526</v>
      </c>
      <c r="D759" t="s">
        <v>26</v>
      </c>
      <c r="E759" t="s">
        <v>36</v>
      </c>
      <c r="F759" t="s">
        <v>64</v>
      </c>
      <c r="G759">
        <v>1</v>
      </c>
      <c r="H759">
        <v>14785.46</v>
      </c>
      <c r="I759">
        <v>2516.4499999999998</v>
      </c>
      <c r="J759" t="s">
        <v>71</v>
      </c>
      <c r="K759" t="s">
        <v>29</v>
      </c>
      <c r="L759">
        <f t="shared" si="33"/>
        <v>2023</v>
      </c>
      <c r="M759" t="str">
        <f t="shared" si="34"/>
        <v>Jul</v>
      </c>
      <c r="N759" s="2">
        <f t="shared" si="35"/>
        <v>0.17019761306039852</v>
      </c>
    </row>
    <row r="760" spans="1:14" x14ac:dyDescent="0.45">
      <c r="A760" t="s">
        <v>1527</v>
      </c>
      <c r="B760" s="1">
        <v>45058</v>
      </c>
      <c r="C760" t="s">
        <v>1528</v>
      </c>
      <c r="D760" t="s">
        <v>26</v>
      </c>
      <c r="E760" t="s">
        <v>14</v>
      </c>
      <c r="F760" t="s">
        <v>57</v>
      </c>
      <c r="G760">
        <v>3</v>
      </c>
      <c r="H760">
        <v>43544.15</v>
      </c>
      <c r="I760">
        <v>7824.52</v>
      </c>
      <c r="J760" t="s">
        <v>16</v>
      </c>
      <c r="K760" t="s">
        <v>23</v>
      </c>
      <c r="L760">
        <f t="shared" si="33"/>
        <v>2023</v>
      </c>
      <c r="M760" t="str">
        <f t="shared" si="34"/>
        <v>May</v>
      </c>
      <c r="N760" s="2">
        <f t="shared" si="35"/>
        <v>0.17969164629462281</v>
      </c>
    </row>
    <row r="761" spans="1:14" x14ac:dyDescent="0.45">
      <c r="A761" t="s">
        <v>1529</v>
      </c>
      <c r="B761" s="1">
        <v>44950</v>
      </c>
      <c r="C761" t="s">
        <v>1530</v>
      </c>
      <c r="D761" t="s">
        <v>13</v>
      </c>
      <c r="E761" t="s">
        <v>36</v>
      </c>
      <c r="F761" t="s">
        <v>64</v>
      </c>
      <c r="G761">
        <v>5</v>
      </c>
      <c r="H761">
        <v>26551.7</v>
      </c>
      <c r="I761">
        <v>2048.48</v>
      </c>
      <c r="J761" t="s">
        <v>28</v>
      </c>
      <c r="K761" t="s">
        <v>17</v>
      </c>
      <c r="L761">
        <f t="shared" si="33"/>
        <v>2023</v>
      </c>
      <c r="M761" t="str">
        <f t="shared" si="34"/>
        <v>Jan</v>
      </c>
      <c r="N761" s="2">
        <f t="shared" si="35"/>
        <v>7.7150615591468713E-2</v>
      </c>
    </row>
    <row r="762" spans="1:14" x14ac:dyDescent="0.45">
      <c r="A762" t="s">
        <v>1531</v>
      </c>
      <c r="B762" s="1">
        <v>45431</v>
      </c>
      <c r="C762" t="s">
        <v>1532</v>
      </c>
      <c r="D762" t="s">
        <v>13</v>
      </c>
      <c r="E762" t="s">
        <v>20</v>
      </c>
      <c r="F762" t="s">
        <v>43</v>
      </c>
      <c r="G762">
        <v>3</v>
      </c>
      <c r="H762">
        <v>2989.13</v>
      </c>
      <c r="I762">
        <v>707.74</v>
      </c>
      <c r="J762" t="s">
        <v>16</v>
      </c>
      <c r="K762" t="s">
        <v>23</v>
      </c>
      <c r="L762">
        <f t="shared" si="33"/>
        <v>2024</v>
      </c>
      <c r="M762" t="str">
        <f t="shared" si="34"/>
        <v>May</v>
      </c>
      <c r="N762" s="2">
        <f t="shared" si="35"/>
        <v>0.23677123443945228</v>
      </c>
    </row>
    <row r="763" spans="1:14" x14ac:dyDescent="0.45">
      <c r="A763" t="s">
        <v>1533</v>
      </c>
      <c r="B763" s="1">
        <v>44634</v>
      </c>
      <c r="C763" t="s">
        <v>1534</v>
      </c>
      <c r="D763" t="s">
        <v>13</v>
      </c>
      <c r="E763" t="s">
        <v>20</v>
      </c>
      <c r="F763" t="s">
        <v>50</v>
      </c>
      <c r="G763">
        <v>2</v>
      </c>
      <c r="H763">
        <v>38271.39</v>
      </c>
      <c r="I763">
        <v>6831.11</v>
      </c>
      <c r="J763" t="s">
        <v>16</v>
      </c>
      <c r="K763" t="s">
        <v>17</v>
      </c>
      <c r="L763">
        <f t="shared" si="33"/>
        <v>2022</v>
      </c>
      <c r="M763" t="str">
        <f t="shared" si="34"/>
        <v>Mar</v>
      </c>
      <c r="N763" s="2">
        <f t="shared" si="35"/>
        <v>0.17849129597853644</v>
      </c>
    </row>
    <row r="764" spans="1:14" x14ac:dyDescent="0.45">
      <c r="A764" t="s">
        <v>1535</v>
      </c>
      <c r="B764" s="1">
        <v>45229</v>
      </c>
      <c r="C764" t="s">
        <v>1536</v>
      </c>
      <c r="D764" t="s">
        <v>26</v>
      </c>
      <c r="E764" t="s">
        <v>14</v>
      </c>
      <c r="F764" t="s">
        <v>15</v>
      </c>
      <c r="G764">
        <v>2</v>
      </c>
      <c r="H764">
        <v>41271.589999999997</v>
      </c>
      <c r="I764">
        <v>7981.35</v>
      </c>
      <c r="J764" t="s">
        <v>71</v>
      </c>
      <c r="K764" t="s">
        <v>29</v>
      </c>
      <c r="L764">
        <f t="shared" si="33"/>
        <v>2023</v>
      </c>
      <c r="M764" t="str">
        <f t="shared" si="34"/>
        <v>Oct</v>
      </c>
      <c r="N764" s="2">
        <f t="shared" si="35"/>
        <v>0.19338605563778863</v>
      </c>
    </row>
    <row r="765" spans="1:14" x14ac:dyDescent="0.45">
      <c r="A765" t="s">
        <v>1537</v>
      </c>
      <c r="B765" s="1">
        <v>44918</v>
      </c>
      <c r="C765" t="s">
        <v>1538</v>
      </c>
      <c r="D765" t="s">
        <v>56</v>
      </c>
      <c r="E765" t="s">
        <v>20</v>
      </c>
      <c r="F765" t="s">
        <v>27</v>
      </c>
      <c r="G765">
        <v>2</v>
      </c>
      <c r="H765">
        <v>19418.2</v>
      </c>
      <c r="I765">
        <v>2074.38</v>
      </c>
      <c r="J765" t="s">
        <v>47</v>
      </c>
      <c r="K765" t="s">
        <v>33</v>
      </c>
      <c r="L765">
        <f t="shared" si="33"/>
        <v>2022</v>
      </c>
      <c r="M765" t="str">
        <f t="shared" si="34"/>
        <v>Dec</v>
      </c>
      <c r="N765" s="2">
        <f t="shared" si="35"/>
        <v>0.10682658536836576</v>
      </c>
    </row>
    <row r="766" spans="1:14" x14ac:dyDescent="0.45">
      <c r="A766" t="s">
        <v>1539</v>
      </c>
      <c r="B766" s="1">
        <v>45389</v>
      </c>
      <c r="C766" t="s">
        <v>1540</v>
      </c>
      <c r="D766" t="s">
        <v>13</v>
      </c>
      <c r="E766" t="s">
        <v>20</v>
      </c>
      <c r="F766" t="s">
        <v>43</v>
      </c>
      <c r="G766">
        <v>1</v>
      </c>
      <c r="H766">
        <v>44686.3</v>
      </c>
      <c r="I766">
        <v>5529.07</v>
      </c>
      <c r="J766" t="s">
        <v>47</v>
      </c>
      <c r="K766" t="s">
        <v>17</v>
      </c>
      <c r="L766">
        <f t="shared" si="33"/>
        <v>2024</v>
      </c>
      <c r="M766" t="str">
        <f t="shared" si="34"/>
        <v>Apr</v>
      </c>
      <c r="N766" s="2">
        <f t="shared" si="35"/>
        <v>0.12373076311979285</v>
      </c>
    </row>
    <row r="767" spans="1:14" x14ac:dyDescent="0.45">
      <c r="A767" t="s">
        <v>1541</v>
      </c>
      <c r="B767" s="1">
        <v>44695</v>
      </c>
      <c r="C767" t="s">
        <v>1542</v>
      </c>
      <c r="D767" t="s">
        <v>26</v>
      </c>
      <c r="E767" t="s">
        <v>20</v>
      </c>
      <c r="F767" t="s">
        <v>27</v>
      </c>
      <c r="G767">
        <v>5</v>
      </c>
      <c r="H767">
        <v>22482.880000000001</v>
      </c>
      <c r="I767">
        <v>3323.13</v>
      </c>
      <c r="J767" t="s">
        <v>47</v>
      </c>
      <c r="K767" t="s">
        <v>23</v>
      </c>
      <c r="L767">
        <f t="shared" si="33"/>
        <v>2022</v>
      </c>
      <c r="M767" t="str">
        <f t="shared" si="34"/>
        <v>May</v>
      </c>
      <c r="N767" s="2">
        <f t="shared" si="35"/>
        <v>0.14780713147070126</v>
      </c>
    </row>
    <row r="768" spans="1:14" x14ac:dyDescent="0.45">
      <c r="A768" t="s">
        <v>1543</v>
      </c>
      <c r="B768" s="1">
        <v>45402</v>
      </c>
      <c r="C768" t="s">
        <v>1544</v>
      </c>
      <c r="D768" t="s">
        <v>56</v>
      </c>
      <c r="E768" t="s">
        <v>14</v>
      </c>
      <c r="F768" t="s">
        <v>32</v>
      </c>
      <c r="G768">
        <v>2</v>
      </c>
      <c r="H768">
        <v>14401.39</v>
      </c>
      <c r="I768">
        <v>2003.51</v>
      </c>
      <c r="J768" t="s">
        <v>47</v>
      </c>
      <c r="K768" t="s">
        <v>33</v>
      </c>
      <c r="L768">
        <f t="shared" si="33"/>
        <v>2024</v>
      </c>
      <c r="M768" t="str">
        <f t="shared" si="34"/>
        <v>Apr</v>
      </c>
      <c r="N768" s="2">
        <f t="shared" si="35"/>
        <v>0.13911921002069941</v>
      </c>
    </row>
    <row r="769" spans="1:14" x14ac:dyDescent="0.45">
      <c r="A769" t="s">
        <v>1545</v>
      </c>
      <c r="B769" s="1">
        <v>44618</v>
      </c>
      <c r="C769" t="s">
        <v>1546</v>
      </c>
      <c r="D769" t="s">
        <v>26</v>
      </c>
      <c r="E769" t="s">
        <v>20</v>
      </c>
      <c r="F769" t="s">
        <v>50</v>
      </c>
      <c r="G769">
        <v>1</v>
      </c>
      <c r="H769">
        <v>30170.02</v>
      </c>
      <c r="I769">
        <v>5652.42</v>
      </c>
      <c r="J769" t="s">
        <v>71</v>
      </c>
      <c r="K769" t="s">
        <v>17</v>
      </c>
      <c r="L769">
        <f t="shared" si="33"/>
        <v>2022</v>
      </c>
      <c r="M769" t="str">
        <f t="shared" si="34"/>
        <v>Feb</v>
      </c>
      <c r="N769" s="2">
        <f t="shared" si="35"/>
        <v>0.1873522125606811</v>
      </c>
    </row>
    <row r="770" spans="1:14" x14ac:dyDescent="0.45">
      <c r="A770" t="s">
        <v>1547</v>
      </c>
      <c r="B770" s="1">
        <v>44780</v>
      </c>
      <c r="C770" t="s">
        <v>1548</v>
      </c>
      <c r="D770" t="s">
        <v>56</v>
      </c>
      <c r="E770" t="s">
        <v>36</v>
      </c>
      <c r="F770" t="s">
        <v>64</v>
      </c>
      <c r="G770">
        <v>3</v>
      </c>
      <c r="H770">
        <v>16722.060000000001</v>
      </c>
      <c r="I770">
        <v>3252.61</v>
      </c>
      <c r="J770" t="s">
        <v>16</v>
      </c>
      <c r="K770" t="s">
        <v>17</v>
      </c>
      <c r="L770">
        <f t="shared" si="33"/>
        <v>2022</v>
      </c>
      <c r="M770" t="str">
        <f t="shared" si="34"/>
        <v>Aug</v>
      </c>
      <c r="N770" s="2">
        <f t="shared" si="35"/>
        <v>0.1945101261447453</v>
      </c>
    </row>
    <row r="771" spans="1:14" x14ac:dyDescent="0.45">
      <c r="A771" t="s">
        <v>1549</v>
      </c>
      <c r="B771" s="1">
        <v>45279</v>
      </c>
      <c r="C771" t="s">
        <v>1550</v>
      </c>
      <c r="D771" t="s">
        <v>26</v>
      </c>
      <c r="E771" t="s">
        <v>20</v>
      </c>
      <c r="F771" t="s">
        <v>27</v>
      </c>
      <c r="G771">
        <v>5</v>
      </c>
      <c r="H771">
        <v>10652.79</v>
      </c>
      <c r="I771">
        <v>2570.33</v>
      </c>
      <c r="J771" t="s">
        <v>28</v>
      </c>
      <c r="K771" t="s">
        <v>23</v>
      </c>
      <c r="L771">
        <f t="shared" ref="L771:L834" si="36">YEAR(B771 )</f>
        <v>2023</v>
      </c>
      <c r="M771" t="str">
        <f t="shared" ref="M771:M834" si="37">TEXT(B771,"MMM")</f>
        <v>Dec</v>
      </c>
      <c r="N771" s="2">
        <f t="shared" ref="N771:N834" si="38">I771 / H771</f>
        <v>0.24128233073213681</v>
      </c>
    </row>
    <row r="772" spans="1:14" x14ac:dyDescent="0.45">
      <c r="A772" t="s">
        <v>1551</v>
      </c>
      <c r="B772" s="1">
        <v>45227</v>
      </c>
      <c r="C772" t="s">
        <v>1374</v>
      </c>
      <c r="D772" t="s">
        <v>13</v>
      </c>
      <c r="E772" t="s">
        <v>36</v>
      </c>
      <c r="F772" t="s">
        <v>64</v>
      </c>
      <c r="G772">
        <v>3</v>
      </c>
      <c r="H772">
        <v>27485.55</v>
      </c>
      <c r="I772">
        <v>2436.27</v>
      </c>
      <c r="J772" t="s">
        <v>22</v>
      </c>
      <c r="K772" t="s">
        <v>29</v>
      </c>
      <c r="L772">
        <f t="shared" si="36"/>
        <v>2023</v>
      </c>
      <c r="M772" t="str">
        <f t="shared" si="37"/>
        <v>Oct</v>
      </c>
      <c r="N772" s="2">
        <f t="shared" si="38"/>
        <v>8.8638211714882911E-2</v>
      </c>
    </row>
    <row r="773" spans="1:14" x14ac:dyDescent="0.45">
      <c r="A773" t="s">
        <v>1552</v>
      </c>
      <c r="B773" s="1">
        <v>44730</v>
      </c>
      <c r="C773" t="s">
        <v>1553</v>
      </c>
      <c r="D773" t="s">
        <v>26</v>
      </c>
      <c r="E773" t="s">
        <v>14</v>
      </c>
      <c r="F773" t="s">
        <v>32</v>
      </c>
      <c r="G773">
        <v>3</v>
      </c>
      <c r="H773">
        <v>40082.620000000003</v>
      </c>
      <c r="I773">
        <v>4264.91</v>
      </c>
      <c r="J773" t="s">
        <v>28</v>
      </c>
      <c r="K773" t="s">
        <v>33</v>
      </c>
      <c r="L773">
        <f t="shared" si="36"/>
        <v>2022</v>
      </c>
      <c r="M773" t="str">
        <f t="shared" si="37"/>
        <v>Jun</v>
      </c>
      <c r="N773" s="2">
        <f t="shared" si="38"/>
        <v>0.10640297465584833</v>
      </c>
    </row>
    <row r="774" spans="1:14" x14ac:dyDescent="0.45">
      <c r="A774" t="s">
        <v>1554</v>
      </c>
      <c r="B774" s="1">
        <v>44842</v>
      </c>
      <c r="C774" t="s">
        <v>1555</v>
      </c>
      <c r="D774" t="s">
        <v>26</v>
      </c>
      <c r="E774" t="s">
        <v>20</v>
      </c>
      <c r="F774" t="s">
        <v>27</v>
      </c>
      <c r="G774">
        <v>1</v>
      </c>
      <c r="H774">
        <v>9121.5499999999993</v>
      </c>
      <c r="I774">
        <v>2003.1</v>
      </c>
      <c r="J774" t="s">
        <v>22</v>
      </c>
      <c r="K774" t="s">
        <v>23</v>
      </c>
      <c r="L774">
        <f t="shared" si="36"/>
        <v>2022</v>
      </c>
      <c r="M774" t="str">
        <f t="shared" si="37"/>
        <v>Oct</v>
      </c>
      <c r="N774" s="2">
        <f t="shared" si="38"/>
        <v>0.21960083538433711</v>
      </c>
    </row>
    <row r="775" spans="1:14" x14ac:dyDescent="0.45">
      <c r="A775" t="s">
        <v>1556</v>
      </c>
      <c r="B775" s="1">
        <v>44924</v>
      </c>
      <c r="C775" t="s">
        <v>1557</v>
      </c>
      <c r="D775" t="s">
        <v>13</v>
      </c>
      <c r="E775" t="s">
        <v>14</v>
      </c>
      <c r="F775" t="s">
        <v>57</v>
      </c>
      <c r="G775">
        <v>2</v>
      </c>
      <c r="H775">
        <v>5609.88</v>
      </c>
      <c r="I775">
        <v>1321.93</v>
      </c>
      <c r="J775" t="s">
        <v>28</v>
      </c>
      <c r="K775" t="s">
        <v>33</v>
      </c>
      <c r="L775">
        <f t="shared" si="36"/>
        <v>2022</v>
      </c>
      <c r="M775" t="str">
        <f t="shared" si="37"/>
        <v>Dec</v>
      </c>
      <c r="N775" s="2">
        <f t="shared" si="38"/>
        <v>0.23564318666352935</v>
      </c>
    </row>
    <row r="776" spans="1:14" x14ac:dyDescent="0.45">
      <c r="A776" t="s">
        <v>1558</v>
      </c>
      <c r="B776" s="1">
        <v>45554</v>
      </c>
      <c r="C776" t="s">
        <v>1559</v>
      </c>
      <c r="D776" t="s">
        <v>56</v>
      </c>
      <c r="E776" t="s">
        <v>36</v>
      </c>
      <c r="F776" t="s">
        <v>37</v>
      </c>
      <c r="G776">
        <v>5</v>
      </c>
      <c r="H776">
        <v>47960.9</v>
      </c>
      <c r="I776">
        <v>3778.03</v>
      </c>
      <c r="J776" t="s">
        <v>16</v>
      </c>
      <c r="K776" t="s">
        <v>33</v>
      </c>
      <c r="L776">
        <f t="shared" si="36"/>
        <v>2024</v>
      </c>
      <c r="M776" t="str">
        <f t="shared" si="37"/>
        <v>Sep</v>
      </c>
      <c r="N776" s="2">
        <f t="shared" si="38"/>
        <v>7.8773125608568653E-2</v>
      </c>
    </row>
    <row r="777" spans="1:14" x14ac:dyDescent="0.45">
      <c r="A777" t="s">
        <v>1560</v>
      </c>
      <c r="B777" s="1">
        <v>45186</v>
      </c>
      <c r="C777" t="s">
        <v>1561</v>
      </c>
      <c r="D777" t="s">
        <v>26</v>
      </c>
      <c r="E777" t="s">
        <v>14</v>
      </c>
      <c r="F777" t="s">
        <v>57</v>
      </c>
      <c r="G777">
        <v>1</v>
      </c>
      <c r="H777">
        <v>25110.32</v>
      </c>
      <c r="I777">
        <v>4068.36</v>
      </c>
      <c r="J777" t="s">
        <v>47</v>
      </c>
      <c r="K777" t="s">
        <v>29</v>
      </c>
      <c r="L777">
        <f t="shared" si="36"/>
        <v>2023</v>
      </c>
      <c r="M777" t="str">
        <f t="shared" si="37"/>
        <v>Sep</v>
      </c>
      <c r="N777" s="2">
        <f t="shared" si="38"/>
        <v>0.16201944061246532</v>
      </c>
    </row>
    <row r="778" spans="1:14" x14ac:dyDescent="0.45">
      <c r="A778" t="s">
        <v>1562</v>
      </c>
      <c r="B778" s="1">
        <v>44588</v>
      </c>
      <c r="C778" t="s">
        <v>1563</v>
      </c>
      <c r="D778" t="s">
        <v>56</v>
      </c>
      <c r="E778" t="s">
        <v>20</v>
      </c>
      <c r="F778" t="s">
        <v>43</v>
      </c>
      <c r="G778">
        <v>3</v>
      </c>
      <c r="H778">
        <v>6505.13</v>
      </c>
      <c r="I778">
        <v>547.42999999999995</v>
      </c>
      <c r="J778" t="s">
        <v>28</v>
      </c>
      <c r="K778" t="s">
        <v>17</v>
      </c>
      <c r="L778">
        <f t="shared" si="36"/>
        <v>2022</v>
      </c>
      <c r="M778" t="str">
        <f t="shared" si="37"/>
        <v>Jan</v>
      </c>
      <c r="N778" s="2">
        <f t="shared" si="38"/>
        <v>8.4153583402637608E-2</v>
      </c>
    </row>
    <row r="779" spans="1:14" x14ac:dyDescent="0.45">
      <c r="A779" t="s">
        <v>1564</v>
      </c>
      <c r="B779" s="1">
        <v>45243</v>
      </c>
      <c r="C779" t="s">
        <v>1565</v>
      </c>
      <c r="D779" t="s">
        <v>26</v>
      </c>
      <c r="E779" t="s">
        <v>14</v>
      </c>
      <c r="F779" t="s">
        <v>32</v>
      </c>
      <c r="G779">
        <v>5</v>
      </c>
      <c r="H779">
        <v>12342.36</v>
      </c>
      <c r="I779">
        <v>879.84</v>
      </c>
      <c r="J779" t="s">
        <v>22</v>
      </c>
      <c r="K779" t="s">
        <v>33</v>
      </c>
      <c r="L779">
        <f t="shared" si="36"/>
        <v>2023</v>
      </c>
      <c r="M779" t="str">
        <f t="shared" si="37"/>
        <v>Nov</v>
      </c>
      <c r="N779" s="2">
        <f t="shared" si="38"/>
        <v>7.1286204583240156E-2</v>
      </c>
    </row>
    <row r="780" spans="1:14" x14ac:dyDescent="0.45">
      <c r="A780" t="s">
        <v>1566</v>
      </c>
      <c r="B780" s="1">
        <v>45418</v>
      </c>
      <c r="C780" t="s">
        <v>1567</v>
      </c>
      <c r="D780" t="s">
        <v>56</v>
      </c>
      <c r="E780" t="s">
        <v>36</v>
      </c>
      <c r="F780" t="s">
        <v>37</v>
      </c>
      <c r="G780">
        <v>4</v>
      </c>
      <c r="H780">
        <v>40842.49</v>
      </c>
      <c r="I780">
        <v>2854.24</v>
      </c>
      <c r="J780" t="s">
        <v>22</v>
      </c>
      <c r="K780" t="s">
        <v>29</v>
      </c>
      <c r="L780">
        <f t="shared" si="36"/>
        <v>2024</v>
      </c>
      <c r="M780" t="str">
        <f t="shared" si="37"/>
        <v>May</v>
      </c>
      <c r="N780" s="2">
        <f t="shared" si="38"/>
        <v>6.9884083952765852E-2</v>
      </c>
    </row>
    <row r="781" spans="1:14" x14ac:dyDescent="0.45">
      <c r="A781" t="s">
        <v>1568</v>
      </c>
      <c r="B781" s="1">
        <v>45388</v>
      </c>
      <c r="C781" t="s">
        <v>1569</v>
      </c>
      <c r="D781" t="s">
        <v>26</v>
      </c>
      <c r="E781" t="s">
        <v>36</v>
      </c>
      <c r="F781" t="s">
        <v>37</v>
      </c>
      <c r="G781">
        <v>2</v>
      </c>
      <c r="H781">
        <v>14408.68</v>
      </c>
      <c r="I781">
        <v>3349.89</v>
      </c>
      <c r="J781" t="s">
        <v>71</v>
      </c>
      <c r="K781" t="s">
        <v>17</v>
      </c>
      <c r="L781">
        <f t="shared" si="36"/>
        <v>2024</v>
      </c>
      <c r="M781" t="str">
        <f t="shared" si="37"/>
        <v>Apr</v>
      </c>
      <c r="N781" s="2">
        <f t="shared" si="38"/>
        <v>0.23249110952564703</v>
      </c>
    </row>
    <row r="782" spans="1:14" x14ac:dyDescent="0.45">
      <c r="A782" t="s">
        <v>1570</v>
      </c>
      <c r="B782" s="1">
        <v>44582</v>
      </c>
      <c r="C782" t="s">
        <v>1571</v>
      </c>
      <c r="D782" t="s">
        <v>13</v>
      </c>
      <c r="E782" t="s">
        <v>36</v>
      </c>
      <c r="F782" t="s">
        <v>37</v>
      </c>
      <c r="G782">
        <v>2</v>
      </c>
      <c r="H782">
        <v>9933.5300000000007</v>
      </c>
      <c r="I782">
        <v>1883.06</v>
      </c>
      <c r="J782" t="s">
        <v>71</v>
      </c>
      <c r="K782" t="s">
        <v>23</v>
      </c>
      <c r="L782">
        <f t="shared" si="36"/>
        <v>2022</v>
      </c>
      <c r="M782" t="str">
        <f t="shared" si="37"/>
        <v>Jan</v>
      </c>
      <c r="N782" s="2">
        <f t="shared" si="38"/>
        <v>0.18956604550446818</v>
      </c>
    </row>
    <row r="783" spans="1:14" x14ac:dyDescent="0.45">
      <c r="A783" t="s">
        <v>1572</v>
      </c>
      <c r="B783" s="1">
        <v>44752</v>
      </c>
      <c r="C783" t="s">
        <v>1573</v>
      </c>
      <c r="D783" t="s">
        <v>56</v>
      </c>
      <c r="E783" t="s">
        <v>14</v>
      </c>
      <c r="F783" t="s">
        <v>15</v>
      </c>
      <c r="G783">
        <v>5</v>
      </c>
      <c r="H783">
        <v>36116.71</v>
      </c>
      <c r="I783">
        <v>2324.4</v>
      </c>
      <c r="J783" t="s">
        <v>47</v>
      </c>
      <c r="K783" t="s">
        <v>23</v>
      </c>
      <c r="L783">
        <f t="shared" si="36"/>
        <v>2022</v>
      </c>
      <c r="M783" t="str">
        <f t="shared" si="37"/>
        <v>Jul</v>
      </c>
      <c r="N783" s="2">
        <f t="shared" si="38"/>
        <v>6.4358021536291651E-2</v>
      </c>
    </row>
    <row r="784" spans="1:14" x14ac:dyDescent="0.45">
      <c r="A784" t="s">
        <v>1574</v>
      </c>
      <c r="B784" s="1">
        <v>45532</v>
      </c>
      <c r="C784" t="s">
        <v>1575</v>
      </c>
      <c r="D784" t="s">
        <v>13</v>
      </c>
      <c r="E784" t="s">
        <v>14</v>
      </c>
      <c r="F784" t="s">
        <v>57</v>
      </c>
      <c r="G784">
        <v>1</v>
      </c>
      <c r="H784">
        <v>4806.62</v>
      </c>
      <c r="I784">
        <v>722.58</v>
      </c>
      <c r="J784" t="s">
        <v>47</v>
      </c>
      <c r="K784" t="s">
        <v>23</v>
      </c>
      <c r="L784">
        <f t="shared" si="36"/>
        <v>2024</v>
      </c>
      <c r="M784" t="str">
        <f t="shared" si="37"/>
        <v>Aug</v>
      </c>
      <c r="N784" s="2">
        <f t="shared" si="38"/>
        <v>0.15033016964103674</v>
      </c>
    </row>
    <row r="785" spans="1:14" x14ac:dyDescent="0.45">
      <c r="A785" t="s">
        <v>1576</v>
      </c>
      <c r="B785" s="1">
        <v>44650</v>
      </c>
      <c r="C785" t="s">
        <v>1577</v>
      </c>
      <c r="D785" t="s">
        <v>13</v>
      </c>
      <c r="E785" t="s">
        <v>20</v>
      </c>
      <c r="F785" t="s">
        <v>21</v>
      </c>
      <c r="G785">
        <v>4</v>
      </c>
      <c r="H785">
        <v>38519.589999999997</v>
      </c>
      <c r="I785">
        <v>9439.7199999999993</v>
      </c>
      <c r="J785" t="s">
        <v>16</v>
      </c>
      <c r="K785" t="s">
        <v>33</v>
      </c>
      <c r="L785">
        <f t="shared" si="36"/>
        <v>2022</v>
      </c>
      <c r="M785" t="str">
        <f t="shared" si="37"/>
        <v>Mar</v>
      </c>
      <c r="N785" s="2">
        <f t="shared" si="38"/>
        <v>0.24506283685781702</v>
      </c>
    </row>
    <row r="786" spans="1:14" x14ac:dyDescent="0.45">
      <c r="A786" t="s">
        <v>1578</v>
      </c>
      <c r="B786" s="1">
        <v>44604</v>
      </c>
      <c r="C786" t="s">
        <v>1579</v>
      </c>
      <c r="D786" t="s">
        <v>56</v>
      </c>
      <c r="E786" t="s">
        <v>36</v>
      </c>
      <c r="F786" t="s">
        <v>37</v>
      </c>
      <c r="G786">
        <v>4</v>
      </c>
      <c r="H786">
        <v>37305.33</v>
      </c>
      <c r="I786">
        <v>1962.05</v>
      </c>
      <c r="J786" t="s">
        <v>47</v>
      </c>
      <c r="K786" t="s">
        <v>23</v>
      </c>
      <c r="L786">
        <f t="shared" si="36"/>
        <v>2022</v>
      </c>
      <c r="M786" t="str">
        <f t="shared" si="37"/>
        <v>Feb</v>
      </c>
      <c r="N786" s="2">
        <f t="shared" si="38"/>
        <v>5.2594361181096637E-2</v>
      </c>
    </row>
    <row r="787" spans="1:14" x14ac:dyDescent="0.45">
      <c r="A787" t="s">
        <v>1580</v>
      </c>
      <c r="B787" s="1">
        <v>45480</v>
      </c>
      <c r="C787" t="s">
        <v>1581</v>
      </c>
      <c r="D787" t="s">
        <v>26</v>
      </c>
      <c r="E787" t="s">
        <v>14</v>
      </c>
      <c r="F787" t="s">
        <v>32</v>
      </c>
      <c r="G787">
        <v>5</v>
      </c>
      <c r="H787">
        <v>25398.62</v>
      </c>
      <c r="I787">
        <v>1297.5999999999999</v>
      </c>
      <c r="J787" t="s">
        <v>16</v>
      </c>
      <c r="K787" t="s">
        <v>17</v>
      </c>
      <c r="L787">
        <f t="shared" si="36"/>
        <v>2024</v>
      </c>
      <c r="M787" t="str">
        <f t="shared" si="37"/>
        <v>Jul</v>
      </c>
      <c r="N787" s="2">
        <f t="shared" si="38"/>
        <v>5.1089389895986471E-2</v>
      </c>
    </row>
    <row r="788" spans="1:14" x14ac:dyDescent="0.45">
      <c r="A788" t="s">
        <v>1582</v>
      </c>
      <c r="B788" s="1">
        <v>45654</v>
      </c>
      <c r="C788" t="s">
        <v>1583</v>
      </c>
      <c r="D788" t="s">
        <v>26</v>
      </c>
      <c r="E788" t="s">
        <v>20</v>
      </c>
      <c r="F788" t="s">
        <v>27</v>
      </c>
      <c r="G788">
        <v>1</v>
      </c>
      <c r="H788">
        <v>2045.23</v>
      </c>
      <c r="I788">
        <v>335.88</v>
      </c>
      <c r="J788" t="s">
        <v>16</v>
      </c>
      <c r="K788" t="s">
        <v>17</v>
      </c>
      <c r="L788">
        <f t="shared" si="36"/>
        <v>2024</v>
      </c>
      <c r="M788" t="str">
        <f t="shared" si="37"/>
        <v>Dec</v>
      </c>
      <c r="N788" s="2">
        <f t="shared" si="38"/>
        <v>0.16422602836844755</v>
      </c>
    </row>
    <row r="789" spans="1:14" x14ac:dyDescent="0.45">
      <c r="A789" t="s">
        <v>1584</v>
      </c>
      <c r="B789" s="1">
        <v>44762</v>
      </c>
      <c r="C789" t="s">
        <v>1585</v>
      </c>
      <c r="D789" t="s">
        <v>26</v>
      </c>
      <c r="E789" t="s">
        <v>36</v>
      </c>
      <c r="F789" t="s">
        <v>64</v>
      </c>
      <c r="G789">
        <v>1</v>
      </c>
      <c r="H789">
        <v>7776.83</v>
      </c>
      <c r="I789">
        <v>1444.71</v>
      </c>
      <c r="J789" t="s">
        <v>22</v>
      </c>
      <c r="K789" t="s">
        <v>17</v>
      </c>
      <c r="L789">
        <f t="shared" si="36"/>
        <v>2022</v>
      </c>
      <c r="M789" t="str">
        <f t="shared" si="37"/>
        <v>Jul</v>
      </c>
      <c r="N789" s="2">
        <f t="shared" si="38"/>
        <v>0.18577106610276939</v>
      </c>
    </row>
    <row r="790" spans="1:14" x14ac:dyDescent="0.45">
      <c r="A790" t="s">
        <v>1586</v>
      </c>
      <c r="B790" s="1">
        <v>45243</v>
      </c>
      <c r="C790" t="s">
        <v>1587</v>
      </c>
      <c r="D790" t="s">
        <v>26</v>
      </c>
      <c r="E790" t="s">
        <v>36</v>
      </c>
      <c r="F790" t="s">
        <v>64</v>
      </c>
      <c r="G790">
        <v>1</v>
      </c>
      <c r="H790">
        <v>40263.72</v>
      </c>
      <c r="I790">
        <v>9259.51</v>
      </c>
      <c r="J790" t="s">
        <v>71</v>
      </c>
      <c r="K790" t="s">
        <v>33</v>
      </c>
      <c r="L790">
        <f t="shared" si="36"/>
        <v>2023</v>
      </c>
      <c r="M790" t="str">
        <f t="shared" si="37"/>
        <v>Nov</v>
      </c>
      <c r="N790" s="2">
        <f t="shared" si="38"/>
        <v>0.2299715475867605</v>
      </c>
    </row>
    <row r="791" spans="1:14" x14ac:dyDescent="0.45">
      <c r="A791" t="s">
        <v>1588</v>
      </c>
      <c r="B791" s="1">
        <v>45116</v>
      </c>
      <c r="C791" t="s">
        <v>1589</v>
      </c>
      <c r="D791" t="s">
        <v>13</v>
      </c>
      <c r="E791" t="s">
        <v>14</v>
      </c>
      <c r="F791" t="s">
        <v>15</v>
      </c>
      <c r="G791">
        <v>5</v>
      </c>
      <c r="H791">
        <v>3275.63</v>
      </c>
      <c r="I791">
        <v>287.39999999999998</v>
      </c>
      <c r="J791" t="s">
        <v>71</v>
      </c>
      <c r="K791" t="s">
        <v>33</v>
      </c>
      <c r="L791">
        <f t="shared" si="36"/>
        <v>2023</v>
      </c>
      <c r="M791" t="str">
        <f t="shared" si="37"/>
        <v>Jul</v>
      </c>
      <c r="N791" s="2">
        <f t="shared" si="38"/>
        <v>8.7738847183595203E-2</v>
      </c>
    </row>
    <row r="792" spans="1:14" x14ac:dyDescent="0.45">
      <c r="A792" t="s">
        <v>1590</v>
      </c>
      <c r="B792" s="1">
        <v>45534</v>
      </c>
      <c r="C792" t="s">
        <v>1591</v>
      </c>
      <c r="D792" t="s">
        <v>26</v>
      </c>
      <c r="E792" t="s">
        <v>36</v>
      </c>
      <c r="F792" t="s">
        <v>64</v>
      </c>
      <c r="G792">
        <v>5</v>
      </c>
      <c r="H792">
        <v>49169.57</v>
      </c>
      <c r="I792">
        <v>6615.02</v>
      </c>
      <c r="J792" t="s">
        <v>47</v>
      </c>
      <c r="K792" t="s">
        <v>23</v>
      </c>
      <c r="L792">
        <f t="shared" si="36"/>
        <v>2024</v>
      </c>
      <c r="M792" t="str">
        <f t="shared" si="37"/>
        <v>Aug</v>
      </c>
      <c r="N792" s="2">
        <f t="shared" si="38"/>
        <v>0.134534835264982</v>
      </c>
    </row>
    <row r="793" spans="1:14" x14ac:dyDescent="0.45">
      <c r="A793" t="s">
        <v>1592</v>
      </c>
      <c r="B793" s="1">
        <v>45011</v>
      </c>
      <c r="C793" t="s">
        <v>1593</v>
      </c>
      <c r="D793" t="s">
        <v>13</v>
      </c>
      <c r="E793" t="s">
        <v>20</v>
      </c>
      <c r="F793" t="s">
        <v>43</v>
      </c>
      <c r="G793">
        <v>4</v>
      </c>
      <c r="H793">
        <v>15842.33</v>
      </c>
      <c r="I793">
        <v>993.26</v>
      </c>
      <c r="J793" t="s">
        <v>71</v>
      </c>
      <c r="K793" t="s">
        <v>29</v>
      </c>
      <c r="L793">
        <f t="shared" si="36"/>
        <v>2023</v>
      </c>
      <c r="M793" t="str">
        <f t="shared" si="37"/>
        <v>Mar</v>
      </c>
      <c r="N793" s="2">
        <f t="shared" si="38"/>
        <v>6.2696585666376092E-2</v>
      </c>
    </row>
    <row r="794" spans="1:14" x14ac:dyDescent="0.45">
      <c r="A794" t="s">
        <v>1594</v>
      </c>
      <c r="B794" s="1">
        <v>45083</v>
      </c>
      <c r="C794" t="s">
        <v>1595</v>
      </c>
      <c r="D794" t="s">
        <v>13</v>
      </c>
      <c r="E794" t="s">
        <v>36</v>
      </c>
      <c r="F794" t="s">
        <v>46</v>
      </c>
      <c r="G794">
        <v>4</v>
      </c>
      <c r="H794">
        <v>35596.46</v>
      </c>
      <c r="I794">
        <v>4215.58</v>
      </c>
      <c r="J794" t="s">
        <v>22</v>
      </c>
      <c r="K794" t="s">
        <v>23</v>
      </c>
      <c r="L794">
        <f t="shared" si="36"/>
        <v>2023</v>
      </c>
      <c r="M794" t="str">
        <f t="shared" si="37"/>
        <v>Jun</v>
      </c>
      <c r="N794" s="2">
        <f t="shared" si="38"/>
        <v>0.11842694470180462</v>
      </c>
    </row>
    <row r="795" spans="1:14" x14ac:dyDescent="0.45">
      <c r="A795" t="s">
        <v>1596</v>
      </c>
      <c r="B795" s="1">
        <v>44866</v>
      </c>
      <c r="C795" t="s">
        <v>1597</v>
      </c>
      <c r="D795" t="s">
        <v>26</v>
      </c>
      <c r="E795" t="s">
        <v>14</v>
      </c>
      <c r="F795" t="s">
        <v>57</v>
      </c>
      <c r="G795">
        <v>5</v>
      </c>
      <c r="H795">
        <v>29389.279999999999</v>
      </c>
      <c r="I795">
        <v>6936.12</v>
      </c>
      <c r="J795" t="s">
        <v>28</v>
      </c>
      <c r="K795" t="s">
        <v>23</v>
      </c>
      <c r="L795">
        <f t="shared" si="36"/>
        <v>2022</v>
      </c>
      <c r="M795" t="str">
        <f t="shared" si="37"/>
        <v>Nov</v>
      </c>
      <c r="N795" s="2">
        <f t="shared" si="38"/>
        <v>0.23600850378097049</v>
      </c>
    </row>
    <row r="796" spans="1:14" x14ac:dyDescent="0.45">
      <c r="A796" t="s">
        <v>1598</v>
      </c>
      <c r="B796" s="1">
        <v>44914</v>
      </c>
      <c r="C796" t="s">
        <v>1599</v>
      </c>
      <c r="D796" t="s">
        <v>56</v>
      </c>
      <c r="E796" t="s">
        <v>14</v>
      </c>
      <c r="F796" t="s">
        <v>57</v>
      </c>
      <c r="G796">
        <v>5</v>
      </c>
      <c r="H796">
        <v>24972</v>
      </c>
      <c r="I796">
        <v>4492.2700000000004</v>
      </c>
      <c r="J796" t="s">
        <v>22</v>
      </c>
      <c r="K796" t="s">
        <v>17</v>
      </c>
      <c r="L796">
        <f t="shared" si="36"/>
        <v>2022</v>
      </c>
      <c r="M796" t="str">
        <f t="shared" si="37"/>
        <v>Dec</v>
      </c>
      <c r="N796" s="2">
        <f t="shared" si="38"/>
        <v>0.17989227935287525</v>
      </c>
    </row>
    <row r="797" spans="1:14" x14ac:dyDescent="0.45">
      <c r="A797" t="s">
        <v>1600</v>
      </c>
      <c r="B797" s="1">
        <v>45293</v>
      </c>
      <c r="C797" t="s">
        <v>1601</v>
      </c>
      <c r="D797" t="s">
        <v>56</v>
      </c>
      <c r="E797" t="s">
        <v>36</v>
      </c>
      <c r="F797" t="s">
        <v>53</v>
      </c>
      <c r="G797">
        <v>5</v>
      </c>
      <c r="H797">
        <v>36630.67</v>
      </c>
      <c r="I797">
        <v>8724.69</v>
      </c>
      <c r="J797" t="s">
        <v>22</v>
      </c>
      <c r="K797" t="s">
        <v>23</v>
      </c>
      <c r="L797">
        <f t="shared" si="36"/>
        <v>2024</v>
      </c>
      <c r="M797" t="str">
        <f t="shared" si="37"/>
        <v>Jan</v>
      </c>
      <c r="N797" s="2">
        <f t="shared" si="38"/>
        <v>0.23817991863102697</v>
      </c>
    </row>
    <row r="798" spans="1:14" x14ac:dyDescent="0.45">
      <c r="A798" t="s">
        <v>1602</v>
      </c>
      <c r="B798" s="1">
        <v>45199</v>
      </c>
      <c r="C798" t="s">
        <v>706</v>
      </c>
      <c r="D798" t="s">
        <v>56</v>
      </c>
      <c r="E798" t="s">
        <v>20</v>
      </c>
      <c r="F798" t="s">
        <v>21</v>
      </c>
      <c r="G798">
        <v>5</v>
      </c>
      <c r="H798">
        <v>42453.31</v>
      </c>
      <c r="I798">
        <v>8594.94</v>
      </c>
      <c r="J798" t="s">
        <v>22</v>
      </c>
      <c r="K798" t="s">
        <v>29</v>
      </c>
      <c r="L798">
        <f t="shared" si="36"/>
        <v>2023</v>
      </c>
      <c r="M798" t="str">
        <f t="shared" si="37"/>
        <v>Sep</v>
      </c>
      <c r="N798" s="2">
        <f t="shared" si="38"/>
        <v>0.20245629846059121</v>
      </c>
    </row>
    <row r="799" spans="1:14" x14ac:dyDescent="0.45">
      <c r="A799" t="s">
        <v>1603</v>
      </c>
      <c r="B799" s="1">
        <v>45115</v>
      </c>
      <c r="C799" t="s">
        <v>1604</v>
      </c>
      <c r="D799" t="s">
        <v>56</v>
      </c>
      <c r="E799" t="s">
        <v>20</v>
      </c>
      <c r="F799" t="s">
        <v>27</v>
      </c>
      <c r="G799">
        <v>1</v>
      </c>
      <c r="H799">
        <v>43826.82</v>
      </c>
      <c r="I799">
        <v>3791.09</v>
      </c>
      <c r="J799" t="s">
        <v>28</v>
      </c>
      <c r="K799" t="s">
        <v>17</v>
      </c>
      <c r="L799">
        <f t="shared" si="36"/>
        <v>2023</v>
      </c>
      <c r="M799" t="str">
        <f t="shared" si="37"/>
        <v>Jul</v>
      </c>
      <c r="N799" s="2">
        <f t="shared" si="38"/>
        <v>8.6501598792702736E-2</v>
      </c>
    </row>
    <row r="800" spans="1:14" x14ac:dyDescent="0.45">
      <c r="A800" t="s">
        <v>1605</v>
      </c>
      <c r="B800" s="1">
        <v>45604</v>
      </c>
      <c r="C800" t="s">
        <v>1606</v>
      </c>
      <c r="D800" t="s">
        <v>26</v>
      </c>
      <c r="E800" t="s">
        <v>14</v>
      </c>
      <c r="F800" t="s">
        <v>57</v>
      </c>
      <c r="G800">
        <v>5</v>
      </c>
      <c r="H800">
        <v>3646.65</v>
      </c>
      <c r="I800">
        <v>333.73</v>
      </c>
      <c r="J800" t="s">
        <v>28</v>
      </c>
      <c r="K800" t="s">
        <v>33</v>
      </c>
      <c r="L800">
        <f t="shared" si="36"/>
        <v>2024</v>
      </c>
      <c r="M800" t="str">
        <f t="shared" si="37"/>
        <v>Nov</v>
      </c>
      <c r="N800" s="2">
        <f t="shared" si="38"/>
        <v>9.1516871649321985E-2</v>
      </c>
    </row>
    <row r="801" spans="1:14" x14ac:dyDescent="0.45">
      <c r="A801" t="s">
        <v>1607</v>
      </c>
      <c r="B801" s="1">
        <v>45023</v>
      </c>
      <c r="C801" t="s">
        <v>1084</v>
      </c>
      <c r="D801" t="s">
        <v>56</v>
      </c>
      <c r="E801" t="s">
        <v>36</v>
      </c>
      <c r="F801" t="s">
        <v>46</v>
      </c>
      <c r="G801">
        <v>3</v>
      </c>
      <c r="H801">
        <v>48085.2</v>
      </c>
      <c r="I801">
        <v>8588.24</v>
      </c>
      <c r="J801" t="s">
        <v>16</v>
      </c>
      <c r="K801" t="s">
        <v>23</v>
      </c>
      <c r="L801">
        <f t="shared" si="36"/>
        <v>2023</v>
      </c>
      <c r="M801" t="str">
        <f t="shared" si="37"/>
        <v>Apr</v>
      </c>
      <c r="N801" s="2">
        <f t="shared" si="38"/>
        <v>0.17860464342458804</v>
      </c>
    </row>
    <row r="802" spans="1:14" x14ac:dyDescent="0.45">
      <c r="A802" t="s">
        <v>1608</v>
      </c>
      <c r="B802" s="1">
        <v>44747</v>
      </c>
      <c r="C802" t="s">
        <v>1609</v>
      </c>
      <c r="D802" t="s">
        <v>13</v>
      </c>
      <c r="E802" t="s">
        <v>14</v>
      </c>
      <c r="F802" t="s">
        <v>57</v>
      </c>
      <c r="G802">
        <v>3</v>
      </c>
      <c r="H802">
        <v>2381.33</v>
      </c>
      <c r="I802">
        <v>481.7</v>
      </c>
      <c r="J802" t="s">
        <v>28</v>
      </c>
      <c r="K802" t="s">
        <v>17</v>
      </c>
      <c r="L802">
        <f t="shared" si="36"/>
        <v>2022</v>
      </c>
      <c r="M802" t="str">
        <f t="shared" si="37"/>
        <v>Jul</v>
      </c>
      <c r="N802" s="2">
        <f t="shared" si="38"/>
        <v>0.20228191808779128</v>
      </c>
    </row>
    <row r="803" spans="1:14" x14ac:dyDescent="0.45">
      <c r="A803" t="s">
        <v>1610</v>
      </c>
      <c r="B803" s="1">
        <v>45529</v>
      </c>
      <c r="C803" t="s">
        <v>1611</v>
      </c>
      <c r="D803" t="s">
        <v>26</v>
      </c>
      <c r="E803" t="s">
        <v>20</v>
      </c>
      <c r="F803" t="s">
        <v>43</v>
      </c>
      <c r="G803">
        <v>5</v>
      </c>
      <c r="H803">
        <v>34551.11</v>
      </c>
      <c r="I803">
        <v>8002.67</v>
      </c>
      <c r="J803" t="s">
        <v>47</v>
      </c>
      <c r="K803" t="s">
        <v>33</v>
      </c>
      <c r="L803">
        <f t="shared" si="36"/>
        <v>2024</v>
      </c>
      <c r="M803" t="str">
        <f t="shared" si="37"/>
        <v>Aug</v>
      </c>
      <c r="N803" s="2">
        <f t="shared" si="38"/>
        <v>0.23161831848528167</v>
      </c>
    </row>
    <row r="804" spans="1:14" x14ac:dyDescent="0.45">
      <c r="A804" t="s">
        <v>1612</v>
      </c>
      <c r="B804" s="1">
        <v>45141</v>
      </c>
      <c r="C804" t="s">
        <v>923</v>
      </c>
      <c r="D804" t="s">
        <v>13</v>
      </c>
      <c r="E804" t="s">
        <v>14</v>
      </c>
      <c r="F804" t="s">
        <v>15</v>
      </c>
      <c r="G804">
        <v>5</v>
      </c>
      <c r="H804">
        <v>20263.37</v>
      </c>
      <c r="I804">
        <v>4021.87</v>
      </c>
      <c r="J804" t="s">
        <v>16</v>
      </c>
      <c r="K804" t="s">
        <v>23</v>
      </c>
      <c r="L804">
        <f t="shared" si="36"/>
        <v>2023</v>
      </c>
      <c r="M804" t="str">
        <f t="shared" si="37"/>
        <v>Aug</v>
      </c>
      <c r="N804" s="2">
        <f t="shared" si="38"/>
        <v>0.19847981850995169</v>
      </c>
    </row>
    <row r="805" spans="1:14" x14ac:dyDescent="0.45">
      <c r="A805" t="s">
        <v>1613</v>
      </c>
      <c r="B805" s="1">
        <v>45141</v>
      </c>
      <c r="C805" t="s">
        <v>1614</v>
      </c>
      <c r="D805" t="s">
        <v>13</v>
      </c>
      <c r="E805" t="s">
        <v>20</v>
      </c>
      <c r="F805" t="s">
        <v>43</v>
      </c>
      <c r="G805">
        <v>5</v>
      </c>
      <c r="H805">
        <v>46463.99</v>
      </c>
      <c r="I805">
        <v>10580.24</v>
      </c>
      <c r="J805" t="s">
        <v>16</v>
      </c>
      <c r="K805" t="s">
        <v>17</v>
      </c>
      <c r="L805">
        <f t="shared" si="36"/>
        <v>2023</v>
      </c>
      <c r="M805" t="str">
        <f t="shared" si="37"/>
        <v>Aug</v>
      </c>
      <c r="N805" s="2">
        <f t="shared" si="38"/>
        <v>0.22770838234081922</v>
      </c>
    </row>
    <row r="806" spans="1:14" x14ac:dyDescent="0.45">
      <c r="A806" t="s">
        <v>1615</v>
      </c>
      <c r="B806" s="1">
        <v>45561</v>
      </c>
      <c r="C806" t="s">
        <v>1616</v>
      </c>
      <c r="D806" t="s">
        <v>26</v>
      </c>
      <c r="E806" t="s">
        <v>20</v>
      </c>
      <c r="F806" t="s">
        <v>27</v>
      </c>
      <c r="G806">
        <v>5</v>
      </c>
      <c r="H806">
        <v>10569.42</v>
      </c>
      <c r="I806">
        <v>2617.2600000000002</v>
      </c>
      <c r="J806" t="s">
        <v>28</v>
      </c>
      <c r="K806" t="s">
        <v>33</v>
      </c>
      <c r="L806">
        <f t="shared" si="36"/>
        <v>2024</v>
      </c>
      <c r="M806" t="str">
        <f t="shared" si="37"/>
        <v>Sep</v>
      </c>
      <c r="N806" s="2">
        <f t="shared" si="38"/>
        <v>0.24762569753117958</v>
      </c>
    </row>
    <row r="807" spans="1:14" x14ac:dyDescent="0.45">
      <c r="A807" t="s">
        <v>1617</v>
      </c>
      <c r="B807" s="1">
        <v>45124</v>
      </c>
      <c r="C807" t="s">
        <v>1618</v>
      </c>
      <c r="D807" t="s">
        <v>56</v>
      </c>
      <c r="E807" t="s">
        <v>20</v>
      </c>
      <c r="F807" t="s">
        <v>50</v>
      </c>
      <c r="G807">
        <v>2</v>
      </c>
      <c r="H807">
        <v>6480.3</v>
      </c>
      <c r="I807">
        <v>1062.42</v>
      </c>
      <c r="J807" t="s">
        <v>47</v>
      </c>
      <c r="K807" t="s">
        <v>29</v>
      </c>
      <c r="L807">
        <f t="shared" si="36"/>
        <v>2023</v>
      </c>
      <c r="M807" t="str">
        <f t="shared" si="37"/>
        <v>Jul</v>
      </c>
      <c r="N807" s="2">
        <f t="shared" si="38"/>
        <v>0.1639461136058516</v>
      </c>
    </row>
    <row r="808" spans="1:14" x14ac:dyDescent="0.45">
      <c r="A808" t="s">
        <v>1619</v>
      </c>
      <c r="B808" s="1">
        <v>45440</v>
      </c>
      <c r="C808" t="s">
        <v>1620</v>
      </c>
      <c r="D808" t="s">
        <v>56</v>
      </c>
      <c r="E808" t="s">
        <v>36</v>
      </c>
      <c r="F808" t="s">
        <v>64</v>
      </c>
      <c r="G808">
        <v>1</v>
      </c>
      <c r="H808">
        <v>45538.91</v>
      </c>
      <c r="I808">
        <v>6819.91</v>
      </c>
      <c r="J808" t="s">
        <v>16</v>
      </c>
      <c r="K808" t="s">
        <v>23</v>
      </c>
      <c r="L808">
        <f t="shared" si="36"/>
        <v>2024</v>
      </c>
      <c r="M808" t="str">
        <f t="shared" si="37"/>
        <v>May</v>
      </c>
      <c r="N808" s="2">
        <f t="shared" si="38"/>
        <v>0.1497600623291159</v>
      </c>
    </row>
    <row r="809" spans="1:14" x14ac:dyDescent="0.45">
      <c r="A809" t="s">
        <v>1621</v>
      </c>
      <c r="B809" s="1">
        <v>44760</v>
      </c>
      <c r="C809" t="s">
        <v>1622</v>
      </c>
      <c r="D809" t="s">
        <v>56</v>
      </c>
      <c r="E809" t="s">
        <v>14</v>
      </c>
      <c r="F809" t="s">
        <v>32</v>
      </c>
      <c r="G809">
        <v>2</v>
      </c>
      <c r="H809">
        <v>13382.61</v>
      </c>
      <c r="I809">
        <v>2234.37</v>
      </c>
      <c r="J809" t="s">
        <v>16</v>
      </c>
      <c r="K809" t="s">
        <v>29</v>
      </c>
      <c r="L809">
        <f t="shared" si="36"/>
        <v>2022</v>
      </c>
      <c r="M809" t="str">
        <f t="shared" si="37"/>
        <v>Jul</v>
      </c>
      <c r="N809" s="2">
        <f t="shared" si="38"/>
        <v>0.16696070497459015</v>
      </c>
    </row>
    <row r="810" spans="1:14" x14ac:dyDescent="0.45">
      <c r="A810" t="s">
        <v>1623</v>
      </c>
      <c r="B810" s="1">
        <v>45277</v>
      </c>
      <c r="C810" t="s">
        <v>1418</v>
      </c>
      <c r="D810" t="s">
        <v>13</v>
      </c>
      <c r="E810" t="s">
        <v>20</v>
      </c>
      <c r="F810" t="s">
        <v>50</v>
      </c>
      <c r="G810">
        <v>2</v>
      </c>
      <c r="H810">
        <v>15227.11</v>
      </c>
      <c r="I810">
        <v>1781.42</v>
      </c>
      <c r="J810" t="s">
        <v>71</v>
      </c>
      <c r="K810" t="s">
        <v>23</v>
      </c>
      <c r="L810">
        <f t="shared" si="36"/>
        <v>2023</v>
      </c>
      <c r="M810" t="str">
        <f t="shared" si="37"/>
        <v>Dec</v>
      </c>
      <c r="N810" s="2">
        <f t="shared" si="38"/>
        <v>0.11699002634117701</v>
      </c>
    </row>
    <row r="811" spans="1:14" x14ac:dyDescent="0.45">
      <c r="A811" t="s">
        <v>1624</v>
      </c>
      <c r="B811" s="1">
        <v>44978</v>
      </c>
      <c r="C811" t="s">
        <v>1625</v>
      </c>
      <c r="D811" t="s">
        <v>26</v>
      </c>
      <c r="E811" t="s">
        <v>20</v>
      </c>
      <c r="F811" t="s">
        <v>43</v>
      </c>
      <c r="G811">
        <v>3</v>
      </c>
      <c r="H811">
        <v>28323.74</v>
      </c>
      <c r="I811">
        <v>3925.83</v>
      </c>
      <c r="J811" t="s">
        <v>71</v>
      </c>
      <c r="K811" t="s">
        <v>29</v>
      </c>
      <c r="L811">
        <f t="shared" si="36"/>
        <v>2023</v>
      </c>
      <c r="M811" t="str">
        <f t="shared" si="37"/>
        <v>Feb</v>
      </c>
      <c r="N811" s="2">
        <f t="shared" si="38"/>
        <v>0.13860563612008864</v>
      </c>
    </row>
    <row r="812" spans="1:14" x14ac:dyDescent="0.45">
      <c r="A812" t="s">
        <v>1626</v>
      </c>
      <c r="B812" s="1">
        <v>45529</v>
      </c>
      <c r="C812" t="s">
        <v>1627</v>
      </c>
      <c r="D812" t="s">
        <v>56</v>
      </c>
      <c r="E812" t="s">
        <v>14</v>
      </c>
      <c r="F812" t="s">
        <v>40</v>
      </c>
      <c r="G812">
        <v>4</v>
      </c>
      <c r="H812">
        <v>31763.59</v>
      </c>
      <c r="I812">
        <v>7829.78</v>
      </c>
      <c r="J812" t="s">
        <v>28</v>
      </c>
      <c r="K812" t="s">
        <v>23</v>
      </c>
      <c r="L812">
        <f t="shared" si="36"/>
        <v>2024</v>
      </c>
      <c r="M812" t="str">
        <f t="shared" si="37"/>
        <v>Aug</v>
      </c>
      <c r="N812" s="2">
        <f t="shared" si="38"/>
        <v>0.24650173358867811</v>
      </c>
    </row>
    <row r="813" spans="1:14" x14ac:dyDescent="0.45">
      <c r="A813" t="s">
        <v>1628</v>
      </c>
      <c r="B813" s="1">
        <v>45078</v>
      </c>
      <c r="C813" t="s">
        <v>1629</v>
      </c>
      <c r="D813" t="s">
        <v>56</v>
      </c>
      <c r="E813" t="s">
        <v>14</v>
      </c>
      <c r="F813" t="s">
        <v>40</v>
      </c>
      <c r="G813">
        <v>3</v>
      </c>
      <c r="H813">
        <v>32559.53</v>
      </c>
      <c r="I813">
        <v>4178.1099999999997</v>
      </c>
      <c r="J813" t="s">
        <v>28</v>
      </c>
      <c r="K813" t="s">
        <v>23</v>
      </c>
      <c r="L813">
        <f t="shared" si="36"/>
        <v>2023</v>
      </c>
      <c r="M813" t="str">
        <f t="shared" si="37"/>
        <v>Jun</v>
      </c>
      <c r="N813" s="2">
        <f t="shared" si="38"/>
        <v>0.12832218401186996</v>
      </c>
    </row>
    <row r="814" spans="1:14" x14ac:dyDescent="0.45">
      <c r="A814" t="s">
        <v>1630</v>
      </c>
      <c r="B814" s="1">
        <v>45459</v>
      </c>
      <c r="C814" t="s">
        <v>1631</v>
      </c>
      <c r="D814" t="s">
        <v>56</v>
      </c>
      <c r="E814" t="s">
        <v>14</v>
      </c>
      <c r="F814" t="s">
        <v>57</v>
      </c>
      <c r="G814">
        <v>5</v>
      </c>
      <c r="H814">
        <v>6250.78</v>
      </c>
      <c r="I814">
        <v>971.27</v>
      </c>
      <c r="J814" t="s">
        <v>22</v>
      </c>
      <c r="K814" t="s">
        <v>23</v>
      </c>
      <c r="L814">
        <f t="shared" si="36"/>
        <v>2024</v>
      </c>
      <c r="M814" t="str">
        <f t="shared" si="37"/>
        <v>Jun</v>
      </c>
      <c r="N814" s="2">
        <f t="shared" si="38"/>
        <v>0.15538380810074903</v>
      </c>
    </row>
    <row r="815" spans="1:14" x14ac:dyDescent="0.45">
      <c r="A815" t="s">
        <v>1632</v>
      </c>
      <c r="B815" s="1">
        <v>44935</v>
      </c>
      <c r="C815" t="s">
        <v>1633</v>
      </c>
      <c r="D815" t="s">
        <v>26</v>
      </c>
      <c r="E815" t="s">
        <v>14</v>
      </c>
      <c r="F815" t="s">
        <v>57</v>
      </c>
      <c r="G815">
        <v>2</v>
      </c>
      <c r="H815">
        <v>41418.28</v>
      </c>
      <c r="I815">
        <v>7803.42</v>
      </c>
      <c r="J815" t="s">
        <v>22</v>
      </c>
      <c r="K815" t="s">
        <v>23</v>
      </c>
      <c r="L815">
        <f t="shared" si="36"/>
        <v>2023</v>
      </c>
      <c r="M815" t="str">
        <f t="shared" si="37"/>
        <v>Jan</v>
      </c>
      <c r="N815" s="2">
        <f t="shared" si="38"/>
        <v>0.18840521624751197</v>
      </c>
    </row>
    <row r="816" spans="1:14" x14ac:dyDescent="0.45">
      <c r="A816" t="s">
        <v>1634</v>
      </c>
      <c r="B816" s="1">
        <v>44590</v>
      </c>
      <c r="C816" t="s">
        <v>1635</v>
      </c>
      <c r="D816" t="s">
        <v>13</v>
      </c>
      <c r="E816" t="s">
        <v>14</v>
      </c>
      <c r="F816" t="s">
        <v>32</v>
      </c>
      <c r="G816">
        <v>3</v>
      </c>
      <c r="H816">
        <v>896.71</v>
      </c>
      <c r="I816">
        <v>69.81</v>
      </c>
      <c r="J816" t="s">
        <v>16</v>
      </c>
      <c r="K816" t="s">
        <v>29</v>
      </c>
      <c r="L816">
        <f t="shared" si="36"/>
        <v>2022</v>
      </c>
      <c r="M816" t="str">
        <f t="shared" si="37"/>
        <v>Jan</v>
      </c>
      <c r="N816" s="2">
        <f t="shared" si="38"/>
        <v>7.7851256258991197E-2</v>
      </c>
    </row>
    <row r="817" spans="1:14" x14ac:dyDescent="0.45">
      <c r="A817" t="s">
        <v>1636</v>
      </c>
      <c r="B817" s="1">
        <v>44828</v>
      </c>
      <c r="C817" t="s">
        <v>1637</v>
      </c>
      <c r="D817" t="s">
        <v>56</v>
      </c>
      <c r="E817" t="s">
        <v>36</v>
      </c>
      <c r="F817" t="s">
        <v>53</v>
      </c>
      <c r="G817">
        <v>4</v>
      </c>
      <c r="H817">
        <v>24623.99</v>
      </c>
      <c r="I817">
        <v>3557.59</v>
      </c>
      <c r="J817" t="s">
        <v>16</v>
      </c>
      <c r="K817" t="s">
        <v>29</v>
      </c>
      <c r="L817">
        <f t="shared" si="36"/>
        <v>2022</v>
      </c>
      <c r="M817" t="str">
        <f t="shared" si="37"/>
        <v>Sep</v>
      </c>
      <c r="N817" s="2">
        <f t="shared" si="38"/>
        <v>0.14447658563863938</v>
      </c>
    </row>
    <row r="818" spans="1:14" x14ac:dyDescent="0.45">
      <c r="A818" t="s">
        <v>1638</v>
      </c>
      <c r="B818" s="1">
        <v>45379</v>
      </c>
      <c r="C818" t="s">
        <v>1404</v>
      </c>
      <c r="D818" t="s">
        <v>26</v>
      </c>
      <c r="E818" t="s">
        <v>20</v>
      </c>
      <c r="F818" t="s">
        <v>43</v>
      </c>
      <c r="G818">
        <v>3</v>
      </c>
      <c r="H818">
        <v>7302.33</v>
      </c>
      <c r="I818">
        <v>1640.96</v>
      </c>
      <c r="J818" t="s">
        <v>16</v>
      </c>
      <c r="K818" t="s">
        <v>33</v>
      </c>
      <c r="L818">
        <f t="shared" si="36"/>
        <v>2024</v>
      </c>
      <c r="M818" t="str">
        <f t="shared" si="37"/>
        <v>Mar</v>
      </c>
      <c r="N818" s="2">
        <f t="shared" si="38"/>
        <v>0.22471731625385322</v>
      </c>
    </row>
    <row r="819" spans="1:14" x14ac:dyDescent="0.45">
      <c r="A819" t="s">
        <v>1639</v>
      </c>
      <c r="B819" s="1">
        <v>45014</v>
      </c>
      <c r="C819" t="s">
        <v>1640</v>
      </c>
      <c r="D819" t="s">
        <v>13</v>
      </c>
      <c r="E819" t="s">
        <v>20</v>
      </c>
      <c r="F819" t="s">
        <v>50</v>
      </c>
      <c r="G819">
        <v>3</v>
      </c>
      <c r="H819">
        <v>32565.57</v>
      </c>
      <c r="I819">
        <v>2484.4499999999998</v>
      </c>
      <c r="J819" t="s">
        <v>47</v>
      </c>
      <c r="K819" t="s">
        <v>23</v>
      </c>
      <c r="L819">
        <f t="shared" si="36"/>
        <v>2023</v>
      </c>
      <c r="M819" t="str">
        <f t="shared" si="37"/>
        <v>Mar</v>
      </c>
      <c r="N819" s="2">
        <f t="shared" si="38"/>
        <v>7.6290695971235875E-2</v>
      </c>
    </row>
    <row r="820" spans="1:14" x14ac:dyDescent="0.45">
      <c r="A820" t="s">
        <v>1641</v>
      </c>
      <c r="B820" s="1">
        <v>45058</v>
      </c>
      <c r="C820" t="s">
        <v>1642</v>
      </c>
      <c r="D820" t="s">
        <v>13</v>
      </c>
      <c r="E820" t="s">
        <v>14</v>
      </c>
      <c r="F820" t="s">
        <v>32</v>
      </c>
      <c r="G820">
        <v>2</v>
      </c>
      <c r="H820">
        <v>12835.61</v>
      </c>
      <c r="I820">
        <v>3052.45</v>
      </c>
      <c r="J820" t="s">
        <v>47</v>
      </c>
      <c r="K820" t="s">
        <v>17</v>
      </c>
      <c r="L820">
        <f t="shared" si="36"/>
        <v>2023</v>
      </c>
      <c r="M820" t="str">
        <f t="shared" si="37"/>
        <v>May</v>
      </c>
      <c r="N820" s="2">
        <f t="shared" si="38"/>
        <v>0.23781105845378597</v>
      </c>
    </row>
    <row r="821" spans="1:14" x14ac:dyDescent="0.45">
      <c r="A821" t="s">
        <v>1643</v>
      </c>
      <c r="B821" s="1">
        <v>45046</v>
      </c>
      <c r="C821" t="s">
        <v>1644</v>
      </c>
      <c r="D821" t="s">
        <v>13</v>
      </c>
      <c r="E821" t="s">
        <v>14</v>
      </c>
      <c r="F821" t="s">
        <v>15</v>
      </c>
      <c r="G821">
        <v>2</v>
      </c>
      <c r="H821">
        <v>8634.24</v>
      </c>
      <c r="I821">
        <v>1401.77</v>
      </c>
      <c r="J821" t="s">
        <v>22</v>
      </c>
      <c r="K821" t="s">
        <v>17</v>
      </c>
      <c r="L821">
        <f t="shared" si="36"/>
        <v>2023</v>
      </c>
      <c r="M821" t="str">
        <f t="shared" si="37"/>
        <v>Apr</v>
      </c>
      <c r="N821" s="2">
        <f t="shared" si="38"/>
        <v>0.16235013156919428</v>
      </c>
    </row>
    <row r="822" spans="1:14" x14ac:dyDescent="0.45">
      <c r="A822" t="s">
        <v>1645</v>
      </c>
      <c r="B822" s="1">
        <v>45037</v>
      </c>
      <c r="C822" t="s">
        <v>1646</v>
      </c>
      <c r="D822" t="s">
        <v>13</v>
      </c>
      <c r="E822" t="s">
        <v>20</v>
      </c>
      <c r="F822" t="s">
        <v>50</v>
      </c>
      <c r="G822">
        <v>3</v>
      </c>
      <c r="H822">
        <v>31315.86</v>
      </c>
      <c r="I822">
        <v>2866.24</v>
      </c>
      <c r="J822" t="s">
        <v>47</v>
      </c>
      <c r="K822" t="s">
        <v>17</v>
      </c>
      <c r="L822">
        <f t="shared" si="36"/>
        <v>2023</v>
      </c>
      <c r="M822" t="str">
        <f t="shared" si="37"/>
        <v>Apr</v>
      </c>
      <c r="N822" s="2">
        <f t="shared" si="38"/>
        <v>9.1526785469088184E-2</v>
      </c>
    </row>
    <row r="823" spans="1:14" x14ac:dyDescent="0.45">
      <c r="A823" t="s">
        <v>1647</v>
      </c>
      <c r="B823" s="1">
        <v>45398</v>
      </c>
      <c r="C823" t="s">
        <v>1648</v>
      </c>
      <c r="D823" t="s">
        <v>56</v>
      </c>
      <c r="E823" t="s">
        <v>36</v>
      </c>
      <c r="F823" t="s">
        <v>46</v>
      </c>
      <c r="G823">
        <v>4</v>
      </c>
      <c r="H823">
        <v>18468</v>
      </c>
      <c r="I823">
        <v>1144.1099999999999</v>
      </c>
      <c r="J823" t="s">
        <v>47</v>
      </c>
      <c r="K823" t="s">
        <v>33</v>
      </c>
      <c r="L823">
        <f t="shared" si="36"/>
        <v>2024</v>
      </c>
      <c r="M823" t="str">
        <f t="shared" si="37"/>
        <v>Apr</v>
      </c>
      <c r="N823" s="2">
        <f t="shared" si="38"/>
        <v>6.1950942170240407E-2</v>
      </c>
    </row>
    <row r="824" spans="1:14" x14ac:dyDescent="0.45">
      <c r="A824" t="s">
        <v>1649</v>
      </c>
      <c r="B824" s="1">
        <v>45509</v>
      </c>
      <c r="C824" t="s">
        <v>1650</v>
      </c>
      <c r="D824" t="s">
        <v>13</v>
      </c>
      <c r="E824" t="s">
        <v>20</v>
      </c>
      <c r="F824" t="s">
        <v>27</v>
      </c>
      <c r="G824">
        <v>5</v>
      </c>
      <c r="H824">
        <v>30531.41</v>
      </c>
      <c r="I824">
        <v>6884.86</v>
      </c>
      <c r="J824" t="s">
        <v>47</v>
      </c>
      <c r="K824" t="s">
        <v>29</v>
      </c>
      <c r="L824">
        <f t="shared" si="36"/>
        <v>2024</v>
      </c>
      <c r="M824" t="str">
        <f t="shared" si="37"/>
        <v>Aug</v>
      </c>
      <c r="N824" s="2">
        <f t="shared" si="38"/>
        <v>0.22550088580907335</v>
      </c>
    </row>
    <row r="825" spans="1:14" x14ac:dyDescent="0.45">
      <c r="A825" t="s">
        <v>1651</v>
      </c>
      <c r="B825" s="1">
        <v>45500</v>
      </c>
      <c r="C825" t="s">
        <v>1652</v>
      </c>
      <c r="D825" t="s">
        <v>13</v>
      </c>
      <c r="E825" t="s">
        <v>36</v>
      </c>
      <c r="F825" t="s">
        <v>46</v>
      </c>
      <c r="G825">
        <v>5</v>
      </c>
      <c r="H825">
        <v>2385.1799999999998</v>
      </c>
      <c r="I825">
        <v>121.93</v>
      </c>
      <c r="J825" t="s">
        <v>71</v>
      </c>
      <c r="K825" t="s">
        <v>23</v>
      </c>
      <c r="L825">
        <f t="shared" si="36"/>
        <v>2024</v>
      </c>
      <c r="M825" t="str">
        <f t="shared" si="37"/>
        <v>Jul</v>
      </c>
      <c r="N825" s="2">
        <f t="shared" si="38"/>
        <v>5.1119831626963173E-2</v>
      </c>
    </row>
    <row r="826" spans="1:14" x14ac:dyDescent="0.45">
      <c r="A826" t="s">
        <v>1653</v>
      </c>
      <c r="B826" s="1">
        <v>44627</v>
      </c>
      <c r="C826" t="s">
        <v>1654</v>
      </c>
      <c r="D826" t="s">
        <v>56</v>
      </c>
      <c r="E826" t="s">
        <v>36</v>
      </c>
      <c r="F826" t="s">
        <v>64</v>
      </c>
      <c r="G826">
        <v>2</v>
      </c>
      <c r="H826">
        <v>7220.94</v>
      </c>
      <c r="I826">
        <v>1768.31</v>
      </c>
      <c r="J826" t="s">
        <v>16</v>
      </c>
      <c r="K826" t="s">
        <v>29</v>
      </c>
      <c r="L826">
        <f t="shared" si="36"/>
        <v>2022</v>
      </c>
      <c r="M826" t="str">
        <f t="shared" si="37"/>
        <v>Mar</v>
      </c>
      <c r="N826" s="2">
        <f t="shared" si="38"/>
        <v>0.24488639983160088</v>
      </c>
    </row>
    <row r="827" spans="1:14" x14ac:dyDescent="0.45">
      <c r="A827" t="s">
        <v>1655</v>
      </c>
      <c r="B827" s="1">
        <v>45175</v>
      </c>
      <c r="C827" t="s">
        <v>323</v>
      </c>
      <c r="D827" t="s">
        <v>56</v>
      </c>
      <c r="E827" t="s">
        <v>36</v>
      </c>
      <c r="F827" t="s">
        <v>46</v>
      </c>
      <c r="G827">
        <v>1</v>
      </c>
      <c r="H827">
        <v>25970.799999999999</v>
      </c>
      <c r="I827">
        <v>5278.13</v>
      </c>
      <c r="J827" t="s">
        <v>71</v>
      </c>
      <c r="K827" t="s">
        <v>29</v>
      </c>
      <c r="L827">
        <f t="shared" si="36"/>
        <v>2023</v>
      </c>
      <c r="M827" t="str">
        <f t="shared" si="37"/>
        <v>Sep</v>
      </c>
      <c r="N827" s="2">
        <f t="shared" si="38"/>
        <v>0.2032332465692239</v>
      </c>
    </row>
    <row r="828" spans="1:14" x14ac:dyDescent="0.45">
      <c r="A828" t="s">
        <v>1656</v>
      </c>
      <c r="B828" s="1">
        <v>44922</v>
      </c>
      <c r="C828" t="s">
        <v>271</v>
      </c>
      <c r="D828" t="s">
        <v>13</v>
      </c>
      <c r="E828" t="s">
        <v>20</v>
      </c>
      <c r="F828" t="s">
        <v>21</v>
      </c>
      <c r="G828">
        <v>5</v>
      </c>
      <c r="H828">
        <v>3359.44</v>
      </c>
      <c r="I828">
        <v>411.3</v>
      </c>
      <c r="J828" t="s">
        <v>16</v>
      </c>
      <c r="K828" t="s">
        <v>33</v>
      </c>
      <c r="L828">
        <f t="shared" si="36"/>
        <v>2022</v>
      </c>
      <c r="M828" t="str">
        <f t="shared" si="37"/>
        <v>Dec</v>
      </c>
      <c r="N828" s="2">
        <f t="shared" si="38"/>
        <v>0.122431119472293</v>
      </c>
    </row>
    <row r="829" spans="1:14" x14ac:dyDescent="0.45">
      <c r="A829" t="s">
        <v>1657</v>
      </c>
      <c r="B829" s="1">
        <v>44635</v>
      </c>
      <c r="C829" t="s">
        <v>1658</v>
      </c>
      <c r="D829" t="s">
        <v>13</v>
      </c>
      <c r="E829" t="s">
        <v>20</v>
      </c>
      <c r="F829" t="s">
        <v>50</v>
      </c>
      <c r="G829">
        <v>5</v>
      </c>
      <c r="H829">
        <v>31574.46</v>
      </c>
      <c r="I829">
        <v>7240.91</v>
      </c>
      <c r="J829" t="s">
        <v>28</v>
      </c>
      <c r="K829" t="s">
        <v>33</v>
      </c>
      <c r="L829">
        <f t="shared" si="36"/>
        <v>2022</v>
      </c>
      <c r="M829" t="str">
        <f t="shared" si="37"/>
        <v>Mar</v>
      </c>
      <c r="N829" s="2">
        <f t="shared" si="38"/>
        <v>0.22932807085220144</v>
      </c>
    </row>
    <row r="830" spans="1:14" x14ac:dyDescent="0.45">
      <c r="A830" t="s">
        <v>1659</v>
      </c>
      <c r="B830" s="1">
        <v>44777</v>
      </c>
      <c r="C830" t="s">
        <v>1660</v>
      </c>
      <c r="D830" t="s">
        <v>56</v>
      </c>
      <c r="E830" t="s">
        <v>20</v>
      </c>
      <c r="F830" t="s">
        <v>21</v>
      </c>
      <c r="G830">
        <v>3</v>
      </c>
      <c r="H830">
        <v>39199.449999999997</v>
      </c>
      <c r="I830">
        <v>4935.3999999999996</v>
      </c>
      <c r="J830" t="s">
        <v>28</v>
      </c>
      <c r="K830" t="s">
        <v>29</v>
      </c>
      <c r="L830">
        <f t="shared" si="36"/>
        <v>2022</v>
      </c>
      <c r="M830" t="str">
        <f t="shared" si="37"/>
        <v>Aug</v>
      </c>
      <c r="N830" s="2">
        <f t="shared" si="38"/>
        <v>0.12590482774630765</v>
      </c>
    </row>
    <row r="831" spans="1:14" x14ac:dyDescent="0.45">
      <c r="A831" t="s">
        <v>1661</v>
      </c>
      <c r="B831" s="1">
        <v>45149</v>
      </c>
      <c r="C831" t="s">
        <v>1662</v>
      </c>
      <c r="D831" t="s">
        <v>56</v>
      </c>
      <c r="E831" t="s">
        <v>36</v>
      </c>
      <c r="F831" t="s">
        <v>53</v>
      </c>
      <c r="G831">
        <v>2</v>
      </c>
      <c r="H831">
        <v>6752.69</v>
      </c>
      <c r="I831">
        <v>1211.4100000000001</v>
      </c>
      <c r="J831" t="s">
        <v>71</v>
      </c>
      <c r="K831" t="s">
        <v>33</v>
      </c>
      <c r="L831">
        <f t="shared" si="36"/>
        <v>2023</v>
      </c>
      <c r="M831" t="str">
        <f t="shared" si="37"/>
        <v>Aug</v>
      </c>
      <c r="N831" s="2">
        <f t="shared" si="38"/>
        <v>0.17939665525886722</v>
      </c>
    </row>
    <row r="832" spans="1:14" x14ac:dyDescent="0.45">
      <c r="A832" t="s">
        <v>1663</v>
      </c>
      <c r="B832" s="1">
        <v>45170</v>
      </c>
      <c r="C832" t="s">
        <v>1664</v>
      </c>
      <c r="D832" t="s">
        <v>56</v>
      </c>
      <c r="E832" t="s">
        <v>14</v>
      </c>
      <c r="F832" t="s">
        <v>15</v>
      </c>
      <c r="G832">
        <v>1</v>
      </c>
      <c r="H832">
        <v>3767.12</v>
      </c>
      <c r="I832">
        <v>742.86</v>
      </c>
      <c r="J832" t="s">
        <v>47</v>
      </c>
      <c r="K832" t="s">
        <v>23</v>
      </c>
      <c r="L832">
        <f t="shared" si="36"/>
        <v>2023</v>
      </c>
      <c r="M832" t="str">
        <f t="shared" si="37"/>
        <v>Sep</v>
      </c>
      <c r="N832" s="2">
        <f t="shared" si="38"/>
        <v>0.19719573573446028</v>
      </c>
    </row>
    <row r="833" spans="1:14" x14ac:dyDescent="0.45">
      <c r="A833" t="s">
        <v>1665</v>
      </c>
      <c r="B833" s="1">
        <v>45120</v>
      </c>
      <c r="C833" t="s">
        <v>1666</v>
      </c>
      <c r="D833" t="s">
        <v>13</v>
      </c>
      <c r="E833" t="s">
        <v>20</v>
      </c>
      <c r="F833" t="s">
        <v>21</v>
      </c>
      <c r="G833">
        <v>1</v>
      </c>
      <c r="H833">
        <v>14133.25</v>
      </c>
      <c r="I833">
        <v>1708.44</v>
      </c>
      <c r="J833" t="s">
        <v>16</v>
      </c>
      <c r="K833" t="s">
        <v>29</v>
      </c>
      <c r="L833">
        <f t="shared" si="36"/>
        <v>2023</v>
      </c>
      <c r="M833" t="str">
        <f t="shared" si="37"/>
        <v>Jul</v>
      </c>
      <c r="N833" s="2">
        <f t="shared" si="38"/>
        <v>0.12088090142040932</v>
      </c>
    </row>
    <row r="834" spans="1:14" x14ac:dyDescent="0.45">
      <c r="A834" t="s">
        <v>1667</v>
      </c>
      <c r="B834" s="1">
        <v>44693</v>
      </c>
      <c r="C834" t="s">
        <v>1668</v>
      </c>
      <c r="D834" t="s">
        <v>26</v>
      </c>
      <c r="E834" t="s">
        <v>20</v>
      </c>
      <c r="F834" t="s">
        <v>21</v>
      </c>
      <c r="G834">
        <v>1</v>
      </c>
      <c r="H834">
        <v>13655</v>
      </c>
      <c r="I834">
        <v>3274.89</v>
      </c>
      <c r="J834" t="s">
        <v>16</v>
      </c>
      <c r="K834" t="s">
        <v>33</v>
      </c>
      <c r="L834">
        <f t="shared" si="36"/>
        <v>2022</v>
      </c>
      <c r="M834" t="str">
        <f t="shared" si="37"/>
        <v>May</v>
      </c>
      <c r="N834" s="2">
        <f t="shared" si="38"/>
        <v>0.23983083119736359</v>
      </c>
    </row>
    <row r="835" spans="1:14" x14ac:dyDescent="0.45">
      <c r="A835" t="s">
        <v>1669</v>
      </c>
      <c r="B835" s="1">
        <v>44858</v>
      </c>
      <c r="C835" t="s">
        <v>925</v>
      </c>
      <c r="D835" t="s">
        <v>56</v>
      </c>
      <c r="E835" t="s">
        <v>36</v>
      </c>
      <c r="F835" t="s">
        <v>53</v>
      </c>
      <c r="G835">
        <v>1</v>
      </c>
      <c r="H835">
        <v>22721.94</v>
      </c>
      <c r="I835">
        <v>4659.83</v>
      </c>
      <c r="J835" t="s">
        <v>22</v>
      </c>
      <c r="K835" t="s">
        <v>17</v>
      </c>
      <c r="L835">
        <f t="shared" ref="L835:L898" si="39">YEAR(B835 )</f>
        <v>2022</v>
      </c>
      <c r="M835" t="str">
        <f t="shared" ref="M835:M898" si="40">TEXT(B835,"MMM")</f>
        <v>Oct</v>
      </c>
      <c r="N835" s="2">
        <f t="shared" ref="N835:N898" si="41">I835 / H835</f>
        <v>0.20508064012139809</v>
      </c>
    </row>
    <row r="836" spans="1:14" x14ac:dyDescent="0.45">
      <c r="A836" t="s">
        <v>1670</v>
      </c>
      <c r="B836" s="1">
        <v>45242</v>
      </c>
      <c r="C836" t="s">
        <v>1671</v>
      </c>
      <c r="D836" t="s">
        <v>13</v>
      </c>
      <c r="E836" t="s">
        <v>36</v>
      </c>
      <c r="F836" t="s">
        <v>53</v>
      </c>
      <c r="G836">
        <v>2</v>
      </c>
      <c r="H836">
        <v>29054.32</v>
      </c>
      <c r="I836">
        <v>1894.87</v>
      </c>
      <c r="J836" t="s">
        <v>47</v>
      </c>
      <c r="K836" t="s">
        <v>23</v>
      </c>
      <c r="L836">
        <f t="shared" si="39"/>
        <v>2023</v>
      </c>
      <c r="M836" t="str">
        <f t="shared" si="40"/>
        <v>Nov</v>
      </c>
      <c r="N836" s="2">
        <f t="shared" si="41"/>
        <v>6.5218184421456077E-2</v>
      </c>
    </row>
    <row r="837" spans="1:14" x14ac:dyDescent="0.45">
      <c r="A837" t="s">
        <v>1672</v>
      </c>
      <c r="B837" s="1">
        <v>44870</v>
      </c>
      <c r="C837" t="s">
        <v>1673</v>
      </c>
      <c r="D837" t="s">
        <v>26</v>
      </c>
      <c r="E837" t="s">
        <v>14</v>
      </c>
      <c r="F837" t="s">
        <v>15</v>
      </c>
      <c r="G837">
        <v>3</v>
      </c>
      <c r="H837">
        <v>5826.15</v>
      </c>
      <c r="I837">
        <v>995.45</v>
      </c>
      <c r="J837" t="s">
        <v>47</v>
      </c>
      <c r="K837" t="s">
        <v>29</v>
      </c>
      <c r="L837">
        <f t="shared" si="39"/>
        <v>2022</v>
      </c>
      <c r="M837" t="str">
        <f t="shared" si="40"/>
        <v>Nov</v>
      </c>
      <c r="N837" s="2">
        <f t="shared" si="41"/>
        <v>0.17085897204843681</v>
      </c>
    </row>
    <row r="838" spans="1:14" x14ac:dyDescent="0.45">
      <c r="A838" t="s">
        <v>1674</v>
      </c>
      <c r="B838" s="1">
        <v>44941</v>
      </c>
      <c r="C838" t="s">
        <v>1675</v>
      </c>
      <c r="D838" t="s">
        <v>56</v>
      </c>
      <c r="E838" t="s">
        <v>14</v>
      </c>
      <c r="F838" t="s">
        <v>40</v>
      </c>
      <c r="G838">
        <v>2</v>
      </c>
      <c r="H838">
        <v>39897.64</v>
      </c>
      <c r="I838">
        <v>2319.2199999999998</v>
      </c>
      <c r="J838" t="s">
        <v>28</v>
      </c>
      <c r="K838" t="s">
        <v>23</v>
      </c>
      <c r="L838">
        <f t="shared" si="39"/>
        <v>2023</v>
      </c>
      <c r="M838" t="str">
        <f t="shared" si="40"/>
        <v>Jan</v>
      </c>
      <c r="N838" s="2">
        <f t="shared" si="41"/>
        <v>5.8129252757807226E-2</v>
      </c>
    </row>
    <row r="839" spans="1:14" x14ac:dyDescent="0.45">
      <c r="A839" t="s">
        <v>1676</v>
      </c>
      <c r="B839" s="1">
        <v>45194</v>
      </c>
      <c r="C839" t="s">
        <v>1677</v>
      </c>
      <c r="D839" t="s">
        <v>26</v>
      </c>
      <c r="E839" t="s">
        <v>20</v>
      </c>
      <c r="F839" t="s">
        <v>43</v>
      </c>
      <c r="G839">
        <v>4</v>
      </c>
      <c r="H839">
        <v>49147.17</v>
      </c>
      <c r="I839">
        <v>6080.65</v>
      </c>
      <c r="J839" t="s">
        <v>16</v>
      </c>
      <c r="K839" t="s">
        <v>33</v>
      </c>
      <c r="L839">
        <f t="shared" si="39"/>
        <v>2023</v>
      </c>
      <c r="M839" t="str">
        <f t="shared" si="40"/>
        <v>Sep</v>
      </c>
      <c r="N839" s="2">
        <f t="shared" si="41"/>
        <v>0.12372329881862984</v>
      </c>
    </row>
    <row r="840" spans="1:14" x14ac:dyDescent="0.45">
      <c r="A840" t="s">
        <v>1678</v>
      </c>
      <c r="B840" s="1">
        <v>45057</v>
      </c>
      <c r="C840" t="s">
        <v>1679</v>
      </c>
      <c r="D840" t="s">
        <v>26</v>
      </c>
      <c r="E840" t="s">
        <v>36</v>
      </c>
      <c r="F840" t="s">
        <v>46</v>
      </c>
      <c r="G840">
        <v>1</v>
      </c>
      <c r="H840">
        <v>27616.74</v>
      </c>
      <c r="I840">
        <v>2352.79</v>
      </c>
      <c r="J840" t="s">
        <v>71</v>
      </c>
      <c r="K840" t="s">
        <v>23</v>
      </c>
      <c r="L840">
        <f t="shared" si="39"/>
        <v>2023</v>
      </c>
      <c r="M840" t="str">
        <f t="shared" si="40"/>
        <v>May</v>
      </c>
      <c r="N840" s="2">
        <f t="shared" si="41"/>
        <v>8.5194342272114656E-2</v>
      </c>
    </row>
    <row r="841" spans="1:14" x14ac:dyDescent="0.45">
      <c r="A841" t="s">
        <v>1680</v>
      </c>
      <c r="B841" s="1">
        <v>44712</v>
      </c>
      <c r="C841" t="s">
        <v>1681</v>
      </c>
      <c r="D841" t="s">
        <v>13</v>
      </c>
      <c r="E841" t="s">
        <v>36</v>
      </c>
      <c r="F841" t="s">
        <v>53</v>
      </c>
      <c r="G841">
        <v>2</v>
      </c>
      <c r="H841">
        <v>23148.46</v>
      </c>
      <c r="I841">
        <v>3198.66</v>
      </c>
      <c r="J841" t="s">
        <v>22</v>
      </c>
      <c r="K841" t="s">
        <v>23</v>
      </c>
      <c r="L841">
        <f t="shared" si="39"/>
        <v>2022</v>
      </c>
      <c r="M841" t="str">
        <f t="shared" si="40"/>
        <v>May</v>
      </c>
      <c r="N841" s="2">
        <f t="shared" si="41"/>
        <v>0.13818025043566612</v>
      </c>
    </row>
    <row r="842" spans="1:14" x14ac:dyDescent="0.45">
      <c r="A842" t="s">
        <v>1682</v>
      </c>
      <c r="B842" s="1">
        <v>45477</v>
      </c>
      <c r="C842" t="s">
        <v>1683</v>
      </c>
      <c r="D842" t="s">
        <v>13</v>
      </c>
      <c r="E842" t="s">
        <v>36</v>
      </c>
      <c r="F842" t="s">
        <v>53</v>
      </c>
      <c r="G842">
        <v>2</v>
      </c>
      <c r="H842">
        <v>49080.69</v>
      </c>
      <c r="I842">
        <v>9683.6299999999992</v>
      </c>
      <c r="J842" t="s">
        <v>16</v>
      </c>
      <c r="K842" t="s">
        <v>33</v>
      </c>
      <c r="L842">
        <f t="shared" si="39"/>
        <v>2024</v>
      </c>
      <c r="M842" t="str">
        <f t="shared" si="40"/>
        <v>Jul</v>
      </c>
      <c r="N842" s="2">
        <f t="shared" si="41"/>
        <v>0.19730020095479503</v>
      </c>
    </row>
    <row r="843" spans="1:14" x14ac:dyDescent="0.45">
      <c r="A843" t="s">
        <v>1684</v>
      </c>
      <c r="B843" s="1">
        <v>45601</v>
      </c>
      <c r="C843" t="s">
        <v>1685</v>
      </c>
      <c r="D843" t="s">
        <v>13</v>
      </c>
      <c r="E843" t="s">
        <v>14</v>
      </c>
      <c r="F843" t="s">
        <v>32</v>
      </c>
      <c r="G843">
        <v>2</v>
      </c>
      <c r="H843">
        <v>9341.2900000000009</v>
      </c>
      <c r="I843">
        <v>2247.5300000000002</v>
      </c>
      <c r="J843" t="s">
        <v>22</v>
      </c>
      <c r="K843" t="s">
        <v>33</v>
      </c>
      <c r="L843">
        <f t="shared" si="39"/>
        <v>2024</v>
      </c>
      <c r="M843" t="str">
        <f t="shared" si="40"/>
        <v>Nov</v>
      </c>
      <c r="N843" s="2">
        <f t="shared" si="41"/>
        <v>0.24060167278823374</v>
      </c>
    </row>
    <row r="844" spans="1:14" x14ac:dyDescent="0.45">
      <c r="A844" t="s">
        <v>1686</v>
      </c>
      <c r="B844" s="1">
        <v>45426</v>
      </c>
      <c r="C844" t="s">
        <v>1687</v>
      </c>
      <c r="D844" t="s">
        <v>13</v>
      </c>
      <c r="E844" t="s">
        <v>36</v>
      </c>
      <c r="F844" t="s">
        <v>53</v>
      </c>
      <c r="G844">
        <v>5</v>
      </c>
      <c r="H844">
        <v>44497.94</v>
      </c>
      <c r="I844">
        <v>3638.32</v>
      </c>
      <c r="J844" t="s">
        <v>22</v>
      </c>
      <c r="K844" t="s">
        <v>17</v>
      </c>
      <c r="L844">
        <f t="shared" si="39"/>
        <v>2024</v>
      </c>
      <c r="M844" t="str">
        <f t="shared" si="40"/>
        <v>May</v>
      </c>
      <c r="N844" s="2">
        <f t="shared" si="41"/>
        <v>8.176378502016049E-2</v>
      </c>
    </row>
    <row r="845" spans="1:14" x14ac:dyDescent="0.45">
      <c r="A845" t="s">
        <v>1688</v>
      </c>
      <c r="B845" s="1">
        <v>45000</v>
      </c>
      <c r="C845" t="s">
        <v>1131</v>
      </c>
      <c r="D845" t="s">
        <v>56</v>
      </c>
      <c r="E845" t="s">
        <v>20</v>
      </c>
      <c r="F845" t="s">
        <v>43</v>
      </c>
      <c r="G845">
        <v>1</v>
      </c>
      <c r="H845">
        <v>42844.91</v>
      </c>
      <c r="I845">
        <v>7311.05</v>
      </c>
      <c r="J845" t="s">
        <v>22</v>
      </c>
      <c r="K845" t="s">
        <v>29</v>
      </c>
      <c r="L845">
        <f t="shared" si="39"/>
        <v>2023</v>
      </c>
      <c r="M845" t="str">
        <f t="shared" si="40"/>
        <v>Mar</v>
      </c>
      <c r="N845" s="2">
        <f t="shared" si="41"/>
        <v>0.17063987297440933</v>
      </c>
    </row>
    <row r="846" spans="1:14" x14ac:dyDescent="0.45">
      <c r="A846" t="s">
        <v>1689</v>
      </c>
      <c r="B846" s="1">
        <v>44701</v>
      </c>
      <c r="C846" t="s">
        <v>1690</v>
      </c>
      <c r="D846" t="s">
        <v>26</v>
      </c>
      <c r="E846" t="s">
        <v>14</v>
      </c>
      <c r="F846" t="s">
        <v>57</v>
      </c>
      <c r="G846">
        <v>4</v>
      </c>
      <c r="H846">
        <v>14199.66</v>
      </c>
      <c r="I846">
        <v>3294.61</v>
      </c>
      <c r="J846" t="s">
        <v>28</v>
      </c>
      <c r="K846" t="s">
        <v>23</v>
      </c>
      <c r="L846">
        <f t="shared" si="39"/>
        <v>2022</v>
      </c>
      <c r="M846" t="str">
        <f t="shared" si="40"/>
        <v>May</v>
      </c>
      <c r="N846" s="2">
        <f t="shared" si="41"/>
        <v>0.23202034414908526</v>
      </c>
    </row>
    <row r="847" spans="1:14" x14ac:dyDescent="0.45">
      <c r="A847" t="s">
        <v>1691</v>
      </c>
      <c r="B847" s="1">
        <v>45432</v>
      </c>
      <c r="C847" t="s">
        <v>1692</v>
      </c>
      <c r="D847" t="s">
        <v>26</v>
      </c>
      <c r="E847" t="s">
        <v>20</v>
      </c>
      <c r="F847" t="s">
        <v>21</v>
      </c>
      <c r="G847">
        <v>1</v>
      </c>
      <c r="H847">
        <v>39371.589999999997</v>
      </c>
      <c r="I847">
        <v>2824.99</v>
      </c>
      <c r="J847" t="s">
        <v>71</v>
      </c>
      <c r="K847" t="s">
        <v>17</v>
      </c>
      <c r="L847">
        <f t="shared" si="39"/>
        <v>2024</v>
      </c>
      <c r="M847" t="str">
        <f t="shared" si="40"/>
        <v>May</v>
      </c>
      <c r="N847" s="2">
        <f t="shared" si="41"/>
        <v>7.1751991728045528E-2</v>
      </c>
    </row>
    <row r="848" spans="1:14" x14ac:dyDescent="0.45">
      <c r="A848" t="s">
        <v>1693</v>
      </c>
      <c r="B848" s="1">
        <v>45465</v>
      </c>
      <c r="C848" t="s">
        <v>1694</v>
      </c>
      <c r="D848" t="s">
        <v>56</v>
      </c>
      <c r="E848" t="s">
        <v>20</v>
      </c>
      <c r="F848" t="s">
        <v>21</v>
      </c>
      <c r="G848">
        <v>2</v>
      </c>
      <c r="H848">
        <v>14492.4</v>
      </c>
      <c r="I848">
        <v>2442.2600000000002</v>
      </c>
      <c r="J848" t="s">
        <v>22</v>
      </c>
      <c r="K848" t="s">
        <v>23</v>
      </c>
      <c r="L848">
        <f t="shared" si="39"/>
        <v>2024</v>
      </c>
      <c r="M848" t="str">
        <f t="shared" si="40"/>
        <v>Jun</v>
      </c>
      <c r="N848" s="2">
        <f t="shared" si="41"/>
        <v>0.16852005188926611</v>
      </c>
    </row>
    <row r="849" spans="1:14" x14ac:dyDescent="0.45">
      <c r="A849" t="s">
        <v>1695</v>
      </c>
      <c r="B849" s="1">
        <v>45022</v>
      </c>
      <c r="C849" t="s">
        <v>1696</v>
      </c>
      <c r="D849" t="s">
        <v>13</v>
      </c>
      <c r="E849" t="s">
        <v>20</v>
      </c>
      <c r="F849" t="s">
        <v>21</v>
      </c>
      <c r="G849">
        <v>5</v>
      </c>
      <c r="H849">
        <v>49790.33</v>
      </c>
      <c r="I849">
        <v>11976.37</v>
      </c>
      <c r="J849" t="s">
        <v>71</v>
      </c>
      <c r="K849" t="s">
        <v>29</v>
      </c>
      <c r="L849">
        <f t="shared" si="39"/>
        <v>2023</v>
      </c>
      <c r="M849" t="str">
        <f t="shared" si="40"/>
        <v>Apr</v>
      </c>
      <c r="N849" s="2">
        <f t="shared" si="41"/>
        <v>0.2405360639304861</v>
      </c>
    </row>
    <row r="850" spans="1:14" x14ac:dyDescent="0.45">
      <c r="A850" t="s">
        <v>1697</v>
      </c>
      <c r="B850" s="1">
        <v>44601</v>
      </c>
      <c r="C850" t="s">
        <v>1698</v>
      </c>
      <c r="D850" t="s">
        <v>13</v>
      </c>
      <c r="E850" t="s">
        <v>14</v>
      </c>
      <c r="F850" t="s">
        <v>32</v>
      </c>
      <c r="G850">
        <v>2</v>
      </c>
      <c r="H850">
        <v>43457.49</v>
      </c>
      <c r="I850">
        <v>8401.3799999999992</v>
      </c>
      <c r="J850" t="s">
        <v>28</v>
      </c>
      <c r="K850" t="s">
        <v>23</v>
      </c>
      <c r="L850">
        <f t="shared" si="39"/>
        <v>2022</v>
      </c>
      <c r="M850" t="str">
        <f t="shared" si="40"/>
        <v>Feb</v>
      </c>
      <c r="N850" s="2">
        <f t="shared" si="41"/>
        <v>0.1933240967207264</v>
      </c>
    </row>
    <row r="851" spans="1:14" x14ac:dyDescent="0.45">
      <c r="A851" t="s">
        <v>1699</v>
      </c>
      <c r="B851" s="1">
        <v>44891</v>
      </c>
      <c r="C851" t="s">
        <v>1700</v>
      </c>
      <c r="D851" t="s">
        <v>13</v>
      </c>
      <c r="E851" t="s">
        <v>20</v>
      </c>
      <c r="F851" t="s">
        <v>27</v>
      </c>
      <c r="G851">
        <v>4</v>
      </c>
      <c r="H851">
        <v>5386.3</v>
      </c>
      <c r="I851">
        <v>554.92999999999995</v>
      </c>
      <c r="J851" t="s">
        <v>71</v>
      </c>
      <c r="K851" t="s">
        <v>33</v>
      </c>
      <c r="L851">
        <f t="shared" si="39"/>
        <v>2022</v>
      </c>
      <c r="M851" t="str">
        <f t="shared" si="40"/>
        <v>Nov</v>
      </c>
      <c r="N851" s="2">
        <f t="shared" si="41"/>
        <v>0.10302619609008037</v>
      </c>
    </row>
    <row r="852" spans="1:14" x14ac:dyDescent="0.45">
      <c r="A852" t="s">
        <v>1701</v>
      </c>
      <c r="B852" s="1">
        <v>45428</v>
      </c>
      <c r="C852" t="s">
        <v>1702</v>
      </c>
      <c r="D852" t="s">
        <v>13</v>
      </c>
      <c r="E852" t="s">
        <v>14</v>
      </c>
      <c r="F852" t="s">
        <v>57</v>
      </c>
      <c r="G852">
        <v>3</v>
      </c>
      <c r="H852">
        <v>20965.669999999998</v>
      </c>
      <c r="I852">
        <v>4004.48</v>
      </c>
      <c r="J852" t="s">
        <v>16</v>
      </c>
      <c r="K852" t="s">
        <v>23</v>
      </c>
      <c r="L852">
        <f t="shared" si="39"/>
        <v>2024</v>
      </c>
      <c r="M852" t="str">
        <f t="shared" si="40"/>
        <v>May</v>
      </c>
      <c r="N852" s="2">
        <f t="shared" si="41"/>
        <v>0.19100176622068363</v>
      </c>
    </row>
    <row r="853" spans="1:14" x14ac:dyDescent="0.45">
      <c r="A853" t="s">
        <v>1703</v>
      </c>
      <c r="B853" s="1">
        <v>44652</v>
      </c>
      <c r="C853" t="s">
        <v>1704</v>
      </c>
      <c r="D853" t="s">
        <v>26</v>
      </c>
      <c r="E853" t="s">
        <v>14</v>
      </c>
      <c r="F853" t="s">
        <v>40</v>
      </c>
      <c r="G853">
        <v>2</v>
      </c>
      <c r="H853">
        <v>6703.11</v>
      </c>
      <c r="I853">
        <v>717.2</v>
      </c>
      <c r="J853" t="s">
        <v>16</v>
      </c>
      <c r="K853" t="s">
        <v>29</v>
      </c>
      <c r="L853">
        <f t="shared" si="39"/>
        <v>2022</v>
      </c>
      <c r="M853" t="str">
        <f t="shared" si="40"/>
        <v>Apr</v>
      </c>
      <c r="N853" s="2">
        <f t="shared" si="41"/>
        <v>0.10699511122449133</v>
      </c>
    </row>
    <row r="854" spans="1:14" x14ac:dyDescent="0.45">
      <c r="A854" t="s">
        <v>1705</v>
      </c>
      <c r="B854" s="1">
        <v>45533</v>
      </c>
      <c r="C854" t="s">
        <v>1706</v>
      </c>
      <c r="D854" t="s">
        <v>26</v>
      </c>
      <c r="E854" t="s">
        <v>36</v>
      </c>
      <c r="F854" t="s">
        <v>46</v>
      </c>
      <c r="G854">
        <v>4</v>
      </c>
      <c r="H854">
        <v>33801.440000000002</v>
      </c>
      <c r="I854">
        <v>6755.57</v>
      </c>
      <c r="J854" t="s">
        <v>22</v>
      </c>
      <c r="K854" t="s">
        <v>29</v>
      </c>
      <c r="L854">
        <f t="shared" si="39"/>
        <v>2024</v>
      </c>
      <c r="M854" t="str">
        <f t="shared" si="40"/>
        <v>Aug</v>
      </c>
      <c r="N854" s="2">
        <f t="shared" si="41"/>
        <v>0.19986042014778066</v>
      </c>
    </row>
    <row r="855" spans="1:14" x14ac:dyDescent="0.45">
      <c r="A855" t="s">
        <v>1707</v>
      </c>
      <c r="B855" s="1">
        <v>44981</v>
      </c>
      <c r="C855" t="s">
        <v>1708</v>
      </c>
      <c r="D855" t="s">
        <v>26</v>
      </c>
      <c r="E855" t="s">
        <v>36</v>
      </c>
      <c r="F855" t="s">
        <v>53</v>
      </c>
      <c r="G855">
        <v>4</v>
      </c>
      <c r="H855">
        <v>18131.740000000002</v>
      </c>
      <c r="I855">
        <v>2904.49</v>
      </c>
      <c r="J855" t="s">
        <v>71</v>
      </c>
      <c r="K855" t="s">
        <v>29</v>
      </c>
      <c r="L855">
        <f t="shared" si="39"/>
        <v>2023</v>
      </c>
      <c r="M855" t="str">
        <f t="shared" si="40"/>
        <v>Feb</v>
      </c>
      <c r="N855" s="2">
        <f t="shared" si="41"/>
        <v>0.16018815623872831</v>
      </c>
    </row>
    <row r="856" spans="1:14" x14ac:dyDescent="0.45">
      <c r="A856" t="s">
        <v>1709</v>
      </c>
      <c r="B856" s="1">
        <v>44885</v>
      </c>
      <c r="C856" t="s">
        <v>1710</v>
      </c>
      <c r="D856" t="s">
        <v>56</v>
      </c>
      <c r="E856" t="s">
        <v>20</v>
      </c>
      <c r="F856" t="s">
        <v>43</v>
      </c>
      <c r="G856">
        <v>5</v>
      </c>
      <c r="H856">
        <v>14922.81</v>
      </c>
      <c r="I856">
        <v>3340.75</v>
      </c>
      <c r="J856" t="s">
        <v>22</v>
      </c>
      <c r="K856" t="s">
        <v>29</v>
      </c>
      <c r="L856">
        <f t="shared" si="39"/>
        <v>2022</v>
      </c>
      <c r="M856" t="str">
        <f t="shared" si="40"/>
        <v>Nov</v>
      </c>
      <c r="N856" s="2">
        <f t="shared" si="41"/>
        <v>0.22386869497098738</v>
      </c>
    </row>
    <row r="857" spans="1:14" x14ac:dyDescent="0.45">
      <c r="A857" t="s">
        <v>1711</v>
      </c>
      <c r="B857" s="1">
        <v>44589</v>
      </c>
      <c r="C857" t="s">
        <v>1712</v>
      </c>
      <c r="D857" t="s">
        <v>26</v>
      </c>
      <c r="E857" t="s">
        <v>20</v>
      </c>
      <c r="F857" t="s">
        <v>43</v>
      </c>
      <c r="G857">
        <v>3</v>
      </c>
      <c r="H857">
        <v>34451.89</v>
      </c>
      <c r="I857">
        <v>7880.52</v>
      </c>
      <c r="J857" t="s">
        <v>28</v>
      </c>
      <c r="K857" t="s">
        <v>17</v>
      </c>
      <c r="L857">
        <f t="shared" si="39"/>
        <v>2022</v>
      </c>
      <c r="M857" t="str">
        <f t="shared" si="40"/>
        <v>Jan</v>
      </c>
      <c r="N857" s="2">
        <f t="shared" si="41"/>
        <v>0.22873984562240274</v>
      </c>
    </row>
    <row r="858" spans="1:14" x14ac:dyDescent="0.45">
      <c r="A858" t="s">
        <v>1713</v>
      </c>
      <c r="B858" s="1">
        <v>45247</v>
      </c>
      <c r="C858" t="s">
        <v>1714</v>
      </c>
      <c r="D858" t="s">
        <v>56</v>
      </c>
      <c r="E858" t="s">
        <v>14</v>
      </c>
      <c r="F858" t="s">
        <v>40</v>
      </c>
      <c r="G858">
        <v>3</v>
      </c>
      <c r="H858">
        <v>30408.92</v>
      </c>
      <c r="I858">
        <v>7573.65</v>
      </c>
      <c r="J858" t="s">
        <v>71</v>
      </c>
      <c r="K858" t="s">
        <v>23</v>
      </c>
      <c r="L858">
        <f t="shared" si="39"/>
        <v>2023</v>
      </c>
      <c r="M858" t="str">
        <f t="shared" si="40"/>
        <v>Nov</v>
      </c>
      <c r="N858" s="2">
        <f t="shared" si="41"/>
        <v>0.2490601441945324</v>
      </c>
    </row>
    <row r="859" spans="1:14" x14ac:dyDescent="0.45">
      <c r="A859" t="s">
        <v>1715</v>
      </c>
      <c r="B859" s="1">
        <v>44750</v>
      </c>
      <c r="C859" t="s">
        <v>1716</v>
      </c>
      <c r="D859" t="s">
        <v>26</v>
      </c>
      <c r="E859" t="s">
        <v>36</v>
      </c>
      <c r="F859" t="s">
        <v>37</v>
      </c>
      <c r="G859">
        <v>4</v>
      </c>
      <c r="H859">
        <v>33752.94</v>
      </c>
      <c r="I859">
        <v>4868.1499999999996</v>
      </c>
      <c r="J859" t="s">
        <v>28</v>
      </c>
      <c r="K859" t="s">
        <v>29</v>
      </c>
      <c r="L859">
        <f t="shared" si="39"/>
        <v>2022</v>
      </c>
      <c r="M859" t="str">
        <f t="shared" si="40"/>
        <v>Jul</v>
      </c>
      <c r="N859" s="2">
        <f t="shared" si="41"/>
        <v>0.14422891754022019</v>
      </c>
    </row>
    <row r="860" spans="1:14" x14ac:dyDescent="0.45">
      <c r="A860" t="s">
        <v>1717</v>
      </c>
      <c r="B860" s="1">
        <v>45351</v>
      </c>
      <c r="C860" t="s">
        <v>1718</v>
      </c>
      <c r="D860" t="s">
        <v>13</v>
      </c>
      <c r="E860" t="s">
        <v>20</v>
      </c>
      <c r="F860" t="s">
        <v>21</v>
      </c>
      <c r="G860">
        <v>2</v>
      </c>
      <c r="H860">
        <v>19351.41</v>
      </c>
      <c r="I860">
        <v>4480.2299999999996</v>
      </c>
      <c r="J860" t="s">
        <v>16</v>
      </c>
      <c r="K860" t="s">
        <v>33</v>
      </c>
      <c r="L860">
        <f t="shared" si="39"/>
        <v>2024</v>
      </c>
      <c r="M860" t="str">
        <f t="shared" si="40"/>
        <v>Feb</v>
      </c>
      <c r="N860" s="2">
        <f t="shared" si="41"/>
        <v>0.23151956369070778</v>
      </c>
    </row>
    <row r="861" spans="1:14" x14ac:dyDescent="0.45">
      <c r="A861" t="s">
        <v>1719</v>
      </c>
      <c r="B861" s="1">
        <v>45472</v>
      </c>
      <c r="C861" t="s">
        <v>1720</v>
      </c>
      <c r="D861" t="s">
        <v>56</v>
      </c>
      <c r="E861" t="s">
        <v>20</v>
      </c>
      <c r="F861" t="s">
        <v>43</v>
      </c>
      <c r="G861">
        <v>2</v>
      </c>
      <c r="H861">
        <v>15087.77</v>
      </c>
      <c r="I861">
        <v>2307.56</v>
      </c>
      <c r="J861" t="s">
        <v>71</v>
      </c>
      <c r="K861" t="s">
        <v>29</v>
      </c>
      <c r="L861">
        <f t="shared" si="39"/>
        <v>2024</v>
      </c>
      <c r="M861" t="str">
        <f t="shared" si="40"/>
        <v>Jun</v>
      </c>
      <c r="N861" s="2">
        <f t="shared" si="41"/>
        <v>0.15294241627490343</v>
      </c>
    </row>
    <row r="862" spans="1:14" x14ac:dyDescent="0.45">
      <c r="A862" t="s">
        <v>1721</v>
      </c>
      <c r="B862" s="1">
        <v>45306</v>
      </c>
      <c r="C862" t="s">
        <v>1722</v>
      </c>
      <c r="D862" t="s">
        <v>56</v>
      </c>
      <c r="E862" t="s">
        <v>14</v>
      </c>
      <c r="F862" t="s">
        <v>15</v>
      </c>
      <c r="G862">
        <v>4</v>
      </c>
      <c r="H862">
        <v>28334.01</v>
      </c>
      <c r="I862">
        <v>3238.36</v>
      </c>
      <c r="J862" t="s">
        <v>28</v>
      </c>
      <c r="K862" t="s">
        <v>33</v>
      </c>
      <c r="L862">
        <f t="shared" si="39"/>
        <v>2024</v>
      </c>
      <c r="M862" t="str">
        <f t="shared" si="40"/>
        <v>Jan</v>
      </c>
      <c r="N862" s="2">
        <f t="shared" si="41"/>
        <v>0.11429232925378371</v>
      </c>
    </row>
    <row r="863" spans="1:14" x14ac:dyDescent="0.45">
      <c r="A863" t="s">
        <v>1723</v>
      </c>
      <c r="B863" s="1">
        <v>44818</v>
      </c>
      <c r="C863" t="s">
        <v>1724</v>
      </c>
      <c r="D863" t="s">
        <v>56</v>
      </c>
      <c r="E863" t="s">
        <v>36</v>
      </c>
      <c r="F863" t="s">
        <v>64</v>
      </c>
      <c r="G863">
        <v>2</v>
      </c>
      <c r="H863">
        <v>44172.86</v>
      </c>
      <c r="I863">
        <v>9783.66</v>
      </c>
      <c r="J863" t="s">
        <v>47</v>
      </c>
      <c r="K863" t="s">
        <v>29</v>
      </c>
      <c r="L863">
        <f t="shared" si="39"/>
        <v>2022</v>
      </c>
      <c r="M863" t="str">
        <f t="shared" si="40"/>
        <v>Sep</v>
      </c>
      <c r="N863" s="2">
        <f t="shared" si="41"/>
        <v>0.22148577203287267</v>
      </c>
    </row>
    <row r="864" spans="1:14" x14ac:dyDescent="0.45">
      <c r="A864" t="s">
        <v>1725</v>
      </c>
      <c r="B864" s="1">
        <v>45559</v>
      </c>
      <c r="C864" t="s">
        <v>1726</v>
      </c>
      <c r="D864" t="s">
        <v>56</v>
      </c>
      <c r="E864" t="s">
        <v>36</v>
      </c>
      <c r="F864" t="s">
        <v>46</v>
      </c>
      <c r="G864">
        <v>5</v>
      </c>
      <c r="H864">
        <v>49507.33</v>
      </c>
      <c r="I864">
        <v>12256.95</v>
      </c>
      <c r="J864" t="s">
        <v>71</v>
      </c>
      <c r="K864" t="s">
        <v>29</v>
      </c>
      <c r="L864">
        <f t="shared" si="39"/>
        <v>2024</v>
      </c>
      <c r="M864" t="str">
        <f t="shared" si="40"/>
        <v>Sep</v>
      </c>
      <c r="N864" s="2">
        <f t="shared" si="41"/>
        <v>0.24757848989230485</v>
      </c>
    </row>
    <row r="865" spans="1:14" x14ac:dyDescent="0.45">
      <c r="A865" t="s">
        <v>1727</v>
      </c>
      <c r="B865" s="1">
        <v>45126</v>
      </c>
      <c r="C865" t="s">
        <v>1728</v>
      </c>
      <c r="D865" t="s">
        <v>26</v>
      </c>
      <c r="E865" t="s">
        <v>36</v>
      </c>
      <c r="F865" t="s">
        <v>53</v>
      </c>
      <c r="G865">
        <v>3</v>
      </c>
      <c r="H865">
        <v>12969.31</v>
      </c>
      <c r="I865">
        <v>3156.81</v>
      </c>
      <c r="J865" t="s">
        <v>16</v>
      </c>
      <c r="K865" t="s">
        <v>33</v>
      </c>
      <c r="L865">
        <f t="shared" si="39"/>
        <v>2023</v>
      </c>
      <c r="M865" t="str">
        <f t="shared" si="40"/>
        <v>Jul</v>
      </c>
      <c r="N865" s="2">
        <f t="shared" si="41"/>
        <v>0.24340616424466685</v>
      </c>
    </row>
    <row r="866" spans="1:14" x14ac:dyDescent="0.45">
      <c r="A866" t="s">
        <v>1729</v>
      </c>
      <c r="B866" s="1">
        <v>45120</v>
      </c>
      <c r="C866" t="s">
        <v>1730</v>
      </c>
      <c r="D866" t="s">
        <v>13</v>
      </c>
      <c r="E866" t="s">
        <v>14</v>
      </c>
      <c r="F866" t="s">
        <v>15</v>
      </c>
      <c r="G866">
        <v>1</v>
      </c>
      <c r="H866">
        <v>16837.09</v>
      </c>
      <c r="I866">
        <v>1843.66</v>
      </c>
      <c r="J866" t="s">
        <v>71</v>
      </c>
      <c r="K866" t="s">
        <v>23</v>
      </c>
      <c r="L866">
        <f t="shared" si="39"/>
        <v>2023</v>
      </c>
      <c r="M866" t="str">
        <f t="shared" si="40"/>
        <v>Jul</v>
      </c>
      <c r="N866" s="2">
        <f t="shared" si="41"/>
        <v>0.10949991952291044</v>
      </c>
    </row>
    <row r="867" spans="1:14" x14ac:dyDescent="0.45">
      <c r="A867" t="s">
        <v>1731</v>
      </c>
      <c r="B867" s="1">
        <v>45491</v>
      </c>
      <c r="C867" t="s">
        <v>1732</v>
      </c>
      <c r="D867" t="s">
        <v>13</v>
      </c>
      <c r="E867" t="s">
        <v>36</v>
      </c>
      <c r="F867" t="s">
        <v>53</v>
      </c>
      <c r="G867">
        <v>2</v>
      </c>
      <c r="H867">
        <v>45044.1</v>
      </c>
      <c r="I867">
        <v>3175.42</v>
      </c>
      <c r="J867" t="s">
        <v>71</v>
      </c>
      <c r="K867" t="s">
        <v>17</v>
      </c>
      <c r="L867">
        <f t="shared" si="39"/>
        <v>2024</v>
      </c>
      <c r="M867" t="str">
        <f t="shared" si="40"/>
        <v>Jul</v>
      </c>
      <c r="N867" s="2">
        <f t="shared" si="41"/>
        <v>7.049580300194698E-2</v>
      </c>
    </row>
    <row r="868" spans="1:14" x14ac:dyDescent="0.45">
      <c r="A868" t="s">
        <v>1733</v>
      </c>
      <c r="B868" s="1">
        <v>45102</v>
      </c>
      <c r="C868" t="s">
        <v>1734</v>
      </c>
      <c r="D868" t="s">
        <v>56</v>
      </c>
      <c r="E868" t="s">
        <v>14</v>
      </c>
      <c r="F868" t="s">
        <v>40</v>
      </c>
      <c r="G868">
        <v>4</v>
      </c>
      <c r="H868">
        <v>26311.61</v>
      </c>
      <c r="I868">
        <v>3511.65</v>
      </c>
      <c r="J868" t="s">
        <v>16</v>
      </c>
      <c r="K868" t="s">
        <v>23</v>
      </c>
      <c r="L868">
        <f t="shared" si="39"/>
        <v>2023</v>
      </c>
      <c r="M868" t="str">
        <f t="shared" si="40"/>
        <v>Jun</v>
      </c>
      <c r="N868" s="2">
        <f t="shared" si="41"/>
        <v>0.13346389673607961</v>
      </c>
    </row>
    <row r="869" spans="1:14" x14ac:dyDescent="0.45">
      <c r="A869" t="s">
        <v>1735</v>
      </c>
      <c r="B869" s="1">
        <v>45461</v>
      </c>
      <c r="C869" t="s">
        <v>1736</v>
      </c>
      <c r="D869" t="s">
        <v>26</v>
      </c>
      <c r="E869" t="s">
        <v>20</v>
      </c>
      <c r="F869" t="s">
        <v>43</v>
      </c>
      <c r="G869">
        <v>4</v>
      </c>
      <c r="H869">
        <v>14382.1</v>
      </c>
      <c r="I869">
        <v>3217.47</v>
      </c>
      <c r="J869" t="s">
        <v>71</v>
      </c>
      <c r="K869" t="s">
        <v>33</v>
      </c>
      <c r="L869">
        <f t="shared" si="39"/>
        <v>2024</v>
      </c>
      <c r="M869" t="str">
        <f t="shared" si="40"/>
        <v>Jun</v>
      </c>
      <c r="N869" s="2">
        <f t="shared" si="41"/>
        <v>0.22371350498188719</v>
      </c>
    </row>
    <row r="870" spans="1:14" x14ac:dyDescent="0.45">
      <c r="A870" t="s">
        <v>1737</v>
      </c>
      <c r="B870" s="1">
        <v>45090</v>
      </c>
      <c r="C870" t="s">
        <v>1738</v>
      </c>
      <c r="D870" t="s">
        <v>26</v>
      </c>
      <c r="E870" t="s">
        <v>14</v>
      </c>
      <c r="F870" t="s">
        <v>57</v>
      </c>
      <c r="G870">
        <v>4</v>
      </c>
      <c r="H870">
        <v>27042.720000000001</v>
      </c>
      <c r="I870">
        <v>3038.05</v>
      </c>
      <c r="J870" t="s">
        <v>47</v>
      </c>
      <c r="K870" t="s">
        <v>23</v>
      </c>
      <c r="L870">
        <f t="shared" si="39"/>
        <v>2023</v>
      </c>
      <c r="M870" t="str">
        <f t="shared" si="40"/>
        <v>Jun</v>
      </c>
      <c r="N870" s="2">
        <f t="shared" si="41"/>
        <v>0.11234261938148234</v>
      </c>
    </row>
    <row r="871" spans="1:14" x14ac:dyDescent="0.45">
      <c r="A871" t="s">
        <v>1739</v>
      </c>
      <c r="B871" s="1">
        <v>45175</v>
      </c>
      <c r="C871" t="s">
        <v>1740</v>
      </c>
      <c r="D871" t="s">
        <v>13</v>
      </c>
      <c r="E871" t="s">
        <v>14</v>
      </c>
      <c r="F871" t="s">
        <v>15</v>
      </c>
      <c r="G871">
        <v>1</v>
      </c>
      <c r="H871">
        <v>28661.65</v>
      </c>
      <c r="I871">
        <v>6017.93</v>
      </c>
      <c r="J871" t="s">
        <v>22</v>
      </c>
      <c r="K871" t="s">
        <v>17</v>
      </c>
      <c r="L871">
        <f t="shared" si="39"/>
        <v>2023</v>
      </c>
      <c r="M871" t="str">
        <f t="shared" si="40"/>
        <v>Sep</v>
      </c>
      <c r="N871" s="2">
        <f t="shared" si="41"/>
        <v>0.20996453449121039</v>
      </c>
    </row>
    <row r="872" spans="1:14" x14ac:dyDescent="0.45">
      <c r="A872" t="s">
        <v>1741</v>
      </c>
      <c r="B872" s="1">
        <v>44743</v>
      </c>
      <c r="C872" t="s">
        <v>1742</v>
      </c>
      <c r="D872" t="s">
        <v>26</v>
      </c>
      <c r="E872" t="s">
        <v>36</v>
      </c>
      <c r="F872" t="s">
        <v>64</v>
      </c>
      <c r="G872">
        <v>5</v>
      </c>
      <c r="H872">
        <v>38683.53</v>
      </c>
      <c r="I872">
        <v>2053.42</v>
      </c>
      <c r="J872" t="s">
        <v>16</v>
      </c>
      <c r="K872" t="s">
        <v>29</v>
      </c>
      <c r="L872">
        <f t="shared" si="39"/>
        <v>2022</v>
      </c>
      <c r="M872" t="str">
        <f t="shared" si="40"/>
        <v>Jul</v>
      </c>
      <c r="N872" s="2">
        <f t="shared" si="41"/>
        <v>5.3082539261541023E-2</v>
      </c>
    </row>
    <row r="873" spans="1:14" x14ac:dyDescent="0.45">
      <c r="A873" t="s">
        <v>1743</v>
      </c>
      <c r="B873" s="1">
        <v>44840</v>
      </c>
      <c r="C873" t="s">
        <v>1744</v>
      </c>
      <c r="D873" t="s">
        <v>56</v>
      </c>
      <c r="E873" t="s">
        <v>20</v>
      </c>
      <c r="F873" t="s">
        <v>43</v>
      </c>
      <c r="G873">
        <v>2</v>
      </c>
      <c r="H873">
        <v>42213.67</v>
      </c>
      <c r="I873">
        <v>7332.03</v>
      </c>
      <c r="J873" t="s">
        <v>16</v>
      </c>
      <c r="K873" t="s">
        <v>33</v>
      </c>
      <c r="L873">
        <f t="shared" si="39"/>
        <v>2022</v>
      </c>
      <c r="M873" t="str">
        <f t="shared" si="40"/>
        <v>Oct</v>
      </c>
      <c r="N873" s="2">
        <f t="shared" si="41"/>
        <v>0.17368852317270686</v>
      </c>
    </row>
    <row r="874" spans="1:14" x14ac:dyDescent="0.45">
      <c r="A874" t="s">
        <v>1745</v>
      </c>
      <c r="B874" s="1">
        <v>45565</v>
      </c>
      <c r="C874" t="s">
        <v>1746</v>
      </c>
      <c r="D874" t="s">
        <v>26</v>
      </c>
      <c r="E874" t="s">
        <v>36</v>
      </c>
      <c r="F874" t="s">
        <v>64</v>
      </c>
      <c r="G874">
        <v>1</v>
      </c>
      <c r="H874">
        <v>26751.27</v>
      </c>
      <c r="I874">
        <v>2728.98</v>
      </c>
      <c r="J874" t="s">
        <v>47</v>
      </c>
      <c r="K874" t="s">
        <v>29</v>
      </c>
      <c r="L874">
        <f t="shared" si="39"/>
        <v>2024</v>
      </c>
      <c r="M874" t="str">
        <f t="shared" si="40"/>
        <v>Sep</v>
      </c>
      <c r="N874" s="2">
        <f t="shared" si="41"/>
        <v>0.1020131006864347</v>
      </c>
    </row>
    <row r="875" spans="1:14" x14ac:dyDescent="0.45">
      <c r="A875" t="s">
        <v>1747</v>
      </c>
      <c r="B875" s="1">
        <v>45110</v>
      </c>
      <c r="C875" t="s">
        <v>1748</v>
      </c>
      <c r="D875" t="s">
        <v>13</v>
      </c>
      <c r="E875" t="s">
        <v>36</v>
      </c>
      <c r="F875" t="s">
        <v>53</v>
      </c>
      <c r="G875">
        <v>2</v>
      </c>
      <c r="H875">
        <v>35615.040000000001</v>
      </c>
      <c r="I875">
        <v>2943.42</v>
      </c>
      <c r="J875" t="s">
        <v>47</v>
      </c>
      <c r="K875" t="s">
        <v>29</v>
      </c>
      <c r="L875">
        <f t="shared" si="39"/>
        <v>2023</v>
      </c>
      <c r="M875" t="str">
        <f t="shared" si="40"/>
        <v>Jul</v>
      </c>
      <c r="N875" s="2">
        <f t="shared" si="41"/>
        <v>8.2645421709480041E-2</v>
      </c>
    </row>
    <row r="876" spans="1:14" x14ac:dyDescent="0.45">
      <c r="A876" t="s">
        <v>1749</v>
      </c>
      <c r="B876" s="1">
        <v>45594</v>
      </c>
      <c r="C876" t="s">
        <v>1750</v>
      </c>
      <c r="D876" t="s">
        <v>56</v>
      </c>
      <c r="E876" t="s">
        <v>36</v>
      </c>
      <c r="F876" t="s">
        <v>46</v>
      </c>
      <c r="G876">
        <v>5</v>
      </c>
      <c r="H876">
        <v>43569.38</v>
      </c>
      <c r="I876">
        <v>7686.43</v>
      </c>
      <c r="J876" t="s">
        <v>47</v>
      </c>
      <c r="K876" t="s">
        <v>29</v>
      </c>
      <c r="L876">
        <f t="shared" si="39"/>
        <v>2024</v>
      </c>
      <c r="M876" t="str">
        <f t="shared" si="40"/>
        <v>Oct</v>
      </c>
      <c r="N876" s="2">
        <f t="shared" si="41"/>
        <v>0.17641816339823979</v>
      </c>
    </row>
    <row r="877" spans="1:14" x14ac:dyDescent="0.45">
      <c r="A877" t="s">
        <v>1751</v>
      </c>
      <c r="B877" s="1">
        <v>45644</v>
      </c>
      <c r="C877" t="s">
        <v>1752</v>
      </c>
      <c r="D877" t="s">
        <v>13</v>
      </c>
      <c r="E877" t="s">
        <v>36</v>
      </c>
      <c r="F877" t="s">
        <v>53</v>
      </c>
      <c r="G877">
        <v>2</v>
      </c>
      <c r="H877">
        <v>24687.5</v>
      </c>
      <c r="I877">
        <v>4209.04</v>
      </c>
      <c r="J877" t="s">
        <v>28</v>
      </c>
      <c r="K877" t="s">
        <v>17</v>
      </c>
      <c r="L877">
        <f t="shared" si="39"/>
        <v>2024</v>
      </c>
      <c r="M877" t="str">
        <f t="shared" si="40"/>
        <v>Dec</v>
      </c>
      <c r="N877" s="2">
        <f t="shared" si="41"/>
        <v>0.17049275949367088</v>
      </c>
    </row>
    <row r="878" spans="1:14" x14ac:dyDescent="0.45">
      <c r="A878" t="s">
        <v>1753</v>
      </c>
      <c r="B878" s="1">
        <v>44756</v>
      </c>
      <c r="C878" t="s">
        <v>1754</v>
      </c>
      <c r="D878" t="s">
        <v>26</v>
      </c>
      <c r="E878" t="s">
        <v>36</v>
      </c>
      <c r="F878" t="s">
        <v>46</v>
      </c>
      <c r="G878">
        <v>3</v>
      </c>
      <c r="H878">
        <v>45880.79</v>
      </c>
      <c r="I878">
        <v>2459.39</v>
      </c>
      <c r="J878" t="s">
        <v>28</v>
      </c>
      <c r="K878" t="s">
        <v>33</v>
      </c>
      <c r="L878">
        <f t="shared" si="39"/>
        <v>2022</v>
      </c>
      <c r="M878" t="str">
        <f t="shared" si="40"/>
        <v>Jul</v>
      </c>
      <c r="N878" s="2">
        <f t="shared" si="41"/>
        <v>5.3603915712872423E-2</v>
      </c>
    </row>
    <row r="879" spans="1:14" x14ac:dyDescent="0.45">
      <c r="A879" t="s">
        <v>1755</v>
      </c>
      <c r="B879" s="1">
        <v>44950</v>
      </c>
      <c r="C879" t="s">
        <v>1756</v>
      </c>
      <c r="D879" t="s">
        <v>13</v>
      </c>
      <c r="E879" t="s">
        <v>20</v>
      </c>
      <c r="F879" t="s">
        <v>21</v>
      </c>
      <c r="G879">
        <v>4</v>
      </c>
      <c r="H879">
        <v>8943.09</v>
      </c>
      <c r="I879">
        <v>840.3</v>
      </c>
      <c r="J879" t="s">
        <v>22</v>
      </c>
      <c r="K879" t="s">
        <v>23</v>
      </c>
      <c r="L879">
        <f t="shared" si="39"/>
        <v>2023</v>
      </c>
      <c r="M879" t="str">
        <f t="shared" si="40"/>
        <v>Jan</v>
      </c>
      <c r="N879" s="2">
        <f t="shared" si="41"/>
        <v>9.3960812202493763E-2</v>
      </c>
    </row>
    <row r="880" spans="1:14" x14ac:dyDescent="0.45">
      <c r="A880" t="s">
        <v>1757</v>
      </c>
      <c r="B880" s="1">
        <v>45173</v>
      </c>
      <c r="C880" t="s">
        <v>1758</v>
      </c>
      <c r="D880" t="s">
        <v>56</v>
      </c>
      <c r="E880" t="s">
        <v>20</v>
      </c>
      <c r="F880" t="s">
        <v>21</v>
      </c>
      <c r="G880">
        <v>2</v>
      </c>
      <c r="H880">
        <v>40211.040000000001</v>
      </c>
      <c r="I880">
        <v>5413.74</v>
      </c>
      <c r="J880" t="s">
        <v>28</v>
      </c>
      <c r="K880" t="s">
        <v>33</v>
      </c>
      <c r="L880">
        <f t="shared" si="39"/>
        <v>2023</v>
      </c>
      <c r="M880" t="str">
        <f t="shared" si="40"/>
        <v>Sep</v>
      </c>
      <c r="N880" s="2">
        <f t="shared" si="41"/>
        <v>0.13463317536676495</v>
      </c>
    </row>
    <row r="881" spans="1:14" x14ac:dyDescent="0.45">
      <c r="A881" t="s">
        <v>1759</v>
      </c>
      <c r="B881" s="1">
        <v>45007</v>
      </c>
      <c r="C881" t="s">
        <v>1760</v>
      </c>
      <c r="D881" t="s">
        <v>13</v>
      </c>
      <c r="E881" t="s">
        <v>20</v>
      </c>
      <c r="F881" t="s">
        <v>21</v>
      </c>
      <c r="G881">
        <v>5</v>
      </c>
      <c r="H881">
        <v>17599.5</v>
      </c>
      <c r="I881">
        <v>3453.85</v>
      </c>
      <c r="J881" t="s">
        <v>47</v>
      </c>
      <c r="K881" t="s">
        <v>17</v>
      </c>
      <c r="L881">
        <f t="shared" si="39"/>
        <v>2023</v>
      </c>
      <c r="M881" t="str">
        <f t="shared" si="40"/>
        <v>Mar</v>
      </c>
      <c r="N881" s="2">
        <f t="shared" si="41"/>
        <v>0.19624705247308161</v>
      </c>
    </row>
    <row r="882" spans="1:14" x14ac:dyDescent="0.45">
      <c r="A882" t="s">
        <v>1761</v>
      </c>
      <c r="B882" s="1">
        <v>45322</v>
      </c>
      <c r="C882" t="s">
        <v>1762</v>
      </c>
      <c r="D882" t="s">
        <v>13</v>
      </c>
      <c r="E882" t="s">
        <v>14</v>
      </c>
      <c r="F882" t="s">
        <v>15</v>
      </c>
      <c r="G882">
        <v>2</v>
      </c>
      <c r="H882">
        <v>35115.370000000003</v>
      </c>
      <c r="I882">
        <v>4357.83</v>
      </c>
      <c r="J882" t="s">
        <v>47</v>
      </c>
      <c r="K882" t="s">
        <v>29</v>
      </c>
      <c r="L882">
        <f t="shared" si="39"/>
        <v>2024</v>
      </c>
      <c r="M882" t="str">
        <f t="shared" si="40"/>
        <v>Jan</v>
      </c>
      <c r="N882" s="2">
        <f t="shared" si="41"/>
        <v>0.12410035833311736</v>
      </c>
    </row>
    <row r="883" spans="1:14" x14ac:dyDescent="0.45">
      <c r="A883" t="s">
        <v>1763</v>
      </c>
      <c r="B883" s="1">
        <v>45290</v>
      </c>
      <c r="C883" t="s">
        <v>1764</v>
      </c>
      <c r="D883" t="s">
        <v>56</v>
      </c>
      <c r="E883" t="s">
        <v>36</v>
      </c>
      <c r="F883" t="s">
        <v>46</v>
      </c>
      <c r="G883">
        <v>4</v>
      </c>
      <c r="H883">
        <v>35901.57</v>
      </c>
      <c r="I883">
        <v>7065.73</v>
      </c>
      <c r="J883" t="s">
        <v>16</v>
      </c>
      <c r="K883" t="s">
        <v>23</v>
      </c>
      <c r="L883">
        <f t="shared" si="39"/>
        <v>2023</v>
      </c>
      <c r="M883" t="str">
        <f t="shared" si="40"/>
        <v>Dec</v>
      </c>
      <c r="N883" s="2">
        <f t="shared" si="41"/>
        <v>0.19680838470295309</v>
      </c>
    </row>
    <row r="884" spans="1:14" x14ac:dyDescent="0.45">
      <c r="A884" t="s">
        <v>1765</v>
      </c>
      <c r="B884" s="1">
        <v>45605</v>
      </c>
      <c r="C884" t="s">
        <v>1766</v>
      </c>
      <c r="D884" t="s">
        <v>13</v>
      </c>
      <c r="E884" t="s">
        <v>36</v>
      </c>
      <c r="F884" t="s">
        <v>37</v>
      </c>
      <c r="G884">
        <v>2</v>
      </c>
      <c r="H884">
        <v>29936.97</v>
      </c>
      <c r="I884">
        <v>3315.91</v>
      </c>
      <c r="J884" t="s">
        <v>16</v>
      </c>
      <c r="K884" t="s">
        <v>29</v>
      </c>
      <c r="L884">
        <f t="shared" si="39"/>
        <v>2024</v>
      </c>
      <c r="M884" t="str">
        <f t="shared" si="40"/>
        <v>Nov</v>
      </c>
      <c r="N884" s="2">
        <f t="shared" si="41"/>
        <v>0.11076304649401725</v>
      </c>
    </row>
    <row r="885" spans="1:14" x14ac:dyDescent="0.45">
      <c r="A885" t="s">
        <v>1767</v>
      </c>
      <c r="B885" s="1">
        <v>45615</v>
      </c>
      <c r="C885" t="s">
        <v>1768</v>
      </c>
      <c r="D885" t="s">
        <v>26</v>
      </c>
      <c r="E885" t="s">
        <v>20</v>
      </c>
      <c r="F885" t="s">
        <v>43</v>
      </c>
      <c r="G885">
        <v>4</v>
      </c>
      <c r="H885">
        <v>27339.24</v>
      </c>
      <c r="I885">
        <v>4732.22</v>
      </c>
      <c r="J885" t="s">
        <v>47</v>
      </c>
      <c r="K885" t="s">
        <v>33</v>
      </c>
      <c r="L885">
        <f t="shared" si="39"/>
        <v>2024</v>
      </c>
      <c r="M885" t="str">
        <f t="shared" si="40"/>
        <v>Nov</v>
      </c>
      <c r="N885" s="2">
        <f t="shared" si="41"/>
        <v>0.17309259511237327</v>
      </c>
    </row>
    <row r="886" spans="1:14" x14ac:dyDescent="0.45">
      <c r="A886" t="s">
        <v>1769</v>
      </c>
      <c r="B886" s="1">
        <v>44569</v>
      </c>
      <c r="C886" t="s">
        <v>1770</v>
      </c>
      <c r="D886" t="s">
        <v>56</v>
      </c>
      <c r="E886" t="s">
        <v>14</v>
      </c>
      <c r="F886" t="s">
        <v>15</v>
      </c>
      <c r="G886">
        <v>3</v>
      </c>
      <c r="H886">
        <v>5522.23</v>
      </c>
      <c r="I886">
        <v>680.76</v>
      </c>
      <c r="J886" t="s">
        <v>71</v>
      </c>
      <c r="K886" t="s">
        <v>29</v>
      </c>
      <c r="L886">
        <f t="shared" si="39"/>
        <v>2022</v>
      </c>
      <c r="M886" t="str">
        <f t="shared" si="40"/>
        <v>Jan</v>
      </c>
      <c r="N886" s="2">
        <f t="shared" si="41"/>
        <v>0.12327628512394451</v>
      </c>
    </row>
    <row r="887" spans="1:14" x14ac:dyDescent="0.45">
      <c r="A887" t="s">
        <v>1771</v>
      </c>
      <c r="B887" s="1">
        <v>44617</v>
      </c>
      <c r="C887" t="s">
        <v>1772</v>
      </c>
      <c r="D887" t="s">
        <v>56</v>
      </c>
      <c r="E887" t="s">
        <v>14</v>
      </c>
      <c r="F887" t="s">
        <v>57</v>
      </c>
      <c r="G887">
        <v>5</v>
      </c>
      <c r="H887">
        <v>19198.2</v>
      </c>
      <c r="I887">
        <v>3413.88</v>
      </c>
      <c r="J887" t="s">
        <v>47</v>
      </c>
      <c r="K887" t="s">
        <v>33</v>
      </c>
      <c r="L887">
        <f t="shared" si="39"/>
        <v>2022</v>
      </c>
      <c r="M887" t="str">
        <f t="shared" si="40"/>
        <v>Feb</v>
      </c>
      <c r="N887" s="2">
        <f t="shared" si="41"/>
        <v>0.17782292089883425</v>
      </c>
    </row>
    <row r="888" spans="1:14" x14ac:dyDescent="0.45">
      <c r="A888" t="s">
        <v>1773</v>
      </c>
      <c r="B888" s="1">
        <v>45207</v>
      </c>
      <c r="C888" t="s">
        <v>1774</v>
      </c>
      <c r="D888" t="s">
        <v>26</v>
      </c>
      <c r="E888" t="s">
        <v>36</v>
      </c>
      <c r="F888" t="s">
        <v>64</v>
      </c>
      <c r="G888">
        <v>5</v>
      </c>
      <c r="H888">
        <v>10912.15</v>
      </c>
      <c r="I888">
        <v>2694.63</v>
      </c>
      <c r="J888" t="s">
        <v>16</v>
      </c>
      <c r="K888" t="s">
        <v>17</v>
      </c>
      <c r="L888">
        <f t="shared" si="39"/>
        <v>2023</v>
      </c>
      <c r="M888" t="str">
        <f t="shared" si="40"/>
        <v>Oct</v>
      </c>
      <c r="N888" s="2">
        <f t="shared" si="41"/>
        <v>0.24693850432774478</v>
      </c>
    </row>
    <row r="889" spans="1:14" x14ac:dyDescent="0.45">
      <c r="A889" t="s">
        <v>1775</v>
      </c>
      <c r="B889" s="1">
        <v>44751</v>
      </c>
      <c r="C889" t="s">
        <v>1776</v>
      </c>
      <c r="D889" t="s">
        <v>26</v>
      </c>
      <c r="E889" t="s">
        <v>14</v>
      </c>
      <c r="F889" t="s">
        <v>40</v>
      </c>
      <c r="G889">
        <v>4</v>
      </c>
      <c r="H889">
        <v>33485.660000000003</v>
      </c>
      <c r="I889">
        <v>4737.37</v>
      </c>
      <c r="J889" t="s">
        <v>22</v>
      </c>
      <c r="K889" t="s">
        <v>33</v>
      </c>
      <c r="L889">
        <f t="shared" si="39"/>
        <v>2022</v>
      </c>
      <c r="M889" t="str">
        <f t="shared" si="40"/>
        <v>Jul</v>
      </c>
      <c r="N889" s="2">
        <f t="shared" si="41"/>
        <v>0.1414745894212627</v>
      </c>
    </row>
    <row r="890" spans="1:14" x14ac:dyDescent="0.45">
      <c r="A890" t="s">
        <v>1777</v>
      </c>
      <c r="B890" s="1">
        <v>45102</v>
      </c>
      <c r="C890" t="s">
        <v>1778</v>
      </c>
      <c r="D890" t="s">
        <v>26</v>
      </c>
      <c r="E890" t="s">
        <v>14</v>
      </c>
      <c r="F890" t="s">
        <v>15</v>
      </c>
      <c r="G890">
        <v>2</v>
      </c>
      <c r="H890">
        <v>49476.72</v>
      </c>
      <c r="I890">
        <v>9605.4599999999991</v>
      </c>
      <c r="J890" t="s">
        <v>22</v>
      </c>
      <c r="K890" t="s">
        <v>29</v>
      </c>
      <c r="L890">
        <f t="shared" si="39"/>
        <v>2023</v>
      </c>
      <c r="M890" t="str">
        <f t="shared" si="40"/>
        <v>Jun</v>
      </c>
      <c r="N890" s="2">
        <f t="shared" si="41"/>
        <v>0.19414100207127713</v>
      </c>
    </row>
    <row r="891" spans="1:14" x14ac:dyDescent="0.45">
      <c r="A891" t="s">
        <v>1779</v>
      </c>
      <c r="B891" s="1">
        <v>45547</v>
      </c>
      <c r="C891" t="s">
        <v>1780</v>
      </c>
      <c r="D891" t="s">
        <v>26</v>
      </c>
      <c r="E891" t="s">
        <v>36</v>
      </c>
      <c r="F891" t="s">
        <v>46</v>
      </c>
      <c r="G891">
        <v>3</v>
      </c>
      <c r="H891">
        <v>37565.040000000001</v>
      </c>
      <c r="I891">
        <v>4274.34</v>
      </c>
      <c r="J891" t="s">
        <v>22</v>
      </c>
      <c r="K891" t="s">
        <v>33</v>
      </c>
      <c r="L891">
        <f t="shared" si="39"/>
        <v>2024</v>
      </c>
      <c r="M891" t="str">
        <f t="shared" si="40"/>
        <v>Sep</v>
      </c>
      <c r="N891" s="2">
        <f t="shared" si="41"/>
        <v>0.11378505120718625</v>
      </c>
    </row>
    <row r="892" spans="1:14" x14ac:dyDescent="0.45">
      <c r="A892" t="s">
        <v>1781</v>
      </c>
      <c r="B892" s="1">
        <v>44711</v>
      </c>
      <c r="C892" t="s">
        <v>1782</v>
      </c>
      <c r="D892" t="s">
        <v>26</v>
      </c>
      <c r="E892" t="s">
        <v>36</v>
      </c>
      <c r="F892" t="s">
        <v>46</v>
      </c>
      <c r="G892">
        <v>3</v>
      </c>
      <c r="H892">
        <v>41512.29</v>
      </c>
      <c r="I892">
        <v>5566.79</v>
      </c>
      <c r="J892" t="s">
        <v>22</v>
      </c>
      <c r="K892" t="s">
        <v>23</v>
      </c>
      <c r="L892">
        <f t="shared" si="39"/>
        <v>2022</v>
      </c>
      <c r="M892" t="str">
        <f t="shared" si="40"/>
        <v>May</v>
      </c>
      <c r="N892" s="2">
        <f t="shared" si="41"/>
        <v>0.13409980514204348</v>
      </c>
    </row>
    <row r="893" spans="1:14" x14ac:dyDescent="0.45">
      <c r="A893" t="s">
        <v>1783</v>
      </c>
      <c r="B893" s="1">
        <v>44924</v>
      </c>
      <c r="C893" t="s">
        <v>1784</v>
      </c>
      <c r="D893" t="s">
        <v>13</v>
      </c>
      <c r="E893" t="s">
        <v>36</v>
      </c>
      <c r="F893" t="s">
        <v>64</v>
      </c>
      <c r="G893">
        <v>1</v>
      </c>
      <c r="H893">
        <v>35914.86</v>
      </c>
      <c r="I893">
        <v>6148.76</v>
      </c>
      <c r="J893" t="s">
        <v>28</v>
      </c>
      <c r="K893" t="s">
        <v>33</v>
      </c>
      <c r="L893">
        <f t="shared" si="39"/>
        <v>2022</v>
      </c>
      <c r="M893" t="str">
        <f t="shared" si="40"/>
        <v>Dec</v>
      </c>
      <c r="N893" s="2">
        <f t="shared" si="41"/>
        <v>0.17120378584240617</v>
      </c>
    </row>
    <row r="894" spans="1:14" x14ac:dyDescent="0.45">
      <c r="A894" t="s">
        <v>1785</v>
      </c>
      <c r="B894" s="1">
        <v>45384</v>
      </c>
      <c r="C894" t="s">
        <v>1786</v>
      </c>
      <c r="D894" t="s">
        <v>13</v>
      </c>
      <c r="E894" t="s">
        <v>36</v>
      </c>
      <c r="F894" t="s">
        <v>37</v>
      </c>
      <c r="G894">
        <v>1</v>
      </c>
      <c r="H894">
        <v>12271.87</v>
      </c>
      <c r="I894">
        <v>2236</v>
      </c>
      <c r="J894" t="s">
        <v>47</v>
      </c>
      <c r="K894" t="s">
        <v>29</v>
      </c>
      <c r="L894">
        <f t="shared" si="39"/>
        <v>2024</v>
      </c>
      <c r="M894" t="str">
        <f t="shared" si="40"/>
        <v>Apr</v>
      </c>
      <c r="N894" s="2">
        <f t="shared" si="41"/>
        <v>0.18220531997160985</v>
      </c>
    </row>
    <row r="895" spans="1:14" x14ac:dyDescent="0.45">
      <c r="A895" t="s">
        <v>1787</v>
      </c>
      <c r="B895" s="1">
        <v>45465</v>
      </c>
      <c r="C895" t="s">
        <v>1788</v>
      </c>
      <c r="D895" t="s">
        <v>26</v>
      </c>
      <c r="E895" t="s">
        <v>14</v>
      </c>
      <c r="F895" t="s">
        <v>40</v>
      </c>
      <c r="G895">
        <v>2</v>
      </c>
      <c r="H895">
        <v>19165.23</v>
      </c>
      <c r="I895">
        <v>4001.72</v>
      </c>
      <c r="J895" t="s">
        <v>16</v>
      </c>
      <c r="K895" t="s">
        <v>23</v>
      </c>
      <c r="L895">
        <f t="shared" si="39"/>
        <v>2024</v>
      </c>
      <c r="M895" t="str">
        <f t="shared" si="40"/>
        <v>Jun</v>
      </c>
      <c r="N895" s="2">
        <f t="shared" si="41"/>
        <v>0.20880104230421445</v>
      </c>
    </row>
    <row r="896" spans="1:14" x14ac:dyDescent="0.45">
      <c r="A896" t="s">
        <v>1789</v>
      </c>
      <c r="B896" s="1">
        <v>44838</v>
      </c>
      <c r="C896" t="s">
        <v>1790</v>
      </c>
      <c r="D896" t="s">
        <v>26</v>
      </c>
      <c r="E896" t="s">
        <v>36</v>
      </c>
      <c r="F896" t="s">
        <v>46</v>
      </c>
      <c r="G896">
        <v>1</v>
      </c>
      <c r="H896">
        <v>28886.33</v>
      </c>
      <c r="I896">
        <v>3726.01</v>
      </c>
      <c r="J896" t="s">
        <v>28</v>
      </c>
      <c r="K896" t="s">
        <v>29</v>
      </c>
      <c r="L896">
        <f t="shared" si="39"/>
        <v>2022</v>
      </c>
      <c r="M896" t="str">
        <f t="shared" si="40"/>
        <v>Oct</v>
      </c>
      <c r="N896" s="2">
        <f t="shared" si="41"/>
        <v>0.12898869465245325</v>
      </c>
    </row>
    <row r="897" spans="1:14" x14ac:dyDescent="0.45">
      <c r="A897" t="s">
        <v>1791</v>
      </c>
      <c r="B897" s="1">
        <v>44692</v>
      </c>
      <c r="C897" t="s">
        <v>1792</v>
      </c>
      <c r="D897" t="s">
        <v>56</v>
      </c>
      <c r="E897" t="s">
        <v>14</v>
      </c>
      <c r="F897" t="s">
        <v>40</v>
      </c>
      <c r="G897">
        <v>5</v>
      </c>
      <c r="H897">
        <v>5129.1499999999996</v>
      </c>
      <c r="I897">
        <v>282.89</v>
      </c>
      <c r="J897" t="s">
        <v>71</v>
      </c>
      <c r="K897" t="s">
        <v>23</v>
      </c>
      <c r="L897">
        <f t="shared" si="39"/>
        <v>2022</v>
      </c>
      <c r="M897" t="str">
        <f t="shared" si="40"/>
        <v>May</v>
      </c>
      <c r="N897" s="2">
        <f t="shared" si="41"/>
        <v>5.5153387988263164E-2</v>
      </c>
    </row>
    <row r="898" spans="1:14" x14ac:dyDescent="0.45">
      <c r="A898" t="s">
        <v>1793</v>
      </c>
      <c r="B898" s="1">
        <v>44980</v>
      </c>
      <c r="C898" t="s">
        <v>1794</v>
      </c>
      <c r="D898" t="s">
        <v>13</v>
      </c>
      <c r="E898" t="s">
        <v>20</v>
      </c>
      <c r="F898" t="s">
        <v>50</v>
      </c>
      <c r="G898">
        <v>3</v>
      </c>
      <c r="H898">
        <v>16052.54</v>
      </c>
      <c r="I898">
        <v>3470.22</v>
      </c>
      <c r="J898" t="s">
        <v>16</v>
      </c>
      <c r="K898" t="s">
        <v>33</v>
      </c>
      <c r="L898">
        <f t="shared" si="39"/>
        <v>2023</v>
      </c>
      <c r="M898" t="str">
        <f t="shared" si="40"/>
        <v>Feb</v>
      </c>
      <c r="N898" s="2">
        <f t="shared" si="41"/>
        <v>0.21617887262701102</v>
      </c>
    </row>
    <row r="899" spans="1:14" x14ac:dyDescent="0.45">
      <c r="A899" t="s">
        <v>1795</v>
      </c>
      <c r="B899" s="1">
        <v>45489</v>
      </c>
      <c r="C899" t="s">
        <v>1796</v>
      </c>
      <c r="D899" t="s">
        <v>26</v>
      </c>
      <c r="E899" t="s">
        <v>20</v>
      </c>
      <c r="F899" t="s">
        <v>27</v>
      </c>
      <c r="G899">
        <v>4</v>
      </c>
      <c r="H899">
        <v>41878.57</v>
      </c>
      <c r="I899">
        <v>4540.51</v>
      </c>
      <c r="J899" t="s">
        <v>22</v>
      </c>
      <c r="K899" t="s">
        <v>17</v>
      </c>
      <c r="L899">
        <f t="shared" ref="L899:L962" si="42">YEAR(B899 )</f>
        <v>2024</v>
      </c>
      <c r="M899" t="str">
        <f t="shared" ref="M899:M962" si="43">TEXT(B899,"MMM")</f>
        <v>Jul</v>
      </c>
      <c r="N899" s="2">
        <f t="shared" ref="N899:N962" si="44">I899 / H899</f>
        <v>0.10842084627053886</v>
      </c>
    </row>
    <row r="900" spans="1:14" x14ac:dyDescent="0.45">
      <c r="A900" t="s">
        <v>1797</v>
      </c>
      <c r="B900" s="1">
        <v>45641</v>
      </c>
      <c r="C900" t="s">
        <v>1798</v>
      </c>
      <c r="D900" t="s">
        <v>26</v>
      </c>
      <c r="E900" t="s">
        <v>14</v>
      </c>
      <c r="F900" t="s">
        <v>15</v>
      </c>
      <c r="G900">
        <v>4</v>
      </c>
      <c r="H900">
        <v>15707.39</v>
      </c>
      <c r="I900">
        <v>3877.53</v>
      </c>
      <c r="J900" t="s">
        <v>71</v>
      </c>
      <c r="K900" t="s">
        <v>23</v>
      </c>
      <c r="L900">
        <f t="shared" si="42"/>
        <v>2024</v>
      </c>
      <c r="M900" t="str">
        <f t="shared" si="43"/>
        <v>Dec</v>
      </c>
      <c r="N900" s="2">
        <f t="shared" si="44"/>
        <v>0.24686023585076836</v>
      </c>
    </row>
    <row r="901" spans="1:14" x14ac:dyDescent="0.45">
      <c r="A901" t="s">
        <v>1799</v>
      </c>
      <c r="B901" s="1">
        <v>45296</v>
      </c>
      <c r="C901" t="s">
        <v>1800</v>
      </c>
      <c r="D901" t="s">
        <v>13</v>
      </c>
      <c r="E901" t="s">
        <v>14</v>
      </c>
      <c r="F901" t="s">
        <v>15</v>
      </c>
      <c r="G901">
        <v>4</v>
      </c>
      <c r="H901">
        <v>6422.93</v>
      </c>
      <c r="I901">
        <v>674.18</v>
      </c>
      <c r="J901" t="s">
        <v>71</v>
      </c>
      <c r="K901" t="s">
        <v>23</v>
      </c>
      <c r="L901">
        <f t="shared" si="42"/>
        <v>2024</v>
      </c>
      <c r="M901" t="str">
        <f t="shared" si="43"/>
        <v>Jan</v>
      </c>
      <c r="N901" s="2">
        <f t="shared" si="44"/>
        <v>0.10496455667429039</v>
      </c>
    </row>
    <row r="902" spans="1:14" x14ac:dyDescent="0.45">
      <c r="A902" t="s">
        <v>1801</v>
      </c>
      <c r="B902" s="1">
        <v>44831</v>
      </c>
      <c r="C902" t="s">
        <v>1802</v>
      </c>
      <c r="D902" t="s">
        <v>56</v>
      </c>
      <c r="E902" t="s">
        <v>14</v>
      </c>
      <c r="F902" t="s">
        <v>32</v>
      </c>
      <c r="G902">
        <v>3</v>
      </c>
      <c r="H902">
        <v>13150.78</v>
      </c>
      <c r="I902">
        <v>3256.16</v>
      </c>
      <c r="J902" t="s">
        <v>16</v>
      </c>
      <c r="K902" t="s">
        <v>33</v>
      </c>
      <c r="L902">
        <f t="shared" si="42"/>
        <v>2022</v>
      </c>
      <c r="M902" t="str">
        <f t="shared" si="43"/>
        <v>Sep</v>
      </c>
      <c r="N902" s="2">
        <f t="shared" si="44"/>
        <v>0.24760204337689473</v>
      </c>
    </row>
    <row r="903" spans="1:14" x14ac:dyDescent="0.45">
      <c r="A903" t="s">
        <v>1803</v>
      </c>
      <c r="B903" s="1">
        <v>45228</v>
      </c>
      <c r="C903" t="s">
        <v>1804</v>
      </c>
      <c r="D903" t="s">
        <v>56</v>
      </c>
      <c r="E903" t="s">
        <v>14</v>
      </c>
      <c r="F903" t="s">
        <v>40</v>
      </c>
      <c r="G903">
        <v>5</v>
      </c>
      <c r="H903">
        <v>35072.519999999997</v>
      </c>
      <c r="I903">
        <v>1955.76</v>
      </c>
      <c r="J903" t="s">
        <v>16</v>
      </c>
      <c r="K903" t="s">
        <v>29</v>
      </c>
      <c r="L903">
        <f t="shared" si="42"/>
        <v>2023</v>
      </c>
      <c r="M903" t="str">
        <f t="shared" si="43"/>
        <v>Oct</v>
      </c>
      <c r="N903" s="2">
        <f t="shared" si="44"/>
        <v>5.5763315553031267E-2</v>
      </c>
    </row>
    <row r="904" spans="1:14" x14ac:dyDescent="0.45">
      <c r="A904" t="s">
        <v>1805</v>
      </c>
      <c r="B904" s="1">
        <v>44825</v>
      </c>
      <c r="C904" t="s">
        <v>1806</v>
      </c>
      <c r="D904" t="s">
        <v>13</v>
      </c>
      <c r="E904" t="s">
        <v>14</v>
      </c>
      <c r="F904" t="s">
        <v>32</v>
      </c>
      <c r="G904">
        <v>2</v>
      </c>
      <c r="H904">
        <v>33653.019999999997</v>
      </c>
      <c r="I904">
        <v>4961.3100000000004</v>
      </c>
      <c r="J904" t="s">
        <v>16</v>
      </c>
      <c r="K904" t="s">
        <v>23</v>
      </c>
      <c r="L904">
        <f t="shared" si="42"/>
        <v>2022</v>
      </c>
      <c r="M904" t="str">
        <f t="shared" si="43"/>
        <v>Sep</v>
      </c>
      <c r="N904" s="2">
        <f t="shared" si="44"/>
        <v>0.1474254019401528</v>
      </c>
    </row>
    <row r="905" spans="1:14" x14ac:dyDescent="0.45">
      <c r="A905" t="s">
        <v>1807</v>
      </c>
      <c r="B905" s="1">
        <v>45461</v>
      </c>
      <c r="C905" t="s">
        <v>1808</v>
      </c>
      <c r="D905" t="s">
        <v>26</v>
      </c>
      <c r="E905" t="s">
        <v>20</v>
      </c>
      <c r="F905" t="s">
        <v>50</v>
      </c>
      <c r="G905">
        <v>3</v>
      </c>
      <c r="H905">
        <v>22669.05</v>
      </c>
      <c r="I905">
        <v>3354.08</v>
      </c>
      <c r="J905" t="s">
        <v>71</v>
      </c>
      <c r="K905" t="s">
        <v>17</v>
      </c>
      <c r="L905">
        <f t="shared" si="42"/>
        <v>2024</v>
      </c>
      <c r="M905" t="str">
        <f t="shared" si="43"/>
        <v>Jun</v>
      </c>
      <c r="N905" s="2">
        <f t="shared" si="44"/>
        <v>0.14795856023962187</v>
      </c>
    </row>
    <row r="906" spans="1:14" x14ac:dyDescent="0.45">
      <c r="A906" t="s">
        <v>1809</v>
      </c>
      <c r="B906" s="1">
        <v>45059</v>
      </c>
      <c r="C906" t="s">
        <v>1810</v>
      </c>
      <c r="D906" t="s">
        <v>26</v>
      </c>
      <c r="E906" t="s">
        <v>20</v>
      </c>
      <c r="F906" t="s">
        <v>43</v>
      </c>
      <c r="G906">
        <v>5</v>
      </c>
      <c r="H906">
        <v>45215.06</v>
      </c>
      <c r="I906">
        <v>10016.91</v>
      </c>
      <c r="J906" t="s">
        <v>71</v>
      </c>
      <c r="K906" t="s">
        <v>17</v>
      </c>
      <c r="L906">
        <f t="shared" si="42"/>
        <v>2023</v>
      </c>
      <c r="M906" t="str">
        <f t="shared" si="43"/>
        <v>May</v>
      </c>
      <c r="N906" s="2">
        <f t="shared" si="44"/>
        <v>0.2215392393596293</v>
      </c>
    </row>
    <row r="907" spans="1:14" x14ac:dyDescent="0.45">
      <c r="A907" t="s">
        <v>1811</v>
      </c>
      <c r="B907" s="1">
        <v>45096</v>
      </c>
      <c r="C907" t="s">
        <v>1812</v>
      </c>
      <c r="D907" t="s">
        <v>26</v>
      </c>
      <c r="E907" t="s">
        <v>20</v>
      </c>
      <c r="F907" t="s">
        <v>27</v>
      </c>
      <c r="G907">
        <v>5</v>
      </c>
      <c r="H907">
        <v>24118.69</v>
      </c>
      <c r="I907">
        <v>2839.48</v>
      </c>
      <c r="J907" t="s">
        <v>16</v>
      </c>
      <c r="K907" t="s">
        <v>33</v>
      </c>
      <c r="L907">
        <f t="shared" si="42"/>
        <v>2023</v>
      </c>
      <c r="M907" t="str">
        <f t="shared" si="43"/>
        <v>Jun</v>
      </c>
      <c r="N907" s="2">
        <f t="shared" si="44"/>
        <v>0.11772944550471025</v>
      </c>
    </row>
    <row r="908" spans="1:14" x14ac:dyDescent="0.45">
      <c r="A908" t="s">
        <v>1813</v>
      </c>
      <c r="B908" s="1">
        <v>44713</v>
      </c>
      <c r="C908" t="s">
        <v>1814</v>
      </c>
      <c r="D908" t="s">
        <v>13</v>
      </c>
      <c r="E908" t="s">
        <v>14</v>
      </c>
      <c r="F908" t="s">
        <v>57</v>
      </c>
      <c r="G908">
        <v>1</v>
      </c>
      <c r="H908">
        <v>42117.64</v>
      </c>
      <c r="I908">
        <v>4774.7</v>
      </c>
      <c r="J908" t="s">
        <v>71</v>
      </c>
      <c r="K908" t="s">
        <v>23</v>
      </c>
      <c r="L908">
        <f t="shared" si="42"/>
        <v>2022</v>
      </c>
      <c r="M908" t="str">
        <f t="shared" si="43"/>
        <v>Jun</v>
      </c>
      <c r="N908" s="2">
        <f t="shared" si="44"/>
        <v>0.11336580112275996</v>
      </c>
    </row>
    <row r="909" spans="1:14" x14ac:dyDescent="0.45">
      <c r="A909" t="s">
        <v>1815</v>
      </c>
      <c r="B909" s="1">
        <v>44628</v>
      </c>
      <c r="C909" t="s">
        <v>1312</v>
      </c>
      <c r="D909" t="s">
        <v>13</v>
      </c>
      <c r="E909" t="s">
        <v>20</v>
      </c>
      <c r="F909" t="s">
        <v>43</v>
      </c>
      <c r="G909">
        <v>3</v>
      </c>
      <c r="H909">
        <v>33578.78</v>
      </c>
      <c r="I909">
        <v>5065.7</v>
      </c>
      <c r="J909" t="s">
        <v>28</v>
      </c>
      <c r="K909" t="s">
        <v>29</v>
      </c>
      <c r="L909">
        <f t="shared" si="42"/>
        <v>2022</v>
      </c>
      <c r="M909" t="str">
        <f t="shared" si="43"/>
        <v>Mar</v>
      </c>
      <c r="N909" s="2">
        <f t="shared" si="44"/>
        <v>0.15086015632491712</v>
      </c>
    </row>
    <row r="910" spans="1:14" x14ac:dyDescent="0.45">
      <c r="A910" t="s">
        <v>1816</v>
      </c>
      <c r="B910" s="1">
        <v>44779</v>
      </c>
      <c r="C910" t="s">
        <v>1304</v>
      </c>
      <c r="D910" t="s">
        <v>56</v>
      </c>
      <c r="E910" t="s">
        <v>36</v>
      </c>
      <c r="F910" t="s">
        <v>64</v>
      </c>
      <c r="G910">
        <v>1</v>
      </c>
      <c r="H910">
        <v>20414.919999999998</v>
      </c>
      <c r="I910">
        <v>1967.45</v>
      </c>
      <c r="J910" t="s">
        <v>16</v>
      </c>
      <c r="K910" t="s">
        <v>17</v>
      </c>
      <c r="L910">
        <f t="shared" si="42"/>
        <v>2022</v>
      </c>
      <c r="M910" t="str">
        <f t="shared" si="43"/>
        <v>Aug</v>
      </c>
      <c r="N910" s="2">
        <f t="shared" si="44"/>
        <v>9.637314277988844E-2</v>
      </c>
    </row>
    <row r="911" spans="1:14" x14ac:dyDescent="0.45">
      <c r="A911" t="s">
        <v>1817</v>
      </c>
      <c r="B911" s="1">
        <v>45335</v>
      </c>
      <c r="C911" t="s">
        <v>1818</v>
      </c>
      <c r="D911" t="s">
        <v>13</v>
      </c>
      <c r="E911" t="s">
        <v>20</v>
      </c>
      <c r="F911" t="s">
        <v>50</v>
      </c>
      <c r="G911">
        <v>2</v>
      </c>
      <c r="H911">
        <v>35263.47</v>
      </c>
      <c r="I911">
        <v>6838.72</v>
      </c>
      <c r="J911" t="s">
        <v>71</v>
      </c>
      <c r="K911" t="s">
        <v>17</v>
      </c>
      <c r="L911">
        <f t="shared" si="42"/>
        <v>2024</v>
      </c>
      <c r="M911" t="str">
        <f t="shared" si="43"/>
        <v>Feb</v>
      </c>
      <c r="N911" s="2">
        <f t="shared" si="44"/>
        <v>0.19393213430215461</v>
      </c>
    </row>
    <row r="912" spans="1:14" x14ac:dyDescent="0.45">
      <c r="A912" t="s">
        <v>1819</v>
      </c>
      <c r="B912" s="1">
        <v>45025</v>
      </c>
      <c r="C912" t="s">
        <v>1820</v>
      </c>
      <c r="D912" t="s">
        <v>26</v>
      </c>
      <c r="E912" t="s">
        <v>20</v>
      </c>
      <c r="F912" t="s">
        <v>50</v>
      </c>
      <c r="G912">
        <v>5</v>
      </c>
      <c r="H912">
        <v>16013.09</v>
      </c>
      <c r="I912">
        <v>1426.85</v>
      </c>
      <c r="J912" t="s">
        <v>16</v>
      </c>
      <c r="K912" t="s">
        <v>23</v>
      </c>
      <c r="L912">
        <f t="shared" si="42"/>
        <v>2023</v>
      </c>
      <c r="M912" t="str">
        <f t="shared" si="43"/>
        <v>Apr</v>
      </c>
      <c r="N912" s="2">
        <f t="shared" si="44"/>
        <v>8.9105225787152881E-2</v>
      </c>
    </row>
    <row r="913" spans="1:14" x14ac:dyDescent="0.45">
      <c r="A913" t="s">
        <v>1821</v>
      </c>
      <c r="B913" s="1">
        <v>45547</v>
      </c>
      <c r="C913" t="s">
        <v>1822</v>
      </c>
      <c r="D913" t="s">
        <v>26</v>
      </c>
      <c r="E913" t="s">
        <v>14</v>
      </c>
      <c r="F913" t="s">
        <v>57</v>
      </c>
      <c r="G913">
        <v>5</v>
      </c>
      <c r="H913">
        <v>20514.93</v>
      </c>
      <c r="I913">
        <v>3424.31</v>
      </c>
      <c r="J913" t="s">
        <v>22</v>
      </c>
      <c r="K913" t="s">
        <v>33</v>
      </c>
      <c r="L913">
        <f t="shared" si="42"/>
        <v>2024</v>
      </c>
      <c r="M913" t="str">
        <f t="shared" si="43"/>
        <v>Sep</v>
      </c>
      <c r="N913" s="2">
        <f t="shared" si="44"/>
        <v>0.16691794707561761</v>
      </c>
    </row>
    <row r="914" spans="1:14" x14ac:dyDescent="0.45">
      <c r="A914" t="s">
        <v>1823</v>
      </c>
      <c r="B914" s="1">
        <v>45527</v>
      </c>
      <c r="C914" t="s">
        <v>1824</v>
      </c>
      <c r="D914" t="s">
        <v>26</v>
      </c>
      <c r="E914" t="s">
        <v>20</v>
      </c>
      <c r="F914" t="s">
        <v>21</v>
      </c>
      <c r="G914">
        <v>3</v>
      </c>
      <c r="H914">
        <v>19152.23</v>
      </c>
      <c r="I914">
        <v>2370.7399999999998</v>
      </c>
      <c r="J914" t="s">
        <v>22</v>
      </c>
      <c r="K914" t="s">
        <v>23</v>
      </c>
      <c r="L914">
        <f t="shared" si="42"/>
        <v>2024</v>
      </c>
      <c r="M914" t="str">
        <f t="shared" si="43"/>
        <v>Aug</v>
      </c>
      <c r="N914" s="2">
        <f t="shared" si="44"/>
        <v>0.12378401888448498</v>
      </c>
    </row>
    <row r="915" spans="1:14" x14ac:dyDescent="0.45">
      <c r="A915" t="s">
        <v>1825</v>
      </c>
      <c r="B915" s="1">
        <v>44841</v>
      </c>
      <c r="C915" t="s">
        <v>1826</v>
      </c>
      <c r="D915" t="s">
        <v>56</v>
      </c>
      <c r="E915" t="s">
        <v>14</v>
      </c>
      <c r="F915" t="s">
        <v>40</v>
      </c>
      <c r="G915">
        <v>2</v>
      </c>
      <c r="H915">
        <v>16671.96</v>
      </c>
      <c r="I915">
        <v>3429.6</v>
      </c>
      <c r="J915" t="s">
        <v>47</v>
      </c>
      <c r="K915" t="s">
        <v>29</v>
      </c>
      <c r="L915">
        <f t="shared" si="42"/>
        <v>2022</v>
      </c>
      <c r="M915" t="str">
        <f t="shared" si="43"/>
        <v>Oct</v>
      </c>
      <c r="N915" s="2">
        <f t="shared" si="44"/>
        <v>0.20571066629238555</v>
      </c>
    </row>
    <row r="916" spans="1:14" x14ac:dyDescent="0.45">
      <c r="A916" t="s">
        <v>1827</v>
      </c>
      <c r="B916" s="1">
        <v>45465</v>
      </c>
      <c r="C916" t="s">
        <v>1828</v>
      </c>
      <c r="D916" t="s">
        <v>56</v>
      </c>
      <c r="E916" t="s">
        <v>14</v>
      </c>
      <c r="F916" t="s">
        <v>32</v>
      </c>
      <c r="G916">
        <v>2</v>
      </c>
      <c r="H916">
        <v>25319.48</v>
      </c>
      <c r="I916">
        <v>2219.04</v>
      </c>
      <c r="J916" t="s">
        <v>47</v>
      </c>
      <c r="K916" t="s">
        <v>33</v>
      </c>
      <c r="L916">
        <f t="shared" si="42"/>
        <v>2024</v>
      </c>
      <c r="M916" t="str">
        <f t="shared" si="43"/>
        <v>Jun</v>
      </c>
      <c r="N916" s="2">
        <f t="shared" si="44"/>
        <v>8.7641610333229591E-2</v>
      </c>
    </row>
    <row r="917" spans="1:14" x14ac:dyDescent="0.45">
      <c r="A917" t="s">
        <v>1829</v>
      </c>
      <c r="B917" s="1">
        <v>45580</v>
      </c>
      <c r="C917" t="s">
        <v>1830</v>
      </c>
      <c r="D917" t="s">
        <v>26</v>
      </c>
      <c r="E917" t="s">
        <v>36</v>
      </c>
      <c r="F917" t="s">
        <v>46</v>
      </c>
      <c r="G917">
        <v>3</v>
      </c>
      <c r="H917">
        <v>46327.59</v>
      </c>
      <c r="I917">
        <v>8609.9599999999991</v>
      </c>
      <c r="J917" t="s">
        <v>71</v>
      </c>
      <c r="K917" t="s">
        <v>29</v>
      </c>
      <c r="L917">
        <f t="shared" si="42"/>
        <v>2024</v>
      </c>
      <c r="M917" t="str">
        <f t="shared" si="43"/>
        <v>Oct</v>
      </c>
      <c r="N917" s="2">
        <f t="shared" si="44"/>
        <v>0.18584951213736781</v>
      </c>
    </row>
    <row r="918" spans="1:14" x14ac:dyDescent="0.45">
      <c r="A918" t="s">
        <v>1831</v>
      </c>
      <c r="B918" s="1">
        <v>44930</v>
      </c>
      <c r="C918" t="s">
        <v>678</v>
      </c>
      <c r="D918" t="s">
        <v>13</v>
      </c>
      <c r="E918" t="s">
        <v>14</v>
      </c>
      <c r="F918" t="s">
        <v>57</v>
      </c>
      <c r="G918">
        <v>2</v>
      </c>
      <c r="H918">
        <v>12642.24</v>
      </c>
      <c r="I918">
        <v>2506.67</v>
      </c>
      <c r="J918" t="s">
        <v>71</v>
      </c>
      <c r="K918" t="s">
        <v>23</v>
      </c>
      <c r="L918">
        <f t="shared" si="42"/>
        <v>2023</v>
      </c>
      <c r="M918" t="str">
        <f t="shared" si="43"/>
        <v>Jan</v>
      </c>
      <c r="N918" s="2">
        <f t="shared" si="44"/>
        <v>0.19827736223960313</v>
      </c>
    </row>
    <row r="919" spans="1:14" x14ac:dyDescent="0.45">
      <c r="A919" t="s">
        <v>1832</v>
      </c>
      <c r="B919" s="1">
        <v>45248</v>
      </c>
      <c r="C919" t="s">
        <v>1833</v>
      </c>
      <c r="D919" t="s">
        <v>13</v>
      </c>
      <c r="E919" t="s">
        <v>20</v>
      </c>
      <c r="F919" t="s">
        <v>27</v>
      </c>
      <c r="G919">
        <v>3</v>
      </c>
      <c r="H919">
        <v>17561.55</v>
      </c>
      <c r="I919">
        <v>2071.81</v>
      </c>
      <c r="J919" t="s">
        <v>22</v>
      </c>
      <c r="K919" t="s">
        <v>29</v>
      </c>
      <c r="L919">
        <f t="shared" si="42"/>
        <v>2023</v>
      </c>
      <c r="M919" t="str">
        <f t="shared" si="43"/>
        <v>Nov</v>
      </c>
      <c r="N919" s="2">
        <f t="shared" si="44"/>
        <v>0.11797421070463598</v>
      </c>
    </row>
    <row r="920" spans="1:14" x14ac:dyDescent="0.45">
      <c r="A920" t="s">
        <v>1834</v>
      </c>
      <c r="B920" s="1">
        <v>45154</v>
      </c>
      <c r="C920" t="s">
        <v>373</v>
      </c>
      <c r="D920" t="s">
        <v>26</v>
      </c>
      <c r="E920" t="s">
        <v>36</v>
      </c>
      <c r="F920" t="s">
        <v>37</v>
      </c>
      <c r="G920">
        <v>1</v>
      </c>
      <c r="H920">
        <v>28901.279999999999</v>
      </c>
      <c r="I920">
        <v>3006.57</v>
      </c>
      <c r="J920" t="s">
        <v>16</v>
      </c>
      <c r="K920" t="s">
        <v>17</v>
      </c>
      <c r="L920">
        <f t="shared" si="42"/>
        <v>2023</v>
      </c>
      <c r="M920" t="str">
        <f t="shared" si="43"/>
        <v>Aug</v>
      </c>
      <c r="N920" s="2">
        <f t="shared" si="44"/>
        <v>0.10402895650296458</v>
      </c>
    </row>
    <row r="921" spans="1:14" x14ac:dyDescent="0.45">
      <c r="A921" t="s">
        <v>1835</v>
      </c>
      <c r="B921" s="1">
        <v>44892</v>
      </c>
      <c r="C921" t="s">
        <v>1836</v>
      </c>
      <c r="D921" t="s">
        <v>13</v>
      </c>
      <c r="E921" t="s">
        <v>14</v>
      </c>
      <c r="F921" t="s">
        <v>32</v>
      </c>
      <c r="G921">
        <v>3</v>
      </c>
      <c r="H921">
        <v>45366.49</v>
      </c>
      <c r="I921">
        <v>6403.37</v>
      </c>
      <c r="J921" t="s">
        <v>28</v>
      </c>
      <c r="K921" t="s">
        <v>33</v>
      </c>
      <c r="L921">
        <f t="shared" si="42"/>
        <v>2022</v>
      </c>
      <c r="M921" t="str">
        <f t="shared" si="43"/>
        <v>Nov</v>
      </c>
      <c r="N921" s="2">
        <f t="shared" si="44"/>
        <v>0.14114757390311661</v>
      </c>
    </row>
    <row r="922" spans="1:14" x14ac:dyDescent="0.45">
      <c r="A922" t="s">
        <v>1837</v>
      </c>
      <c r="B922" s="1">
        <v>44900</v>
      </c>
      <c r="C922" t="s">
        <v>1838</v>
      </c>
      <c r="D922" t="s">
        <v>56</v>
      </c>
      <c r="E922" t="s">
        <v>20</v>
      </c>
      <c r="F922" t="s">
        <v>43</v>
      </c>
      <c r="G922">
        <v>3</v>
      </c>
      <c r="H922">
        <v>36910.33</v>
      </c>
      <c r="I922">
        <v>3628.83</v>
      </c>
      <c r="J922" t="s">
        <v>16</v>
      </c>
      <c r="K922" t="s">
        <v>33</v>
      </c>
      <c r="L922">
        <f t="shared" si="42"/>
        <v>2022</v>
      </c>
      <c r="M922" t="str">
        <f t="shared" si="43"/>
        <v>Dec</v>
      </c>
      <c r="N922" s="2">
        <f t="shared" si="44"/>
        <v>9.8314753620463421E-2</v>
      </c>
    </row>
    <row r="923" spans="1:14" x14ac:dyDescent="0.45">
      <c r="A923" t="s">
        <v>1839</v>
      </c>
      <c r="B923" s="1">
        <v>45509</v>
      </c>
      <c r="C923" t="s">
        <v>1840</v>
      </c>
      <c r="D923" t="s">
        <v>13</v>
      </c>
      <c r="E923" t="s">
        <v>36</v>
      </c>
      <c r="F923" t="s">
        <v>53</v>
      </c>
      <c r="G923">
        <v>1</v>
      </c>
      <c r="H923">
        <v>30957.200000000001</v>
      </c>
      <c r="I923">
        <v>7546.64</v>
      </c>
      <c r="J923" t="s">
        <v>22</v>
      </c>
      <c r="K923" t="s">
        <v>33</v>
      </c>
      <c r="L923">
        <f t="shared" si="42"/>
        <v>2024</v>
      </c>
      <c r="M923" t="str">
        <f t="shared" si="43"/>
        <v>Aug</v>
      </c>
      <c r="N923" s="2">
        <f t="shared" si="44"/>
        <v>0.24377656894034344</v>
      </c>
    </row>
    <row r="924" spans="1:14" x14ac:dyDescent="0.45">
      <c r="A924" t="s">
        <v>1841</v>
      </c>
      <c r="B924" s="1">
        <v>44835</v>
      </c>
      <c r="C924" t="s">
        <v>1842</v>
      </c>
      <c r="D924" t="s">
        <v>26</v>
      </c>
      <c r="E924" t="s">
        <v>20</v>
      </c>
      <c r="F924" t="s">
        <v>50</v>
      </c>
      <c r="G924">
        <v>3</v>
      </c>
      <c r="H924">
        <v>35087.53</v>
      </c>
      <c r="I924">
        <v>7852.69</v>
      </c>
      <c r="J924" t="s">
        <v>28</v>
      </c>
      <c r="K924" t="s">
        <v>29</v>
      </c>
      <c r="L924">
        <f t="shared" si="42"/>
        <v>2022</v>
      </c>
      <c r="M924" t="str">
        <f t="shared" si="43"/>
        <v>Oct</v>
      </c>
      <c r="N924" s="2">
        <f t="shared" si="44"/>
        <v>0.22380287241649668</v>
      </c>
    </row>
    <row r="925" spans="1:14" x14ac:dyDescent="0.45">
      <c r="A925" t="s">
        <v>1843</v>
      </c>
      <c r="B925" s="1">
        <v>45124</v>
      </c>
      <c r="C925" t="s">
        <v>1844</v>
      </c>
      <c r="D925" t="s">
        <v>26</v>
      </c>
      <c r="E925" t="s">
        <v>14</v>
      </c>
      <c r="F925" t="s">
        <v>57</v>
      </c>
      <c r="G925">
        <v>1</v>
      </c>
      <c r="H925">
        <v>9823.06</v>
      </c>
      <c r="I925">
        <v>2407.1799999999998</v>
      </c>
      <c r="J925" t="s">
        <v>22</v>
      </c>
      <c r="K925" t="s">
        <v>33</v>
      </c>
      <c r="L925">
        <f t="shared" si="42"/>
        <v>2023</v>
      </c>
      <c r="M925" t="str">
        <f t="shared" si="43"/>
        <v>Jul</v>
      </c>
      <c r="N925" s="2">
        <f t="shared" si="44"/>
        <v>0.24505398521438329</v>
      </c>
    </row>
    <row r="926" spans="1:14" x14ac:dyDescent="0.45">
      <c r="A926" t="s">
        <v>1845</v>
      </c>
      <c r="B926" s="1">
        <v>45602</v>
      </c>
      <c r="C926" t="s">
        <v>1846</v>
      </c>
      <c r="D926" t="s">
        <v>56</v>
      </c>
      <c r="E926" t="s">
        <v>36</v>
      </c>
      <c r="F926" t="s">
        <v>64</v>
      </c>
      <c r="G926">
        <v>2</v>
      </c>
      <c r="H926">
        <v>6081.5</v>
      </c>
      <c r="I926">
        <v>721.22</v>
      </c>
      <c r="J926" t="s">
        <v>71</v>
      </c>
      <c r="K926" t="s">
        <v>33</v>
      </c>
      <c r="L926">
        <f t="shared" si="42"/>
        <v>2024</v>
      </c>
      <c r="M926" t="str">
        <f t="shared" si="43"/>
        <v>Nov</v>
      </c>
      <c r="N926" s="2">
        <f t="shared" si="44"/>
        <v>0.11859245251993752</v>
      </c>
    </row>
    <row r="927" spans="1:14" x14ac:dyDescent="0.45">
      <c r="A927" t="s">
        <v>1847</v>
      </c>
      <c r="B927" s="1">
        <v>45015</v>
      </c>
      <c r="C927" t="s">
        <v>1848</v>
      </c>
      <c r="D927" t="s">
        <v>13</v>
      </c>
      <c r="E927" t="s">
        <v>14</v>
      </c>
      <c r="F927" t="s">
        <v>15</v>
      </c>
      <c r="G927">
        <v>1</v>
      </c>
      <c r="H927">
        <v>29806.84</v>
      </c>
      <c r="I927">
        <v>2047.55</v>
      </c>
      <c r="J927" t="s">
        <v>28</v>
      </c>
      <c r="K927" t="s">
        <v>17</v>
      </c>
      <c r="L927">
        <f t="shared" si="42"/>
        <v>2023</v>
      </c>
      <c r="M927" t="str">
        <f t="shared" si="43"/>
        <v>Mar</v>
      </c>
      <c r="N927" s="2">
        <f t="shared" si="44"/>
        <v>6.869396420418937E-2</v>
      </c>
    </row>
    <row r="928" spans="1:14" x14ac:dyDescent="0.45">
      <c r="A928" t="s">
        <v>1849</v>
      </c>
      <c r="B928" s="1">
        <v>45656</v>
      </c>
      <c r="C928" t="s">
        <v>1850</v>
      </c>
      <c r="D928" t="s">
        <v>56</v>
      </c>
      <c r="E928" t="s">
        <v>14</v>
      </c>
      <c r="F928" t="s">
        <v>57</v>
      </c>
      <c r="G928">
        <v>2</v>
      </c>
      <c r="H928">
        <v>26475.61</v>
      </c>
      <c r="I928">
        <v>5774.85</v>
      </c>
      <c r="J928" t="s">
        <v>22</v>
      </c>
      <c r="K928" t="s">
        <v>17</v>
      </c>
      <c r="L928">
        <f t="shared" si="42"/>
        <v>2024</v>
      </c>
      <c r="M928" t="str">
        <f t="shared" si="43"/>
        <v>Dec</v>
      </c>
      <c r="N928" s="2">
        <f t="shared" si="44"/>
        <v>0.2181196202844807</v>
      </c>
    </row>
    <row r="929" spans="1:14" x14ac:dyDescent="0.45">
      <c r="A929" t="s">
        <v>1851</v>
      </c>
      <c r="B929" s="1">
        <v>44567</v>
      </c>
      <c r="C929" t="s">
        <v>1852</v>
      </c>
      <c r="D929" t="s">
        <v>26</v>
      </c>
      <c r="E929" t="s">
        <v>36</v>
      </c>
      <c r="F929" t="s">
        <v>46</v>
      </c>
      <c r="G929">
        <v>2</v>
      </c>
      <c r="H929">
        <v>36619.58</v>
      </c>
      <c r="I929">
        <v>3212.23</v>
      </c>
      <c r="J929" t="s">
        <v>71</v>
      </c>
      <c r="K929" t="s">
        <v>17</v>
      </c>
      <c r="L929">
        <f t="shared" si="42"/>
        <v>2022</v>
      </c>
      <c r="M929" t="str">
        <f t="shared" si="43"/>
        <v>Jan</v>
      </c>
      <c r="N929" s="2">
        <f t="shared" si="44"/>
        <v>8.7718919769150819E-2</v>
      </c>
    </row>
    <row r="930" spans="1:14" x14ac:dyDescent="0.45">
      <c r="A930" t="s">
        <v>1853</v>
      </c>
      <c r="B930" s="1">
        <v>45401</v>
      </c>
      <c r="C930" t="s">
        <v>1854</v>
      </c>
      <c r="D930" t="s">
        <v>13</v>
      </c>
      <c r="E930" t="s">
        <v>36</v>
      </c>
      <c r="F930" t="s">
        <v>64</v>
      </c>
      <c r="G930">
        <v>4</v>
      </c>
      <c r="H930">
        <v>10578.83</v>
      </c>
      <c r="I930">
        <v>1952.2</v>
      </c>
      <c r="J930" t="s">
        <v>22</v>
      </c>
      <c r="K930" t="s">
        <v>33</v>
      </c>
      <c r="L930">
        <f t="shared" si="42"/>
        <v>2024</v>
      </c>
      <c r="M930" t="str">
        <f t="shared" si="43"/>
        <v>Apr</v>
      </c>
      <c r="N930" s="2">
        <f t="shared" si="44"/>
        <v>0.18453836577390884</v>
      </c>
    </row>
    <row r="931" spans="1:14" x14ac:dyDescent="0.45">
      <c r="A931" t="s">
        <v>1855</v>
      </c>
      <c r="B931" s="1">
        <v>45291</v>
      </c>
      <c r="C931" t="s">
        <v>1856</v>
      </c>
      <c r="D931" t="s">
        <v>13</v>
      </c>
      <c r="E931" t="s">
        <v>14</v>
      </c>
      <c r="F931" t="s">
        <v>40</v>
      </c>
      <c r="G931">
        <v>1</v>
      </c>
      <c r="H931">
        <v>47259.519999999997</v>
      </c>
      <c r="I931">
        <v>7019.32</v>
      </c>
      <c r="J931" t="s">
        <v>71</v>
      </c>
      <c r="K931" t="s">
        <v>29</v>
      </c>
      <c r="L931">
        <f t="shared" si="42"/>
        <v>2023</v>
      </c>
      <c r="M931" t="str">
        <f t="shared" si="43"/>
        <v>Dec</v>
      </c>
      <c r="N931" s="2">
        <f t="shared" si="44"/>
        <v>0.14852711157455684</v>
      </c>
    </row>
    <row r="932" spans="1:14" x14ac:dyDescent="0.45">
      <c r="A932" t="s">
        <v>1857</v>
      </c>
      <c r="B932" s="1">
        <v>44943</v>
      </c>
      <c r="C932" t="s">
        <v>1858</v>
      </c>
      <c r="D932" t="s">
        <v>26</v>
      </c>
      <c r="E932" t="s">
        <v>20</v>
      </c>
      <c r="F932" t="s">
        <v>27</v>
      </c>
      <c r="G932">
        <v>4</v>
      </c>
      <c r="H932">
        <v>15907.57</v>
      </c>
      <c r="I932">
        <v>2193.4699999999998</v>
      </c>
      <c r="J932" t="s">
        <v>16</v>
      </c>
      <c r="K932" t="s">
        <v>29</v>
      </c>
      <c r="L932">
        <f t="shared" si="42"/>
        <v>2023</v>
      </c>
      <c r="M932" t="str">
        <f t="shared" si="43"/>
        <v>Jan</v>
      </c>
      <c r="N932" s="2">
        <f t="shared" si="44"/>
        <v>0.13788843927765207</v>
      </c>
    </row>
    <row r="933" spans="1:14" x14ac:dyDescent="0.45">
      <c r="A933" t="s">
        <v>1859</v>
      </c>
      <c r="B933" s="1">
        <v>45279</v>
      </c>
      <c r="C933" t="s">
        <v>1860</v>
      </c>
      <c r="D933" t="s">
        <v>56</v>
      </c>
      <c r="E933" t="s">
        <v>20</v>
      </c>
      <c r="F933" t="s">
        <v>50</v>
      </c>
      <c r="G933">
        <v>3</v>
      </c>
      <c r="H933">
        <v>26238.74</v>
      </c>
      <c r="I933">
        <v>5845.76</v>
      </c>
      <c r="J933" t="s">
        <v>71</v>
      </c>
      <c r="K933" t="s">
        <v>29</v>
      </c>
      <c r="L933">
        <f t="shared" si="42"/>
        <v>2023</v>
      </c>
      <c r="M933" t="str">
        <f t="shared" si="43"/>
        <v>Dec</v>
      </c>
      <c r="N933" s="2">
        <f t="shared" si="44"/>
        <v>0.22279118585724772</v>
      </c>
    </row>
    <row r="934" spans="1:14" x14ac:dyDescent="0.45">
      <c r="A934" t="s">
        <v>1861</v>
      </c>
      <c r="B934" s="1">
        <v>45535</v>
      </c>
      <c r="C934" t="s">
        <v>1862</v>
      </c>
      <c r="D934" t="s">
        <v>56</v>
      </c>
      <c r="E934" t="s">
        <v>20</v>
      </c>
      <c r="F934" t="s">
        <v>27</v>
      </c>
      <c r="G934">
        <v>2</v>
      </c>
      <c r="H934">
        <v>38600.449999999997</v>
      </c>
      <c r="I934">
        <v>2792.06</v>
      </c>
      <c r="J934" t="s">
        <v>47</v>
      </c>
      <c r="K934" t="s">
        <v>23</v>
      </c>
      <c r="L934">
        <f t="shared" si="42"/>
        <v>2024</v>
      </c>
      <c r="M934" t="str">
        <f t="shared" si="43"/>
        <v>Aug</v>
      </c>
      <c r="N934" s="2">
        <f t="shared" si="44"/>
        <v>7.2332317369357094E-2</v>
      </c>
    </row>
    <row r="935" spans="1:14" x14ac:dyDescent="0.45">
      <c r="A935" t="s">
        <v>1863</v>
      </c>
      <c r="B935" s="1">
        <v>45066</v>
      </c>
      <c r="C935" t="s">
        <v>1056</v>
      </c>
      <c r="D935" t="s">
        <v>26</v>
      </c>
      <c r="E935" t="s">
        <v>20</v>
      </c>
      <c r="F935" t="s">
        <v>27</v>
      </c>
      <c r="G935">
        <v>1</v>
      </c>
      <c r="H935">
        <v>12591.95</v>
      </c>
      <c r="I935">
        <v>1799.66</v>
      </c>
      <c r="J935" t="s">
        <v>47</v>
      </c>
      <c r="K935" t="s">
        <v>17</v>
      </c>
      <c r="L935">
        <f t="shared" si="42"/>
        <v>2023</v>
      </c>
      <c r="M935" t="str">
        <f t="shared" si="43"/>
        <v>May</v>
      </c>
      <c r="N935" s="2">
        <f t="shared" si="44"/>
        <v>0.14292146966911398</v>
      </c>
    </row>
    <row r="936" spans="1:14" x14ac:dyDescent="0.45">
      <c r="A936" t="s">
        <v>1864</v>
      </c>
      <c r="B936" s="1">
        <v>45102</v>
      </c>
      <c r="C936" t="s">
        <v>1865</v>
      </c>
      <c r="D936" t="s">
        <v>26</v>
      </c>
      <c r="E936" t="s">
        <v>20</v>
      </c>
      <c r="F936" t="s">
        <v>50</v>
      </c>
      <c r="G936">
        <v>3</v>
      </c>
      <c r="H936">
        <v>4515.28</v>
      </c>
      <c r="I936">
        <v>1071.42</v>
      </c>
      <c r="J936" t="s">
        <v>71</v>
      </c>
      <c r="K936" t="s">
        <v>29</v>
      </c>
      <c r="L936">
        <f t="shared" si="42"/>
        <v>2023</v>
      </c>
      <c r="M936" t="str">
        <f t="shared" si="43"/>
        <v>Jun</v>
      </c>
      <c r="N936" s="2">
        <f t="shared" si="44"/>
        <v>0.23728761007069332</v>
      </c>
    </row>
    <row r="937" spans="1:14" x14ac:dyDescent="0.45">
      <c r="A937" t="s">
        <v>1866</v>
      </c>
      <c r="B937" s="1">
        <v>45578</v>
      </c>
      <c r="C937" t="s">
        <v>1867</v>
      </c>
      <c r="D937" t="s">
        <v>26</v>
      </c>
      <c r="E937" t="s">
        <v>14</v>
      </c>
      <c r="F937" t="s">
        <v>57</v>
      </c>
      <c r="G937">
        <v>4</v>
      </c>
      <c r="H937">
        <v>974.53</v>
      </c>
      <c r="I937">
        <v>65.56</v>
      </c>
      <c r="J937" t="s">
        <v>28</v>
      </c>
      <c r="K937" t="s">
        <v>33</v>
      </c>
      <c r="L937">
        <f t="shared" si="42"/>
        <v>2024</v>
      </c>
      <c r="M937" t="str">
        <f t="shared" si="43"/>
        <v>Oct</v>
      </c>
      <c r="N937" s="2">
        <f t="shared" si="44"/>
        <v>6.7273454896206383E-2</v>
      </c>
    </row>
    <row r="938" spans="1:14" x14ac:dyDescent="0.45">
      <c r="A938" t="s">
        <v>1868</v>
      </c>
      <c r="B938" s="1">
        <v>45051</v>
      </c>
      <c r="C938" t="s">
        <v>917</v>
      </c>
      <c r="D938" t="s">
        <v>26</v>
      </c>
      <c r="E938" t="s">
        <v>14</v>
      </c>
      <c r="F938" t="s">
        <v>57</v>
      </c>
      <c r="G938">
        <v>5</v>
      </c>
      <c r="H938">
        <v>8880.56</v>
      </c>
      <c r="I938">
        <v>1159.31</v>
      </c>
      <c r="J938" t="s">
        <v>22</v>
      </c>
      <c r="K938" t="s">
        <v>33</v>
      </c>
      <c r="L938">
        <f t="shared" si="42"/>
        <v>2023</v>
      </c>
      <c r="M938" t="str">
        <f t="shared" si="43"/>
        <v>May</v>
      </c>
      <c r="N938" s="2">
        <f t="shared" si="44"/>
        <v>0.13054469537957067</v>
      </c>
    </row>
    <row r="939" spans="1:14" x14ac:dyDescent="0.45">
      <c r="A939" t="s">
        <v>1869</v>
      </c>
      <c r="B939" s="1">
        <v>44757</v>
      </c>
      <c r="C939" t="s">
        <v>1870</v>
      </c>
      <c r="D939" t="s">
        <v>26</v>
      </c>
      <c r="E939" t="s">
        <v>14</v>
      </c>
      <c r="F939" t="s">
        <v>15</v>
      </c>
      <c r="G939">
        <v>4</v>
      </c>
      <c r="H939">
        <v>46359.63</v>
      </c>
      <c r="I939">
        <v>4550.1000000000004</v>
      </c>
      <c r="J939" t="s">
        <v>22</v>
      </c>
      <c r="K939" t="s">
        <v>23</v>
      </c>
      <c r="L939">
        <f t="shared" si="42"/>
        <v>2022</v>
      </c>
      <c r="M939" t="str">
        <f t="shared" si="43"/>
        <v>Jul</v>
      </c>
      <c r="N939" s="2">
        <f t="shared" si="44"/>
        <v>9.8147892897333319E-2</v>
      </c>
    </row>
    <row r="940" spans="1:14" x14ac:dyDescent="0.45">
      <c r="A940" t="s">
        <v>1871</v>
      </c>
      <c r="B940" s="1">
        <v>45227</v>
      </c>
      <c r="C940" t="s">
        <v>1872</v>
      </c>
      <c r="D940" t="s">
        <v>26</v>
      </c>
      <c r="E940" t="s">
        <v>14</v>
      </c>
      <c r="F940" t="s">
        <v>15</v>
      </c>
      <c r="G940">
        <v>1</v>
      </c>
      <c r="H940">
        <v>17897.48</v>
      </c>
      <c r="I940">
        <v>2898.95</v>
      </c>
      <c r="J940" t="s">
        <v>47</v>
      </c>
      <c r="K940" t="s">
        <v>29</v>
      </c>
      <c r="L940">
        <f t="shared" si="42"/>
        <v>2023</v>
      </c>
      <c r="M940" t="str">
        <f t="shared" si="43"/>
        <v>Oct</v>
      </c>
      <c r="N940" s="2">
        <f t="shared" si="44"/>
        <v>0.16197531719549343</v>
      </c>
    </row>
    <row r="941" spans="1:14" x14ac:dyDescent="0.45">
      <c r="A941" t="s">
        <v>1873</v>
      </c>
      <c r="B941" s="1">
        <v>45163</v>
      </c>
      <c r="C941" t="s">
        <v>1874</v>
      </c>
      <c r="D941" t="s">
        <v>26</v>
      </c>
      <c r="E941" t="s">
        <v>14</v>
      </c>
      <c r="F941" t="s">
        <v>57</v>
      </c>
      <c r="G941">
        <v>1</v>
      </c>
      <c r="H941">
        <v>19274.13</v>
      </c>
      <c r="I941">
        <v>1887.66</v>
      </c>
      <c r="J941" t="s">
        <v>16</v>
      </c>
      <c r="K941" t="s">
        <v>23</v>
      </c>
      <c r="L941">
        <f t="shared" si="42"/>
        <v>2023</v>
      </c>
      <c r="M941" t="str">
        <f t="shared" si="43"/>
        <v>Aug</v>
      </c>
      <c r="N941" s="2">
        <f t="shared" si="44"/>
        <v>9.7937494455002633E-2</v>
      </c>
    </row>
    <row r="942" spans="1:14" x14ac:dyDescent="0.45">
      <c r="A942" t="s">
        <v>1875</v>
      </c>
      <c r="B942" s="1">
        <v>44722</v>
      </c>
      <c r="C942" t="s">
        <v>1876</v>
      </c>
      <c r="D942" t="s">
        <v>13</v>
      </c>
      <c r="E942" t="s">
        <v>14</v>
      </c>
      <c r="F942" t="s">
        <v>57</v>
      </c>
      <c r="G942">
        <v>4</v>
      </c>
      <c r="H942">
        <v>45337.120000000003</v>
      </c>
      <c r="I942">
        <v>6393.15</v>
      </c>
      <c r="J942" t="s">
        <v>28</v>
      </c>
      <c r="K942" t="s">
        <v>17</v>
      </c>
      <c r="L942">
        <f t="shared" si="42"/>
        <v>2022</v>
      </c>
      <c r="M942" t="str">
        <f t="shared" si="43"/>
        <v>Jun</v>
      </c>
      <c r="N942" s="2">
        <f t="shared" si="44"/>
        <v>0.1410135888649301</v>
      </c>
    </row>
    <row r="943" spans="1:14" x14ac:dyDescent="0.45">
      <c r="A943" t="s">
        <v>1877</v>
      </c>
      <c r="B943" s="1">
        <v>44956</v>
      </c>
      <c r="C943" t="s">
        <v>1878</v>
      </c>
      <c r="D943" t="s">
        <v>56</v>
      </c>
      <c r="E943" t="s">
        <v>20</v>
      </c>
      <c r="F943" t="s">
        <v>21</v>
      </c>
      <c r="G943">
        <v>3</v>
      </c>
      <c r="H943">
        <v>4178.6099999999997</v>
      </c>
      <c r="I943">
        <v>752.09</v>
      </c>
      <c r="J943" t="s">
        <v>22</v>
      </c>
      <c r="K943" t="s">
        <v>23</v>
      </c>
      <c r="L943">
        <f t="shared" si="42"/>
        <v>2023</v>
      </c>
      <c r="M943" t="str">
        <f t="shared" si="43"/>
        <v>Jan</v>
      </c>
      <c r="N943" s="2">
        <f t="shared" si="44"/>
        <v>0.17998568902099024</v>
      </c>
    </row>
    <row r="944" spans="1:14" x14ac:dyDescent="0.45">
      <c r="A944" t="s">
        <v>1879</v>
      </c>
      <c r="B944" s="1">
        <v>44927</v>
      </c>
      <c r="C944" t="s">
        <v>1880</v>
      </c>
      <c r="D944" t="s">
        <v>13</v>
      </c>
      <c r="E944" t="s">
        <v>20</v>
      </c>
      <c r="F944" t="s">
        <v>21</v>
      </c>
      <c r="G944">
        <v>2</v>
      </c>
      <c r="H944">
        <v>28292.84</v>
      </c>
      <c r="I944">
        <v>2328.7800000000002</v>
      </c>
      <c r="J944" t="s">
        <v>28</v>
      </c>
      <c r="K944" t="s">
        <v>23</v>
      </c>
      <c r="L944">
        <f t="shared" si="42"/>
        <v>2023</v>
      </c>
      <c r="M944" t="str">
        <f t="shared" si="43"/>
        <v>Jan</v>
      </c>
      <c r="N944" s="2">
        <f t="shared" si="44"/>
        <v>8.2309870624511366E-2</v>
      </c>
    </row>
    <row r="945" spans="1:14" x14ac:dyDescent="0.45">
      <c r="A945" t="s">
        <v>1881</v>
      </c>
      <c r="B945" s="1">
        <v>45481</v>
      </c>
      <c r="C945" t="s">
        <v>1882</v>
      </c>
      <c r="D945" t="s">
        <v>13</v>
      </c>
      <c r="E945" t="s">
        <v>14</v>
      </c>
      <c r="F945" t="s">
        <v>32</v>
      </c>
      <c r="G945">
        <v>5</v>
      </c>
      <c r="H945">
        <v>49800.3</v>
      </c>
      <c r="I945">
        <v>6126.17</v>
      </c>
      <c r="J945" t="s">
        <v>28</v>
      </c>
      <c r="K945" t="s">
        <v>29</v>
      </c>
      <c r="L945">
        <f t="shared" si="42"/>
        <v>2024</v>
      </c>
      <c r="M945" t="str">
        <f t="shared" si="43"/>
        <v>Jul</v>
      </c>
      <c r="N945" s="2">
        <f t="shared" si="44"/>
        <v>0.12301472079485465</v>
      </c>
    </row>
    <row r="946" spans="1:14" x14ac:dyDescent="0.45">
      <c r="A946" t="s">
        <v>1883</v>
      </c>
      <c r="B946" s="1">
        <v>45138</v>
      </c>
      <c r="C946" t="s">
        <v>1884</v>
      </c>
      <c r="D946" t="s">
        <v>56</v>
      </c>
      <c r="E946" t="s">
        <v>36</v>
      </c>
      <c r="F946" t="s">
        <v>53</v>
      </c>
      <c r="G946">
        <v>2</v>
      </c>
      <c r="H946">
        <v>17175.59</v>
      </c>
      <c r="I946">
        <v>3483.83</v>
      </c>
      <c r="J946" t="s">
        <v>47</v>
      </c>
      <c r="K946" t="s">
        <v>23</v>
      </c>
      <c r="L946">
        <f t="shared" si="42"/>
        <v>2023</v>
      </c>
      <c r="M946" t="str">
        <f t="shared" si="43"/>
        <v>Jul</v>
      </c>
      <c r="N946" s="2">
        <f t="shared" si="44"/>
        <v>0.20283611800235102</v>
      </c>
    </row>
    <row r="947" spans="1:14" x14ac:dyDescent="0.45">
      <c r="A947" t="s">
        <v>1885</v>
      </c>
      <c r="B947" s="1">
        <v>44807</v>
      </c>
      <c r="C947" t="s">
        <v>1886</v>
      </c>
      <c r="D947" t="s">
        <v>56</v>
      </c>
      <c r="E947" t="s">
        <v>20</v>
      </c>
      <c r="F947" t="s">
        <v>43</v>
      </c>
      <c r="G947">
        <v>1</v>
      </c>
      <c r="H947">
        <v>12088.44</v>
      </c>
      <c r="I947">
        <v>1457.48</v>
      </c>
      <c r="J947" t="s">
        <v>71</v>
      </c>
      <c r="K947" t="s">
        <v>17</v>
      </c>
      <c r="L947">
        <f t="shared" si="42"/>
        <v>2022</v>
      </c>
      <c r="M947" t="str">
        <f t="shared" si="43"/>
        <v>Sep</v>
      </c>
      <c r="N947" s="2">
        <f t="shared" si="44"/>
        <v>0.1205680799176734</v>
      </c>
    </row>
    <row r="948" spans="1:14" x14ac:dyDescent="0.45">
      <c r="A948" t="s">
        <v>1887</v>
      </c>
      <c r="B948" s="1">
        <v>45323</v>
      </c>
      <c r="C948" t="s">
        <v>1888</v>
      </c>
      <c r="D948" t="s">
        <v>13</v>
      </c>
      <c r="E948" t="s">
        <v>20</v>
      </c>
      <c r="F948" t="s">
        <v>43</v>
      </c>
      <c r="G948">
        <v>3</v>
      </c>
      <c r="H948">
        <v>33489.96</v>
      </c>
      <c r="I948">
        <v>5182.6099999999997</v>
      </c>
      <c r="J948" t="s">
        <v>16</v>
      </c>
      <c r="K948" t="s">
        <v>33</v>
      </c>
      <c r="L948">
        <f t="shared" si="42"/>
        <v>2024</v>
      </c>
      <c r="M948" t="str">
        <f t="shared" si="43"/>
        <v>Feb</v>
      </c>
      <c r="N948" s="2">
        <f t="shared" si="44"/>
        <v>0.15475115527160976</v>
      </c>
    </row>
    <row r="949" spans="1:14" x14ac:dyDescent="0.45">
      <c r="A949" t="s">
        <v>1889</v>
      </c>
      <c r="B949" s="1">
        <v>44906</v>
      </c>
      <c r="C949" t="s">
        <v>1890</v>
      </c>
      <c r="D949" t="s">
        <v>56</v>
      </c>
      <c r="E949" t="s">
        <v>14</v>
      </c>
      <c r="F949" t="s">
        <v>15</v>
      </c>
      <c r="G949">
        <v>2</v>
      </c>
      <c r="H949">
        <v>34246.68</v>
      </c>
      <c r="I949">
        <v>5794.13</v>
      </c>
      <c r="J949" t="s">
        <v>16</v>
      </c>
      <c r="K949" t="s">
        <v>17</v>
      </c>
      <c r="L949">
        <f t="shared" si="42"/>
        <v>2022</v>
      </c>
      <c r="M949" t="str">
        <f t="shared" si="43"/>
        <v>Dec</v>
      </c>
      <c r="N949" s="2">
        <f t="shared" si="44"/>
        <v>0.1691880789612307</v>
      </c>
    </row>
    <row r="950" spans="1:14" x14ac:dyDescent="0.45">
      <c r="A950" t="s">
        <v>1891</v>
      </c>
      <c r="B950" s="1">
        <v>45111</v>
      </c>
      <c r="C950" t="s">
        <v>1892</v>
      </c>
      <c r="D950" t="s">
        <v>26</v>
      </c>
      <c r="E950" t="s">
        <v>14</v>
      </c>
      <c r="F950" t="s">
        <v>40</v>
      </c>
      <c r="G950">
        <v>3</v>
      </c>
      <c r="H950">
        <v>34753.129999999997</v>
      </c>
      <c r="I950">
        <v>5632.64</v>
      </c>
      <c r="J950" t="s">
        <v>28</v>
      </c>
      <c r="K950" t="s">
        <v>17</v>
      </c>
      <c r="L950">
        <f t="shared" si="42"/>
        <v>2023</v>
      </c>
      <c r="M950" t="str">
        <f t="shared" si="43"/>
        <v>Jul</v>
      </c>
      <c r="N950" s="2">
        <f t="shared" si="44"/>
        <v>0.16207576123359252</v>
      </c>
    </row>
    <row r="951" spans="1:14" x14ac:dyDescent="0.45">
      <c r="A951" t="s">
        <v>1893</v>
      </c>
      <c r="B951" s="1">
        <v>44958</v>
      </c>
      <c r="C951" t="s">
        <v>1894</v>
      </c>
      <c r="D951" t="s">
        <v>13</v>
      </c>
      <c r="E951" t="s">
        <v>14</v>
      </c>
      <c r="F951" t="s">
        <v>40</v>
      </c>
      <c r="G951">
        <v>5</v>
      </c>
      <c r="H951">
        <v>9526.42</v>
      </c>
      <c r="I951">
        <v>606.72</v>
      </c>
      <c r="J951" t="s">
        <v>16</v>
      </c>
      <c r="K951" t="s">
        <v>33</v>
      </c>
      <c r="L951">
        <f t="shared" si="42"/>
        <v>2023</v>
      </c>
      <c r="M951" t="str">
        <f t="shared" si="43"/>
        <v>Feb</v>
      </c>
      <c r="N951" s="2">
        <f t="shared" si="44"/>
        <v>6.3688143079981774E-2</v>
      </c>
    </row>
    <row r="952" spans="1:14" x14ac:dyDescent="0.45">
      <c r="A952" t="s">
        <v>1895</v>
      </c>
      <c r="B952" s="1">
        <v>45381</v>
      </c>
      <c r="C952" t="s">
        <v>1896</v>
      </c>
      <c r="D952" t="s">
        <v>56</v>
      </c>
      <c r="E952" t="s">
        <v>20</v>
      </c>
      <c r="F952" t="s">
        <v>21</v>
      </c>
      <c r="G952">
        <v>3</v>
      </c>
      <c r="H952">
        <v>6267.15</v>
      </c>
      <c r="I952">
        <v>613.65</v>
      </c>
      <c r="J952" t="s">
        <v>28</v>
      </c>
      <c r="K952" t="s">
        <v>29</v>
      </c>
      <c r="L952">
        <f t="shared" si="42"/>
        <v>2024</v>
      </c>
      <c r="M952" t="str">
        <f t="shared" si="43"/>
        <v>Mar</v>
      </c>
      <c r="N952" s="2">
        <f t="shared" si="44"/>
        <v>9.7915320360929606E-2</v>
      </c>
    </row>
    <row r="953" spans="1:14" x14ac:dyDescent="0.45">
      <c r="A953" t="s">
        <v>1897</v>
      </c>
      <c r="B953" s="1">
        <v>44572</v>
      </c>
      <c r="C953" t="s">
        <v>1898</v>
      </c>
      <c r="D953" t="s">
        <v>56</v>
      </c>
      <c r="E953" t="s">
        <v>14</v>
      </c>
      <c r="F953" t="s">
        <v>57</v>
      </c>
      <c r="G953">
        <v>2</v>
      </c>
      <c r="H953">
        <v>20317.080000000002</v>
      </c>
      <c r="I953">
        <v>3780.55</v>
      </c>
      <c r="J953" t="s">
        <v>22</v>
      </c>
      <c r="K953" t="s">
        <v>29</v>
      </c>
      <c r="L953">
        <f t="shared" si="42"/>
        <v>2022</v>
      </c>
      <c r="M953" t="str">
        <f t="shared" si="43"/>
        <v>Jan</v>
      </c>
      <c r="N953" s="2">
        <f t="shared" si="44"/>
        <v>0.18607742844936379</v>
      </c>
    </row>
    <row r="954" spans="1:14" x14ac:dyDescent="0.45">
      <c r="A954" t="s">
        <v>1899</v>
      </c>
      <c r="B954" s="1">
        <v>45563</v>
      </c>
      <c r="C954" t="s">
        <v>1900</v>
      </c>
      <c r="D954" t="s">
        <v>56</v>
      </c>
      <c r="E954" t="s">
        <v>36</v>
      </c>
      <c r="F954" t="s">
        <v>46</v>
      </c>
      <c r="G954">
        <v>5</v>
      </c>
      <c r="H954">
        <v>48084.21</v>
      </c>
      <c r="I954">
        <v>6449.48</v>
      </c>
      <c r="J954" t="s">
        <v>28</v>
      </c>
      <c r="K954" t="s">
        <v>23</v>
      </c>
      <c r="L954">
        <f t="shared" si="42"/>
        <v>2024</v>
      </c>
      <c r="M954" t="str">
        <f t="shared" si="43"/>
        <v>Sep</v>
      </c>
      <c r="N954" s="2">
        <f t="shared" si="44"/>
        <v>0.1341288543578027</v>
      </c>
    </row>
    <row r="955" spans="1:14" x14ac:dyDescent="0.45">
      <c r="A955" t="s">
        <v>1901</v>
      </c>
      <c r="B955" s="1">
        <v>45556</v>
      </c>
      <c r="C955" t="s">
        <v>1902</v>
      </c>
      <c r="D955" t="s">
        <v>26</v>
      </c>
      <c r="E955" t="s">
        <v>20</v>
      </c>
      <c r="F955" t="s">
        <v>27</v>
      </c>
      <c r="G955">
        <v>1</v>
      </c>
      <c r="H955">
        <v>27262.49</v>
      </c>
      <c r="I955">
        <v>2463.6</v>
      </c>
      <c r="J955" t="s">
        <v>71</v>
      </c>
      <c r="K955" t="s">
        <v>33</v>
      </c>
      <c r="L955">
        <f t="shared" si="42"/>
        <v>2024</v>
      </c>
      <c r="M955" t="str">
        <f t="shared" si="43"/>
        <v>Sep</v>
      </c>
      <c r="N955" s="2">
        <f t="shared" si="44"/>
        <v>9.0365920354303658E-2</v>
      </c>
    </row>
    <row r="956" spans="1:14" x14ac:dyDescent="0.45">
      <c r="A956" t="s">
        <v>1903</v>
      </c>
      <c r="B956" s="1">
        <v>44631</v>
      </c>
      <c r="C956" t="s">
        <v>1904</v>
      </c>
      <c r="D956" t="s">
        <v>13</v>
      </c>
      <c r="E956" t="s">
        <v>14</v>
      </c>
      <c r="F956" t="s">
        <v>15</v>
      </c>
      <c r="G956">
        <v>4</v>
      </c>
      <c r="H956">
        <v>40914.39</v>
      </c>
      <c r="I956">
        <v>7313.32</v>
      </c>
      <c r="J956" t="s">
        <v>22</v>
      </c>
      <c r="K956" t="s">
        <v>33</v>
      </c>
      <c r="L956">
        <f t="shared" si="42"/>
        <v>2022</v>
      </c>
      <c r="M956" t="str">
        <f t="shared" si="43"/>
        <v>Mar</v>
      </c>
      <c r="N956" s="2">
        <f t="shared" si="44"/>
        <v>0.17874689076386083</v>
      </c>
    </row>
    <row r="957" spans="1:14" x14ac:dyDescent="0.45">
      <c r="A957" t="s">
        <v>1905</v>
      </c>
      <c r="B957" s="1">
        <v>45485</v>
      </c>
      <c r="C957" t="s">
        <v>1906</v>
      </c>
      <c r="D957" t="s">
        <v>26</v>
      </c>
      <c r="E957" t="s">
        <v>14</v>
      </c>
      <c r="F957" t="s">
        <v>40</v>
      </c>
      <c r="G957">
        <v>4</v>
      </c>
      <c r="H957">
        <v>6234.09</v>
      </c>
      <c r="I957">
        <v>1035.58</v>
      </c>
      <c r="J957" t="s">
        <v>47</v>
      </c>
      <c r="K957" t="s">
        <v>17</v>
      </c>
      <c r="L957">
        <f t="shared" si="42"/>
        <v>2024</v>
      </c>
      <c r="M957" t="str">
        <f t="shared" si="43"/>
        <v>Jul</v>
      </c>
      <c r="N957" s="2">
        <f t="shared" si="44"/>
        <v>0.16611566403436587</v>
      </c>
    </row>
    <row r="958" spans="1:14" x14ac:dyDescent="0.45">
      <c r="A958" t="s">
        <v>1907</v>
      </c>
      <c r="B958" s="1">
        <v>45391</v>
      </c>
      <c r="C958" t="s">
        <v>1908</v>
      </c>
      <c r="D958" t="s">
        <v>13</v>
      </c>
      <c r="E958" t="s">
        <v>36</v>
      </c>
      <c r="F958" t="s">
        <v>53</v>
      </c>
      <c r="G958">
        <v>1</v>
      </c>
      <c r="H958">
        <v>33778.160000000003</v>
      </c>
      <c r="I958">
        <v>5440.25</v>
      </c>
      <c r="J958" t="s">
        <v>47</v>
      </c>
      <c r="K958" t="s">
        <v>23</v>
      </c>
      <c r="L958">
        <f t="shared" si="42"/>
        <v>2024</v>
      </c>
      <c r="M958" t="str">
        <f t="shared" si="43"/>
        <v>Apr</v>
      </c>
      <c r="N958" s="2">
        <f t="shared" si="44"/>
        <v>0.161058210393935</v>
      </c>
    </row>
    <row r="959" spans="1:14" x14ac:dyDescent="0.45">
      <c r="A959" t="s">
        <v>1909</v>
      </c>
      <c r="B959" s="1">
        <v>45643</v>
      </c>
      <c r="C959" t="s">
        <v>1750</v>
      </c>
      <c r="D959" t="s">
        <v>13</v>
      </c>
      <c r="E959" t="s">
        <v>20</v>
      </c>
      <c r="F959" t="s">
        <v>27</v>
      </c>
      <c r="G959">
        <v>4</v>
      </c>
      <c r="H959">
        <v>7283.71</v>
      </c>
      <c r="I959">
        <v>1706.22</v>
      </c>
      <c r="J959" t="s">
        <v>28</v>
      </c>
      <c r="K959" t="s">
        <v>29</v>
      </c>
      <c r="L959">
        <f t="shared" si="42"/>
        <v>2024</v>
      </c>
      <c r="M959" t="str">
        <f t="shared" si="43"/>
        <v>Dec</v>
      </c>
      <c r="N959" s="2">
        <f t="shared" si="44"/>
        <v>0.23425150095212469</v>
      </c>
    </row>
    <row r="960" spans="1:14" x14ac:dyDescent="0.45">
      <c r="A960" t="s">
        <v>1910</v>
      </c>
      <c r="B960" s="1">
        <v>45482</v>
      </c>
      <c r="C960" t="s">
        <v>1911</v>
      </c>
      <c r="D960" t="s">
        <v>56</v>
      </c>
      <c r="E960" t="s">
        <v>20</v>
      </c>
      <c r="F960" t="s">
        <v>50</v>
      </c>
      <c r="G960">
        <v>1</v>
      </c>
      <c r="H960">
        <v>28747.919999999998</v>
      </c>
      <c r="I960">
        <v>2362.89</v>
      </c>
      <c r="J960" t="s">
        <v>47</v>
      </c>
      <c r="K960" t="s">
        <v>33</v>
      </c>
      <c r="L960">
        <f t="shared" si="42"/>
        <v>2024</v>
      </c>
      <c r="M960" t="str">
        <f t="shared" si="43"/>
        <v>Jul</v>
      </c>
      <c r="N960" s="2">
        <f t="shared" si="44"/>
        <v>8.2193424776470791E-2</v>
      </c>
    </row>
    <row r="961" spans="1:14" x14ac:dyDescent="0.45">
      <c r="A961" t="s">
        <v>1912</v>
      </c>
      <c r="B961" s="1">
        <v>45210</v>
      </c>
      <c r="C961" t="s">
        <v>1913</v>
      </c>
      <c r="D961" t="s">
        <v>26</v>
      </c>
      <c r="E961" t="s">
        <v>14</v>
      </c>
      <c r="F961" t="s">
        <v>15</v>
      </c>
      <c r="G961">
        <v>1</v>
      </c>
      <c r="H961">
        <v>15133.59</v>
      </c>
      <c r="I961">
        <v>3451.4</v>
      </c>
      <c r="J961" t="s">
        <v>71</v>
      </c>
      <c r="K961" t="s">
        <v>23</v>
      </c>
      <c r="L961">
        <f t="shared" si="42"/>
        <v>2023</v>
      </c>
      <c r="M961" t="str">
        <f t="shared" si="43"/>
        <v>Oct</v>
      </c>
      <c r="N961" s="2">
        <f t="shared" si="44"/>
        <v>0.22806221127967655</v>
      </c>
    </row>
    <row r="962" spans="1:14" x14ac:dyDescent="0.45">
      <c r="A962" t="s">
        <v>1914</v>
      </c>
      <c r="B962" s="1">
        <v>44959</v>
      </c>
      <c r="C962" t="s">
        <v>1915</v>
      </c>
      <c r="D962" t="s">
        <v>26</v>
      </c>
      <c r="E962" t="s">
        <v>14</v>
      </c>
      <c r="F962" t="s">
        <v>40</v>
      </c>
      <c r="G962">
        <v>4</v>
      </c>
      <c r="H962">
        <v>49253.47</v>
      </c>
      <c r="I962">
        <v>5129.54</v>
      </c>
      <c r="J962" t="s">
        <v>28</v>
      </c>
      <c r="K962" t="s">
        <v>17</v>
      </c>
      <c r="L962">
        <f t="shared" si="42"/>
        <v>2023</v>
      </c>
      <c r="M962" t="str">
        <f t="shared" si="43"/>
        <v>Feb</v>
      </c>
      <c r="N962" s="2">
        <f t="shared" si="44"/>
        <v>0.1041457586643134</v>
      </c>
    </row>
    <row r="963" spans="1:14" x14ac:dyDescent="0.45">
      <c r="A963" t="s">
        <v>1916</v>
      </c>
      <c r="B963" s="1">
        <v>45464</v>
      </c>
      <c r="C963" t="s">
        <v>1917</v>
      </c>
      <c r="D963" t="s">
        <v>26</v>
      </c>
      <c r="E963" t="s">
        <v>14</v>
      </c>
      <c r="F963" t="s">
        <v>40</v>
      </c>
      <c r="G963">
        <v>2</v>
      </c>
      <c r="H963">
        <v>9394.51</v>
      </c>
      <c r="I963">
        <v>743.34</v>
      </c>
      <c r="J963" t="s">
        <v>16</v>
      </c>
      <c r="K963" t="s">
        <v>33</v>
      </c>
      <c r="L963">
        <f t="shared" ref="L963:L1026" si="45">YEAR(B963 )</f>
        <v>2024</v>
      </c>
      <c r="M963" t="str">
        <f t="shared" ref="M963:M1026" si="46">TEXT(B963,"MMM")</f>
        <v>Jun</v>
      </c>
      <c r="N963" s="2">
        <f t="shared" ref="N963:N1026" si="47">I963 / H963</f>
        <v>7.9124935733742366E-2</v>
      </c>
    </row>
    <row r="964" spans="1:14" x14ac:dyDescent="0.45">
      <c r="A964" t="s">
        <v>1918</v>
      </c>
      <c r="B964" s="1">
        <v>44753</v>
      </c>
      <c r="C964" t="s">
        <v>1919</v>
      </c>
      <c r="D964" t="s">
        <v>26</v>
      </c>
      <c r="E964" t="s">
        <v>20</v>
      </c>
      <c r="F964" t="s">
        <v>50</v>
      </c>
      <c r="G964">
        <v>3</v>
      </c>
      <c r="H964">
        <v>8986.61</v>
      </c>
      <c r="I964">
        <v>1531.43</v>
      </c>
      <c r="J964" t="s">
        <v>22</v>
      </c>
      <c r="K964" t="s">
        <v>33</v>
      </c>
      <c r="L964">
        <f t="shared" si="45"/>
        <v>2022</v>
      </c>
      <c r="M964" t="str">
        <f t="shared" si="46"/>
        <v>Jul</v>
      </c>
      <c r="N964" s="2">
        <f t="shared" si="47"/>
        <v>0.17041242470742582</v>
      </c>
    </row>
    <row r="965" spans="1:14" x14ac:dyDescent="0.45">
      <c r="A965" t="s">
        <v>1920</v>
      </c>
      <c r="B965" s="1">
        <v>44969</v>
      </c>
      <c r="C965" t="s">
        <v>1921</v>
      </c>
      <c r="D965" t="s">
        <v>13</v>
      </c>
      <c r="E965" t="s">
        <v>36</v>
      </c>
      <c r="F965" t="s">
        <v>64</v>
      </c>
      <c r="G965">
        <v>2</v>
      </c>
      <c r="H965">
        <v>7907.87</v>
      </c>
      <c r="I965">
        <v>513.5</v>
      </c>
      <c r="J965" t="s">
        <v>47</v>
      </c>
      <c r="K965" t="s">
        <v>33</v>
      </c>
      <c r="L965">
        <f t="shared" si="45"/>
        <v>2023</v>
      </c>
      <c r="M965" t="str">
        <f t="shared" si="46"/>
        <v>Feb</v>
      </c>
      <c r="N965" s="2">
        <f t="shared" si="47"/>
        <v>6.4935311278511154E-2</v>
      </c>
    </row>
    <row r="966" spans="1:14" x14ac:dyDescent="0.45">
      <c r="A966" t="s">
        <v>1922</v>
      </c>
      <c r="B966" s="1">
        <v>45548</v>
      </c>
      <c r="C966" t="s">
        <v>1923</v>
      </c>
      <c r="D966" t="s">
        <v>26</v>
      </c>
      <c r="E966" t="s">
        <v>20</v>
      </c>
      <c r="F966" t="s">
        <v>50</v>
      </c>
      <c r="G966">
        <v>1</v>
      </c>
      <c r="H966">
        <v>41271.08</v>
      </c>
      <c r="I966">
        <v>2251.67</v>
      </c>
      <c r="J966" t="s">
        <v>47</v>
      </c>
      <c r="K966" t="s">
        <v>33</v>
      </c>
      <c r="L966">
        <f t="shared" si="45"/>
        <v>2024</v>
      </c>
      <c r="M966" t="str">
        <f t="shared" si="46"/>
        <v>Sep</v>
      </c>
      <c r="N966" s="2">
        <f t="shared" si="47"/>
        <v>5.4558058572734221E-2</v>
      </c>
    </row>
    <row r="967" spans="1:14" x14ac:dyDescent="0.45">
      <c r="A967" t="s">
        <v>1924</v>
      </c>
      <c r="B967" s="1">
        <v>44587</v>
      </c>
      <c r="C967" t="s">
        <v>1648</v>
      </c>
      <c r="D967" t="s">
        <v>13</v>
      </c>
      <c r="E967" t="s">
        <v>36</v>
      </c>
      <c r="F967" t="s">
        <v>46</v>
      </c>
      <c r="G967">
        <v>5</v>
      </c>
      <c r="H967">
        <v>32379.81</v>
      </c>
      <c r="I967">
        <v>4700.71</v>
      </c>
      <c r="J967" t="s">
        <v>22</v>
      </c>
      <c r="K967" t="s">
        <v>23</v>
      </c>
      <c r="L967">
        <f t="shared" si="45"/>
        <v>2022</v>
      </c>
      <c r="M967" t="str">
        <f t="shared" si="46"/>
        <v>Jan</v>
      </c>
      <c r="N967" s="2">
        <f t="shared" si="47"/>
        <v>0.14517410695121435</v>
      </c>
    </row>
    <row r="968" spans="1:14" x14ac:dyDescent="0.45">
      <c r="A968" t="s">
        <v>1925</v>
      </c>
      <c r="B968" s="1">
        <v>45051</v>
      </c>
      <c r="C968" t="s">
        <v>1926</v>
      </c>
      <c r="D968" t="s">
        <v>56</v>
      </c>
      <c r="E968" t="s">
        <v>20</v>
      </c>
      <c r="F968" t="s">
        <v>21</v>
      </c>
      <c r="G968">
        <v>3</v>
      </c>
      <c r="H968">
        <v>2609.54</v>
      </c>
      <c r="I968">
        <v>239.41</v>
      </c>
      <c r="J968" t="s">
        <v>28</v>
      </c>
      <c r="K968" t="s">
        <v>29</v>
      </c>
      <c r="L968">
        <f t="shared" si="45"/>
        <v>2023</v>
      </c>
      <c r="M968" t="str">
        <f t="shared" si="46"/>
        <v>May</v>
      </c>
      <c r="N968" s="2">
        <f t="shared" si="47"/>
        <v>9.1744138813737289E-2</v>
      </c>
    </row>
    <row r="969" spans="1:14" x14ac:dyDescent="0.45">
      <c r="A969" t="s">
        <v>1927</v>
      </c>
      <c r="B969" s="1">
        <v>45253</v>
      </c>
      <c r="C969" t="s">
        <v>1928</v>
      </c>
      <c r="D969" t="s">
        <v>56</v>
      </c>
      <c r="E969" t="s">
        <v>14</v>
      </c>
      <c r="F969" t="s">
        <v>32</v>
      </c>
      <c r="G969">
        <v>5</v>
      </c>
      <c r="H969">
        <v>23323.81</v>
      </c>
      <c r="I969">
        <v>4178</v>
      </c>
      <c r="J969" t="s">
        <v>47</v>
      </c>
      <c r="K969" t="s">
        <v>17</v>
      </c>
      <c r="L969">
        <f t="shared" si="45"/>
        <v>2023</v>
      </c>
      <c r="M969" t="str">
        <f t="shared" si="46"/>
        <v>Nov</v>
      </c>
      <c r="N969" s="2">
        <f t="shared" si="47"/>
        <v>0.17913025359064405</v>
      </c>
    </row>
    <row r="970" spans="1:14" x14ac:dyDescent="0.45">
      <c r="A970" t="s">
        <v>1929</v>
      </c>
      <c r="B970" s="1">
        <v>45071</v>
      </c>
      <c r="C970" t="s">
        <v>1930</v>
      </c>
      <c r="D970" t="s">
        <v>56</v>
      </c>
      <c r="E970" t="s">
        <v>36</v>
      </c>
      <c r="F970" t="s">
        <v>64</v>
      </c>
      <c r="G970">
        <v>2</v>
      </c>
      <c r="H970">
        <v>25184.32</v>
      </c>
      <c r="I970">
        <v>3506.45</v>
      </c>
      <c r="J970" t="s">
        <v>71</v>
      </c>
      <c r="K970" t="s">
        <v>29</v>
      </c>
      <c r="L970">
        <f t="shared" si="45"/>
        <v>2023</v>
      </c>
      <c r="M970" t="str">
        <f t="shared" si="46"/>
        <v>May</v>
      </c>
      <c r="N970" s="2">
        <f t="shared" si="47"/>
        <v>0.13923147418711324</v>
      </c>
    </row>
    <row r="971" spans="1:14" x14ac:dyDescent="0.45">
      <c r="A971" t="s">
        <v>1931</v>
      </c>
      <c r="B971" s="1">
        <v>45575</v>
      </c>
      <c r="C971" t="s">
        <v>1932</v>
      </c>
      <c r="D971" t="s">
        <v>56</v>
      </c>
      <c r="E971" t="s">
        <v>14</v>
      </c>
      <c r="F971" t="s">
        <v>15</v>
      </c>
      <c r="G971">
        <v>2</v>
      </c>
      <c r="H971">
        <v>44671.32</v>
      </c>
      <c r="I971">
        <v>6699.54</v>
      </c>
      <c r="J971" t="s">
        <v>22</v>
      </c>
      <c r="K971" t="s">
        <v>17</v>
      </c>
      <c r="L971">
        <f t="shared" si="45"/>
        <v>2024</v>
      </c>
      <c r="M971" t="str">
        <f t="shared" si="46"/>
        <v>Oct</v>
      </c>
      <c r="N971" s="2">
        <f t="shared" si="47"/>
        <v>0.14997407732746648</v>
      </c>
    </row>
    <row r="972" spans="1:14" x14ac:dyDescent="0.45">
      <c r="A972" t="s">
        <v>1933</v>
      </c>
      <c r="B972" s="1">
        <v>45601</v>
      </c>
      <c r="C972" t="s">
        <v>1934</v>
      </c>
      <c r="D972" t="s">
        <v>13</v>
      </c>
      <c r="E972" t="s">
        <v>36</v>
      </c>
      <c r="F972" t="s">
        <v>37</v>
      </c>
      <c r="G972">
        <v>2</v>
      </c>
      <c r="H972">
        <v>29969.43</v>
      </c>
      <c r="I972">
        <v>7015.47</v>
      </c>
      <c r="J972" t="s">
        <v>22</v>
      </c>
      <c r="K972" t="s">
        <v>23</v>
      </c>
      <c r="L972">
        <f t="shared" si="45"/>
        <v>2024</v>
      </c>
      <c r="M972" t="str">
        <f t="shared" si="46"/>
        <v>Nov</v>
      </c>
      <c r="N972" s="2">
        <f t="shared" si="47"/>
        <v>0.23408753519836714</v>
      </c>
    </row>
    <row r="973" spans="1:14" x14ac:dyDescent="0.45">
      <c r="A973" t="s">
        <v>1935</v>
      </c>
      <c r="B973" s="1">
        <v>44686</v>
      </c>
      <c r="C973" t="s">
        <v>1936</v>
      </c>
      <c r="D973" t="s">
        <v>56</v>
      </c>
      <c r="E973" t="s">
        <v>20</v>
      </c>
      <c r="F973" t="s">
        <v>43</v>
      </c>
      <c r="G973">
        <v>1</v>
      </c>
      <c r="H973">
        <v>13489.77</v>
      </c>
      <c r="I973">
        <v>3028.26</v>
      </c>
      <c r="J973" t="s">
        <v>28</v>
      </c>
      <c r="K973" t="s">
        <v>23</v>
      </c>
      <c r="L973">
        <f t="shared" si="45"/>
        <v>2022</v>
      </c>
      <c r="M973" t="str">
        <f t="shared" si="46"/>
        <v>May</v>
      </c>
      <c r="N973" s="2">
        <f t="shared" si="47"/>
        <v>0.22448566580453189</v>
      </c>
    </row>
    <row r="974" spans="1:14" x14ac:dyDescent="0.45">
      <c r="A974" t="s">
        <v>1937</v>
      </c>
      <c r="B974" s="1">
        <v>44569</v>
      </c>
      <c r="C974" t="s">
        <v>1938</v>
      </c>
      <c r="D974" t="s">
        <v>26</v>
      </c>
      <c r="E974" t="s">
        <v>20</v>
      </c>
      <c r="F974" t="s">
        <v>21</v>
      </c>
      <c r="G974">
        <v>4</v>
      </c>
      <c r="H974">
        <v>6631.88</v>
      </c>
      <c r="I974">
        <v>1123.57</v>
      </c>
      <c r="J974" t="s">
        <v>28</v>
      </c>
      <c r="K974" t="s">
        <v>23</v>
      </c>
      <c r="L974">
        <f t="shared" si="45"/>
        <v>2022</v>
      </c>
      <c r="M974" t="str">
        <f t="shared" si="46"/>
        <v>Jan</v>
      </c>
      <c r="N974" s="2">
        <f t="shared" si="47"/>
        <v>0.16941953111334945</v>
      </c>
    </row>
    <row r="975" spans="1:14" x14ac:dyDescent="0.45">
      <c r="A975" t="s">
        <v>1939</v>
      </c>
      <c r="B975" s="1">
        <v>44965</v>
      </c>
      <c r="C975" t="s">
        <v>1940</v>
      </c>
      <c r="D975" t="s">
        <v>13</v>
      </c>
      <c r="E975" t="s">
        <v>20</v>
      </c>
      <c r="F975" t="s">
        <v>27</v>
      </c>
      <c r="G975">
        <v>5</v>
      </c>
      <c r="H975">
        <v>5662.47</v>
      </c>
      <c r="I975">
        <v>563.4</v>
      </c>
      <c r="J975" t="s">
        <v>71</v>
      </c>
      <c r="K975" t="s">
        <v>17</v>
      </c>
      <c r="L975">
        <f t="shared" si="45"/>
        <v>2023</v>
      </c>
      <c r="M975" t="str">
        <f t="shared" si="46"/>
        <v>Feb</v>
      </c>
      <c r="N975" s="2">
        <f t="shared" si="47"/>
        <v>9.9497215879289419E-2</v>
      </c>
    </row>
    <row r="976" spans="1:14" x14ac:dyDescent="0.45">
      <c r="A976" t="s">
        <v>1941</v>
      </c>
      <c r="B976" s="1">
        <v>44625</v>
      </c>
      <c r="C976" t="s">
        <v>1942</v>
      </c>
      <c r="D976" t="s">
        <v>26</v>
      </c>
      <c r="E976" t="s">
        <v>36</v>
      </c>
      <c r="F976" t="s">
        <v>46</v>
      </c>
      <c r="G976">
        <v>4</v>
      </c>
      <c r="H976">
        <v>12830.62</v>
      </c>
      <c r="I976">
        <v>978.02</v>
      </c>
      <c r="J976" t="s">
        <v>28</v>
      </c>
      <c r="K976" t="s">
        <v>33</v>
      </c>
      <c r="L976">
        <f t="shared" si="45"/>
        <v>2022</v>
      </c>
      <c r="M976" t="str">
        <f t="shared" si="46"/>
        <v>Mar</v>
      </c>
      <c r="N976" s="2">
        <f t="shared" si="47"/>
        <v>7.622546689092187E-2</v>
      </c>
    </row>
    <row r="977" spans="1:14" x14ac:dyDescent="0.45">
      <c r="A977" t="s">
        <v>1943</v>
      </c>
      <c r="B977" s="1">
        <v>44721</v>
      </c>
      <c r="C977" t="s">
        <v>1944</v>
      </c>
      <c r="D977" t="s">
        <v>13</v>
      </c>
      <c r="E977" t="s">
        <v>20</v>
      </c>
      <c r="F977" t="s">
        <v>50</v>
      </c>
      <c r="G977">
        <v>4</v>
      </c>
      <c r="H977">
        <v>6021.23</v>
      </c>
      <c r="I977">
        <v>1280.8499999999999</v>
      </c>
      <c r="J977" t="s">
        <v>28</v>
      </c>
      <c r="K977" t="s">
        <v>29</v>
      </c>
      <c r="L977">
        <f t="shared" si="45"/>
        <v>2022</v>
      </c>
      <c r="M977" t="str">
        <f t="shared" si="46"/>
        <v>Jun</v>
      </c>
      <c r="N977" s="2">
        <f t="shared" si="47"/>
        <v>0.21272231753312862</v>
      </c>
    </row>
    <row r="978" spans="1:14" x14ac:dyDescent="0.45">
      <c r="A978" t="s">
        <v>1945</v>
      </c>
      <c r="B978" s="1">
        <v>45452</v>
      </c>
      <c r="C978" t="s">
        <v>1946</v>
      </c>
      <c r="D978" t="s">
        <v>13</v>
      </c>
      <c r="E978" t="s">
        <v>36</v>
      </c>
      <c r="F978" t="s">
        <v>64</v>
      </c>
      <c r="G978">
        <v>4</v>
      </c>
      <c r="H978">
        <v>47630.28</v>
      </c>
      <c r="I978">
        <v>3543.81</v>
      </c>
      <c r="J978" t="s">
        <v>71</v>
      </c>
      <c r="K978" t="s">
        <v>33</v>
      </c>
      <c r="L978">
        <f t="shared" si="45"/>
        <v>2024</v>
      </c>
      <c r="M978" t="str">
        <f t="shared" si="46"/>
        <v>Jun</v>
      </c>
      <c r="N978" s="2">
        <f t="shared" si="47"/>
        <v>7.4402459947747523E-2</v>
      </c>
    </row>
    <row r="979" spans="1:14" x14ac:dyDescent="0.45">
      <c r="A979" t="s">
        <v>1947</v>
      </c>
      <c r="B979" s="1">
        <v>45412</v>
      </c>
      <c r="C979" t="s">
        <v>1948</v>
      </c>
      <c r="D979" t="s">
        <v>56</v>
      </c>
      <c r="E979" t="s">
        <v>14</v>
      </c>
      <c r="F979" t="s">
        <v>15</v>
      </c>
      <c r="G979">
        <v>1</v>
      </c>
      <c r="H979">
        <v>33229.25</v>
      </c>
      <c r="I979">
        <v>6749.46</v>
      </c>
      <c r="J979" t="s">
        <v>28</v>
      </c>
      <c r="K979" t="s">
        <v>23</v>
      </c>
      <c r="L979">
        <f t="shared" si="45"/>
        <v>2024</v>
      </c>
      <c r="M979" t="str">
        <f t="shared" si="46"/>
        <v>Apr</v>
      </c>
      <c r="N979" s="2">
        <f t="shared" si="47"/>
        <v>0.20311803606762116</v>
      </c>
    </row>
    <row r="980" spans="1:14" x14ac:dyDescent="0.45">
      <c r="A980" t="s">
        <v>1949</v>
      </c>
      <c r="B980" s="1">
        <v>45411</v>
      </c>
      <c r="C980" t="s">
        <v>1950</v>
      </c>
      <c r="D980" t="s">
        <v>13</v>
      </c>
      <c r="E980" t="s">
        <v>14</v>
      </c>
      <c r="F980" t="s">
        <v>15</v>
      </c>
      <c r="G980">
        <v>3</v>
      </c>
      <c r="H980">
        <v>34786.94</v>
      </c>
      <c r="I980">
        <v>7799.21</v>
      </c>
      <c r="J980" t="s">
        <v>47</v>
      </c>
      <c r="K980" t="s">
        <v>17</v>
      </c>
      <c r="L980">
        <f t="shared" si="45"/>
        <v>2024</v>
      </c>
      <c r="M980" t="str">
        <f t="shared" si="46"/>
        <v>Apr</v>
      </c>
      <c r="N980" s="2">
        <f t="shared" si="47"/>
        <v>0.22419936907356611</v>
      </c>
    </row>
    <row r="981" spans="1:14" x14ac:dyDescent="0.45">
      <c r="A981" t="s">
        <v>1951</v>
      </c>
      <c r="B981" s="1">
        <v>44669</v>
      </c>
      <c r="C981" t="s">
        <v>1952</v>
      </c>
      <c r="D981" t="s">
        <v>56</v>
      </c>
      <c r="E981" t="s">
        <v>20</v>
      </c>
      <c r="F981" t="s">
        <v>21</v>
      </c>
      <c r="G981">
        <v>1</v>
      </c>
      <c r="H981">
        <v>6560.21</v>
      </c>
      <c r="I981">
        <v>1215.8399999999999</v>
      </c>
      <c r="J981" t="s">
        <v>47</v>
      </c>
      <c r="K981" t="s">
        <v>23</v>
      </c>
      <c r="L981">
        <f t="shared" si="45"/>
        <v>2022</v>
      </c>
      <c r="M981" t="str">
        <f t="shared" si="46"/>
        <v>Apr</v>
      </c>
      <c r="N981" s="2">
        <f t="shared" si="47"/>
        <v>0.18533553041747139</v>
      </c>
    </row>
    <row r="982" spans="1:14" x14ac:dyDescent="0.45">
      <c r="A982" t="s">
        <v>1953</v>
      </c>
      <c r="B982" s="1">
        <v>44740</v>
      </c>
      <c r="C982" t="s">
        <v>1954</v>
      </c>
      <c r="D982" t="s">
        <v>26</v>
      </c>
      <c r="E982" t="s">
        <v>14</v>
      </c>
      <c r="F982" t="s">
        <v>15</v>
      </c>
      <c r="G982">
        <v>4</v>
      </c>
      <c r="H982">
        <v>34967.49</v>
      </c>
      <c r="I982">
        <v>4504.43</v>
      </c>
      <c r="J982" t="s">
        <v>71</v>
      </c>
      <c r="K982" t="s">
        <v>29</v>
      </c>
      <c r="L982">
        <f t="shared" si="45"/>
        <v>2022</v>
      </c>
      <c r="M982" t="str">
        <f t="shared" si="46"/>
        <v>Jun</v>
      </c>
      <c r="N982" s="2">
        <f t="shared" si="47"/>
        <v>0.12881765319729843</v>
      </c>
    </row>
    <row r="983" spans="1:14" x14ac:dyDescent="0.45">
      <c r="A983" t="s">
        <v>1955</v>
      </c>
      <c r="B983" s="1">
        <v>45568</v>
      </c>
      <c r="C983" t="s">
        <v>1956</v>
      </c>
      <c r="D983" t="s">
        <v>13</v>
      </c>
      <c r="E983" t="s">
        <v>36</v>
      </c>
      <c r="F983" t="s">
        <v>64</v>
      </c>
      <c r="G983">
        <v>5</v>
      </c>
      <c r="H983">
        <v>41701.99</v>
      </c>
      <c r="I983">
        <v>5310.45</v>
      </c>
      <c r="J983" t="s">
        <v>28</v>
      </c>
      <c r="K983" t="s">
        <v>33</v>
      </c>
      <c r="L983">
        <f t="shared" si="45"/>
        <v>2024</v>
      </c>
      <c r="M983" t="str">
        <f t="shared" si="46"/>
        <v>Oct</v>
      </c>
      <c r="N983" s="2">
        <f t="shared" si="47"/>
        <v>0.12734284383071406</v>
      </c>
    </row>
    <row r="984" spans="1:14" x14ac:dyDescent="0.45">
      <c r="A984" t="s">
        <v>1957</v>
      </c>
      <c r="B984" s="1">
        <v>44681</v>
      </c>
      <c r="C984" t="s">
        <v>1958</v>
      </c>
      <c r="D984" t="s">
        <v>56</v>
      </c>
      <c r="E984" t="s">
        <v>14</v>
      </c>
      <c r="F984" t="s">
        <v>57</v>
      </c>
      <c r="G984">
        <v>3</v>
      </c>
      <c r="H984">
        <v>10503.33</v>
      </c>
      <c r="I984">
        <v>944.89</v>
      </c>
      <c r="J984" t="s">
        <v>16</v>
      </c>
      <c r="K984" t="s">
        <v>23</v>
      </c>
      <c r="L984">
        <f t="shared" si="45"/>
        <v>2022</v>
      </c>
      <c r="M984" t="str">
        <f t="shared" si="46"/>
        <v>Apr</v>
      </c>
      <c r="N984" s="2">
        <f t="shared" si="47"/>
        <v>8.9960993323069921E-2</v>
      </c>
    </row>
    <row r="985" spans="1:14" x14ac:dyDescent="0.45">
      <c r="A985" t="s">
        <v>1959</v>
      </c>
      <c r="B985" s="1">
        <v>44598</v>
      </c>
      <c r="C985" t="s">
        <v>1960</v>
      </c>
      <c r="D985" t="s">
        <v>56</v>
      </c>
      <c r="E985" t="s">
        <v>14</v>
      </c>
      <c r="F985" t="s">
        <v>57</v>
      </c>
      <c r="G985">
        <v>5</v>
      </c>
      <c r="H985">
        <v>28270.639999999999</v>
      </c>
      <c r="I985">
        <v>2129.27</v>
      </c>
      <c r="J985" t="s">
        <v>47</v>
      </c>
      <c r="K985" t="s">
        <v>33</v>
      </c>
      <c r="L985">
        <f t="shared" si="45"/>
        <v>2022</v>
      </c>
      <c r="M985" t="str">
        <f t="shared" si="46"/>
        <v>Feb</v>
      </c>
      <c r="N985" s="2">
        <f t="shared" si="47"/>
        <v>7.5317361050192003E-2</v>
      </c>
    </row>
    <row r="986" spans="1:14" x14ac:dyDescent="0.45">
      <c r="A986" t="s">
        <v>1961</v>
      </c>
      <c r="B986" s="1">
        <v>45489</v>
      </c>
      <c r="C986" t="s">
        <v>1962</v>
      </c>
      <c r="D986" t="s">
        <v>56</v>
      </c>
      <c r="E986" t="s">
        <v>36</v>
      </c>
      <c r="F986" t="s">
        <v>46</v>
      </c>
      <c r="G986">
        <v>5</v>
      </c>
      <c r="H986">
        <v>20754.84</v>
      </c>
      <c r="I986">
        <v>2815.56</v>
      </c>
      <c r="J986" t="s">
        <v>22</v>
      </c>
      <c r="K986" t="s">
        <v>33</v>
      </c>
      <c r="L986">
        <f t="shared" si="45"/>
        <v>2024</v>
      </c>
      <c r="M986" t="str">
        <f t="shared" si="46"/>
        <v>Jul</v>
      </c>
      <c r="N986" s="2">
        <f t="shared" si="47"/>
        <v>0.13565799591806055</v>
      </c>
    </row>
    <row r="987" spans="1:14" x14ac:dyDescent="0.45">
      <c r="A987" t="s">
        <v>1963</v>
      </c>
      <c r="B987" s="1">
        <v>45062</v>
      </c>
      <c r="C987" t="s">
        <v>1964</v>
      </c>
      <c r="D987" t="s">
        <v>13</v>
      </c>
      <c r="E987" t="s">
        <v>14</v>
      </c>
      <c r="F987" t="s">
        <v>32</v>
      </c>
      <c r="G987">
        <v>4</v>
      </c>
      <c r="H987">
        <v>49512.46</v>
      </c>
      <c r="I987">
        <v>9005.23</v>
      </c>
      <c r="J987" t="s">
        <v>47</v>
      </c>
      <c r="K987" t="s">
        <v>17</v>
      </c>
      <c r="L987">
        <f t="shared" si="45"/>
        <v>2023</v>
      </c>
      <c r="M987" t="str">
        <f t="shared" si="46"/>
        <v>May</v>
      </c>
      <c r="N987" s="2">
        <f t="shared" si="47"/>
        <v>0.18187805655384523</v>
      </c>
    </row>
    <row r="988" spans="1:14" x14ac:dyDescent="0.45">
      <c r="A988" t="s">
        <v>1965</v>
      </c>
      <c r="B988" s="1">
        <v>44953</v>
      </c>
      <c r="C988" t="s">
        <v>1966</v>
      </c>
      <c r="D988" t="s">
        <v>13</v>
      </c>
      <c r="E988" t="s">
        <v>20</v>
      </c>
      <c r="F988" t="s">
        <v>27</v>
      </c>
      <c r="G988">
        <v>2</v>
      </c>
      <c r="H988">
        <v>44853.38</v>
      </c>
      <c r="I988">
        <v>10475.26</v>
      </c>
      <c r="J988" t="s">
        <v>47</v>
      </c>
      <c r="K988" t="s">
        <v>17</v>
      </c>
      <c r="L988">
        <f t="shared" si="45"/>
        <v>2023</v>
      </c>
      <c r="M988" t="str">
        <f t="shared" si="46"/>
        <v>Jan</v>
      </c>
      <c r="N988" s="2">
        <f t="shared" si="47"/>
        <v>0.23354449542041203</v>
      </c>
    </row>
    <row r="989" spans="1:14" x14ac:dyDescent="0.45">
      <c r="A989" t="s">
        <v>1967</v>
      </c>
      <c r="B989" s="1">
        <v>45480</v>
      </c>
      <c r="C989" t="s">
        <v>1644</v>
      </c>
      <c r="D989" t="s">
        <v>13</v>
      </c>
      <c r="E989" t="s">
        <v>14</v>
      </c>
      <c r="F989" t="s">
        <v>40</v>
      </c>
      <c r="G989">
        <v>4</v>
      </c>
      <c r="H989">
        <v>4488.1400000000003</v>
      </c>
      <c r="I989">
        <v>807.89</v>
      </c>
      <c r="J989" t="s">
        <v>71</v>
      </c>
      <c r="K989" t="s">
        <v>33</v>
      </c>
      <c r="L989">
        <f t="shared" si="45"/>
        <v>2024</v>
      </c>
      <c r="M989" t="str">
        <f t="shared" si="46"/>
        <v>Jul</v>
      </c>
      <c r="N989" s="2">
        <f t="shared" si="47"/>
        <v>0.18000552567433278</v>
      </c>
    </row>
    <row r="990" spans="1:14" x14ac:dyDescent="0.45">
      <c r="A990" t="s">
        <v>1968</v>
      </c>
      <c r="B990" s="1">
        <v>44711</v>
      </c>
      <c r="C990" t="s">
        <v>1969</v>
      </c>
      <c r="D990" t="s">
        <v>13</v>
      </c>
      <c r="E990" t="s">
        <v>14</v>
      </c>
      <c r="F990" t="s">
        <v>15</v>
      </c>
      <c r="G990">
        <v>2</v>
      </c>
      <c r="H990">
        <v>39512.870000000003</v>
      </c>
      <c r="I990">
        <v>5350.56</v>
      </c>
      <c r="J990" t="s">
        <v>28</v>
      </c>
      <c r="K990" t="s">
        <v>29</v>
      </c>
      <c r="L990">
        <f t="shared" si="45"/>
        <v>2022</v>
      </c>
      <c r="M990" t="str">
        <f t="shared" si="46"/>
        <v>May</v>
      </c>
      <c r="N990" s="2">
        <f t="shared" si="47"/>
        <v>0.13541309451831771</v>
      </c>
    </row>
    <row r="991" spans="1:14" x14ac:dyDescent="0.45">
      <c r="A991" t="s">
        <v>1970</v>
      </c>
      <c r="B991" s="1">
        <v>45379</v>
      </c>
      <c r="C991" t="s">
        <v>1971</v>
      </c>
      <c r="D991" t="s">
        <v>13</v>
      </c>
      <c r="E991" t="s">
        <v>36</v>
      </c>
      <c r="F991" t="s">
        <v>64</v>
      </c>
      <c r="G991">
        <v>5</v>
      </c>
      <c r="H991">
        <v>40909.54</v>
      </c>
      <c r="I991">
        <v>2154.5700000000002</v>
      </c>
      <c r="J991" t="s">
        <v>16</v>
      </c>
      <c r="K991" t="s">
        <v>17</v>
      </c>
      <c r="L991">
        <f t="shared" si="45"/>
        <v>2024</v>
      </c>
      <c r="M991" t="str">
        <f t="shared" si="46"/>
        <v>Mar</v>
      </c>
      <c r="N991" s="2">
        <f t="shared" si="47"/>
        <v>5.2666688503463989E-2</v>
      </c>
    </row>
    <row r="992" spans="1:14" x14ac:dyDescent="0.45">
      <c r="A992" t="s">
        <v>1972</v>
      </c>
      <c r="B992" s="1">
        <v>45409</v>
      </c>
      <c r="C992" t="s">
        <v>1973</v>
      </c>
      <c r="D992" t="s">
        <v>56</v>
      </c>
      <c r="E992" t="s">
        <v>36</v>
      </c>
      <c r="F992" t="s">
        <v>46</v>
      </c>
      <c r="G992">
        <v>1</v>
      </c>
      <c r="H992">
        <v>6396.08</v>
      </c>
      <c r="I992">
        <v>613.16</v>
      </c>
      <c r="J992" t="s">
        <v>28</v>
      </c>
      <c r="K992" t="s">
        <v>29</v>
      </c>
      <c r="L992">
        <f t="shared" si="45"/>
        <v>2024</v>
      </c>
      <c r="M992" t="str">
        <f t="shared" si="46"/>
        <v>Apr</v>
      </c>
      <c r="N992" s="2">
        <f t="shared" si="47"/>
        <v>9.586496729246663E-2</v>
      </c>
    </row>
    <row r="993" spans="1:14" x14ac:dyDescent="0.45">
      <c r="A993" t="s">
        <v>1974</v>
      </c>
      <c r="B993" s="1">
        <v>45077</v>
      </c>
      <c r="C993" t="s">
        <v>1975</v>
      </c>
      <c r="D993" t="s">
        <v>13</v>
      </c>
      <c r="E993" t="s">
        <v>36</v>
      </c>
      <c r="F993" t="s">
        <v>46</v>
      </c>
      <c r="G993">
        <v>5</v>
      </c>
      <c r="H993">
        <v>12372.82</v>
      </c>
      <c r="I993">
        <v>1982.82</v>
      </c>
      <c r="J993" t="s">
        <v>22</v>
      </c>
      <c r="K993" t="s">
        <v>17</v>
      </c>
      <c r="L993">
        <f t="shared" si="45"/>
        <v>2023</v>
      </c>
      <c r="M993" t="str">
        <f t="shared" si="46"/>
        <v>May</v>
      </c>
      <c r="N993" s="2">
        <f t="shared" si="47"/>
        <v>0.16025610976317445</v>
      </c>
    </row>
    <row r="994" spans="1:14" x14ac:dyDescent="0.45">
      <c r="A994" t="s">
        <v>1976</v>
      </c>
      <c r="B994" s="1">
        <v>45276</v>
      </c>
      <c r="C994" t="s">
        <v>1977</v>
      </c>
      <c r="D994" t="s">
        <v>13</v>
      </c>
      <c r="E994" t="s">
        <v>14</v>
      </c>
      <c r="F994" t="s">
        <v>32</v>
      </c>
      <c r="G994">
        <v>2</v>
      </c>
      <c r="H994">
        <v>40098.11</v>
      </c>
      <c r="I994">
        <v>7869.32</v>
      </c>
      <c r="J994" t="s">
        <v>47</v>
      </c>
      <c r="K994" t="s">
        <v>17</v>
      </c>
      <c r="L994">
        <f t="shared" si="45"/>
        <v>2023</v>
      </c>
      <c r="M994" t="str">
        <f t="shared" si="46"/>
        <v>Dec</v>
      </c>
      <c r="N994" s="2">
        <f t="shared" si="47"/>
        <v>0.19625164378071683</v>
      </c>
    </row>
    <row r="995" spans="1:14" x14ac:dyDescent="0.45">
      <c r="A995" t="s">
        <v>1978</v>
      </c>
      <c r="B995" s="1">
        <v>45273</v>
      </c>
      <c r="C995" t="s">
        <v>1979</v>
      </c>
      <c r="D995" t="s">
        <v>13</v>
      </c>
      <c r="E995" t="s">
        <v>36</v>
      </c>
      <c r="F995" t="s">
        <v>64</v>
      </c>
      <c r="G995">
        <v>1</v>
      </c>
      <c r="H995">
        <v>21627.34</v>
      </c>
      <c r="I995">
        <v>4597.6000000000004</v>
      </c>
      <c r="J995" t="s">
        <v>22</v>
      </c>
      <c r="K995" t="s">
        <v>23</v>
      </c>
      <c r="L995">
        <f t="shared" si="45"/>
        <v>2023</v>
      </c>
      <c r="M995" t="str">
        <f t="shared" si="46"/>
        <v>Dec</v>
      </c>
      <c r="N995" s="2">
        <f t="shared" si="47"/>
        <v>0.21258277717000798</v>
      </c>
    </row>
    <row r="996" spans="1:14" x14ac:dyDescent="0.45">
      <c r="A996" t="s">
        <v>1980</v>
      </c>
      <c r="B996" s="1">
        <v>45190</v>
      </c>
      <c r="C996" t="s">
        <v>891</v>
      </c>
      <c r="D996" t="s">
        <v>56</v>
      </c>
      <c r="E996" t="s">
        <v>14</v>
      </c>
      <c r="F996" t="s">
        <v>32</v>
      </c>
      <c r="G996">
        <v>4</v>
      </c>
      <c r="H996">
        <v>34791.17</v>
      </c>
      <c r="I996">
        <v>1766.18</v>
      </c>
      <c r="J996" t="s">
        <v>71</v>
      </c>
      <c r="K996" t="s">
        <v>17</v>
      </c>
      <c r="L996">
        <f t="shared" si="45"/>
        <v>2023</v>
      </c>
      <c r="M996" t="str">
        <f t="shared" si="46"/>
        <v>Sep</v>
      </c>
      <c r="N996" s="2">
        <f t="shared" si="47"/>
        <v>5.0765179785560534E-2</v>
      </c>
    </row>
    <row r="997" spans="1:14" x14ac:dyDescent="0.45">
      <c r="A997" t="s">
        <v>1981</v>
      </c>
      <c r="B997" s="1">
        <v>44897</v>
      </c>
      <c r="C997" t="s">
        <v>1982</v>
      </c>
      <c r="D997" t="s">
        <v>56</v>
      </c>
      <c r="E997" t="s">
        <v>36</v>
      </c>
      <c r="F997" t="s">
        <v>53</v>
      </c>
      <c r="G997">
        <v>3</v>
      </c>
      <c r="H997">
        <v>10730.7</v>
      </c>
      <c r="I997">
        <v>1254.0999999999999</v>
      </c>
      <c r="J997" t="s">
        <v>47</v>
      </c>
      <c r="K997" t="s">
        <v>33</v>
      </c>
      <c r="L997">
        <f t="shared" si="45"/>
        <v>2022</v>
      </c>
      <c r="M997" t="str">
        <f t="shared" si="46"/>
        <v>Dec</v>
      </c>
      <c r="N997" s="2">
        <f t="shared" si="47"/>
        <v>0.1168702880520376</v>
      </c>
    </row>
    <row r="998" spans="1:14" x14ac:dyDescent="0.45">
      <c r="A998" t="s">
        <v>1983</v>
      </c>
      <c r="B998" s="1">
        <v>45013</v>
      </c>
      <c r="C998" t="s">
        <v>1984</v>
      </c>
      <c r="D998" t="s">
        <v>56</v>
      </c>
      <c r="E998" t="s">
        <v>20</v>
      </c>
      <c r="F998" t="s">
        <v>43</v>
      </c>
      <c r="G998">
        <v>3</v>
      </c>
      <c r="H998">
        <v>41276.400000000001</v>
      </c>
      <c r="I998">
        <v>5903.03</v>
      </c>
      <c r="J998" t="s">
        <v>71</v>
      </c>
      <c r="K998" t="s">
        <v>29</v>
      </c>
      <c r="L998">
        <f t="shared" si="45"/>
        <v>2023</v>
      </c>
      <c r="M998" t="str">
        <f t="shared" si="46"/>
        <v>Mar</v>
      </c>
      <c r="N998" s="2">
        <f t="shared" si="47"/>
        <v>0.14301222974871838</v>
      </c>
    </row>
    <row r="999" spans="1:14" x14ac:dyDescent="0.45">
      <c r="A999" t="s">
        <v>1985</v>
      </c>
      <c r="B999" s="1">
        <v>45445</v>
      </c>
      <c r="C999" t="s">
        <v>1986</v>
      </c>
      <c r="D999" t="s">
        <v>13</v>
      </c>
      <c r="E999" t="s">
        <v>20</v>
      </c>
      <c r="F999" t="s">
        <v>50</v>
      </c>
      <c r="G999">
        <v>5</v>
      </c>
      <c r="H999">
        <v>4883.2</v>
      </c>
      <c r="I999">
        <v>332.15</v>
      </c>
      <c r="J999" t="s">
        <v>47</v>
      </c>
      <c r="K999" t="s">
        <v>23</v>
      </c>
      <c r="L999">
        <f t="shared" si="45"/>
        <v>2024</v>
      </c>
      <c r="M999" t="str">
        <f t="shared" si="46"/>
        <v>Jun</v>
      </c>
      <c r="N999" s="2">
        <f t="shared" si="47"/>
        <v>6.8018922018348624E-2</v>
      </c>
    </row>
    <row r="1000" spans="1:14" x14ac:dyDescent="0.45">
      <c r="A1000" t="s">
        <v>1987</v>
      </c>
      <c r="B1000" s="1">
        <v>44943</v>
      </c>
      <c r="C1000" t="s">
        <v>1988</v>
      </c>
      <c r="D1000" t="s">
        <v>56</v>
      </c>
      <c r="E1000" t="s">
        <v>14</v>
      </c>
      <c r="F1000" t="s">
        <v>32</v>
      </c>
      <c r="G1000">
        <v>5</v>
      </c>
      <c r="H1000">
        <v>12853.09</v>
      </c>
      <c r="I1000">
        <v>1389.06</v>
      </c>
      <c r="J1000" t="s">
        <v>16</v>
      </c>
      <c r="K1000" t="s">
        <v>17</v>
      </c>
      <c r="L1000">
        <f t="shared" si="45"/>
        <v>2023</v>
      </c>
      <c r="M1000" t="str">
        <f t="shared" si="46"/>
        <v>Jan</v>
      </c>
      <c r="N1000" s="2">
        <f t="shared" si="47"/>
        <v>0.10807206671703068</v>
      </c>
    </row>
    <row r="1001" spans="1:14" x14ac:dyDescent="0.45">
      <c r="A1001" t="s">
        <v>1989</v>
      </c>
      <c r="B1001" s="1">
        <v>44643</v>
      </c>
      <c r="C1001" t="s">
        <v>1990</v>
      </c>
      <c r="D1001" t="s">
        <v>26</v>
      </c>
      <c r="E1001" t="s">
        <v>36</v>
      </c>
      <c r="F1001" t="s">
        <v>53</v>
      </c>
      <c r="G1001">
        <v>2</v>
      </c>
      <c r="H1001">
        <v>18465.57</v>
      </c>
      <c r="I1001">
        <v>4599.96</v>
      </c>
      <c r="J1001" t="s">
        <v>47</v>
      </c>
      <c r="K1001" t="s">
        <v>17</v>
      </c>
      <c r="L1001">
        <f t="shared" si="45"/>
        <v>2022</v>
      </c>
      <c r="M1001" t="str">
        <f t="shared" si="46"/>
        <v>Mar</v>
      </c>
      <c r="N1001" s="2">
        <f t="shared" si="47"/>
        <v>0.24911010058178545</v>
      </c>
    </row>
    <row r="1002" spans="1:14" x14ac:dyDescent="0.45">
      <c r="A1002" t="s">
        <v>1991</v>
      </c>
      <c r="B1002" s="1">
        <v>44986</v>
      </c>
      <c r="C1002" t="s">
        <v>1992</v>
      </c>
      <c r="D1002" t="s">
        <v>13</v>
      </c>
      <c r="E1002" t="s">
        <v>36</v>
      </c>
      <c r="F1002" t="s">
        <v>53</v>
      </c>
      <c r="G1002">
        <v>4</v>
      </c>
      <c r="H1002">
        <v>5479.82</v>
      </c>
      <c r="I1002">
        <v>498.78</v>
      </c>
      <c r="J1002" t="s">
        <v>47</v>
      </c>
      <c r="K1002" t="s">
        <v>33</v>
      </c>
      <c r="L1002">
        <f t="shared" si="45"/>
        <v>2023</v>
      </c>
      <c r="M1002" t="str">
        <f t="shared" si="46"/>
        <v>Mar</v>
      </c>
      <c r="N1002" s="2">
        <f t="shared" si="47"/>
        <v>9.1021237923873413E-2</v>
      </c>
    </row>
    <row r="1003" spans="1:14" x14ac:dyDescent="0.45">
      <c r="A1003" t="s">
        <v>1993</v>
      </c>
      <c r="B1003" s="1">
        <v>45075</v>
      </c>
      <c r="C1003" t="s">
        <v>1994</v>
      </c>
      <c r="D1003" t="s">
        <v>56</v>
      </c>
      <c r="E1003" t="s">
        <v>20</v>
      </c>
      <c r="F1003" t="s">
        <v>27</v>
      </c>
      <c r="G1003">
        <v>5</v>
      </c>
      <c r="H1003">
        <v>10012.73</v>
      </c>
      <c r="I1003">
        <v>2236.62</v>
      </c>
      <c r="J1003" t="s">
        <v>28</v>
      </c>
      <c r="K1003" t="s">
        <v>23</v>
      </c>
      <c r="L1003">
        <f t="shared" si="45"/>
        <v>2023</v>
      </c>
      <c r="M1003" t="str">
        <f t="shared" si="46"/>
        <v>May</v>
      </c>
      <c r="N1003" s="2">
        <f t="shared" si="47"/>
        <v>0.22337764026394399</v>
      </c>
    </row>
    <row r="1004" spans="1:14" x14ac:dyDescent="0.45">
      <c r="A1004" t="s">
        <v>1995</v>
      </c>
      <c r="B1004" s="1">
        <v>44592</v>
      </c>
      <c r="C1004" t="s">
        <v>1996</v>
      </c>
      <c r="D1004" t="s">
        <v>56</v>
      </c>
      <c r="E1004" t="s">
        <v>36</v>
      </c>
      <c r="F1004" t="s">
        <v>64</v>
      </c>
      <c r="G1004">
        <v>3</v>
      </c>
      <c r="H1004">
        <v>27821.43</v>
      </c>
      <c r="I1004">
        <v>4176.8500000000004</v>
      </c>
      <c r="J1004" t="s">
        <v>71</v>
      </c>
      <c r="K1004" t="s">
        <v>33</v>
      </c>
      <c r="L1004">
        <f t="shared" si="45"/>
        <v>2022</v>
      </c>
      <c r="M1004" t="str">
        <f t="shared" si="46"/>
        <v>Jan</v>
      </c>
      <c r="N1004" s="2">
        <f t="shared" si="47"/>
        <v>0.15013067265054314</v>
      </c>
    </row>
    <row r="1005" spans="1:14" x14ac:dyDescent="0.45">
      <c r="A1005" t="s">
        <v>1997</v>
      </c>
      <c r="B1005" s="1">
        <v>44878</v>
      </c>
      <c r="C1005" t="s">
        <v>1998</v>
      </c>
      <c r="D1005" t="s">
        <v>56</v>
      </c>
      <c r="E1005" t="s">
        <v>20</v>
      </c>
      <c r="F1005" t="s">
        <v>43</v>
      </c>
      <c r="G1005">
        <v>5</v>
      </c>
      <c r="H1005">
        <v>7198.12</v>
      </c>
      <c r="I1005">
        <v>1192.8</v>
      </c>
      <c r="J1005" t="s">
        <v>22</v>
      </c>
      <c r="K1005" t="s">
        <v>17</v>
      </c>
      <c r="L1005">
        <f t="shared" si="45"/>
        <v>2022</v>
      </c>
      <c r="M1005" t="str">
        <f t="shared" si="46"/>
        <v>Nov</v>
      </c>
      <c r="N1005" s="2">
        <f t="shared" si="47"/>
        <v>0.16570993537201381</v>
      </c>
    </row>
    <row r="1006" spans="1:14" x14ac:dyDescent="0.45">
      <c r="A1006" t="s">
        <v>1999</v>
      </c>
      <c r="B1006" s="1">
        <v>45006</v>
      </c>
      <c r="C1006" t="s">
        <v>12</v>
      </c>
      <c r="D1006" t="s">
        <v>13</v>
      </c>
      <c r="E1006" t="s">
        <v>20</v>
      </c>
      <c r="F1006" t="s">
        <v>27</v>
      </c>
      <c r="G1006">
        <v>3</v>
      </c>
      <c r="H1006">
        <v>14043.64</v>
      </c>
      <c r="I1006">
        <v>1141.24</v>
      </c>
      <c r="J1006" t="s">
        <v>16</v>
      </c>
      <c r="K1006" t="s">
        <v>29</v>
      </c>
      <c r="L1006">
        <f t="shared" si="45"/>
        <v>2023</v>
      </c>
      <c r="M1006" t="str">
        <f t="shared" si="46"/>
        <v>Mar</v>
      </c>
      <c r="N1006" s="2">
        <f t="shared" si="47"/>
        <v>8.126383188404146E-2</v>
      </c>
    </row>
    <row r="1007" spans="1:14" x14ac:dyDescent="0.45">
      <c r="A1007" t="s">
        <v>2000</v>
      </c>
      <c r="B1007" s="1">
        <v>44846</v>
      </c>
      <c r="C1007" t="s">
        <v>2001</v>
      </c>
      <c r="D1007" t="s">
        <v>13</v>
      </c>
      <c r="E1007" t="s">
        <v>20</v>
      </c>
      <c r="F1007" t="s">
        <v>50</v>
      </c>
      <c r="G1007">
        <v>5</v>
      </c>
      <c r="H1007">
        <v>6728.21</v>
      </c>
      <c r="I1007">
        <v>1186.22</v>
      </c>
      <c r="J1007" t="s">
        <v>71</v>
      </c>
      <c r="K1007" t="s">
        <v>17</v>
      </c>
      <c r="L1007">
        <f t="shared" si="45"/>
        <v>2022</v>
      </c>
      <c r="M1007" t="str">
        <f t="shared" si="46"/>
        <v>Oct</v>
      </c>
      <c r="N1007" s="2">
        <f t="shared" si="47"/>
        <v>0.17630543636420384</v>
      </c>
    </row>
    <row r="1008" spans="1:14" x14ac:dyDescent="0.45">
      <c r="A1008" t="s">
        <v>2002</v>
      </c>
      <c r="B1008" s="1">
        <v>44636</v>
      </c>
      <c r="C1008" t="s">
        <v>2003</v>
      </c>
      <c r="D1008" t="s">
        <v>26</v>
      </c>
      <c r="E1008" t="s">
        <v>20</v>
      </c>
      <c r="F1008" t="s">
        <v>43</v>
      </c>
      <c r="G1008">
        <v>2</v>
      </c>
      <c r="H1008">
        <v>26324.99</v>
      </c>
      <c r="I1008">
        <v>5757.6</v>
      </c>
      <c r="J1008" t="s">
        <v>47</v>
      </c>
      <c r="K1008" t="s">
        <v>29</v>
      </c>
      <c r="L1008">
        <f t="shared" si="45"/>
        <v>2022</v>
      </c>
      <c r="M1008" t="str">
        <f t="shared" si="46"/>
        <v>Mar</v>
      </c>
      <c r="N1008" s="2">
        <f t="shared" si="47"/>
        <v>0.21871233379385899</v>
      </c>
    </row>
    <row r="1009" spans="1:14" x14ac:dyDescent="0.45">
      <c r="A1009" t="s">
        <v>2004</v>
      </c>
      <c r="B1009" s="1">
        <v>45168</v>
      </c>
      <c r="C1009" t="s">
        <v>2005</v>
      </c>
      <c r="D1009" t="s">
        <v>13</v>
      </c>
      <c r="E1009" t="s">
        <v>36</v>
      </c>
      <c r="F1009" t="s">
        <v>46</v>
      </c>
      <c r="G1009">
        <v>4</v>
      </c>
      <c r="H1009">
        <v>6119.17</v>
      </c>
      <c r="I1009">
        <v>829.2</v>
      </c>
      <c r="J1009" t="s">
        <v>22</v>
      </c>
      <c r="K1009" t="s">
        <v>23</v>
      </c>
      <c r="L1009">
        <f t="shared" si="45"/>
        <v>2023</v>
      </c>
      <c r="M1009" t="str">
        <f t="shared" si="46"/>
        <v>Aug</v>
      </c>
      <c r="N1009" s="2">
        <f t="shared" si="47"/>
        <v>0.13550857387521512</v>
      </c>
    </row>
    <row r="1010" spans="1:14" x14ac:dyDescent="0.45">
      <c r="A1010" t="s">
        <v>2006</v>
      </c>
      <c r="B1010" s="1">
        <v>45430</v>
      </c>
      <c r="C1010" t="s">
        <v>738</v>
      </c>
      <c r="D1010" t="s">
        <v>56</v>
      </c>
      <c r="E1010" t="s">
        <v>14</v>
      </c>
      <c r="F1010" t="s">
        <v>40</v>
      </c>
      <c r="G1010">
        <v>2</v>
      </c>
      <c r="H1010">
        <v>34029.89</v>
      </c>
      <c r="I1010">
        <v>5327.17</v>
      </c>
      <c r="J1010" t="s">
        <v>71</v>
      </c>
      <c r="K1010" t="s">
        <v>23</v>
      </c>
      <c r="L1010">
        <f t="shared" si="45"/>
        <v>2024</v>
      </c>
      <c r="M1010" t="str">
        <f t="shared" si="46"/>
        <v>May</v>
      </c>
      <c r="N1010" s="2">
        <f t="shared" si="47"/>
        <v>0.15654385012705008</v>
      </c>
    </row>
    <row r="1011" spans="1:14" x14ac:dyDescent="0.45">
      <c r="A1011" t="s">
        <v>2007</v>
      </c>
      <c r="B1011" s="1">
        <v>45396</v>
      </c>
      <c r="C1011" t="s">
        <v>2008</v>
      </c>
      <c r="D1011" t="s">
        <v>26</v>
      </c>
      <c r="E1011" t="s">
        <v>14</v>
      </c>
      <c r="F1011" t="s">
        <v>15</v>
      </c>
      <c r="G1011">
        <v>1</v>
      </c>
      <c r="H1011">
        <v>20060.13</v>
      </c>
      <c r="I1011">
        <v>4662.62</v>
      </c>
      <c r="J1011" t="s">
        <v>16</v>
      </c>
      <c r="K1011" t="s">
        <v>33</v>
      </c>
      <c r="L1011">
        <f t="shared" si="45"/>
        <v>2024</v>
      </c>
      <c r="M1011" t="str">
        <f t="shared" si="46"/>
        <v>Apr</v>
      </c>
      <c r="N1011" s="2">
        <f t="shared" si="47"/>
        <v>0.23243219261290926</v>
      </c>
    </row>
    <row r="1012" spans="1:14" x14ac:dyDescent="0.45">
      <c r="A1012" t="s">
        <v>2009</v>
      </c>
      <c r="B1012" s="1">
        <v>45586</v>
      </c>
      <c r="C1012" t="s">
        <v>484</v>
      </c>
      <c r="D1012" t="s">
        <v>56</v>
      </c>
      <c r="E1012" t="s">
        <v>36</v>
      </c>
      <c r="F1012" t="s">
        <v>46</v>
      </c>
      <c r="G1012">
        <v>3</v>
      </c>
      <c r="H1012">
        <v>46906.32</v>
      </c>
      <c r="I1012">
        <v>10355.82</v>
      </c>
      <c r="J1012" t="s">
        <v>71</v>
      </c>
      <c r="K1012" t="s">
        <v>23</v>
      </c>
      <c r="L1012">
        <f t="shared" si="45"/>
        <v>2024</v>
      </c>
      <c r="M1012" t="str">
        <f t="shared" si="46"/>
        <v>Oct</v>
      </c>
      <c r="N1012" s="2">
        <f t="shared" si="47"/>
        <v>0.22077664587629128</v>
      </c>
    </row>
    <row r="1013" spans="1:14" x14ac:dyDescent="0.45">
      <c r="A1013" t="s">
        <v>2010</v>
      </c>
      <c r="B1013" s="1">
        <v>45086</v>
      </c>
      <c r="C1013" t="s">
        <v>2011</v>
      </c>
      <c r="D1013" t="s">
        <v>26</v>
      </c>
      <c r="E1013" t="s">
        <v>20</v>
      </c>
      <c r="F1013" t="s">
        <v>21</v>
      </c>
      <c r="G1013">
        <v>4</v>
      </c>
      <c r="H1013">
        <v>44736.6</v>
      </c>
      <c r="I1013">
        <v>3277.39</v>
      </c>
      <c r="J1013" t="s">
        <v>28</v>
      </c>
      <c r="K1013" t="s">
        <v>29</v>
      </c>
      <c r="L1013">
        <f t="shared" si="45"/>
        <v>2023</v>
      </c>
      <c r="M1013" t="str">
        <f t="shared" si="46"/>
        <v>Jun</v>
      </c>
      <c r="N1013" s="2">
        <f t="shared" si="47"/>
        <v>7.3259702346624461E-2</v>
      </c>
    </row>
    <row r="1014" spans="1:14" x14ac:dyDescent="0.45">
      <c r="A1014" t="s">
        <v>2012</v>
      </c>
      <c r="B1014" s="1">
        <v>45642</v>
      </c>
      <c r="C1014" t="s">
        <v>2013</v>
      </c>
      <c r="D1014" t="s">
        <v>13</v>
      </c>
      <c r="E1014" t="s">
        <v>36</v>
      </c>
      <c r="F1014" t="s">
        <v>64</v>
      </c>
      <c r="G1014">
        <v>2</v>
      </c>
      <c r="H1014">
        <v>19259.09</v>
      </c>
      <c r="I1014">
        <v>2872.5</v>
      </c>
      <c r="J1014" t="s">
        <v>28</v>
      </c>
      <c r="K1014" t="s">
        <v>33</v>
      </c>
      <c r="L1014">
        <f t="shared" si="45"/>
        <v>2024</v>
      </c>
      <c r="M1014" t="str">
        <f t="shared" si="46"/>
        <v>Dec</v>
      </c>
      <c r="N1014" s="2">
        <f t="shared" si="47"/>
        <v>0.14915034926364643</v>
      </c>
    </row>
    <row r="1015" spans="1:14" x14ac:dyDescent="0.45">
      <c r="A1015" t="s">
        <v>2014</v>
      </c>
      <c r="B1015" s="1">
        <v>45206</v>
      </c>
      <c r="C1015" t="s">
        <v>2015</v>
      </c>
      <c r="D1015" t="s">
        <v>56</v>
      </c>
      <c r="E1015" t="s">
        <v>20</v>
      </c>
      <c r="F1015" t="s">
        <v>43</v>
      </c>
      <c r="G1015">
        <v>1</v>
      </c>
      <c r="H1015">
        <v>36283.300000000003</v>
      </c>
      <c r="I1015">
        <v>8265.65</v>
      </c>
      <c r="J1015" t="s">
        <v>71</v>
      </c>
      <c r="K1015" t="s">
        <v>17</v>
      </c>
      <c r="L1015">
        <f t="shared" si="45"/>
        <v>2023</v>
      </c>
      <c r="M1015" t="str">
        <f t="shared" si="46"/>
        <v>Oct</v>
      </c>
      <c r="N1015" s="2">
        <f t="shared" si="47"/>
        <v>0.22780866128494373</v>
      </c>
    </row>
    <row r="1016" spans="1:14" x14ac:dyDescent="0.45">
      <c r="A1016" t="s">
        <v>2016</v>
      </c>
      <c r="B1016" s="1">
        <v>45089</v>
      </c>
      <c r="C1016" t="s">
        <v>2017</v>
      </c>
      <c r="D1016" t="s">
        <v>56</v>
      </c>
      <c r="E1016" t="s">
        <v>20</v>
      </c>
      <c r="F1016" t="s">
        <v>27</v>
      </c>
      <c r="G1016">
        <v>5</v>
      </c>
      <c r="H1016">
        <v>36630.75</v>
      </c>
      <c r="I1016">
        <v>2952.61</v>
      </c>
      <c r="J1016" t="s">
        <v>28</v>
      </c>
      <c r="K1016" t="s">
        <v>17</v>
      </c>
      <c r="L1016">
        <f t="shared" si="45"/>
        <v>2023</v>
      </c>
      <c r="M1016" t="str">
        <f t="shared" si="46"/>
        <v>Jun</v>
      </c>
      <c r="N1016" s="2">
        <f t="shared" si="47"/>
        <v>8.0604683223794216E-2</v>
      </c>
    </row>
    <row r="1017" spans="1:14" x14ac:dyDescent="0.45">
      <c r="A1017" t="s">
        <v>2018</v>
      </c>
      <c r="B1017" s="1">
        <v>45551</v>
      </c>
      <c r="C1017" t="s">
        <v>232</v>
      </c>
      <c r="D1017" t="s">
        <v>56</v>
      </c>
      <c r="E1017" t="s">
        <v>36</v>
      </c>
      <c r="F1017" t="s">
        <v>64</v>
      </c>
      <c r="G1017">
        <v>4</v>
      </c>
      <c r="H1017">
        <v>5549.15</v>
      </c>
      <c r="I1017">
        <v>914.8</v>
      </c>
      <c r="J1017" t="s">
        <v>22</v>
      </c>
      <c r="K1017" t="s">
        <v>29</v>
      </c>
      <c r="L1017">
        <f t="shared" si="45"/>
        <v>2024</v>
      </c>
      <c r="M1017" t="str">
        <f t="shared" si="46"/>
        <v>Sep</v>
      </c>
      <c r="N1017" s="2">
        <f t="shared" si="47"/>
        <v>0.16485407675049332</v>
      </c>
    </row>
    <row r="1018" spans="1:14" x14ac:dyDescent="0.45">
      <c r="A1018" t="s">
        <v>2019</v>
      </c>
      <c r="B1018" s="1">
        <v>45050</v>
      </c>
      <c r="C1018" t="s">
        <v>2020</v>
      </c>
      <c r="D1018" t="s">
        <v>56</v>
      </c>
      <c r="E1018" t="s">
        <v>20</v>
      </c>
      <c r="F1018" t="s">
        <v>21</v>
      </c>
      <c r="G1018">
        <v>5</v>
      </c>
      <c r="H1018">
        <v>10832.72</v>
      </c>
      <c r="I1018">
        <v>1210.04</v>
      </c>
      <c r="J1018" t="s">
        <v>47</v>
      </c>
      <c r="K1018" t="s">
        <v>29</v>
      </c>
      <c r="L1018">
        <f t="shared" si="45"/>
        <v>2023</v>
      </c>
      <c r="M1018" t="str">
        <f t="shared" si="46"/>
        <v>May</v>
      </c>
      <c r="N1018" s="2">
        <f t="shared" si="47"/>
        <v>0.11170232407003966</v>
      </c>
    </row>
    <row r="1019" spans="1:14" x14ac:dyDescent="0.45">
      <c r="A1019" t="s">
        <v>2021</v>
      </c>
      <c r="B1019" s="1">
        <v>45296</v>
      </c>
      <c r="C1019" t="s">
        <v>2022</v>
      </c>
      <c r="D1019" t="s">
        <v>13</v>
      </c>
      <c r="E1019" t="s">
        <v>36</v>
      </c>
      <c r="F1019" t="s">
        <v>46</v>
      </c>
      <c r="G1019">
        <v>2</v>
      </c>
      <c r="H1019">
        <v>11795.88</v>
      </c>
      <c r="I1019">
        <v>1253.72</v>
      </c>
      <c r="J1019" t="s">
        <v>16</v>
      </c>
      <c r="K1019" t="s">
        <v>33</v>
      </c>
      <c r="L1019">
        <f t="shared" si="45"/>
        <v>2024</v>
      </c>
      <c r="M1019" t="str">
        <f t="shared" si="46"/>
        <v>Jan</v>
      </c>
      <c r="N1019" s="2">
        <f t="shared" si="47"/>
        <v>0.10628456715395546</v>
      </c>
    </row>
    <row r="1020" spans="1:14" x14ac:dyDescent="0.45">
      <c r="A1020" t="s">
        <v>2023</v>
      </c>
      <c r="B1020" s="1">
        <v>44721</v>
      </c>
      <c r="C1020" t="s">
        <v>2024</v>
      </c>
      <c r="D1020" t="s">
        <v>13</v>
      </c>
      <c r="E1020" t="s">
        <v>20</v>
      </c>
      <c r="F1020" t="s">
        <v>27</v>
      </c>
      <c r="G1020">
        <v>4</v>
      </c>
      <c r="H1020">
        <v>19650.05</v>
      </c>
      <c r="I1020">
        <v>4538.1899999999996</v>
      </c>
      <c r="J1020" t="s">
        <v>16</v>
      </c>
      <c r="K1020" t="s">
        <v>23</v>
      </c>
      <c r="L1020">
        <f t="shared" si="45"/>
        <v>2022</v>
      </c>
      <c r="M1020" t="str">
        <f t="shared" si="46"/>
        <v>Jun</v>
      </c>
      <c r="N1020" s="2">
        <f t="shared" si="47"/>
        <v>0.23095055737771658</v>
      </c>
    </row>
    <row r="1021" spans="1:14" x14ac:dyDescent="0.45">
      <c r="A1021" t="s">
        <v>2025</v>
      </c>
      <c r="B1021" s="1">
        <v>44917</v>
      </c>
      <c r="C1021" t="s">
        <v>1054</v>
      </c>
      <c r="D1021" t="s">
        <v>56</v>
      </c>
      <c r="E1021" t="s">
        <v>20</v>
      </c>
      <c r="F1021" t="s">
        <v>43</v>
      </c>
      <c r="G1021">
        <v>4</v>
      </c>
      <c r="H1021">
        <v>9753.0499999999993</v>
      </c>
      <c r="I1021">
        <v>496.03</v>
      </c>
      <c r="J1021" t="s">
        <v>47</v>
      </c>
      <c r="K1021" t="s">
        <v>33</v>
      </c>
      <c r="L1021">
        <f t="shared" si="45"/>
        <v>2022</v>
      </c>
      <c r="M1021" t="str">
        <f t="shared" si="46"/>
        <v>Dec</v>
      </c>
      <c r="N1021" s="2">
        <f t="shared" si="47"/>
        <v>5.085896206827608E-2</v>
      </c>
    </row>
    <row r="1022" spans="1:14" x14ac:dyDescent="0.45">
      <c r="A1022" t="s">
        <v>2026</v>
      </c>
      <c r="B1022" s="1">
        <v>44745</v>
      </c>
      <c r="C1022" t="s">
        <v>2027</v>
      </c>
      <c r="D1022" t="s">
        <v>13</v>
      </c>
      <c r="E1022" t="s">
        <v>36</v>
      </c>
      <c r="F1022" t="s">
        <v>64</v>
      </c>
      <c r="G1022">
        <v>4</v>
      </c>
      <c r="H1022">
        <v>33292.18</v>
      </c>
      <c r="I1022">
        <v>5365.99</v>
      </c>
      <c r="J1022" t="s">
        <v>16</v>
      </c>
      <c r="K1022" t="s">
        <v>17</v>
      </c>
      <c r="L1022">
        <f t="shared" si="45"/>
        <v>2022</v>
      </c>
      <c r="M1022" t="str">
        <f t="shared" si="46"/>
        <v>Jul</v>
      </c>
      <c r="N1022" s="2">
        <f t="shared" si="47"/>
        <v>0.16117869121217054</v>
      </c>
    </row>
    <row r="1023" spans="1:14" x14ac:dyDescent="0.45">
      <c r="A1023" t="s">
        <v>2028</v>
      </c>
      <c r="B1023" s="1">
        <v>44712</v>
      </c>
      <c r="C1023" t="s">
        <v>2029</v>
      </c>
      <c r="D1023" t="s">
        <v>26</v>
      </c>
      <c r="E1023" t="s">
        <v>36</v>
      </c>
      <c r="F1023" t="s">
        <v>46</v>
      </c>
      <c r="G1023">
        <v>5</v>
      </c>
      <c r="H1023">
        <v>49855.15</v>
      </c>
      <c r="I1023">
        <v>3529.4</v>
      </c>
      <c r="J1023" t="s">
        <v>28</v>
      </c>
      <c r="K1023" t="s">
        <v>33</v>
      </c>
      <c r="L1023">
        <f t="shared" si="45"/>
        <v>2022</v>
      </c>
      <c r="M1023" t="str">
        <f t="shared" si="46"/>
        <v>May</v>
      </c>
      <c r="N1023" s="2">
        <f t="shared" si="47"/>
        <v>7.0793087574703914E-2</v>
      </c>
    </row>
    <row r="1024" spans="1:14" x14ac:dyDescent="0.45">
      <c r="A1024" t="s">
        <v>2030</v>
      </c>
      <c r="B1024" s="1">
        <v>45121</v>
      </c>
      <c r="C1024" t="s">
        <v>2031</v>
      </c>
      <c r="D1024" t="s">
        <v>56</v>
      </c>
      <c r="E1024" t="s">
        <v>14</v>
      </c>
      <c r="F1024" t="s">
        <v>15</v>
      </c>
      <c r="G1024">
        <v>2</v>
      </c>
      <c r="H1024">
        <v>14276.12</v>
      </c>
      <c r="I1024">
        <v>1210.3900000000001</v>
      </c>
      <c r="J1024" t="s">
        <v>16</v>
      </c>
      <c r="K1024" t="s">
        <v>17</v>
      </c>
      <c r="L1024">
        <f t="shared" si="45"/>
        <v>2023</v>
      </c>
      <c r="M1024" t="str">
        <f t="shared" si="46"/>
        <v>Jul</v>
      </c>
      <c r="N1024" s="2">
        <f t="shared" si="47"/>
        <v>8.4784241096320295E-2</v>
      </c>
    </row>
    <row r="1025" spans="1:14" x14ac:dyDescent="0.45">
      <c r="A1025" t="s">
        <v>2032</v>
      </c>
      <c r="B1025" s="1">
        <v>44832</v>
      </c>
      <c r="C1025" t="s">
        <v>2033</v>
      </c>
      <c r="D1025" t="s">
        <v>26</v>
      </c>
      <c r="E1025" t="s">
        <v>36</v>
      </c>
      <c r="F1025" t="s">
        <v>64</v>
      </c>
      <c r="G1025">
        <v>5</v>
      </c>
      <c r="H1025">
        <v>5660.69</v>
      </c>
      <c r="I1025">
        <v>591.24</v>
      </c>
      <c r="J1025" t="s">
        <v>16</v>
      </c>
      <c r="K1025" t="s">
        <v>17</v>
      </c>
      <c r="L1025">
        <f t="shared" si="45"/>
        <v>2022</v>
      </c>
      <c r="M1025" t="str">
        <f t="shared" si="46"/>
        <v>Sep</v>
      </c>
      <c r="N1025" s="2">
        <f t="shared" si="47"/>
        <v>0.10444663106441089</v>
      </c>
    </row>
    <row r="1026" spans="1:14" x14ac:dyDescent="0.45">
      <c r="A1026" t="s">
        <v>2034</v>
      </c>
      <c r="B1026" s="1">
        <v>45293</v>
      </c>
      <c r="C1026" t="s">
        <v>2035</v>
      </c>
      <c r="D1026" t="s">
        <v>56</v>
      </c>
      <c r="E1026" t="s">
        <v>20</v>
      </c>
      <c r="F1026" t="s">
        <v>50</v>
      </c>
      <c r="G1026">
        <v>1</v>
      </c>
      <c r="H1026">
        <v>20966.59</v>
      </c>
      <c r="I1026">
        <v>1566.92</v>
      </c>
      <c r="J1026" t="s">
        <v>16</v>
      </c>
      <c r="K1026" t="s">
        <v>17</v>
      </c>
      <c r="L1026">
        <f t="shared" si="45"/>
        <v>2024</v>
      </c>
      <c r="M1026" t="str">
        <f t="shared" si="46"/>
        <v>Jan</v>
      </c>
      <c r="N1026" s="2">
        <f t="shared" si="47"/>
        <v>7.4734136547717114E-2</v>
      </c>
    </row>
    <row r="1027" spans="1:14" x14ac:dyDescent="0.45">
      <c r="A1027" t="s">
        <v>2036</v>
      </c>
      <c r="B1027" s="1">
        <v>45137</v>
      </c>
      <c r="C1027" t="s">
        <v>2037</v>
      </c>
      <c r="D1027" t="s">
        <v>56</v>
      </c>
      <c r="E1027" t="s">
        <v>14</v>
      </c>
      <c r="F1027" t="s">
        <v>15</v>
      </c>
      <c r="G1027">
        <v>1</v>
      </c>
      <c r="H1027">
        <v>38065.5</v>
      </c>
      <c r="I1027">
        <v>5590.5</v>
      </c>
      <c r="J1027" t="s">
        <v>22</v>
      </c>
      <c r="K1027" t="s">
        <v>17</v>
      </c>
      <c r="L1027">
        <f t="shared" ref="L1027:L1090" si="48">YEAR(B1027 )</f>
        <v>2023</v>
      </c>
      <c r="M1027" t="str">
        <f t="shared" ref="M1027:M1090" si="49">TEXT(B1027,"MMM")</f>
        <v>Jul</v>
      </c>
      <c r="N1027" s="2">
        <f t="shared" ref="N1027:N1090" si="50">I1027 / H1027</f>
        <v>0.14686527170272293</v>
      </c>
    </row>
    <row r="1028" spans="1:14" x14ac:dyDescent="0.45">
      <c r="A1028" t="s">
        <v>2038</v>
      </c>
      <c r="B1028" s="1">
        <v>45089</v>
      </c>
      <c r="C1028" t="s">
        <v>2039</v>
      </c>
      <c r="D1028" t="s">
        <v>13</v>
      </c>
      <c r="E1028" t="s">
        <v>20</v>
      </c>
      <c r="F1028" t="s">
        <v>21</v>
      </c>
      <c r="G1028">
        <v>1</v>
      </c>
      <c r="H1028">
        <v>25278.34</v>
      </c>
      <c r="I1028">
        <v>4800.28</v>
      </c>
      <c r="J1028" t="s">
        <v>22</v>
      </c>
      <c r="K1028" t="s">
        <v>17</v>
      </c>
      <c r="L1028">
        <f t="shared" si="48"/>
        <v>2023</v>
      </c>
      <c r="M1028" t="str">
        <f t="shared" si="49"/>
        <v>Jun</v>
      </c>
      <c r="N1028" s="2">
        <f t="shared" si="50"/>
        <v>0.18989696317084112</v>
      </c>
    </row>
    <row r="1029" spans="1:14" x14ac:dyDescent="0.45">
      <c r="A1029" t="s">
        <v>2040</v>
      </c>
      <c r="B1029" s="1">
        <v>45630</v>
      </c>
      <c r="C1029" t="s">
        <v>2041</v>
      </c>
      <c r="D1029" t="s">
        <v>26</v>
      </c>
      <c r="E1029" t="s">
        <v>36</v>
      </c>
      <c r="F1029" t="s">
        <v>64</v>
      </c>
      <c r="G1029">
        <v>1</v>
      </c>
      <c r="H1029">
        <v>5973.42</v>
      </c>
      <c r="I1029">
        <v>404.73</v>
      </c>
      <c r="J1029" t="s">
        <v>16</v>
      </c>
      <c r="K1029" t="s">
        <v>17</v>
      </c>
      <c r="L1029">
        <f t="shared" si="48"/>
        <v>2024</v>
      </c>
      <c r="M1029" t="str">
        <f t="shared" si="49"/>
        <v>Dec</v>
      </c>
      <c r="N1029" s="2">
        <f t="shared" si="50"/>
        <v>6.7755155338147993E-2</v>
      </c>
    </row>
    <row r="1030" spans="1:14" x14ac:dyDescent="0.45">
      <c r="A1030" t="s">
        <v>2042</v>
      </c>
      <c r="B1030" s="1">
        <v>44663</v>
      </c>
      <c r="C1030" t="s">
        <v>2043</v>
      </c>
      <c r="D1030" t="s">
        <v>26</v>
      </c>
      <c r="E1030" t="s">
        <v>36</v>
      </c>
      <c r="F1030" t="s">
        <v>37</v>
      </c>
      <c r="G1030">
        <v>2</v>
      </c>
      <c r="H1030">
        <v>48275.69</v>
      </c>
      <c r="I1030">
        <v>9883.74</v>
      </c>
      <c r="J1030" t="s">
        <v>16</v>
      </c>
      <c r="K1030" t="s">
        <v>23</v>
      </c>
      <c r="L1030">
        <f t="shared" si="48"/>
        <v>2022</v>
      </c>
      <c r="M1030" t="str">
        <f t="shared" si="49"/>
        <v>Apr</v>
      </c>
      <c r="N1030" s="2">
        <f t="shared" si="50"/>
        <v>0.20473534402097618</v>
      </c>
    </row>
    <row r="1031" spans="1:14" x14ac:dyDescent="0.45">
      <c r="A1031" t="s">
        <v>2044</v>
      </c>
      <c r="B1031" s="1">
        <v>45113</v>
      </c>
      <c r="C1031" t="s">
        <v>2045</v>
      </c>
      <c r="D1031" t="s">
        <v>56</v>
      </c>
      <c r="E1031" t="s">
        <v>36</v>
      </c>
      <c r="F1031" t="s">
        <v>64</v>
      </c>
      <c r="G1031">
        <v>5</v>
      </c>
      <c r="H1031">
        <v>31673.200000000001</v>
      </c>
      <c r="I1031">
        <v>4948.26</v>
      </c>
      <c r="J1031" t="s">
        <v>22</v>
      </c>
      <c r="K1031" t="s">
        <v>23</v>
      </c>
      <c r="L1031">
        <f t="shared" si="48"/>
        <v>2023</v>
      </c>
      <c r="M1031" t="str">
        <f t="shared" si="49"/>
        <v>Jul</v>
      </c>
      <c r="N1031" s="2">
        <f t="shared" si="50"/>
        <v>0.15622860967631941</v>
      </c>
    </row>
    <row r="1032" spans="1:14" x14ac:dyDescent="0.45">
      <c r="A1032" t="s">
        <v>2046</v>
      </c>
      <c r="B1032" s="1">
        <v>44702</v>
      </c>
      <c r="C1032" t="s">
        <v>2047</v>
      </c>
      <c r="D1032" t="s">
        <v>13</v>
      </c>
      <c r="E1032" t="s">
        <v>14</v>
      </c>
      <c r="F1032" t="s">
        <v>15</v>
      </c>
      <c r="G1032">
        <v>3</v>
      </c>
      <c r="H1032">
        <v>43127.54</v>
      </c>
      <c r="I1032">
        <v>10564.54</v>
      </c>
      <c r="J1032" t="s">
        <v>22</v>
      </c>
      <c r="K1032" t="s">
        <v>23</v>
      </c>
      <c r="L1032">
        <f t="shared" si="48"/>
        <v>2022</v>
      </c>
      <c r="M1032" t="str">
        <f t="shared" si="49"/>
        <v>May</v>
      </c>
      <c r="N1032" s="2">
        <f t="shared" si="50"/>
        <v>0.24496041276641331</v>
      </c>
    </row>
    <row r="1033" spans="1:14" x14ac:dyDescent="0.45">
      <c r="A1033" t="s">
        <v>2048</v>
      </c>
      <c r="B1033" s="1">
        <v>45308</v>
      </c>
      <c r="C1033" t="s">
        <v>2049</v>
      </c>
      <c r="D1033" t="s">
        <v>56</v>
      </c>
      <c r="E1033" t="s">
        <v>36</v>
      </c>
      <c r="F1033" t="s">
        <v>64</v>
      </c>
      <c r="G1033">
        <v>3</v>
      </c>
      <c r="H1033">
        <v>47049.89</v>
      </c>
      <c r="I1033">
        <v>4271.67</v>
      </c>
      <c r="J1033" t="s">
        <v>47</v>
      </c>
      <c r="K1033" t="s">
        <v>17</v>
      </c>
      <c r="L1033">
        <f t="shared" si="48"/>
        <v>2024</v>
      </c>
      <c r="M1033" t="str">
        <f t="shared" si="49"/>
        <v>Jan</v>
      </c>
      <c r="N1033" s="2">
        <f t="shared" si="50"/>
        <v>9.0790222888937677E-2</v>
      </c>
    </row>
    <row r="1034" spans="1:14" x14ac:dyDescent="0.45">
      <c r="A1034" t="s">
        <v>2050</v>
      </c>
      <c r="B1034" s="1">
        <v>45378</v>
      </c>
      <c r="C1034" t="s">
        <v>2051</v>
      </c>
      <c r="D1034" t="s">
        <v>26</v>
      </c>
      <c r="E1034" t="s">
        <v>20</v>
      </c>
      <c r="F1034" t="s">
        <v>21</v>
      </c>
      <c r="G1034">
        <v>4</v>
      </c>
      <c r="H1034">
        <v>48101.26</v>
      </c>
      <c r="I1034">
        <v>6425.04</v>
      </c>
      <c r="J1034" t="s">
        <v>47</v>
      </c>
      <c r="K1034" t="s">
        <v>17</v>
      </c>
      <c r="L1034">
        <f t="shared" si="48"/>
        <v>2024</v>
      </c>
      <c r="M1034" t="str">
        <f t="shared" si="49"/>
        <v>Mar</v>
      </c>
      <c r="N1034" s="2">
        <f t="shared" si="50"/>
        <v>0.13357321616938933</v>
      </c>
    </row>
    <row r="1035" spans="1:14" x14ac:dyDescent="0.45">
      <c r="A1035" t="s">
        <v>2052</v>
      </c>
      <c r="B1035" s="1">
        <v>45044</v>
      </c>
      <c r="C1035" t="s">
        <v>2053</v>
      </c>
      <c r="D1035" t="s">
        <v>56</v>
      </c>
      <c r="E1035" t="s">
        <v>14</v>
      </c>
      <c r="F1035" t="s">
        <v>32</v>
      </c>
      <c r="G1035">
        <v>1</v>
      </c>
      <c r="H1035">
        <v>21017</v>
      </c>
      <c r="I1035">
        <v>4143.79</v>
      </c>
      <c r="J1035" t="s">
        <v>28</v>
      </c>
      <c r="K1035" t="s">
        <v>29</v>
      </c>
      <c r="L1035">
        <f t="shared" si="48"/>
        <v>2023</v>
      </c>
      <c r="M1035" t="str">
        <f t="shared" si="49"/>
        <v>Apr</v>
      </c>
      <c r="N1035" s="2">
        <f t="shared" si="50"/>
        <v>0.19716372460389209</v>
      </c>
    </row>
    <row r="1036" spans="1:14" x14ac:dyDescent="0.45">
      <c r="A1036" t="s">
        <v>2054</v>
      </c>
      <c r="B1036" s="1">
        <v>45653</v>
      </c>
      <c r="C1036" t="s">
        <v>2055</v>
      </c>
      <c r="D1036" t="s">
        <v>56</v>
      </c>
      <c r="E1036" t="s">
        <v>20</v>
      </c>
      <c r="F1036" t="s">
        <v>21</v>
      </c>
      <c r="G1036">
        <v>2</v>
      </c>
      <c r="H1036">
        <v>23599.43</v>
      </c>
      <c r="I1036">
        <v>5568.47</v>
      </c>
      <c r="J1036" t="s">
        <v>47</v>
      </c>
      <c r="K1036" t="s">
        <v>33</v>
      </c>
      <c r="L1036">
        <f t="shared" si="48"/>
        <v>2024</v>
      </c>
      <c r="M1036" t="str">
        <f t="shared" si="49"/>
        <v>Dec</v>
      </c>
      <c r="N1036" s="2">
        <f t="shared" si="50"/>
        <v>0.23595781762525622</v>
      </c>
    </row>
    <row r="1037" spans="1:14" x14ac:dyDescent="0.45">
      <c r="A1037" t="s">
        <v>2056</v>
      </c>
      <c r="B1037" s="1">
        <v>44972</v>
      </c>
      <c r="C1037" t="s">
        <v>937</v>
      </c>
      <c r="D1037" t="s">
        <v>56</v>
      </c>
      <c r="E1037" t="s">
        <v>36</v>
      </c>
      <c r="F1037" t="s">
        <v>37</v>
      </c>
      <c r="G1037">
        <v>5</v>
      </c>
      <c r="H1037">
        <v>19659.18</v>
      </c>
      <c r="I1037">
        <v>1616.38</v>
      </c>
      <c r="J1037" t="s">
        <v>47</v>
      </c>
      <c r="K1037" t="s">
        <v>29</v>
      </c>
      <c r="L1037">
        <f t="shared" si="48"/>
        <v>2023</v>
      </c>
      <c r="M1037" t="str">
        <f t="shared" si="49"/>
        <v>Feb</v>
      </c>
      <c r="N1037" s="2">
        <f t="shared" si="50"/>
        <v>8.2220112944690477E-2</v>
      </c>
    </row>
    <row r="1038" spans="1:14" x14ac:dyDescent="0.45">
      <c r="A1038" t="s">
        <v>2057</v>
      </c>
      <c r="B1038" s="1">
        <v>45483</v>
      </c>
      <c r="C1038" t="s">
        <v>2058</v>
      </c>
      <c r="D1038" t="s">
        <v>13</v>
      </c>
      <c r="E1038" t="s">
        <v>20</v>
      </c>
      <c r="F1038" t="s">
        <v>27</v>
      </c>
      <c r="G1038">
        <v>5</v>
      </c>
      <c r="H1038">
        <v>19022.939999999999</v>
      </c>
      <c r="I1038">
        <v>2947.29</v>
      </c>
      <c r="J1038" t="s">
        <v>71</v>
      </c>
      <c r="K1038" t="s">
        <v>33</v>
      </c>
      <c r="L1038">
        <f t="shared" si="48"/>
        <v>2024</v>
      </c>
      <c r="M1038" t="str">
        <f t="shared" si="49"/>
        <v>Jul</v>
      </c>
      <c r="N1038" s="2">
        <f t="shared" si="50"/>
        <v>0.15493346454333559</v>
      </c>
    </row>
    <row r="1039" spans="1:14" x14ac:dyDescent="0.45">
      <c r="A1039" t="s">
        <v>2059</v>
      </c>
      <c r="B1039" s="1">
        <v>44634</v>
      </c>
      <c r="C1039" t="s">
        <v>2060</v>
      </c>
      <c r="D1039" t="s">
        <v>13</v>
      </c>
      <c r="E1039" t="s">
        <v>36</v>
      </c>
      <c r="F1039" t="s">
        <v>37</v>
      </c>
      <c r="G1039">
        <v>4</v>
      </c>
      <c r="H1039">
        <v>38810.75</v>
      </c>
      <c r="I1039">
        <v>5035.72</v>
      </c>
      <c r="J1039" t="s">
        <v>47</v>
      </c>
      <c r="K1039" t="s">
        <v>29</v>
      </c>
      <c r="L1039">
        <f t="shared" si="48"/>
        <v>2022</v>
      </c>
      <c r="M1039" t="str">
        <f t="shared" si="49"/>
        <v>Mar</v>
      </c>
      <c r="N1039" s="2">
        <f t="shared" si="50"/>
        <v>0.12975064898256283</v>
      </c>
    </row>
    <row r="1040" spans="1:14" x14ac:dyDescent="0.45">
      <c r="A1040" t="s">
        <v>2061</v>
      </c>
      <c r="B1040" s="1">
        <v>45635</v>
      </c>
      <c r="C1040" t="s">
        <v>2062</v>
      </c>
      <c r="D1040" t="s">
        <v>56</v>
      </c>
      <c r="E1040" t="s">
        <v>20</v>
      </c>
      <c r="F1040" t="s">
        <v>43</v>
      </c>
      <c r="G1040">
        <v>4</v>
      </c>
      <c r="H1040">
        <v>11445.76</v>
      </c>
      <c r="I1040">
        <v>2755.57</v>
      </c>
      <c r="J1040" t="s">
        <v>28</v>
      </c>
      <c r="K1040" t="s">
        <v>33</v>
      </c>
      <c r="L1040">
        <f t="shared" si="48"/>
        <v>2024</v>
      </c>
      <c r="M1040" t="str">
        <f t="shared" si="49"/>
        <v>Dec</v>
      </c>
      <c r="N1040" s="2">
        <f t="shared" si="50"/>
        <v>0.24075028656900024</v>
      </c>
    </row>
    <row r="1041" spans="1:14" x14ac:dyDescent="0.45">
      <c r="A1041" t="s">
        <v>2063</v>
      </c>
      <c r="B1041" s="1">
        <v>45094</v>
      </c>
      <c r="C1041" t="s">
        <v>2064</v>
      </c>
      <c r="D1041" t="s">
        <v>13</v>
      </c>
      <c r="E1041" t="s">
        <v>36</v>
      </c>
      <c r="F1041" t="s">
        <v>37</v>
      </c>
      <c r="G1041">
        <v>3</v>
      </c>
      <c r="H1041">
        <v>34240</v>
      </c>
      <c r="I1041">
        <v>3472.47</v>
      </c>
      <c r="J1041" t="s">
        <v>16</v>
      </c>
      <c r="K1041" t="s">
        <v>33</v>
      </c>
      <c r="L1041">
        <f t="shared" si="48"/>
        <v>2023</v>
      </c>
      <c r="M1041" t="str">
        <f t="shared" si="49"/>
        <v>Jun</v>
      </c>
      <c r="N1041" s="2">
        <f t="shared" si="50"/>
        <v>0.10141559579439252</v>
      </c>
    </row>
    <row r="1042" spans="1:14" x14ac:dyDescent="0.45">
      <c r="A1042" t="s">
        <v>2065</v>
      </c>
      <c r="B1042" s="1">
        <v>45049</v>
      </c>
      <c r="C1042" t="s">
        <v>2066</v>
      </c>
      <c r="D1042" t="s">
        <v>13</v>
      </c>
      <c r="E1042" t="s">
        <v>20</v>
      </c>
      <c r="F1042" t="s">
        <v>43</v>
      </c>
      <c r="G1042">
        <v>1</v>
      </c>
      <c r="H1042">
        <v>5512.33</v>
      </c>
      <c r="I1042">
        <v>958.78</v>
      </c>
      <c r="J1042" t="s">
        <v>28</v>
      </c>
      <c r="K1042" t="s">
        <v>17</v>
      </c>
      <c r="L1042">
        <f t="shared" si="48"/>
        <v>2023</v>
      </c>
      <c r="M1042" t="str">
        <f t="shared" si="49"/>
        <v>May</v>
      </c>
      <c r="N1042" s="2">
        <f t="shared" si="50"/>
        <v>0.17393370861323615</v>
      </c>
    </row>
    <row r="1043" spans="1:14" x14ac:dyDescent="0.45">
      <c r="A1043" t="s">
        <v>2067</v>
      </c>
      <c r="B1043" s="1">
        <v>44850</v>
      </c>
      <c r="C1043" t="s">
        <v>2068</v>
      </c>
      <c r="D1043" t="s">
        <v>13</v>
      </c>
      <c r="E1043" t="s">
        <v>36</v>
      </c>
      <c r="F1043" t="s">
        <v>46</v>
      </c>
      <c r="G1043">
        <v>3</v>
      </c>
      <c r="H1043">
        <v>5144.7700000000004</v>
      </c>
      <c r="I1043">
        <v>883.69</v>
      </c>
      <c r="J1043" t="s">
        <v>22</v>
      </c>
      <c r="K1043" t="s">
        <v>29</v>
      </c>
      <c r="L1043">
        <f t="shared" si="48"/>
        <v>2022</v>
      </c>
      <c r="M1043" t="str">
        <f t="shared" si="49"/>
        <v>Oct</v>
      </c>
      <c r="N1043" s="2">
        <f t="shared" si="50"/>
        <v>0.17176472417620223</v>
      </c>
    </row>
    <row r="1044" spans="1:14" x14ac:dyDescent="0.45">
      <c r="A1044" t="s">
        <v>2069</v>
      </c>
      <c r="B1044" s="1">
        <v>45508</v>
      </c>
      <c r="C1044" t="s">
        <v>2070</v>
      </c>
      <c r="D1044" t="s">
        <v>56</v>
      </c>
      <c r="E1044" t="s">
        <v>14</v>
      </c>
      <c r="F1044" t="s">
        <v>15</v>
      </c>
      <c r="G1044">
        <v>1</v>
      </c>
      <c r="H1044">
        <v>22182.25</v>
      </c>
      <c r="I1044">
        <v>1769.96</v>
      </c>
      <c r="J1044" t="s">
        <v>71</v>
      </c>
      <c r="K1044" t="s">
        <v>17</v>
      </c>
      <c r="L1044">
        <f t="shared" si="48"/>
        <v>2024</v>
      </c>
      <c r="M1044" t="str">
        <f t="shared" si="49"/>
        <v>Aug</v>
      </c>
      <c r="N1044" s="2">
        <f t="shared" si="50"/>
        <v>7.9791725366002098E-2</v>
      </c>
    </row>
    <row r="1045" spans="1:14" x14ac:dyDescent="0.45">
      <c r="A1045" t="s">
        <v>2071</v>
      </c>
      <c r="B1045" s="1">
        <v>45355</v>
      </c>
      <c r="C1045" t="s">
        <v>2072</v>
      </c>
      <c r="D1045" t="s">
        <v>56</v>
      </c>
      <c r="E1045" t="s">
        <v>36</v>
      </c>
      <c r="F1045" t="s">
        <v>64</v>
      </c>
      <c r="G1045">
        <v>4</v>
      </c>
      <c r="H1045">
        <v>43791.47</v>
      </c>
      <c r="I1045">
        <v>7685.9</v>
      </c>
      <c r="J1045" t="s">
        <v>71</v>
      </c>
      <c r="K1045" t="s">
        <v>29</v>
      </c>
      <c r="L1045">
        <f t="shared" si="48"/>
        <v>2024</v>
      </c>
      <c r="M1045" t="str">
        <f t="shared" si="49"/>
        <v>Mar</v>
      </c>
      <c r="N1045" s="2">
        <f t="shared" si="50"/>
        <v>0.17551134958474787</v>
      </c>
    </row>
    <row r="1046" spans="1:14" x14ac:dyDescent="0.45">
      <c r="A1046" t="s">
        <v>2073</v>
      </c>
      <c r="B1046" s="1">
        <v>45166</v>
      </c>
      <c r="C1046" t="s">
        <v>1100</v>
      </c>
      <c r="D1046" t="s">
        <v>26</v>
      </c>
      <c r="E1046" t="s">
        <v>36</v>
      </c>
      <c r="F1046" t="s">
        <v>46</v>
      </c>
      <c r="G1046">
        <v>2</v>
      </c>
      <c r="H1046">
        <v>48274</v>
      </c>
      <c r="I1046">
        <v>2433.7800000000002</v>
      </c>
      <c r="J1046" t="s">
        <v>22</v>
      </c>
      <c r="K1046" t="s">
        <v>23</v>
      </c>
      <c r="L1046">
        <f t="shared" si="48"/>
        <v>2023</v>
      </c>
      <c r="M1046" t="str">
        <f t="shared" si="49"/>
        <v>Aug</v>
      </c>
      <c r="N1046" s="2">
        <f t="shared" si="50"/>
        <v>5.0415958901271908E-2</v>
      </c>
    </row>
    <row r="1047" spans="1:14" x14ac:dyDescent="0.45">
      <c r="A1047" t="s">
        <v>2074</v>
      </c>
      <c r="B1047" s="1">
        <v>44906</v>
      </c>
      <c r="C1047" t="s">
        <v>2075</v>
      </c>
      <c r="D1047" t="s">
        <v>13</v>
      </c>
      <c r="E1047" t="s">
        <v>36</v>
      </c>
      <c r="F1047" t="s">
        <v>64</v>
      </c>
      <c r="G1047">
        <v>3</v>
      </c>
      <c r="H1047">
        <v>2769.52</v>
      </c>
      <c r="I1047">
        <v>589.28</v>
      </c>
      <c r="J1047" t="s">
        <v>71</v>
      </c>
      <c r="K1047" t="s">
        <v>17</v>
      </c>
      <c r="L1047">
        <f t="shared" si="48"/>
        <v>2022</v>
      </c>
      <c r="M1047" t="str">
        <f t="shared" si="49"/>
        <v>Dec</v>
      </c>
      <c r="N1047" s="2">
        <f t="shared" si="50"/>
        <v>0.2127733325630434</v>
      </c>
    </row>
    <row r="1048" spans="1:14" x14ac:dyDescent="0.45">
      <c r="A1048" t="s">
        <v>2076</v>
      </c>
      <c r="B1048" s="1">
        <v>45454</v>
      </c>
      <c r="C1048" t="s">
        <v>2077</v>
      </c>
      <c r="D1048" t="s">
        <v>13</v>
      </c>
      <c r="E1048" t="s">
        <v>14</v>
      </c>
      <c r="F1048" t="s">
        <v>40</v>
      </c>
      <c r="G1048">
        <v>5</v>
      </c>
      <c r="H1048">
        <v>25085.52</v>
      </c>
      <c r="I1048">
        <v>2549.29</v>
      </c>
      <c r="J1048" t="s">
        <v>28</v>
      </c>
      <c r="K1048" t="s">
        <v>17</v>
      </c>
      <c r="L1048">
        <f t="shared" si="48"/>
        <v>2024</v>
      </c>
      <c r="M1048" t="str">
        <f t="shared" si="49"/>
        <v>Jun</v>
      </c>
      <c r="N1048" s="2">
        <f t="shared" si="50"/>
        <v>0.10162396474141257</v>
      </c>
    </row>
    <row r="1049" spans="1:14" x14ac:dyDescent="0.45">
      <c r="A1049" t="s">
        <v>2078</v>
      </c>
      <c r="B1049" s="1">
        <v>45271</v>
      </c>
      <c r="C1049" t="s">
        <v>2079</v>
      </c>
      <c r="D1049" t="s">
        <v>13</v>
      </c>
      <c r="E1049" t="s">
        <v>14</v>
      </c>
      <c r="F1049" t="s">
        <v>32</v>
      </c>
      <c r="G1049">
        <v>2</v>
      </c>
      <c r="H1049">
        <v>16539.099999999999</v>
      </c>
      <c r="I1049">
        <v>3681.55</v>
      </c>
      <c r="J1049" t="s">
        <v>28</v>
      </c>
      <c r="K1049" t="s">
        <v>23</v>
      </c>
      <c r="L1049">
        <f t="shared" si="48"/>
        <v>2023</v>
      </c>
      <c r="M1049" t="str">
        <f t="shared" si="49"/>
        <v>Dec</v>
      </c>
      <c r="N1049" s="2">
        <f t="shared" si="50"/>
        <v>0.2225967555671107</v>
      </c>
    </row>
    <row r="1050" spans="1:14" x14ac:dyDescent="0.45">
      <c r="A1050" t="s">
        <v>2080</v>
      </c>
      <c r="B1050" s="1">
        <v>44615</v>
      </c>
      <c r="C1050" t="s">
        <v>2081</v>
      </c>
      <c r="D1050" t="s">
        <v>13</v>
      </c>
      <c r="E1050" t="s">
        <v>14</v>
      </c>
      <c r="F1050" t="s">
        <v>32</v>
      </c>
      <c r="G1050">
        <v>4</v>
      </c>
      <c r="H1050">
        <v>26756.19</v>
      </c>
      <c r="I1050">
        <v>1363.5</v>
      </c>
      <c r="J1050" t="s">
        <v>28</v>
      </c>
      <c r="K1050" t="s">
        <v>33</v>
      </c>
      <c r="L1050">
        <f t="shared" si="48"/>
        <v>2022</v>
      </c>
      <c r="M1050" t="str">
        <f t="shared" si="49"/>
        <v>Feb</v>
      </c>
      <c r="N1050" s="2">
        <f t="shared" si="50"/>
        <v>5.0960170338153532E-2</v>
      </c>
    </row>
    <row r="1051" spans="1:14" x14ac:dyDescent="0.45">
      <c r="A1051" t="s">
        <v>2082</v>
      </c>
      <c r="B1051" s="1">
        <v>45081</v>
      </c>
      <c r="C1051" t="s">
        <v>2083</v>
      </c>
      <c r="D1051" t="s">
        <v>56</v>
      </c>
      <c r="E1051" t="s">
        <v>20</v>
      </c>
      <c r="F1051" t="s">
        <v>27</v>
      </c>
      <c r="G1051">
        <v>3</v>
      </c>
      <c r="H1051">
        <v>30587.29</v>
      </c>
      <c r="I1051">
        <v>3823.33</v>
      </c>
      <c r="J1051" t="s">
        <v>47</v>
      </c>
      <c r="K1051" t="s">
        <v>17</v>
      </c>
      <c r="L1051">
        <f t="shared" si="48"/>
        <v>2023</v>
      </c>
      <c r="M1051" t="str">
        <f t="shared" si="49"/>
        <v>Jun</v>
      </c>
      <c r="N1051" s="2">
        <f t="shared" si="50"/>
        <v>0.12499734366790911</v>
      </c>
    </row>
    <row r="1052" spans="1:14" x14ac:dyDescent="0.45">
      <c r="A1052" t="s">
        <v>2084</v>
      </c>
      <c r="B1052" s="1">
        <v>45505</v>
      </c>
      <c r="C1052" t="s">
        <v>2085</v>
      </c>
      <c r="D1052" t="s">
        <v>56</v>
      </c>
      <c r="E1052" t="s">
        <v>20</v>
      </c>
      <c r="F1052" t="s">
        <v>21</v>
      </c>
      <c r="G1052">
        <v>2</v>
      </c>
      <c r="H1052">
        <v>35700.06</v>
      </c>
      <c r="I1052">
        <v>7030.22</v>
      </c>
      <c r="J1052" t="s">
        <v>47</v>
      </c>
      <c r="K1052" t="s">
        <v>17</v>
      </c>
      <c r="L1052">
        <f t="shared" si="48"/>
        <v>2024</v>
      </c>
      <c r="M1052" t="str">
        <f t="shared" si="49"/>
        <v>Aug</v>
      </c>
      <c r="N1052" s="2">
        <f t="shared" si="50"/>
        <v>0.19692459900627621</v>
      </c>
    </row>
    <row r="1053" spans="1:14" x14ac:dyDescent="0.45">
      <c r="A1053" t="s">
        <v>2086</v>
      </c>
      <c r="B1053" s="1">
        <v>44820</v>
      </c>
      <c r="C1053" t="s">
        <v>2087</v>
      </c>
      <c r="D1053" t="s">
        <v>26</v>
      </c>
      <c r="E1053" t="s">
        <v>14</v>
      </c>
      <c r="F1053" t="s">
        <v>57</v>
      </c>
      <c r="G1053">
        <v>5</v>
      </c>
      <c r="H1053">
        <v>6094.57</v>
      </c>
      <c r="I1053">
        <v>1003.07</v>
      </c>
      <c r="J1053" t="s">
        <v>22</v>
      </c>
      <c r="K1053" t="s">
        <v>29</v>
      </c>
      <c r="L1053">
        <f t="shared" si="48"/>
        <v>2022</v>
      </c>
      <c r="M1053" t="str">
        <f t="shared" si="49"/>
        <v>Sep</v>
      </c>
      <c r="N1053" s="2">
        <f t="shared" si="50"/>
        <v>0.1645842118475955</v>
      </c>
    </row>
    <row r="1054" spans="1:14" x14ac:dyDescent="0.45">
      <c r="A1054" t="s">
        <v>2088</v>
      </c>
      <c r="B1054" s="1">
        <v>44599</v>
      </c>
      <c r="C1054" t="s">
        <v>2089</v>
      </c>
      <c r="D1054" t="s">
        <v>13</v>
      </c>
      <c r="E1054" t="s">
        <v>36</v>
      </c>
      <c r="F1054" t="s">
        <v>46</v>
      </c>
      <c r="G1054">
        <v>4</v>
      </c>
      <c r="H1054">
        <v>8888.4699999999993</v>
      </c>
      <c r="I1054">
        <v>933.23</v>
      </c>
      <c r="J1054" t="s">
        <v>71</v>
      </c>
      <c r="K1054" t="s">
        <v>33</v>
      </c>
      <c r="L1054">
        <f t="shared" si="48"/>
        <v>2022</v>
      </c>
      <c r="M1054" t="str">
        <f t="shared" si="49"/>
        <v>Feb</v>
      </c>
      <c r="N1054" s="2">
        <f t="shared" si="50"/>
        <v>0.10499332281033745</v>
      </c>
    </row>
    <row r="1055" spans="1:14" x14ac:dyDescent="0.45">
      <c r="A1055" t="s">
        <v>2090</v>
      </c>
      <c r="B1055" s="1">
        <v>44768</v>
      </c>
      <c r="C1055" t="s">
        <v>2091</v>
      </c>
      <c r="D1055" t="s">
        <v>13</v>
      </c>
      <c r="E1055" t="s">
        <v>36</v>
      </c>
      <c r="F1055" t="s">
        <v>46</v>
      </c>
      <c r="G1055">
        <v>4</v>
      </c>
      <c r="H1055">
        <v>41556.32</v>
      </c>
      <c r="I1055">
        <v>7722.36</v>
      </c>
      <c r="J1055" t="s">
        <v>28</v>
      </c>
      <c r="K1055" t="s">
        <v>17</v>
      </c>
      <c r="L1055">
        <f t="shared" si="48"/>
        <v>2022</v>
      </c>
      <c r="M1055" t="str">
        <f t="shared" si="49"/>
        <v>Jul</v>
      </c>
      <c r="N1055" s="2">
        <f t="shared" si="50"/>
        <v>0.18582877405891571</v>
      </c>
    </row>
    <row r="1056" spans="1:14" x14ac:dyDescent="0.45">
      <c r="A1056" t="s">
        <v>2092</v>
      </c>
      <c r="B1056" s="1">
        <v>45511</v>
      </c>
      <c r="C1056" t="s">
        <v>2093</v>
      </c>
      <c r="D1056" t="s">
        <v>56</v>
      </c>
      <c r="E1056" t="s">
        <v>36</v>
      </c>
      <c r="F1056" t="s">
        <v>53</v>
      </c>
      <c r="G1056">
        <v>4</v>
      </c>
      <c r="H1056">
        <v>41126.480000000003</v>
      </c>
      <c r="I1056">
        <v>9179.9500000000007</v>
      </c>
      <c r="J1056" t="s">
        <v>28</v>
      </c>
      <c r="K1056" t="s">
        <v>33</v>
      </c>
      <c r="L1056">
        <f t="shared" si="48"/>
        <v>2024</v>
      </c>
      <c r="M1056" t="str">
        <f t="shared" si="49"/>
        <v>Aug</v>
      </c>
      <c r="N1056" s="2">
        <f t="shared" si="50"/>
        <v>0.22321263575195349</v>
      </c>
    </row>
    <row r="1057" spans="1:14" x14ac:dyDescent="0.45">
      <c r="A1057" t="s">
        <v>2094</v>
      </c>
      <c r="B1057" s="1">
        <v>45345</v>
      </c>
      <c r="C1057" t="s">
        <v>2095</v>
      </c>
      <c r="D1057" t="s">
        <v>56</v>
      </c>
      <c r="E1057" t="s">
        <v>36</v>
      </c>
      <c r="F1057" t="s">
        <v>37</v>
      </c>
      <c r="G1057">
        <v>3</v>
      </c>
      <c r="H1057">
        <v>46164.54</v>
      </c>
      <c r="I1057">
        <v>8824.3700000000008</v>
      </c>
      <c r="J1057" t="s">
        <v>22</v>
      </c>
      <c r="K1057" t="s">
        <v>33</v>
      </c>
      <c r="L1057">
        <f t="shared" si="48"/>
        <v>2024</v>
      </c>
      <c r="M1057" t="str">
        <f t="shared" si="49"/>
        <v>Feb</v>
      </c>
      <c r="N1057" s="2">
        <f t="shared" si="50"/>
        <v>0.19115039378709286</v>
      </c>
    </row>
    <row r="1058" spans="1:14" x14ac:dyDescent="0.45">
      <c r="A1058" t="s">
        <v>2096</v>
      </c>
      <c r="B1058" s="1">
        <v>44639</v>
      </c>
      <c r="C1058" t="s">
        <v>2097</v>
      </c>
      <c r="D1058" t="s">
        <v>26</v>
      </c>
      <c r="E1058" t="s">
        <v>20</v>
      </c>
      <c r="F1058" t="s">
        <v>21</v>
      </c>
      <c r="G1058">
        <v>5</v>
      </c>
      <c r="H1058">
        <v>38444.9</v>
      </c>
      <c r="I1058">
        <v>2306.35</v>
      </c>
      <c r="J1058" t="s">
        <v>47</v>
      </c>
      <c r="K1058" t="s">
        <v>23</v>
      </c>
      <c r="L1058">
        <f t="shared" si="48"/>
        <v>2022</v>
      </c>
      <c r="M1058" t="str">
        <f t="shared" si="49"/>
        <v>Mar</v>
      </c>
      <c r="N1058" s="2">
        <f t="shared" si="50"/>
        <v>5.9991052129151068E-2</v>
      </c>
    </row>
    <row r="1059" spans="1:14" x14ac:dyDescent="0.45">
      <c r="A1059" t="s">
        <v>2098</v>
      </c>
      <c r="B1059" s="1">
        <v>45061</v>
      </c>
      <c r="C1059" t="s">
        <v>2099</v>
      </c>
      <c r="D1059" t="s">
        <v>56</v>
      </c>
      <c r="E1059" t="s">
        <v>20</v>
      </c>
      <c r="F1059" t="s">
        <v>21</v>
      </c>
      <c r="G1059">
        <v>1</v>
      </c>
      <c r="H1059">
        <v>42688.58</v>
      </c>
      <c r="I1059">
        <v>2838.77</v>
      </c>
      <c r="J1059" t="s">
        <v>28</v>
      </c>
      <c r="K1059" t="s">
        <v>17</v>
      </c>
      <c r="L1059">
        <f t="shared" si="48"/>
        <v>2023</v>
      </c>
      <c r="M1059" t="str">
        <f t="shared" si="49"/>
        <v>May</v>
      </c>
      <c r="N1059" s="2">
        <f t="shared" si="50"/>
        <v>6.6499518138106256E-2</v>
      </c>
    </row>
    <row r="1060" spans="1:14" x14ac:dyDescent="0.45">
      <c r="A1060" t="s">
        <v>2100</v>
      </c>
      <c r="B1060" s="1">
        <v>44793</v>
      </c>
      <c r="C1060" t="s">
        <v>2101</v>
      </c>
      <c r="D1060" t="s">
        <v>26</v>
      </c>
      <c r="E1060" t="s">
        <v>36</v>
      </c>
      <c r="F1060" t="s">
        <v>46</v>
      </c>
      <c r="G1060">
        <v>5</v>
      </c>
      <c r="H1060">
        <v>20263.22</v>
      </c>
      <c r="I1060">
        <v>4980.8100000000004</v>
      </c>
      <c r="J1060" t="s">
        <v>16</v>
      </c>
      <c r="K1060" t="s">
        <v>33</v>
      </c>
      <c r="L1060">
        <f t="shared" si="48"/>
        <v>2022</v>
      </c>
      <c r="M1060" t="str">
        <f t="shared" si="49"/>
        <v>Aug</v>
      </c>
      <c r="N1060" s="2">
        <f t="shared" si="50"/>
        <v>0.24580545441445142</v>
      </c>
    </row>
    <row r="1061" spans="1:14" x14ac:dyDescent="0.45">
      <c r="A1061" t="s">
        <v>2102</v>
      </c>
      <c r="B1061" s="1">
        <v>45412</v>
      </c>
      <c r="C1061" t="s">
        <v>2103</v>
      </c>
      <c r="D1061" t="s">
        <v>56</v>
      </c>
      <c r="E1061" t="s">
        <v>36</v>
      </c>
      <c r="F1061" t="s">
        <v>53</v>
      </c>
      <c r="G1061">
        <v>2</v>
      </c>
      <c r="H1061">
        <v>2950.61</v>
      </c>
      <c r="I1061">
        <v>240.16</v>
      </c>
      <c r="J1061" t="s">
        <v>71</v>
      </c>
      <c r="K1061" t="s">
        <v>29</v>
      </c>
      <c r="L1061">
        <f t="shared" si="48"/>
        <v>2024</v>
      </c>
      <c r="M1061" t="str">
        <f t="shared" si="49"/>
        <v>Apr</v>
      </c>
      <c r="N1061" s="2">
        <f t="shared" si="50"/>
        <v>8.1393339004477039E-2</v>
      </c>
    </row>
    <row r="1062" spans="1:14" x14ac:dyDescent="0.45">
      <c r="A1062" t="s">
        <v>2104</v>
      </c>
      <c r="B1062" s="1">
        <v>44907</v>
      </c>
      <c r="C1062" t="s">
        <v>2105</v>
      </c>
      <c r="D1062" t="s">
        <v>26</v>
      </c>
      <c r="E1062" t="s">
        <v>36</v>
      </c>
      <c r="F1062" t="s">
        <v>37</v>
      </c>
      <c r="G1062">
        <v>1</v>
      </c>
      <c r="H1062">
        <v>38814.620000000003</v>
      </c>
      <c r="I1062">
        <v>7733.85</v>
      </c>
      <c r="J1062" t="s">
        <v>47</v>
      </c>
      <c r="K1062" t="s">
        <v>23</v>
      </c>
      <c r="L1062">
        <f t="shared" si="48"/>
        <v>2022</v>
      </c>
      <c r="M1062" t="str">
        <f t="shared" si="49"/>
        <v>Dec</v>
      </c>
      <c r="N1062" s="2">
        <f t="shared" si="50"/>
        <v>0.19925095234733717</v>
      </c>
    </row>
    <row r="1063" spans="1:14" x14ac:dyDescent="0.45">
      <c r="A1063" t="s">
        <v>2106</v>
      </c>
      <c r="B1063" s="1">
        <v>44562</v>
      </c>
      <c r="C1063" t="s">
        <v>2107</v>
      </c>
      <c r="D1063" t="s">
        <v>13</v>
      </c>
      <c r="E1063" t="s">
        <v>20</v>
      </c>
      <c r="F1063" t="s">
        <v>50</v>
      </c>
      <c r="G1063">
        <v>3</v>
      </c>
      <c r="H1063">
        <v>14764.61</v>
      </c>
      <c r="I1063">
        <v>1464.23</v>
      </c>
      <c r="J1063" t="s">
        <v>16</v>
      </c>
      <c r="K1063" t="s">
        <v>33</v>
      </c>
      <c r="L1063">
        <f t="shared" si="48"/>
        <v>2022</v>
      </c>
      <c r="M1063" t="str">
        <f t="shared" si="49"/>
        <v>Jan</v>
      </c>
      <c r="N1063" s="2">
        <f t="shared" si="50"/>
        <v>9.9171600198041124E-2</v>
      </c>
    </row>
    <row r="1064" spans="1:14" x14ac:dyDescent="0.45">
      <c r="A1064" t="s">
        <v>2108</v>
      </c>
      <c r="B1064" s="1">
        <v>45057</v>
      </c>
      <c r="C1064" t="s">
        <v>2109</v>
      </c>
      <c r="D1064" t="s">
        <v>26</v>
      </c>
      <c r="E1064" t="s">
        <v>36</v>
      </c>
      <c r="F1064" t="s">
        <v>64</v>
      </c>
      <c r="G1064">
        <v>2</v>
      </c>
      <c r="H1064">
        <v>11745.31</v>
      </c>
      <c r="I1064">
        <v>1503.12</v>
      </c>
      <c r="J1064" t="s">
        <v>71</v>
      </c>
      <c r="K1064" t="s">
        <v>23</v>
      </c>
      <c r="L1064">
        <f t="shared" si="48"/>
        <v>2023</v>
      </c>
      <c r="M1064" t="str">
        <f t="shared" si="49"/>
        <v>May</v>
      </c>
      <c r="N1064" s="2">
        <f t="shared" si="50"/>
        <v>0.12797618794225099</v>
      </c>
    </row>
    <row r="1065" spans="1:14" x14ac:dyDescent="0.45">
      <c r="A1065" t="s">
        <v>2110</v>
      </c>
      <c r="B1065" s="1">
        <v>45523</v>
      </c>
      <c r="C1065" t="s">
        <v>2111</v>
      </c>
      <c r="D1065" t="s">
        <v>56</v>
      </c>
      <c r="E1065" t="s">
        <v>14</v>
      </c>
      <c r="F1065" t="s">
        <v>32</v>
      </c>
      <c r="G1065">
        <v>3</v>
      </c>
      <c r="H1065">
        <v>7657.21</v>
      </c>
      <c r="I1065">
        <v>1197.0999999999999</v>
      </c>
      <c r="J1065" t="s">
        <v>28</v>
      </c>
      <c r="K1065" t="s">
        <v>29</v>
      </c>
      <c r="L1065">
        <f t="shared" si="48"/>
        <v>2024</v>
      </c>
      <c r="M1065" t="str">
        <f t="shared" si="49"/>
        <v>Aug</v>
      </c>
      <c r="N1065" s="2">
        <f t="shared" si="50"/>
        <v>0.15633631570767942</v>
      </c>
    </row>
    <row r="1066" spans="1:14" x14ac:dyDescent="0.45">
      <c r="A1066" t="s">
        <v>2112</v>
      </c>
      <c r="B1066" s="1">
        <v>45192</v>
      </c>
      <c r="C1066" t="s">
        <v>2113</v>
      </c>
      <c r="D1066" t="s">
        <v>26</v>
      </c>
      <c r="E1066" t="s">
        <v>14</v>
      </c>
      <c r="F1066" t="s">
        <v>40</v>
      </c>
      <c r="G1066">
        <v>4</v>
      </c>
      <c r="H1066">
        <v>26850.16</v>
      </c>
      <c r="I1066">
        <v>2145.13</v>
      </c>
      <c r="J1066" t="s">
        <v>47</v>
      </c>
      <c r="K1066" t="s">
        <v>17</v>
      </c>
      <c r="L1066">
        <f t="shared" si="48"/>
        <v>2023</v>
      </c>
      <c r="M1066" t="str">
        <f t="shared" si="49"/>
        <v>Sep</v>
      </c>
      <c r="N1066" s="2">
        <f t="shared" si="50"/>
        <v>7.9892633786912262E-2</v>
      </c>
    </row>
    <row r="1067" spans="1:14" x14ac:dyDescent="0.45">
      <c r="A1067" t="s">
        <v>2114</v>
      </c>
      <c r="B1067" s="1">
        <v>45338</v>
      </c>
      <c r="C1067" t="s">
        <v>2115</v>
      </c>
      <c r="D1067" t="s">
        <v>26</v>
      </c>
      <c r="E1067" t="s">
        <v>20</v>
      </c>
      <c r="F1067" t="s">
        <v>27</v>
      </c>
      <c r="G1067">
        <v>4</v>
      </c>
      <c r="H1067">
        <v>6058.45</v>
      </c>
      <c r="I1067">
        <v>944.27</v>
      </c>
      <c r="J1067" t="s">
        <v>28</v>
      </c>
      <c r="K1067" t="s">
        <v>33</v>
      </c>
      <c r="L1067">
        <f t="shared" si="48"/>
        <v>2024</v>
      </c>
      <c r="M1067" t="str">
        <f t="shared" si="49"/>
        <v>Feb</v>
      </c>
      <c r="N1067" s="2">
        <f t="shared" si="50"/>
        <v>0.15585999719400176</v>
      </c>
    </row>
    <row r="1068" spans="1:14" x14ac:dyDescent="0.45">
      <c r="A1068" t="s">
        <v>2116</v>
      </c>
      <c r="B1068" s="1">
        <v>44586</v>
      </c>
      <c r="C1068" t="s">
        <v>2117</v>
      </c>
      <c r="D1068" t="s">
        <v>26</v>
      </c>
      <c r="E1068" t="s">
        <v>20</v>
      </c>
      <c r="F1068" t="s">
        <v>43</v>
      </c>
      <c r="G1068">
        <v>2</v>
      </c>
      <c r="H1068">
        <v>27701.9</v>
      </c>
      <c r="I1068">
        <v>6695.26</v>
      </c>
      <c r="J1068" t="s">
        <v>22</v>
      </c>
      <c r="K1068" t="s">
        <v>33</v>
      </c>
      <c r="L1068">
        <f t="shared" si="48"/>
        <v>2022</v>
      </c>
      <c r="M1068" t="str">
        <f t="shared" si="49"/>
        <v>Jan</v>
      </c>
      <c r="N1068" s="2">
        <f t="shared" si="50"/>
        <v>0.24168955919991048</v>
      </c>
    </row>
    <row r="1069" spans="1:14" x14ac:dyDescent="0.45">
      <c r="A1069" t="s">
        <v>2118</v>
      </c>
      <c r="B1069" s="1">
        <v>44633</v>
      </c>
      <c r="C1069" t="s">
        <v>2119</v>
      </c>
      <c r="D1069" t="s">
        <v>56</v>
      </c>
      <c r="E1069" t="s">
        <v>14</v>
      </c>
      <c r="F1069" t="s">
        <v>15</v>
      </c>
      <c r="G1069">
        <v>5</v>
      </c>
      <c r="H1069">
        <v>26431.66</v>
      </c>
      <c r="I1069">
        <v>4359.93</v>
      </c>
      <c r="J1069" t="s">
        <v>16</v>
      </c>
      <c r="K1069" t="s">
        <v>23</v>
      </c>
      <c r="L1069">
        <f t="shared" si="48"/>
        <v>2022</v>
      </c>
      <c r="M1069" t="str">
        <f t="shared" si="49"/>
        <v>Mar</v>
      </c>
      <c r="N1069" s="2">
        <f t="shared" si="50"/>
        <v>0.16495104734246735</v>
      </c>
    </row>
    <row r="1070" spans="1:14" x14ac:dyDescent="0.45">
      <c r="A1070" t="s">
        <v>2120</v>
      </c>
      <c r="B1070" s="1">
        <v>45357</v>
      </c>
      <c r="C1070" t="s">
        <v>1648</v>
      </c>
      <c r="D1070" t="s">
        <v>13</v>
      </c>
      <c r="E1070" t="s">
        <v>20</v>
      </c>
      <c r="F1070" t="s">
        <v>43</v>
      </c>
      <c r="G1070">
        <v>2</v>
      </c>
      <c r="H1070">
        <v>27390.53</v>
      </c>
      <c r="I1070">
        <v>2954.96</v>
      </c>
      <c r="J1070" t="s">
        <v>28</v>
      </c>
      <c r="K1070" t="s">
        <v>23</v>
      </c>
      <c r="L1070">
        <f t="shared" si="48"/>
        <v>2024</v>
      </c>
      <c r="M1070" t="str">
        <f t="shared" si="49"/>
        <v>Mar</v>
      </c>
      <c r="N1070" s="2">
        <f t="shared" si="50"/>
        <v>0.10788254188582697</v>
      </c>
    </row>
    <row r="1071" spans="1:14" x14ac:dyDescent="0.45">
      <c r="A1071" t="s">
        <v>2121</v>
      </c>
      <c r="B1071" s="1">
        <v>45308</v>
      </c>
      <c r="C1071" t="s">
        <v>2122</v>
      </c>
      <c r="D1071" t="s">
        <v>13</v>
      </c>
      <c r="E1071" t="s">
        <v>14</v>
      </c>
      <c r="F1071" t="s">
        <v>15</v>
      </c>
      <c r="G1071">
        <v>2</v>
      </c>
      <c r="H1071">
        <v>16748.03</v>
      </c>
      <c r="I1071">
        <v>1080.5899999999999</v>
      </c>
      <c r="J1071" t="s">
        <v>47</v>
      </c>
      <c r="K1071" t="s">
        <v>23</v>
      </c>
      <c r="L1071">
        <f t="shared" si="48"/>
        <v>2024</v>
      </c>
      <c r="M1071" t="str">
        <f t="shared" si="49"/>
        <v>Jan</v>
      </c>
      <c r="N1071" s="2">
        <f t="shared" si="50"/>
        <v>6.4520424193173762E-2</v>
      </c>
    </row>
    <row r="1072" spans="1:14" x14ac:dyDescent="0.45">
      <c r="A1072" t="s">
        <v>2123</v>
      </c>
      <c r="B1072" s="1">
        <v>45496</v>
      </c>
      <c r="C1072" t="s">
        <v>2124</v>
      </c>
      <c r="D1072" t="s">
        <v>13</v>
      </c>
      <c r="E1072" t="s">
        <v>14</v>
      </c>
      <c r="F1072" t="s">
        <v>57</v>
      </c>
      <c r="G1072">
        <v>1</v>
      </c>
      <c r="H1072">
        <v>1824.33</v>
      </c>
      <c r="I1072">
        <v>340.11</v>
      </c>
      <c r="J1072" t="s">
        <v>22</v>
      </c>
      <c r="K1072" t="s">
        <v>29</v>
      </c>
      <c r="L1072">
        <f t="shared" si="48"/>
        <v>2024</v>
      </c>
      <c r="M1072" t="str">
        <f t="shared" si="49"/>
        <v>Jul</v>
      </c>
      <c r="N1072" s="2">
        <f t="shared" si="50"/>
        <v>0.18643008666195263</v>
      </c>
    </row>
    <row r="1073" spans="1:14" x14ac:dyDescent="0.45">
      <c r="A1073" t="s">
        <v>2125</v>
      </c>
      <c r="B1073" s="1">
        <v>44635</v>
      </c>
      <c r="C1073" t="s">
        <v>2126</v>
      </c>
      <c r="D1073" t="s">
        <v>26</v>
      </c>
      <c r="E1073" t="s">
        <v>20</v>
      </c>
      <c r="F1073" t="s">
        <v>50</v>
      </c>
      <c r="G1073">
        <v>3</v>
      </c>
      <c r="H1073">
        <v>9960.61</v>
      </c>
      <c r="I1073">
        <v>1162.23</v>
      </c>
      <c r="J1073" t="s">
        <v>28</v>
      </c>
      <c r="K1073" t="s">
        <v>23</v>
      </c>
      <c r="L1073">
        <f t="shared" si="48"/>
        <v>2022</v>
      </c>
      <c r="M1073" t="str">
        <f t="shared" si="49"/>
        <v>Mar</v>
      </c>
      <c r="N1073" s="2">
        <f t="shared" si="50"/>
        <v>0.11668261281186594</v>
      </c>
    </row>
    <row r="1074" spans="1:14" x14ac:dyDescent="0.45">
      <c r="A1074" t="s">
        <v>2127</v>
      </c>
      <c r="B1074" s="1">
        <v>45611</v>
      </c>
      <c r="C1074" t="s">
        <v>1928</v>
      </c>
      <c r="D1074" t="s">
        <v>26</v>
      </c>
      <c r="E1074" t="s">
        <v>14</v>
      </c>
      <c r="F1074" t="s">
        <v>32</v>
      </c>
      <c r="G1074">
        <v>3</v>
      </c>
      <c r="H1074">
        <v>33561.919999999998</v>
      </c>
      <c r="I1074">
        <v>3814.6</v>
      </c>
      <c r="J1074" t="s">
        <v>16</v>
      </c>
      <c r="K1074" t="s">
        <v>33</v>
      </c>
      <c r="L1074">
        <f t="shared" si="48"/>
        <v>2024</v>
      </c>
      <c r="M1074" t="str">
        <f t="shared" si="49"/>
        <v>Nov</v>
      </c>
      <c r="N1074" s="2">
        <f t="shared" si="50"/>
        <v>0.11365857495637914</v>
      </c>
    </row>
    <row r="1075" spans="1:14" x14ac:dyDescent="0.45">
      <c r="A1075" t="s">
        <v>2128</v>
      </c>
      <c r="B1075" s="1">
        <v>44813</v>
      </c>
      <c r="C1075" t="s">
        <v>2129</v>
      </c>
      <c r="D1075" t="s">
        <v>26</v>
      </c>
      <c r="E1075" t="s">
        <v>14</v>
      </c>
      <c r="F1075" t="s">
        <v>40</v>
      </c>
      <c r="G1075">
        <v>4</v>
      </c>
      <c r="H1075">
        <v>12958.23</v>
      </c>
      <c r="I1075">
        <v>836.4</v>
      </c>
      <c r="J1075" t="s">
        <v>47</v>
      </c>
      <c r="K1075" t="s">
        <v>29</v>
      </c>
      <c r="L1075">
        <f t="shared" si="48"/>
        <v>2022</v>
      </c>
      <c r="M1075" t="str">
        <f t="shared" si="49"/>
        <v>Sep</v>
      </c>
      <c r="N1075" s="2">
        <f t="shared" si="50"/>
        <v>6.4545852327053926E-2</v>
      </c>
    </row>
    <row r="1076" spans="1:14" x14ac:dyDescent="0.45">
      <c r="A1076" t="s">
        <v>2130</v>
      </c>
      <c r="B1076" s="1">
        <v>45164</v>
      </c>
      <c r="C1076" t="s">
        <v>2131</v>
      </c>
      <c r="D1076" t="s">
        <v>26</v>
      </c>
      <c r="E1076" t="s">
        <v>20</v>
      </c>
      <c r="F1076" t="s">
        <v>27</v>
      </c>
      <c r="G1076">
        <v>3</v>
      </c>
      <c r="H1076">
        <v>41905.46</v>
      </c>
      <c r="I1076">
        <v>5187.3</v>
      </c>
      <c r="J1076" t="s">
        <v>71</v>
      </c>
      <c r="K1076" t="s">
        <v>29</v>
      </c>
      <c r="L1076">
        <f t="shared" si="48"/>
        <v>2023</v>
      </c>
      <c r="M1076" t="str">
        <f t="shared" si="49"/>
        <v>Aug</v>
      </c>
      <c r="N1076" s="2">
        <f t="shared" si="50"/>
        <v>0.12378577875054946</v>
      </c>
    </row>
    <row r="1077" spans="1:14" x14ac:dyDescent="0.45">
      <c r="A1077" t="s">
        <v>2132</v>
      </c>
      <c r="B1077" s="1">
        <v>45487</v>
      </c>
      <c r="C1077" t="s">
        <v>2133</v>
      </c>
      <c r="D1077" t="s">
        <v>56</v>
      </c>
      <c r="E1077" t="s">
        <v>14</v>
      </c>
      <c r="F1077" t="s">
        <v>15</v>
      </c>
      <c r="G1077">
        <v>5</v>
      </c>
      <c r="H1077">
        <v>17305.88</v>
      </c>
      <c r="I1077">
        <v>3804.57</v>
      </c>
      <c r="J1077" t="s">
        <v>71</v>
      </c>
      <c r="K1077" t="s">
        <v>23</v>
      </c>
      <c r="L1077">
        <f t="shared" si="48"/>
        <v>2024</v>
      </c>
      <c r="M1077" t="str">
        <f t="shared" si="49"/>
        <v>Jul</v>
      </c>
      <c r="N1077" s="2">
        <f t="shared" si="50"/>
        <v>0.21984261996500612</v>
      </c>
    </row>
    <row r="1078" spans="1:14" x14ac:dyDescent="0.45">
      <c r="A1078" t="s">
        <v>2134</v>
      </c>
      <c r="B1078" s="1">
        <v>45002</v>
      </c>
      <c r="C1078" t="s">
        <v>2135</v>
      </c>
      <c r="D1078" t="s">
        <v>13</v>
      </c>
      <c r="E1078" t="s">
        <v>20</v>
      </c>
      <c r="F1078" t="s">
        <v>43</v>
      </c>
      <c r="G1078">
        <v>1</v>
      </c>
      <c r="H1078">
        <v>1668</v>
      </c>
      <c r="I1078">
        <v>240.03</v>
      </c>
      <c r="J1078" t="s">
        <v>47</v>
      </c>
      <c r="K1078" t="s">
        <v>23</v>
      </c>
      <c r="L1078">
        <f t="shared" si="48"/>
        <v>2023</v>
      </c>
      <c r="M1078" t="str">
        <f t="shared" si="49"/>
        <v>Mar</v>
      </c>
      <c r="N1078" s="2">
        <f t="shared" si="50"/>
        <v>0.14390287769784171</v>
      </c>
    </row>
    <row r="1079" spans="1:14" x14ac:dyDescent="0.45">
      <c r="A1079" t="s">
        <v>2136</v>
      </c>
      <c r="B1079" s="1">
        <v>45116</v>
      </c>
      <c r="C1079" t="s">
        <v>2137</v>
      </c>
      <c r="D1079" t="s">
        <v>26</v>
      </c>
      <c r="E1079" t="s">
        <v>14</v>
      </c>
      <c r="F1079" t="s">
        <v>57</v>
      </c>
      <c r="G1079">
        <v>5</v>
      </c>
      <c r="H1079">
        <v>46661.89</v>
      </c>
      <c r="I1079">
        <v>3103.71</v>
      </c>
      <c r="J1079" t="s">
        <v>71</v>
      </c>
      <c r="K1079" t="s">
        <v>17</v>
      </c>
      <c r="L1079">
        <f t="shared" si="48"/>
        <v>2023</v>
      </c>
      <c r="M1079" t="str">
        <f t="shared" si="49"/>
        <v>Jul</v>
      </c>
      <c r="N1079" s="2">
        <f t="shared" si="50"/>
        <v>6.6514879701615168E-2</v>
      </c>
    </row>
    <row r="1080" spans="1:14" x14ac:dyDescent="0.45">
      <c r="A1080" t="s">
        <v>2138</v>
      </c>
      <c r="B1080" s="1">
        <v>45398</v>
      </c>
      <c r="C1080" t="s">
        <v>2139</v>
      </c>
      <c r="D1080" t="s">
        <v>26</v>
      </c>
      <c r="E1080" t="s">
        <v>36</v>
      </c>
      <c r="F1080" t="s">
        <v>64</v>
      </c>
      <c r="G1080">
        <v>4</v>
      </c>
      <c r="H1080">
        <v>38107.360000000001</v>
      </c>
      <c r="I1080">
        <v>7412.26</v>
      </c>
      <c r="J1080" t="s">
        <v>22</v>
      </c>
      <c r="K1080" t="s">
        <v>33</v>
      </c>
      <c r="L1080">
        <f t="shared" si="48"/>
        <v>2024</v>
      </c>
      <c r="M1080" t="str">
        <f t="shared" si="49"/>
        <v>Apr</v>
      </c>
      <c r="N1080" s="2">
        <f t="shared" si="50"/>
        <v>0.19450993193965679</v>
      </c>
    </row>
    <row r="1081" spans="1:14" x14ac:dyDescent="0.45">
      <c r="A1081" t="s">
        <v>2140</v>
      </c>
      <c r="B1081" s="1">
        <v>44808</v>
      </c>
      <c r="C1081" t="s">
        <v>2141</v>
      </c>
      <c r="D1081" t="s">
        <v>56</v>
      </c>
      <c r="E1081" t="s">
        <v>14</v>
      </c>
      <c r="F1081" t="s">
        <v>32</v>
      </c>
      <c r="G1081">
        <v>5</v>
      </c>
      <c r="H1081">
        <v>47170.96</v>
      </c>
      <c r="I1081">
        <v>11171.12</v>
      </c>
      <c r="J1081" t="s">
        <v>47</v>
      </c>
      <c r="K1081" t="s">
        <v>17</v>
      </c>
      <c r="L1081">
        <f t="shared" si="48"/>
        <v>2022</v>
      </c>
      <c r="M1081" t="str">
        <f t="shared" si="49"/>
        <v>Sep</v>
      </c>
      <c r="N1081" s="2">
        <f t="shared" si="50"/>
        <v>0.23682197691121828</v>
      </c>
    </row>
    <row r="1082" spans="1:14" x14ac:dyDescent="0.45">
      <c r="A1082" t="s">
        <v>2142</v>
      </c>
      <c r="B1082" s="1">
        <v>44761</v>
      </c>
      <c r="C1082" t="s">
        <v>2143</v>
      </c>
      <c r="D1082" t="s">
        <v>26</v>
      </c>
      <c r="E1082" t="s">
        <v>36</v>
      </c>
      <c r="F1082" t="s">
        <v>46</v>
      </c>
      <c r="G1082">
        <v>5</v>
      </c>
      <c r="H1082">
        <v>16225.39</v>
      </c>
      <c r="I1082">
        <v>2697.97</v>
      </c>
      <c r="J1082" t="s">
        <v>71</v>
      </c>
      <c r="K1082" t="s">
        <v>23</v>
      </c>
      <c r="L1082">
        <f t="shared" si="48"/>
        <v>2022</v>
      </c>
      <c r="M1082" t="str">
        <f t="shared" si="49"/>
        <v>Jul</v>
      </c>
      <c r="N1082" s="2">
        <f t="shared" si="50"/>
        <v>0.16628074887568187</v>
      </c>
    </row>
    <row r="1083" spans="1:14" x14ac:dyDescent="0.45">
      <c r="A1083" t="s">
        <v>2144</v>
      </c>
      <c r="B1083" s="1">
        <v>45232</v>
      </c>
      <c r="C1083" t="s">
        <v>2145</v>
      </c>
      <c r="D1083" t="s">
        <v>56</v>
      </c>
      <c r="E1083" t="s">
        <v>36</v>
      </c>
      <c r="F1083" t="s">
        <v>46</v>
      </c>
      <c r="G1083">
        <v>1</v>
      </c>
      <c r="H1083">
        <v>1478.93</v>
      </c>
      <c r="I1083">
        <v>327.56</v>
      </c>
      <c r="J1083" t="s">
        <v>16</v>
      </c>
      <c r="K1083" t="s">
        <v>23</v>
      </c>
      <c r="L1083">
        <f t="shared" si="48"/>
        <v>2023</v>
      </c>
      <c r="M1083" t="str">
        <f t="shared" si="49"/>
        <v>Nov</v>
      </c>
      <c r="N1083" s="2">
        <f t="shared" si="50"/>
        <v>0.22148445159676253</v>
      </c>
    </row>
    <row r="1084" spans="1:14" x14ac:dyDescent="0.45">
      <c r="A1084" t="s">
        <v>2146</v>
      </c>
      <c r="B1084" s="1">
        <v>45187</v>
      </c>
      <c r="C1084" t="s">
        <v>1567</v>
      </c>
      <c r="D1084" t="s">
        <v>26</v>
      </c>
      <c r="E1084" t="s">
        <v>14</v>
      </c>
      <c r="F1084" t="s">
        <v>15</v>
      </c>
      <c r="G1084">
        <v>1</v>
      </c>
      <c r="H1084">
        <v>1949.28</v>
      </c>
      <c r="I1084">
        <v>379.59</v>
      </c>
      <c r="J1084" t="s">
        <v>71</v>
      </c>
      <c r="K1084" t="s">
        <v>29</v>
      </c>
      <c r="L1084">
        <f t="shared" si="48"/>
        <v>2023</v>
      </c>
      <c r="M1084" t="str">
        <f t="shared" si="49"/>
        <v>Sep</v>
      </c>
      <c r="N1084" s="2">
        <f t="shared" si="50"/>
        <v>0.19473344003939916</v>
      </c>
    </row>
    <row r="1085" spans="1:14" x14ac:dyDescent="0.45">
      <c r="A1085" t="s">
        <v>2147</v>
      </c>
      <c r="B1085" s="1">
        <v>45314</v>
      </c>
      <c r="C1085" t="s">
        <v>2148</v>
      </c>
      <c r="D1085" t="s">
        <v>13</v>
      </c>
      <c r="E1085" t="s">
        <v>14</v>
      </c>
      <c r="F1085" t="s">
        <v>40</v>
      </c>
      <c r="G1085">
        <v>2</v>
      </c>
      <c r="H1085">
        <v>35453.9</v>
      </c>
      <c r="I1085">
        <v>8669.06</v>
      </c>
      <c r="J1085" t="s">
        <v>71</v>
      </c>
      <c r="K1085" t="s">
        <v>29</v>
      </c>
      <c r="L1085">
        <f t="shared" si="48"/>
        <v>2024</v>
      </c>
      <c r="M1085" t="str">
        <f t="shared" si="49"/>
        <v>Jan</v>
      </c>
      <c r="N1085" s="2">
        <f t="shared" si="50"/>
        <v>0.24451640017036205</v>
      </c>
    </row>
    <row r="1086" spans="1:14" x14ac:dyDescent="0.45">
      <c r="A1086" t="s">
        <v>2149</v>
      </c>
      <c r="B1086" s="1">
        <v>44718</v>
      </c>
      <c r="C1086" t="s">
        <v>2150</v>
      </c>
      <c r="D1086" t="s">
        <v>56</v>
      </c>
      <c r="E1086" t="s">
        <v>36</v>
      </c>
      <c r="F1086" t="s">
        <v>64</v>
      </c>
      <c r="G1086">
        <v>3</v>
      </c>
      <c r="H1086">
        <v>49203</v>
      </c>
      <c r="I1086">
        <v>3191.05</v>
      </c>
      <c r="J1086" t="s">
        <v>22</v>
      </c>
      <c r="K1086" t="s">
        <v>17</v>
      </c>
      <c r="L1086">
        <f t="shared" si="48"/>
        <v>2022</v>
      </c>
      <c r="M1086" t="str">
        <f t="shared" si="49"/>
        <v>Jun</v>
      </c>
      <c r="N1086" s="2">
        <f t="shared" si="50"/>
        <v>6.4854785277320498E-2</v>
      </c>
    </row>
    <row r="1087" spans="1:14" x14ac:dyDescent="0.45">
      <c r="A1087" t="s">
        <v>2151</v>
      </c>
      <c r="B1087" s="1">
        <v>44865</v>
      </c>
      <c r="C1087" t="s">
        <v>2152</v>
      </c>
      <c r="D1087" t="s">
        <v>56</v>
      </c>
      <c r="E1087" t="s">
        <v>36</v>
      </c>
      <c r="F1087" t="s">
        <v>53</v>
      </c>
      <c r="G1087">
        <v>2</v>
      </c>
      <c r="H1087">
        <v>31225.58</v>
      </c>
      <c r="I1087">
        <v>3202.11</v>
      </c>
      <c r="J1087" t="s">
        <v>71</v>
      </c>
      <c r="K1087" t="s">
        <v>23</v>
      </c>
      <c r="L1087">
        <f t="shared" si="48"/>
        <v>2022</v>
      </c>
      <c r="M1087" t="str">
        <f t="shared" si="49"/>
        <v>Oct</v>
      </c>
      <c r="N1087" s="2">
        <f t="shared" si="50"/>
        <v>0.10254765483939769</v>
      </c>
    </row>
    <row r="1088" spans="1:14" x14ac:dyDescent="0.45">
      <c r="A1088" t="s">
        <v>2153</v>
      </c>
      <c r="B1088" s="1">
        <v>45381</v>
      </c>
      <c r="C1088" t="s">
        <v>2154</v>
      </c>
      <c r="D1088" t="s">
        <v>13</v>
      </c>
      <c r="E1088" t="s">
        <v>36</v>
      </c>
      <c r="F1088" t="s">
        <v>64</v>
      </c>
      <c r="G1088">
        <v>3</v>
      </c>
      <c r="H1088">
        <v>9941.9500000000007</v>
      </c>
      <c r="I1088">
        <v>1515.48</v>
      </c>
      <c r="J1088" t="s">
        <v>16</v>
      </c>
      <c r="K1088" t="s">
        <v>17</v>
      </c>
      <c r="L1088">
        <f t="shared" si="48"/>
        <v>2024</v>
      </c>
      <c r="M1088" t="str">
        <f t="shared" si="49"/>
        <v>Mar</v>
      </c>
      <c r="N1088" s="2">
        <f t="shared" si="50"/>
        <v>0.15243287282675932</v>
      </c>
    </row>
    <row r="1089" spans="1:14" x14ac:dyDescent="0.45">
      <c r="A1089" t="s">
        <v>2155</v>
      </c>
      <c r="B1089" s="1">
        <v>44724</v>
      </c>
      <c r="C1089" t="s">
        <v>1143</v>
      </c>
      <c r="D1089" t="s">
        <v>13</v>
      </c>
      <c r="E1089" t="s">
        <v>36</v>
      </c>
      <c r="F1089" t="s">
        <v>64</v>
      </c>
      <c r="G1089">
        <v>3</v>
      </c>
      <c r="H1089">
        <v>29241.17</v>
      </c>
      <c r="I1089">
        <v>6213.47</v>
      </c>
      <c r="J1089" t="s">
        <v>47</v>
      </c>
      <c r="K1089" t="s">
        <v>33</v>
      </c>
      <c r="L1089">
        <f t="shared" si="48"/>
        <v>2022</v>
      </c>
      <c r="M1089" t="str">
        <f t="shared" si="49"/>
        <v>Jun</v>
      </c>
      <c r="N1089" s="2">
        <f t="shared" si="50"/>
        <v>0.21249047148250225</v>
      </c>
    </row>
    <row r="1090" spans="1:14" x14ac:dyDescent="0.45">
      <c r="A1090" t="s">
        <v>2156</v>
      </c>
      <c r="B1090" s="1">
        <v>44717</v>
      </c>
      <c r="C1090" t="s">
        <v>2157</v>
      </c>
      <c r="D1090" t="s">
        <v>56</v>
      </c>
      <c r="E1090" t="s">
        <v>20</v>
      </c>
      <c r="F1090" t="s">
        <v>43</v>
      </c>
      <c r="G1090">
        <v>2</v>
      </c>
      <c r="H1090">
        <v>39870.92</v>
      </c>
      <c r="I1090">
        <v>7361.16</v>
      </c>
      <c r="J1090" t="s">
        <v>16</v>
      </c>
      <c r="K1090" t="s">
        <v>23</v>
      </c>
      <c r="L1090">
        <f t="shared" si="48"/>
        <v>2022</v>
      </c>
      <c r="M1090" t="str">
        <f t="shared" si="49"/>
        <v>Jun</v>
      </c>
      <c r="N1090" s="2">
        <f t="shared" si="50"/>
        <v>0.18462478417854417</v>
      </c>
    </row>
    <row r="1091" spans="1:14" x14ac:dyDescent="0.45">
      <c r="A1091" t="s">
        <v>2158</v>
      </c>
      <c r="B1091" s="1">
        <v>45553</v>
      </c>
      <c r="C1091" t="s">
        <v>2159</v>
      </c>
      <c r="D1091" t="s">
        <v>56</v>
      </c>
      <c r="E1091" t="s">
        <v>14</v>
      </c>
      <c r="F1091" t="s">
        <v>15</v>
      </c>
      <c r="G1091">
        <v>5</v>
      </c>
      <c r="H1091">
        <v>46802.9</v>
      </c>
      <c r="I1091">
        <v>2959.32</v>
      </c>
      <c r="J1091" t="s">
        <v>22</v>
      </c>
      <c r="K1091" t="s">
        <v>33</v>
      </c>
      <c r="L1091">
        <f t="shared" ref="L1091:L1154" si="51">YEAR(B1091 )</f>
        <v>2024</v>
      </c>
      <c r="M1091" t="str">
        <f t="shared" ref="M1091:M1154" si="52">TEXT(B1091,"MMM")</f>
        <v>Sep</v>
      </c>
      <c r="N1091" s="2">
        <f t="shared" ref="N1091:N1154" si="53">I1091 / H1091</f>
        <v>6.3229415271275929E-2</v>
      </c>
    </row>
    <row r="1092" spans="1:14" x14ac:dyDescent="0.45">
      <c r="A1092" t="s">
        <v>2160</v>
      </c>
      <c r="B1092" s="1">
        <v>44934</v>
      </c>
      <c r="C1092" t="s">
        <v>2161</v>
      </c>
      <c r="D1092" t="s">
        <v>13</v>
      </c>
      <c r="E1092" t="s">
        <v>20</v>
      </c>
      <c r="F1092" t="s">
        <v>43</v>
      </c>
      <c r="G1092">
        <v>2</v>
      </c>
      <c r="H1092">
        <v>22003.65</v>
      </c>
      <c r="I1092">
        <v>1844.99</v>
      </c>
      <c r="J1092" t="s">
        <v>71</v>
      </c>
      <c r="K1092" t="s">
        <v>23</v>
      </c>
      <c r="L1092">
        <f t="shared" si="51"/>
        <v>2023</v>
      </c>
      <c r="M1092" t="str">
        <f t="shared" si="52"/>
        <v>Jan</v>
      </c>
      <c r="N1092" s="2">
        <f t="shared" si="53"/>
        <v>8.3849270461946082E-2</v>
      </c>
    </row>
    <row r="1093" spans="1:14" x14ac:dyDescent="0.45">
      <c r="A1093" t="s">
        <v>2162</v>
      </c>
      <c r="B1093" s="1">
        <v>45604</v>
      </c>
      <c r="C1093" t="s">
        <v>2163</v>
      </c>
      <c r="D1093" t="s">
        <v>26</v>
      </c>
      <c r="E1093" t="s">
        <v>14</v>
      </c>
      <c r="F1093" t="s">
        <v>32</v>
      </c>
      <c r="G1093">
        <v>2</v>
      </c>
      <c r="H1093">
        <v>16429.02</v>
      </c>
      <c r="I1093">
        <v>1907.37</v>
      </c>
      <c r="J1093" t="s">
        <v>28</v>
      </c>
      <c r="K1093" t="s">
        <v>33</v>
      </c>
      <c r="L1093">
        <f t="shared" si="51"/>
        <v>2024</v>
      </c>
      <c r="M1093" t="str">
        <f t="shared" si="52"/>
        <v>Nov</v>
      </c>
      <c r="N1093" s="2">
        <f t="shared" si="53"/>
        <v>0.11609761263909836</v>
      </c>
    </row>
    <row r="1094" spans="1:14" x14ac:dyDescent="0.45">
      <c r="A1094" t="s">
        <v>2164</v>
      </c>
      <c r="B1094" s="1">
        <v>44603</v>
      </c>
      <c r="C1094" t="s">
        <v>2165</v>
      </c>
      <c r="D1094" t="s">
        <v>26</v>
      </c>
      <c r="E1094" t="s">
        <v>36</v>
      </c>
      <c r="F1094" t="s">
        <v>46</v>
      </c>
      <c r="G1094">
        <v>3</v>
      </c>
      <c r="H1094">
        <v>35455.449999999997</v>
      </c>
      <c r="I1094">
        <v>7771.52</v>
      </c>
      <c r="J1094" t="s">
        <v>16</v>
      </c>
      <c r="K1094" t="s">
        <v>33</v>
      </c>
      <c r="L1094">
        <f t="shared" si="51"/>
        <v>2022</v>
      </c>
      <c r="M1094" t="str">
        <f t="shared" si="52"/>
        <v>Feb</v>
      </c>
      <c r="N1094" s="2">
        <f t="shared" si="53"/>
        <v>0.21919112576486835</v>
      </c>
    </row>
    <row r="1095" spans="1:14" x14ac:dyDescent="0.45">
      <c r="A1095" t="s">
        <v>2166</v>
      </c>
      <c r="B1095" s="1">
        <v>45208</v>
      </c>
      <c r="C1095" t="s">
        <v>2167</v>
      </c>
      <c r="D1095" t="s">
        <v>56</v>
      </c>
      <c r="E1095" t="s">
        <v>14</v>
      </c>
      <c r="F1095" t="s">
        <v>40</v>
      </c>
      <c r="G1095">
        <v>5</v>
      </c>
      <c r="H1095">
        <v>33060.14</v>
      </c>
      <c r="I1095">
        <v>5446.52</v>
      </c>
      <c r="J1095" t="s">
        <v>71</v>
      </c>
      <c r="K1095" t="s">
        <v>17</v>
      </c>
      <c r="L1095">
        <f t="shared" si="51"/>
        <v>2023</v>
      </c>
      <c r="M1095" t="str">
        <f t="shared" si="52"/>
        <v>Oct</v>
      </c>
      <c r="N1095" s="2">
        <f t="shared" si="53"/>
        <v>0.16474582382288763</v>
      </c>
    </row>
    <row r="1096" spans="1:14" x14ac:dyDescent="0.45">
      <c r="A1096" t="s">
        <v>2168</v>
      </c>
      <c r="B1096" s="1">
        <v>45522</v>
      </c>
      <c r="C1096" t="s">
        <v>2169</v>
      </c>
      <c r="D1096" t="s">
        <v>26</v>
      </c>
      <c r="E1096" t="s">
        <v>36</v>
      </c>
      <c r="F1096" t="s">
        <v>53</v>
      </c>
      <c r="G1096">
        <v>1</v>
      </c>
      <c r="H1096">
        <v>31925.48</v>
      </c>
      <c r="I1096">
        <v>7468.93</v>
      </c>
      <c r="J1096" t="s">
        <v>28</v>
      </c>
      <c r="K1096" t="s">
        <v>33</v>
      </c>
      <c r="L1096">
        <f t="shared" si="51"/>
        <v>2024</v>
      </c>
      <c r="M1096" t="str">
        <f t="shared" si="52"/>
        <v>Aug</v>
      </c>
      <c r="N1096" s="2">
        <f t="shared" si="53"/>
        <v>0.23394887093318567</v>
      </c>
    </row>
    <row r="1097" spans="1:14" x14ac:dyDescent="0.45">
      <c r="A1097" t="s">
        <v>2170</v>
      </c>
      <c r="B1097" s="1">
        <v>45359</v>
      </c>
      <c r="C1097" t="s">
        <v>2171</v>
      </c>
      <c r="D1097" t="s">
        <v>13</v>
      </c>
      <c r="E1097" t="s">
        <v>20</v>
      </c>
      <c r="F1097" t="s">
        <v>27</v>
      </c>
      <c r="G1097">
        <v>4</v>
      </c>
      <c r="H1097">
        <v>12627.91</v>
      </c>
      <c r="I1097">
        <v>2532.86</v>
      </c>
      <c r="J1097" t="s">
        <v>28</v>
      </c>
      <c r="K1097" t="s">
        <v>29</v>
      </c>
      <c r="L1097">
        <f t="shared" si="51"/>
        <v>2024</v>
      </c>
      <c r="M1097" t="str">
        <f t="shared" si="52"/>
        <v>Mar</v>
      </c>
      <c r="N1097" s="2">
        <f t="shared" si="53"/>
        <v>0.20057634240345396</v>
      </c>
    </row>
    <row r="1098" spans="1:14" x14ac:dyDescent="0.45">
      <c r="A1098" t="s">
        <v>2172</v>
      </c>
      <c r="B1098" s="1">
        <v>45409</v>
      </c>
      <c r="C1098" t="s">
        <v>89</v>
      </c>
      <c r="D1098" t="s">
        <v>56</v>
      </c>
      <c r="E1098" t="s">
        <v>20</v>
      </c>
      <c r="F1098" t="s">
        <v>27</v>
      </c>
      <c r="G1098">
        <v>5</v>
      </c>
      <c r="H1098">
        <v>47950.95</v>
      </c>
      <c r="I1098">
        <v>8445.2099999999991</v>
      </c>
      <c r="J1098" t="s">
        <v>28</v>
      </c>
      <c r="K1098" t="s">
        <v>17</v>
      </c>
      <c r="L1098">
        <f t="shared" si="51"/>
        <v>2024</v>
      </c>
      <c r="M1098" t="str">
        <f t="shared" si="52"/>
        <v>Apr</v>
      </c>
      <c r="N1098" s="2">
        <f t="shared" si="53"/>
        <v>0.17612184951497312</v>
      </c>
    </row>
    <row r="1099" spans="1:14" x14ac:dyDescent="0.45">
      <c r="A1099" t="s">
        <v>2173</v>
      </c>
      <c r="B1099" s="1">
        <v>44877</v>
      </c>
      <c r="C1099" t="s">
        <v>2174</v>
      </c>
      <c r="D1099" t="s">
        <v>56</v>
      </c>
      <c r="E1099" t="s">
        <v>20</v>
      </c>
      <c r="F1099" t="s">
        <v>50</v>
      </c>
      <c r="G1099">
        <v>3</v>
      </c>
      <c r="H1099">
        <v>22061.919999999998</v>
      </c>
      <c r="I1099">
        <v>4149.3999999999996</v>
      </c>
      <c r="J1099" t="s">
        <v>47</v>
      </c>
      <c r="K1099" t="s">
        <v>23</v>
      </c>
      <c r="L1099">
        <f t="shared" si="51"/>
        <v>2022</v>
      </c>
      <c r="M1099" t="str">
        <f t="shared" si="52"/>
        <v>Nov</v>
      </c>
      <c r="N1099" s="2">
        <f t="shared" si="53"/>
        <v>0.18807973195442645</v>
      </c>
    </row>
    <row r="1100" spans="1:14" x14ac:dyDescent="0.45">
      <c r="A1100" t="s">
        <v>2175</v>
      </c>
      <c r="B1100" s="1">
        <v>45093</v>
      </c>
      <c r="C1100" t="s">
        <v>2176</v>
      </c>
      <c r="D1100" t="s">
        <v>26</v>
      </c>
      <c r="E1100" t="s">
        <v>36</v>
      </c>
      <c r="F1100" t="s">
        <v>46</v>
      </c>
      <c r="G1100">
        <v>3</v>
      </c>
      <c r="H1100">
        <v>11249.21</v>
      </c>
      <c r="I1100">
        <v>1302.6300000000001</v>
      </c>
      <c r="J1100" t="s">
        <v>16</v>
      </c>
      <c r="K1100" t="s">
        <v>29</v>
      </c>
      <c r="L1100">
        <f t="shared" si="51"/>
        <v>2023</v>
      </c>
      <c r="M1100" t="str">
        <f t="shared" si="52"/>
        <v>Jun</v>
      </c>
      <c r="N1100" s="2">
        <f t="shared" si="53"/>
        <v>0.11579746488864553</v>
      </c>
    </row>
    <row r="1101" spans="1:14" x14ac:dyDescent="0.45">
      <c r="A1101" t="s">
        <v>2177</v>
      </c>
      <c r="B1101" s="1">
        <v>44830</v>
      </c>
      <c r="C1101" t="s">
        <v>2178</v>
      </c>
      <c r="D1101" t="s">
        <v>56</v>
      </c>
      <c r="E1101" t="s">
        <v>20</v>
      </c>
      <c r="F1101" t="s">
        <v>43</v>
      </c>
      <c r="G1101">
        <v>4</v>
      </c>
      <c r="H1101">
        <v>14046.29</v>
      </c>
      <c r="I1101">
        <v>2569.9899999999998</v>
      </c>
      <c r="J1101" t="s">
        <v>16</v>
      </c>
      <c r="K1101" t="s">
        <v>29</v>
      </c>
      <c r="L1101">
        <f t="shared" si="51"/>
        <v>2022</v>
      </c>
      <c r="M1101" t="str">
        <f t="shared" si="52"/>
        <v>Sep</v>
      </c>
      <c r="N1101" s="2">
        <f t="shared" si="53"/>
        <v>0.18296575109868868</v>
      </c>
    </row>
    <row r="1102" spans="1:14" x14ac:dyDescent="0.45">
      <c r="A1102" t="s">
        <v>2179</v>
      </c>
      <c r="B1102" s="1">
        <v>44685</v>
      </c>
      <c r="C1102" t="s">
        <v>2180</v>
      </c>
      <c r="D1102" t="s">
        <v>13</v>
      </c>
      <c r="E1102" t="s">
        <v>20</v>
      </c>
      <c r="F1102" t="s">
        <v>27</v>
      </c>
      <c r="G1102">
        <v>4</v>
      </c>
      <c r="H1102">
        <v>46292.71</v>
      </c>
      <c r="I1102">
        <v>11548.45</v>
      </c>
      <c r="J1102" t="s">
        <v>16</v>
      </c>
      <c r="K1102" t="s">
        <v>29</v>
      </c>
      <c r="L1102">
        <f t="shared" si="51"/>
        <v>2022</v>
      </c>
      <c r="M1102" t="str">
        <f t="shared" si="52"/>
        <v>May</v>
      </c>
      <c r="N1102" s="2">
        <f t="shared" si="53"/>
        <v>0.24946584462218782</v>
      </c>
    </row>
    <row r="1103" spans="1:14" x14ac:dyDescent="0.45">
      <c r="A1103" t="s">
        <v>2181</v>
      </c>
      <c r="B1103" s="1">
        <v>44844</v>
      </c>
      <c r="C1103" t="s">
        <v>2182</v>
      </c>
      <c r="D1103" t="s">
        <v>56</v>
      </c>
      <c r="E1103" t="s">
        <v>36</v>
      </c>
      <c r="F1103" t="s">
        <v>46</v>
      </c>
      <c r="G1103">
        <v>4</v>
      </c>
      <c r="H1103">
        <v>44133.96</v>
      </c>
      <c r="I1103">
        <v>9951.82</v>
      </c>
      <c r="J1103" t="s">
        <v>16</v>
      </c>
      <c r="K1103" t="s">
        <v>23</v>
      </c>
      <c r="L1103">
        <f t="shared" si="51"/>
        <v>2022</v>
      </c>
      <c r="M1103" t="str">
        <f t="shared" si="52"/>
        <v>Oct</v>
      </c>
      <c r="N1103" s="2">
        <f t="shared" si="53"/>
        <v>0.22549120903721306</v>
      </c>
    </row>
    <row r="1104" spans="1:14" x14ac:dyDescent="0.45">
      <c r="A1104" t="s">
        <v>2183</v>
      </c>
      <c r="B1104" s="1">
        <v>45532</v>
      </c>
      <c r="C1104" t="s">
        <v>2184</v>
      </c>
      <c r="D1104" t="s">
        <v>13</v>
      </c>
      <c r="E1104" t="s">
        <v>36</v>
      </c>
      <c r="F1104" t="s">
        <v>46</v>
      </c>
      <c r="G1104">
        <v>3</v>
      </c>
      <c r="H1104">
        <v>1507.21</v>
      </c>
      <c r="I1104">
        <v>196.9</v>
      </c>
      <c r="J1104" t="s">
        <v>16</v>
      </c>
      <c r="K1104" t="s">
        <v>29</v>
      </c>
      <c r="L1104">
        <f t="shared" si="51"/>
        <v>2024</v>
      </c>
      <c r="M1104" t="str">
        <f t="shared" si="52"/>
        <v>Aug</v>
      </c>
      <c r="N1104" s="2">
        <f t="shared" si="53"/>
        <v>0.13063872983857591</v>
      </c>
    </row>
    <row r="1105" spans="1:14" x14ac:dyDescent="0.45">
      <c r="A1105" t="s">
        <v>2185</v>
      </c>
      <c r="B1105" s="1">
        <v>45288</v>
      </c>
      <c r="C1105" t="s">
        <v>1220</v>
      </c>
      <c r="D1105" t="s">
        <v>26</v>
      </c>
      <c r="E1105" t="s">
        <v>36</v>
      </c>
      <c r="F1105" t="s">
        <v>37</v>
      </c>
      <c r="G1105">
        <v>4</v>
      </c>
      <c r="H1105">
        <v>36160.120000000003</v>
      </c>
      <c r="I1105">
        <v>4255.25</v>
      </c>
      <c r="J1105" t="s">
        <v>22</v>
      </c>
      <c r="K1105" t="s">
        <v>23</v>
      </c>
      <c r="L1105">
        <f t="shared" si="51"/>
        <v>2023</v>
      </c>
      <c r="M1105" t="str">
        <f t="shared" si="52"/>
        <v>Dec</v>
      </c>
      <c r="N1105" s="2">
        <f t="shared" si="53"/>
        <v>0.1176779833695242</v>
      </c>
    </row>
    <row r="1106" spans="1:14" x14ac:dyDescent="0.45">
      <c r="A1106" t="s">
        <v>2186</v>
      </c>
      <c r="B1106" s="1">
        <v>45492</v>
      </c>
      <c r="C1106" t="s">
        <v>2187</v>
      </c>
      <c r="D1106" t="s">
        <v>26</v>
      </c>
      <c r="E1106" t="s">
        <v>20</v>
      </c>
      <c r="F1106" t="s">
        <v>27</v>
      </c>
      <c r="G1106">
        <v>1</v>
      </c>
      <c r="H1106">
        <v>47142.21</v>
      </c>
      <c r="I1106">
        <v>11693.57</v>
      </c>
      <c r="J1106" t="s">
        <v>22</v>
      </c>
      <c r="K1106" t="s">
        <v>17</v>
      </c>
      <c r="L1106">
        <f t="shared" si="51"/>
        <v>2024</v>
      </c>
      <c r="M1106" t="str">
        <f t="shared" si="52"/>
        <v>Jul</v>
      </c>
      <c r="N1106" s="2">
        <f t="shared" si="53"/>
        <v>0.24804882927635341</v>
      </c>
    </row>
    <row r="1107" spans="1:14" x14ac:dyDescent="0.45">
      <c r="A1107" t="s">
        <v>2188</v>
      </c>
      <c r="B1107" s="1">
        <v>44634</v>
      </c>
      <c r="C1107" t="s">
        <v>2189</v>
      </c>
      <c r="D1107" t="s">
        <v>13</v>
      </c>
      <c r="E1107" t="s">
        <v>36</v>
      </c>
      <c r="F1107" t="s">
        <v>64</v>
      </c>
      <c r="G1107">
        <v>1</v>
      </c>
      <c r="H1107">
        <v>15528.82</v>
      </c>
      <c r="I1107">
        <v>3722.81</v>
      </c>
      <c r="J1107" t="s">
        <v>47</v>
      </c>
      <c r="K1107" t="s">
        <v>29</v>
      </c>
      <c r="L1107">
        <f t="shared" si="51"/>
        <v>2022</v>
      </c>
      <c r="M1107" t="str">
        <f t="shared" si="52"/>
        <v>Mar</v>
      </c>
      <c r="N1107" s="2">
        <f t="shared" si="53"/>
        <v>0.23973553689204974</v>
      </c>
    </row>
    <row r="1108" spans="1:14" x14ac:dyDescent="0.45">
      <c r="A1108" t="s">
        <v>2190</v>
      </c>
      <c r="B1108" s="1">
        <v>45625</v>
      </c>
      <c r="C1108" t="s">
        <v>2191</v>
      </c>
      <c r="D1108" t="s">
        <v>56</v>
      </c>
      <c r="E1108" t="s">
        <v>36</v>
      </c>
      <c r="F1108" t="s">
        <v>37</v>
      </c>
      <c r="G1108">
        <v>2</v>
      </c>
      <c r="H1108">
        <v>43928.83</v>
      </c>
      <c r="I1108">
        <v>7845.85</v>
      </c>
      <c r="J1108" t="s">
        <v>47</v>
      </c>
      <c r="K1108" t="s">
        <v>23</v>
      </c>
      <c r="L1108">
        <f t="shared" si="51"/>
        <v>2024</v>
      </c>
      <c r="M1108" t="str">
        <f t="shared" si="52"/>
        <v>Nov</v>
      </c>
      <c r="N1108" s="2">
        <f t="shared" si="53"/>
        <v>0.17860366415404189</v>
      </c>
    </row>
    <row r="1109" spans="1:14" x14ac:dyDescent="0.45">
      <c r="A1109" t="s">
        <v>2192</v>
      </c>
      <c r="B1109" s="1">
        <v>45110</v>
      </c>
      <c r="C1109" t="s">
        <v>2193</v>
      </c>
      <c r="D1109" t="s">
        <v>56</v>
      </c>
      <c r="E1109" t="s">
        <v>36</v>
      </c>
      <c r="F1109" t="s">
        <v>37</v>
      </c>
      <c r="G1109">
        <v>5</v>
      </c>
      <c r="H1109">
        <v>41295.550000000003</v>
      </c>
      <c r="I1109">
        <v>5615.11</v>
      </c>
      <c r="J1109" t="s">
        <v>16</v>
      </c>
      <c r="K1109" t="s">
        <v>17</v>
      </c>
      <c r="L1109">
        <f t="shared" si="51"/>
        <v>2023</v>
      </c>
      <c r="M1109" t="str">
        <f t="shared" si="52"/>
        <v>Jul</v>
      </c>
      <c r="N1109" s="2">
        <f t="shared" si="53"/>
        <v>0.13597373082571848</v>
      </c>
    </row>
    <row r="1110" spans="1:14" x14ac:dyDescent="0.45">
      <c r="A1110" t="s">
        <v>2194</v>
      </c>
      <c r="B1110" s="1">
        <v>45044</v>
      </c>
      <c r="C1110" t="s">
        <v>2195</v>
      </c>
      <c r="D1110" t="s">
        <v>56</v>
      </c>
      <c r="E1110" t="s">
        <v>14</v>
      </c>
      <c r="F1110" t="s">
        <v>40</v>
      </c>
      <c r="G1110">
        <v>5</v>
      </c>
      <c r="H1110">
        <v>18322.490000000002</v>
      </c>
      <c r="I1110">
        <v>4374.55</v>
      </c>
      <c r="J1110" t="s">
        <v>28</v>
      </c>
      <c r="K1110" t="s">
        <v>29</v>
      </c>
      <c r="L1110">
        <f t="shared" si="51"/>
        <v>2023</v>
      </c>
      <c r="M1110" t="str">
        <f t="shared" si="52"/>
        <v>Apr</v>
      </c>
      <c r="N1110" s="2">
        <f t="shared" si="53"/>
        <v>0.23875302974650278</v>
      </c>
    </row>
    <row r="1111" spans="1:14" x14ac:dyDescent="0.45">
      <c r="A1111" t="s">
        <v>2196</v>
      </c>
      <c r="B1111" s="1">
        <v>44767</v>
      </c>
      <c r="C1111" t="s">
        <v>2197</v>
      </c>
      <c r="D1111" t="s">
        <v>13</v>
      </c>
      <c r="E1111" t="s">
        <v>36</v>
      </c>
      <c r="F1111" t="s">
        <v>37</v>
      </c>
      <c r="G1111">
        <v>1</v>
      </c>
      <c r="H1111">
        <v>26374.7</v>
      </c>
      <c r="I1111">
        <v>6389.31</v>
      </c>
      <c r="J1111" t="s">
        <v>71</v>
      </c>
      <c r="K1111" t="s">
        <v>17</v>
      </c>
      <c r="L1111">
        <f t="shared" si="51"/>
        <v>2022</v>
      </c>
      <c r="M1111" t="str">
        <f t="shared" si="52"/>
        <v>Jul</v>
      </c>
      <c r="N1111" s="2">
        <f t="shared" si="53"/>
        <v>0.24225147584617077</v>
      </c>
    </row>
    <row r="1112" spans="1:14" x14ac:dyDescent="0.45">
      <c r="A1112" t="s">
        <v>2198</v>
      </c>
      <c r="B1112" s="1">
        <v>44900</v>
      </c>
      <c r="C1112" t="s">
        <v>2199</v>
      </c>
      <c r="D1112" t="s">
        <v>13</v>
      </c>
      <c r="E1112" t="s">
        <v>36</v>
      </c>
      <c r="F1112" t="s">
        <v>37</v>
      </c>
      <c r="G1112">
        <v>4</v>
      </c>
      <c r="H1112">
        <v>28511.11</v>
      </c>
      <c r="I1112">
        <v>4613.79</v>
      </c>
      <c r="J1112" t="s">
        <v>22</v>
      </c>
      <c r="K1112" t="s">
        <v>33</v>
      </c>
      <c r="L1112">
        <f t="shared" si="51"/>
        <v>2022</v>
      </c>
      <c r="M1112" t="str">
        <f t="shared" si="52"/>
        <v>Dec</v>
      </c>
      <c r="N1112" s="2">
        <f t="shared" si="53"/>
        <v>0.16182428533999552</v>
      </c>
    </row>
    <row r="1113" spans="1:14" x14ac:dyDescent="0.45">
      <c r="A1113" t="s">
        <v>2200</v>
      </c>
      <c r="B1113" s="1">
        <v>45425</v>
      </c>
      <c r="C1113" t="s">
        <v>2201</v>
      </c>
      <c r="D1113" t="s">
        <v>56</v>
      </c>
      <c r="E1113" t="s">
        <v>14</v>
      </c>
      <c r="F1113" t="s">
        <v>40</v>
      </c>
      <c r="G1113">
        <v>5</v>
      </c>
      <c r="H1113">
        <v>18702.5</v>
      </c>
      <c r="I1113">
        <v>2547.1999999999998</v>
      </c>
      <c r="J1113" t="s">
        <v>47</v>
      </c>
      <c r="K1113" t="s">
        <v>29</v>
      </c>
      <c r="L1113">
        <f t="shared" si="51"/>
        <v>2024</v>
      </c>
      <c r="M1113" t="str">
        <f t="shared" si="52"/>
        <v>May</v>
      </c>
      <c r="N1113" s="2">
        <f t="shared" si="53"/>
        <v>0.13619569576259857</v>
      </c>
    </row>
    <row r="1114" spans="1:14" x14ac:dyDescent="0.45">
      <c r="A1114" t="s">
        <v>2202</v>
      </c>
      <c r="B1114" s="1">
        <v>44758</v>
      </c>
      <c r="C1114" t="s">
        <v>2203</v>
      </c>
      <c r="D1114" t="s">
        <v>26</v>
      </c>
      <c r="E1114" t="s">
        <v>36</v>
      </c>
      <c r="F1114" t="s">
        <v>64</v>
      </c>
      <c r="G1114">
        <v>4</v>
      </c>
      <c r="H1114">
        <v>36706.19</v>
      </c>
      <c r="I1114">
        <v>4944.1000000000004</v>
      </c>
      <c r="J1114" t="s">
        <v>47</v>
      </c>
      <c r="K1114" t="s">
        <v>33</v>
      </c>
      <c r="L1114">
        <f t="shared" si="51"/>
        <v>2022</v>
      </c>
      <c r="M1114" t="str">
        <f t="shared" si="52"/>
        <v>Jul</v>
      </c>
      <c r="N1114" s="2">
        <f t="shared" si="53"/>
        <v>0.13469390312642091</v>
      </c>
    </row>
    <row r="1115" spans="1:14" x14ac:dyDescent="0.45">
      <c r="A1115" t="s">
        <v>2204</v>
      </c>
      <c r="B1115" s="1">
        <v>44930</v>
      </c>
      <c r="C1115" t="s">
        <v>2205</v>
      </c>
      <c r="D1115" t="s">
        <v>26</v>
      </c>
      <c r="E1115" t="s">
        <v>36</v>
      </c>
      <c r="F1115" t="s">
        <v>64</v>
      </c>
      <c r="G1115">
        <v>1</v>
      </c>
      <c r="H1115">
        <v>11558.93</v>
      </c>
      <c r="I1115">
        <v>2079.7800000000002</v>
      </c>
      <c r="J1115" t="s">
        <v>16</v>
      </c>
      <c r="K1115" t="s">
        <v>23</v>
      </c>
      <c r="L1115">
        <f t="shared" si="51"/>
        <v>2023</v>
      </c>
      <c r="M1115" t="str">
        <f t="shared" si="52"/>
        <v>Jan</v>
      </c>
      <c r="N1115" s="2">
        <f t="shared" si="53"/>
        <v>0.17992841897995751</v>
      </c>
    </row>
    <row r="1116" spans="1:14" x14ac:dyDescent="0.45">
      <c r="A1116" t="s">
        <v>2206</v>
      </c>
      <c r="B1116" s="1">
        <v>45620</v>
      </c>
      <c r="C1116" t="s">
        <v>2143</v>
      </c>
      <c r="D1116" t="s">
        <v>13</v>
      </c>
      <c r="E1116" t="s">
        <v>14</v>
      </c>
      <c r="F1116" t="s">
        <v>32</v>
      </c>
      <c r="G1116">
        <v>4</v>
      </c>
      <c r="H1116">
        <v>18657.72</v>
      </c>
      <c r="I1116">
        <v>3672.49</v>
      </c>
      <c r="J1116" t="s">
        <v>16</v>
      </c>
      <c r="K1116" t="s">
        <v>17</v>
      </c>
      <c r="L1116">
        <f t="shared" si="51"/>
        <v>2024</v>
      </c>
      <c r="M1116" t="str">
        <f t="shared" si="52"/>
        <v>Nov</v>
      </c>
      <c r="N1116" s="2">
        <f t="shared" si="53"/>
        <v>0.19683487585835779</v>
      </c>
    </row>
    <row r="1117" spans="1:14" x14ac:dyDescent="0.45">
      <c r="A1117" t="s">
        <v>2207</v>
      </c>
      <c r="B1117" s="1">
        <v>45276</v>
      </c>
      <c r="C1117" t="s">
        <v>2208</v>
      </c>
      <c r="D1117" t="s">
        <v>56</v>
      </c>
      <c r="E1117" t="s">
        <v>14</v>
      </c>
      <c r="F1117" t="s">
        <v>40</v>
      </c>
      <c r="G1117">
        <v>4</v>
      </c>
      <c r="H1117">
        <v>47059.41</v>
      </c>
      <c r="I1117">
        <v>7341.69</v>
      </c>
      <c r="J1117" t="s">
        <v>16</v>
      </c>
      <c r="K1117" t="s">
        <v>23</v>
      </c>
      <c r="L1117">
        <f t="shared" si="51"/>
        <v>2023</v>
      </c>
      <c r="M1117" t="str">
        <f t="shared" si="52"/>
        <v>Dec</v>
      </c>
      <c r="N1117" s="2">
        <f t="shared" si="53"/>
        <v>0.15600896823823332</v>
      </c>
    </row>
    <row r="1118" spans="1:14" x14ac:dyDescent="0.45">
      <c r="A1118" t="s">
        <v>2209</v>
      </c>
      <c r="B1118" s="1">
        <v>45617</v>
      </c>
      <c r="C1118" t="s">
        <v>2210</v>
      </c>
      <c r="D1118" t="s">
        <v>26</v>
      </c>
      <c r="E1118" t="s">
        <v>20</v>
      </c>
      <c r="F1118" t="s">
        <v>43</v>
      </c>
      <c r="G1118">
        <v>1</v>
      </c>
      <c r="H1118">
        <v>40686.67</v>
      </c>
      <c r="I1118">
        <v>3499.82</v>
      </c>
      <c r="J1118" t="s">
        <v>47</v>
      </c>
      <c r="K1118" t="s">
        <v>29</v>
      </c>
      <c r="L1118">
        <f t="shared" si="51"/>
        <v>2024</v>
      </c>
      <c r="M1118" t="str">
        <f t="shared" si="52"/>
        <v>Nov</v>
      </c>
      <c r="N1118" s="2">
        <f t="shared" si="53"/>
        <v>8.6018836144614447E-2</v>
      </c>
    </row>
    <row r="1119" spans="1:14" x14ac:dyDescent="0.45">
      <c r="A1119" t="s">
        <v>2211</v>
      </c>
      <c r="B1119" s="1">
        <v>45541</v>
      </c>
      <c r="C1119" t="s">
        <v>2212</v>
      </c>
      <c r="D1119" t="s">
        <v>26</v>
      </c>
      <c r="E1119" t="s">
        <v>20</v>
      </c>
      <c r="F1119" t="s">
        <v>21</v>
      </c>
      <c r="G1119">
        <v>4</v>
      </c>
      <c r="H1119">
        <v>32377.19</v>
      </c>
      <c r="I1119">
        <v>3034.18</v>
      </c>
      <c r="J1119" t="s">
        <v>22</v>
      </c>
      <c r="K1119" t="s">
        <v>33</v>
      </c>
      <c r="L1119">
        <f t="shared" si="51"/>
        <v>2024</v>
      </c>
      <c r="M1119" t="str">
        <f t="shared" si="52"/>
        <v>Sep</v>
      </c>
      <c r="N1119" s="2">
        <f t="shared" si="53"/>
        <v>9.3713506329610438E-2</v>
      </c>
    </row>
    <row r="1120" spans="1:14" x14ac:dyDescent="0.45">
      <c r="A1120" t="s">
        <v>2213</v>
      </c>
      <c r="B1120" s="1">
        <v>45002</v>
      </c>
      <c r="C1120" t="s">
        <v>2214</v>
      </c>
      <c r="D1120" t="s">
        <v>26</v>
      </c>
      <c r="E1120" t="s">
        <v>20</v>
      </c>
      <c r="F1120" t="s">
        <v>43</v>
      </c>
      <c r="G1120">
        <v>1</v>
      </c>
      <c r="H1120">
        <v>31063.87</v>
      </c>
      <c r="I1120">
        <v>6526.17</v>
      </c>
      <c r="J1120" t="s">
        <v>71</v>
      </c>
      <c r="K1120" t="s">
        <v>33</v>
      </c>
      <c r="L1120">
        <f t="shared" si="51"/>
        <v>2023</v>
      </c>
      <c r="M1120" t="str">
        <f t="shared" si="52"/>
        <v>Mar</v>
      </c>
      <c r="N1120" s="2">
        <f t="shared" si="53"/>
        <v>0.21008876228235568</v>
      </c>
    </row>
    <row r="1121" spans="1:14" x14ac:dyDescent="0.45">
      <c r="A1121" t="s">
        <v>2215</v>
      </c>
      <c r="B1121" s="1">
        <v>44658</v>
      </c>
      <c r="C1121" t="s">
        <v>2216</v>
      </c>
      <c r="D1121" t="s">
        <v>13</v>
      </c>
      <c r="E1121" t="s">
        <v>20</v>
      </c>
      <c r="F1121" t="s">
        <v>21</v>
      </c>
      <c r="G1121">
        <v>1</v>
      </c>
      <c r="H1121">
        <v>6667.88</v>
      </c>
      <c r="I1121">
        <v>721.6</v>
      </c>
      <c r="J1121" t="s">
        <v>22</v>
      </c>
      <c r="K1121" t="s">
        <v>17</v>
      </c>
      <c r="L1121">
        <f t="shared" si="51"/>
        <v>2022</v>
      </c>
      <c r="M1121" t="str">
        <f t="shared" si="52"/>
        <v>Apr</v>
      </c>
      <c r="N1121" s="2">
        <f t="shared" si="53"/>
        <v>0.10822030390468936</v>
      </c>
    </row>
    <row r="1122" spans="1:14" x14ac:dyDescent="0.45">
      <c r="A1122" t="s">
        <v>2217</v>
      </c>
      <c r="B1122" s="1">
        <v>45339</v>
      </c>
      <c r="C1122" t="s">
        <v>2218</v>
      </c>
      <c r="D1122" t="s">
        <v>13</v>
      </c>
      <c r="E1122" t="s">
        <v>20</v>
      </c>
      <c r="F1122" t="s">
        <v>21</v>
      </c>
      <c r="G1122">
        <v>3</v>
      </c>
      <c r="H1122">
        <v>13934.34</v>
      </c>
      <c r="I1122">
        <v>2037.39</v>
      </c>
      <c r="J1122" t="s">
        <v>71</v>
      </c>
      <c r="K1122" t="s">
        <v>33</v>
      </c>
      <c r="L1122">
        <f t="shared" si="51"/>
        <v>2024</v>
      </c>
      <c r="M1122" t="str">
        <f t="shared" si="52"/>
        <v>Feb</v>
      </c>
      <c r="N1122" s="2">
        <f t="shared" si="53"/>
        <v>0.14621359892180039</v>
      </c>
    </row>
    <row r="1123" spans="1:14" x14ac:dyDescent="0.45">
      <c r="A1123" t="s">
        <v>2219</v>
      </c>
      <c r="B1123" s="1">
        <v>44829</v>
      </c>
      <c r="C1123" t="s">
        <v>2220</v>
      </c>
      <c r="D1123" t="s">
        <v>13</v>
      </c>
      <c r="E1123" t="s">
        <v>20</v>
      </c>
      <c r="F1123" t="s">
        <v>43</v>
      </c>
      <c r="G1123">
        <v>1</v>
      </c>
      <c r="H1123">
        <v>3718.39</v>
      </c>
      <c r="I1123">
        <v>870.08</v>
      </c>
      <c r="J1123" t="s">
        <v>22</v>
      </c>
      <c r="K1123" t="s">
        <v>17</v>
      </c>
      <c r="L1123">
        <f t="shared" si="51"/>
        <v>2022</v>
      </c>
      <c r="M1123" t="str">
        <f t="shared" si="52"/>
        <v>Sep</v>
      </c>
      <c r="N1123" s="2">
        <f t="shared" si="53"/>
        <v>0.23399374460451972</v>
      </c>
    </row>
    <row r="1124" spans="1:14" x14ac:dyDescent="0.45">
      <c r="A1124" t="s">
        <v>2221</v>
      </c>
      <c r="B1124" s="1">
        <v>44628</v>
      </c>
      <c r="C1124" t="s">
        <v>2222</v>
      </c>
      <c r="D1124" t="s">
        <v>56</v>
      </c>
      <c r="E1124" t="s">
        <v>14</v>
      </c>
      <c r="F1124" t="s">
        <v>15</v>
      </c>
      <c r="G1124">
        <v>4</v>
      </c>
      <c r="H1124">
        <v>31730.87</v>
      </c>
      <c r="I1124">
        <v>4065</v>
      </c>
      <c r="J1124" t="s">
        <v>47</v>
      </c>
      <c r="K1124" t="s">
        <v>23</v>
      </c>
      <c r="L1124">
        <f t="shared" si="51"/>
        <v>2022</v>
      </c>
      <c r="M1124" t="str">
        <f t="shared" si="52"/>
        <v>Mar</v>
      </c>
      <c r="N1124" s="2">
        <f t="shared" si="53"/>
        <v>0.12810868406696696</v>
      </c>
    </row>
    <row r="1125" spans="1:14" x14ac:dyDescent="0.45">
      <c r="A1125" t="s">
        <v>2223</v>
      </c>
      <c r="B1125" s="1">
        <v>45053</v>
      </c>
      <c r="C1125" t="s">
        <v>2224</v>
      </c>
      <c r="D1125" t="s">
        <v>13</v>
      </c>
      <c r="E1125" t="s">
        <v>36</v>
      </c>
      <c r="F1125" t="s">
        <v>37</v>
      </c>
      <c r="G1125">
        <v>4</v>
      </c>
      <c r="H1125">
        <v>16243.72</v>
      </c>
      <c r="I1125">
        <v>2322.89</v>
      </c>
      <c r="J1125" t="s">
        <v>28</v>
      </c>
      <c r="K1125" t="s">
        <v>29</v>
      </c>
      <c r="L1125">
        <f t="shared" si="51"/>
        <v>2023</v>
      </c>
      <c r="M1125" t="str">
        <f t="shared" si="52"/>
        <v>May</v>
      </c>
      <c r="N1125" s="2">
        <f t="shared" si="53"/>
        <v>0.14300234182810342</v>
      </c>
    </row>
    <row r="1126" spans="1:14" x14ac:dyDescent="0.45">
      <c r="A1126" t="s">
        <v>2225</v>
      </c>
      <c r="B1126" s="1">
        <v>44782</v>
      </c>
      <c r="C1126" t="s">
        <v>2226</v>
      </c>
      <c r="D1126" t="s">
        <v>56</v>
      </c>
      <c r="E1126" t="s">
        <v>20</v>
      </c>
      <c r="F1126" t="s">
        <v>21</v>
      </c>
      <c r="G1126">
        <v>1</v>
      </c>
      <c r="H1126">
        <v>8595.25</v>
      </c>
      <c r="I1126">
        <v>1995.16</v>
      </c>
      <c r="J1126" t="s">
        <v>16</v>
      </c>
      <c r="K1126" t="s">
        <v>17</v>
      </c>
      <c r="L1126">
        <f t="shared" si="51"/>
        <v>2022</v>
      </c>
      <c r="M1126" t="str">
        <f t="shared" si="52"/>
        <v>Aug</v>
      </c>
      <c r="N1126" s="2">
        <f t="shared" si="53"/>
        <v>0.23212355661557257</v>
      </c>
    </row>
    <row r="1127" spans="1:14" x14ac:dyDescent="0.45">
      <c r="A1127" t="s">
        <v>2227</v>
      </c>
      <c r="B1127" s="1">
        <v>45140</v>
      </c>
      <c r="C1127" t="s">
        <v>2228</v>
      </c>
      <c r="D1127" t="s">
        <v>26</v>
      </c>
      <c r="E1127" t="s">
        <v>14</v>
      </c>
      <c r="F1127" t="s">
        <v>40</v>
      </c>
      <c r="G1127">
        <v>2</v>
      </c>
      <c r="H1127">
        <v>48967.92</v>
      </c>
      <c r="I1127">
        <v>7849.48</v>
      </c>
      <c r="J1127" t="s">
        <v>28</v>
      </c>
      <c r="K1127" t="s">
        <v>23</v>
      </c>
      <c r="L1127">
        <f t="shared" si="51"/>
        <v>2023</v>
      </c>
      <c r="M1127" t="str">
        <f t="shared" si="52"/>
        <v>Aug</v>
      </c>
      <c r="N1127" s="2">
        <f t="shared" si="53"/>
        <v>0.16029841577914683</v>
      </c>
    </row>
    <row r="1128" spans="1:14" x14ac:dyDescent="0.45">
      <c r="A1128" t="s">
        <v>2229</v>
      </c>
      <c r="B1128" s="1">
        <v>44706</v>
      </c>
      <c r="C1128" t="s">
        <v>1312</v>
      </c>
      <c r="D1128" t="s">
        <v>13</v>
      </c>
      <c r="E1128" t="s">
        <v>36</v>
      </c>
      <c r="F1128" t="s">
        <v>53</v>
      </c>
      <c r="G1128">
        <v>3</v>
      </c>
      <c r="H1128">
        <v>5099.2700000000004</v>
      </c>
      <c r="I1128">
        <v>334.19</v>
      </c>
      <c r="J1128" t="s">
        <v>16</v>
      </c>
      <c r="K1128" t="s">
        <v>33</v>
      </c>
      <c r="L1128">
        <f t="shared" si="51"/>
        <v>2022</v>
      </c>
      <c r="M1128" t="str">
        <f t="shared" si="52"/>
        <v>May</v>
      </c>
      <c r="N1128" s="2">
        <f t="shared" si="53"/>
        <v>6.5536831742582749E-2</v>
      </c>
    </row>
    <row r="1129" spans="1:14" x14ac:dyDescent="0.45">
      <c r="A1129" t="s">
        <v>2230</v>
      </c>
      <c r="B1129" s="1">
        <v>45090</v>
      </c>
      <c r="C1129" t="s">
        <v>2231</v>
      </c>
      <c r="D1129" t="s">
        <v>26</v>
      </c>
      <c r="E1129" t="s">
        <v>20</v>
      </c>
      <c r="F1129" t="s">
        <v>50</v>
      </c>
      <c r="G1129">
        <v>4</v>
      </c>
      <c r="H1129">
        <v>44859.28</v>
      </c>
      <c r="I1129">
        <v>2557.7199999999998</v>
      </c>
      <c r="J1129" t="s">
        <v>71</v>
      </c>
      <c r="K1129" t="s">
        <v>29</v>
      </c>
      <c r="L1129">
        <f t="shared" si="51"/>
        <v>2023</v>
      </c>
      <c r="M1129" t="str">
        <f t="shared" si="52"/>
        <v>Jun</v>
      </c>
      <c r="N1129" s="2">
        <f t="shared" si="53"/>
        <v>5.7016519212969977E-2</v>
      </c>
    </row>
    <row r="1130" spans="1:14" x14ac:dyDescent="0.45">
      <c r="A1130" t="s">
        <v>2232</v>
      </c>
      <c r="B1130" s="1">
        <v>44646</v>
      </c>
      <c r="C1130" t="s">
        <v>2233</v>
      </c>
      <c r="D1130" t="s">
        <v>13</v>
      </c>
      <c r="E1130" t="s">
        <v>36</v>
      </c>
      <c r="F1130" t="s">
        <v>46</v>
      </c>
      <c r="G1130">
        <v>3</v>
      </c>
      <c r="H1130">
        <v>28198.6</v>
      </c>
      <c r="I1130">
        <v>2128.1</v>
      </c>
      <c r="J1130" t="s">
        <v>22</v>
      </c>
      <c r="K1130" t="s">
        <v>33</v>
      </c>
      <c r="L1130">
        <f t="shared" si="51"/>
        <v>2022</v>
      </c>
      <c r="M1130" t="str">
        <f t="shared" si="52"/>
        <v>Mar</v>
      </c>
      <c r="N1130" s="2">
        <f t="shared" si="53"/>
        <v>7.5468285659571754E-2</v>
      </c>
    </row>
    <row r="1131" spans="1:14" x14ac:dyDescent="0.45">
      <c r="A1131" t="s">
        <v>2234</v>
      </c>
      <c r="B1131" s="1">
        <v>44834</v>
      </c>
      <c r="C1131" t="s">
        <v>2235</v>
      </c>
      <c r="D1131" t="s">
        <v>56</v>
      </c>
      <c r="E1131" t="s">
        <v>14</v>
      </c>
      <c r="F1131" t="s">
        <v>40</v>
      </c>
      <c r="G1131">
        <v>3</v>
      </c>
      <c r="H1131">
        <v>13966.56</v>
      </c>
      <c r="I1131">
        <v>2337.39</v>
      </c>
      <c r="J1131" t="s">
        <v>16</v>
      </c>
      <c r="K1131" t="s">
        <v>17</v>
      </c>
      <c r="L1131">
        <f t="shared" si="51"/>
        <v>2022</v>
      </c>
      <c r="M1131" t="str">
        <f t="shared" si="52"/>
        <v>Sep</v>
      </c>
      <c r="N1131" s="2">
        <f t="shared" si="53"/>
        <v>0.16735617073925146</v>
      </c>
    </row>
    <row r="1132" spans="1:14" x14ac:dyDescent="0.45">
      <c r="A1132" t="s">
        <v>2236</v>
      </c>
      <c r="B1132" s="1">
        <v>45199</v>
      </c>
      <c r="C1132" t="s">
        <v>2237</v>
      </c>
      <c r="D1132" t="s">
        <v>13</v>
      </c>
      <c r="E1132" t="s">
        <v>14</v>
      </c>
      <c r="F1132" t="s">
        <v>57</v>
      </c>
      <c r="G1132">
        <v>3</v>
      </c>
      <c r="H1132">
        <v>35312.800000000003</v>
      </c>
      <c r="I1132">
        <v>7341.85</v>
      </c>
      <c r="J1132" t="s">
        <v>22</v>
      </c>
      <c r="K1132" t="s">
        <v>33</v>
      </c>
      <c r="L1132">
        <f t="shared" si="51"/>
        <v>2023</v>
      </c>
      <c r="M1132" t="str">
        <f t="shared" si="52"/>
        <v>Sep</v>
      </c>
      <c r="N1132" s="2">
        <f t="shared" si="53"/>
        <v>0.20790903015337214</v>
      </c>
    </row>
    <row r="1133" spans="1:14" x14ac:dyDescent="0.45">
      <c r="A1133" t="s">
        <v>2238</v>
      </c>
      <c r="B1133" s="1">
        <v>45613</v>
      </c>
      <c r="C1133" t="s">
        <v>1286</v>
      </c>
      <c r="D1133" t="s">
        <v>26</v>
      </c>
      <c r="E1133" t="s">
        <v>14</v>
      </c>
      <c r="F1133" t="s">
        <v>32</v>
      </c>
      <c r="G1133">
        <v>2</v>
      </c>
      <c r="H1133">
        <v>38346.800000000003</v>
      </c>
      <c r="I1133">
        <v>2498.0700000000002</v>
      </c>
      <c r="J1133" t="s">
        <v>71</v>
      </c>
      <c r="K1133" t="s">
        <v>17</v>
      </c>
      <c r="L1133">
        <f t="shared" si="51"/>
        <v>2024</v>
      </c>
      <c r="M1133" t="str">
        <f t="shared" si="52"/>
        <v>Nov</v>
      </c>
      <c r="N1133" s="2">
        <f t="shared" si="53"/>
        <v>6.5144158052301629E-2</v>
      </c>
    </row>
    <row r="1134" spans="1:14" x14ac:dyDescent="0.45">
      <c r="A1134" t="s">
        <v>2239</v>
      </c>
      <c r="B1134" s="1">
        <v>44747</v>
      </c>
      <c r="C1134" t="s">
        <v>2240</v>
      </c>
      <c r="D1134" t="s">
        <v>26</v>
      </c>
      <c r="E1134" t="s">
        <v>20</v>
      </c>
      <c r="F1134" t="s">
        <v>27</v>
      </c>
      <c r="G1134">
        <v>2</v>
      </c>
      <c r="H1134">
        <v>20963.73</v>
      </c>
      <c r="I1134">
        <v>3388.26</v>
      </c>
      <c r="J1134" t="s">
        <v>16</v>
      </c>
      <c r="K1134" t="s">
        <v>17</v>
      </c>
      <c r="L1134">
        <f t="shared" si="51"/>
        <v>2022</v>
      </c>
      <c r="M1134" t="str">
        <f t="shared" si="52"/>
        <v>Jul</v>
      </c>
      <c r="N1134" s="2">
        <f t="shared" si="53"/>
        <v>0.16162486351426966</v>
      </c>
    </row>
    <row r="1135" spans="1:14" x14ac:dyDescent="0.45">
      <c r="A1135" t="s">
        <v>2241</v>
      </c>
      <c r="B1135" s="1">
        <v>44865</v>
      </c>
      <c r="C1135" t="s">
        <v>2242</v>
      </c>
      <c r="D1135" t="s">
        <v>56</v>
      </c>
      <c r="E1135" t="s">
        <v>20</v>
      </c>
      <c r="F1135" t="s">
        <v>43</v>
      </c>
      <c r="G1135">
        <v>5</v>
      </c>
      <c r="H1135">
        <v>1763.79</v>
      </c>
      <c r="I1135">
        <v>307.27999999999997</v>
      </c>
      <c r="J1135" t="s">
        <v>22</v>
      </c>
      <c r="K1135" t="s">
        <v>33</v>
      </c>
      <c r="L1135">
        <f t="shared" si="51"/>
        <v>2022</v>
      </c>
      <c r="M1135" t="str">
        <f t="shared" si="52"/>
        <v>Oct</v>
      </c>
      <c r="N1135" s="2">
        <f t="shared" si="53"/>
        <v>0.17421575130826231</v>
      </c>
    </row>
    <row r="1136" spans="1:14" x14ac:dyDescent="0.45">
      <c r="A1136" t="s">
        <v>2243</v>
      </c>
      <c r="B1136" s="1">
        <v>45496</v>
      </c>
      <c r="C1136" t="s">
        <v>2244</v>
      </c>
      <c r="D1136" t="s">
        <v>56</v>
      </c>
      <c r="E1136" t="s">
        <v>14</v>
      </c>
      <c r="F1136" t="s">
        <v>15</v>
      </c>
      <c r="G1136">
        <v>3</v>
      </c>
      <c r="H1136">
        <v>8372.5499999999993</v>
      </c>
      <c r="I1136">
        <v>710.57</v>
      </c>
      <c r="J1136" t="s">
        <v>71</v>
      </c>
      <c r="K1136" t="s">
        <v>17</v>
      </c>
      <c r="L1136">
        <f t="shared" si="51"/>
        <v>2024</v>
      </c>
      <c r="M1136" t="str">
        <f t="shared" si="52"/>
        <v>Jul</v>
      </c>
      <c r="N1136" s="2">
        <f t="shared" si="53"/>
        <v>8.4869006455619872E-2</v>
      </c>
    </row>
    <row r="1137" spans="1:14" x14ac:dyDescent="0.45">
      <c r="A1137" t="s">
        <v>2245</v>
      </c>
      <c r="B1137" s="1">
        <v>44638</v>
      </c>
      <c r="C1137" t="s">
        <v>2246</v>
      </c>
      <c r="D1137" t="s">
        <v>13</v>
      </c>
      <c r="E1137" t="s">
        <v>36</v>
      </c>
      <c r="F1137" t="s">
        <v>64</v>
      </c>
      <c r="G1137">
        <v>4</v>
      </c>
      <c r="H1137">
        <v>6234.75</v>
      </c>
      <c r="I1137">
        <v>459.43</v>
      </c>
      <c r="J1137" t="s">
        <v>22</v>
      </c>
      <c r="K1137" t="s">
        <v>29</v>
      </c>
      <c r="L1137">
        <f t="shared" si="51"/>
        <v>2022</v>
      </c>
      <c r="M1137" t="str">
        <f t="shared" si="52"/>
        <v>Mar</v>
      </c>
      <c r="N1137" s="2">
        <f t="shared" si="53"/>
        <v>7.3688600184450059E-2</v>
      </c>
    </row>
    <row r="1138" spans="1:14" x14ac:dyDescent="0.45">
      <c r="A1138" t="s">
        <v>2247</v>
      </c>
      <c r="B1138" s="1">
        <v>45412</v>
      </c>
      <c r="C1138" t="s">
        <v>2248</v>
      </c>
      <c r="D1138" t="s">
        <v>56</v>
      </c>
      <c r="E1138" t="s">
        <v>14</v>
      </c>
      <c r="F1138" t="s">
        <v>15</v>
      </c>
      <c r="G1138">
        <v>1</v>
      </c>
      <c r="H1138">
        <v>44211.99</v>
      </c>
      <c r="I1138">
        <v>8886.98</v>
      </c>
      <c r="J1138" t="s">
        <v>22</v>
      </c>
      <c r="K1138" t="s">
        <v>33</v>
      </c>
      <c r="L1138">
        <f t="shared" si="51"/>
        <v>2024</v>
      </c>
      <c r="M1138" t="str">
        <f t="shared" si="52"/>
        <v>Apr</v>
      </c>
      <c r="N1138" s="2">
        <f t="shared" si="53"/>
        <v>0.20100836899673596</v>
      </c>
    </row>
    <row r="1139" spans="1:14" x14ac:dyDescent="0.45">
      <c r="A1139" t="s">
        <v>2249</v>
      </c>
      <c r="B1139" s="1">
        <v>45571</v>
      </c>
      <c r="C1139" t="s">
        <v>2250</v>
      </c>
      <c r="D1139" t="s">
        <v>26</v>
      </c>
      <c r="E1139" t="s">
        <v>20</v>
      </c>
      <c r="F1139" t="s">
        <v>21</v>
      </c>
      <c r="G1139">
        <v>5</v>
      </c>
      <c r="H1139">
        <v>21858.32</v>
      </c>
      <c r="I1139">
        <v>1304.23</v>
      </c>
      <c r="J1139" t="s">
        <v>16</v>
      </c>
      <c r="K1139" t="s">
        <v>23</v>
      </c>
      <c r="L1139">
        <f t="shared" si="51"/>
        <v>2024</v>
      </c>
      <c r="M1139" t="str">
        <f t="shared" si="52"/>
        <v>Oct</v>
      </c>
      <c r="N1139" s="2">
        <f t="shared" si="53"/>
        <v>5.9667440132635995E-2</v>
      </c>
    </row>
    <row r="1140" spans="1:14" x14ac:dyDescent="0.45">
      <c r="A1140" t="s">
        <v>2251</v>
      </c>
      <c r="B1140" s="1">
        <v>45206</v>
      </c>
      <c r="C1140" t="s">
        <v>2252</v>
      </c>
      <c r="D1140" t="s">
        <v>26</v>
      </c>
      <c r="E1140" t="s">
        <v>20</v>
      </c>
      <c r="F1140" t="s">
        <v>21</v>
      </c>
      <c r="G1140">
        <v>4</v>
      </c>
      <c r="H1140">
        <v>39331.949999999997</v>
      </c>
      <c r="I1140">
        <v>2325.92</v>
      </c>
      <c r="J1140" t="s">
        <v>22</v>
      </c>
      <c r="K1140" t="s">
        <v>33</v>
      </c>
      <c r="L1140">
        <f t="shared" si="51"/>
        <v>2023</v>
      </c>
      <c r="M1140" t="str">
        <f t="shared" si="52"/>
        <v>Oct</v>
      </c>
      <c r="N1140" s="2">
        <f t="shared" si="53"/>
        <v>5.9135639092391813E-2</v>
      </c>
    </row>
    <row r="1141" spans="1:14" x14ac:dyDescent="0.45">
      <c r="A1141" t="s">
        <v>2253</v>
      </c>
      <c r="B1141" s="1">
        <v>44638</v>
      </c>
      <c r="C1141" t="s">
        <v>2254</v>
      </c>
      <c r="D1141" t="s">
        <v>13</v>
      </c>
      <c r="E1141" t="s">
        <v>14</v>
      </c>
      <c r="F1141" t="s">
        <v>40</v>
      </c>
      <c r="G1141">
        <v>3</v>
      </c>
      <c r="H1141">
        <v>4747.54</v>
      </c>
      <c r="I1141">
        <v>501.23</v>
      </c>
      <c r="J1141" t="s">
        <v>22</v>
      </c>
      <c r="K1141" t="s">
        <v>17</v>
      </c>
      <c r="L1141">
        <f t="shared" si="51"/>
        <v>2022</v>
      </c>
      <c r="M1141" t="str">
        <f t="shared" si="52"/>
        <v>Mar</v>
      </c>
      <c r="N1141" s="2">
        <f t="shared" si="53"/>
        <v>0.10557678292336663</v>
      </c>
    </row>
    <row r="1142" spans="1:14" x14ac:dyDescent="0.45">
      <c r="A1142" t="s">
        <v>2255</v>
      </c>
      <c r="B1142" s="1">
        <v>44790</v>
      </c>
      <c r="C1142" t="s">
        <v>2256</v>
      </c>
      <c r="D1142" t="s">
        <v>26</v>
      </c>
      <c r="E1142" t="s">
        <v>20</v>
      </c>
      <c r="F1142" t="s">
        <v>50</v>
      </c>
      <c r="G1142">
        <v>3</v>
      </c>
      <c r="H1142">
        <v>25789.16</v>
      </c>
      <c r="I1142">
        <v>1416.3</v>
      </c>
      <c r="J1142" t="s">
        <v>28</v>
      </c>
      <c r="K1142" t="s">
        <v>17</v>
      </c>
      <c r="L1142">
        <f t="shared" si="51"/>
        <v>2022</v>
      </c>
      <c r="M1142" t="str">
        <f t="shared" si="52"/>
        <v>Aug</v>
      </c>
      <c r="N1142" s="2">
        <f t="shared" si="53"/>
        <v>5.4918423089391044E-2</v>
      </c>
    </row>
    <row r="1143" spans="1:14" x14ac:dyDescent="0.45">
      <c r="A1143" t="s">
        <v>2257</v>
      </c>
      <c r="B1143" s="1">
        <v>44803</v>
      </c>
      <c r="C1143" t="s">
        <v>2258</v>
      </c>
      <c r="D1143" t="s">
        <v>56</v>
      </c>
      <c r="E1143" t="s">
        <v>14</v>
      </c>
      <c r="F1143" t="s">
        <v>32</v>
      </c>
      <c r="G1143">
        <v>2</v>
      </c>
      <c r="H1143">
        <v>18302.349999999999</v>
      </c>
      <c r="I1143">
        <v>3777.42</v>
      </c>
      <c r="J1143" t="s">
        <v>47</v>
      </c>
      <c r="K1143" t="s">
        <v>23</v>
      </c>
      <c r="L1143">
        <f t="shared" si="51"/>
        <v>2022</v>
      </c>
      <c r="M1143" t="str">
        <f t="shared" si="52"/>
        <v>Aug</v>
      </c>
      <c r="N1143" s="2">
        <f t="shared" si="53"/>
        <v>0.20638988982289161</v>
      </c>
    </row>
    <row r="1144" spans="1:14" x14ac:dyDescent="0.45">
      <c r="A1144" t="s">
        <v>2259</v>
      </c>
      <c r="B1144" s="1">
        <v>45291</v>
      </c>
      <c r="C1144" t="s">
        <v>2260</v>
      </c>
      <c r="D1144" t="s">
        <v>26</v>
      </c>
      <c r="E1144" t="s">
        <v>14</v>
      </c>
      <c r="F1144" t="s">
        <v>32</v>
      </c>
      <c r="G1144">
        <v>3</v>
      </c>
      <c r="H1144">
        <v>19924.34</v>
      </c>
      <c r="I1144">
        <v>2537.92</v>
      </c>
      <c r="J1144" t="s">
        <v>71</v>
      </c>
      <c r="K1144" t="s">
        <v>29</v>
      </c>
      <c r="L1144">
        <f t="shared" si="51"/>
        <v>2023</v>
      </c>
      <c r="M1144" t="str">
        <f t="shared" si="52"/>
        <v>Dec</v>
      </c>
      <c r="N1144" s="2">
        <f t="shared" si="53"/>
        <v>0.12737787048404112</v>
      </c>
    </row>
    <row r="1145" spans="1:14" x14ac:dyDescent="0.45">
      <c r="A1145" t="s">
        <v>2261</v>
      </c>
      <c r="B1145" s="1">
        <v>44636</v>
      </c>
      <c r="C1145" t="s">
        <v>2262</v>
      </c>
      <c r="D1145" t="s">
        <v>13</v>
      </c>
      <c r="E1145" t="s">
        <v>20</v>
      </c>
      <c r="F1145" t="s">
        <v>43</v>
      </c>
      <c r="G1145">
        <v>3</v>
      </c>
      <c r="H1145">
        <v>2729.39</v>
      </c>
      <c r="I1145">
        <v>219.1</v>
      </c>
      <c r="J1145" t="s">
        <v>47</v>
      </c>
      <c r="K1145" t="s">
        <v>17</v>
      </c>
      <c r="L1145">
        <f t="shared" si="51"/>
        <v>2022</v>
      </c>
      <c r="M1145" t="str">
        <f t="shared" si="52"/>
        <v>Mar</v>
      </c>
      <c r="N1145" s="2">
        <f t="shared" si="53"/>
        <v>8.0274347015267145E-2</v>
      </c>
    </row>
    <row r="1146" spans="1:14" x14ac:dyDescent="0.45">
      <c r="A1146" t="s">
        <v>2263</v>
      </c>
      <c r="B1146" s="1">
        <v>45632</v>
      </c>
      <c r="C1146" t="s">
        <v>2264</v>
      </c>
      <c r="D1146" t="s">
        <v>56</v>
      </c>
      <c r="E1146" t="s">
        <v>20</v>
      </c>
      <c r="F1146" t="s">
        <v>50</v>
      </c>
      <c r="G1146">
        <v>1</v>
      </c>
      <c r="H1146">
        <v>23571.56</v>
      </c>
      <c r="I1146">
        <v>1892.9</v>
      </c>
      <c r="J1146" t="s">
        <v>22</v>
      </c>
      <c r="K1146" t="s">
        <v>29</v>
      </c>
      <c r="L1146">
        <f t="shared" si="51"/>
        <v>2024</v>
      </c>
      <c r="M1146" t="str">
        <f t="shared" si="52"/>
        <v>Dec</v>
      </c>
      <c r="N1146" s="2">
        <f t="shared" si="53"/>
        <v>8.0304400726977768E-2</v>
      </c>
    </row>
    <row r="1147" spans="1:14" x14ac:dyDescent="0.45">
      <c r="A1147" t="s">
        <v>2265</v>
      </c>
      <c r="B1147" s="1">
        <v>45144</v>
      </c>
      <c r="C1147" t="s">
        <v>2266</v>
      </c>
      <c r="D1147" t="s">
        <v>13</v>
      </c>
      <c r="E1147" t="s">
        <v>36</v>
      </c>
      <c r="F1147" t="s">
        <v>46</v>
      </c>
      <c r="G1147">
        <v>5</v>
      </c>
      <c r="H1147">
        <v>17783.580000000002</v>
      </c>
      <c r="I1147">
        <v>2642.07</v>
      </c>
      <c r="J1147" t="s">
        <v>28</v>
      </c>
      <c r="K1147" t="s">
        <v>29</v>
      </c>
      <c r="L1147">
        <f t="shared" si="51"/>
        <v>2023</v>
      </c>
      <c r="M1147" t="str">
        <f t="shared" si="52"/>
        <v>Aug</v>
      </c>
      <c r="N1147" s="2">
        <f t="shared" si="53"/>
        <v>0.148567948635764</v>
      </c>
    </row>
    <row r="1148" spans="1:14" x14ac:dyDescent="0.45">
      <c r="A1148" t="s">
        <v>2267</v>
      </c>
      <c r="B1148" s="1">
        <v>44944</v>
      </c>
      <c r="C1148" t="s">
        <v>2268</v>
      </c>
      <c r="D1148" t="s">
        <v>26</v>
      </c>
      <c r="E1148" t="s">
        <v>20</v>
      </c>
      <c r="F1148" t="s">
        <v>21</v>
      </c>
      <c r="G1148">
        <v>3</v>
      </c>
      <c r="H1148">
        <v>40070.25</v>
      </c>
      <c r="I1148">
        <v>9481.7099999999991</v>
      </c>
      <c r="J1148" t="s">
        <v>22</v>
      </c>
      <c r="K1148" t="s">
        <v>23</v>
      </c>
      <c r="L1148">
        <f t="shared" si="51"/>
        <v>2023</v>
      </c>
      <c r="M1148" t="str">
        <f t="shared" si="52"/>
        <v>Jan</v>
      </c>
      <c r="N1148" s="2">
        <f t="shared" si="53"/>
        <v>0.23662717352649407</v>
      </c>
    </row>
    <row r="1149" spans="1:14" x14ac:dyDescent="0.45">
      <c r="A1149" t="s">
        <v>2269</v>
      </c>
      <c r="B1149" s="1">
        <v>45017</v>
      </c>
      <c r="C1149" t="s">
        <v>2270</v>
      </c>
      <c r="D1149" t="s">
        <v>56</v>
      </c>
      <c r="E1149" t="s">
        <v>36</v>
      </c>
      <c r="F1149" t="s">
        <v>53</v>
      </c>
      <c r="G1149">
        <v>3</v>
      </c>
      <c r="H1149">
        <v>4741.9399999999996</v>
      </c>
      <c r="I1149">
        <v>597.44000000000005</v>
      </c>
      <c r="J1149" t="s">
        <v>22</v>
      </c>
      <c r="K1149" t="s">
        <v>29</v>
      </c>
      <c r="L1149">
        <f t="shared" si="51"/>
        <v>2023</v>
      </c>
      <c r="M1149" t="str">
        <f t="shared" si="52"/>
        <v>Apr</v>
      </c>
      <c r="N1149" s="2">
        <f t="shared" si="53"/>
        <v>0.12599062830824517</v>
      </c>
    </row>
    <row r="1150" spans="1:14" x14ac:dyDescent="0.45">
      <c r="A1150" t="s">
        <v>2271</v>
      </c>
      <c r="B1150" s="1">
        <v>44666</v>
      </c>
      <c r="C1150" t="s">
        <v>2272</v>
      </c>
      <c r="D1150" t="s">
        <v>26</v>
      </c>
      <c r="E1150" t="s">
        <v>36</v>
      </c>
      <c r="F1150" t="s">
        <v>37</v>
      </c>
      <c r="G1150">
        <v>2</v>
      </c>
      <c r="H1150">
        <v>9151.4599999999991</v>
      </c>
      <c r="I1150">
        <v>1958.73</v>
      </c>
      <c r="J1150" t="s">
        <v>22</v>
      </c>
      <c r="K1150" t="s">
        <v>23</v>
      </c>
      <c r="L1150">
        <f t="shared" si="51"/>
        <v>2022</v>
      </c>
      <c r="M1150" t="str">
        <f t="shared" si="52"/>
        <v>Apr</v>
      </c>
      <c r="N1150" s="2">
        <f t="shared" si="53"/>
        <v>0.21403470047402276</v>
      </c>
    </row>
    <row r="1151" spans="1:14" x14ac:dyDescent="0.45">
      <c r="A1151" t="s">
        <v>2273</v>
      </c>
      <c r="B1151" s="1">
        <v>45062</v>
      </c>
      <c r="C1151" t="s">
        <v>2274</v>
      </c>
      <c r="D1151" t="s">
        <v>13</v>
      </c>
      <c r="E1151" t="s">
        <v>14</v>
      </c>
      <c r="F1151" t="s">
        <v>57</v>
      </c>
      <c r="G1151">
        <v>4</v>
      </c>
      <c r="H1151">
        <v>11232.17</v>
      </c>
      <c r="I1151">
        <v>793.34</v>
      </c>
      <c r="J1151" t="s">
        <v>16</v>
      </c>
      <c r="K1151" t="s">
        <v>33</v>
      </c>
      <c r="L1151">
        <f t="shared" si="51"/>
        <v>2023</v>
      </c>
      <c r="M1151" t="str">
        <f t="shared" si="52"/>
        <v>May</v>
      </c>
      <c r="N1151" s="2">
        <f t="shared" si="53"/>
        <v>7.0631053482986816E-2</v>
      </c>
    </row>
    <row r="1152" spans="1:14" x14ac:dyDescent="0.45">
      <c r="A1152" t="s">
        <v>2275</v>
      </c>
      <c r="B1152" s="1">
        <v>44815</v>
      </c>
      <c r="C1152" t="s">
        <v>2276</v>
      </c>
      <c r="D1152" t="s">
        <v>13</v>
      </c>
      <c r="E1152" t="s">
        <v>14</v>
      </c>
      <c r="F1152" t="s">
        <v>40</v>
      </c>
      <c r="G1152">
        <v>2</v>
      </c>
      <c r="H1152">
        <v>39346.39</v>
      </c>
      <c r="I1152">
        <v>9625.4</v>
      </c>
      <c r="J1152" t="s">
        <v>22</v>
      </c>
      <c r="K1152" t="s">
        <v>33</v>
      </c>
      <c r="L1152">
        <f t="shared" si="51"/>
        <v>2022</v>
      </c>
      <c r="M1152" t="str">
        <f t="shared" si="52"/>
        <v>Sep</v>
      </c>
      <c r="N1152" s="2">
        <f t="shared" si="53"/>
        <v>0.24463235381949908</v>
      </c>
    </row>
    <row r="1153" spans="1:14" x14ac:dyDescent="0.45">
      <c r="A1153" t="s">
        <v>2277</v>
      </c>
      <c r="B1153" s="1">
        <v>45614</v>
      </c>
      <c r="C1153" t="s">
        <v>2278</v>
      </c>
      <c r="D1153" t="s">
        <v>13</v>
      </c>
      <c r="E1153" t="s">
        <v>20</v>
      </c>
      <c r="F1153" t="s">
        <v>50</v>
      </c>
      <c r="G1153">
        <v>5</v>
      </c>
      <c r="H1153">
        <v>26962.01</v>
      </c>
      <c r="I1153">
        <v>5301.6</v>
      </c>
      <c r="J1153" t="s">
        <v>22</v>
      </c>
      <c r="K1153" t="s">
        <v>17</v>
      </c>
      <c r="L1153">
        <f t="shared" si="51"/>
        <v>2024</v>
      </c>
      <c r="M1153" t="str">
        <f t="shared" si="52"/>
        <v>Nov</v>
      </c>
      <c r="N1153" s="2">
        <f t="shared" si="53"/>
        <v>0.19663222437793029</v>
      </c>
    </row>
    <row r="1154" spans="1:14" x14ac:dyDescent="0.45">
      <c r="A1154" t="s">
        <v>2279</v>
      </c>
      <c r="B1154" s="1">
        <v>45597</v>
      </c>
      <c r="C1154" t="s">
        <v>2280</v>
      </c>
      <c r="D1154" t="s">
        <v>13</v>
      </c>
      <c r="E1154" t="s">
        <v>20</v>
      </c>
      <c r="F1154" t="s">
        <v>21</v>
      </c>
      <c r="G1154">
        <v>2</v>
      </c>
      <c r="H1154">
        <v>43302.57</v>
      </c>
      <c r="I1154">
        <v>7938.29</v>
      </c>
      <c r="J1154" t="s">
        <v>28</v>
      </c>
      <c r="K1154" t="s">
        <v>23</v>
      </c>
      <c r="L1154">
        <f t="shared" si="51"/>
        <v>2024</v>
      </c>
      <c r="M1154" t="str">
        <f t="shared" si="52"/>
        <v>Nov</v>
      </c>
      <c r="N1154" s="2">
        <f t="shared" si="53"/>
        <v>0.18332145182145079</v>
      </c>
    </row>
    <row r="1155" spans="1:14" x14ac:dyDescent="0.45">
      <c r="A1155" t="s">
        <v>2281</v>
      </c>
      <c r="B1155" s="1">
        <v>45230</v>
      </c>
      <c r="C1155" t="s">
        <v>2115</v>
      </c>
      <c r="D1155" t="s">
        <v>13</v>
      </c>
      <c r="E1155" t="s">
        <v>36</v>
      </c>
      <c r="F1155" t="s">
        <v>46</v>
      </c>
      <c r="G1155">
        <v>4</v>
      </c>
      <c r="H1155">
        <v>20927.53</v>
      </c>
      <c r="I1155">
        <v>2303.12</v>
      </c>
      <c r="J1155" t="s">
        <v>22</v>
      </c>
      <c r="K1155" t="s">
        <v>33</v>
      </c>
      <c r="L1155">
        <f t="shared" ref="L1155:L1218" si="54">YEAR(B1155 )</f>
        <v>2023</v>
      </c>
      <c r="M1155" t="str">
        <f t="shared" ref="M1155:M1218" si="55">TEXT(B1155,"MMM")</f>
        <v>Oct</v>
      </c>
      <c r="N1155" s="2">
        <f t="shared" ref="N1155:N1218" si="56">I1155 / H1155</f>
        <v>0.11005216573575573</v>
      </c>
    </row>
    <row r="1156" spans="1:14" x14ac:dyDescent="0.45">
      <c r="A1156" t="s">
        <v>2282</v>
      </c>
      <c r="B1156" s="1">
        <v>45481</v>
      </c>
      <c r="C1156" t="s">
        <v>1394</v>
      </c>
      <c r="D1156" t="s">
        <v>56</v>
      </c>
      <c r="E1156" t="s">
        <v>14</v>
      </c>
      <c r="F1156" t="s">
        <v>15</v>
      </c>
      <c r="G1156">
        <v>2</v>
      </c>
      <c r="H1156">
        <v>12607.77</v>
      </c>
      <c r="I1156">
        <v>3041.6</v>
      </c>
      <c r="J1156" t="s">
        <v>22</v>
      </c>
      <c r="K1156" t="s">
        <v>33</v>
      </c>
      <c r="L1156">
        <f t="shared" si="54"/>
        <v>2024</v>
      </c>
      <c r="M1156" t="str">
        <f t="shared" si="55"/>
        <v>Jul</v>
      </c>
      <c r="N1156" s="2">
        <f t="shared" si="56"/>
        <v>0.24124805576243855</v>
      </c>
    </row>
    <row r="1157" spans="1:14" x14ac:dyDescent="0.45">
      <c r="A1157" t="s">
        <v>2283</v>
      </c>
      <c r="B1157" s="1">
        <v>45059</v>
      </c>
      <c r="C1157" t="s">
        <v>2284</v>
      </c>
      <c r="D1157" t="s">
        <v>56</v>
      </c>
      <c r="E1157" t="s">
        <v>20</v>
      </c>
      <c r="F1157" t="s">
        <v>43</v>
      </c>
      <c r="G1157">
        <v>2</v>
      </c>
      <c r="H1157">
        <v>23880.3</v>
      </c>
      <c r="I1157">
        <v>5952.57</v>
      </c>
      <c r="J1157" t="s">
        <v>71</v>
      </c>
      <c r="K1157" t="s">
        <v>33</v>
      </c>
      <c r="L1157">
        <f t="shared" si="54"/>
        <v>2023</v>
      </c>
      <c r="M1157" t="str">
        <f t="shared" si="55"/>
        <v>May</v>
      </c>
      <c r="N1157" s="2">
        <f t="shared" si="56"/>
        <v>0.24926696900792703</v>
      </c>
    </row>
    <row r="1158" spans="1:14" x14ac:dyDescent="0.45">
      <c r="A1158" t="s">
        <v>2285</v>
      </c>
      <c r="B1158" s="1">
        <v>45547</v>
      </c>
      <c r="C1158" t="s">
        <v>2286</v>
      </c>
      <c r="D1158" t="s">
        <v>56</v>
      </c>
      <c r="E1158" t="s">
        <v>14</v>
      </c>
      <c r="F1158" t="s">
        <v>40</v>
      </c>
      <c r="G1158">
        <v>2</v>
      </c>
      <c r="H1158">
        <v>37401.449999999997</v>
      </c>
      <c r="I1158">
        <v>2169.31</v>
      </c>
      <c r="J1158" t="s">
        <v>47</v>
      </c>
      <c r="K1158" t="s">
        <v>33</v>
      </c>
      <c r="L1158">
        <f t="shared" si="54"/>
        <v>2024</v>
      </c>
      <c r="M1158" t="str">
        <f t="shared" si="55"/>
        <v>Sep</v>
      </c>
      <c r="N1158" s="2">
        <f t="shared" si="56"/>
        <v>5.8000692486521246E-2</v>
      </c>
    </row>
    <row r="1159" spans="1:14" x14ac:dyDescent="0.45">
      <c r="A1159" t="s">
        <v>2287</v>
      </c>
      <c r="B1159" s="1">
        <v>45338</v>
      </c>
      <c r="C1159" t="s">
        <v>2288</v>
      </c>
      <c r="D1159" t="s">
        <v>56</v>
      </c>
      <c r="E1159" t="s">
        <v>14</v>
      </c>
      <c r="F1159" t="s">
        <v>40</v>
      </c>
      <c r="G1159">
        <v>1</v>
      </c>
      <c r="H1159">
        <v>39659.47</v>
      </c>
      <c r="I1159">
        <v>4590.91</v>
      </c>
      <c r="J1159" t="s">
        <v>22</v>
      </c>
      <c r="K1159" t="s">
        <v>17</v>
      </c>
      <c r="L1159">
        <f t="shared" si="54"/>
        <v>2024</v>
      </c>
      <c r="M1159" t="str">
        <f t="shared" si="55"/>
        <v>Feb</v>
      </c>
      <c r="N1159" s="2">
        <f t="shared" si="56"/>
        <v>0.11575822874082785</v>
      </c>
    </row>
    <row r="1160" spans="1:14" x14ac:dyDescent="0.45">
      <c r="A1160" t="s">
        <v>2289</v>
      </c>
      <c r="B1160" s="1">
        <v>45550</v>
      </c>
      <c r="C1160" t="s">
        <v>2290</v>
      </c>
      <c r="D1160" t="s">
        <v>56</v>
      </c>
      <c r="E1160" t="s">
        <v>14</v>
      </c>
      <c r="F1160" t="s">
        <v>57</v>
      </c>
      <c r="G1160">
        <v>4</v>
      </c>
      <c r="H1160">
        <v>10086.73</v>
      </c>
      <c r="I1160">
        <v>2041.88</v>
      </c>
      <c r="J1160" t="s">
        <v>47</v>
      </c>
      <c r="K1160" t="s">
        <v>29</v>
      </c>
      <c r="L1160">
        <f t="shared" si="54"/>
        <v>2024</v>
      </c>
      <c r="M1160" t="str">
        <f t="shared" si="55"/>
        <v>Sep</v>
      </c>
      <c r="N1160" s="2">
        <f t="shared" si="56"/>
        <v>0.20243230462201331</v>
      </c>
    </row>
    <row r="1161" spans="1:14" x14ac:dyDescent="0.45">
      <c r="A1161" t="s">
        <v>2291</v>
      </c>
      <c r="B1161" s="1">
        <v>44681</v>
      </c>
      <c r="C1161" t="s">
        <v>2292</v>
      </c>
      <c r="D1161" t="s">
        <v>26</v>
      </c>
      <c r="E1161" t="s">
        <v>14</v>
      </c>
      <c r="F1161" t="s">
        <v>32</v>
      </c>
      <c r="G1161">
        <v>2</v>
      </c>
      <c r="H1161">
        <v>7546.19</v>
      </c>
      <c r="I1161">
        <v>663.02</v>
      </c>
      <c r="J1161" t="s">
        <v>71</v>
      </c>
      <c r="K1161" t="s">
        <v>23</v>
      </c>
      <c r="L1161">
        <f t="shared" si="54"/>
        <v>2022</v>
      </c>
      <c r="M1161" t="str">
        <f t="shared" si="55"/>
        <v>Apr</v>
      </c>
      <c r="N1161" s="2">
        <f t="shared" si="56"/>
        <v>8.7861556626589052E-2</v>
      </c>
    </row>
    <row r="1162" spans="1:14" x14ac:dyDescent="0.45">
      <c r="A1162" t="s">
        <v>2293</v>
      </c>
      <c r="B1162" s="1">
        <v>45190</v>
      </c>
      <c r="C1162" t="s">
        <v>2294</v>
      </c>
      <c r="D1162" t="s">
        <v>13</v>
      </c>
      <c r="E1162" t="s">
        <v>36</v>
      </c>
      <c r="F1162" t="s">
        <v>37</v>
      </c>
      <c r="G1162">
        <v>2</v>
      </c>
      <c r="H1162">
        <v>7231.33</v>
      </c>
      <c r="I1162">
        <v>803.79</v>
      </c>
      <c r="J1162" t="s">
        <v>22</v>
      </c>
      <c r="K1162" t="s">
        <v>29</v>
      </c>
      <c r="L1162">
        <f t="shared" si="54"/>
        <v>2023</v>
      </c>
      <c r="M1162" t="str">
        <f t="shared" si="55"/>
        <v>Sep</v>
      </c>
      <c r="N1162" s="2">
        <f t="shared" si="56"/>
        <v>0.11115382647452128</v>
      </c>
    </row>
    <row r="1163" spans="1:14" x14ac:dyDescent="0.45">
      <c r="A1163" t="s">
        <v>2295</v>
      </c>
      <c r="B1163" s="1">
        <v>44708</v>
      </c>
      <c r="C1163" t="s">
        <v>2180</v>
      </c>
      <c r="D1163" t="s">
        <v>26</v>
      </c>
      <c r="E1163" t="s">
        <v>20</v>
      </c>
      <c r="F1163" t="s">
        <v>43</v>
      </c>
      <c r="G1163">
        <v>4</v>
      </c>
      <c r="H1163">
        <v>8225.24</v>
      </c>
      <c r="I1163">
        <v>1451.23</v>
      </c>
      <c r="J1163" t="s">
        <v>28</v>
      </c>
      <c r="K1163" t="s">
        <v>33</v>
      </c>
      <c r="L1163">
        <f t="shared" si="54"/>
        <v>2022</v>
      </c>
      <c r="M1163" t="str">
        <f t="shared" si="55"/>
        <v>May</v>
      </c>
      <c r="N1163" s="2">
        <f t="shared" si="56"/>
        <v>0.17643618909600206</v>
      </c>
    </row>
    <row r="1164" spans="1:14" x14ac:dyDescent="0.45">
      <c r="A1164" t="s">
        <v>2296</v>
      </c>
      <c r="B1164" s="1">
        <v>45279</v>
      </c>
      <c r="C1164" t="s">
        <v>2297</v>
      </c>
      <c r="D1164" t="s">
        <v>13</v>
      </c>
      <c r="E1164" t="s">
        <v>36</v>
      </c>
      <c r="F1164" t="s">
        <v>46</v>
      </c>
      <c r="G1164">
        <v>3</v>
      </c>
      <c r="H1164">
        <v>41424.879999999997</v>
      </c>
      <c r="I1164">
        <v>8839.52</v>
      </c>
      <c r="J1164" t="s">
        <v>47</v>
      </c>
      <c r="K1164" t="s">
        <v>29</v>
      </c>
      <c r="L1164">
        <f t="shared" si="54"/>
        <v>2023</v>
      </c>
      <c r="M1164" t="str">
        <f t="shared" si="55"/>
        <v>Dec</v>
      </c>
      <c r="N1164" s="2">
        <f t="shared" si="56"/>
        <v>0.21338673763207042</v>
      </c>
    </row>
    <row r="1165" spans="1:14" x14ac:dyDescent="0.45">
      <c r="A1165" t="s">
        <v>2298</v>
      </c>
      <c r="B1165" s="1">
        <v>45529</v>
      </c>
      <c r="C1165" t="s">
        <v>2299</v>
      </c>
      <c r="D1165" t="s">
        <v>13</v>
      </c>
      <c r="E1165" t="s">
        <v>14</v>
      </c>
      <c r="F1165" t="s">
        <v>32</v>
      </c>
      <c r="G1165">
        <v>2</v>
      </c>
      <c r="H1165">
        <v>48656.84</v>
      </c>
      <c r="I1165">
        <v>11662.63</v>
      </c>
      <c r="J1165" t="s">
        <v>47</v>
      </c>
      <c r="K1165" t="s">
        <v>33</v>
      </c>
      <c r="L1165">
        <f t="shared" si="54"/>
        <v>2024</v>
      </c>
      <c r="M1165" t="str">
        <f t="shared" si="55"/>
        <v>Aug</v>
      </c>
      <c r="N1165" s="2">
        <f t="shared" si="56"/>
        <v>0.23969148017010558</v>
      </c>
    </row>
    <row r="1166" spans="1:14" x14ac:dyDescent="0.45">
      <c r="A1166" t="s">
        <v>2300</v>
      </c>
      <c r="B1166" s="1">
        <v>45246</v>
      </c>
      <c r="C1166" t="s">
        <v>2301</v>
      </c>
      <c r="D1166" t="s">
        <v>13</v>
      </c>
      <c r="E1166" t="s">
        <v>36</v>
      </c>
      <c r="F1166" t="s">
        <v>37</v>
      </c>
      <c r="G1166">
        <v>3</v>
      </c>
      <c r="H1166">
        <v>35279.379999999997</v>
      </c>
      <c r="I1166">
        <v>5021.43</v>
      </c>
      <c r="J1166" t="s">
        <v>22</v>
      </c>
      <c r="K1166" t="s">
        <v>17</v>
      </c>
      <c r="L1166">
        <f t="shared" si="54"/>
        <v>2023</v>
      </c>
      <c r="M1166" t="str">
        <f t="shared" si="55"/>
        <v>Nov</v>
      </c>
      <c r="N1166" s="2">
        <f t="shared" si="56"/>
        <v>0.14233328363480313</v>
      </c>
    </row>
    <row r="1167" spans="1:14" x14ac:dyDescent="0.45">
      <c r="A1167" t="s">
        <v>2302</v>
      </c>
      <c r="B1167" s="1">
        <v>45103</v>
      </c>
      <c r="C1167" t="s">
        <v>2303</v>
      </c>
      <c r="D1167" t="s">
        <v>13</v>
      </c>
      <c r="E1167" t="s">
        <v>20</v>
      </c>
      <c r="F1167" t="s">
        <v>43</v>
      </c>
      <c r="G1167">
        <v>2</v>
      </c>
      <c r="H1167">
        <v>14737.91</v>
      </c>
      <c r="I1167">
        <v>1947.29</v>
      </c>
      <c r="J1167" t="s">
        <v>22</v>
      </c>
      <c r="K1167" t="s">
        <v>17</v>
      </c>
      <c r="L1167">
        <f t="shared" si="54"/>
        <v>2023</v>
      </c>
      <c r="M1167" t="str">
        <f t="shared" si="55"/>
        <v>Jun</v>
      </c>
      <c r="N1167" s="2">
        <f t="shared" si="56"/>
        <v>0.13212796115595765</v>
      </c>
    </row>
    <row r="1168" spans="1:14" x14ac:dyDescent="0.45">
      <c r="A1168" t="s">
        <v>2304</v>
      </c>
      <c r="B1168" s="1">
        <v>44632</v>
      </c>
      <c r="C1168" t="s">
        <v>2305</v>
      </c>
      <c r="D1168" t="s">
        <v>56</v>
      </c>
      <c r="E1168" t="s">
        <v>36</v>
      </c>
      <c r="F1168" t="s">
        <v>64</v>
      </c>
      <c r="G1168">
        <v>1</v>
      </c>
      <c r="H1168">
        <v>41640.19</v>
      </c>
      <c r="I1168">
        <v>6212.58</v>
      </c>
      <c r="J1168" t="s">
        <v>16</v>
      </c>
      <c r="K1168" t="s">
        <v>29</v>
      </c>
      <c r="L1168">
        <f t="shared" si="54"/>
        <v>2022</v>
      </c>
      <c r="M1168" t="str">
        <f t="shared" si="55"/>
        <v>Mar</v>
      </c>
      <c r="N1168" s="2">
        <f t="shared" si="56"/>
        <v>0.14919672556729446</v>
      </c>
    </row>
    <row r="1169" spans="1:14" x14ac:dyDescent="0.45">
      <c r="A1169" t="s">
        <v>2306</v>
      </c>
      <c r="B1169" s="1">
        <v>45463</v>
      </c>
      <c r="C1169" t="s">
        <v>2307</v>
      </c>
      <c r="D1169" t="s">
        <v>13</v>
      </c>
      <c r="E1169" t="s">
        <v>36</v>
      </c>
      <c r="F1169" t="s">
        <v>37</v>
      </c>
      <c r="G1169">
        <v>5</v>
      </c>
      <c r="H1169">
        <v>40847.199999999997</v>
      </c>
      <c r="I1169">
        <v>5244.85</v>
      </c>
      <c r="J1169" t="s">
        <v>28</v>
      </c>
      <c r="K1169" t="s">
        <v>33</v>
      </c>
      <c r="L1169">
        <f t="shared" si="54"/>
        <v>2024</v>
      </c>
      <c r="M1169" t="str">
        <f t="shared" si="55"/>
        <v>Jun</v>
      </c>
      <c r="N1169" s="2">
        <f t="shared" si="56"/>
        <v>0.12840170195264303</v>
      </c>
    </row>
    <row r="1170" spans="1:14" x14ac:dyDescent="0.45">
      <c r="A1170" t="s">
        <v>2308</v>
      </c>
      <c r="B1170" s="1">
        <v>44791</v>
      </c>
      <c r="C1170" t="s">
        <v>2309</v>
      </c>
      <c r="D1170" t="s">
        <v>26</v>
      </c>
      <c r="E1170" t="s">
        <v>36</v>
      </c>
      <c r="F1170" t="s">
        <v>53</v>
      </c>
      <c r="G1170">
        <v>1</v>
      </c>
      <c r="H1170">
        <v>29681.8</v>
      </c>
      <c r="I1170">
        <v>3571.89</v>
      </c>
      <c r="J1170" t="s">
        <v>22</v>
      </c>
      <c r="K1170" t="s">
        <v>23</v>
      </c>
      <c r="L1170">
        <f t="shared" si="54"/>
        <v>2022</v>
      </c>
      <c r="M1170" t="str">
        <f t="shared" si="55"/>
        <v>Aug</v>
      </c>
      <c r="N1170" s="2">
        <f t="shared" si="56"/>
        <v>0.12033939990162322</v>
      </c>
    </row>
    <row r="1171" spans="1:14" x14ac:dyDescent="0.45">
      <c r="A1171" t="s">
        <v>2310</v>
      </c>
      <c r="B1171" s="1">
        <v>45353</v>
      </c>
      <c r="C1171" t="s">
        <v>2311</v>
      </c>
      <c r="D1171" t="s">
        <v>13</v>
      </c>
      <c r="E1171" t="s">
        <v>20</v>
      </c>
      <c r="F1171" t="s">
        <v>43</v>
      </c>
      <c r="G1171">
        <v>1</v>
      </c>
      <c r="H1171">
        <v>27259.77</v>
      </c>
      <c r="I1171">
        <v>2033.65</v>
      </c>
      <c r="J1171" t="s">
        <v>28</v>
      </c>
      <c r="K1171" t="s">
        <v>33</v>
      </c>
      <c r="L1171">
        <f t="shared" si="54"/>
        <v>2024</v>
      </c>
      <c r="M1171" t="str">
        <f t="shared" si="55"/>
        <v>Mar</v>
      </c>
      <c r="N1171" s="2">
        <f t="shared" si="56"/>
        <v>7.4602610366851965E-2</v>
      </c>
    </row>
    <row r="1172" spans="1:14" x14ac:dyDescent="0.45">
      <c r="A1172" t="s">
        <v>2312</v>
      </c>
      <c r="B1172" s="1">
        <v>45210</v>
      </c>
      <c r="C1172" t="s">
        <v>142</v>
      </c>
      <c r="D1172" t="s">
        <v>56</v>
      </c>
      <c r="E1172" t="s">
        <v>36</v>
      </c>
      <c r="F1172" t="s">
        <v>53</v>
      </c>
      <c r="G1172">
        <v>1</v>
      </c>
      <c r="H1172">
        <v>22015.599999999999</v>
      </c>
      <c r="I1172">
        <v>4841.13</v>
      </c>
      <c r="J1172" t="s">
        <v>28</v>
      </c>
      <c r="K1172" t="s">
        <v>29</v>
      </c>
      <c r="L1172">
        <f t="shared" si="54"/>
        <v>2023</v>
      </c>
      <c r="M1172" t="str">
        <f t="shared" si="55"/>
        <v>Oct</v>
      </c>
      <c r="N1172" s="2">
        <f t="shared" si="56"/>
        <v>0.21989543778048296</v>
      </c>
    </row>
    <row r="1173" spans="1:14" x14ac:dyDescent="0.45">
      <c r="A1173" t="s">
        <v>2313</v>
      </c>
      <c r="B1173" s="1">
        <v>44786</v>
      </c>
      <c r="C1173" t="s">
        <v>2314</v>
      </c>
      <c r="D1173" t="s">
        <v>56</v>
      </c>
      <c r="E1173" t="s">
        <v>36</v>
      </c>
      <c r="F1173" t="s">
        <v>46</v>
      </c>
      <c r="G1173">
        <v>4</v>
      </c>
      <c r="H1173">
        <v>2443.2399999999998</v>
      </c>
      <c r="I1173">
        <v>245.32</v>
      </c>
      <c r="J1173" t="s">
        <v>71</v>
      </c>
      <c r="K1173" t="s">
        <v>33</v>
      </c>
      <c r="L1173">
        <f t="shared" si="54"/>
        <v>2022</v>
      </c>
      <c r="M1173" t="str">
        <f t="shared" si="55"/>
        <v>Aug</v>
      </c>
      <c r="N1173" s="2">
        <f t="shared" si="56"/>
        <v>0.10040765540839214</v>
      </c>
    </row>
    <row r="1174" spans="1:14" x14ac:dyDescent="0.45">
      <c r="A1174" t="s">
        <v>2315</v>
      </c>
      <c r="B1174" s="1">
        <v>44651</v>
      </c>
      <c r="C1174" t="s">
        <v>2316</v>
      </c>
      <c r="D1174" t="s">
        <v>26</v>
      </c>
      <c r="E1174" t="s">
        <v>14</v>
      </c>
      <c r="F1174" t="s">
        <v>15</v>
      </c>
      <c r="G1174">
        <v>4</v>
      </c>
      <c r="H1174">
        <v>8700.15</v>
      </c>
      <c r="I1174">
        <v>454.89</v>
      </c>
      <c r="J1174" t="s">
        <v>71</v>
      </c>
      <c r="K1174" t="s">
        <v>23</v>
      </c>
      <c r="L1174">
        <f t="shared" si="54"/>
        <v>2022</v>
      </c>
      <c r="M1174" t="str">
        <f t="shared" si="55"/>
        <v>Mar</v>
      </c>
      <c r="N1174" s="2">
        <f t="shared" si="56"/>
        <v>5.2285305425768522E-2</v>
      </c>
    </row>
    <row r="1175" spans="1:14" x14ac:dyDescent="0.45">
      <c r="A1175" t="s">
        <v>2317</v>
      </c>
      <c r="B1175" s="1">
        <v>44930</v>
      </c>
      <c r="C1175" t="s">
        <v>2318</v>
      </c>
      <c r="D1175" t="s">
        <v>26</v>
      </c>
      <c r="E1175" t="s">
        <v>14</v>
      </c>
      <c r="F1175" t="s">
        <v>57</v>
      </c>
      <c r="G1175">
        <v>5</v>
      </c>
      <c r="H1175">
        <v>5312.74</v>
      </c>
      <c r="I1175">
        <v>1122.73</v>
      </c>
      <c r="J1175" t="s">
        <v>47</v>
      </c>
      <c r="K1175" t="s">
        <v>23</v>
      </c>
      <c r="L1175">
        <f t="shared" si="54"/>
        <v>2023</v>
      </c>
      <c r="M1175" t="str">
        <f t="shared" si="55"/>
        <v>Jan</v>
      </c>
      <c r="N1175" s="2">
        <f t="shared" si="56"/>
        <v>0.21132786471764101</v>
      </c>
    </row>
    <row r="1176" spans="1:14" x14ac:dyDescent="0.45">
      <c r="A1176" t="s">
        <v>2319</v>
      </c>
      <c r="B1176" s="1">
        <v>44824</v>
      </c>
      <c r="C1176" t="s">
        <v>2320</v>
      </c>
      <c r="D1176" t="s">
        <v>13</v>
      </c>
      <c r="E1176" t="s">
        <v>36</v>
      </c>
      <c r="F1176" t="s">
        <v>64</v>
      </c>
      <c r="G1176">
        <v>5</v>
      </c>
      <c r="H1176">
        <v>39259.919999999998</v>
      </c>
      <c r="I1176">
        <v>7062.74</v>
      </c>
      <c r="J1176" t="s">
        <v>71</v>
      </c>
      <c r="K1176" t="s">
        <v>29</v>
      </c>
      <c r="L1176">
        <f t="shared" si="54"/>
        <v>2022</v>
      </c>
      <c r="M1176" t="str">
        <f t="shared" si="55"/>
        <v>Sep</v>
      </c>
      <c r="N1176" s="2">
        <f t="shared" si="56"/>
        <v>0.17989695343240639</v>
      </c>
    </row>
    <row r="1177" spans="1:14" x14ac:dyDescent="0.45">
      <c r="A1177" t="s">
        <v>2321</v>
      </c>
      <c r="B1177" s="1">
        <v>45370</v>
      </c>
      <c r="C1177" t="s">
        <v>2322</v>
      </c>
      <c r="D1177" t="s">
        <v>56</v>
      </c>
      <c r="E1177" t="s">
        <v>14</v>
      </c>
      <c r="F1177" t="s">
        <v>40</v>
      </c>
      <c r="G1177">
        <v>3</v>
      </c>
      <c r="H1177">
        <v>43886.6</v>
      </c>
      <c r="I1177">
        <v>7276.56</v>
      </c>
      <c r="J1177" t="s">
        <v>22</v>
      </c>
      <c r="K1177" t="s">
        <v>33</v>
      </c>
      <c r="L1177">
        <f t="shared" si="54"/>
        <v>2024</v>
      </c>
      <c r="M1177" t="str">
        <f t="shared" si="55"/>
        <v>Mar</v>
      </c>
      <c r="N1177" s="2">
        <f t="shared" si="56"/>
        <v>0.16580368495167092</v>
      </c>
    </row>
    <row r="1178" spans="1:14" x14ac:dyDescent="0.45">
      <c r="A1178" t="s">
        <v>2323</v>
      </c>
      <c r="B1178" s="1">
        <v>45313</v>
      </c>
      <c r="C1178" t="s">
        <v>2324</v>
      </c>
      <c r="D1178" t="s">
        <v>56</v>
      </c>
      <c r="E1178" t="s">
        <v>20</v>
      </c>
      <c r="F1178" t="s">
        <v>50</v>
      </c>
      <c r="G1178">
        <v>5</v>
      </c>
      <c r="H1178">
        <v>7298.22</v>
      </c>
      <c r="I1178">
        <v>1369.58</v>
      </c>
      <c r="J1178" t="s">
        <v>71</v>
      </c>
      <c r="K1178" t="s">
        <v>17</v>
      </c>
      <c r="L1178">
        <f t="shared" si="54"/>
        <v>2024</v>
      </c>
      <c r="M1178" t="str">
        <f t="shared" si="55"/>
        <v>Jan</v>
      </c>
      <c r="N1178" s="2">
        <f t="shared" si="56"/>
        <v>0.18765945668943931</v>
      </c>
    </row>
    <row r="1179" spans="1:14" x14ac:dyDescent="0.45">
      <c r="A1179" t="s">
        <v>2325</v>
      </c>
      <c r="B1179" s="1">
        <v>45458</v>
      </c>
      <c r="C1179" t="s">
        <v>2326</v>
      </c>
      <c r="D1179" t="s">
        <v>13</v>
      </c>
      <c r="E1179" t="s">
        <v>20</v>
      </c>
      <c r="F1179" t="s">
        <v>27</v>
      </c>
      <c r="G1179">
        <v>4</v>
      </c>
      <c r="H1179">
        <v>5392.44</v>
      </c>
      <c r="I1179">
        <v>504.91</v>
      </c>
      <c r="J1179" t="s">
        <v>22</v>
      </c>
      <c r="K1179" t="s">
        <v>29</v>
      </c>
      <c r="L1179">
        <f t="shared" si="54"/>
        <v>2024</v>
      </c>
      <c r="M1179" t="str">
        <f t="shared" si="55"/>
        <v>Jun</v>
      </c>
      <c r="N1179" s="2">
        <f t="shared" si="56"/>
        <v>9.3632937965002869E-2</v>
      </c>
    </row>
    <row r="1180" spans="1:14" x14ac:dyDescent="0.45">
      <c r="A1180" t="s">
        <v>2327</v>
      </c>
      <c r="B1180" s="1">
        <v>44565</v>
      </c>
      <c r="C1180" t="s">
        <v>2328</v>
      </c>
      <c r="D1180" t="s">
        <v>13</v>
      </c>
      <c r="E1180" t="s">
        <v>14</v>
      </c>
      <c r="F1180" t="s">
        <v>57</v>
      </c>
      <c r="G1180">
        <v>4</v>
      </c>
      <c r="H1180">
        <v>22630.02</v>
      </c>
      <c r="I1180">
        <v>1504.76</v>
      </c>
      <c r="J1180" t="s">
        <v>28</v>
      </c>
      <c r="K1180" t="s">
        <v>17</v>
      </c>
      <c r="L1180">
        <f t="shared" si="54"/>
        <v>2022</v>
      </c>
      <c r="M1180" t="str">
        <f t="shared" si="55"/>
        <v>Jan</v>
      </c>
      <c r="N1180" s="2">
        <f t="shared" si="56"/>
        <v>6.6493975701302957E-2</v>
      </c>
    </row>
    <row r="1181" spans="1:14" x14ac:dyDescent="0.45">
      <c r="A1181" t="s">
        <v>2329</v>
      </c>
      <c r="B1181" s="1">
        <v>45111</v>
      </c>
      <c r="C1181" t="s">
        <v>2330</v>
      </c>
      <c r="D1181" t="s">
        <v>13</v>
      </c>
      <c r="E1181" t="s">
        <v>36</v>
      </c>
      <c r="F1181" t="s">
        <v>46</v>
      </c>
      <c r="G1181">
        <v>4</v>
      </c>
      <c r="H1181">
        <v>11705.82</v>
      </c>
      <c r="I1181">
        <v>2531.83</v>
      </c>
      <c r="J1181" t="s">
        <v>22</v>
      </c>
      <c r="K1181" t="s">
        <v>17</v>
      </c>
      <c r="L1181">
        <f t="shared" si="54"/>
        <v>2023</v>
      </c>
      <c r="M1181" t="str">
        <f t="shared" si="55"/>
        <v>Jul</v>
      </c>
      <c r="N1181" s="2">
        <f t="shared" si="56"/>
        <v>0.2162881370121871</v>
      </c>
    </row>
    <row r="1182" spans="1:14" x14ac:dyDescent="0.45">
      <c r="A1182" t="s">
        <v>2331</v>
      </c>
      <c r="B1182" s="1">
        <v>45330</v>
      </c>
      <c r="C1182" t="s">
        <v>2332</v>
      </c>
      <c r="D1182" t="s">
        <v>26</v>
      </c>
      <c r="E1182" t="s">
        <v>14</v>
      </c>
      <c r="F1182" t="s">
        <v>40</v>
      </c>
      <c r="G1182">
        <v>3</v>
      </c>
      <c r="H1182">
        <v>41280.879999999997</v>
      </c>
      <c r="I1182">
        <v>5805.49</v>
      </c>
      <c r="J1182" t="s">
        <v>22</v>
      </c>
      <c r="K1182" t="s">
        <v>29</v>
      </c>
      <c r="L1182">
        <f t="shared" si="54"/>
        <v>2024</v>
      </c>
      <c r="M1182" t="str">
        <f t="shared" si="55"/>
        <v>Feb</v>
      </c>
      <c r="N1182" s="2">
        <f t="shared" si="56"/>
        <v>0.14063387214613643</v>
      </c>
    </row>
    <row r="1183" spans="1:14" x14ac:dyDescent="0.45">
      <c r="A1183" t="s">
        <v>2333</v>
      </c>
      <c r="B1183" s="1">
        <v>44578</v>
      </c>
      <c r="C1183" t="s">
        <v>2334</v>
      </c>
      <c r="D1183" t="s">
        <v>26</v>
      </c>
      <c r="E1183" t="s">
        <v>36</v>
      </c>
      <c r="F1183" t="s">
        <v>64</v>
      </c>
      <c r="G1183">
        <v>5</v>
      </c>
      <c r="H1183">
        <v>4332.05</v>
      </c>
      <c r="I1183">
        <v>430.85</v>
      </c>
      <c r="J1183" t="s">
        <v>47</v>
      </c>
      <c r="K1183" t="s">
        <v>23</v>
      </c>
      <c r="L1183">
        <f t="shared" si="54"/>
        <v>2022</v>
      </c>
      <c r="M1183" t="str">
        <f t="shared" si="55"/>
        <v>Jan</v>
      </c>
      <c r="N1183" s="2">
        <f t="shared" si="56"/>
        <v>9.9456377465634058E-2</v>
      </c>
    </row>
    <row r="1184" spans="1:14" x14ac:dyDescent="0.45">
      <c r="A1184" t="s">
        <v>2335</v>
      </c>
      <c r="B1184" s="1">
        <v>45346</v>
      </c>
      <c r="C1184" t="s">
        <v>2336</v>
      </c>
      <c r="D1184" t="s">
        <v>13</v>
      </c>
      <c r="E1184" t="s">
        <v>14</v>
      </c>
      <c r="F1184" t="s">
        <v>15</v>
      </c>
      <c r="G1184">
        <v>4</v>
      </c>
      <c r="H1184">
        <v>19553.52</v>
      </c>
      <c r="I1184">
        <v>3136.26</v>
      </c>
      <c r="J1184" t="s">
        <v>71</v>
      </c>
      <c r="K1184" t="s">
        <v>23</v>
      </c>
      <c r="L1184">
        <f t="shared" si="54"/>
        <v>2024</v>
      </c>
      <c r="M1184" t="str">
        <f t="shared" si="55"/>
        <v>Feb</v>
      </c>
      <c r="N1184" s="2">
        <f t="shared" si="56"/>
        <v>0.16039362733666368</v>
      </c>
    </row>
    <row r="1185" spans="1:14" x14ac:dyDescent="0.45">
      <c r="A1185" t="s">
        <v>2337</v>
      </c>
      <c r="B1185" s="1">
        <v>44749</v>
      </c>
      <c r="C1185" t="s">
        <v>2338</v>
      </c>
      <c r="D1185" t="s">
        <v>13</v>
      </c>
      <c r="E1185" t="s">
        <v>14</v>
      </c>
      <c r="F1185" t="s">
        <v>40</v>
      </c>
      <c r="G1185">
        <v>3</v>
      </c>
      <c r="H1185">
        <v>28138.65</v>
      </c>
      <c r="I1185">
        <v>6132.08</v>
      </c>
      <c r="J1185" t="s">
        <v>22</v>
      </c>
      <c r="K1185" t="s">
        <v>17</v>
      </c>
      <c r="L1185">
        <f t="shared" si="54"/>
        <v>2022</v>
      </c>
      <c r="M1185" t="str">
        <f t="shared" si="55"/>
        <v>Jul</v>
      </c>
      <c r="N1185" s="2">
        <f t="shared" si="56"/>
        <v>0.21792374545331775</v>
      </c>
    </row>
    <row r="1186" spans="1:14" x14ac:dyDescent="0.45">
      <c r="A1186" t="s">
        <v>2339</v>
      </c>
      <c r="B1186" s="1">
        <v>44759</v>
      </c>
      <c r="C1186" t="s">
        <v>2340</v>
      </c>
      <c r="D1186" t="s">
        <v>13</v>
      </c>
      <c r="E1186" t="s">
        <v>14</v>
      </c>
      <c r="F1186" t="s">
        <v>57</v>
      </c>
      <c r="G1186">
        <v>4</v>
      </c>
      <c r="H1186">
        <v>17074.98</v>
      </c>
      <c r="I1186">
        <v>2481.73</v>
      </c>
      <c r="J1186" t="s">
        <v>47</v>
      </c>
      <c r="K1186" t="s">
        <v>17</v>
      </c>
      <c r="L1186">
        <f t="shared" si="54"/>
        <v>2022</v>
      </c>
      <c r="M1186" t="str">
        <f t="shared" si="55"/>
        <v>Jul</v>
      </c>
      <c r="N1186" s="2">
        <f t="shared" si="56"/>
        <v>0.14534306921589366</v>
      </c>
    </row>
    <row r="1187" spans="1:14" x14ac:dyDescent="0.45">
      <c r="A1187" t="s">
        <v>2341</v>
      </c>
      <c r="B1187" s="1">
        <v>44659</v>
      </c>
      <c r="C1187" t="s">
        <v>2342</v>
      </c>
      <c r="D1187" t="s">
        <v>56</v>
      </c>
      <c r="E1187" t="s">
        <v>14</v>
      </c>
      <c r="F1187" t="s">
        <v>15</v>
      </c>
      <c r="G1187">
        <v>5</v>
      </c>
      <c r="H1187">
        <v>10356.040000000001</v>
      </c>
      <c r="I1187">
        <v>832.93</v>
      </c>
      <c r="J1187" t="s">
        <v>71</v>
      </c>
      <c r="K1187" t="s">
        <v>33</v>
      </c>
      <c r="L1187">
        <f t="shared" si="54"/>
        <v>2022</v>
      </c>
      <c r="M1187" t="str">
        <f t="shared" si="55"/>
        <v>Apr</v>
      </c>
      <c r="N1187" s="2">
        <f t="shared" si="56"/>
        <v>8.0429391929733751E-2</v>
      </c>
    </row>
    <row r="1188" spans="1:14" x14ac:dyDescent="0.45">
      <c r="A1188" t="s">
        <v>2343</v>
      </c>
      <c r="B1188" s="1">
        <v>45233</v>
      </c>
      <c r="C1188" t="s">
        <v>1593</v>
      </c>
      <c r="D1188" t="s">
        <v>26</v>
      </c>
      <c r="E1188" t="s">
        <v>14</v>
      </c>
      <c r="F1188" t="s">
        <v>15</v>
      </c>
      <c r="G1188">
        <v>3</v>
      </c>
      <c r="H1188">
        <v>30508.25</v>
      </c>
      <c r="I1188">
        <v>4688.63</v>
      </c>
      <c r="J1188" t="s">
        <v>47</v>
      </c>
      <c r="K1188" t="s">
        <v>29</v>
      </c>
      <c r="L1188">
        <f t="shared" si="54"/>
        <v>2023</v>
      </c>
      <c r="M1188" t="str">
        <f t="shared" si="55"/>
        <v>Nov</v>
      </c>
      <c r="N1188" s="2">
        <f t="shared" si="56"/>
        <v>0.15368400350724803</v>
      </c>
    </row>
    <row r="1189" spans="1:14" x14ac:dyDescent="0.45">
      <c r="A1189" t="s">
        <v>2344</v>
      </c>
      <c r="B1189" s="1">
        <v>44697</v>
      </c>
      <c r="C1189" t="s">
        <v>2345</v>
      </c>
      <c r="D1189" t="s">
        <v>13</v>
      </c>
      <c r="E1189" t="s">
        <v>14</v>
      </c>
      <c r="F1189" t="s">
        <v>57</v>
      </c>
      <c r="G1189">
        <v>4</v>
      </c>
      <c r="H1189">
        <v>21143.05</v>
      </c>
      <c r="I1189">
        <v>3461.21</v>
      </c>
      <c r="J1189" t="s">
        <v>71</v>
      </c>
      <c r="K1189" t="s">
        <v>33</v>
      </c>
      <c r="L1189">
        <f t="shared" si="54"/>
        <v>2022</v>
      </c>
      <c r="M1189" t="str">
        <f t="shared" si="55"/>
        <v>May</v>
      </c>
      <c r="N1189" s="2">
        <f t="shared" si="56"/>
        <v>0.16370438512891944</v>
      </c>
    </row>
    <row r="1190" spans="1:14" x14ac:dyDescent="0.45">
      <c r="A1190" t="s">
        <v>2346</v>
      </c>
      <c r="B1190" s="1">
        <v>45475</v>
      </c>
      <c r="C1190" t="s">
        <v>2347</v>
      </c>
      <c r="D1190" t="s">
        <v>13</v>
      </c>
      <c r="E1190" t="s">
        <v>14</v>
      </c>
      <c r="F1190" t="s">
        <v>15</v>
      </c>
      <c r="G1190">
        <v>1</v>
      </c>
      <c r="H1190">
        <v>3808.21</v>
      </c>
      <c r="I1190">
        <v>785.38</v>
      </c>
      <c r="J1190" t="s">
        <v>28</v>
      </c>
      <c r="K1190" t="s">
        <v>23</v>
      </c>
      <c r="L1190">
        <f t="shared" si="54"/>
        <v>2024</v>
      </c>
      <c r="M1190" t="str">
        <f t="shared" si="55"/>
        <v>Jul</v>
      </c>
      <c r="N1190" s="2">
        <f t="shared" si="56"/>
        <v>0.20623337473511177</v>
      </c>
    </row>
    <row r="1191" spans="1:14" x14ac:dyDescent="0.45">
      <c r="A1191" t="s">
        <v>2348</v>
      </c>
      <c r="B1191" s="1">
        <v>45124</v>
      </c>
      <c r="C1191" t="s">
        <v>2349</v>
      </c>
      <c r="D1191" t="s">
        <v>56</v>
      </c>
      <c r="E1191" t="s">
        <v>20</v>
      </c>
      <c r="F1191" t="s">
        <v>50</v>
      </c>
      <c r="G1191">
        <v>5</v>
      </c>
      <c r="H1191">
        <v>29696.39</v>
      </c>
      <c r="I1191">
        <v>3486.69</v>
      </c>
      <c r="J1191" t="s">
        <v>28</v>
      </c>
      <c r="K1191" t="s">
        <v>23</v>
      </c>
      <c r="L1191">
        <f t="shared" si="54"/>
        <v>2023</v>
      </c>
      <c r="M1191" t="str">
        <f t="shared" si="55"/>
        <v>Jul</v>
      </c>
      <c r="N1191" s="2">
        <f t="shared" si="56"/>
        <v>0.11741124089493707</v>
      </c>
    </row>
    <row r="1192" spans="1:14" x14ac:dyDescent="0.45">
      <c r="A1192" t="s">
        <v>2350</v>
      </c>
      <c r="B1192" s="1">
        <v>45226</v>
      </c>
      <c r="C1192" t="s">
        <v>2351</v>
      </c>
      <c r="D1192" t="s">
        <v>56</v>
      </c>
      <c r="E1192" t="s">
        <v>14</v>
      </c>
      <c r="F1192" t="s">
        <v>15</v>
      </c>
      <c r="G1192">
        <v>5</v>
      </c>
      <c r="H1192">
        <v>37818.160000000003</v>
      </c>
      <c r="I1192">
        <v>5692.59</v>
      </c>
      <c r="J1192" t="s">
        <v>22</v>
      </c>
      <c r="K1192" t="s">
        <v>17</v>
      </c>
      <c r="L1192">
        <f t="shared" si="54"/>
        <v>2023</v>
      </c>
      <c r="M1192" t="str">
        <f t="shared" si="55"/>
        <v>Oct</v>
      </c>
      <c r="N1192" s="2">
        <f t="shared" si="56"/>
        <v>0.1505253031876749</v>
      </c>
    </row>
    <row r="1193" spans="1:14" x14ac:dyDescent="0.45">
      <c r="A1193" t="s">
        <v>2352</v>
      </c>
      <c r="B1193" s="1">
        <v>45290</v>
      </c>
      <c r="C1193" t="s">
        <v>2353</v>
      </c>
      <c r="D1193" t="s">
        <v>26</v>
      </c>
      <c r="E1193" t="s">
        <v>20</v>
      </c>
      <c r="F1193" t="s">
        <v>21</v>
      </c>
      <c r="G1193">
        <v>3</v>
      </c>
      <c r="H1193">
        <v>4510.47</v>
      </c>
      <c r="I1193">
        <v>727.5</v>
      </c>
      <c r="J1193" t="s">
        <v>71</v>
      </c>
      <c r="K1193" t="s">
        <v>33</v>
      </c>
      <c r="L1193">
        <f t="shared" si="54"/>
        <v>2023</v>
      </c>
      <c r="M1193" t="str">
        <f t="shared" si="55"/>
        <v>Dec</v>
      </c>
      <c r="N1193" s="2">
        <f t="shared" si="56"/>
        <v>0.16129139535347756</v>
      </c>
    </row>
    <row r="1194" spans="1:14" x14ac:dyDescent="0.45">
      <c r="A1194" t="s">
        <v>2354</v>
      </c>
      <c r="B1194" s="1">
        <v>45643</v>
      </c>
      <c r="C1194" t="s">
        <v>2355</v>
      </c>
      <c r="D1194" t="s">
        <v>13</v>
      </c>
      <c r="E1194" t="s">
        <v>14</v>
      </c>
      <c r="F1194" t="s">
        <v>32</v>
      </c>
      <c r="G1194">
        <v>3</v>
      </c>
      <c r="H1194">
        <v>13311.38</v>
      </c>
      <c r="I1194">
        <v>1315.51</v>
      </c>
      <c r="J1194" t="s">
        <v>16</v>
      </c>
      <c r="K1194" t="s">
        <v>29</v>
      </c>
      <c r="L1194">
        <f t="shared" si="54"/>
        <v>2024</v>
      </c>
      <c r="M1194" t="str">
        <f t="shared" si="55"/>
        <v>Dec</v>
      </c>
      <c r="N1194" s="2">
        <f t="shared" si="56"/>
        <v>9.8825966954590741E-2</v>
      </c>
    </row>
    <row r="1195" spans="1:14" x14ac:dyDescent="0.45">
      <c r="A1195" t="s">
        <v>2356</v>
      </c>
      <c r="B1195" s="1">
        <v>45416</v>
      </c>
      <c r="C1195" t="s">
        <v>2357</v>
      </c>
      <c r="D1195" t="s">
        <v>26</v>
      </c>
      <c r="E1195" t="s">
        <v>20</v>
      </c>
      <c r="F1195" t="s">
        <v>50</v>
      </c>
      <c r="G1195">
        <v>2</v>
      </c>
      <c r="H1195">
        <v>5560.19</v>
      </c>
      <c r="I1195">
        <v>1029.3399999999999</v>
      </c>
      <c r="J1195" t="s">
        <v>22</v>
      </c>
      <c r="K1195" t="s">
        <v>23</v>
      </c>
      <c r="L1195">
        <f t="shared" si="54"/>
        <v>2024</v>
      </c>
      <c r="M1195" t="str">
        <f t="shared" si="55"/>
        <v>May</v>
      </c>
      <c r="N1195" s="2">
        <f t="shared" si="56"/>
        <v>0.18512676725075941</v>
      </c>
    </row>
    <row r="1196" spans="1:14" x14ac:dyDescent="0.45">
      <c r="A1196" t="s">
        <v>2358</v>
      </c>
      <c r="B1196" s="1">
        <v>44888</v>
      </c>
      <c r="C1196" t="s">
        <v>2359</v>
      </c>
      <c r="D1196" t="s">
        <v>56</v>
      </c>
      <c r="E1196" t="s">
        <v>36</v>
      </c>
      <c r="F1196" t="s">
        <v>53</v>
      </c>
      <c r="G1196">
        <v>4</v>
      </c>
      <c r="H1196">
        <v>43803.34</v>
      </c>
      <c r="I1196">
        <v>6867.51</v>
      </c>
      <c r="J1196" t="s">
        <v>71</v>
      </c>
      <c r="K1196" t="s">
        <v>33</v>
      </c>
      <c r="L1196">
        <f t="shared" si="54"/>
        <v>2022</v>
      </c>
      <c r="M1196" t="str">
        <f t="shared" si="55"/>
        <v>Nov</v>
      </c>
      <c r="N1196" s="2">
        <f t="shared" si="56"/>
        <v>0.15678051034464496</v>
      </c>
    </row>
    <row r="1197" spans="1:14" x14ac:dyDescent="0.45">
      <c r="A1197" t="s">
        <v>2360</v>
      </c>
      <c r="B1197" s="1">
        <v>45270</v>
      </c>
      <c r="C1197" t="s">
        <v>2361</v>
      </c>
      <c r="D1197" t="s">
        <v>56</v>
      </c>
      <c r="E1197" t="s">
        <v>14</v>
      </c>
      <c r="F1197" t="s">
        <v>32</v>
      </c>
      <c r="G1197">
        <v>2</v>
      </c>
      <c r="H1197">
        <v>37684.07</v>
      </c>
      <c r="I1197">
        <v>4011.26</v>
      </c>
      <c r="J1197" t="s">
        <v>47</v>
      </c>
      <c r="K1197" t="s">
        <v>23</v>
      </c>
      <c r="L1197">
        <f t="shared" si="54"/>
        <v>2023</v>
      </c>
      <c r="M1197" t="str">
        <f t="shared" si="55"/>
        <v>Dec</v>
      </c>
      <c r="N1197" s="2">
        <f t="shared" si="56"/>
        <v>0.10644444721602524</v>
      </c>
    </row>
    <row r="1198" spans="1:14" x14ac:dyDescent="0.45">
      <c r="A1198" t="s">
        <v>2362</v>
      </c>
      <c r="B1198" s="1">
        <v>45026</v>
      </c>
      <c r="C1198" t="s">
        <v>2363</v>
      </c>
      <c r="D1198" t="s">
        <v>26</v>
      </c>
      <c r="E1198" t="s">
        <v>36</v>
      </c>
      <c r="F1198" t="s">
        <v>37</v>
      </c>
      <c r="G1198">
        <v>4</v>
      </c>
      <c r="H1198">
        <v>24778.84</v>
      </c>
      <c r="I1198">
        <v>5676.16</v>
      </c>
      <c r="J1198" t="s">
        <v>28</v>
      </c>
      <c r="K1198" t="s">
        <v>29</v>
      </c>
      <c r="L1198">
        <f t="shared" si="54"/>
        <v>2023</v>
      </c>
      <c r="M1198" t="str">
        <f t="shared" si="55"/>
        <v>Apr</v>
      </c>
      <c r="N1198" s="2">
        <f t="shared" si="56"/>
        <v>0.2290728702392848</v>
      </c>
    </row>
    <row r="1199" spans="1:14" x14ac:dyDescent="0.45">
      <c r="A1199" t="s">
        <v>2364</v>
      </c>
      <c r="B1199" s="1">
        <v>45457</v>
      </c>
      <c r="C1199" t="s">
        <v>2091</v>
      </c>
      <c r="D1199" t="s">
        <v>13</v>
      </c>
      <c r="E1199" t="s">
        <v>20</v>
      </c>
      <c r="F1199" t="s">
        <v>21</v>
      </c>
      <c r="G1199">
        <v>4</v>
      </c>
      <c r="H1199">
        <v>9065.7199999999993</v>
      </c>
      <c r="I1199">
        <v>572.23</v>
      </c>
      <c r="J1199" t="s">
        <v>16</v>
      </c>
      <c r="K1199" t="s">
        <v>33</v>
      </c>
      <c r="L1199">
        <f t="shared" si="54"/>
        <v>2024</v>
      </c>
      <c r="M1199" t="str">
        <f t="shared" si="55"/>
        <v>Jun</v>
      </c>
      <c r="N1199" s="2">
        <f t="shared" si="56"/>
        <v>6.3120193431961291E-2</v>
      </c>
    </row>
    <row r="1200" spans="1:14" x14ac:dyDescent="0.45">
      <c r="A1200" t="s">
        <v>2365</v>
      </c>
      <c r="B1200" s="1">
        <v>45327</v>
      </c>
      <c r="C1200" t="s">
        <v>2366</v>
      </c>
      <c r="D1200" t="s">
        <v>56</v>
      </c>
      <c r="E1200" t="s">
        <v>20</v>
      </c>
      <c r="F1200" t="s">
        <v>27</v>
      </c>
      <c r="G1200">
        <v>1</v>
      </c>
      <c r="H1200">
        <v>25573.8</v>
      </c>
      <c r="I1200">
        <v>2064.88</v>
      </c>
      <c r="J1200" t="s">
        <v>71</v>
      </c>
      <c r="K1200" t="s">
        <v>29</v>
      </c>
      <c r="L1200">
        <f t="shared" si="54"/>
        <v>2024</v>
      </c>
      <c r="M1200" t="str">
        <f t="shared" si="55"/>
        <v>Feb</v>
      </c>
      <c r="N1200" s="2">
        <f t="shared" si="56"/>
        <v>8.0742009400245576E-2</v>
      </c>
    </row>
    <row r="1201" spans="1:14" x14ac:dyDescent="0.45">
      <c r="A1201" t="s">
        <v>2367</v>
      </c>
      <c r="B1201" s="1">
        <v>45045</v>
      </c>
      <c r="C1201" t="s">
        <v>2368</v>
      </c>
      <c r="D1201" t="s">
        <v>26</v>
      </c>
      <c r="E1201" t="s">
        <v>20</v>
      </c>
      <c r="F1201" t="s">
        <v>43</v>
      </c>
      <c r="G1201">
        <v>4</v>
      </c>
      <c r="H1201">
        <v>35949.4</v>
      </c>
      <c r="I1201">
        <v>3807.26</v>
      </c>
      <c r="J1201" t="s">
        <v>71</v>
      </c>
      <c r="K1201" t="s">
        <v>17</v>
      </c>
      <c r="L1201">
        <f t="shared" si="54"/>
        <v>2023</v>
      </c>
      <c r="M1201" t="str">
        <f t="shared" si="55"/>
        <v>Apr</v>
      </c>
      <c r="N1201" s="2">
        <f t="shared" si="56"/>
        <v>0.10590607910006843</v>
      </c>
    </row>
    <row r="1202" spans="1:14" x14ac:dyDescent="0.45">
      <c r="A1202" t="s">
        <v>2369</v>
      </c>
      <c r="B1202" s="1">
        <v>44615</v>
      </c>
      <c r="C1202" t="s">
        <v>2370</v>
      </c>
      <c r="D1202" t="s">
        <v>26</v>
      </c>
      <c r="E1202" t="s">
        <v>20</v>
      </c>
      <c r="F1202" t="s">
        <v>21</v>
      </c>
      <c r="G1202">
        <v>4</v>
      </c>
      <c r="H1202">
        <v>17165.099999999999</v>
      </c>
      <c r="I1202">
        <v>3195.61</v>
      </c>
      <c r="J1202" t="s">
        <v>22</v>
      </c>
      <c r="K1202" t="s">
        <v>17</v>
      </c>
      <c r="L1202">
        <f t="shared" si="54"/>
        <v>2022</v>
      </c>
      <c r="M1202" t="str">
        <f t="shared" si="55"/>
        <v>Feb</v>
      </c>
      <c r="N1202" s="2">
        <f t="shared" si="56"/>
        <v>0.18616902901818227</v>
      </c>
    </row>
    <row r="1203" spans="1:14" x14ac:dyDescent="0.45">
      <c r="A1203" t="s">
        <v>2371</v>
      </c>
      <c r="B1203" s="1">
        <v>44950</v>
      </c>
      <c r="C1203" t="s">
        <v>2372</v>
      </c>
      <c r="D1203" t="s">
        <v>13</v>
      </c>
      <c r="E1203" t="s">
        <v>20</v>
      </c>
      <c r="F1203" t="s">
        <v>43</v>
      </c>
      <c r="G1203">
        <v>4</v>
      </c>
      <c r="H1203">
        <v>11083.03</v>
      </c>
      <c r="I1203">
        <v>2672.58</v>
      </c>
      <c r="J1203" t="s">
        <v>22</v>
      </c>
      <c r="K1203" t="s">
        <v>17</v>
      </c>
      <c r="L1203">
        <f t="shared" si="54"/>
        <v>2023</v>
      </c>
      <c r="M1203" t="str">
        <f t="shared" si="55"/>
        <v>Jan</v>
      </c>
      <c r="N1203" s="2">
        <f t="shared" si="56"/>
        <v>0.2411416372598468</v>
      </c>
    </row>
    <row r="1204" spans="1:14" x14ac:dyDescent="0.45">
      <c r="A1204" t="s">
        <v>2373</v>
      </c>
      <c r="B1204" s="1">
        <v>44979</v>
      </c>
      <c r="C1204" t="s">
        <v>2374</v>
      </c>
      <c r="D1204" t="s">
        <v>56</v>
      </c>
      <c r="E1204" t="s">
        <v>14</v>
      </c>
      <c r="F1204" t="s">
        <v>32</v>
      </c>
      <c r="G1204">
        <v>5</v>
      </c>
      <c r="H1204">
        <v>29994.799999999999</v>
      </c>
      <c r="I1204">
        <v>4339.08</v>
      </c>
      <c r="J1204" t="s">
        <v>71</v>
      </c>
      <c r="K1204" t="s">
        <v>29</v>
      </c>
      <c r="L1204">
        <f t="shared" si="54"/>
        <v>2023</v>
      </c>
      <c r="M1204" t="str">
        <f t="shared" si="55"/>
        <v>Feb</v>
      </c>
      <c r="N1204" s="2">
        <f t="shared" si="56"/>
        <v>0.14466107458626162</v>
      </c>
    </row>
    <row r="1205" spans="1:14" x14ac:dyDescent="0.45">
      <c r="A1205" t="s">
        <v>2375</v>
      </c>
      <c r="B1205" s="1">
        <v>45103</v>
      </c>
      <c r="C1205" t="s">
        <v>2376</v>
      </c>
      <c r="D1205" t="s">
        <v>26</v>
      </c>
      <c r="E1205" t="s">
        <v>14</v>
      </c>
      <c r="F1205" t="s">
        <v>40</v>
      </c>
      <c r="G1205">
        <v>4</v>
      </c>
      <c r="H1205">
        <v>40896.050000000003</v>
      </c>
      <c r="I1205">
        <v>6196.79</v>
      </c>
      <c r="J1205" t="s">
        <v>28</v>
      </c>
      <c r="K1205" t="s">
        <v>33</v>
      </c>
      <c r="L1205">
        <f t="shared" si="54"/>
        <v>2023</v>
      </c>
      <c r="M1205" t="str">
        <f t="shared" si="55"/>
        <v>Jun</v>
      </c>
      <c r="N1205" s="2">
        <f t="shared" si="56"/>
        <v>0.15152539181656907</v>
      </c>
    </row>
    <row r="1206" spans="1:14" x14ac:dyDescent="0.45">
      <c r="A1206" t="s">
        <v>2377</v>
      </c>
      <c r="B1206" s="1">
        <v>45328</v>
      </c>
      <c r="C1206" t="s">
        <v>2378</v>
      </c>
      <c r="D1206" t="s">
        <v>56</v>
      </c>
      <c r="E1206" t="s">
        <v>20</v>
      </c>
      <c r="F1206" t="s">
        <v>27</v>
      </c>
      <c r="G1206">
        <v>4</v>
      </c>
      <c r="H1206">
        <v>13049.76</v>
      </c>
      <c r="I1206">
        <v>1526.2</v>
      </c>
      <c r="J1206" t="s">
        <v>16</v>
      </c>
      <c r="K1206" t="s">
        <v>29</v>
      </c>
      <c r="L1206">
        <f t="shared" si="54"/>
        <v>2024</v>
      </c>
      <c r="M1206" t="str">
        <f t="shared" si="55"/>
        <v>Feb</v>
      </c>
      <c r="N1206" s="2">
        <f t="shared" si="56"/>
        <v>0.1169523424185579</v>
      </c>
    </row>
    <row r="1207" spans="1:14" x14ac:dyDescent="0.45">
      <c r="A1207" t="s">
        <v>2379</v>
      </c>
      <c r="B1207" s="1">
        <v>45571</v>
      </c>
      <c r="C1207" t="s">
        <v>2380</v>
      </c>
      <c r="D1207" t="s">
        <v>13</v>
      </c>
      <c r="E1207" t="s">
        <v>20</v>
      </c>
      <c r="F1207" t="s">
        <v>21</v>
      </c>
      <c r="G1207">
        <v>2</v>
      </c>
      <c r="H1207">
        <v>26520.69</v>
      </c>
      <c r="I1207">
        <v>2490.7399999999998</v>
      </c>
      <c r="J1207" t="s">
        <v>28</v>
      </c>
      <c r="K1207" t="s">
        <v>17</v>
      </c>
      <c r="L1207">
        <f t="shared" si="54"/>
        <v>2024</v>
      </c>
      <c r="M1207" t="str">
        <f t="shared" si="55"/>
        <v>Oct</v>
      </c>
      <c r="N1207" s="2">
        <f t="shared" si="56"/>
        <v>9.3916862645730556E-2</v>
      </c>
    </row>
    <row r="1208" spans="1:14" x14ac:dyDescent="0.45">
      <c r="A1208" t="s">
        <v>2381</v>
      </c>
      <c r="B1208" s="1">
        <v>44983</v>
      </c>
      <c r="C1208" t="s">
        <v>2382</v>
      </c>
      <c r="D1208" t="s">
        <v>13</v>
      </c>
      <c r="E1208" t="s">
        <v>20</v>
      </c>
      <c r="F1208" t="s">
        <v>27</v>
      </c>
      <c r="G1208">
        <v>3</v>
      </c>
      <c r="H1208">
        <v>2630.11</v>
      </c>
      <c r="I1208">
        <v>343.13</v>
      </c>
      <c r="J1208" t="s">
        <v>71</v>
      </c>
      <c r="K1208" t="s">
        <v>17</v>
      </c>
      <c r="L1208">
        <f t="shared" si="54"/>
        <v>2023</v>
      </c>
      <c r="M1208" t="str">
        <f t="shared" si="55"/>
        <v>Feb</v>
      </c>
      <c r="N1208" s="2">
        <f t="shared" si="56"/>
        <v>0.13046222401344429</v>
      </c>
    </row>
    <row r="1209" spans="1:14" x14ac:dyDescent="0.45">
      <c r="A1209" t="s">
        <v>2383</v>
      </c>
      <c r="B1209" s="1">
        <v>44565</v>
      </c>
      <c r="C1209" t="s">
        <v>2384</v>
      </c>
      <c r="D1209" t="s">
        <v>56</v>
      </c>
      <c r="E1209" t="s">
        <v>20</v>
      </c>
      <c r="F1209" t="s">
        <v>21</v>
      </c>
      <c r="G1209">
        <v>3</v>
      </c>
      <c r="H1209">
        <v>7924.01</v>
      </c>
      <c r="I1209">
        <v>764.06</v>
      </c>
      <c r="J1209" t="s">
        <v>16</v>
      </c>
      <c r="K1209" t="s">
        <v>33</v>
      </c>
      <c r="L1209">
        <f t="shared" si="54"/>
        <v>2022</v>
      </c>
      <c r="M1209" t="str">
        <f t="shared" si="55"/>
        <v>Jan</v>
      </c>
      <c r="N1209" s="2">
        <f t="shared" si="56"/>
        <v>9.6423401787731206E-2</v>
      </c>
    </row>
    <row r="1210" spans="1:14" x14ac:dyDescent="0.45">
      <c r="A1210" t="s">
        <v>2385</v>
      </c>
      <c r="B1210" s="1">
        <v>45349</v>
      </c>
      <c r="C1210" t="s">
        <v>2386</v>
      </c>
      <c r="D1210" t="s">
        <v>56</v>
      </c>
      <c r="E1210" t="s">
        <v>20</v>
      </c>
      <c r="F1210" t="s">
        <v>27</v>
      </c>
      <c r="G1210">
        <v>3</v>
      </c>
      <c r="H1210">
        <v>11338.95</v>
      </c>
      <c r="I1210">
        <v>2098.36</v>
      </c>
      <c r="J1210" t="s">
        <v>16</v>
      </c>
      <c r="K1210" t="s">
        <v>17</v>
      </c>
      <c r="L1210">
        <f t="shared" si="54"/>
        <v>2024</v>
      </c>
      <c r="M1210" t="str">
        <f t="shared" si="55"/>
        <v>Feb</v>
      </c>
      <c r="N1210" s="2">
        <f t="shared" si="56"/>
        <v>0.18505769934605937</v>
      </c>
    </row>
    <row r="1211" spans="1:14" x14ac:dyDescent="0.45">
      <c r="A1211" t="s">
        <v>2387</v>
      </c>
      <c r="B1211" s="1">
        <v>45557</v>
      </c>
      <c r="C1211" t="s">
        <v>2388</v>
      </c>
      <c r="D1211" t="s">
        <v>56</v>
      </c>
      <c r="E1211" t="s">
        <v>14</v>
      </c>
      <c r="F1211" t="s">
        <v>15</v>
      </c>
      <c r="G1211">
        <v>5</v>
      </c>
      <c r="H1211">
        <v>48748.480000000003</v>
      </c>
      <c r="I1211">
        <v>8438.69</v>
      </c>
      <c r="J1211" t="s">
        <v>28</v>
      </c>
      <c r="K1211" t="s">
        <v>29</v>
      </c>
      <c r="L1211">
        <f t="shared" si="54"/>
        <v>2024</v>
      </c>
      <c r="M1211" t="str">
        <f t="shared" si="55"/>
        <v>Sep</v>
      </c>
      <c r="N1211" s="2">
        <f t="shared" si="56"/>
        <v>0.17310673071242427</v>
      </c>
    </row>
    <row r="1212" spans="1:14" x14ac:dyDescent="0.45">
      <c r="A1212" t="s">
        <v>2389</v>
      </c>
      <c r="B1212" s="1">
        <v>45110</v>
      </c>
      <c r="C1212" t="s">
        <v>761</v>
      </c>
      <c r="D1212" t="s">
        <v>26</v>
      </c>
      <c r="E1212" t="s">
        <v>14</v>
      </c>
      <c r="F1212" t="s">
        <v>32</v>
      </c>
      <c r="G1212">
        <v>4</v>
      </c>
      <c r="H1212">
        <v>48614.97</v>
      </c>
      <c r="I1212">
        <v>11590.55</v>
      </c>
      <c r="J1212" t="s">
        <v>22</v>
      </c>
      <c r="K1212" t="s">
        <v>23</v>
      </c>
      <c r="L1212">
        <f t="shared" si="54"/>
        <v>2023</v>
      </c>
      <c r="M1212" t="str">
        <f t="shared" si="55"/>
        <v>Jul</v>
      </c>
      <c r="N1212" s="2">
        <f t="shared" si="56"/>
        <v>0.2384152453452095</v>
      </c>
    </row>
    <row r="1213" spans="1:14" x14ac:dyDescent="0.45">
      <c r="A1213" t="s">
        <v>2390</v>
      </c>
      <c r="B1213" s="1">
        <v>45054</v>
      </c>
      <c r="C1213" t="s">
        <v>2391</v>
      </c>
      <c r="D1213" t="s">
        <v>26</v>
      </c>
      <c r="E1213" t="s">
        <v>20</v>
      </c>
      <c r="F1213" t="s">
        <v>27</v>
      </c>
      <c r="G1213">
        <v>4</v>
      </c>
      <c r="H1213">
        <v>14791.43</v>
      </c>
      <c r="I1213">
        <v>2675.36</v>
      </c>
      <c r="J1213" t="s">
        <v>16</v>
      </c>
      <c r="K1213" t="s">
        <v>29</v>
      </c>
      <c r="L1213">
        <f t="shared" si="54"/>
        <v>2023</v>
      </c>
      <c r="M1213" t="str">
        <f t="shared" si="55"/>
        <v>May</v>
      </c>
      <c r="N1213" s="2">
        <f t="shared" si="56"/>
        <v>0.18087230240754276</v>
      </c>
    </row>
    <row r="1214" spans="1:14" x14ac:dyDescent="0.45">
      <c r="A1214" t="s">
        <v>2392</v>
      </c>
      <c r="B1214" s="1">
        <v>44563</v>
      </c>
      <c r="C1214" t="s">
        <v>2393</v>
      </c>
      <c r="D1214" t="s">
        <v>26</v>
      </c>
      <c r="E1214" t="s">
        <v>14</v>
      </c>
      <c r="F1214" t="s">
        <v>40</v>
      </c>
      <c r="G1214">
        <v>5</v>
      </c>
      <c r="H1214">
        <v>10645.51</v>
      </c>
      <c r="I1214">
        <v>1595.37</v>
      </c>
      <c r="J1214" t="s">
        <v>71</v>
      </c>
      <c r="K1214" t="s">
        <v>33</v>
      </c>
      <c r="L1214">
        <f t="shared" si="54"/>
        <v>2022</v>
      </c>
      <c r="M1214" t="str">
        <f t="shared" si="55"/>
        <v>Jan</v>
      </c>
      <c r="N1214" s="2">
        <f t="shared" si="56"/>
        <v>0.14986318175456129</v>
      </c>
    </row>
    <row r="1215" spans="1:14" x14ac:dyDescent="0.45">
      <c r="A1215" t="s">
        <v>2394</v>
      </c>
      <c r="B1215" s="1">
        <v>45406</v>
      </c>
      <c r="C1215" t="s">
        <v>2395</v>
      </c>
      <c r="D1215" t="s">
        <v>56</v>
      </c>
      <c r="E1215" t="s">
        <v>36</v>
      </c>
      <c r="F1215" t="s">
        <v>64</v>
      </c>
      <c r="G1215">
        <v>4</v>
      </c>
      <c r="H1215">
        <v>25264.19</v>
      </c>
      <c r="I1215">
        <v>1341.32</v>
      </c>
      <c r="J1215" t="s">
        <v>47</v>
      </c>
      <c r="K1215" t="s">
        <v>29</v>
      </c>
      <c r="L1215">
        <f t="shared" si="54"/>
        <v>2024</v>
      </c>
      <c r="M1215" t="str">
        <f t="shared" si="55"/>
        <v>Apr</v>
      </c>
      <c r="N1215" s="2">
        <f t="shared" si="56"/>
        <v>5.3091747647559646E-2</v>
      </c>
    </row>
    <row r="1216" spans="1:14" x14ac:dyDescent="0.45">
      <c r="A1216" t="s">
        <v>2396</v>
      </c>
      <c r="B1216" s="1">
        <v>44972</v>
      </c>
      <c r="C1216" t="s">
        <v>2397</v>
      </c>
      <c r="D1216" t="s">
        <v>13</v>
      </c>
      <c r="E1216" t="s">
        <v>36</v>
      </c>
      <c r="F1216" t="s">
        <v>64</v>
      </c>
      <c r="G1216">
        <v>5</v>
      </c>
      <c r="H1216">
        <v>14329.64</v>
      </c>
      <c r="I1216">
        <v>3158.28</v>
      </c>
      <c r="J1216" t="s">
        <v>16</v>
      </c>
      <c r="K1216" t="s">
        <v>33</v>
      </c>
      <c r="L1216">
        <f t="shared" si="54"/>
        <v>2023</v>
      </c>
      <c r="M1216" t="str">
        <f t="shared" si="55"/>
        <v>Feb</v>
      </c>
      <c r="N1216" s="2">
        <f t="shared" si="56"/>
        <v>0.22040190821262784</v>
      </c>
    </row>
    <row r="1217" spans="1:14" x14ac:dyDescent="0.45">
      <c r="A1217" t="s">
        <v>2398</v>
      </c>
      <c r="B1217" s="1">
        <v>44574</v>
      </c>
      <c r="C1217" t="s">
        <v>2399</v>
      </c>
      <c r="D1217" t="s">
        <v>26</v>
      </c>
      <c r="E1217" t="s">
        <v>14</v>
      </c>
      <c r="F1217" t="s">
        <v>40</v>
      </c>
      <c r="G1217">
        <v>4</v>
      </c>
      <c r="H1217">
        <v>16472.28</v>
      </c>
      <c r="I1217">
        <v>4078.08</v>
      </c>
      <c r="J1217" t="s">
        <v>71</v>
      </c>
      <c r="K1217" t="s">
        <v>17</v>
      </c>
      <c r="L1217">
        <f t="shared" si="54"/>
        <v>2022</v>
      </c>
      <c r="M1217" t="str">
        <f t="shared" si="55"/>
        <v>Jan</v>
      </c>
      <c r="N1217" s="2">
        <f t="shared" si="56"/>
        <v>0.24757228507529014</v>
      </c>
    </row>
    <row r="1218" spans="1:14" x14ac:dyDescent="0.45">
      <c r="A1218" t="s">
        <v>2400</v>
      </c>
      <c r="B1218" s="1">
        <v>44774</v>
      </c>
      <c r="C1218" t="s">
        <v>2401</v>
      </c>
      <c r="D1218" t="s">
        <v>26</v>
      </c>
      <c r="E1218" t="s">
        <v>20</v>
      </c>
      <c r="F1218" t="s">
        <v>50</v>
      </c>
      <c r="G1218">
        <v>5</v>
      </c>
      <c r="H1218">
        <v>10039.43</v>
      </c>
      <c r="I1218">
        <v>1527.1</v>
      </c>
      <c r="J1218" t="s">
        <v>47</v>
      </c>
      <c r="K1218" t="s">
        <v>29</v>
      </c>
      <c r="L1218">
        <f t="shared" si="54"/>
        <v>2022</v>
      </c>
      <c r="M1218" t="str">
        <f t="shared" si="55"/>
        <v>Aug</v>
      </c>
      <c r="N1218" s="2">
        <f t="shared" si="56"/>
        <v>0.15211022936561139</v>
      </c>
    </row>
    <row r="1219" spans="1:14" x14ac:dyDescent="0.45">
      <c r="A1219" t="s">
        <v>2402</v>
      </c>
      <c r="B1219" s="1">
        <v>44574</v>
      </c>
      <c r="C1219" t="s">
        <v>2403</v>
      </c>
      <c r="D1219" t="s">
        <v>26</v>
      </c>
      <c r="E1219" t="s">
        <v>20</v>
      </c>
      <c r="F1219" t="s">
        <v>21</v>
      </c>
      <c r="G1219">
        <v>1</v>
      </c>
      <c r="H1219">
        <v>15420.29</v>
      </c>
      <c r="I1219">
        <v>2998.8</v>
      </c>
      <c r="J1219" t="s">
        <v>47</v>
      </c>
      <c r="K1219" t="s">
        <v>29</v>
      </c>
      <c r="L1219">
        <f t="shared" ref="L1219:L1282" si="57">YEAR(B1219 )</f>
        <v>2022</v>
      </c>
      <c r="M1219" t="str">
        <f t="shared" ref="M1219:M1282" si="58">TEXT(B1219,"MMM")</f>
        <v>Jan</v>
      </c>
      <c r="N1219" s="2">
        <f t="shared" ref="N1219:N1282" si="59">I1219 / H1219</f>
        <v>0.1944710508038435</v>
      </c>
    </row>
    <row r="1220" spans="1:14" x14ac:dyDescent="0.45">
      <c r="A1220" t="s">
        <v>2404</v>
      </c>
      <c r="B1220" s="1">
        <v>44654</v>
      </c>
      <c r="C1220" t="s">
        <v>2405</v>
      </c>
      <c r="D1220" t="s">
        <v>56</v>
      </c>
      <c r="E1220" t="s">
        <v>20</v>
      </c>
      <c r="F1220" t="s">
        <v>43</v>
      </c>
      <c r="G1220">
        <v>5</v>
      </c>
      <c r="H1220">
        <v>24615.79</v>
      </c>
      <c r="I1220">
        <v>4220.7299999999996</v>
      </c>
      <c r="J1220" t="s">
        <v>47</v>
      </c>
      <c r="K1220" t="s">
        <v>29</v>
      </c>
      <c r="L1220">
        <f t="shared" si="57"/>
        <v>2022</v>
      </c>
      <c r="M1220" t="str">
        <f t="shared" si="58"/>
        <v>Apr</v>
      </c>
      <c r="N1220" s="2">
        <f t="shared" si="59"/>
        <v>0.171464332446775</v>
      </c>
    </row>
    <row r="1221" spans="1:14" x14ac:dyDescent="0.45">
      <c r="A1221" t="s">
        <v>2406</v>
      </c>
      <c r="B1221" s="1">
        <v>44594</v>
      </c>
      <c r="C1221" t="s">
        <v>1348</v>
      </c>
      <c r="D1221" t="s">
        <v>56</v>
      </c>
      <c r="E1221" t="s">
        <v>20</v>
      </c>
      <c r="F1221" t="s">
        <v>43</v>
      </c>
      <c r="G1221">
        <v>4</v>
      </c>
      <c r="H1221">
        <v>28298.67</v>
      </c>
      <c r="I1221">
        <v>5796.98</v>
      </c>
      <c r="J1221" t="s">
        <v>47</v>
      </c>
      <c r="K1221" t="s">
        <v>33</v>
      </c>
      <c r="L1221">
        <f t="shared" si="57"/>
        <v>2022</v>
      </c>
      <c r="M1221" t="str">
        <f t="shared" si="58"/>
        <v>Feb</v>
      </c>
      <c r="N1221" s="2">
        <f t="shared" si="59"/>
        <v>0.20484990990742674</v>
      </c>
    </row>
    <row r="1222" spans="1:14" x14ac:dyDescent="0.45">
      <c r="A1222" t="s">
        <v>2407</v>
      </c>
      <c r="B1222" s="1">
        <v>44881</v>
      </c>
      <c r="C1222" t="s">
        <v>2408</v>
      </c>
      <c r="D1222" t="s">
        <v>13</v>
      </c>
      <c r="E1222" t="s">
        <v>14</v>
      </c>
      <c r="F1222" t="s">
        <v>32</v>
      </c>
      <c r="G1222">
        <v>4</v>
      </c>
      <c r="H1222">
        <v>41032.1</v>
      </c>
      <c r="I1222">
        <v>9608.93</v>
      </c>
      <c r="J1222" t="s">
        <v>16</v>
      </c>
      <c r="K1222" t="s">
        <v>17</v>
      </c>
      <c r="L1222">
        <f t="shared" si="57"/>
        <v>2022</v>
      </c>
      <c r="M1222" t="str">
        <f t="shared" si="58"/>
        <v>Nov</v>
      </c>
      <c r="N1222" s="2">
        <f t="shared" si="59"/>
        <v>0.23418079991031412</v>
      </c>
    </row>
    <row r="1223" spans="1:14" x14ac:dyDescent="0.45">
      <c r="A1223" t="s">
        <v>2409</v>
      </c>
      <c r="B1223" s="1">
        <v>45020</v>
      </c>
      <c r="C1223" t="s">
        <v>2410</v>
      </c>
      <c r="D1223" t="s">
        <v>56</v>
      </c>
      <c r="E1223" t="s">
        <v>14</v>
      </c>
      <c r="F1223" t="s">
        <v>32</v>
      </c>
      <c r="G1223">
        <v>4</v>
      </c>
      <c r="H1223">
        <v>17143.740000000002</v>
      </c>
      <c r="I1223">
        <v>2745.16</v>
      </c>
      <c r="J1223" t="s">
        <v>28</v>
      </c>
      <c r="K1223" t="s">
        <v>17</v>
      </c>
      <c r="L1223">
        <f t="shared" si="57"/>
        <v>2023</v>
      </c>
      <c r="M1223" t="str">
        <f t="shared" si="58"/>
        <v>Apr</v>
      </c>
      <c r="N1223" s="2">
        <f t="shared" si="59"/>
        <v>0.16012608683986107</v>
      </c>
    </row>
    <row r="1224" spans="1:14" x14ac:dyDescent="0.45">
      <c r="A1224" t="s">
        <v>2411</v>
      </c>
      <c r="B1224" s="1">
        <v>45061</v>
      </c>
      <c r="C1224" t="s">
        <v>2412</v>
      </c>
      <c r="D1224" t="s">
        <v>13</v>
      </c>
      <c r="E1224" t="s">
        <v>36</v>
      </c>
      <c r="F1224" t="s">
        <v>53</v>
      </c>
      <c r="G1224">
        <v>1</v>
      </c>
      <c r="H1224">
        <v>49594.96</v>
      </c>
      <c r="I1224">
        <v>8160.87</v>
      </c>
      <c r="J1224" t="s">
        <v>16</v>
      </c>
      <c r="K1224" t="s">
        <v>23</v>
      </c>
      <c r="L1224">
        <f t="shared" si="57"/>
        <v>2023</v>
      </c>
      <c r="M1224" t="str">
        <f t="shared" si="58"/>
        <v>May</v>
      </c>
      <c r="N1224" s="2">
        <f t="shared" si="59"/>
        <v>0.164550389797673</v>
      </c>
    </row>
    <row r="1225" spans="1:14" x14ac:dyDescent="0.45">
      <c r="A1225" t="s">
        <v>2413</v>
      </c>
      <c r="B1225" s="1">
        <v>44734</v>
      </c>
      <c r="C1225" t="s">
        <v>2414</v>
      </c>
      <c r="D1225" t="s">
        <v>26</v>
      </c>
      <c r="E1225" t="s">
        <v>14</v>
      </c>
      <c r="F1225" t="s">
        <v>57</v>
      </c>
      <c r="G1225">
        <v>1</v>
      </c>
      <c r="H1225">
        <v>47231.69</v>
      </c>
      <c r="I1225">
        <v>5173.67</v>
      </c>
      <c r="J1225" t="s">
        <v>16</v>
      </c>
      <c r="K1225" t="s">
        <v>23</v>
      </c>
      <c r="L1225">
        <f t="shared" si="57"/>
        <v>2022</v>
      </c>
      <c r="M1225" t="str">
        <f t="shared" si="58"/>
        <v>Jun</v>
      </c>
      <c r="N1225" s="2">
        <f t="shared" si="59"/>
        <v>0.10953810884175434</v>
      </c>
    </row>
    <row r="1226" spans="1:14" x14ac:dyDescent="0.45">
      <c r="A1226" t="s">
        <v>2415</v>
      </c>
      <c r="B1226" s="1">
        <v>44891</v>
      </c>
      <c r="C1226" t="s">
        <v>2416</v>
      </c>
      <c r="D1226" t="s">
        <v>56</v>
      </c>
      <c r="E1226" t="s">
        <v>14</v>
      </c>
      <c r="F1226" t="s">
        <v>15</v>
      </c>
      <c r="G1226">
        <v>3</v>
      </c>
      <c r="H1226">
        <v>37136.720000000001</v>
      </c>
      <c r="I1226">
        <v>5709.09</v>
      </c>
      <c r="J1226" t="s">
        <v>16</v>
      </c>
      <c r="K1226" t="s">
        <v>33</v>
      </c>
      <c r="L1226">
        <f t="shared" si="57"/>
        <v>2022</v>
      </c>
      <c r="M1226" t="str">
        <f t="shared" si="58"/>
        <v>Nov</v>
      </c>
      <c r="N1226" s="2">
        <f t="shared" si="59"/>
        <v>0.15373167043292998</v>
      </c>
    </row>
    <row r="1227" spans="1:14" x14ac:dyDescent="0.45">
      <c r="A1227" t="s">
        <v>2417</v>
      </c>
      <c r="B1227" s="1">
        <v>45588</v>
      </c>
      <c r="C1227" t="s">
        <v>1890</v>
      </c>
      <c r="D1227" t="s">
        <v>26</v>
      </c>
      <c r="E1227" t="s">
        <v>36</v>
      </c>
      <c r="F1227" t="s">
        <v>53</v>
      </c>
      <c r="G1227">
        <v>3</v>
      </c>
      <c r="H1227">
        <v>24870.14</v>
      </c>
      <c r="I1227">
        <v>1602.28</v>
      </c>
      <c r="J1227" t="s">
        <v>47</v>
      </c>
      <c r="K1227" t="s">
        <v>29</v>
      </c>
      <c r="L1227">
        <f t="shared" si="57"/>
        <v>2024</v>
      </c>
      <c r="M1227" t="str">
        <f t="shared" si="58"/>
        <v>Oct</v>
      </c>
      <c r="N1227" s="2">
        <f t="shared" si="59"/>
        <v>6.4425853654221488E-2</v>
      </c>
    </row>
    <row r="1228" spans="1:14" x14ac:dyDescent="0.45">
      <c r="A1228" t="s">
        <v>2418</v>
      </c>
      <c r="B1228" s="1">
        <v>45400</v>
      </c>
      <c r="C1228" t="s">
        <v>2419</v>
      </c>
      <c r="D1228" t="s">
        <v>13</v>
      </c>
      <c r="E1228" t="s">
        <v>14</v>
      </c>
      <c r="F1228" t="s">
        <v>57</v>
      </c>
      <c r="G1228">
        <v>3</v>
      </c>
      <c r="H1228">
        <v>35362.76</v>
      </c>
      <c r="I1228">
        <v>5307.84</v>
      </c>
      <c r="J1228" t="s">
        <v>22</v>
      </c>
      <c r="K1228" t="s">
        <v>17</v>
      </c>
      <c r="L1228">
        <f t="shared" si="57"/>
        <v>2024</v>
      </c>
      <c r="M1228" t="str">
        <f t="shared" si="58"/>
        <v>Apr</v>
      </c>
      <c r="N1228" s="2">
        <f t="shared" si="59"/>
        <v>0.15009688157824785</v>
      </c>
    </row>
    <row r="1229" spans="1:14" x14ac:dyDescent="0.45">
      <c r="A1229" t="s">
        <v>2420</v>
      </c>
      <c r="B1229" s="1">
        <v>45523</v>
      </c>
      <c r="C1229" t="s">
        <v>2421</v>
      </c>
      <c r="D1229" t="s">
        <v>56</v>
      </c>
      <c r="E1229" t="s">
        <v>20</v>
      </c>
      <c r="F1229" t="s">
        <v>27</v>
      </c>
      <c r="G1229">
        <v>5</v>
      </c>
      <c r="H1229">
        <v>34856.980000000003</v>
      </c>
      <c r="I1229">
        <v>8282.07</v>
      </c>
      <c r="J1229" t="s">
        <v>71</v>
      </c>
      <c r="K1229" t="s">
        <v>17</v>
      </c>
      <c r="L1229">
        <f t="shared" si="57"/>
        <v>2024</v>
      </c>
      <c r="M1229" t="str">
        <f t="shared" si="58"/>
        <v>Aug</v>
      </c>
      <c r="N1229" s="2">
        <f t="shared" si="59"/>
        <v>0.23760147895772954</v>
      </c>
    </row>
    <row r="1230" spans="1:14" x14ac:dyDescent="0.45">
      <c r="A1230" t="s">
        <v>2422</v>
      </c>
      <c r="B1230" s="1">
        <v>44838</v>
      </c>
      <c r="C1230" t="s">
        <v>2423</v>
      </c>
      <c r="D1230" t="s">
        <v>13</v>
      </c>
      <c r="E1230" t="s">
        <v>36</v>
      </c>
      <c r="F1230" t="s">
        <v>46</v>
      </c>
      <c r="G1230">
        <v>1</v>
      </c>
      <c r="H1230">
        <v>36175.760000000002</v>
      </c>
      <c r="I1230">
        <v>8902.9599999999991</v>
      </c>
      <c r="J1230" t="s">
        <v>16</v>
      </c>
      <c r="K1230" t="s">
        <v>29</v>
      </c>
      <c r="L1230">
        <f t="shared" si="57"/>
        <v>2022</v>
      </c>
      <c r="M1230" t="str">
        <f t="shared" si="58"/>
        <v>Oct</v>
      </c>
      <c r="N1230" s="2">
        <f t="shared" si="59"/>
        <v>0.24610291532230419</v>
      </c>
    </row>
    <row r="1231" spans="1:14" x14ac:dyDescent="0.45">
      <c r="A1231" t="s">
        <v>2424</v>
      </c>
      <c r="B1231" s="1">
        <v>44665</v>
      </c>
      <c r="C1231" t="s">
        <v>2425</v>
      </c>
      <c r="D1231" t="s">
        <v>26</v>
      </c>
      <c r="E1231" t="s">
        <v>14</v>
      </c>
      <c r="F1231" t="s">
        <v>15</v>
      </c>
      <c r="G1231">
        <v>5</v>
      </c>
      <c r="H1231">
        <v>30426.52</v>
      </c>
      <c r="I1231">
        <v>7564.21</v>
      </c>
      <c r="J1231" t="s">
        <v>28</v>
      </c>
      <c r="K1231" t="s">
        <v>29</v>
      </c>
      <c r="L1231">
        <f t="shared" si="57"/>
        <v>2022</v>
      </c>
      <c r="M1231" t="str">
        <f t="shared" si="58"/>
        <v>Apr</v>
      </c>
      <c r="N1231" s="2">
        <f t="shared" si="59"/>
        <v>0.24860582150045421</v>
      </c>
    </row>
    <row r="1232" spans="1:14" x14ac:dyDescent="0.45">
      <c r="A1232" t="s">
        <v>2426</v>
      </c>
      <c r="B1232" s="1">
        <v>44727</v>
      </c>
      <c r="C1232" t="s">
        <v>2427</v>
      </c>
      <c r="D1232" t="s">
        <v>56</v>
      </c>
      <c r="E1232" t="s">
        <v>36</v>
      </c>
      <c r="F1232" t="s">
        <v>37</v>
      </c>
      <c r="G1232">
        <v>4</v>
      </c>
      <c r="H1232">
        <v>4123.6400000000003</v>
      </c>
      <c r="I1232">
        <v>613.98</v>
      </c>
      <c r="J1232" t="s">
        <v>28</v>
      </c>
      <c r="K1232" t="s">
        <v>17</v>
      </c>
      <c r="L1232">
        <f t="shared" si="57"/>
        <v>2022</v>
      </c>
      <c r="M1232" t="str">
        <f t="shared" si="58"/>
        <v>Jun</v>
      </c>
      <c r="N1232" s="2">
        <f t="shared" si="59"/>
        <v>0.14889272584415711</v>
      </c>
    </row>
    <row r="1233" spans="1:14" x14ac:dyDescent="0.45">
      <c r="A1233" t="s">
        <v>2428</v>
      </c>
      <c r="B1233" s="1">
        <v>44596</v>
      </c>
      <c r="C1233" t="s">
        <v>2429</v>
      </c>
      <c r="D1233" t="s">
        <v>56</v>
      </c>
      <c r="E1233" t="s">
        <v>36</v>
      </c>
      <c r="F1233" t="s">
        <v>37</v>
      </c>
      <c r="G1233">
        <v>1</v>
      </c>
      <c r="H1233">
        <v>13137.13</v>
      </c>
      <c r="I1233">
        <v>2588.34</v>
      </c>
      <c r="J1233" t="s">
        <v>22</v>
      </c>
      <c r="K1233" t="s">
        <v>29</v>
      </c>
      <c r="L1233">
        <f t="shared" si="57"/>
        <v>2022</v>
      </c>
      <c r="M1233" t="str">
        <f t="shared" si="58"/>
        <v>Feb</v>
      </c>
      <c r="N1233" s="2">
        <f t="shared" si="59"/>
        <v>0.1970247687280251</v>
      </c>
    </row>
    <row r="1234" spans="1:14" x14ac:dyDescent="0.45">
      <c r="A1234" t="s">
        <v>2430</v>
      </c>
      <c r="B1234" s="1">
        <v>45221</v>
      </c>
      <c r="C1234" t="s">
        <v>2431</v>
      </c>
      <c r="D1234" t="s">
        <v>56</v>
      </c>
      <c r="E1234" t="s">
        <v>14</v>
      </c>
      <c r="F1234" t="s">
        <v>40</v>
      </c>
      <c r="G1234">
        <v>5</v>
      </c>
      <c r="H1234">
        <v>44445.5</v>
      </c>
      <c r="I1234">
        <v>8158.58</v>
      </c>
      <c r="J1234" t="s">
        <v>22</v>
      </c>
      <c r="K1234" t="s">
        <v>23</v>
      </c>
      <c r="L1234">
        <f t="shared" si="57"/>
        <v>2023</v>
      </c>
      <c r="M1234" t="str">
        <f t="shared" si="58"/>
        <v>Oct</v>
      </c>
      <c r="N1234" s="2">
        <f t="shared" si="59"/>
        <v>0.1835636903623539</v>
      </c>
    </row>
    <row r="1235" spans="1:14" x14ac:dyDescent="0.45">
      <c r="A1235" t="s">
        <v>2432</v>
      </c>
      <c r="B1235" s="1">
        <v>45388</v>
      </c>
      <c r="C1235" t="s">
        <v>2433</v>
      </c>
      <c r="D1235" t="s">
        <v>13</v>
      </c>
      <c r="E1235" t="s">
        <v>20</v>
      </c>
      <c r="F1235" t="s">
        <v>50</v>
      </c>
      <c r="G1235">
        <v>4</v>
      </c>
      <c r="H1235">
        <v>37084.92</v>
      </c>
      <c r="I1235">
        <v>2604.34</v>
      </c>
      <c r="J1235" t="s">
        <v>22</v>
      </c>
      <c r="K1235" t="s">
        <v>23</v>
      </c>
      <c r="L1235">
        <f t="shared" si="57"/>
        <v>2024</v>
      </c>
      <c r="M1235" t="str">
        <f t="shared" si="58"/>
        <v>Apr</v>
      </c>
      <c r="N1235" s="2">
        <f t="shared" si="59"/>
        <v>7.0226388515871152E-2</v>
      </c>
    </row>
    <row r="1236" spans="1:14" x14ac:dyDescent="0.45">
      <c r="A1236" t="s">
        <v>2434</v>
      </c>
      <c r="B1236" s="1">
        <v>44986</v>
      </c>
      <c r="C1236" t="s">
        <v>2435</v>
      </c>
      <c r="D1236" t="s">
        <v>56</v>
      </c>
      <c r="E1236" t="s">
        <v>36</v>
      </c>
      <c r="F1236" t="s">
        <v>46</v>
      </c>
      <c r="G1236">
        <v>1</v>
      </c>
      <c r="H1236">
        <v>11946.26</v>
      </c>
      <c r="I1236">
        <v>972.52</v>
      </c>
      <c r="J1236" t="s">
        <v>28</v>
      </c>
      <c r="K1236" t="s">
        <v>17</v>
      </c>
      <c r="L1236">
        <f t="shared" si="57"/>
        <v>2023</v>
      </c>
      <c r="M1236" t="str">
        <f t="shared" si="58"/>
        <v>Mar</v>
      </c>
      <c r="N1236" s="2">
        <f t="shared" si="59"/>
        <v>8.1407905068197076E-2</v>
      </c>
    </row>
    <row r="1237" spans="1:14" x14ac:dyDescent="0.45">
      <c r="A1237" t="s">
        <v>2436</v>
      </c>
      <c r="B1237" s="1">
        <v>45366</v>
      </c>
      <c r="C1237" t="s">
        <v>2437</v>
      </c>
      <c r="D1237" t="s">
        <v>26</v>
      </c>
      <c r="E1237" t="s">
        <v>20</v>
      </c>
      <c r="F1237" t="s">
        <v>21</v>
      </c>
      <c r="G1237">
        <v>1</v>
      </c>
      <c r="H1237">
        <v>29457.43</v>
      </c>
      <c r="I1237">
        <v>3564.9</v>
      </c>
      <c r="J1237" t="s">
        <v>16</v>
      </c>
      <c r="K1237" t="s">
        <v>23</v>
      </c>
      <c r="L1237">
        <f t="shared" si="57"/>
        <v>2024</v>
      </c>
      <c r="M1237" t="str">
        <f t="shared" si="58"/>
        <v>Mar</v>
      </c>
      <c r="N1237" s="2">
        <f t="shared" si="59"/>
        <v>0.12101870393988885</v>
      </c>
    </row>
    <row r="1238" spans="1:14" x14ac:dyDescent="0.45">
      <c r="A1238" t="s">
        <v>2438</v>
      </c>
      <c r="B1238" s="1">
        <v>45342</v>
      </c>
      <c r="C1238" t="s">
        <v>2439</v>
      </c>
      <c r="D1238" t="s">
        <v>26</v>
      </c>
      <c r="E1238" t="s">
        <v>36</v>
      </c>
      <c r="F1238" t="s">
        <v>53</v>
      </c>
      <c r="G1238">
        <v>1</v>
      </c>
      <c r="H1238">
        <v>20088.88</v>
      </c>
      <c r="I1238">
        <v>3007.26</v>
      </c>
      <c r="J1238" t="s">
        <v>22</v>
      </c>
      <c r="K1238" t="s">
        <v>23</v>
      </c>
      <c r="L1238">
        <f t="shared" si="57"/>
        <v>2024</v>
      </c>
      <c r="M1238" t="str">
        <f t="shared" si="58"/>
        <v>Feb</v>
      </c>
      <c r="N1238" s="2">
        <f t="shared" si="59"/>
        <v>0.14969774322908994</v>
      </c>
    </row>
    <row r="1239" spans="1:14" x14ac:dyDescent="0.45">
      <c r="A1239" t="s">
        <v>2440</v>
      </c>
      <c r="B1239" s="1">
        <v>44615</v>
      </c>
      <c r="C1239" t="s">
        <v>2441</v>
      </c>
      <c r="D1239" t="s">
        <v>56</v>
      </c>
      <c r="E1239" t="s">
        <v>14</v>
      </c>
      <c r="F1239" t="s">
        <v>57</v>
      </c>
      <c r="G1239">
        <v>2</v>
      </c>
      <c r="H1239">
        <v>42505.71</v>
      </c>
      <c r="I1239">
        <v>5337.77</v>
      </c>
      <c r="J1239" t="s">
        <v>28</v>
      </c>
      <c r="K1239" t="s">
        <v>17</v>
      </c>
      <c r="L1239">
        <f t="shared" si="57"/>
        <v>2022</v>
      </c>
      <c r="M1239" t="str">
        <f t="shared" si="58"/>
        <v>Feb</v>
      </c>
      <c r="N1239" s="2">
        <f t="shared" si="59"/>
        <v>0.12557771649973618</v>
      </c>
    </row>
    <row r="1240" spans="1:14" x14ac:dyDescent="0.45">
      <c r="A1240" t="s">
        <v>2442</v>
      </c>
      <c r="B1240" s="1">
        <v>44617</v>
      </c>
      <c r="C1240" t="s">
        <v>2443</v>
      </c>
      <c r="D1240" t="s">
        <v>13</v>
      </c>
      <c r="E1240" t="s">
        <v>14</v>
      </c>
      <c r="F1240" t="s">
        <v>40</v>
      </c>
      <c r="G1240">
        <v>1</v>
      </c>
      <c r="H1240">
        <v>38669</v>
      </c>
      <c r="I1240">
        <v>4140.16</v>
      </c>
      <c r="J1240" t="s">
        <v>28</v>
      </c>
      <c r="K1240" t="s">
        <v>33</v>
      </c>
      <c r="L1240">
        <f t="shared" si="57"/>
        <v>2022</v>
      </c>
      <c r="M1240" t="str">
        <f t="shared" si="58"/>
        <v>Feb</v>
      </c>
      <c r="N1240" s="2">
        <f t="shared" si="59"/>
        <v>0.10706664253019214</v>
      </c>
    </row>
    <row r="1241" spans="1:14" x14ac:dyDescent="0.45">
      <c r="A1241" t="s">
        <v>2444</v>
      </c>
      <c r="B1241" s="1">
        <v>44978</v>
      </c>
      <c r="C1241" t="s">
        <v>2445</v>
      </c>
      <c r="D1241" t="s">
        <v>56</v>
      </c>
      <c r="E1241" t="s">
        <v>36</v>
      </c>
      <c r="F1241" t="s">
        <v>37</v>
      </c>
      <c r="G1241">
        <v>3</v>
      </c>
      <c r="H1241">
        <v>47707.05</v>
      </c>
      <c r="I1241">
        <v>3074.76</v>
      </c>
      <c r="J1241" t="s">
        <v>47</v>
      </c>
      <c r="K1241" t="s">
        <v>17</v>
      </c>
      <c r="L1241">
        <f t="shared" si="57"/>
        <v>2023</v>
      </c>
      <c r="M1241" t="str">
        <f t="shared" si="58"/>
        <v>Feb</v>
      </c>
      <c r="N1241" s="2">
        <f t="shared" si="59"/>
        <v>6.4450851603693793E-2</v>
      </c>
    </row>
    <row r="1242" spans="1:14" x14ac:dyDescent="0.45">
      <c r="A1242" t="s">
        <v>2446</v>
      </c>
      <c r="B1242" s="1">
        <v>44836</v>
      </c>
      <c r="C1242" t="s">
        <v>2447</v>
      </c>
      <c r="D1242" t="s">
        <v>56</v>
      </c>
      <c r="E1242" t="s">
        <v>14</v>
      </c>
      <c r="F1242" t="s">
        <v>32</v>
      </c>
      <c r="G1242">
        <v>5</v>
      </c>
      <c r="H1242">
        <v>21435.29</v>
      </c>
      <c r="I1242">
        <v>2995.81</v>
      </c>
      <c r="J1242" t="s">
        <v>71</v>
      </c>
      <c r="K1242" t="s">
        <v>29</v>
      </c>
      <c r="L1242">
        <f t="shared" si="57"/>
        <v>2022</v>
      </c>
      <c r="M1242" t="str">
        <f t="shared" si="58"/>
        <v>Oct</v>
      </c>
      <c r="N1242" s="2">
        <f t="shared" si="59"/>
        <v>0.13976064704512978</v>
      </c>
    </row>
    <row r="1243" spans="1:14" x14ac:dyDescent="0.45">
      <c r="A1243" t="s">
        <v>2448</v>
      </c>
      <c r="B1243" s="1">
        <v>45223</v>
      </c>
      <c r="C1243" t="s">
        <v>2449</v>
      </c>
      <c r="D1243" t="s">
        <v>26</v>
      </c>
      <c r="E1243" t="s">
        <v>20</v>
      </c>
      <c r="F1243" t="s">
        <v>43</v>
      </c>
      <c r="G1243">
        <v>5</v>
      </c>
      <c r="H1243">
        <v>15451.22</v>
      </c>
      <c r="I1243">
        <v>2181.91</v>
      </c>
      <c r="J1243" t="s">
        <v>71</v>
      </c>
      <c r="K1243" t="s">
        <v>23</v>
      </c>
      <c r="L1243">
        <f t="shared" si="57"/>
        <v>2023</v>
      </c>
      <c r="M1243" t="str">
        <f t="shared" si="58"/>
        <v>Oct</v>
      </c>
      <c r="N1243" s="2">
        <f t="shared" si="59"/>
        <v>0.14121279743606005</v>
      </c>
    </row>
    <row r="1244" spans="1:14" x14ac:dyDescent="0.45">
      <c r="A1244" t="s">
        <v>2450</v>
      </c>
      <c r="B1244" s="1">
        <v>45406</v>
      </c>
      <c r="C1244" t="s">
        <v>2451</v>
      </c>
      <c r="D1244" t="s">
        <v>13</v>
      </c>
      <c r="E1244" t="s">
        <v>20</v>
      </c>
      <c r="F1244" t="s">
        <v>21</v>
      </c>
      <c r="G1244">
        <v>2</v>
      </c>
      <c r="H1244">
        <v>2300.31</v>
      </c>
      <c r="I1244">
        <v>260.27999999999997</v>
      </c>
      <c r="J1244" t="s">
        <v>22</v>
      </c>
      <c r="K1244" t="s">
        <v>29</v>
      </c>
      <c r="L1244">
        <f t="shared" si="57"/>
        <v>2024</v>
      </c>
      <c r="M1244" t="str">
        <f t="shared" si="58"/>
        <v>Apr</v>
      </c>
      <c r="N1244" s="2">
        <f t="shared" si="59"/>
        <v>0.11314996674361281</v>
      </c>
    </row>
    <row r="1245" spans="1:14" x14ac:dyDescent="0.45">
      <c r="A1245" t="s">
        <v>2452</v>
      </c>
      <c r="B1245" s="1">
        <v>45591</v>
      </c>
      <c r="C1245" t="s">
        <v>2453</v>
      </c>
      <c r="D1245" t="s">
        <v>56</v>
      </c>
      <c r="E1245" t="s">
        <v>14</v>
      </c>
      <c r="F1245" t="s">
        <v>32</v>
      </c>
      <c r="G1245">
        <v>1</v>
      </c>
      <c r="H1245">
        <v>36713.5</v>
      </c>
      <c r="I1245">
        <v>4522.71</v>
      </c>
      <c r="J1245" t="s">
        <v>16</v>
      </c>
      <c r="K1245" t="s">
        <v>17</v>
      </c>
      <c r="L1245">
        <f t="shared" si="57"/>
        <v>2024</v>
      </c>
      <c r="M1245" t="str">
        <f t="shared" si="58"/>
        <v>Oct</v>
      </c>
      <c r="N1245" s="2">
        <f t="shared" si="59"/>
        <v>0.12318929004317213</v>
      </c>
    </row>
    <row r="1246" spans="1:14" x14ac:dyDescent="0.45">
      <c r="A1246" t="s">
        <v>2454</v>
      </c>
      <c r="B1246" s="1">
        <v>44796</v>
      </c>
      <c r="C1246" t="s">
        <v>2455</v>
      </c>
      <c r="D1246" t="s">
        <v>13</v>
      </c>
      <c r="E1246" t="s">
        <v>20</v>
      </c>
      <c r="F1246" t="s">
        <v>50</v>
      </c>
      <c r="G1246">
        <v>4</v>
      </c>
      <c r="H1246">
        <v>49243.82</v>
      </c>
      <c r="I1246">
        <v>9190.48</v>
      </c>
      <c r="J1246" t="s">
        <v>47</v>
      </c>
      <c r="K1246" t="s">
        <v>17</v>
      </c>
      <c r="L1246">
        <f t="shared" si="57"/>
        <v>2022</v>
      </c>
      <c r="M1246" t="str">
        <f t="shared" si="58"/>
        <v>Aug</v>
      </c>
      <c r="N1246" s="2">
        <f t="shared" si="59"/>
        <v>0.18663214998349031</v>
      </c>
    </row>
    <row r="1247" spans="1:14" x14ac:dyDescent="0.45">
      <c r="A1247" t="s">
        <v>2456</v>
      </c>
      <c r="B1247" s="1">
        <v>44678</v>
      </c>
      <c r="C1247" t="s">
        <v>2457</v>
      </c>
      <c r="D1247" t="s">
        <v>26</v>
      </c>
      <c r="E1247" t="s">
        <v>14</v>
      </c>
      <c r="F1247" t="s">
        <v>15</v>
      </c>
      <c r="G1247">
        <v>2</v>
      </c>
      <c r="H1247">
        <v>40550.74</v>
      </c>
      <c r="I1247">
        <v>2719.07</v>
      </c>
      <c r="J1247" t="s">
        <v>22</v>
      </c>
      <c r="K1247" t="s">
        <v>23</v>
      </c>
      <c r="L1247">
        <f t="shared" si="57"/>
        <v>2022</v>
      </c>
      <c r="M1247" t="str">
        <f t="shared" si="58"/>
        <v>Apr</v>
      </c>
      <c r="N1247" s="2">
        <f t="shared" si="59"/>
        <v>6.705352356085241E-2</v>
      </c>
    </row>
    <row r="1248" spans="1:14" x14ac:dyDescent="0.45">
      <c r="A1248" t="s">
        <v>2458</v>
      </c>
      <c r="B1248" s="1">
        <v>45284</v>
      </c>
      <c r="C1248" t="s">
        <v>2459</v>
      </c>
      <c r="D1248" t="s">
        <v>56</v>
      </c>
      <c r="E1248" t="s">
        <v>20</v>
      </c>
      <c r="F1248" t="s">
        <v>27</v>
      </c>
      <c r="G1248">
        <v>1</v>
      </c>
      <c r="H1248">
        <v>11119.95</v>
      </c>
      <c r="I1248">
        <v>953.35</v>
      </c>
      <c r="J1248" t="s">
        <v>22</v>
      </c>
      <c r="K1248" t="s">
        <v>23</v>
      </c>
      <c r="L1248">
        <f t="shared" si="57"/>
        <v>2023</v>
      </c>
      <c r="M1248" t="str">
        <f t="shared" si="58"/>
        <v>Dec</v>
      </c>
      <c r="N1248" s="2">
        <f t="shared" si="59"/>
        <v>8.5733299160517806E-2</v>
      </c>
    </row>
    <row r="1249" spans="1:14" x14ac:dyDescent="0.45">
      <c r="A1249" t="s">
        <v>2460</v>
      </c>
      <c r="B1249" s="1">
        <v>45417</v>
      </c>
      <c r="C1249" t="s">
        <v>2461</v>
      </c>
      <c r="D1249" t="s">
        <v>56</v>
      </c>
      <c r="E1249" t="s">
        <v>14</v>
      </c>
      <c r="F1249" t="s">
        <v>15</v>
      </c>
      <c r="G1249">
        <v>5</v>
      </c>
      <c r="H1249">
        <v>5493.27</v>
      </c>
      <c r="I1249">
        <v>864.08</v>
      </c>
      <c r="J1249" t="s">
        <v>22</v>
      </c>
      <c r="K1249" t="s">
        <v>23</v>
      </c>
      <c r="L1249">
        <f t="shared" si="57"/>
        <v>2024</v>
      </c>
      <c r="M1249" t="str">
        <f t="shared" si="58"/>
        <v>May</v>
      </c>
      <c r="N1249" s="2">
        <f t="shared" si="59"/>
        <v>0.15729793001254261</v>
      </c>
    </row>
    <row r="1250" spans="1:14" x14ac:dyDescent="0.45">
      <c r="A1250" t="s">
        <v>2462</v>
      </c>
      <c r="B1250" s="1">
        <v>44744</v>
      </c>
      <c r="C1250" t="s">
        <v>2463</v>
      </c>
      <c r="D1250" t="s">
        <v>56</v>
      </c>
      <c r="E1250" t="s">
        <v>36</v>
      </c>
      <c r="F1250" t="s">
        <v>53</v>
      </c>
      <c r="G1250">
        <v>4</v>
      </c>
      <c r="H1250">
        <v>10201.790000000001</v>
      </c>
      <c r="I1250">
        <v>1188.25</v>
      </c>
      <c r="J1250" t="s">
        <v>47</v>
      </c>
      <c r="K1250" t="s">
        <v>23</v>
      </c>
      <c r="L1250">
        <f t="shared" si="57"/>
        <v>2022</v>
      </c>
      <c r="M1250" t="str">
        <f t="shared" si="58"/>
        <v>Jul</v>
      </c>
      <c r="N1250" s="2">
        <f t="shared" si="59"/>
        <v>0.11647465787866638</v>
      </c>
    </row>
    <row r="1251" spans="1:14" x14ac:dyDescent="0.45">
      <c r="A1251" t="s">
        <v>2464</v>
      </c>
      <c r="B1251" s="1">
        <v>44866</v>
      </c>
      <c r="C1251" t="s">
        <v>2465</v>
      </c>
      <c r="D1251" t="s">
        <v>56</v>
      </c>
      <c r="E1251" t="s">
        <v>14</v>
      </c>
      <c r="F1251" t="s">
        <v>15</v>
      </c>
      <c r="G1251">
        <v>5</v>
      </c>
      <c r="H1251">
        <v>2545.13</v>
      </c>
      <c r="I1251">
        <v>409.07</v>
      </c>
      <c r="J1251" t="s">
        <v>71</v>
      </c>
      <c r="K1251" t="s">
        <v>17</v>
      </c>
      <c r="L1251">
        <f t="shared" si="57"/>
        <v>2022</v>
      </c>
      <c r="M1251" t="str">
        <f t="shared" si="58"/>
        <v>Nov</v>
      </c>
      <c r="N1251" s="2">
        <f t="shared" si="59"/>
        <v>0.16072656406548977</v>
      </c>
    </row>
    <row r="1252" spans="1:14" x14ac:dyDescent="0.45">
      <c r="A1252" t="s">
        <v>2466</v>
      </c>
      <c r="B1252" s="1">
        <v>44948</v>
      </c>
      <c r="C1252" t="s">
        <v>2467</v>
      </c>
      <c r="D1252" t="s">
        <v>13</v>
      </c>
      <c r="E1252" t="s">
        <v>36</v>
      </c>
      <c r="F1252" t="s">
        <v>53</v>
      </c>
      <c r="G1252">
        <v>5</v>
      </c>
      <c r="H1252">
        <v>28883.77</v>
      </c>
      <c r="I1252">
        <v>5622.01</v>
      </c>
      <c r="J1252" t="s">
        <v>22</v>
      </c>
      <c r="K1252" t="s">
        <v>33</v>
      </c>
      <c r="L1252">
        <f t="shared" si="57"/>
        <v>2023</v>
      </c>
      <c r="M1252" t="str">
        <f t="shared" si="58"/>
        <v>Jan</v>
      </c>
      <c r="N1252" s="2">
        <f t="shared" si="59"/>
        <v>0.19464252762018255</v>
      </c>
    </row>
    <row r="1253" spans="1:14" x14ac:dyDescent="0.45">
      <c r="A1253" t="s">
        <v>2468</v>
      </c>
      <c r="B1253" s="1">
        <v>45541</v>
      </c>
      <c r="C1253" t="s">
        <v>2469</v>
      </c>
      <c r="D1253" t="s">
        <v>56</v>
      </c>
      <c r="E1253" t="s">
        <v>14</v>
      </c>
      <c r="F1253" t="s">
        <v>40</v>
      </c>
      <c r="G1253">
        <v>5</v>
      </c>
      <c r="H1253">
        <v>22602.43</v>
      </c>
      <c r="I1253">
        <v>1196.45</v>
      </c>
      <c r="J1253" t="s">
        <v>22</v>
      </c>
      <c r="K1253" t="s">
        <v>29</v>
      </c>
      <c r="L1253">
        <f t="shared" si="57"/>
        <v>2024</v>
      </c>
      <c r="M1253" t="str">
        <f t="shared" si="58"/>
        <v>Sep</v>
      </c>
      <c r="N1253" s="2">
        <f t="shared" si="59"/>
        <v>5.2934573848918018E-2</v>
      </c>
    </row>
    <row r="1254" spans="1:14" x14ac:dyDescent="0.45">
      <c r="A1254" t="s">
        <v>2470</v>
      </c>
      <c r="B1254" s="1">
        <v>45636</v>
      </c>
      <c r="C1254" t="s">
        <v>2471</v>
      </c>
      <c r="D1254" t="s">
        <v>56</v>
      </c>
      <c r="E1254" t="s">
        <v>36</v>
      </c>
      <c r="F1254" t="s">
        <v>46</v>
      </c>
      <c r="G1254">
        <v>1</v>
      </c>
      <c r="H1254">
        <v>36949.519999999997</v>
      </c>
      <c r="I1254">
        <v>4227.55</v>
      </c>
      <c r="J1254" t="s">
        <v>47</v>
      </c>
      <c r="K1254" t="s">
        <v>33</v>
      </c>
      <c r="L1254">
        <f t="shared" si="57"/>
        <v>2024</v>
      </c>
      <c r="M1254" t="str">
        <f t="shared" si="58"/>
        <v>Dec</v>
      </c>
      <c r="N1254" s="2">
        <f t="shared" si="59"/>
        <v>0.11441420619266504</v>
      </c>
    </row>
    <row r="1255" spans="1:14" x14ac:dyDescent="0.45">
      <c r="A1255" t="s">
        <v>2472</v>
      </c>
      <c r="B1255" s="1">
        <v>44857</v>
      </c>
      <c r="C1255" t="s">
        <v>2473</v>
      </c>
      <c r="D1255" t="s">
        <v>13</v>
      </c>
      <c r="E1255" t="s">
        <v>14</v>
      </c>
      <c r="F1255" t="s">
        <v>32</v>
      </c>
      <c r="G1255">
        <v>3</v>
      </c>
      <c r="H1255">
        <v>16922.490000000002</v>
      </c>
      <c r="I1255">
        <v>3301.67</v>
      </c>
      <c r="J1255" t="s">
        <v>22</v>
      </c>
      <c r="K1255" t="s">
        <v>29</v>
      </c>
      <c r="L1255">
        <f t="shared" si="57"/>
        <v>2022</v>
      </c>
      <c r="M1255" t="str">
        <f t="shared" si="58"/>
        <v>Oct</v>
      </c>
      <c r="N1255" s="2">
        <f t="shared" si="59"/>
        <v>0.19510544842987054</v>
      </c>
    </row>
    <row r="1256" spans="1:14" x14ac:dyDescent="0.45">
      <c r="A1256" t="s">
        <v>2474</v>
      </c>
      <c r="B1256" s="1">
        <v>45334</v>
      </c>
      <c r="C1256" t="s">
        <v>2475</v>
      </c>
      <c r="D1256" t="s">
        <v>56</v>
      </c>
      <c r="E1256" t="s">
        <v>14</v>
      </c>
      <c r="F1256" t="s">
        <v>15</v>
      </c>
      <c r="G1256">
        <v>3</v>
      </c>
      <c r="H1256">
        <v>1531.44</v>
      </c>
      <c r="I1256">
        <v>255.13</v>
      </c>
      <c r="J1256" t="s">
        <v>28</v>
      </c>
      <c r="K1256" t="s">
        <v>23</v>
      </c>
      <c r="L1256">
        <f t="shared" si="57"/>
        <v>2024</v>
      </c>
      <c r="M1256" t="str">
        <f t="shared" si="58"/>
        <v>Feb</v>
      </c>
      <c r="N1256" s="2">
        <f t="shared" si="59"/>
        <v>0.16659483884448623</v>
      </c>
    </row>
    <row r="1257" spans="1:14" x14ac:dyDescent="0.45">
      <c r="A1257" t="s">
        <v>2476</v>
      </c>
      <c r="B1257" s="1">
        <v>45418</v>
      </c>
      <c r="C1257" t="s">
        <v>2477</v>
      </c>
      <c r="D1257" t="s">
        <v>26</v>
      </c>
      <c r="E1257" t="s">
        <v>14</v>
      </c>
      <c r="F1257" t="s">
        <v>40</v>
      </c>
      <c r="G1257">
        <v>3</v>
      </c>
      <c r="H1257">
        <v>10019.09</v>
      </c>
      <c r="I1257">
        <v>1820.53</v>
      </c>
      <c r="J1257" t="s">
        <v>28</v>
      </c>
      <c r="K1257" t="s">
        <v>33</v>
      </c>
      <c r="L1257">
        <f t="shared" si="57"/>
        <v>2024</v>
      </c>
      <c r="M1257" t="str">
        <f t="shared" si="58"/>
        <v>May</v>
      </c>
      <c r="N1257" s="2">
        <f t="shared" si="59"/>
        <v>0.18170612301117167</v>
      </c>
    </row>
    <row r="1258" spans="1:14" x14ac:dyDescent="0.45">
      <c r="A1258" t="s">
        <v>2478</v>
      </c>
      <c r="B1258" s="1">
        <v>45480</v>
      </c>
      <c r="C1258" t="s">
        <v>333</v>
      </c>
      <c r="D1258" t="s">
        <v>56</v>
      </c>
      <c r="E1258" t="s">
        <v>20</v>
      </c>
      <c r="F1258" t="s">
        <v>27</v>
      </c>
      <c r="G1258">
        <v>2</v>
      </c>
      <c r="H1258">
        <v>22657.62</v>
      </c>
      <c r="I1258">
        <v>4154.5200000000004</v>
      </c>
      <c r="J1258" t="s">
        <v>47</v>
      </c>
      <c r="K1258" t="s">
        <v>17</v>
      </c>
      <c r="L1258">
        <f t="shared" si="57"/>
        <v>2024</v>
      </c>
      <c r="M1258" t="str">
        <f t="shared" si="58"/>
        <v>Jul</v>
      </c>
      <c r="N1258" s="2">
        <f t="shared" si="59"/>
        <v>0.18336082960169695</v>
      </c>
    </row>
    <row r="1259" spans="1:14" x14ac:dyDescent="0.45">
      <c r="A1259" t="s">
        <v>2479</v>
      </c>
      <c r="B1259" s="1">
        <v>44857</v>
      </c>
      <c r="C1259" t="s">
        <v>682</v>
      </c>
      <c r="D1259" t="s">
        <v>13</v>
      </c>
      <c r="E1259" t="s">
        <v>20</v>
      </c>
      <c r="F1259" t="s">
        <v>21</v>
      </c>
      <c r="G1259">
        <v>5</v>
      </c>
      <c r="H1259">
        <v>7678.86</v>
      </c>
      <c r="I1259">
        <v>1602.62</v>
      </c>
      <c r="J1259" t="s">
        <v>71</v>
      </c>
      <c r="K1259" t="s">
        <v>23</v>
      </c>
      <c r="L1259">
        <f t="shared" si="57"/>
        <v>2022</v>
      </c>
      <c r="M1259" t="str">
        <f t="shared" si="58"/>
        <v>Oct</v>
      </c>
      <c r="N1259" s="2">
        <f t="shared" si="59"/>
        <v>0.20870545888321965</v>
      </c>
    </row>
    <row r="1260" spans="1:14" x14ac:dyDescent="0.45">
      <c r="A1260" t="s">
        <v>2480</v>
      </c>
      <c r="B1260" s="1">
        <v>44596</v>
      </c>
      <c r="C1260" t="s">
        <v>2481</v>
      </c>
      <c r="D1260" t="s">
        <v>56</v>
      </c>
      <c r="E1260" t="s">
        <v>14</v>
      </c>
      <c r="F1260" t="s">
        <v>15</v>
      </c>
      <c r="G1260">
        <v>3</v>
      </c>
      <c r="H1260">
        <v>2226.62</v>
      </c>
      <c r="I1260">
        <v>474.37</v>
      </c>
      <c r="J1260" t="s">
        <v>47</v>
      </c>
      <c r="K1260" t="s">
        <v>29</v>
      </c>
      <c r="L1260">
        <f t="shared" si="57"/>
        <v>2022</v>
      </c>
      <c r="M1260" t="str">
        <f t="shared" si="58"/>
        <v>Feb</v>
      </c>
      <c r="N1260" s="2">
        <f t="shared" si="59"/>
        <v>0.21304488417421924</v>
      </c>
    </row>
    <row r="1261" spans="1:14" x14ac:dyDescent="0.45">
      <c r="A1261" t="s">
        <v>2482</v>
      </c>
      <c r="B1261" s="1">
        <v>45182</v>
      </c>
      <c r="C1261" t="s">
        <v>2483</v>
      </c>
      <c r="D1261" t="s">
        <v>26</v>
      </c>
      <c r="E1261" t="s">
        <v>14</v>
      </c>
      <c r="F1261" t="s">
        <v>15</v>
      </c>
      <c r="G1261">
        <v>2</v>
      </c>
      <c r="H1261">
        <v>7694.44</v>
      </c>
      <c r="I1261">
        <v>475.53</v>
      </c>
      <c r="J1261" t="s">
        <v>22</v>
      </c>
      <c r="K1261" t="s">
        <v>33</v>
      </c>
      <c r="L1261">
        <f t="shared" si="57"/>
        <v>2023</v>
      </c>
      <c r="M1261" t="str">
        <f t="shared" si="58"/>
        <v>Sep</v>
      </c>
      <c r="N1261" s="2">
        <f t="shared" si="59"/>
        <v>6.180176854975801E-2</v>
      </c>
    </row>
    <row r="1262" spans="1:14" x14ac:dyDescent="0.45">
      <c r="A1262" t="s">
        <v>2484</v>
      </c>
      <c r="B1262" s="1">
        <v>45102</v>
      </c>
      <c r="C1262" t="s">
        <v>923</v>
      </c>
      <c r="D1262" t="s">
        <v>56</v>
      </c>
      <c r="E1262" t="s">
        <v>20</v>
      </c>
      <c r="F1262" t="s">
        <v>43</v>
      </c>
      <c r="G1262">
        <v>2</v>
      </c>
      <c r="H1262">
        <v>29157.759999999998</v>
      </c>
      <c r="I1262">
        <v>4285.99</v>
      </c>
      <c r="J1262" t="s">
        <v>16</v>
      </c>
      <c r="K1262" t="s">
        <v>17</v>
      </c>
      <c r="L1262">
        <f t="shared" si="57"/>
        <v>2023</v>
      </c>
      <c r="M1262" t="str">
        <f t="shared" si="58"/>
        <v>Jun</v>
      </c>
      <c r="N1262" s="2">
        <f t="shared" si="59"/>
        <v>0.14699311606927282</v>
      </c>
    </row>
    <row r="1263" spans="1:14" x14ac:dyDescent="0.45">
      <c r="A1263" t="s">
        <v>2485</v>
      </c>
      <c r="B1263" s="1">
        <v>45015</v>
      </c>
      <c r="C1263" t="s">
        <v>2486</v>
      </c>
      <c r="D1263" t="s">
        <v>13</v>
      </c>
      <c r="E1263" t="s">
        <v>14</v>
      </c>
      <c r="F1263" t="s">
        <v>57</v>
      </c>
      <c r="G1263">
        <v>1</v>
      </c>
      <c r="H1263">
        <v>33064.370000000003</v>
      </c>
      <c r="I1263">
        <v>7995.02</v>
      </c>
      <c r="J1263" t="s">
        <v>16</v>
      </c>
      <c r="K1263" t="s">
        <v>17</v>
      </c>
      <c r="L1263">
        <f t="shared" si="57"/>
        <v>2023</v>
      </c>
      <c r="M1263" t="str">
        <f t="shared" si="58"/>
        <v>Mar</v>
      </c>
      <c r="N1263" s="2">
        <f t="shared" si="59"/>
        <v>0.24180167352349372</v>
      </c>
    </row>
    <row r="1264" spans="1:14" x14ac:dyDescent="0.45">
      <c r="A1264" t="s">
        <v>2487</v>
      </c>
      <c r="B1264" s="1">
        <v>45544</v>
      </c>
      <c r="C1264" t="s">
        <v>2488</v>
      </c>
      <c r="D1264" t="s">
        <v>56</v>
      </c>
      <c r="E1264" t="s">
        <v>20</v>
      </c>
      <c r="F1264" t="s">
        <v>43</v>
      </c>
      <c r="G1264">
        <v>2</v>
      </c>
      <c r="H1264">
        <v>778.12</v>
      </c>
      <c r="I1264">
        <v>60.16</v>
      </c>
      <c r="J1264" t="s">
        <v>28</v>
      </c>
      <c r="K1264" t="s">
        <v>23</v>
      </c>
      <c r="L1264">
        <f t="shared" si="57"/>
        <v>2024</v>
      </c>
      <c r="M1264" t="str">
        <f t="shared" si="58"/>
        <v>Sep</v>
      </c>
      <c r="N1264" s="2">
        <f t="shared" si="59"/>
        <v>7.7314553025240318E-2</v>
      </c>
    </row>
    <row r="1265" spans="1:14" x14ac:dyDescent="0.45">
      <c r="A1265" t="s">
        <v>2489</v>
      </c>
      <c r="B1265" s="1">
        <v>44888</v>
      </c>
      <c r="C1265" t="s">
        <v>2490</v>
      </c>
      <c r="D1265" t="s">
        <v>56</v>
      </c>
      <c r="E1265" t="s">
        <v>20</v>
      </c>
      <c r="F1265" t="s">
        <v>21</v>
      </c>
      <c r="G1265">
        <v>2</v>
      </c>
      <c r="H1265">
        <v>48307.02</v>
      </c>
      <c r="I1265">
        <v>11643.85</v>
      </c>
      <c r="J1265" t="s">
        <v>28</v>
      </c>
      <c r="K1265" t="s">
        <v>29</v>
      </c>
      <c r="L1265">
        <f t="shared" si="57"/>
        <v>2022</v>
      </c>
      <c r="M1265" t="str">
        <f t="shared" si="58"/>
        <v>Nov</v>
      </c>
      <c r="N1265" s="2">
        <f t="shared" si="59"/>
        <v>0.24103846604489371</v>
      </c>
    </row>
    <row r="1266" spans="1:14" x14ac:dyDescent="0.45">
      <c r="A1266" t="s">
        <v>2491</v>
      </c>
      <c r="B1266" s="1">
        <v>45455</v>
      </c>
      <c r="C1266" t="s">
        <v>2492</v>
      </c>
      <c r="D1266" t="s">
        <v>26</v>
      </c>
      <c r="E1266" t="s">
        <v>14</v>
      </c>
      <c r="F1266" t="s">
        <v>57</v>
      </c>
      <c r="G1266">
        <v>5</v>
      </c>
      <c r="H1266">
        <v>25362.98</v>
      </c>
      <c r="I1266">
        <v>5578.36</v>
      </c>
      <c r="J1266" t="s">
        <v>22</v>
      </c>
      <c r="K1266" t="s">
        <v>17</v>
      </c>
      <c r="L1266">
        <f t="shared" si="57"/>
        <v>2024</v>
      </c>
      <c r="M1266" t="str">
        <f t="shared" si="58"/>
        <v>Jun</v>
      </c>
      <c r="N1266" s="2">
        <f t="shared" si="59"/>
        <v>0.21994103216577862</v>
      </c>
    </row>
    <row r="1267" spans="1:14" x14ac:dyDescent="0.45">
      <c r="A1267" t="s">
        <v>2493</v>
      </c>
      <c r="B1267" s="1">
        <v>45185</v>
      </c>
      <c r="C1267" t="s">
        <v>1448</v>
      </c>
      <c r="D1267" t="s">
        <v>56</v>
      </c>
      <c r="E1267" t="s">
        <v>36</v>
      </c>
      <c r="F1267" t="s">
        <v>46</v>
      </c>
      <c r="G1267">
        <v>5</v>
      </c>
      <c r="H1267">
        <v>15783.75</v>
      </c>
      <c r="I1267">
        <v>1511.18</v>
      </c>
      <c r="J1267" t="s">
        <v>71</v>
      </c>
      <c r="K1267" t="s">
        <v>33</v>
      </c>
      <c r="L1267">
        <f t="shared" si="57"/>
        <v>2023</v>
      </c>
      <c r="M1267" t="str">
        <f t="shared" si="58"/>
        <v>Sep</v>
      </c>
      <c r="N1267" s="2">
        <f t="shared" si="59"/>
        <v>9.5742773422032162E-2</v>
      </c>
    </row>
    <row r="1268" spans="1:14" x14ac:dyDescent="0.45">
      <c r="A1268" t="s">
        <v>2494</v>
      </c>
      <c r="B1268" s="1">
        <v>44757</v>
      </c>
      <c r="C1268" t="s">
        <v>2495</v>
      </c>
      <c r="D1268" t="s">
        <v>26</v>
      </c>
      <c r="E1268" t="s">
        <v>36</v>
      </c>
      <c r="F1268" t="s">
        <v>37</v>
      </c>
      <c r="G1268">
        <v>5</v>
      </c>
      <c r="H1268">
        <v>38740.31</v>
      </c>
      <c r="I1268">
        <v>8565.07</v>
      </c>
      <c r="J1268" t="s">
        <v>16</v>
      </c>
      <c r="K1268" t="s">
        <v>17</v>
      </c>
      <c r="L1268">
        <f t="shared" si="57"/>
        <v>2022</v>
      </c>
      <c r="M1268" t="str">
        <f t="shared" si="58"/>
        <v>Jul</v>
      </c>
      <c r="N1268" s="2">
        <f t="shared" si="59"/>
        <v>0.22108935111773759</v>
      </c>
    </row>
    <row r="1269" spans="1:14" x14ac:dyDescent="0.45">
      <c r="A1269" t="s">
        <v>2496</v>
      </c>
      <c r="B1269" s="1">
        <v>45000</v>
      </c>
      <c r="C1269" t="s">
        <v>2497</v>
      </c>
      <c r="D1269" t="s">
        <v>26</v>
      </c>
      <c r="E1269" t="s">
        <v>20</v>
      </c>
      <c r="F1269" t="s">
        <v>27</v>
      </c>
      <c r="G1269">
        <v>1</v>
      </c>
      <c r="H1269">
        <v>49547.99</v>
      </c>
      <c r="I1269">
        <v>2777.59</v>
      </c>
      <c r="J1269" t="s">
        <v>71</v>
      </c>
      <c r="K1269" t="s">
        <v>33</v>
      </c>
      <c r="L1269">
        <f t="shared" si="57"/>
        <v>2023</v>
      </c>
      <c r="M1269" t="str">
        <f t="shared" si="58"/>
        <v>Mar</v>
      </c>
      <c r="N1269" s="2">
        <f t="shared" si="59"/>
        <v>5.6058580781985307E-2</v>
      </c>
    </row>
    <row r="1270" spans="1:14" x14ac:dyDescent="0.45">
      <c r="A1270" t="s">
        <v>2498</v>
      </c>
      <c r="B1270" s="1">
        <v>45138</v>
      </c>
      <c r="C1270" t="s">
        <v>2499</v>
      </c>
      <c r="D1270" t="s">
        <v>56</v>
      </c>
      <c r="E1270" t="s">
        <v>36</v>
      </c>
      <c r="F1270" t="s">
        <v>53</v>
      </c>
      <c r="G1270">
        <v>5</v>
      </c>
      <c r="H1270">
        <v>27626.07</v>
      </c>
      <c r="I1270">
        <v>4364.93</v>
      </c>
      <c r="J1270" t="s">
        <v>22</v>
      </c>
      <c r="K1270" t="s">
        <v>33</v>
      </c>
      <c r="L1270">
        <f t="shared" si="57"/>
        <v>2023</v>
      </c>
      <c r="M1270" t="str">
        <f t="shared" si="58"/>
        <v>Jul</v>
      </c>
      <c r="N1270" s="2">
        <f t="shared" si="59"/>
        <v>0.15800039600276117</v>
      </c>
    </row>
    <row r="1271" spans="1:14" x14ac:dyDescent="0.45">
      <c r="A1271" t="s">
        <v>2500</v>
      </c>
      <c r="B1271" s="1">
        <v>44704</v>
      </c>
      <c r="C1271" t="s">
        <v>2501</v>
      </c>
      <c r="D1271" t="s">
        <v>56</v>
      </c>
      <c r="E1271" t="s">
        <v>36</v>
      </c>
      <c r="F1271" t="s">
        <v>46</v>
      </c>
      <c r="G1271">
        <v>2</v>
      </c>
      <c r="H1271">
        <v>9503.2999999999993</v>
      </c>
      <c r="I1271">
        <v>1588.59</v>
      </c>
      <c r="J1271" t="s">
        <v>22</v>
      </c>
      <c r="K1271" t="s">
        <v>23</v>
      </c>
      <c r="L1271">
        <f t="shared" si="57"/>
        <v>2022</v>
      </c>
      <c r="M1271" t="str">
        <f t="shared" si="58"/>
        <v>May</v>
      </c>
      <c r="N1271" s="2">
        <f t="shared" si="59"/>
        <v>0.16716193322319617</v>
      </c>
    </row>
    <row r="1272" spans="1:14" x14ac:dyDescent="0.45">
      <c r="A1272" t="s">
        <v>2502</v>
      </c>
      <c r="B1272" s="1">
        <v>44694</v>
      </c>
      <c r="C1272" t="s">
        <v>2503</v>
      </c>
      <c r="D1272" t="s">
        <v>56</v>
      </c>
      <c r="E1272" t="s">
        <v>20</v>
      </c>
      <c r="F1272" t="s">
        <v>50</v>
      </c>
      <c r="G1272">
        <v>2</v>
      </c>
      <c r="H1272">
        <v>4752.74</v>
      </c>
      <c r="I1272">
        <v>714.94</v>
      </c>
      <c r="J1272" t="s">
        <v>22</v>
      </c>
      <c r="K1272" t="s">
        <v>33</v>
      </c>
      <c r="L1272">
        <f t="shared" si="57"/>
        <v>2022</v>
      </c>
      <c r="M1272" t="str">
        <f t="shared" si="58"/>
        <v>May</v>
      </c>
      <c r="N1272" s="2">
        <f t="shared" si="59"/>
        <v>0.15042691163413108</v>
      </c>
    </row>
    <row r="1273" spans="1:14" x14ac:dyDescent="0.45">
      <c r="A1273" t="s">
        <v>2504</v>
      </c>
      <c r="B1273" s="1">
        <v>45260</v>
      </c>
      <c r="C1273" t="s">
        <v>2505</v>
      </c>
      <c r="D1273" t="s">
        <v>26</v>
      </c>
      <c r="E1273" t="s">
        <v>14</v>
      </c>
      <c r="F1273" t="s">
        <v>32</v>
      </c>
      <c r="G1273">
        <v>3</v>
      </c>
      <c r="H1273">
        <v>4318.17</v>
      </c>
      <c r="I1273">
        <v>323.61</v>
      </c>
      <c r="J1273" t="s">
        <v>71</v>
      </c>
      <c r="K1273" t="s">
        <v>23</v>
      </c>
      <c r="L1273">
        <f t="shared" si="57"/>
        <v>2023</v>
      </c>
      <c r="M1273" t="str">
        <f t="shared" si="58"/>
        <v>Nov</v>
      </c>
      <c r="N1273" s="2">
        <f t="shared" si="59"/>
        <v>7.4941468260860511E-2</v>
      </c>
    </row>
    <row r="1274" spans="1:14" x14ac:dyDescent="0.45">
      <c r="A1274" t="s">
        <v>2506</v>
      </c>
      <c r="B1274" s="1">
        <v>44800</v>
      </c>
      <c r="C1274" t="s">
        <v>2507</v>
      </c>
      <c r="D1274" t="s">
        <v>56</v>
      </c>
      <c r="E1274" t="s">
        <v>36</v>
      </c>
      <c r="F1274" t="s">
        <v>64</v>
      </c>
      <c r="G1274">
        <v>5</v>
      </c>
      <c r="H1274">
        <v>25275.56</v>
      </c>
      <c r="I1274">
        <v>4921.1099999999997</v>
      </c>
      <c r="J1274" t="s">
        <v>71</v>
      </c>
      <c r="K1274" t="s">
        <v>17</v>
      </c>
      <c r="L1274">
        <f t="shared" si="57"/>
        <v>2022</v>
      </c>
      <c r="M1274" t="str">
        <f t="shared" si="58"/>
        <v>Aug</v>
      </c>
      <c r="N1274" s="2">
        <f t="shared" si="59"/>
        <v>0.1946983568316587</v>
      </c>
    </row>
    <row r="1275" spans="1:14" x14ac:dyDescent="0.45">
      <c r="A1275" t="s">
        <v>2508</v>
      </c>
      <c r="B1275" s="1">
        <v>44830</v>
      </c>
      <c r="C1275" t="s">
        <v>2509</v>
      </c>
      <c r="D1275" t="s">
        <v>13</v>
      </c>
      <c r="E1275" t="s">
        <v>36</v>
      </c>
      <c r="F1275" t="s">
        <v>46</v>
      </c>
      <c r="G1275">
        <v>5</v>
      </c>
      <c r="H1275">
        <v>13615.62</v>
      </c>
      <c r="I1275">
        <v>1139.83</v>
      </c>
      <c r="J1275" t="s">
        <v>47</v>
      </c>
      <c r="K1275" t="s">
        <v>17</v>
      </c>
      <c r="L1275">
        <f t="shared" si="57"/>
        <v>2022</v>
      </c>
      <c r="M1275" t="str">
        <f t="shared" si="58"/>
        <v>Sep</v>
      </c>
      <c r="N1275" s="2">
        <f t="shared" si="59"/>
        <v>8.3714880409412121E-2</v>
      </c>
    </row>
    <row r="1276" spans="1:14" x14ac:dyDescent="0.45">
      <c r="A1276" t="s">
        <v>2510</v>
      </c>
      <c r="B1276" s="1">
        <v>44764</v>
      </c>
      <c r="C1276" t="s">
        <v>2511</v>
      </c>
      <c r="D1276" t="s">
        <v>56</v>
      </c>
      <c r="E1276" t="s">
        <v>36</v>
      </c>
      <c r="F1276" t="s">
        <v>46</v>
      </c>
      <c r="G1276">
        <v>4</v>
      </c>
      <c r="H1276">
        <v>31253.63</v>
      </c>
      <c r="I1276">
        <v>4510.51</v>
      </c>
      <c r="J1276" t="s">
        <v>71</v>
      </c>
      <c r="K1276" t="s">
        <v>29</v>
      </c>
      <c r="L1276">
        <f t="shared" si="57"/>
        <v>2022</v>
      </c>
      <c r="M1276" t="str">
        <f t="shared" si="58"/>
        <v>Jul</v>
      </c>
      <c r="N1276" s="2">
        <f t="shared" si="59"/>
        <v>0.14431955584039358</v>
      </c>
    </row>
    <row r="1277" spans="1:14" x14ac:dyDescent="0.45">
      <c r="A1277" t="s">
        <v>2512</v>
      </c>
      <c r="B1277" s="1">
        <v>45582</v>
      </c>
      <c r="C1277" t="s">
        <v>2513</v>
      </c>
      <c r="D1277" t="s">
        <v>13</v>
      </c>
      <c r="E1277" t="s">
        <v>14</v>
      </c>
      <c r="F1277" t="s">
        <v>40</v>
      </c>
      <c r="G1277">
        <v>4</v>
      </c>
      <c r="H1277">
        <v>4973.68</v>
      </c>
      <c r="I1277">
        <v>576.66</v>
      </c>
      <c r="J1277" t="s">
        <v>16</v>
      </c>
      <c r="K1277" t="s">
        <v>33</v>
      </c>
      <c r="L1277">
        <f t="shared" si="57"/>
        <v>2024</v>
      </c>
      <c r="M1277" t="str">
        <f t="shared" si="58"/>
        <v>Oct</v>
      </c>
      <c r="N1277" s="2">
        <f t="shared" si="59"/>
        <v>0.1159423203744511</v>
      </c>
    </row>
    <row r="1278" spans="1:14" x14ac:dyDescent="0.45">
      <c r="A1278" t="s">
        <v>2514</v>
      </c>
      <c r="B1278" s="1">
        <v>44902</v>
      </c>
      <c r="C1278" t="s">
        <v>2515</v>
      </c>
      <c r="D1278" t="s">
        <v>56</v>
      </c>
      <c r="E1278" t="s">
        <v>20</v>
      </c>
      <c r="F1278" t="s">
        <v>50</v>
      </c>
      <c r="G1278">
        <v>5</v>
      </c>
      <c r="H1278">
        <v>28467.35</v>
      </c>
      <c r="I1278">
        <v>5524.05</v>
      </c>
      <c r="J1278" t="s">
        <v>22</v>
      </c>
      <c r="K1278" t="s">
        <v>17</v>
      </c>
      <c r="L1278">
        <f t="shared" si="57"/>
        <v>2022</v>
      </c>
      <c r="M1278" t="str">
        <f t="shared" si="58"/>
        <v>Dec</v>
      </c>
      <c r="N1278" s="2">
        <f t="shared" si="59"/>
        <v>0.19404862061273706</v>
      </c>
    </row>
    <row r="1279" spans="1:14" x14ac:dyDescent="0.45">
      <c r="A1279" t="s">
        <v>2516</v>
      </c>
      <c r="B1279" s="1">
        <v>45035</v>
      </c>
      <c r="C1279" t="s">
        <v>2517</v>
      </c>
      <c r="D1279" t="s">
        <v>56</v>
      </c>
      <c r="E1279" t="s">
        <v>20</v>
      </c>
      <c r="F1279" t="s">
        <v>21</v>
      </c>
      <c r="G1279">
        <v>3</v>
      </c>
      <c r="H1279">
        <v>31953.95</v>
      </c>
      <c r="I1279">
        <v>3057.22</v>
      </c>
      <c r="J1279" t="s">
        <v>16</v>
      </c>
      <c r="K1279" t="s">
        <v>29</v>
      </c>
      <c r="L1279">
        <f t="shared" si="57"/>
        <v>2023</v>
      </c>
      <c r="M1279" t="str">
        <f t="shared" si="58"/>
        <v>Apr</v>
      </c>
      <c r="N1279" s="2">
        <f t="shared" si="59"/>
        <v>9.5675808468123652E-2</v>
      </c>
    </row>
    <row r="1280" spans="1:14" x14ac:dyDescent="0.45">
      <c r="A1280" t="s">
        <v>2518</v>
      </c>
      <c r="B1280" s="1">
        <v>45550</v>
      </c>
      <c r="C1280" t="s">
        <v>2519</v>
      </c>
      <c r="D1280" t="s">
        <v>56</v>
      </c>
      <c r="E1280" t="s">
        <v>36</v>
      </c>
      <c r="F1280" t="s">
        <v>53</v>
      </c>
      <c r="G1280">
        <v>3</v>
      </c>
      <c r="H1280">
        <v>42860.76</v>
      </c>
      <c r="I1280">
        <v>10602.7</v>
      </c>
      <c r="J1280" t="s">
        <v>22</v>
      </c>
      <c r="K1280" t="s">
        <v>23</v>
      </c>
      <c r="L1280">
        <f t="shared" si="57"/>
        <v>2024</v>
      </c>
      <c r="M1280" t="str">
        <f t="shared" si="58"/>
        <v>Sep</v>
      </c>
      <c r="N1280" s="2">
        <f t="shared" si="59"/>
        <v>0.24737545484494441</v>
      </c>
    </row>
    <row r="1281" spans="1:14" x14ac:dyDescent="0.45">
      <c r="A1281" t="s">
        <v>2520</v>
      </c>
      <c r="B1281" s="1">
        <v>45047</v>
      </c>
      <c r="C1281" t="s">
        <v>2521</v>
      </c>
      <c r="D1281" t="s">
        <v>13</v>
      </c>
      <c r="E1281" t="s">
        <v>14</v>
      </c>
      <c r="F1281" t="s">
        <v>57</v>
      </c>
      <c r="G1281">
        <v>4</v>
      </c>
      <c r="H1281">
        <v>27209.14</v>
      </c>
      <c r="I1281">
        <v>3976.77</v>
      </c>
      <c r="J1281" t="s">
        <v>28</v>
      </c>
      <c r="K1281" t="s">
        <v>17</v>
      </c>
      <c r="L1281">
        <f t="shared" si="57"/>
        <v>2023</v>
      </c>
      <c r="M1281" t="str">
        <f t="shared" si="58"/>
        <v>May</v>
      </c>
      <c r="N1281" s="2">
        <f t="shared" si="59"/>
        <v>0.14615566680902078</v>
      </c>
    </row>
    <row r="1282" spans="1:14" x14ac:dyDescent="0.45">
      <c r="A1282" t="s">
        <v>2522</v>
      </c>
      <c r="B1282" s="1">
        <v>44760</v>
      </c>
      <c r="C1282" t="s">
        <v>2523</v>
      </c>
      <c r="D1282" t="s">
        <v>13</v>
      </c>
      <c r="E1282" t="s">
        <v>36</v>
      </c>
      <c r="F1282" t="s">
        <v>37</v>
      </c>
      <c r="G1282">
        <v>2</v>
      </c>
      <c r="H1282">
        <v>30939.94</v>
      </c>
      <c r="I1282">
        <v>3961.01</v>
      </c>
      <c r="J1282" t="s">
        <v>47</v>
      </c>
      <c r="K1282" t="s">
        <v>23</v>
      </c>
      <c r="L1282">
        <f t="shared" si="57"/>
        <v>2022</v>
      </c>
      <c r="M1282" t="str">
        <f t="shared" si="58"/>
        <v>Jul</v>
      </c>
      <c r="N1282" s="2">
        <f t="shared" si="59"/>
        <v>0.12802254949427827</v>
      </c>
    </row>
    <row r="1283" spans="1:14" x14ac:dyDescent="0.45">
      <c r="A1283" t="s">
        <v>2524</v>
      </c>
      <c r="B1283" s="1">
        <v>44651</v>
      </c>
      <c r="C1283" t="s">
        <v>2525</v>
      </c>
      <c r="D1283" t="s">
        <v>13</v>
      </c>
      <c r="E1283" t="s">
        <v>36</v>
      </c>
      <c r="F1283" t="s">
        <v>46</v>
      </c>
      <c r="G1283">
        <v>2</v>
      </c>
      <c r="H1283">
        <v>8964.2099999999991</v>
      </c>
      <c r="I1283">
        <v>792.58</v>
      </c>
      <c r="J1283" t="s">
        <v>71</v>
      </c>
      <c r="K1283" t="s">
        <v>17</v>
      </c>
      <c r="L1283">
        <f t="shared" ref="L1283:L1346" si="60">YEAR(B1283 )</f>
        <v>2022</v>
      </c>
      <c r="M1283" t="str">
        <f t="shared" ref="M1283:M1346" si="61">TEXT(B1283,"MMM")</f>
        <v>Mar</v>
      </c>
      <c r="N1283" s="2">
        <f t="shared" ref="N1283:N1346" si="62">I1283 / H1283</f>
        <v>8.841604558572369E-2</v>
      </c>
    </row>
    <row r="1284" spans="1:14" x14ac:dyDescent="0.45">
      <c r="A1284" t="s">
        <v>2526</v>
      </c>
      <c r="B1284" s="1">
        <v>45448</v>
      </c>
      <c r="C1284" t="s">
        <v>2527</v>
      </c>
      <c r="D1284" t="s">
        <v>56</v>
      </c>
      <c r="E1284" t="s">
        <v>14</v>
      </c>
      <c r="F1284" t="s">
        <v>32</v>
      </c>
      <c r="G1284">
        <v>2</v>
      </c>
      <c r="H1284">
        <v>38781.760000000002</v>
      </c>
      <c r="I1284">
        <v>8711</v>
      </c>
      <c r="J1284" t="s">
        <v>71</v>
      </c>
      <c r="K1284" t="s">
        <v>23</v>
      </c>
      <c r="L1284">
        <f t="shared" si="60"/>
        <v>2024</v>
      </c>
      <c r="M1284" t="str">
        <f t="shared" si="61"/>
        <v>Jun</v>
      </c>
      <c r="N1284" s="2">
        <f t="shared" si="62"/>
        <v>0.22461590190852607</v>
      </c>
    </row>
    <row r="1285" spans="1:14" x14ac:dyDescent="0.45">
      <c r="A1285" t="s">
        <v>2528</v>
      </c>
      <c r="B1285" s="1">
        <v>45182</v>
      </c>
      <c r="C1285" t="s">
        <v>2529</v>
      </c>
      <c r="D1285" t="s">
        <v>56</v>
      </c>
      <c r="E1285" t="s">
        <v>14</v>
      </c>
      <c r="F1285" t="s">
        <v>40</v>
      </c>
      <c r="G1285">
        <v>1</v>
      </c>
      <c r="H1285">
        <v>15160.38</v>
      </c>
      <c r="I1285">
        <v>987.14</v>
      </c>
      <c r="J1285" t="s">
        <v>47</v>
      </c>
      <c r="K1285" t="s">
        <v>17</v>
      </c>
      <c r="L1285">
        <f t="shared" si="60"/>
        <v>2023</v>
      </c>
      <c r="M1285" t="str">
        <f t="shared" si="61"/>
        <v>Sep</v>
      </c>
      <c r="N1285" s="2">
        <f t="shared" si="62"/>
        <v>6.5113143601941384E-2</v>
      </c>
    </row>
    <row r="1286" spans="1:14" x14ac:dyDescent="0.45">
      <c r="A1286" t="s">
        <v>2530</v>
      </c>
      <c r="B1286" s="1">
        <v>44565</v>
      </c>
      <c r="C1286" t="s">
        <v>2531</v>
      </c>
      <c r="D1286" t="s">
        <v>56</v>
      </c>
      <c r="E1286" t="s">
        <v>20</v>
      </c>
      <c r="F1286" t="s">
        <v>50</v>
      </c>
      <c r="G1286">
        <v>2</v>
      </c>
      <c r="H1286">
        <v>19825.38</v>
      </c>
      <c r="I1286">
        <v>1922.32</v>
      </c>
      <c r="J1286" t="s">
        <v>22</v>
      </c>
      <c r="K1286" t="s">
        <v>17</v>
      </c>
      <c r="L1286">
        <f t="shared" si="60"/>
        <v>2022</v>
      </c>
      <c r="M1286" t="str">
        <f t="shared" si="61"/>
        <v>Jan</v>
      </c>
      <c r="N1286" s="2">
        <f t="shared" si="62"/>
        <v>9.696258028849887E-2</v>
      </c>
    </row>
    <row r="1287" spans="1:14" x14ac:dyDescent="0.45">
      <c r="A1287" t="s">
        <v>2532</v>
      </c>
      <c r="B1287" s="1">
        <v>45264</v>
      </c>
      <c r="C1287" t="s">
        <v>2533</v>
      </c>
      <c r="D1287" t="s">
        <v>26</v>
      </c>
      <c r="E1287" t="s">
        <v>36</v>
      </c>
      <c r="F1287" t="s">
        <v>64</v>
      </c>
      <c r="G1287">
        <v>1</v>
      </c>
      <c r="H1287">
        <v>21012.76</v>
      </c>
      <c r="I1287">
        <v>2521.56</v>
      </c>
      <c r="J1287" t="s">
        <v>47</v>
      </c>
      <c r="K1287" t="s">
        <v>29</v>
      </c>
      <c r="L1287">
        <f t="shared" si="60"/>
        <v>2023</v>
      </c>
      <c r="M1287" t="str">
        <f t="shared" si="61"/>
        <v>Dec</v>
      </c>
      <c r="N1287" s="2">
        <f t="shared" si="62"/>
        <v>0.12000137059577133</v>
      </c>
    </row>
    <row r="1288" spans="1:14" x14ac:dyDescent="0.45">
      <c r="A1288" t="s">
        <v>2534</v>
      </c>
      <c r="B1288" s="1">
        <v>44970</v>
      </c>
      <c r="C1288" t="s">
        <v>2535</v>
      </c>
      <c r="D1288" t="s">
        <v>13</v>
      </c>
      <c r="E1288" t="s">
        <v>14</v>
      </c>
      <c r="F1288" t="s">
        <v>32</v>
      </c>
      <c r="G1288">
        <v>2</v>
      </c>
      <c r="H1288">
        <v>41738.82</v>
      </c>
      <c r="I1288">
        <v>7986.34</v>
      </c>
      <c r="J1288" t="s">
        <v>16</v>
      </c>
      <c r="K1288" t="s">
        <v>29</v>
      </c>
      <c r="L1288">
        <f t="shared" si="60"/>
        <v>2023</v>
      </c>
      <c r="M1288" t="str">
        <f t="shared" si="61"/>
        <v>Feb</v>
      </c>
      <c r="N1288" s="2">
        <f t="shared" si="62"/>
        <v>0.19134081893067414</v>
      </c>
    </row>
    <row r="1289" spans="1:14" x14ac:dyDescent="0.45">
      <c r="A1289" t="s">
        <v>2536</v>
      </c>
      <c r="B1289" s="1">
        <v>45014</v>
      </c>
      <c r="C1289" t="s">
        <v>2537</v>
      </c>
      <c r="D1289" t="s">
        <v>26</v>
      </c>
      <c r="E1289" t="s">
        <v>14</v>
      </c>
      <c r="F1289" t="s">
        <v>57</v>
      </c>
      <c r="G1289">
        <v>1</v>
      </c>
      <c r="H1289">
        <v>47777.23</v>
      </c>
      <c r="I1289">
        <v>4149.7299999999996</v>
      </c>
      <c r="J1289" t="s">
        <v>22</v>
      </c>
      <c r="K1289" t="s">
        <v>29</v>
      </c>
      <c r="L1289">
        <f t="shared" si="60"/>
        <v>2023</v>
      </c>
      <c r="M1289" t="str">
        <f t="shared" si="61"/>
        <v>Mar</v>
      </c>
      <c r="N1289" s="2">
        <f t="shared" si="62"/>
        <v>8.6855809765446837E-2</v>
      </c>
    </row>
    <row r="1290" spans="1:14" x14ac:dyDescent="0.45">
      <c r="A1290" t="s">
        <v>2538</v>
      </c>
      <c r="B1290" s="1">
        <v>45493</v>
      </c>
      <c r="C1290" t="s">
        <v>2539</v>
      </c>
      <c r="D1290" t="s">
        <v>13</v>
      </c>
      <c r="E1290" t="s">
        <v>20</v>
      </c>
      <c r="F1290" t="s">
        <v>50</v>
      </c>
      <c r="G1290">
        <v>5</v>
      </c>
      <c r="H1290">
        <v>11632.56</v>
      </c>
      <c r="I1290">
        <v>1904.76</v>
      </c>
      <c r="J1290" t="s">
        <v>47</v>
      </c>
      <c r="K1290" t="s">
        <v>33</v>
      </c>
      <c r="L1290">
        <f t="shared" si="60"/>
        <v>2024</v>
      </c>
      <c r="M1290" t="str">
        <f t="shared" si="61"/>
        <v>Jul</v>
      </c>
      <c r="N1290" s="2">
        <f t="shared" si="62"/>
        <v>0.16374383626647962</v>
      </c>
    </row>
    <row r="1291" spans="1:14" x14ac:dyDescent="0.45">
      <c r="A1291" t="s">
        <v>2540</v>
      </c>
      <c r="B1291" s="1">
        <v>45587</v>
      </c>
      <c r="C1291" t="s">
        <v>2541</v>
      </c>
      <c r="D1291" t="s">
        <v>56</v>
      </c>
      <c r="E1291" t="s">
        <v>14</v>
      </c>
      <c r="F1291" t="s">
        <v>57</v>
      </c>
      <c r="G1291">
        <v>2</v>
      </c>
      <c r="H1291">
        <v>39234.870000000003</v>
      </c>
      <c r="I1291">
        <v>8698.06</v>
      </c>
      <c r="J1291" t="s">
        <v>16</v>
      </c>
      <c r="K1291" t="s">
        <v>17</v>
      </c>
      <c r="L1291">
        <f t="shared" si="60"/>
        <v>2024</v>
      </c>
      <c r="M1291" t="str">
        <f t="shared" si="61"/>
        <v>Oct</v>
      </c>
      <c r="N1291" s="2">
        <f t="shared" si="62"/>
        <v>0.22169208155908249</v>
      </c>
    </row>
    <row r="1292" spans="1:14" x14ac:dyDescent="0.45">
      <c r="A1292" t="s">
        <v>2542</v>
      </c>
      <c r="B1292" s="1">
        <v>44972</v>
      </c>
      <c r="C1292" t="s">
        <v>2543</v>
      </c>
      <c r="D1292" t="s">
        <v>13</v>
      </c>
      <c r="E1292" t="s">
        <v>20</v>
      </c>
      <c r="F1292" t="s">
        <v>27</v>
      </c>
      <c r="G1292">
        <v>3</v>
      </c>
      <c r="H1292">
        <v>23112.91</v>
      </c>
      <c r="I1292">
        <v>2276.0300000000002</v>
      </c>
      <c r="J1292" t="s">
        <v>47</v>
      </c>
      <c r="K1292" t="s">
        <v>29</v>
      </c>
      <c r="L1292">
        <f t="shared" si="60"/>
        <v>2023</v>
      </c>
      <c r="M1292" t="str">
        <f t="shared" si="61"/>
        <v>Feb</v>
      </c>
      <c r="N1292" s="2">
        <f t="shared" si="62"/>
        <v>9.847440240108235E-2</v>
      </c>
    </row>
    <row r="1293" spans="1:14" x14ac:dyDescent="0.45">
      <c r="A1293" t="s">
        <v>2544</v>
      </c>
      <c r="B1293" s="1">
        <v>45204</v>
      </c>
      <c r="C1293" t="s">
        <v>2545</v>
      </c>
      <c r="D1293" t="s">
        <v>26</v>
      </c>
      <c r="E1293" t="s">
        <v>20</v>
      </c>
      <c r="F1293" t="s">
        <v>27</v>
      </c>
      <c r="G1293">
        <v>2</v>
      </c>
      <c r="H1293">
        <v>39607.57</v>
      </c>
      <c r="I1293">
        <v>7718.12</v>
      </c>
      <c r="J1293" t="s">
        <v>22</v>
      </c>
      <c r="K1293" t="s">
        <v>29</v>
      </c>
      <c r="L1293">
        <f t="shared" si="60"/>
        <v>2023</v>
      </c>
      <c r="M1293" t="str">
        <f t="shared" si="61"/>
        <v>Oct</v>
      </c>
      <c r="N1293" s="2">
        <f t="shared" si="62"/>
        <v>0.1948647695377424</v>
      </c>
    </row>
    <row r="1294" spans="1:14" x14ac:dyDescent="0.45">
      <c r="A1294" t="s">
        <v>2546</v>
      </c>
      <c r="B1294" s="1">
        <v>45637</v>
      </c>
      <c r="C1294" t="s">
        <v>783</v>
      </c>
      <c r="D1294" t="s">
        <v>56</v>
      </c>
      <c r="E1294" t="s">
        <v>36</v>
      </c>
      <c r="F1294" t="s">
        <v>53</v>
      </c>
      <c r="G1294">
        <v>2</v>
      </c>
      <c r="H1294">
        <v>19577.61</v>
      </c>
      <c r="I1294">
        <v>2151.4</v>
      </c>
      <c r="J1294" t="s">
        <v>16</v>
      </c>
      <c r="K1294" t="s">
        <v>29</v>
      </c>
      <c r="L1294">
        <f t="shared" si="60"/>
        <v>2024</v>
      </c>
      <c r="M1294" t="str">
        <f t="shared" si="61"/>
        <v>Dec</v>
      </c>
      <c r="N1294" s="2">
        <f t="shared" si="62"/>
        <v>0.10989083958665026</v>
      </c>
    </row>
    <row r="1295" spans="1:14" x14ac:dyDescent="0.45">
      <c r="A1295" t="s">
        <v>2547</v>
      </c>
      <c r="B1295" s="1">
        <v>45248</v>
      </c>
      <c r="C1295" t="s">
        <v>1348</v>
      </c>
      <c r="D1295" t="s">
        <v>26</v>
      </c>
      <c r="E1295" t="s">
        <v>20</v>
      </c>
      <c r="F1295" t="s">
        <v>43</v>
      </c>
      <c r="G1295">
        <v>1</v>
      </c>
      <c r="H1295">
        <v>38309.31</v>
      </c>
      <c r="I1295">
        <v>4352.6899999999996</v>
      </c>
      <c r="J1295" t="s">
        <v>22</v>
      </c>
      <c r="K1295" t="s">
        <v>17</v>
      </c>
      <c r="L1295">
        <f t="shared" si="60"/>
        <v>2023</v>
      </c>
      <c r="M1295" t="str">
        <f t="shared" si="61"/>
        <v>Nov</v>
      </c>
      <c r="N1295" s="2">
        <f t="shared" si="62"/>
        <v>0.11361963971682079</v>
      </c>
    </row>
    <row r="1296" spans="1:14" x14ac:dyDescent="0.45">
      <c r="A1296" t="s">
        <v>2548</v>
      </c>
      <c r="B1296" s="1">
        <v>44840</v>
      </c>
      <c r="C1296" t="s">
        <v>2549</v>
      </c>
      <c r="D1296" t="s">
        <v>56</v>
      </c>
      <c r="E1296" t="s">
        <v>14</v>
      </c>
      <c r="F1296" t="s">
        <v>32</v>
      </c>
      <c r="G1296">
        <v>4</v>
      </c>
      <c r="H1296">
        <v>22654.86</v>
      </c>
      <c r="I1296">
        <v>1505.4</v>
      </c>
      <c r="J1296" t="s">
        <v>28</v>
      </c>
      <c r="K1296" t="s">
        <v>33</v>
      </c>
      <c r="L1296">
        <f t="shared" si="60"/>
        <v>2022</v>
      </c>
      <c r="M1296" t="str">
        <f t="shared" si="61"/>
        <v>Oct</v>
      </c>
      <c r="N1296" s="2">
        <f t="shared" si="62"/>
        <v>6.644931815954723E-2</v>
      </c>
    </row>
    <row r="1297" spans="1:14" x14ac:dyDescent="0.45">
      <c r="A1297" t="s">
        <v>2550</v>
      </c>
      <c r="B1297" s="1">
        <v>44585</v>
      </c>
      <c r="C1297" t="s">
        <v>2551</v>
      </c>
      <c r="D1297" t="s">
        <v>56</v>
      </c>
      <c r="E1297" t="s">
        <v>14</v>
      </c>
      <c r="F1297" t="s">
        <v>15</v>
      </c>
      <c r="G1297">
        <v>3</v>
      </c>
      <c r="H1297">
        <v>39155.440000000002</v>
      </c>
      <c r="I1297">
        <v>3365.92</v>
      </c>
      <c r="J1297" t="s">
        <v>16</v>
      </c>
      <c r="K1297" t="s">
        <v>29</v>
      </c>
      <c r="L1297">
        <f t="shared" si="60"/>
        <v>2022</v>
      </c>
      <c r="M1297" t="str">
        <f t="shared" si="61"/>
        <v>Jan</v>
      </c>
      <c r="N1297" s="2">
        <f t="shared" si="62"/>
        <v>8.5963023273394445E-2</v>
      </c>
    </row>
    <row r="1298" spans="1:14" x14ac:dyDescent="0.45">
      <c r="A1298" t="s">
        <v>2552</v>
      </c>
      <c r="B1298" s="1">
        <v>45006</v>
      </c>
      <c r="C1298" t="s">
        <v>2553</v>
      </c>
      <c r="D1298" t="s">
        <v>56</v>
      </c>
      <c r="E1298" t="s">
        <v>14</v>
      </c>
      <c r="F1298" t="s">
        <v>40</v>
      </c>
      <c r="G1298">
        <v>3</v>
      </c>
      <c r="H1298">
        <v>24899.45</v>
      </c>
      <c r="I1298">
        <v>3288.03</v>
      </c>
      <c r="J1298" t="s">
        <v>28</v>
      </c>
      <c r="K1298" t="s">
        <v>33</v>
      </c>
      <c r="L1298">
        <f t="shared" si="60"/>
        <v>2023</v>
      </c>
      <c r="M1298" t="str">
        <f t="shared" si="61"/>
        <v>Mar</v>
      </c>
      <c r="N1298" s="2">
        <f t="shared" si="62"/>
        <v>0.1320523144085512</v>
      </c>
    </row>
    <row r="1299" spans="1:14" x14ac:dyDescent="0.45">
      <c r="A1299" t="s">
        <v>2554</v>
      </c>
      <c r="B1299" s="1">
        <v>45140</v>
      </c>
      <c r="C1299" t="s">
        <v>2555</v>
      </c>
      <c r="D1299" t="s">
        <v>13</v>
      </c>
      <c r="E1299" t="s">
        <v>36</v>
      </c>
      <c r="F1299" t="s">
        <v>53</v>
      </c>
      <c r="G1299">
        <v>4</v>
      </c>
      <c r="H1299">
        <v>19333.7</v>
      </c>
      <c r="I1299">
        <v>2208.29</v>
      </c>
      <c r="J1299" t="s">
        <v>28</v>
      </c>
      <c r="K1299" t="s">
        <v>33</v>
      </c>
      <c r="L1299">
        <f t="shared" si="60"/>
        <v>2023</v>
      </c>
      <c r="M1299" t="str">
        <f t="shared" si="61"/>
        <v>Aug</v>
      </c>
      <c r="N1299" s="2">
        <f t="shared" si="62"/>
        <v>0.11421973031545953</v>
      </c>
    </row>
    <row r="1300" spans="1:14" x14ac:dyDescent="0.45">
      <c r="A1300" t="s">
        <v>2556</v>
      </c>
      <c r="B1300" s="1">
        <v>44922</v>
      </c>
      <c r="C1300" t="s">
        <v>2557</v>
      </c>
      <c r="D1300" t="s">
        <v>26</v>
      </c>
      <c r="E1300" t="s">
        <v>14</v>
      </c>
      <c r="F1300" t="s">
        <v>15</v>
      </c>
      <c r="G1300">
        <v>4</v>
      </c>
      <c r="H1300">
        <v>2467.88</v>
      </c>
      <c r="I1300">
        <v>387.26</v>
      </c>
      <c r="J1300" t="s">
        <v>16</v>
      </c>
      <c r="K1300" t="s">
        <v>29</v>
      </c>
      <c r="L1300">
        <f t="shared" si="60"/>
        <v>2022</v>
      </c>
      <c r="M1300" t="str">
        <f t="shared" si="61"/>
        <v>Dec</v>
      </c>
      <c r="N1300" s="2">
        <f t="shared" si="62"/>
        <v>0.15692010956772615</v>
      </c>
    </row>
    <row r="1301" spans="1:14" x14ac:dyDescent="0.45">
      <c r="A1301" t="s">
        <v>2558</v>
      </c>
      <c r="B1301" s="1">
        <v>45001</v>
      </c>
      <c r="C1301" t="s">
        <v>2559</v>
      </c>
      <c r="D1301" t="s">
        <v>26</v>
      </c>
      <c r="E1301" t="s">
        <v>36</v>
      </c>
      <c r="F1301" t="s">
        <v>37</v>
      </c>
      <c r="G1301">
        <v>3</v>
      </c>
      <c r="H1301">
        <v>30466.44</v>
      </c>
      <c r="I1301">
        <v>1922.75</v>
      </c>
      <c r="J1301" t="s">
        <v>71</v>
      </c>
      <c r="K1301" t="s">
        <v>33</v>
      </c>
      <c r="L1301">
        <f t="shared" si="60"/>
        <v>2023</v>
      </c>
      <c r="M1301" t="str">
        <f t="shared" si="61"/>
        <v>Mar</v>
      </c>
      <c r="N1301" s="2">
        <f t="shared" si="62"/>
        <v>6.3110425766843781E-2</v>
      </c>
    </row>
    <row r="1302" spans="1:14" x14ac:dyDescent="0.45">
      <c r="A1302" t="s">
        <v>2560</v>
      </c>
      <c r="B1302" s="1">
        <v>45346</v>
      </c>
      <c r="C1302" t="s">
        <v>2561</v>
      </c>
      <c r="D1302" t="s">
        <v>13</v>
      </c>
      <c r="E1302" t="s">
        <v>14</v>
      </c>
      <c r="F1302" t="s">
        <v>57</v>
      </c>
      <c r="G1302">
        <v>4</v>
      </c>
      <c r="H1302">
        <v>32336.04</v>
      </c>
      <c r="I1302">
        <v>4169.74</v>
      </c>
      <c r="J1302" t="s">
        <v>47</v>
      </c>
      <c r="K1302" t="s">
        <v>29</v>
      </c>
      <c r="L1302">
        <f t="shared" si="60"/>
        <v>2024</v>
      </c>
      <c r="M1302" t="str">
        <f t="shared" si="61"/>
        <v>Feb</v>
      </c>
      <c r="N1302" s="2">
        <f t="shared" si="62"/>
        <v>0.12895023633073188</v>
      </c>
    </row>
    <row r="1303" spans="1:14" x14ac:dyDescent="0.45">
      <c r="A1303" t="s">
        <v>2562</v>
      </c>
      <c r="B1303" s="1">
        <v>44968</v>
      </c>
      <c r="C1303" t="s">
        <v>2563</v>
      </c>
      <c r="D1303" t="s">
        <v>56</v>
      </c>
      <c r="E1303" t="s">
        <v>14</v>
      </c>
      <c r="F1303" t="s">
        <v>40</v>
      </c>
      <c r="G1303">
        <v>3</v>
      </c>
      <c r="H1303">
        <v>43068.6</v>
      </c>
      <c r="I1303">
        <v>8152.15</v>
      </c>
      <c r="J1303" t="s">
        <v>22</v>
      </c>
      <c r="K1303" t="s">
        <v>23</v>
      </c>
      <c r="L1303">
        <f t="shared" si="60"/>
        <v>2023</v>
      </c>
      <c r="M1303" t="str">
        <f t="shared" si="61"/>
        <v>Feb</v>
      </c>
      <c r="N1303" s="2">
        <f t="shared" si="62"/>
        <v>0.18928291144824769</v>
      </c>
    </row>
    <row r="1304" spans="1:14" x14ac:dyDescent="0.45">
      <c r="A1304" t="s">
        <v>2564</v>
      </c>
      <c r="B1304" s="1">
        <v>44718</v>
      </c>
      <c r="C1304" t="s">
        <v>2565</v>
      </c>
      <c r="D1304" t="s">
        <v>26</v>
      </c>
      <c r="E1304" t="s">
        <v>36</v>
      </c>
      <c r="F1304" t="s">
        <v>37</v>
      </c>
      <c r="G1304">
        <v>2</v>
      </c>
      <c r="H1304">
        <v>4858.2700000000004</v>
      </c>
      <c r="I1304">
        <v>1009.16</v>
      </c>
      <c r="J1304" t="s">
        <v>71</v>
      </c>
      <c r="K1304" t="s">
        <v>29</v>
      </c>
      <c r="L1304">
        <f t="shared" si="60"/>
        <v>2022</v>
      </c>
      <c r="M1304" t="str">
        <f t="shared" si="61"/>
        <v>Jun</v>
      </c>
      <c r="N1304" s="2">
        <f t="shared" si="62"/>
        <v>0.20772003202786174</v>
      </c>
    </row>
    <row r="1305" spans="1:14" x14ac:dyDescent="0.45">
      <c r="A1305" t="s">
        <v>2566</v>
      </c>
      <c r="B1305" s="1">
        <v>44666</v>
      </c>
      <c r="C1305" t="s">
        <v>2567</v>
      </c>
      <c r="D1305" t="s">
        <v>26</v>
      </c>
      <c r="E1305" t="s">
        <v>36</v>
      </c>
      <c r="F1305" t="s">
        <v>53</v>
      </c>
      <c r="G1305">
        <v>4</v>
      </c>
      <c r="H1305">
        <v>47938.37</v>
      </c>
      <c r="I1305">
        <v>2939.97</v>
      </c>
      <c r="J1305" t="s">
        <v>22</v>
      </c>
      <c r="K1305" t="s">
        <v>33</v>
      </c>
      <c r="L1305">
        <f t="shared" si="60"/>
        <v>2022</v>
      </c>
      <c r="M1305" t="str">
        <f t="shared" si="61"/>
        <v>Apr</v>
      </c>
      <c r="N1305" s="2">
        <f t="shared" si="62"/>
        <v>6.1328117747849992E-2</v>
      </c>
    </row>
    <row r="1306" spans="1:14" x14ac:dyDescent="0.45">
      <c r="A1306" t="s">
        <v>2568</v>
      </c>
      <c r="B1306" s="1">
        <v>44938</v>
      </c>
      <c r="C1306" t="s">
        <v>2099</v>
      </c>
      <c r="D1306" t="s">
        <v>26</v>
      </c>
      <c r="E1306" t="s">
        <v>36</v>
      </c>
      <c r="F1306" t="s">
        <v>37</v>
      </c>
      <c r="G1306">
        <v>1</v>
      </c>
      <c r="H1306">
        <v>1804.9</v>
      </c>
      <c r="I1306">
        <v>235.53</v>
      </c>
      <c r="J1306" t="s">
        <v>22</v>
      </c>
      <c r="K1306" t="s">
        <v>17</v>
      </c>
      <c r="L1306">
        <f t="shared" si="60"/>
        <v>2023</v>
      </c>
      <c r="M1306" t="str">
        <f t="shared" si="61"/>
        <v>Jan</v>
      </c>
      <c r="N1306" s="2">
        <f t="shared" si="62"/>
        <v>0.13049476425286718</v>
      </c>
    </row>
    <row r="1307" spans="1:14" x14ac:dyDescent="0.45">
      <c r="A1307" t="s">
        <v>2569</v>
      </c>
      <c r="B1307" s="1">
        <v>45345</v>
      </c>
      <c r="C1307" t="s">
        <v>2570</v>
      </c>
      <c r="D1307" t="s">
        <v>13</v>
      </c>
      <c r="E1307" t="s">
        <v>20</v>
      </c>
      <c r="F1307" t="s">
        <v>21</v>
      </c>
      <c r="G1307">
        <v>5</v>
      </c>
      <c r="H1307">
        <v>8530.9599999999991</v>
      </c>
      <c r="I1307">
        <v>1814.93</v>
      </c>
      <c r="J1307" t="s">
        <v>47</v>
      </c>
      <c r="K1307" t="s">
        <v>23</v>
      </c>
      <c r="L1307">
        <f t="shared" si="60"/>
        <v>2024</v>
      </c>
      <c r="M1307" t="str">
        <f t="shared" si="61"/>
        <v>Feb</v>
      </c>
      <c r="N1307" s="2">
        <f t="shared" si="62"/>
        <v>0.21274627943396759</v>
      </c>
    </row>
    <row r="1308" spans="1:14" x14ac:dyDescent="0.45">
      <c r="A1308" t="s">
        <v>2571</v>
      </c>
      <c r="B1308" s="1">
        <v>45136</v>
      </c>
      <c r="C1308" t="s">
        <v>2572</v>
      </c>
      <c r="D1308" t="s">
        <v>26</v>
      </c>
      <c r="E1308" t="s">
        <v>20</v>
      </c>
      <c r="F1308" t="s">
        <v>50</v>
      </c>
      <c r="G1308">
        <v>1</v>
      </c>
      <c r="H1308">
        <v>9270.83</v>
      </c>
      <c r="I1308">
        <v>1720.74</v>
      </c>
      <c r="J1308" t="s">
        <v>16</v>
      </c>
      <c r="K1308" t="s">
        <v>23</v>
      </c>
      <c r="L1308">
        <f t="shared" si="60"/>
        <v>2023</v>
      </c>
      <c r="M1308" t="str">
        <f t="shared" si="61"/>
        <v>Jul</v>
      </c>
      <c r="N1308" s="2">
        <f t="shared" si="62"/>
        <v>0.18560797684781191</v>
      </c>
    </row>
    <row r="1309" spans="1:14" x14ac:dyDescent="0.45">
      <c r="A1309" t="s">
        <v>2573</v>
      </c>
      <c r="B1309" s="1">
        <v>45001</v>
      </c>
      <c r="C1309" t="s">
        <v>2574</v>
      </c>
      <c r="D1309" t="s">
        <v>13</v>
      </c>
      <c r="E1309" t="s">
        <v>36</v>
      </c>
      <c r="F1309" t="s">
        <v>53</v>
      </c>
      <c r="G1309">
        <v>2</v>
      </c>
      <c r="H1309">
        <v>12928.55</v>
      </c>
      <c r="I1309">
        <v>2805.95</v>
      </c>
      <c r="J1309" t="s">
        <v>47</v>
      </c>
      <c r="K1309" t="s">
        <v>23</v>
      </c>
      <c r="L1309">
        <f t="shared" si="60"/>
        <v>2023</v>
      </c>
      <c r="M1309" t="str">
        <f t="shared" si="61"/>
        <v>Mar</v>
      </c>
      <c r="N1309" s="2">
        <f t="shared" si="62"/>
        <v>0.21703516635662931</v>
      </c>
    </row>
    <row r="1310" spans="1:14" x14ac:dyDescent="0.45">
      <c r="A1310" t="s">
        <v>2575</v>
      </c>
      <c r="B1310" s="1">
        <v>45099</v>
      </c>
      <c r="C1310" t="s">
        <v>2576</v>
      </c>
      <c r="D1310" t="s">
        <v>13</v>
      </c>
      <c r="E1310" t="s">
        <v>14</v>
      </c>
      <c r="F1310" t="s">
        <v>32</v>
      </c>
      <c r="G1310">
        <v>1</v>
      </c>
      <c r="H1310">
        <v>6882.5</v>
      </c>
      <c r="I1310">
        <v>368.43</v>
      </c>
      <c r="J1310" t="s">
        <v>16</v>
      </c>
      <c r="K1310" t="s">
        <v>29</v>
      </c>
      <c r="L1310">
        <f t="shared" si="60"/>
        <v>2023</v>
      </c>
      <c r="M1310" t="str">
        <f t="shared" si="61"/>
        <v>Jun</v>
      </c>
      <c r="N1310" s="2">
        <f t="shared" si="62"/>
        <v>5.3531420268797675E-2</v>
      </c>
    </row>
    <row r="1311" spans="1:14" x14ac:dyDescent="0.45">
      <c r="A1311" t="s">
        <v>2577</v>
      </c>
      <c r="B1311" s="1">
        <v>45017</v>
      </c>
      <c r="C1311" t="s">
        <v>2578</v>
      </c>
      <c r="D1311" t="s">
        <v>26</v>
      </c>
      <c r="E1311" t="s">
        <v>20</v>
      </c>
      <c r="F1311" t="s">
        <v>21</v>
      </c>
      <c r="G1311">
        <v>1</v>
      </c>
      <c r="H1311">
        <v>898.92</v>
      </c>
      <c r="I1311">
        <v>135.19999999999999</v>
      </c>
      <c r="J1311" t="s">
        <v>22</v>
      </c>
      <c r="K1311" t="s">
        <v>17</v>
      </c>
      <c r="L1311">
        <f t="shared" si="60"/>
        <v>2023</v>
      </c>
      <c r="M1311" t="str">
        <f t="shared" si="61"/>
        <v>Apr</v>
      </c>
      <c r="N1311" s="2">
        <f t="shared" si="62"/>
        <v>0.15040270546878476</v>
      </c>
    </row>
    <row r="1312" spans="1:14" x14ac:dyDescent="0.45">
      <c r="A1312" t="s">
        <v>2579</v>
      </c>
      <c r="B1312" s="1">
        <v>45174</v>
      </c>
      <c r="C1312" t="s">
        <v>2580</v>
      </c>
      <c r="D1312" t="s">
        <v>13</v>
      </c>
      <c r="E1312" t="s">
        <v>14</v>
      </c>
      <c r="F1312" t="s">
        <v>40</v>
      </c>
      <c r="G1312">
        <v>2</v>
      </c>
      <c r="H1312">
        <v>2571.66</v>
      </c>
      <c r="I1312">
        <v>321.81</v>
      </c>
      <c r="J1312" t="s">
        <v>47</v>
      </c>
      <c r="K1312" t="s">
        <v>33</v>
      </c>
      <c r="L1312">
        <f t="shared" si="60"/>
        <v>2023</v>
      </c>
      <c r="M1312" t="str">
        <f t="shared" si="61"/>
        <v>Sep</v>
      </c>
      <c r="N1312" s="2">
        <f t="shared" si="62"/>
        <v>0.12513707099694363</v>
      </c>
    </row>
    <row r="1313" spans="1:14" x14ac:dyDescent="0.45">
      <c r="A1313" t="s">
        <v>2581</v>
      </c>
      <c r="B1313" s="1">
        <v>44739</v>
      </c>
      <c r="C1313" t="s">
        <v>2224</v>
      </c>
      <c r="D1313" t="s">
        <v>56</v>
      </c>
      <c r="E1313" t="s">
        <v>36</v>
      </c>
      <c r="F1313" t="s">
        <v>53</v>
      </c>
      <c r="G1313">
        <v>1</v>
      </c>
      <c r="H1313">
        <v>16105.21</v>
      </c>
      <c r="I1313">
        <v>1586.82</v>
      </c>
      <c r="J1313" t="s">
        <v>71</v>
      </c>
      <c r="K1313" t="s">
        <v>17</v>
      </c>
      <c r="L1313">
        <f t="shared" si="60"/>
        <v>2022</v>
      </c>
      <c r="M1313" t="str">
        <f t="shared" si="61"/>
        <v>Jun</v>
      </c>
      <c r="N1313" s="2">
        <f t="shared" si="62"/>
        <v>9.8528364423686496E-2</v>
      </c>
    </row>
    <row r="1314" spans="1:14" x14ac:dyDescent="0.45">
      <c r="A1314" t="s">
        <v>2582</v>
      </c>
      <c r="B1314" s="1">
        <v>45529</v>
      </c>
      <c r="C1314" t="s">
        <v>2583</v>
      </c>
      <c r="D1314" t="s">
        <v>13</v>
      </c>
      <c r="E1314" t="s">
        <v>20</v>
      </c>
      <c r="F1314" t="s">
        <v>21</v>
      </c>
      <c r="G1314">
        <v>2</v>
      </c>
      <c r="H1314">
        <v>8457.43</v>
      </c>
      <c r="I1314">
        <v>1136.0999999999999</v>
      </c>
      <c r="J1314" t="s">
        <v>71</v>
      </c>
      <c r="K1314" t="s">
        <v>23</v>
      </c>
      <c r="L1314">
        <f t="shared" si="60"/>
        <v>2024</v>
      </c>
      <c r="M1314" t="str">
        <f t="shared" si="61"/>
        <v>Aug</v>
      </c>
      <c r="N1314" s="2">
        <f t="shared" si="62"/>
        <v>0.13433158772818693</v>
      </c>
    </row>
    <row r="1315" spans="1:14" x14ac:dyDescent="0.45">
      <c r="A1315" t="s">
        <v>2584</v>
      </c>
      <c r="B1315" s="1">
        <v>44874</v>
      </c>
      <c r="C1315" t="s">
        <v>2585</v>
      </c>
      <c r="D1315" t="s">
        <v>13</v>
      </c>
      <c r="E1315" t="s">
        <v>20</v>
      </c>
      <c r="F1315" t="s">
        <v>50</v>
      </c>
      <c r="G1315">
        <v>1</v>
      </c>
      <c r="H1315">
        <v>41270.550000000003</v>
      </c>
      <c r="I1315">
        <v>6804.67</v>
      </c>
      <c r="J1315" t="s">
        <v>16</v>
      </c>
      <c r="K1315" t="s">
        <v>33</v>
      </c>
      <c r="L1315">
        <f t="shared" si="60"/>
        <v>2022</v>
      </c>
      <c r="M1315" t="str">
        <f t="shared" si="61"/>
        <v>Nov</v>
      </c>
      <c r="N1315" s="2">
        <f t="shared" si="62"/>
        <v>0.16487955697222353</v>
      </c>
    </row>
    <row r="1316" spans="1:14" x14ac:dyDescent="0.45">
      <c r="A1316" t="s">
        <v>2586</v>
      </c>
      <c r="B1316" s="1">
        <v>45423</v>
      </c>
      <c r="C1316" t="s">
        <v>2587</v>
      </c>
      <c r="D1316" t="s">
        <v>26</v>
      </c>
      <c r="E1316" t="s">
        <v>36</v>
      </c>
      <c r="F1316" t="s">
        <v>37</v>
      </c>
      <c r="G1316">
        <v>1</v>
      </c>
      <c r="H1316">
        <v>13428.06</v>
      </c>
      <c r="I1316">
        <v>1421.01</v>
      </c>
      <c r="J1316" t="s">
        <v>16</v>
      </c>
      <c r="K1316" t="s">
        <v>33</v>
      </c>
      <c r="L1316">
        <f t="shared" si="60"/>
        <v>2024</v>
      </c>
      <c r="M1316" t="str">
        <f t="shared" si="61"/>
        <v>May</v>
      </c>
      <c r="N1316" s="2">
        <f t="shared" si="62"/>
        <v>0.10582392393242211</v>
      </c>
    </row>
    <row r="1317" spans="1:14" x14ac:dyDescent="0.45">
      <c r="A1317" t="s">
        <v>2588</v>
      </c>
      <c r="B1317" s="1">
        <v>45590</v>
      </c>
      <c r="C1317" t="s">
        <v>2589</v>
      </c>
      <c r="D1317" t="s">
        <v>26</v>
      </c>
      <c r="E1317" t="s">
        <v>36</v>
      </c>
      <c r="F1317" t="s">
        <v>64</v>
      </c>
      <c r="G1317">
        <v>5</v>
      </c>
      <c r="H1317">
        <v>1286.47</v>
      </c>
      <c r="I1317">
        <v>257.56</v>
      </c>
      <c r="J1317" t="s">
        <v>28</v>
      </c>
      <c r="K1317" t="s">
        <v>23</v>
      </c>
      <c r="L1317">
        <f t="shared" si="60"/>
        <v>2024</v>
      </c>
      <c r="M1317" t="str">
        <f t="shared" si="61"/>
        <v>Oct</v>
      </c>
      <c r="N1317" s="2">
        <f t="shared" si="62"/>
        <v>0.20020676735563209</v>
      </c>
    </row>
    <row r="1318" spans="1:14" x14ac:dyDescent="0.45">
      <c r="A1318" t="s">
        <v>2590</v>
      </c>
      <c r="B1318" s="1">
        <v>44620</v>
      </c>
      <c r="C1318" t="s">
        <v>2591</v>
      </c>
      <c r="D1318" t="s">
        <v>26</v>
      </c>
      <c r="E1318" t="s">
        <v>14</v>
      </c>
      <c r="F1318" t="s">
        <v>32</v>
      </c>
      <c r="G1318">
        <v>3</v>
      </c>
      <c r="H1318">
        <v>27074</v>
      </c>
      <c r="I1318">
        <v>3187.95</v>
      </c>
      <c r="J1318" t="s">
        <v>22</v>
      </c>
      <c r="K1318" t="s">
        <v>17</v>
      </c>
      <c r="L1318">
        <f t="shared" si="60"/>
        <v>2022</v>
      </c>
      <c r="M1318" t="str">
        <f t="shared" si="61"/>
        <v>Feb</v>
      </c>
      <c r="N1318" s="2">
        <f t="shared" si="62"/>
        <v>0.11774950136662479</v>
      </c>
    </row>
    <row r="1319" spans="1:14" x14ac:dyDescent="0.45">
      <c r="A1319" t="s">
        <v>2592</v>
      </c>
      <c r="B1319" s="1">
        <v>45096</v>
      </c>
      <c r="C1319" t="s">
        <v>2593</v>
      </c>
      <c r="D1319" t="s">
        <v>13</v>
      </c>
      <c r="E1319" t="s">
        <v>14</v>
      </c>
      <c r="F1319" t="s">
        <v>57</v>
      </c>
      <c r="G1319">
        <v>4</v>
      </c>
      <c r="H1319">
        <v>9812.8799999999992</v>
      </c>
      <c r="I1319">
        <v>2163.41</v>
      </c>
      <c r="J1319" t="s">
        <v>71</v>
      </c>
      <c r="K1319" t="s">
        <v>33</v>
      </c>
      <c r="L1319">
        <f t="shared" si="60"/>
        <v>2023</v>
      </c>
      <c r="M1319" t="str">
        <f t="shared" si="61"/>
        <v>Jun</v>
      </c>
      <c r="N1319" s="2">
        <f t="shared" si="62"/>
        <v>0.22046636665280733</v>
      </c>
    </row>
    <row r="1320" spans="1:14" x14ac:dyDescent="0.45">
      <c r="A1320" t="s">
        <v>2594</v>
      </c>
      <c r="B1320" s="1">
        <v>44883</v>
      </c>
      <c r="C1320" t="s">
        <v>714</v>
      </c>
      <c r="D1320" t="s">
        <v>56</v>
      </c>
      <c r="E1320" t="s">
        <v>14</v>
      </c>
      <c r="F1320" t="s">
        <v>57</v>
      </c>
      <c r="G1320">
        <v>4</v>
      </c>
      <c r="H1320">
        <v>18268.11</v>
      </c>
      <c r="I1320">
        <v>3522.76</v>
      </c>
      <c r="J1320" t="s">
        <v>71</v>
      </c>
      <c r="K1320" t="s">
        <v>33</v>
      </c>
      <c r="L1320">
        <f t="shared" si="60"/>
        <v>2022</v>
      </c>
      <c r="M1320" t="str">
        <f t="shared" si="61"/>
        <v>Nov</v>
      </c>
      <c r="N1320" s="2">
        <f t="shared" si="62"/>
        <v>0.19283658791194053</v>
      </c>
    </row>
    <row r="1321" spans="1:14" x14ac:dyDescent="0.45">
      <c r="A1321" t="s">
        <v>2595</v>
      </c>
      <c r="B1321" s="1">
        <v>45324</v>
      </c>
      <c r="C1321" t="s">
        <v>2596</v>
      </c>
      <c r="D1321" t="s">
        <v>26</v>
      </c>
      <c r="E1321" t="s">
        <v>36</v>
      </c>
      <c r="F1321" t="s">
        <v>37</v>
      </c>
      <c r="G1321">
        <v>2</v>
      </c>
      <c r="H1321">
        <v>46154.89</v>
      </c>
      <c r="I1321">
        <v>2556.0100000000002</v>
      </c>
      <c r="J1321" t="s">
        <v>28</v>
      </c>
      <c r="K1321" t="s">
        <v>29</v>
      </c>
      <c r="L1321">
        <f t="shared" si="60"/>
        <v>2024</v>
      </c>
      <c r="M1321" t="str">
        <f t="shared" si="61"/>
        <v>Feb</v>
      </c>
      <c r="N1321" s="2">
        <f t="shared" si="62"/>
        <v>5.5378964179093486E-2</v>
      </c>
    </row>
    <row r="1322" spans="1:14" x14ac:dyDescent="0.45">
      <c r="A1322" t="s">
        <v>2597</v>
      </c>
      <c r="B1322" s="1">
        <v>44677</v>
      </c>
      <c r="C1322" t="s">
        <v>2598</v>
      </c>
      <c r="D1322" t="s">
        <v>13</v>
      </c>
      <c r="E1322" t="s">
        <v>14</v>
      </c>
      <c r="F1322" t="s">
        <v>57</v>
      </c>
      <c r="G1322">
        <v>4</v>
      </c>
      <c r="H1322">
        <v>34155.89</v>
      </c>
      <c r="I1322">
        <v>3872.48</v>
      </c>
      <c r="J1322" t="s">
        <v>71</v>
      </c>
      <c r="K1322" t="s">
        <v>23</v>
      </c>
      <c r="L1322">
        <f t="shared" si="60"/>
        <v>2022</v>
      </c>
      <c r="M1322" t="str">
        <f t="shared" si="61"/>
        <v>Apr</v>
      </c>
      <c r="N1322" s="2">
        <f t="shared" si="62"/>
        <v>0.11337663869979672</v>
      </c>
    </row>
    <row r="1323" spans="1:14" x14ac:dyDescent="0.45">
      <c r="A1323" t="s">
        <v>2599</v>
      </c>
      <c r="B1323" s="1">
        <v>44877</v>
      </c>
      <c r="C1323" t="s">
        <v>2600</v>
      </c>
      <c r="D1323" t="s">
        <v>26</v>
      </c>
      <c r="E1323" t="s">
        <v>20</v>
      </c>
      <c r="F1323" t="s">
        <v>21</v>
      </c>
      <c r="G1323">
        <v>1</v>
      </c>
      <c r="H1323">
        <v>27592.639999999999</v>
      </c>
      <c r="I1323">
        <v>1872.52</v>
      </c>
      <c r="J1323" t="s">
        <v>71</v>
      </c>
      <c r="K1323" t="s">
        <v>17</v>
      </c>
      <c r="L1323">
        <f t="shared" si="60"/>
        <v>2022</v>
      </c>
      <c r="M1323" t="str">
        <f t="shared" si="61"/>
        <v>Nov</v>
      </c>
      <c r="N1323" s="2">
        <f t="shared" si="62"/>
        <v>6.7863024342723274E-2</v>
      </c>
    </row>
    <row r="1324" spans="1:14" x14ac:dyDescent="0.45">
      <c r="A1324" t="s">
        <v>2601</v>
      </c>
      <c r="B1324" s="1">
        <v>45070</v>
      </c>
      <c r="C1324" t="s">
        <v>2602</v>
      </c>
      <c r="D1324" t="s">
        <v>13</v>
      </c>
      <c r="E1324" t="s">
        <v>36</v>
      </c>
      <c r="F1324" t="s">
        <v>64</v>
      </c>
      <c r="G1324">
        <v>3</v>
      </c>
      <c r="H1324">
        <v>44645.120000000003</v>
      </c>
      <c r="I1324">
        <v>10301.1</v>
      </c>
      <c r="J1324" t="s">
        <v>22</v>
      </c>
      <c r="K1324" t="s">
        <v>17</v>
      </c>
      <c r="L1324">
        <f t="shared" si="60"/>
        <v>2023</v>
      </c>
      <c r="M1324" t="str">
        <f t="shared" si="61"/>
        <v>May</v>
      </c>
      <c r="N1324" s="2">
        <f t="shared" si="62"/>
        <v>0.23073294460850369</v>
      </c>
    </row>
    <row r="1325" spans="1:14" x14ac:dyDescent="0.45">
      <c r="A1325" t="s">
        <v>2603</v>
      </c>
      <c r="B1325" s="1">
        <v>45449</v>
      </c>
      <c r="C1325" t="s">
        <v>2604</v>
      </c>
      <c r="D1325" t="s">
        <v>26</v>
      </c>
      <c r="E1325" t="s">
        <v>36</v>
      </c>
      <c r="F1325" t="s">
        <v>37</v>
      </c>
      <c r="G1325">
        <v>1</v>
      </c>
      <c r="H1325">
        <v>37387.85</v>
      </c>
      <c r="I1325">
        <v>5049.6899999999996</v>
      </c>
      <c r="J1325" t="s">
        <v>22</v>
      </c>
      <c r="K1325" t="s">
        <v>29</v>
      </c>
      <c r="L1325">
        <f t="shared" si="60"/>
        <v>2024</v>
      </c>
      <c r="M1325" t="str">
        <f t="shared" si="61"/>
        <v>Jun</v>
      </c>
      <c r="N1325" s="2">
        <f t="shared" si="62"/>
        <v>0.13506232639747939</v>
      </c>
    </row>
    <row r="1326" spans="1:14" x14ac:dyDescent="0.45">
      <c r="A1326" t="s">
        <v>2605</v>
      </c>
      <c r="B1326" s="1">
        <v>44584</v>
      </c>
      <c r="C1326" t="s">
        <v>2606</v>
      </c>
      <c r="D1326" t="s">
        <v>13</v>
      </c>
      <c r="E1326" t="s">
        <v>20</v>
      </c>
      <c r="F1326" t="s">
        <v>27</v>
      </c>
      <c r="G1326">
        <v>2</v>
      </c>
      <c r="H1326">
        <v>33404.71</v>
      </c>
      <c r="I1326">
        <v>5301.52</v>
      </c>
      <c r="J1326" t="s">
        <v>71</v>
      </c>
      <c r="K1326" t="s">
        <v>23</v>
      </c>
      <c r="L1326">
        <f t="shared" si="60"/>
        <v>2022</v>
      </c>
      <c r="M1326" t="str">
        <f t="shared" si="61"/>
        <v>Jan</v>
      </c>
      <c r="N1326" s="2">
        <f t="shared" si="62"/>
        <v>0.15870576334894093</v>
      </c>
    </row>
    <row r="1327" spans="1:14" x14ac:dyDescent="0.45">
      <c r="A1327" t="s">
        <v>2607</v>
      </c>
      <c r="B1327" s="1">
        <v>45308</v>
      </c>
      <c r="C1327" t="s">
        <v>2608</v>
      </c>
      <c r="D1327" t="s">
        <v>26</v>
      </c>
      <c r="E1327" t="s">
        <v>36</v>
      </c>
      <c r="F1327" t="s">
        <v>46</v>
      </c>
      <c r="G1327">
        <v>2</v>
      </c>
      <c r="H1327">
        <v>36329.410000000003</v>
      </c>
      <c r="I1327">
        <v>6085.74</v>
      </c>
      <c r="J1327" t="s">
        <v>22</v>
      </c>
      <c r="K1327" t="s">
        <v>33</v>
      </c>
      <c r="L1327">
        <f t="shared" si="60"/>
        <v>2024</v>
      </c>
      <c r="M1327" t="str">
        <f t="shared" si="61"/>
        <v>Jan</v>
      </c>
      <c r="N1327" s="2">
        <f t="shared" si="62"/>
        <v>0.16751551979511914</v>
      </c>
    </row>
    <row r="1328" spans="1:14" x14ac:dyDescent="0.45">
      <c r="A1328" t="s">
        <v>2609</v>
      </c>
      <c r="B1328" s="1">
        <v>45627</v>
      </c>
      <c r="C1328" t="s">
        <v>2610</v>
      </c>
      <c r="D1328" t="s">
        <v>56</v>
      </c>
      <c r="E1328" t="s">
        <v>36</v>
      </c>
      <c r="F1328" t="s">
        <v>46</v>
      </c>
      <c r="G1328">
        <v>4</v>
      </c>
      <c r="H1328">
        <v>983.78</v>
      </c>
      <c r="I1328">
        <v>99.21</v>
      </c>
      <c r="J1328" t="s">
        <v>71</v>
      </c>
      <c r="K1328" t="s">
        <v>17</v>
      </c>
      <c r="L1328">
        <f t="shared" si="60"/>
        <v>2024</v>
      </c>
      <c r="M1328" t="str">
        <f t="shared" si="61"/>
        <v>Dec</v>
      </c>
      <c r="N1328" s="2">
        <f t="shared" si="62"/>
        <v>0.10084571753847404</v>
      </c>
    </row>
    <row r="1329" spans="1:14" x14ac:dyDescent="0.45">
      <c r="A1329" t="s">
        <v>2611</v>
      </c>
      <c r="B1329" s="1">
        <v>45448</v>
      </c>
      <c r="C1329" t="s">
        <v>2612</v>
      </c>
      <c r="D1329" t="s">
        <v>56</v>
      </c>
      <c r="E1329" t="s">
        <v>36</v>
      </c>
      <c r="F1329" t="s">
        <v>46</v>
      </c>
      <c r="G1329">
        <v>4</v>
      </c>
      <c r="H1329">
        <v>16028.05</v>
      </c>
      <c r="I1329">
        <v>1971.99</v>
      </c>
      <c r="J1329" t="s">
        <v>71</v>
      </c>
      <c r="K1329" t="s">
        <v>23</v>
      </c>
      <c r="L1329">
        <f t="shared" si="60"/>
        <v>2024</v>
      </c>
      <c r="M1329" t="str">
        <f t="shared" si="61"/>
        <v>Jun</v>
      </c>
      <c r="N1329" s="2">
        <f t="shared" si="62"/>
        <v>0.12303368157698535</v>
      </c>
    </row>
    <row r="1330" spans="1:14" x14ac:dyDescent="0.45">
      <c r="A1330" t="s">
        <v>2613</v>
      </c>
      <c r="B1330" s="1">
        <v>45363</v>
      </c>
      <c r="C1330" t="s">
        <v>2614</v>
      </c>
      <c r="D1330" t="s">
        <v>13</v>
      </c>
      <c r="E1330" t="s">
        <v>14</v>
      </c>
      <c r="F1330" t="s">
        <v>32</v>
      </c>
      <c r="G1330">
        <v>2</v>
      </c>
      <c r="H1330">
        <v>5249.53</v>
      </c>
      <c r="I1330">
        <v>687.47</v>
      </c>
      <c r="J1330" t="s">
        <v>28</v>
      </c>
      <c r="K1330" t="s">
        <v>23</v>
      </c>
      <c r="L1330">
        <f t="shared" si="60"/>
        <v>2024</v>
      </c>
      <c r="M1330" t="str">
        <f t="shared" si="61"/>
        <v>Mar</v>
      </c>
      <c r="N1330" s="2">
        <f t="shared" si="62"/>
        <v>0.13095839056067879</v>
      </c>
    </row>
    <row r="1331" spans="1:14" x14ac:dyDescent="0.45">
      <c r="A1331" t="s">
        <v>2615</v>
      </c>
      <c r="B1331" s="1">
        <v>44668</v>
      </c>
      <c r="C1331" t="s">
        <v>2616</v>
      </c>
      <c r="D1331" t="s">
        <v>13</v>
      </c>
      <c r="E1331" t="s">
        <v>36</v>
      </c>
      <c r="F1331" t="s">
        <v>53</v>
      </c>
      <c r="G1331">
        <v>2</v>
      </c>
      <c r="H1331">
        <v>654.51</v>
      </c>
      <c r="I1331">
        <v>138.57</v>
      </c>
      <c r="J1331" t="s">
        <v>28</v>
      </c>
      <c r="K1331" t="s">
        <v>29</v>
      </c>
      <c r="L1331">
        <f t="shared" si="60"/>
        <v>2022</v>
      </c>
      <c r="M1331" t="str">
        <f t="shared" si="61"/>
        <v>Apr</v>
      </c>
      <c r="N1331" s="2">
        <f t="shared" si="62"/>
        <v>0.21171563459687398</v>
      </c>
    </row>
    <row r="1332" spans="1:14" x14ac:dyDescent="0.45">
      <c r="A1332" t="s">
        <v>2617</v>
      </c>
      <c r="B1332" s="1">
        <v>45352</v>
      </c>
      <c r="C1332" t="s">
        <v>966</v>
      </c>
      <c r="D1332" t="s">
        <v>56</v>
      </c>
      <c r="E1332" t="s">
        <v>36</v>
      </c>
      <c r="F1332" t="s">
        <v>37</v>
      </c>
      <c r="G1332">
        <v>1</v>
      </c>
      <c r="H1332">
        <v>14600.66</v>
      </c>
      <c r="I1332">
        <v>1767.53</v>
      </c>
      <c r="J1332" t="s">
        <v>22</v>
      </c>
      <c r="K1332" t="s">
        <v>33</v>
      </c>
      <c r="L1332">
        <f t="shared" si="60"/>
        <v>2024</v>
      </c>
      <c r="M1332" t="str">
        <f t="shared" si="61"/>
        <v>Mar</v>
      </c>
      <c r="N1332" s="2">
        <f t="shared" si="62"/>
        <v>0.12105822613498293</v>
      </c>
    </row>
    <row r="1333" spans="1:14" x14ac:dyDescent="0.45">
      <c r="A1333" t="s">
        <v>2618</v>
      </c>
      <c r="B1333" s="1">
        <v>45341</v>
      </c>
      <c r="C1333" t="s">
        <v>2619</v>
      </c>
      <c r="D1333" t="s">
        <v>26</v>
      </c>
      <c r="E1333" t="s">
        <v>36</v>
      </c>
      <c r="F1333" t="s">
        <v>46</v>
      </c>
      <c r="G1333">
        <v>5</v>
      </c>
      <c r="H1333">
        <v>44488.36</v>
      </c>
      <c r="I1333">
        <v>6111.83</v>
      </c>
      <c r="J1333" t="s">
        <v>28</v>
      </c>
      <c r="K1333" t="s">
        <v>17</v>
      </c>
      <c r="L1333">
        <f t="shared" si="60"/>
        <v>2024</v>
      </c>
      <c r="M1333" t="str">
        <f t="shared" si="61"/>
        <v>Feb</v>
      </c>
      <c r="N1333" s="2">
        <f t="shared" si="62"/>
        <v>0.13738042939771211</v>
      </c>
    </row>
    <row r="1334" spans="1:14" x14ac:dyDescent="0.45">
      <c r="A1334" t="s">
        <v>2620</v>
      </c>
      <c r="B1334" s="1">
        <v>45513</v>
      </c>
      <c r="C1334" t="s">
        <v>2621</v>
      </c>
      <c r="D1334" t="s">
        <v>26</v>
      </c>
      <c r="E1334" t="s">
        <v>20</v>
      </c>
      <c r="F1334" t="s">
        <v>43</v>
      </c>
      <c r="G1334">
        <v>4</v>
      </c>
      <c r="H1334">
        <v>13985.75</v>
      </c>
      <c r="I1334">
        <v>2746.19</v>
      </c>
      <c r="J1334" t="s">
        <v>28</v>
      </c>
      <c r="K1334" t="s">
        <v>33</v>
      </c>
      <c r="L1334">
        <f t="shared" si="60"/>
        <v>2024</v>
      </c>
      <c r="M1334" t="str">
        <f t="shared" si="61"/>
        <v>Aug</v>
      </c>
      <c r="N1334" s="2">
        <f t="shared" si="62"/>
        <v>0.19635629122499687</v>
      </c>
    </row>
    <row r="1335" spans="1:14" x14ac:dyDescent="0.45">
      <c r="A1335" t="s">
        <v>2622</v>
      </c>
      <c r="B1335" s="1">
        <v>44909</v>
      </c>
      <c r="C1335" t="s">
        <v>802</v>
      </c>
      <c r="D1335" t="s">
        <v>26</v>
      </c>
      <c r="E1335" t="s">
        <v>36</v>
      </c>
      <c r="F1335" t="s">
        <v>64</v>
      </c>
      <c r="G1335">
        <v>5</v>
      </c>
      <c r="H1335">
        <v>589.11</v>
      </c>
      <c r="I1335">
        <v>37.92</v>
      </c>
      <c r="J1335" t="s">
        <v>47</v>
      </c>
      <c r="K1335" t="s">
        <v>23</v>
      </c>
      <c r="L1335">
        <f t="shared" si="60"/>
        <v>2022</v>
      </c>
      <c r="M1335" t="str">
        <f t="shared" si="61"/>
        <v>Dec</v>
      </c>
      <c r="N1335" s="2">
        <f t="shared" si="62"/>
        <v>6.4368284361154965E-2</v>
      </c>
    </row>
    <row r="1336" spans="1:14" x14ac:dyDescent="0.45">
      <c r="A1336" t="s">
        <v>2623</v>
      </c>
      <c r="B1336" s="1">
        <v>44817</v>
      </c>
      <c r="C1336" t="s">
        <v>1977</v>
      </c>
      <c r="D1336" t="s">
        <v>56</v>
      </c>
      <c r="E1336" t="s">
        <v>36</v>
      </c>
      <c r="F1336" t="s">
        <v>37</v>
      </c>
      <c r="G1336">
        <v>5</v>
      </c>
      <c r="H1336">
        <v>32995.83</v>
      </c>
      <c r="I1336">
        <v>6912.19</v>
      </c>
      <c r="J1336" t="s">
        <v>16</v>
      </c>
      <c r="K1336" t="s">
        <v>23</v>
      </c>
      <c r="L1336">
        <f t="shared" si="60"/>
        <v>2022</v>
      </c>
      <c r="M1336" t="str">
        <f t="shared" si="61"/>
        <v>Sep</v>
      </c>
      <c r="N1336" s="2">
        <f t="shared" si="62"/>
        <v>0.20948677454090409</v>
      </c>
    </row>
    <row r="1337" spans="1:14" x14ac:dyDescent="0.45">
      <c r="A1337" t="s">
        <v>2624</v>
      </c>
      <c r="B1337" s="1">
        <v>45518</v>
      </c>
      <c r="C1337" t="s">
        <v>2625</v>
      </c>
      <c r="D1337" t="s">
        <v>26</v>
      </c>
      <c r="E1337" t="s">
        <v>14</v>
      </c>
      <c r="F1337" t="s">
        <v>57</v>
      </c>
      <c r="G1337">
        <v>1</v>
      </c>
      <c r="H1337">
        <v>7704.05</v>
      </c>
      <c r="I1337">
        <v>1452.5</v>
      </c>
      <c r="J1337" t="s">
        <v>71</v>
      </c>
      <c r="K1337" t="s">
        <v>23</v>
      </c>
      <c r="L1337">
        <f t="shared" si="60"/>
        <v>2024</v>
      </c>
      <c r="M1337" t="str">
        <f t="shared" si="61"/>
        <v>Aug</v>
      </c>
      <c r="N1337" s="2">
        <f t="shared" si="62"/>
        <v>0.18853719796730289</v>
      </c>
    </row>
    <row r="1338" spans="1:14" x14ac:dyDescent="0.45">
      <c r="A1338" t="s">
        <v>2626</v>
      </c>
      <c r="B1338" s="1">
        <v>45046</v>
      </c>
      <c r="C1338" t="s">
        <v>2627</v>
      </c>
      <c r="D1338" t="s">
        <v>56</v>
      </c>
      <c r="E1338" t="s">
        <v>14</v>
      </c>
      <c r="F1338" t="s">
        <v>40</v>
      </c>
      <c r="G1338">
        <v>4</v>
      </c>
      <c r="H1338">
        <v>46105.42</v>
      </c>
      <c r="I1338">
        <v>10472.02</v>
      </c>
      <c r="J1338" t="s">
        <v>47</v>
      </c>
      <c r="K1338" t="s">
        <v>23</v>
      </c>
      <c r="L1338">
        <f t="shared" si="60"/>
        <v>2023</v>
      </c>
      <c r="M1338" t="str">
        <f t="shared" si="61"/>
        <v>Apr</v>
      </c>
      <c r="N1338" s="2">
        <f t="shared" si="62"/>
        <v>0.22713208121734929</v>
      </c>
    </row>
    <row r="1339" spans="1:14" x14ac:dyDescent="0.45">
      <c r="A1339" t="s">
        <v>2628</v>
      </c>
      <c r="B1339" s="1">
        <v>44598</v>
      </c>
      <c r="C1339" t="s">
        <v>2629</v>
      </c>
      <c r="D1339" t="s">
        <v>13</v>
      </c>
      <c r="E1339" t="s">
        <v>14</v>
      </c>
      <c r="F1339" t="s">
        <v>40</v>
      </c>
      <c r="G1339">
        <v>4</v>
      </c>
      <c r="H1339">
        <v>18079.28</v>
      </c>
      <c r="I1339">
        <v>3673.6</v>
      </c>
      <c r="J1339" t="s">
        <v>22</v>
      </c>
      <c r="K1339" t="s">
        <v>33</v>
      </c>
      <c r="L1339">
        <f t="shared" si="60"/>
        <v>2022</v>
      </c>
      <c r="M1339" t="str">
        <f t="shared" si="61"/>
        <v>Feb</v>
      </c>
      <c r="N1339" s="2">
        <f t="shared" si="62"/>
        <v>0.20319393250173681</v>
      </c>
    </row>
    <row r="1340" spans="1:14" x14ac:dyDescent="0.45">
      <c r="A1340" t="s">
        <v>2630</v>
      </c>
      <c r="B1340" s="1">
        <v>45296</v>
      </c>
      <c r="C1340" t="s">
        <v>2631</v>
      </c>
      <c r="D1340" t="s">
        <v>26</v>
      </c>
      <c r="E1340" t="s">
        <v>20</v>
      </c>
      <c r="F1340" t="s">
        <v>43</v>
      </c>
      <c r="G1340">
        <v>1</v>
      </c>
      <c r="H1340">
        <v>14154.84</v>
      </c>
      <c r="I1340">
        <v>1256.73</v>
      </c>
      <c r="J1340" t="s">
        <v>47</v>
      </c>
      <c r="K1340" t="s">
        <v>23</v>
      </c>
      <c r="L1340">
        <f t="shared" si="60"/>
        <v>2024</v>
      </c>
      <c r="M1340" t="str">
        <f t="shared" si="61"/>
        <v>Jan</v>
      </c>
      <c r="N1340" s="2">
        <f t="shared" si="62"/>
        <v>8.878447230770535E-2</v>
      </c>
    </row>
    <row r="1341" spans="1:14" x14ac:dyDescent="0.45">
      <c r="A1341" t="s">
        <v>2632</v>
      </c>
      <c r="B1341" s="1">
        <v>45339</v>
      </c>
      <c r="C1341" t="s">
        <v>2633</v>
      </c>
      <c r="D1341" t="s">
        <v>56</v>
      </c>
      <c r="E1341" t="s">
        <v>20</v>
      </c>
      <c r="F1341" t="s">
        <v>50</v>
      </c>
      <c r="G1341">
        <v>1</v>
      </c>
      <c r="H1341">
        <v>38150.17</v>
      </c>
      <c r="I1341">
        <v>4228.24</v>
      </c>
      <c r="J1341" t="s">
        <v>22</v>
      </c>
      <c r="K1341" t="s">
        <v>17</v>
      </c>
      <c r="L1341">
        <f t="shared" si="60"/>
        <v>2024</v>
      </c>
      <c r="M1341" t="str">
        <f t="shared" si="61"/>
        <v>Feb</v>
      </c>
      <c r="N1341" s="2">
        <f t="shared" si="62"/>
        <v>0.11083148515458778</v>
      </c>
    </row>
    <row r="1342" spans="1:14" x14ac:dyDescent="0.45">
      <c r="A1342" t="s">
        <v>2634</v>
      </c>
      <c r="B1342" s="1">
        <v>45389</v>
      </c>
      <c r="C1342" t="s">
        <v>2635</v>
      </c>
      <c r="D1342" t="s">
        <v>56</v>
      </c>
      <c r="E1342" t="s">
        <v>36</v>
      </c>
      <c r="F1342" t="s">
        <v>37</v>
      </c>
      <c r="G1342">
        <v>5</v>
      </c>
      <c r="H1342">
        <v>23035.77</v>
      </c>
      <c r="I1342">
        <v>4039.76</v>
      </c>
      <c r="J1342" t="s">
        <v>47</v>
      </c>
      <c r="K1342" t="s">
        <v>29</v>
      </c>
      <c r="L1342">
        <f t="shared" si="60"/>
        <v>2024</v>
      </c>
      <c r="M1342" t="str">
        <f t="shared" si="61"/>
        <v>Apr</v>
      </c>
      <c r="N1342" s="2">
        <f t="shared" si="62"/>
        <v>0.17536900220830473</v>
      </c>
    </row>
    <row r="1343" spans="1:14" x14ac:dyDescent="0.45">
      <c r="A1343" t="s">
        <v>2636</v>
      </c>
      <c r="B1343" s="1">
        <v>45469</v>
      </c>
      <c r="C1343" t="s">
        <v>2637</v>
      </c>
      <c r="D1343" t="s">
        <v>26</v>
      </c>
      <c r="E1343" t="s">
        <v>14</v>
      </c>
      <c r="F1343" t="s">
        <v>15</v>
      </c>
      <c r="G1343">
        <v>5</v>
      </c>
      <c r="H1343">
        <v>38326.35</v>
      </c>
      <c r="I1343">
        <v>3625.6</v>
      </c>
      <c r="J1343" t="s">
        <v>71</v>
      </c>
      <c r="K1343" t="s">
        <v>17</v>
      </c>
      <c r="L1343">
        <f t="shared" si="60"/>
        <v>2024</v>
      </c>
      <c r="M1343" t="str">
        <f t="shared" si="61"/>
        <v>Jun</v>
      </c>
      <c r="N1343" s="2">
        <f t="shared" si="62"/>
        <v>9.4598102871784037E-2</v>
      </c>
    </row>
    <row r="1344" spans="1:14" x14ac:dyDescent="0.45">
      <c r="A1344" t="s">
        <v>2638</v>
      </c>
      <c r="B1344" s="1">
        <v>44588</v>
      </c>
      <c r="C1344" t="s">
        <v>2639</v>
      </c>
      <c r="D1344" t="s">
        <v>13</v>
      </c>
      <c r="E1344" t="s">
        <v>20</v>
      </c>
      <c r="F1344" t="s">
        <v>50</v>
      </c>
      <c r="G1344">
        <v>4</v>
      </c>
      <c r="H1344">
        <v>8239.09</v>
      </c>
      <c r="I1344">
        <v>1327.35</v>
      </c>
      <c r="J1344" t="s">
        <v>16</v>
      </c>
      <c r="K1344" t="s">
        <v>33</v>
      </c>
      <c r="L1344">
        <f t="shared" si="60"/>
        <v>2022</v>
      </c>
      <c r="M1344" t="str">
        <f t="shared" si="61"/>
        <v>Jan</v>
      </c>
      <c r="N1344" s="2">
        <f t="shared" si="62"/>
        <v>0.16110395686902315</v>
      </c>
    </row>
    <row r="1345" spans="1:14" x14ac:dyDescent="0.45">
      <c r="A1345" t="s">
        <v>2640</v>
      </c>
      <c r="B1345" s="1">
        <v>44688</v>
      </c>
      <c r="C1345" t="s">
        <v>2641</v>
      </c>
      <c r="D1345" t="s">
        <v>26</v>
      </c>
      <c r="E1345" t="s">
        <v>36</v>
      </c>
      <c r="F1345" t="s">
        <v>46</v>
      </c>
      <c r="G1345">
        <v>1</v>
      </c>
      <c r="H1345">
        <v>32030.32</v>
      </c>
      <c r="I1345">
        <v>4832.83</v>
      </c>
      <c r="J1345" t="s">
        <v>71</v>
      </c>
      <c r="K1345" t="s">
        <v>29</v>
      </c>
      <c r="L1345">
        <f t="shared" si="60"/>
        <v>2022</v>
      </c>
      <c r="M1345" t="str">
        <f t="shared" si="61"/>
        <v>May</v>
      </c>
      <c r="N1345" s="2">
        <f t="shared" si="62"/>
        <v>0.15088297588035338</v>
      </c>
    </row>
    <row r="1346" spans="1:14" x14ac:dyDescent="0.45">
      <c r="A1346" t="s">
        <v>2642</v>
      </c>
      <c r="B1346" s="1">
        <v>44637</v>
      </c>
      <c r="C1346" t="s">
        <v>345</v>
      </c>
      <c r="D1346" t="s">
        <v>56</v>
      </c>
      <c r="E1346" t="s">
        <v>36</v>
      </c>
      <c r="F1346" t="s">
        <v>46</v>
      </c>
      <c r="G1346">
        <v>2</v>
      </c>
      <c r="H1346">
        <v>2952.66</v>
      </c>
      <c r="I1346">
        <v>298.19</v>
      </c>
      <c r="J1346" t="s">
        <v>28</v>
      </c>
      <c r="K1346" t="s">
        <v>17</v>
      </c>
      <c r="L1346">
        <f t="shared" si="60"/>
        <v>2022</v>
      </c>
      <c r="M1346" t="str">
        <f t="shared" si="61"/>
        <v>Mar</v>
      </c>
      <c r="N1346" s="2">
        <f t="shared" si="62"/>
        <v>0.10099029349806615</v>
      </c>
    </row>
    <row r="1347" spans="1:14" x14ac:dyDescent="0.45">
      <c r="A1347" t="s">
        <v>2643</v>
      </c>
      <c r="B1347" s="1">
        <v>45192</v>
      </c>
      <c r="C1347" t="s">
        <v>2644</v>
      </c>
      <c r="D1347" t="s">
        <v>13</v>
      </c>
      <c r="E1347" t="s">
        <v>14</v>
      </c>
      <c r="F1347" t="s">
        <v>40</v>
      </c>
      <c r="G1347">
        <v>5</v>
      </c>
      <c r="H1347">
        <v>24387.06</v>
      </c>
      <c r="I1347">
        <v>4296.79</v>
      </c>
      <c r="J1347" t="s">
        <v>71</v>
      </c>
      <c r="K1347" t="s">
        <v>29</v>
      </c>
      <c r="L1347">
        <f t="shared" ref="L1347:L1410" si="63">YEAR(B1347 )</f>
        <v>2023</v>
      </c>
      <c r="M1347" t="str">
        <f t="shared" ref="M1347:M1410" si="64">TEXT(B1347,"MMM")</f>
        <v>Sep</v>
      </c>
      <c r="N1347" s="2">
        <f t="shared" ref="N1347:N1410" si="65">I1347 / H1347</f>
        <v>0.17619139002405373</v>
      </c>
    </row>
    <row r="1348" spans="1:14" x14ac:dyDescent="0.45">
      <c r="A1348" t="s">
        <v>2645</v>
      </c>
      <c r="B1348" s="1">
        <v>45589</v>
      </c>
      <c r="C1348" t="s">
        <v>2646</v>
      </c>
      <c r="D1348" t="s">
        <v>26</v>
      </c>
      <c r="E1348" t="s">
        <v>14</v>
      </c>
      <c r="F1348" t="s">
        <v>40</v>
      </c>
      <c r="G1348">
        <v>1</v>
      </c>
      <c r="H1348">
        <v>23319.5</v>
      </c>
      <c r="I1348">
        <v>1856.22</v>
      </c>
      <c r="J1348" t="s">
        <v>28</v>
      </c>
      <c r="K1348" t="s">
        <v>23</v>
      </c>
      <c r="L1348">
        <f t="shared" si="63"/>
        <v>2024</v>
      </c>
      <c r="M1348" t="str">
        <f t="shared" si="64"/>
        <v>Oct</v>
      </c>
      <c r="N1348" s="2">
        <f t="shared" si="65"/>
        <v>7.9599476832693666E-2</v>
      </c>
    </row>
    <row r="1349" spans="1:14" x14ac:dyDescent="0.45">
      <c r="A1349" t="s">
        <v>2647</v>
      </c>
      <c r="B1349" s="1">
        <v>45511</v>
      </c>
      <c r="C1349" t="s">
        <v>2648</v>
      </c>
      <c r="D1349" t="s">
        <v>13</v>
      </c>
      <c r="E1349" t="s">
        <v>14</v>
      </c>
      <c r="F1349" t="s">
        <v>15</v>
      </c>
      <c r="G1349">
        <v>3</v>
      </c>
      <c r="H1349">
        <v>31278.59</v>
      </c>
      <c r="I1349">
        <v>4922.51</v>
      </c>
      <c r="J1349" t="s">
        <v>16</v>
      </c>
      <c r="K1349" t="s">
        <v>29</v>
      </c>
      <c r="L1349">
        <f t="shared" si="63"/>
        <v>2024</v>
      </c>
      <c r="M1349" t="str">
        <f t="shared" si="64"/>
        <v>Aug</v>
      </c>
      <c r="N1349" s="2">
        <f t="shared" si="65"/>
        <v>0.15737633953448671</v>
      </c>
    </row>
    <row r="1350" spans="1:14" x14ac:dyDescent="0.45">
      <c r="A1350" t="s">
        <v>2649</v>
      </c>
      <c r="B1350" s="1">
        <v>45612</v>
      </c>
      <c r="C1350" t="s">
        <v>2650</v>
      </c>
      <c r="D1350" t="s">
        <v>56</v>
      </c>
      <c r="E1350" t="s">
        <v>36</v>
      </c>
      <c r="F1350" t="s">
        <v>46</v>
      </c>
      <c r="G1350">
        <v>2</v>
      </c>
      <c r="H1350">
        <v>40244.29</v>
      </c>
      <c r="I1350">
        <v>9076.17</v>
      </c>
      <c r="J1350" t="s">
        <v>16</v>
      </c>
      <c r="K1350" t="s">
        <v>29</v>
      </c>
      <c r="L1350">
        <f t="shared" si="63"/>
        <v>2024</v>
      </c>
      <c r="M1350" t="str">
        <f t="shared" si="64"/>
        <v>Nov</v>
      </c>
      <c r="N1350" s="2">
        <f t="shared" si="65"/>
        <v>0.2255269008348762</v>
      </c>
    </row>
    <row r="1351" spans="1:14" x14ac:dyDescent="0.45">
      <c r="A1351" t="s">
        <v>2651</v>
      </c>
      <c r="B1351" s="1">
        <v>45594</v>
      </c>
      <c r="C1351" t="s">
        <v>2652</v>
      </c>
      <c r="D1351" t="s">
        <v>26</v>
      </c>
      <c r="E1351" t="s">
        <v>20</v>
      </c>
      <c r="F1351" t="s">
        <v>27</v>
      </c>
      <c r="G1351">
        <v>3</v>
      </c>
      <c r="H1351">
        <v>45458.31</v>
      </c>
      <c r="I1351">
        <v>6804.76</v>
      </c>
      <c r="J1351" t="s">
        <v>16</v>
      </c>
      <c r="K1351" t="s">
        <v>23</v>
      </c>
      <c r="L1351">
        <f t="shared" si="63"/>
        <v>2024</v>
      </c>
      <c r="M1351" t="str">
        <f t="shared" si="64"/>
        <v>Oct</v>
      </c>
      <c r="N1351" s="2">
        <f t="shared" si="65"/>
        <v>0.14969232248185207</v>
      </c>
    </row>
    <row r="1352" spans="1:14" x14ac:dyDescent="0.45">
      <c r="A1352" t="s">
        <v>2653</v>
      </c>
      <c r="B1352" s="1">
        <v>44665</v>
      </c>
      <c r="C1352" t="s">
        <v>2654</v>
      </c>
      <c r="D1352" t="s">
        <v>13</v>
      </c>
      <c r="E1352" t="s">
        <v>14</v>
      </c>
      <c r="F1352" t="s">
        <v>40</v>
      </c>
      <c r="G1352">
        <v>3</v>
      </c>
      <c r="H1352">
        <v>19385.849999999999</v>
      </c>
      <c r="I1352">
        <v>4383.75</v>
      </c>
      <c r="J1352" t="s">
        <v>16</v>
      </c>
      <c r="K1352" t="s">
        <v>33</v>
      </c>
      <c r="L1352">
        <f t="shared" si="63"/>
        <v>2022</v>
      </c>
      <c r="M1352" t="str">
        <f t="shared" si="64"/>
        <v>Apr</v>
      </c>
      <c r="N1352" s="2">
        <f t="shared" si="65"/>
        <v>0.22613143091481674</v>
      </c>
    </row>
    <row r="1353" spans="1:14" x14ac:dyDescent="0.45">
      <c r="A1353" t="s">
        <v>2655</v>
      </c>
      <c r="B1353" s="1">
        <v>44850</v>
      </c>
      <c r="C1353" t="s">
        <v>2656</v>
      </c>
      <c r="D1353" t="s">
        <v>56</v>
      </c>
      <c r="E1353" t="s">
        <v>14</v>
      </c>
      <c r="F1353" t="s">
        <v>57</v>
      </c>
      <c r="G1353">
        <v>1</v>
      </c>
      <c r="H1353">
        <v>13880.02</v>
      </c>
      <c r="I1353">
        <v>2353.89</v>
      </c>
      <c r="J1353" t="s">
        <v>28</v>
      </c>
      <c r="K1353" t="s">
        <v>17</v>
      </c>
      <c r="L1353">
        <f t="shared" si="63"/>
        <v>2022</v>
      </c>
      <c r="M1353" t="str">
        <f t="shared" si="64"/>
        <v>Oct</v>
      </c>
      <c r="N1353" s="2">
        <f t="shared" si="65"/>
        <v>0.16958837235104848</v>
      </c>
    </row>
    <row r="1354" spans="1:14" x14ac:dyDescent="0.45">
      <c r="A1354" t="s">
        <v>2657</v>
      </c>
      <c r="B1354" s="1">
        <v>45433</v>
      </c>
      <c r="C1354" t="s">
        <v>2111</v>
      </c>
      <c r="D1354" t="s">
        <v>26</v>
      </c>
      <c r="E1354" t="s">
        <v>20</v>
      </c>
      <c r="F1354" t="s">
        <v>27</v>
      </c>
      <c r="G1354">
        <v>2</v>
      </c>
      <c r="H1354">
        <v>30001.94</v>
      </c>
      <c r="I1354">
        <v>7247.17</v>
      </c>
      <c r="J1354" t="s">
        <v>47</v>
      </c>
      <c r="K1354" t="s">
        <v>17</v>
      </c>
      <c r="L1354">
        <f t="shared" si="63"/>
        <v>2024</v>
      </c>
      <c r="M1354" t="str">
        <f t="shared" si="64"/>
        <v>May</v>
      </c>
      <c r="N1354" s="2">
        <f t="shared" si="65"/>
        <v>0.24155671266591427</v>
      </c>
    </row>
    <row r="1355" spans="1:14" x14ac:dyDescent="0.45">
      <c r="A1355" t="s">
        <v>2658</v>
      </c>
      <c r="B1355" s="1">
        <v>44722</v>
      </c>
      <c r="C1355" t="s">
        <v>2659</v>
      </c>
      <c r="D1355" t="s">
        <v>56</v>
      </c>
      <c r="E1355" t="s">
        <v>36</v>
      </c>
      <c r="F1355" t="s">
        <v>53</v>
      </c>
      <c r="G1355">
        <v>1</v>
      </c>
      <c r="H1355">
        <v>9342.69</v>
      </c>
      <c r="I1355">
        <v>2030.29</v>
      </c>
      <c r="J1355" t="s">
        <v>47</v>
      </c>
      <c r="K1355" t="s">
        <v>33</v>
      </c>
      <c r="L1355">
        <f t="shared" si="63"/>
        <v>2022</v>
      </c>
      <c r="M1355" t="str">
        <f t="shared" si="64"/>
        <v>Jun</v>
      </c>
      <c r="N1355" s="2">
        <f t="shared" si="65"/>
        <v>0.21731321493060349</v>
      </c>
    </row>
    <row r="1356" spans="1:14" x14ac:dyDescent="0.45">
      <c r="A1356" t="s">
        <v>2660</v>
      </c>
      <c r="B1356" s="1">
        <v>45490</v>
      </c>
      <c r="C1356" t="s">
        <v>2661</v>
      </c>
      <c r="D1356" t="s">
        <v>26</v>
      </c>
      <c r="E1356" t="s">
        <v>20</v>
      </c>
      <c r="F1356" t="s">
        <v>27</v>
      </c>
      <c r="G1356">
        <v>3</v>
      </c>
      <c r="H1356">
        <v>17690.080000000002</v>
      </c>
      <c r="I1356">
        <v>1001.3</v>
      </c>
      <c r="J1356" t="s">
        <v>16</v>
      </c>
      <c r="K1356" t="s">
        <v>29</v>
      </c>
      <c r="L1356">
        <f t="shared" si="63"/>
        <v>2024</v>
      </c>
      <c r="M1356" t="str">
        <f t="shared" si="64"/>
        <v>Jul</v>
      </c>
      <c r="N1356" s="2">
        <f t="shared" si="65"/>
        <v>5.6602344364751311E-2</v>
      </c>
    </row>
    <row r="1357" spans="1:14" x14ac:dyDescent="0.45">
      <c r="A1357" t="s">
        <v>2662</v>
      </c>
      <c r="B1357" s="1">
        <v>44997</v>
      </c>
      <c r="C1357" t="s">
        <v>2663</v>
      </c>
      <c r="D1357" t="s">
        <v>26</v>
      </c>
      <c r="E1357" t="s">
        <v>20</v>
      </c>
      <c r="F1357" t="s">
        <v>27</v>
      </c>
      <c r="G1357">
        <v>1</v>
      </c>
      <c r="H1357">
        <v>19619.099999999999</v>
      </c>
      <c r="I1357">
        <v>4183.4799999999996</v>
      </c>
      <c r="J1357" t="s">
        <v>16</v>
      </c>
      <c r="K1357" t="s">
        <v>33</v>
      </c>
      <c r="L1357">
        <f t="shared" si="63"/>
        <v>2023</v>
      </c>
      <c r="M1357" t="str">
        <f t="shared" si="64"/>
        <v>Mar</v>
      </c>
      <c r="N1357" s="2">
        <f t="shared" si="65"/>
        <v>0.21323506175104873</v>
      </c>
    </row>
    <row r="1358" spans="1:14" x14ac:dyDescent="0.45">
      <c r="A1358" t="s">
        <v>2664</v>
      </c>
      <c r="B1358" s="1">
        <v>44803</v>
      </c>
      <c r="C1358" t="s">
        <v>2665</v>
      </c>
      <c r="D1358" t="s">
        <v>13</v>
      </c>
      <c r="E1358" t="s">
        <v>36</v>
      </c>
      <c r="F1358" t="s">
        <v>64</v>
      </c>
      <c r="G1358">
        <v>4</v>
      </c>
      <c r="H1358">
        <v>29859.11</v>
      </c>
      <c r="I1358">
        <v>4801.53</v>
      </c>
      <c r="J1358" t="s">
        <v>71</v>
      </c>
      <c r="K1358" t="s">
        <v>23</v>
      </c>
      <c r="L1358">
        <f t="shared" si="63"/>
        <v>2022</v>
      </c>
      <c r="M1358" t="str">
        <f t="shared" si="64"/>
        <v>Aug</v>
      </c>
      <c r="N1358" s="2">
        <f t="shared" si="65"/>
        <v>0.16080619951498887</v>
      </c>
    </row>
    <row r="1359" spans="1:14" x14ac:dyDescent="0.45">
      <c r="A1359" t="s">
        <v>2666</v>
      </c>
      <c r="B1359" s="1">
        <v>45410</v>
      </c>
      <c r="C1359" t="s">
        <v>2667</v>
      </c>
      <c r="D1359" t="s">
        <v>13</v>
      </c>
      <c r="E1359" t="s">
        <v>14</v>
      </c>
      <c r="F1359" t="s">
        <v>40</v>
      </c>
      <c r="G1359">
        <v>4</v>
      </c>
      <c r="H1359">
        <v>24582.15</v>
      </c>
      <c r="I1359">
        <v>1339.79</v>
      </c>
      <c r="J1359" t="s">
        <v>47</v>
      </c>
      <c r="K1359" t="s">
        <v>29</v>
      </c>
      <c r="L1359">
        <f t="shared" si="63"/>
        <v>2024</v>
      </c>
      <c r="M1359" t="str">
        <f t="shared" si="64"/>
        <v>Apr</v>
      </c>
      <c r="N1359" s="2">
        <f t="shared" si="65"/>
        <v>5.4502555716241255E-2</v>
      </c>
    </row>
    <row r="1360" spans="1:14" x14ac:dyDescent="0.45">
      <c r="A1360" t="s">
        <v>2668</v>
      </c>
      <c r="B1360" s="1">
        <v>44835</v>
      </c>
      <c r="C1360" t="s">
        <v>2669</v>
      </c>
      <c r="D1360" t="s">
        <v>56</v>
      </c>
      <c r="E1360" t="s">
        <v>20</v>
      </c>
      <c r="F1360" t="s">
        <v>21</v>
      </c>
      <c r="G1360">
        <v>1</v>
      </c>
      <c r="H1360">
        <v>19997.060000000001</v>
      </c>
      <c r="I1360">
        <v>3610.71</v>
      </c>
      <c r="J1360" t="s">
        <v>28</v>
      </c>
      <c r="K1360" t="s">
        <v>33</v>
      </c>
      <c r="L1360">
        <f t="shared" si="63"/>
        <v>2022</v>
      </c>
      <c r="M1360" t="str">
        <f t="shared" si="64"/>
        <v>Oct</v>
      </c>
      <c r="N1360" s="2">
        <f t="shared" si="65"/>
        <v>0.18056204262026518</v>
      </c>
    </row>
    <row r="1361" spans="1:14" x14ac:dyDescent="0.45">
      <c r="A1361" t="s">
        <v>2670</v>
      </c>
      <c r="B1361" s="1">
        <v>44674</v>
      </c>
      <c r="C1361" t="s">
        <v>2671</v>
      </c>
      <c r="D1361" t="s">
        <v>26</v>
      </c>
      <c r="E1361" t="s">
        <v>20</v>
      </c>
      <c r="F1361" t="s">
        <v>50</v>
      </c>
      <c r="G1361">
        <v>2</v>
      </c>
      <c r="H1361">
        <v>10021.18</v>
      </c>
      <c r="I1361">
        <v>1416.25</v>
      </c>
      <c r="J1361" t="s">
        <v>47</v>
      </c>
      <c r="K1361" t="s">
        <v>23</v>
      </c>
      <c r="L1361">
        <f t="shared" si="63"/>
        <v>2022</v>
      </c>
      <c r="M1361" t="str">
        <f t="shared" si="64"/>
        <v>Apr</v>
      </c>
      <c r="N1361" s="2">
        <f t="shared" si="65"/>
        <v>0.14132567222622486</v>
      </c>
    </row>
    <row r="1362" spans="1:14" x14ac:dyDescent="0.45">
      <c r="A1362" t="s">
        <v>2672</v>
      </c>
      <c r="B1362" s="1">
        <v>45404</v>
      </c>
      <c r="C1362" t="s">
        <v>2673</v>
      </c>
      <c r="D1362" t="s">
        <v>56</v>
      </c>
      <c r="E1362" t="s">
        <v>36</v>
      </c>
      <c r="F1362" t="s">
        <v>37</v>
      </c>
      <c r="G1362">
        <v>2</v>
      </c>
      <c r="H1362">
        <v>23537.66</v>
      </c>
      <c r="I1362">
        <v>4411.95</v>
      </c>
      <c r="J1362" t="s">
        <v>22</v>
      </c>
      <c r="K1362" t="s">
        <v>23</v>
      </c>
      <c r="L1362">
        <f t="shared" si="63"/>
        <v>2024</v>
      </c>
      <c r="M1362" t="str">
        <f t="shared" si="64"/>
        <v>Apr</v>
      </c>
      <c r="N1362" s="2">
        <f t="shared" si="65"/>
        <v>0.18744216714830617</v>
      </c>
    </row>
    <row r="1363" spans="1:14" x14ac:dyDescent="0.45">
      <c r="A1363" t="s">
        <v>2674</v>
      </c>
      <c r="B1363" s="1">
        <v>44822</v>
      </c>
      <c r="C1363" t="s">
        <v>2675</v>
      </c>
      <c r="D1363" t="s">
        <v>26</v>
      </c>
      <c r="E1363" t="s">
        <v>36</v>
      </c>
      <c r="F1363" t="s">
        <v>37</v>
      </c>
      <c r="G1363">
        <v>2</v>
      </c>
      <c r="H1363">
        <v>38151.019999999997</v>
      </c>
      <c r="I1363">
        <v>2279.96</v>
      </c>
      <c r="J1363" t="s">
        <v>28</v>
      </c>
      <c r="K1363" t="s">
        <v>23</v>
      </c>
      <c r="L1363">
        <f t="shared" si="63"/>
        <v>2022</v>
      </c>
      <c r="M1363" t="str">
        <f t="shared" si="64"/>
        <v>Sep</v>
      </c>
      <c r="N1363" s="2">
        <f t="shared" si="65"/>
        <v>5.9761442813324524E-2</v>
      </c>
    </row>
    <row r="1364" spans="1:14" x14ac:dyDescent="0.45">
      <c r="A1364" t="s">
        <v>2676</v>
      </c>
      <c r="B1364" s="1">
        <v>45033</v>
      </c>
      <c r="C1364" t="s">
        <v>2677</v>
      </c>
      <c r="D1364" t="s">
        <v>26</v>
      </c>
      <c r="E1364" t="s">
        <v>14</v>
      </c>
      <c r="F1364" t="s">
        <v>57</v>
      </c>
      <c r="G1364">
        <v>1</v>
      </c>
      <c r="H1364">
        <v>17376.23</v>
      </c>
      <c r="I1364">
        <v>3880.49</v>
      </c>
      <c r="J1364" t="s">
        <v>22</v>
      </c>
      <c r="K1364" t="s">
        <v>33</v>
      </c>
      <c r="L1364">
        <f t="shared" si="63"/>
        <v>2023</v>
      </c>
      <c r="M1364" t="str">
        <f t="shared" si="64"/>
        <v>Apr</v>
      </c>
      <c r="N1364" s="2">
        <f t="shared" si="65"/>
        <v>0.22332174470526689</v>
      </c>
    </row>
    <row r="1365" spans="1:14" x14ac:dyDescent="0.45">
      <c r="A1365" t="s">
        <v>2678</v>
      </c>
      <c r="B1365" s="1">
        <v>45438</v>
      </c>
      <c r="C1365" t="s">
        <v>2679</v>
      </c>
      <c r="D1365" t="s">
        <v>26</v>
      </c>
      <c r="E1365" t="s">
        <v>14</v>
      </c>
      <c r="F1365" t="s">
        <v>40</v>
      </c>
      <c r="G1365">
        <v>2</v>
      </c>
      <c r="H1365">
        <v>2322.77</v>
      </c>
      <c r="I1365">
        <v>241.33</v>
      </c>
      <c r="J1365" t="s">
        <v>47</v>
      </c>
      <c r="K1365" t="s">
        <v>33</v>
      </c>
      <c r="L1365">
        <f t="shared" si="63"/>
        <v>2024</v>
      </c>
      <c r="M1365" t="str">
        <f t="shared" si="64"/>
        <v>May</v>
      </c>
      <c r="N1365" s="2">
        <f t="shared" si="65"/>
        <v>0.1038975016897928</v>
      </c>
    </row>
    <row r="1366" spans="1:14" x14ac:dyDescent="0.45">
      <c r="A1366" t="s">
        <v>2680</v>
      </c>
      <c r="B1366" s="1">
        <v>44565</v>
      </c>
      <c r="C1366" t="s">
        <v>2681</v>
      </c>
      <c r="D1366" t="s">
        <v>56</v>
      </c>
      <c r="E1366" t="s">
        <v>14</v>
      </c>
      <c r="F1366" t="s">
        <v>40</v>
      </c>
      <c r="G1366">
        <v>1</v>
      </c>
      <c r="H1366">
        <v>35638.639999999999</v>
      </c>
      <c r="I1366">
        <v>2194.54</v>
      </c>
      <c r="J1366" t="s">
        <v>16</v>
      </c>
      <c r="K1366" t="s">
        <v>29</v>
      </c>
      <c r="L1366">
        <f t="shared" si="63"/>
        <v>2022</v>
      </c>
      <c r="M1366" t="str">
        <f t="shared" si="64"/>
        <v>Jan</v>
      </c>
      <c r="N1366" s="2">
        <f t="shared" si="65"/>
        <v>6.1577546168989611E-2</v>
      </c>
    </row>
    <row r="1367" spans="1:14" x14ac:dyDescent="0.45">
      <c r="A1367" t="s">
        <v>2682</v>
      </c>
      <c r="B1367" s="1">
        <v>45358</v>
      </c>
      <c r="C1367" t="s">
        <v>2683</v>
      </c>
      <c r="D1367" t="s">
        <v>13</v>
      </c>
      <c r="E1367" t="s">
        <v>14</v>
      </c>
      <c r="F1367" t="s">
        <v>32</v>
      </c>
      <c r="G1367">
        <v>2</v>
      </c>
      <c r="H1367">
        <v>13723.5</v>
      </c>
      <c r="I1367">
        <v>720.58</v>
      </c>
      <c r="J1367" t="s">
        <v>47</v>
      </c>
      <c r="K1367" t="s">
        <v>33</v>
      </c>
      <c r="L1367">
        <f t="shared" si="63"/>
        <v>2024</v>
      </c>
      <c r="M1367" t="str">
        <f t="shared" si="64"/>
        <v>Mar</v>
      </c>
      <c r="N1367" s="2">
        <f t="shared" si="65"/>
        <v>5.2507013516959959E-2</v>
      </c>
    </row>
    <row r="1368" spans="1:14" x14ac:dyDescent="0.45">
      <c r="A1368" t="s">
        <v>2684</v>
      </c>
      <c r="B1368" s="1">
        <v>45397</v>
      </c>
      <c r="C1368" t="s">
        <v>2685</v>
      </c>
      <c r="D1368" t="s">
        <v>56</v>
      </c>
      <c r="E1368" t="s">
        <v>14</v>
      </c>
      <c r="F1368" t="s">
        <v>40</v>
      </c>
      <c r="G1368">
        <v>4</v>
      </c>
      <c r="H1368">
        <v>1080.24</v>
      </c>
      <c r="I1368">
        <v>129.55000000000001</v>
      </c>
      <c r="J1368" t="s">
        <v>71</v>
      </c>
      <c r="K1368" t="s">
        <v>29</v>
      </c>
      <c r="L1368">
        <f t="shared" si="63"/>
        <v>2024</v>
      </c>
      <c r="M1368" t="str">
        <f t="shared" si="64"/>
        <v>Apr</v>
      </c>
      <c r="N1368" s="2">
        <f t="shared" si="65"/>
        <v>0.1199270532474265</v>
      </c>
    </row>
    <row r="1369" spans="1:14" x14ac:dyDescent="0.45">
      <c r="A1369" t="s">
        <v>2686</v>
      </c>
      <c r="B1369" s="1">
        <v>44711</v>
      </c>
      <c r="C1369" t="s">
        <v>2687</v>
      </c>
      <c r="D1369" t="s">
        <v>56</v>
      </c>
      <c r="E1369" t="s">
        <v>36</v>
      </c>
      <c r="F1369" t="s">
        <v>37</v>
      </c>
      <c r="G1369">
        <v>3</v>
      </c>
      <c r="H1369">
        <v>36965.21</v>
      </c>
      <c r="I1369">
        <v>4226.57</v>
      </c>
      <c r="J1369" t="s">
        <v>22</v>
      </c>
      <c r="K1369" t="s">
        <v>33</v>
      </c>
      <c r="L1369">
        <f t="shared" si="63"/>
        <v>2022</v>
      </c>
      <c r="M1369" t="str">
        <f t="shared" si="64"/>
        <v>May</v>
      </c>
      <c r="N1369" s="2">
        <f t="shared" si="65"/>
        <v>0.1143391313075186</v>
      </c>
    </row>
    <row r="1370" spans="1:14" x14ac:dyDescent="0.45">
      <c r="A1370" t="s">
        <v>2688</v>
      </c>
      <c r="B1370" s="1">
        <v>45031</v>
      </c>
      <c r="C1370" t="s">
        <v>2689</v>
      </c>
      <c r="D1370" t="s">
        <v>26</v>
      </c>
      <c r="E1370" t="s">
        <v>20</v>
      </c>
      <c r="F1370" t="s">
        <v>27</v>
      </c>
      <c r="G1370">
        <v>3</v>
      </c>
      <c r="H1370">
        <v>38862.28</v>
      </c>
      <c r="I1370">
        <v>7030.34</v>
      </c>
      <c r="J1370" t="s">
        <v>71</v>
      </c>
      <c r="K1370" t="s">
        <v>17</v>
      </c>
      <c r="L1370">
        <f t="shared" si="63"/>
        <v>2023</v>
      </c>
      <c r="M1370" t="str">
        <f t="shared" si="64"/>
        <v>Apr</v>
      </c>
      <c r="N1370" s="2">
        <f t="shared" si="65"/>
        <v>0.1809039510805851</v>
      </c>
    </row>
    <row r="1371" spans="1:14" x14ac:dyDescent="0.45">
      <c r="A1371" t="s">
        <v>2690</v>
      </c>
      <c r="B1371" s="1">
        <v>45452</v>
      </c>
      <c r="C1371" t="s">
        <v>2691</v>
      </c>
      <c r="D1371" t="s">
        <v>26</v>
      </c>
      <c r="E1371" t="s">
        <v>20</v>
      </c>
      <c r="F1371" t="s">
        <v>43</v>
      </c>
      <c r="G1371">
        <v>3</v>
      </c>
      <c r="H1371">
        <v>45842.47</v>
      </c>
      <c r="I1371">
        <v>4613.6099999999997</v>
      </c>
      <c r="J1371" t="s">
        <v>47</v>
      </c>
      <c r="K1371" t="s">
        <v>23</v>
      </c>
      <c r="L1371">
        <f t="shared" si="63"/>
        <v>2024</v>
      </c>
      <c r="M1371" t="str">
        <f t="shared" si="64"/>
        <v>Jun</v>
      </c>
      <c r="N1371" s="2">
        <f t="shared" si="65"/>
        <v>0.10064051958805884</v>
      </c>
    </row>
    <row r="1372" spans="1:14" x14ac:dyDescent="0.45">
      <c r="A1372" t="s">
        <v>2692</v>
      </c>
      <c r="B1372" s="1">
        <v>44831</v>
      </c>
      <c r="C1372" t="s">
        <v>2693</v>
      </c>
      <c r="D1372" t="s">
        <v>56</v>
      </c>
      <c r="E1372" t="s">
        <v>20</v>
      </c>
      <c r="F1372" t="s">
        <v>50</v>
      </c>
      <c r="G1372">
        <v>5</v>
      </c>
      <c r="H1372">
        <v>18451.57</v>
      </c>
      <c r="I1372">
        <v>3813.48</v>
      </c>
      <c r="J1372" t="s">
        <v>47</v>
      </c>
      <c r="K1372" t="s">
        <v>33</v>
      </c>
      <c r="L1372">
        <f t="shared" si="63"/>
        <v>2022</v>
      </c>
      <c r="M1372" t="str">
        <f t="shared" si="64"/>
        <v>Sep</v>
      </c>
      <c r="N1372" s="2">
        <f t="shared" si="65"/>
        <v>0.20667509594034547</v>
      </c>
    </row>
    <row r="1373" spans="1:14" x14ac:dyDescent="0.45">
      <c r="A1373" t="s">
        <v>2694</v>
      </c>
      <c r="B1373" s="1">
        <v>45562</v>
      </c>
      <c r="C1373" t="s">
        <v>2695</v>
      </c>
      <c r="D1373" t="s">
        <v>26</v>
      </c>
      <c r="E1373" t="s">
        <v>14</v>
      </c>
      <c r="F1373" t="s">
        <v>57</v>
      </c>
      <c r="G1373">
        <v>3</v>
      </c>
      <c r="H1373">
        <v>17155.7</v>
      </c>
      <c r="I1373">
        <v>3475.89</v>
      </c>
      <c r="J1373" t="s">
        <v>47</v>
      </c>
      <c r="K1373" t="s">
        <v>17</v>
      </c>
      <c r="L1373">
        <f t="shared" si="63"/>
        <v>2024</v>
      </c>
      <c r="M1373" t="str">
        <f t="shared" si="64"/>
        <v>Sep</v>
      </c>
      <c r="N1373" s="2">
        <f t="shared" si="65"/>
        <v>0.20260846249351525</v>
      </c>
    </row>
    <row r="1374" spans="1:14" x14ac:dyDescent="0.45">
      <c r="A1374" t="s">
        <v>2696</v>
      </c>
      <c r="B1374" s="1">
        <v>45286</v>
      </c>
      <c r="C1374" t="s">
        <v>2697</v>
      </c>
      <c r="D1374" t="s">
        <v>13</v>
      </c>
      <c r="E1374" t="s">
        <v>20</v>
      </c>
      <c r="F1374" t="s">
        <v>21</v>
      </c>
      <c r="G1374">
        <v>1</v>
      </c>
      <c r="H1374">
        <v>41964.24</v>
      </c>
      <c r="I1374">
        <v>3246.38</v>
      </c>
      <c r="J1374" t="s">
        <v>22</v>
      </c>
      <c r="K1374" t="s">
        <v>33</v>
      </c>
      <c r="L1374">
        <f t="shared" si="63"/>
        <v>2023</v>
      </c>
      <c r="M1374" t="str">
        <f t="shared" si="64"/>
        <v>Dec</v>
      </c>
      <c r="N1374" s="2">
        <f t="shared" si="65"/>
        <v>7.7360628954557503E-2</v>
      </c>
    </row>
    <row r="1375" spans="1:14" x14ac:dyDescent="0.45">
      <c r="A1375" t="s">
        <v>2698</v>
      </c>
      <c r="B1375" s="1">
        <v>44986</v>
      </c>
      <c r="C1375" t="s">
        <v>1504</v>
      </c>
      <c r="D1375" t="s">
        <v>26</v>
      </c>
      <c r="E1375" t="s">
        <v>14</v>
      </c>
      <c r="F1375" t="s">
        <v>40</v>
      </c>
      <c r="G1375">
        <v>1</v>
      </c>
      <c r="H1375">
        <v>42145.26</v>
      </c>
      <c r="I1375">
        <v>5411.74</v>
      </c>
      <c r="J1375" t="s">
        <v>22</v>
      </c>
      <c r="K1375" t="s">
        <v>17</v>
      </c>
      <c r="L1375">
        <f t="shared" si="63"/>
        <v>2023</v>
      </c>
      <c r="M1375" t="str">
        <f t="shared" si="64"/>
        <v>Mar</v>
      </c>
      <c r="N1375" s="2">
        <f t="shared" si="65"/>
        <v>0.12840684812479505</v>
      </c>
    </row>
    <row r="1376" spans="1:14" x14ac:dyDescent="0.45">
      <c r="A1376" t="s">
        <v>2699</v>
      </c>
      <c r="B1376" s="1">
        <v>44870</v>
      </c>
      <c r="C1376" t="s">
        <v>2700</v>
      </c>
      <c r="D1376" t="s">
        <v>13</v>
      </c>
      <c r="E1376" t="s">
        <v>36</v>
      </c>
      <c r="F1376" t="s">
        <v>53</v>
      </c>
      <c r="G1376">
        <v>4</v>
      </c>
      <c r="H1376">
        <v>22427.67</v>
      </c>
      <c r="I1376">
        <v>1415.52</v>
      </c>
      <c r="J1376" t="s">
        <v>28</v>
      </c>
      <c r="K1376" t="s">
        <v>23</v>
      </c>
      <c r="L1376">
        <f t="shared" si="63"/>
        <v>2022</v>
      </c>
      <c r="M1376" t="str">
        <f t="shared" si="64"/>
        <v>Nov</v>
      </c>
      <c r="N1376" s="2">
        <f t="shared" si="65"/>
        <v>6.3114893343802547E-2</v>
      </c>
    </row>
    <row r="1377" spans="1:14" x14ac:dyDescent="0.45">
      <c r="A1377" t="s">
        <v>2701</v>
      </c>
      <c r="B1377" s="1">
        <v>45082</v>
      </c>
      <c r="C1377" t="s">
        <v>2702</v>
      </c>
      <c r="D1377" t="s">
        <v>13</v>
      </c>
      <c r="E1377" t="s">
        <v>14</v>
      </c>
      <c r="F1377" t="s">
        <v>15</v>
      </c>
      <c r="G1377">
        <v>1</v>
      </c>
      <c r="H1377">
        <v>15520.22</v>
      </c>
      <c r="I1377">
        <v>3296.34</v>
      </c>
      <c r="J1377" t="s">
        <v>22</v>
      </c>
      <c r="K1377" t="s">
        <v>33</v>
      </c>
      <c r="L1377">
        <f t="shared" si="63"/>
        <v>2023</v>
      </c>
      <c r="M1377" t="str">
        <f t="shared" si="64"/>
        <v>Jun</v>
      </c>
      <c r="N1377" s="2">
        <f t="shared" si="65"/>
        <v>0.21239003055369063</v>
      </c>
    </row>
    <row r="1378" spans="1:14" x14ac:dyDescent="0.45">
      <c r="A1378" t="s">
        <v>2703</v>
      </c>
      <c r="B1378" s="1">
        <v>45064</v>
      </c>
      <c r="C1378" t="s">
        <v>2704</v>
      </c>
      <c r="D1378" t="s">
        <v>26</v>
      </c>
      <c r="E1378" t="s">
        <v>14</v>
      </c>
      <c r="F1378" t="s">
        <v>15</v>
      </c>
      <c r="G1378">
        <v>4</v>
      </c>
      <c r="H1378">
        <v>38914.620000000003</v>
      </c>
      <c r="I1378">
        <v>9238.4699999999993</v>
      </c>
      <c r="J1378" t="s">
        <v>16</v>
      </c>
      <c r="K1378" t="s">
        <v>17</v>
      </c>
      <c r="L1378">
        <f t="shared" si="63"/>
        <v>2023</v>
      </c>
      <c r="M1378" t="str">
        <f t="shared" si="64"/>
        <v>May</v>
      </c>
      <c r="N1378" s="2">
        <f t="shared" si="65"/>
        <v>0.2374035773701503</v>
      </c>
    </row>
    <row r="1379" spans="1:14" x14ac:dyDescent="0.45">
      <c r="A1379" t="s">
        <v>2705</v>
      </c>
      <c r="B1379" s="1">
        <v>45188</v>
      </c>
      <c r="C1379" t="s">
        <v>2706</v>
      </c>
      <c r="D1379" t="s">
        <v>56</v>
      </c>
      <c r="E1379" t="s">
        <v>14</v>
      </c>
      <c r="F1379" t="s">
        <v>57</v>
      </c>
      <c r="G1379">
        <v>4</v>
      </c>
      <c r="H1379">
        <v>2300.34</v>
      </c>
      <c r="I1379">
        <v>320.82</v>
      </c>
      <c r="J1379" t="s">
        <v>47</v>
      </c>
      <c r="K1379" t="s">
        <v>29</v>
      </c>
      <c r="L1379">
        <f t="shared" si="63"/>
        <v>2023</v>
      </c>
      <c r="M1379" t="str">
        <f t="shared" si="64"/>
        <v>Sep</v>
      </c>
      <c r="N1379" s="2">
        <f t="shared" si="65"/>
        <v>0.13946633975847048</v>
      </c>
    </row>
    <row r="1380" spans="1:14" x14ac:dyDescent="0.45">
      <c r="A1380" t="s">
        <v>2707</v>
      </c>
      <c r="B1380" s="1">
        <v>45337</v>
      </c>
      <c r="C1380" t="s">
        <v>2708</v>
      </c>
      <c r="D1380" t="s">
        <v>26</v>
      </c>
      <c r="E1380" t="s">
        <v>14</v>
      </c>
      <c r="F1380" t="s">
        <v>15</v>
      </c>
      <c r="G1380">
        <v>4</v>
      </c>
      <c r="H1380">
        <v>44181.22</v>
      </c>
      <c r="I1380">
        <v>8049.79</v>
      </c>
      <c r="J1380" t="s">
        <v>22</v>
      </c>
      <c r="K1380" t="s">
        <v>29</v>
      </c>
      <c r="L1380">
        <f t="shared" si="63"/>
        <v>2024</v>
      </c>
      <c r="M1380" t="str">
        <f t="shared" si="64"/>
        <v>Feb</v>
      </c>
      <c r="N1380" s="2">
        <f t="shared" si="65"/>
        <v>0.182199359818493</v>
      </c>
    </row>
    <row r="1381" spans="1:14" x14ac:dyDescent="0.45">
      <c r="A1381" t="s">
        <v>2709</v>
      </c>
      <c r="B1381" s="1">
        <v>45411</v>
      </c>
      <c r="C1381" t="s">
        <v>2710</v>
      </c>
      <c r="D1381" t="s">
        <v>56</v>
      </c>
      <c r="E1381" t="s">
        <v>36</v>
      </c>
      <c r="F1381" t="s">
        <v>46</v>
      </c>
      <c r="G1381">
        <v>3</v>
      </c>
      <c r="H1381">
        <v>24623.88</v>
      </c>
      <c r="I1381">
        <v>1504.66</v>
      </c>
      <c r="J1381" t="s">
        <v>16</v>
      </c>
      <c r="K1381" t="s">
        <v>33</v>
      </c>
      <c r="L1381">
        <f t="shared" si="63"/>
        <v>2024</v>
      </c>
      <c r="M1381" t="str">
        <f t="shared" si="64"/>
        <v>Apr</v>
      </c>
      <c r="N1381" s="2">
        <f t="shared" si="65"/>
        <v>6.1105723387215989E-2</v>
      </c>
    </row>
    <row r="1382" spans="1:14" x14ac:dyDescent="0.45">
      <c r="A1382" t="s">
        <v>2711</v>
      </c>
      <c r="B1382" s="1">
        <v>45634</v>
      </c>
      <c r="C1382" t="s">
        <v>2712</v>
      </c>
      <c r="D1382" t="s">
        <v>13</v>
      </c>
      <c r="E1382" t="s">
        <v>36</v>
      </c>
      <c r="F1382" t="s">
        <v>64</v>
      </c>
      <c r="G1382">
        <v>2</v>
      </c>
      <c r="H1382">
        <v>39123.86</v>
      </c>
      <c r="I1382">
        <v>4766.2299999999996</v>
      </c>
      <c r="J1382" t="s">
        <v>16</v>
      </c>
      <c r="K1382" t="s">
        <v>29</v>
      </c>
      <c r="L1382">
        <f t="shared" si="63"/>
        <v>2024</v>
      </c>
      <c r="M1382" t="str">
        <f t="shared" si="64"/>
        <v>Dec</v>
      </c>
      <c r="N1382" s="2">
        <f t="shared" si="65"/>
        <v>0.12182412471571055</v>
      </c>
    </row>
    <row r="1383" spans="1:14" x14ac:dyDescent="0.45">
      <c r="A1383" t="s">
        <v>2713</v>
      </c>
      <c r="B1383" s="1">
        <v>45153</v>
      </c>
      <c r="C1383" t="s">
        <v>2714</v>
      </c>
      <c r="D1383" t="s">
        <v>13</v>
      </c>
      <c r="E1383" t="s">
        <v>20</v>
      </c>
      <c r="F1383" t="s">
        <v>21</v>
      </c>
      <c r="G1383">
        <v>2</v>
      </c>
      <c r="H1383">
        <v>19938.150000000001</v>
      </c>
      <c r="I1383">
        <v>3988.53</v>
      </c>
      <c r="J1383" t="s">
        <v>47</v>
      </c>
      <c r="K1383" t="s">
        <v>17</v>
      </c>
      <c r="L1383">
        <f t="shared" si="63"/>
        <v>2023</v>
      </c>
      <c r="M1383" t="str">
        <f t="shared" si="64"/>
        <v>Aug</v>
      </c>
      <c r="N1383" s="2">
        <f t="shared" si="65"/>
        <v>0.20004513959419504</v>
      </c>
    </row>
    <row r="1384" spans="1:14" x14ac:dyDescent="0.45">
      <c r="A1384" t="s">
        <v>2715</v>
      </c>
      <c r="B1384" s="1">
        <v>45314</v>
      </c>
      <c r="C1384" t="s">
        <v>2716</v>
      </c>
      <c r="D1384" t="s">
        <v>13</v>
      </c>
      <c r="E1384" t="s">
        <v>14</v>
      </c>
      <c r="F1384" t="s">
        <v>15</v>
      </c>
      <c r="G1384">
        <v>3</v>
      </c>
      <c r="H1384">
        <v>21434.880000000001</v>
      </c>
      <c r="I1384">
        <v>1403.07</v>
      </c>
      <c r="J1384" t="s">
        <v>22</v>
      </c>
      <c r="K1384" t="s">
        <v>23</v>
      </c>
      <c r="L1384">
        <f t="shared" si="63"/>
        <v>2024</v>
      </c>
      <c r="M1384" t="str">
        <f t="shared" si="64"/>
        <v>Jan</v>
      </c>
      <c r="N1384" s="2">
        <f t="shared" si="65"/>
        <v>6.545732936223575E-2</v>
      </c>
    </row>
    <row r="1385" spans="1:14" x14ac:dyDescent="0.45">
      <c r="A1385" t="s">
        <v>2717</v>
      </c>
      <c r="B1385" s="1">
        <v>44987</v>
      </c>
      <c r="C1385" t="s">
        <v>2718</v>
      </c>
      <c r="D1385" t="s">
        <v>26</v>
      </c>
      <c r="E1385" t="s">
        <v>14</v>
      </c>
      <c r="F1385" t="s">
        <v>40</v>
      </c>
      <c r="G1385">
        <v>4</v>
      </c>
      <c r="H1385">
        <v>26692.67</v>
      </c>
      <c r="I1385">
        <v>2804.83</v>
      </c>
      <c r="J1385" t="s">
        <v>71</v>
      </c>
      <c r="K1385" t="s">
        <v>29</v>
      </c>
      <c r="L1385">
        <f t="shared" si="63"/>
        <v>2023</v>
      </c>
      <c r="M1385" t="str">
        <f t="shared" si="64"/>
        <v>Mar</v>
      </c>
      <c r="N1385" s="2">
        <f t="shared" si="65"/>
        <v>0.10507866017150028</v>
      </c>
    </row>
    <row r="1386" spans="1:14" x14ac:dyDescent="0.45">
      <c r="A1386" t="s">
        <v>2719</v>
      </c>
      <c r="B1386" s="1">
        <v>44953</v>
      </c>
      <c r="C1386" t="s">
        <v>1814</v>
      </c>
      <c r="D1386" t="s">
        <v>26</v>
      </c>
      <c r="E1386" t="s">
        <v>20</v>
      </c>
      <c r="F1386" t="s">
        <v>50</v>
      </c>
      <c r="G1386">
        <v>3</v>
      </c>
      <c r="H1386">
        <v>6430.11</v>
      </c>
      <c r="I1386">
        <v>749.43</v>
      </c>
      <c r="J1386" t="s">
        <v>71</v>
      </c>
      <c r="K1386" t="s">
        <v>33</v>
      </c>
      <c r="L1386">
        <f t="shared" si="63"/>
        <v>2023</v>
      </c>
      <c r="M1386" t="str">
        <f t="shared" si="64"/>
        <v>Jan</v>
      </c>
      <c r="N1386" s="2">
        <f t="shared" si="65"/>
        <v>0.11655010567470851</v>
      </c>
    </row>
    <row r="1387" spans="1:14" x14ac:dyDescent="0.45">
      <c r="A1387" t="s">
        <v>2720</v>
      </c>
      <c r="B1387" s="1">
        <v>44715</v>
      </c>
      <c r="C1387" t="s">
        <v>2721</v>
      </c>
      <c r="D1387" t="s">
        <v>26</v>
      </c>
      <c r="E1387" t="s">
        <v>14</v>
      </c>
      <c r="F1387" t="s">
        <v>15</v>
      </c>
      <c r="G1387">
        <v>1</v>
      </c>
      <c r="H1387">
        <v>40065.22</v>
      </c>
      <c r="I1387">
        <v>9736.4500000000007</v>
      </c>
      <c r="J1387" t="s">
        <v>22</v>
      </c>
      <c r="K1387" t="s">
        <v>23</v>
      </c>
      <c r="L1387">
        <f t="shared" si="63"/>
        <v>2022</v>
      </c>
      <c r="M1387" t="str">
        <f t="shared" si="64"/>
        <v>Jun</v>
      </c>
      <c r="N1387" s="2">
        <f t="shared" si="65"/>
        <v>0.24301501401964098</v>
      </c>
    </row>
    <row r="1388" spans="1:14" x14ac:dyDescent="0.45">
      <c r="A1388" t="s">
        <v>2722</v>
      </c>
      <c r="B1388" s="1">
        <v>45535</v>
      </c>
      <c r="C1388" t="s">
        <v>2723</v>
      </c>
      <c r="D1388" t="s">
        <v>13</v>
      </c>
      <c r="E1388" t="s">
        <v>20</v>
      </c>
      <c r="F1388" t="s">
        <v>27</v>
      </c>
      <c r="G1388">
        <v>1</v>
      </c>
      <c r="H1388">
        <v>42974.76</v>
      </c>
      <c r="I1388">
        <v>3412.66</v>
      </c>
      <c r="J1388" t="s">
        <v>22</v>
      </c>
      <c r="K1388" t="s">
        <v>29</v>
      </c>
      <c r="L1388">
        <f t="shared" si="63"/>
        <v>2024</v>
      </c>
      <c r="M1388" t="str">
        <f t="shared" si="64"/>
        <v>Aug</v>
      </c>
      <c r="N1388" s="2">
        <f t="shared" si="65"/>
        <v>7.9410798338373501E-2</v>
      </c>
    </row>
    <row r="1389" spans="1:14" x14ac:dyDescent="0.45">
      <c r="A1389" t="s">
        <v>2724</v>
      </c>
      <c r="B1389" s="1">
        <v>44677</v>
      </c>
      <c r="C1389" t="s">
        <v>2725</v>
      </c>
      <c r="D1389" t="s">
        <v>56</v>
      </c>
      <c r="E1389" t="s">
        <v>14</v>
      </c>
      <c r="F1389" t="s">
        <v>15</v>
      </c>
      <c r="G1389">
        <v>5</v>
      </c>
      <c r="H1389">
        <v>6154.33</v>
      </c>
      <c r="I1389">
        <v>795.3</v>
      </c>
      <c r="J1389" t="s">
        <v>16</v>
      </c>
      <c r="K1389" t="s">
        <v>17</v>
      </c>
      <c r="L1389">
        <f t="shared" si="63"/>
        <v>2022</v>
      </c>
      <c r="M1389" t="str">
        <f t="shared" si="64"/>
        <v>Apr</v>
      </c>
      <c r="N1389" s="2">
        <f t="shared" si="65"/>
        <v>0.1292260895987053</v>
      </c>
    </row>
    <row r="1390" spans="1:14" x14ac:dyDescent="0.45">
      <c r="A1390" t="s">
        <v>2726</v>
      </c>
      <c r="B1390" s="1">
        <v>45432</v>
      </c>
      <c r="C1390" t="s">
        <v>2727</v>
      </c>
      <c r="D1390" t="s">
        <v>26</v>
      </c>
      <c r="E1390" t="s">
        <v>14</v>
      </c>
      <c r="F1390" t="s">
        <v>40</v>
      </c>
      <c r="G1390">
        <v>1</v>
      </c>
      <c r="H1390">
        <v>7893.33</v>
      </c>
      <c r="I1390">
        <v>1267.26</v>
      </c>
      <c r="J1390" t="s">
        <v>22</v>
      </c>
      <c r="K1390" t="s">
        <v>23</v>
      </c>
      <c r="L1390">
        <f t="shared" si="63"/>
        <v>2024</v>
      </c>
      <c r="M1390" t="str">
        <f t="shared" si="64"/>
        <v>May</v>
      </c>
      <c r="N1390" s="2">
        <f t="shared" si="65"/>
        <v>0.16054820969096692</v>
      </c>
    </row>
    <row r="1391" spans="1:14" x14ac:dyDescent="0.45">
      <c r="A1391" t="s">
        <v>2728</v>
      </c>
      <c r="B1391" s="1">
        <v>45545</v>
      </c>
      <c r="C1391" t="s">
        <v>2729</v>
      </c>
      <c r="D1391" t="s">
        <v>56</v>
      </c>
      <c r="E1391" t="s">
        <v>36</v>
      </c>
      <c r="F1391" t="s">
        <v>37</v>
      </c>
      <c r="G1391">
        <v>1</v>
      </c>
      <c r="H1391">
        <v>39267.81</v>
      </c>
      <c r="I1391">
        <v>8538</v>
      </c>
      <c r="J1391" t="s">
        <v>47</v>
      </c>
      <c r="K1391" t="s">
        <v>29</v>
      </c>
      <c r="L1391">
        <f t="shared" si="63"/>
        <v>2024</v>
      </c>
      <c r="M1391" t="str">
        <f t="shared" si="64"/>
        <v>Sep</v>
      </c>
      <c r="N1391" s="2">
        <f t="shared" si="65"/>
        <v>0.21743000182592309</v>
      </c>
    </row>
    <row r="1392" spans="1:14" x14ac:dyDescent="0.45">
      <c r="A1392" t="s">
        <v>2730</v>
      </c>
      <c r="B1392" s="1">
        <v>45117</v>
      </c>
      <c r="C1392" t="s">
        <v>2731</v>
      </c>
      <c r="D1392" t="s">
        <v>13</v>
      </c>
      <c r="E1392" t="s">
        <v>20</v>
      </c>
      <c r="F1392" t="s">
        <v>27</v>
      </c>
      <c r="G1392">
        <v>3</v>
      </c>
      <c r="H1392">
        <v>48770.03</v>
      </c>
      <c r="I1392">
        <v>8577.48</v>
      </c>
      <c r="J1392" t="s">
        <v>22</v>
      </c>
      <c r="K1392" t="s">
        <v>33</v>
      </c>
      <c r="L1392">
        <f t="shared" si="63"/>
        <v>2023</v>
      </c>
      <c r="M1392" t="str">
        <f t="shared" si="64"/>
        <v>Jul</v>
      </c>
      <c r="N1392" s="2">
        <f t="shared" si="65"/>
        <v>0.17587604518594718</v>
      </c>
    </row>
    <row r="1393" spans="1:14" x14ac:dyDescent="0.45">
      <c r="A1393" t="s">
        <v>2732</v>
      </c>
      <c r="B1393" s="1">
        <v>45139</v>
      </c>
      <c r="C1393" t="s">
        <v>2733</v>
      </c>
      <c r="D1393" t="s">
        <v>26</v>
      </c>
      <c r="E1393" t="s">
        <v>36</v>
      </c>
      <c r="F1393" t="s">
        <v>37</v>
      </c>
      <c r="G1393">
        <v>3</v>
      </c>
      <c r="H1393">
        <v>7451.94</v>
      </c>
      <c r="I1393">
        <v>1493.4</v>
      </c>
      <c r="J1393" t="s">
        <v>22</v>
      </c>
      <c r="K1393" t="s">
        <v>33</v>
      </c>
      <c r="L1393">
        <f t="shared" si="63"/>
        <v>2023</v>
      </c>
      <c r="M1393" t="str">
        <f t="shared" si="64"/>
        <v>Aug</v>
      </c>
      <c r="N1393" s="2">
        <f t="shared" si="65"/>
        <v>0.20040419004983939</v>
      </c>
    </row>
    <row r="1394" spans="1:14" x14ac:dyDescent="0.45">
      <c r="A1394" t="s">
        <v>2734</v>
      </c>
      <c r="B1394" s="1">
        <v>44849</v>
      </c>
      <c r="C1394" t="s">
        <v>2735</v>
      </c>
      <c r="D1394" t="s">
        <v>26</v>
      </c>
      <c r="E1394" t="s">
        <v>20</v>
      </c>
      <c r="F1394" t="s">
        <v>21</v>
      </c>
      <c r="G1394">
        <v>1</v>
      </c>
      <c r="H1394">
        <v>17710.55</v>
      </c>
      <c r="I1394">
        <v>2726.06</v>
      </c>
      <c r="J1394" t="s">
        <v>16</v>
      </c>
      <c r="K1394" t="s">
        <v>23</v>
      </c>
      <c r="L1394">
        <f t="shared" si="63"/>
        <v>2022</v>
      </c>
      <c r="M1394" t="str">
        <f t="shared" si="64"/>
        <v>Oct</v>
      </c>
      <c r="N1394" s="2">
        <f t="shared" si="65"/>
        <v>0.15392294423380415</v>
      </c>
    </row>
    <row r="1395" spans="1:14" x14ac:dyDescent="0.45">
      <c r="A1395" t="s">
        <v>2736</v>
      </c>
      <c r="B1395" s="1">
        <v>45219</v>
      </c>
      <c r="C1395" t="s">
        <v>2737</v>
      </c>
      <c r="D1395" t="s">
        <v>13</v>
      </c>
      <c r="E1395" t="s">
        <v>20</v>
      </c>
      <c r="F1395" t="s">
        <v>21</v>
      </c>
      <c r="G1395">
        <v>1</v>
      </c>
      <c r="H1395">
        <v>8006.22</v>
      </c>
      <c r="I1395">
        <v>1784.88</v>
      </c>
      <c r="J1395" t="s">
        <v>22</v>
      </c>
      <c r="K1395" t="s">
        <v>33</v>
      </c>
      <c r="L1395">
        <f t="shared" si="63"/>
        <v>2023</v>
      </c>
      <c r="M1395" t="str">
        <f t="shared" si="64"/>
        <v>Oct</v>
      </c>
      <c r="N1395" s="2">
        <f t="shared" si="65"/>
        <v>0.22293666674160842</v>
      </c>
    </row>
    <row r="1396" spans="1:14" x14ac:dyDescent="0.45">
      <c r="A1396" t="s">
        <v>2738</v>
      </c>
      <c r="B1396" s="1">
        <v>44603</v>
      </c>
      <c r="C1396" t="s">
        <v>2739</v>
      </c>
      <c r="D1396" t="s">
        <v>13</v>
      </c>
      <c r="E1396" t="s">
        <v>20</v>
      </c>
      <c r="F1396" t="s">
        <v>43</v>
      </c>
      <c r="G1396">
        <v>1</v>
      </c>
      <c r="H1396">
        <v>34625</v>
      </c>
      <c r="I1396">
        <v>3089.42</v>
      </c>
      <c r="J1396" t="s">
        <v>22</v>
      </c>
      <c r="K1396" t="s">
        <v>29</v>
      </c>
      <c r="L1396">
        <f t="shared" si="63"/>
        <v>2022</v>
      </c>
      <c r="M1396" t="str">
        <f t="shared" si="64"/>
        <v>Feb</v>
      </c>
      <c r="N1396" s="2">
        <f t="shared" si="65"/>
        <v>8.922512635379061E-2</v>
      </c>
    </row>
    <row r="1397" spans="1:14" x14ac:dyDescent="0.45">
      <c r="A1397" t="s">
        <v>2740</v>
      </c>
      <c r="B1397" s="1">
        <v>44702</v>
      </c>
      <c r="C1397" t="s">
        <v>2741</v>
      </c>
      <c r="D1397" t="s">
        <v>26</v>
      </c>
      <c r="E1397" t="s">
        <v>14</v>
      </c>
      <c r="F1397" t="s">
        <v>40</v>
      </c>
      <c r="G1397">
        <v>3</v>
      </c>
      <c r="H1397">
        <v>25208.22</v>
      </c>
      <c r="I1397">
        <v>2601.4699999999998</v>
      </c>
      <c r="J1397" t="s">
        <v>71</v>
      </c>
      <c r="K1397" t="s">
        <v>33</v>
      </c>
      <c r="L1397">
        <f t="shared" si="63"/>
        <v>2022</v>
      </c>
      <c r="M1397" t="str">
        <f t="shared" si="64"/>
        <v>May</v>
      </c>
      <c r="N1397" s="2">
        <f t="shared" si="65"/>
        <v>0.10319927388764458</v>
      </c>
    </row>
    <row r="1398" spans="1:14" x14ac:dyDescent="0.45">
      <c r="A1398" t="s">
        <v>2742</v>
      </c>
      <c r="B1398" s="1">
        <v>45064</v>
      </c>
      <c r="C1398" t="s">
        <v>2743</v>
      </c>
      <c r="D1398" t="s">
        <v>26</v>
      </c>
      <c r="E1398" t="s">
        <v>14</v>
      </c>
      <c r="F1398" t="s">
        <v>32</v>
      </c>
      <c r="G1398">
        <v>4</v>
      </c>
      <c r="H1398">
        <v>35458.019999999997</v>
      </c>
      <c r="I1398">
        <v>4465.82</v>
      </c>
      <c r="J1398" t="s">
        <v>71</v>
      </c>
      <c r="K1398" t="s">
        <v>29</v>
      </c>
      <c r="L1398">
        <f t="shared" si="63"/>
        <v>2023</v>
      </c>
      <c r="M1398" t="str">
        <f t="shared" si="64"/>
        <v>May</v>
      </c>
      <c r="N1398" s="2">
        <f t="shared" si="65"/>
        <v>0.12594668286610478</v>
      </c>
    </row>
    <row r="1399" spans="1:14" x14ac:dyDescent="0.45">
      <c r="A1399" t="s">
        <v>2744</v>
      </c>
      <c r="B1399" s="1">
        <v>45600</v>
      </c>
      <c r="C1399" t="s">
        <v>2708</v>
      </c>
      <c r="D1399" t="s">
        <v>13</v>
      </c>
      <c r="E1399" t="s">
        <v>36</v>
      </c>
      <c r="F1399" t="s">
        <v>37</v>
      </c>
      <c r="G1399">
        <v>2</v>
      </c>
      <c r="H1399">
        <v>18005.87</v>
      </c>
      <c r="I1399">
        <v>3134.58</v>
      </c>
      <c r="J1399" t="s">
        <v>22</v>
      </c>
      <c r="K1399" t="s">
        <v>29</v>
      </c>
      <c r="L1399">
        <f t="shared" si="63"/>
        <v>2024</v>
      </c>
      <c r="M1399" t="str">
        <f t="shared" si="64"/>
        <v>Nov</v>
      </c>
      <c r="N1399" s="2">
        <f t="shared" si="65"/>
        <v>0.1740865617712446</v>
      </c>
    </row>
    <row r="1400" spans="1:14" x14ac:dyDescent="0.45">
      <c r="A1400" t="s">
        <v>2745</v>
      </c>
      <c r="B1400" s="1">
        <v>44766</v>
      </c>
      <c r="C1400" t="s">
        <v>2746</v>
      </c>
      <c r="D1400" t="s">
        <v>56</v>
      </c>
      <c r="E1400" t="s">
        <v>36</v>
      </c>
      <c r="F1400" t="s">
        <v>37</v>
      </c>
      <c r="G1400">
        <v>4</v>
      </c>
      <c r="H1400">
        <v>42240.27</v>
      </c>
      <c r="I1400">
        <v>8571.15</v>
      </c>
      <c r="J1400" t="s">
        <v>71</v>
      </c>
      <c r="K1400" t="s">
        <v>33</v>
      </c>
      <c r="L1400">
        <f t="shared" si="63"/>
        <v>2022</v>
      </c>
      <c r="M1400" t="str">
        <f t="shared" si="64"/>
        <v>Jul</v>
      </c>
      <c r="N1400" s="2">
        <f t="shared" si="65"/>
        <v>0.20291418591784571</v>
      </c>
    </row>
    <row r="1401" spans="1:14" x14ac:dyDescent="0.45">
      <c r="A1401" t="s">
        <v>2747</v>
      </c>
      <c r="B1401" s="1">
        <v>45624</v>
      </c>
      <c r="C1401" t="s">
        <v>2748</v>
      </c>
      <c r="D1401" t="s">
        <v>56</v>
      </c>
      <c r="E1401" t="s">
        <v>36</v>
      </c>
      <c r="F1401" t="s">
        <v>46</v>
      </c>
      <c r="G1401">
        <v>1</v>
      </c>
      <c r="H1401">
        <v>25451.59</v>
      </c>
      <c r="I1401">
        <v>3848.05</v>
      </c>
      <c r="J1401" t="s">
        <v>71</v>
      </c>
      <c r="K1401" t="s">
        <v>33</v>
      </c>
      <c r="L1401">
        <f t="shared" si="63"/>
        <v>2024</v>
      </c>
      <c r="M1401" t="str">
        <f t="shared" si="64"/>
        <v>Nov</v>
      </c>
      <c r="N1401" s="2">
        <f t="shared" si="65"/>
        <v>0.15119094720604881</v>
      </c>
    </row>
    <row r="1402" spans="1:14" x14ac:dyDescent="0.45">
      <c r="A1402" t="s">
        <v>2749</v>
      </c>
      <c r="B1402" s="1">
        <v>45587</v>
      </c>
      <c r="C1402" t="s">
        <v>2750</v>
      </c>
      <c r="D1402" t="s">
        <v>56</v>
      </c>
      <c r="E1402" t="s">
        <v>36</v>
      </c>
      <c r="F1402" t="s">
        <v>53</v>
      </c>
      <c r="G1402">
        <v>3</v>
      </c>
      <c r="H1402">
        <v>49776.67</v>
      </c>
      <c r="I1402">
        <v>10605.94</v>
      </c>
      <c r="J1402" t="s">
        <v>47</v>
      </c>
      <c r="K1402" t="s">
        <v>29</v>
      </c>
      <c r="L1402">
        <f t="shared" si="63"/>
        <v>2024</v>
      </c>
      <c r="M1402" t="str">
        <f t="shared" si="64"/>
        <v>Oct</v>
      </c>
      <c r="N1402" s="2">
        <f t="shared" si="65"/>
        <v>0.21307050069841957</v>
      </c>
    </row>
    <row r="1403" spans="1:14" x14ac:dyDescent="0.45">
      <c r="A1403" t="s">
        <v>2751</v>
      </c>
      <c r="B1403" s="1">
        <v>45496</v>
      </c>
      <c r="C1403" t="s">
        <v>2752</v>
      </c>
      <c r="D1403" t="s">
        <v>56</v>
      </c>
      <c r="E1403" t="s">
        <v>20</v>
      </c>
      <c r="F1403" t="s">
        <v>27</v>
      </c>
      <c r="G1403">
        <v>4</v>
      </c>
      <c r="H1403">
        <v>21314</v>
      </c>
      <c r="I1403">
        <v>4416.6400000000003</v>
      </c>
      <c r="J1403" t="s">
        <v>16</v>
      </c>
      <c r="K1403" t="s">
        <v>33</v>
      </c>
      <c r="L1403">
        <f t="shared" si="63"/>
        <v>2024</v>
      </c>
      <c r="M1403" t="str">
        <f t="shared" si="64"/>
        <v>Jul</v>
      </c>
      <c r="N1403" s="2">
        <f t="shared" si="65"/>
        <v>0.20721779112320543</v>
      </c>
    </row>
    <row r="1404" spans="1:14" x14ac:dyDescent="0.45">
      <c r="A1404" t="s">
        <v>2753</v>
      </c>
      <c r="B1404" s="1">
        <v>45249</v>
      </c>
      <c r="C1404" t="s">
        <v>2754</v>
      </c>
      <c r="D1404" t="s">
        <v>56</v>
      </c>
      <c r="E1404" t="s">
        <v>36</v>
      </c>
      <c r="F1404" t="s">
        <v>53</v>
      </c>
      <c r="G1404">
        <v>2</v>
      </c>
      <c r="H1404">
        <v>36643.22</v>
      </c>
      <c r="I1404">
        <v>6559.33</v>
      </c>
      <c r="J1404" t="s">
        <v>22</v>
      </c>
      <c r="K1404" t="s">
        <v>17</v>
      </c>
      <c r="L1404">
        <f t="shared" si="63"/>
        <v>2023</v>
      </c>
      <c r="M1404" t="str">
        <f t="shared" si="64"/>
        <v>Nov</v>
      </c>
      <c r="N1404" s="2">
        <f t="shared" si="65"/>
        <v>0.17900528392428394</v>
      </c>
    </row>
    <row r="1405" spans="1:14" x14ac:dyDescent="0.45">
      <c r="A1405" t="s">
        <v>2755</v>
      </c>
      <c r="B1405" s="1">
        <v>45491</v>
      </c>
      <c r="C1405" t="s">
        <v>2756</v>
      </c>
      <c r="D1405" t="s">
        <v>56</v>
      </c>
      <c r="E1405" t="s">
        <v>20</v>
      </c>
      <c r="F1405" t="s">
        <v>50</v>
      </c>
      <c r="G1405">
        <v>1</v>
      </c>
      <c r="H1405">
        <v>47074.64</v>
      </c>
      <c r="I1405">
        <v>3589.24</v>
      </c>
      <c r="J1405" t="s">
        <v>16</v>
      </c>
      <c r="K1405" t="s">
        <v>23</v>
      </c>
      <c r="L1405">
        <f t="shared" si="63"/>
        <v>2024</v>
      </c>
      <c r="M1405" t="str">
        <f t="shared" si="64"/>
        <v>Jul</v>
      </c>
      <c r="N1405" s="2">
        <f t="shared" si="65"/>
        <v>7.6245723812226704E-2</v>
      </c>
    </row>
    <row r="1406" spans="1:14" x14ac:dyDescent="0.45">
      <c r="A1406" t="s">
        <v>2757</v>
      </c>
      <c r="B1406" s="1">
        <v>45520</v>
      </c>
      <c r="C1406" t="s">
        <v>2459</v>
      </c>
      <c r="D1406" t="s">
        <v>26</v>
      </c>
      <c r="E1406" t="s">
        <v>20</v>
      </c>
      <c r="F1406" t="s">
        <v>50</v>
      </c>
      <c r="G1406">
        <v>3</v>
      </c>
      <c r="H1406">
        <v>37696.28</v>
      </c>
      <c r="I1406">
        <v>8911.75</v>
      </c>
      <c r="J1406" t="s">
        <v>47</v>
      </c>
      <c r="K1406" t="s">
        <v>23</v>
      </c>
      <c r="L1406">
        <f t="shared" si="63"/>
        <v>2024</v>
      </c>
      <c r="M1406" t="str">
        <f t="shared" si="64"/>
        <v>Aug</v>
      </c>
      <c r="N1406" s="2">
        <f t="shared" si="65"/>
        <v>0.23640926903132087</v>
      </c>
    </row>
    <row r="1407" spans="1:14" x14ac:dyDescent="0.45">
      <c r="A1407" t="s">
        <v>2758</v>
      </c>
      <c r="B1407" s="1">
        <v>45582</v>
      </c>
      <c r="C1407" t="s">
        <v>2759</v>
      </c>
      <c r="D1407" t="s">
        <v>56</v>
      </c>
      <c r="E1407" t="s">
        <v>36</v>
      </c>
      <c r="F1407" t="s">
        <v>37</v>
      </c>
      <c r="G1407">
        <v>5</v>
      </c>
      <c r="H1407">
        <v>43278.97</v>
      </c>
      <c r="I1407">
        <v>10389.280000000001</v>
      </c>
      <c r="J1407" t="s">
        <v>71</v>
      </c>
      <c r="K1407" t="s">
        <v>29</v>
      </c>
      <c r="L1407">
        <f t="shared" si="63"/>
        <v>2024</v>
      </c>
      <c r="M1407" t="str">
        <f t="shared" si="64"/>
        <v>Oct</v>
      </c>
      <c r="N1407" s="2">
        <f t="shared" si="65"/>
        <v>0.24005377207452028</v>
      </c>
    </row>
    <row r="1408" spans="1:14" x14ac:dyDescent="0.45">
      <c r="A1408" t="s">
        <v>2760</v>
      </c>
      <c r="B1408" s="1">
        <v>45258</v>
      </c>
      <c r="C1408" t="s">
        <v>2761</v>
      </c>
      <c r="D1408" t="s">
        <v>56</v>
      </c>
      <c r="E1408" t="s">
        <v>36</v>
      </c>
      <c r="F1408" t="s">
        <v>53</v>
      </c>
      <c r="G1408">
        <v>2</v>
      </c>
      <c r="H1408">
        <v>32711.56</v>
      </c>
      <c r="I1408">
        <v>2389.34</v>
      </c>
      <c r="J1408" t="s">
        <v>22</v>
      </c>
      <c r="K1408" t="s">
        <v>33</v>
      </c>
      <c r="L1408">
        <f t="shared" si="63"/>
        <v>2023</v>
      </c>
      <c r="M1408" t="str">
        <f t="shared" si="64"/>
        <v>Nov</v>
      </c>
      <c r="N1408" s="2">
        <f t="shared" si="65"/>
        <v>7.3042679713226769E-2</v>
      </c>
    </row>
    <row r="1409" spans="1:14" x14ac:dyDescent="0.45">
      <c r="A1409" t="s">
        <v>2762</v>
      </c>
      <c r="B1409" s="1">
        <v>44631</v>
      </c>
      <c r="C1409" t="s">
        <v>2763</v>
      </c>
      <c r="D1409" t="s">
        <v>13</v>
      </c>
      <c r="E1409" t="s">
        <v>14</v>
      </c>
      <c r="F1409" t="s">
        <v>32</v>
      </c>
      <c r="G1409">
        <v>4</v>
      </c>
      <c r="H1409">
        <v>28092.799999999999</v>
      </c>
      <c r="I1409">
        <v>3165.61</v>
      </c>
      <c r="J1409" t="s">
        <v>28</v>
      </c>
      <c r="K1409" t="s">
        <v>17</v>
      </c>
      <c r="L1409">
        <f t="shared" si="63"/>
        <v>2022</v>
      </c>
      <c r="M1409" t="str">
        <f t="shared" si="64"/>
        <v>Mar</v>
      </c>
      <c r="N1409" s="2">
        <f t="shared" si="65"/>
        <v>0.11268403291946692</v>
      </c>
    </row>
    <row r="1410" spans="1:14" x14ac:dyDescent="0.45">
      <c r="A1410" t="s">
        <v>2764</v>
      </c>
      <c r="B1410" s="1">
        <v>44771</v>
      </c>
      <c r="C1410" t="s">
        <v>2765</v>
      </c>
      <c r="D1410" t="s">
        <v>56</v>
      </c>
      <c r="E1410" t="s">
        <v>36</v>
      </c>
      <c r="F1410" t="s">
        <v>37</v>
      </c>
      <c r="G1410">
        <v>1</v>
      </c>
      <c r="H1410">
        <v>11525.49</v>
      </c>
      <c r="I1410">
        <v>1242.8399999999999</v>
      </c>
      <c r="J1410" t="s">
        <v>71</v>
      </c>
      <c r="K1410" t="s">
        <v>23</v>
      </c>
      <c r="L1410">
        <f t="shared" si="63"/>
        <v>2022</v>
      </c>
      <c r="M1410" t="str">
        <f t="shared" si="64"/>
        <v>Jul</v>
      </c>
      <c r="N1410" s="2">
        <f t="shared" si="65"/>
        <v>0.1078340270131682</v>
      </c>
    </row>
    <row r="1411" spans="1:14" x14ac:dyDescent="0.45">
      <c r="A1411" t="s">
        <v>2766</v>
      </c>
      <c r="B1411" s="1">
        <v>44781</v>
      </c>
      <c r="C1411" t="s">
        <v>2767</v>
      </c>
      <c r="D1411" t="s">
        <v>26</v>
      </c>
      <c r="E1411" t="s">
        <v>14</v>
      </c>
      <c r="F1411" t="s">
        <v>32</v>
      </c>
      <c r="G1411">
        <v>1</v>
      </c>
      <c r="H1411">
        <v>41074.480000000003</v>
      </c>
      <c r="I1411">
        <v>3200.66</v>
      </c>
      <c r="J1411" t="s">
        <v>16</v>
      </c>
      <c r="K1411" t="s">
        <v>33</v>
      </c>
      <c r="L1411">
        <f t="shared" ref="L1411:L1474" si="66">YEAR(B1411 )</f>
        <v>2022</v>
      </c>
      <c r="M1411" t="str">
        <f t="shared" ref="M1411:M1474" si="67">TEXT(B1411,"MMM")</f>
        <v>Aug</v>
      </c>
      <c r="N1411" s="2">
        <f t="shared" ref="N1411:N1474" si="68">I1411 / H1411</f>
        <v>7.7923323679325932E-2</v>
      </c>
    </row>
    <row r="1412" spans="1:14" x14ac:dyDescent="0.45">
      <c r="A1412" t="s">
        <v>2768</v>
      </c>
      <c r="B1412" s="1">
        <v>45001</v>
      </c>
      <c r="C1412" t="s">
        <v>2769</v>
      </c>
      <c r="D1412" t="s">
        <v>26</v>
      </c>
      <c r="E1412" t="s">
        <v>14</v>
      </c>
      <c r="F1412" t="s">
        <v>15</v>
      </c>
      <c r="G1412">
        <v>3</v>
      </c>
      <c r="H1412">
        <v>46031.5</v>
      </c>
      <c r="I1412">
        <v>2506.96</v>
      </c>
      <c r="J1412" t="s">
        <v>16</v>
      </c>
      <c r="K1412" t="s">
        <v>29</v>
      </c>
      <c r="L1412">
        <f t="shared" si="66"/>
        <v>2023</v>
      </c>
      <c r="M1412" t="str">
        <f t="shared" si="67"/>
        <v>Mar</v>
      </c>
      <c r="N1412" s="2">
        <f t="shared" si="68"/>
        <v>5.4461835916709209E-2</v>
      </c>
    </row>
    <row r="1413" spans="1:14" x14ac:dyDescent="0.45">
      <c r="A1413" t="s">
        <v>2770</v>
      </c>
      <c r="B1413" s="1">
        <v>45032</v>
      </c>
      <c r="C1413" t="s">
        <v>2771</v>
      </c>
      <c r="D1413" t="s">
        <v>26</v>
      </c>
      <c r="E1413" t="s">
        <v>20</v>
      </c>
      <c r="F1413" t="s">
        <v>43</v>
      </c>
      <c r="G1413">
        <v>2</v>
      </c>
      <c r="H1413">
        <v>42863.95</v>
      </c>
      <c r="I1413">
        <v>5658.12</v>
      </c>
      <c r="J1413" t="s">
        <v>28</v>
      </c>
      <c r="K1413" t="s">
        <v>29</v>
      </c>
      <c r="L1413">
        <f t="shared" si="66"/>
        <v>2023</v>
      </c>
      <c r="M1413" t="str">
        <f t="shared" si="67"/>
        <v>Apr</v>
      </c>
      <c r="N1413" s="2">
        <f t="shared" si="68"/>
        <v>0.13200183370874594</v>
      </c>
    </row>
    <row r="1414" spans="1:14" x14ac:dyDescent="0.45">
      <c r="A1414" t="s">
        <v>2772</v>
      </c>
      <c r="B1414" s="1">
        <v>45173</v>
      </c>
      <c r="C1414" t="s">
        <v>2773</v>
      </c>
      <c r="D1414" t="s">
        <v>13</v>
      </c>
      <c r="E1414" t="s">
        <v>14</v>
      </c>
      <c r="F1414" t="s">
        <v>15</v>
      </c>
      <c r="G1414">
        <v>4</v>
      </c>
      <c r="H1414">
        <v>48796.25</v>
      </c>
      <c r="I1414">
        <v>3172.91</v>
      </c>
      <c r="J1414" t="s">
        <v>71</v>
      </c>
      <c r="K1414" t="s">
        <v>23</v>
      </c>
      <c r="L1414">
        <f t="shared" si="66"/>
        <v>2023</v>
      </c>
      <c r="M1414" t="str">
        <f t="shared" si="67"/>
        <v>Sep</v>
      </c>
      <c r="N1414" s="2">
        <f t="shared" si="68"/>
        <v>6.5023644234956574E-2</v>
      </c>
    </row>
    <row r="1415" spans="1:14" x14ac:dyDescent="0.45">
      <c r="A1415" t="s">
        <v>2774</v>
      </c>
      <c r="B1415" s="1">
        <v>45164</v>
      </c>
      <c r="C1415" t="s">
        <v>2775</v>
      </c>
      <c r="D1415" t="s">
        <v>13</v>
      </c>
      <c r="E1415" t="s">
        <v>14</v>
      </c>
      <c r="F1415" t="s">
        <v>57</v>
      </c>
      <c r="G1415">
        <v>3</v>
      </c>
      <c r="H1415">
        <v>27345.279999999999</v>
      </c>
      <c r="I1415">
        <v>3923.49</v>
      </c>
      <c r="J1415" t="s">
        <v>22</v>
      </c>
      <c r="K1415" t="s">
        <v>33</v>
      </c>
      <c r="L1415">
        <f t="shared" si="66"/>
        <v>2023</v>
      </c>
      <c r="M1415" t="str">
        <f t="shared" si="67"/>
        <v>Aug</v>
      </c>
      <c r="N1415" s="2">
        <f t="shared" si="68"/>
        <v>0.14347960598684673</v>
      </c>
    </row>
    <row r="1416" spans="1:14" x14ac:dyDescent="0.45">
      <c r="A1416" t="s">
        <v>2776</v>
      </c>
      <c r="B1416" s="1">
        <v>44943</v>
      </c>
      <c r="C1416" t="s">
        <v>2777</v>
      </c>
      <c r="D1416" t="s">
        <v>26</v>
      </c>
      <c r="E1416" t="s">
        <v>20</v>
      </c>
      <c r="F1416" t="s">
        <v>21</v>
      </c>
      <c r="G1416">
        <v>3</v>
      </c>
      <c r="H1416">
        <v>25533.94</v>
      </c>
      <c r="I1416">
        <v>5062.51</v>
      </c>
      <c r="J1416" t="s">
        <v>71</v>
      </c>
      <c r="K1416" t="s">
        <v>17</v>
      </c>
      <c r="L1416">
        <f t="shared" si="66"/>
        <v>2023</v>
      </c>
      <c r="M1416" t="str">
        <f t="shared" si="67"/>
        <v>Jan</v>
      </c>
      <c r="N1416" s="2">
        <f t="shared" si="68"/>
        <v>0.19826591587510586</v>
      </c>
    </row>
    <row r="1417" spans="1:14" x14ac:dyDescent="0.45">
      <c r="A1417" t="s">
        <v>2778</v>
      </c>
      <c r="B1417" s="1">
        <v>44756</v>
      </c>
      <c r="C1417" t="s">
        <v>2779</v>
      </c>
      <c r="D1417" t="s">
        <v>13</v>
      </c>
      <c r="E1417" t="s">
        <v>20</v>
      </c>
      <c r="F1417" t="s">
        <v>43</v>
      </c>
      <c r="G1417">
        <v>3</v>
      </c>
      <c r="H1417">
        <v>31435.66</v>
      </c>
      <c r="I1417">
        <v>4358.46</v>
      </c>
      <c r="J1417" t="s">
        <v>28</v>
      </c>
      <c r="K1417" t="s">
        <v>33</v>
      </c>
      <c r="L1417">
        <f t="shared" si="66"/>
        <v>2022</v>
      </c>
      <c r="M1417" t="str">
        <f t="shared" si="67"/>
        <v>Jul</v>
      </c>
      <c r="N1417" s="2">
        <f t="shared" si="68"/>
        <v>0.13864700152629211</v>
      </c>
    </row>
    <row r="1418" spans="1:14" x14ac:dyDescent="0.45">
      <c r="A1418" t="s">
        <v>2780</v>
      </c>
      <c r="B1418" s="1">
        <v>45453</v>
      </c>
      <c r="C1418" t="s">
        <v>2781</v>
      </c>
      <c r="D1418" t="s">
        <v>56</v>
      </c>
      <c r="E1418" t="s">
        <v>20</v>
      </c>
      <c r="F1418" t="s">
        <v>21</v>
      </c>
      <c r="G1418">
        <v>3</v>
      </c>
      <c r="H1418">
        <v>42073.599999999999</v>
      </c>
      <c r="I1418">
        <v>7614.41</v>
      </c>
      <c r="J1418" t="s">
        <v>71</v>
      </c>
      <c r="K1418" t="s">
        <v>29</v>
      </c>
      <c r="L1418">
        <f t="shared" si="66"/>
        <v>2024</v>
      </c>
      <c r="M1418" t="str">
        <f t="shared" si="67"/>
        <v>Jun</v>
      </c>
      <c r="N1418" s="2">
        <f t="shared" si="68"/>
        <v>0.18097833320657133</v>
      </c>
    </row>
    <row r="1419" spans="1:14" x14ac:dyDescent="0.45">
      <c r="A1419" t="s">
        <v>2782</v>
      </c>
      <c r="B1419" s="1">
        <v>45216</v>
      </c>
      <c r="C1419" t="s">
        <v>2783</v>
      </c>
      <c r="D1419" t="s">
        <v>13</v>
      </c>
      <c r="E1419" t="s">
        <v>14</v>
      </c>
      <c r="F1419" t="s">
        <v>32</v>
      </c>
      <c r="G1419">
        <v>2</v>
      </c>
      <c r="H1419">
        <v>18239.89</v>
      </c>
      <c r="I1419">
        <v>2739.48</v>
      </c>
      <c r="J1419" t="s">
        <v>71</v>
      </c>
      <c r="K1419" t="s">
        <v>33</v>
      </c>
      <c r="L1419">
        <f t="shared" si="66"/>
        <v>2023</v>
      </c>
      <c r="M1419" t="str">
        <f t="shared" si="67"/>
        <v>Oct</v>
      </c>
      <c r="N1419" s="2">
        <f t="shared" si="68"/>
        <v>0.15019169523500417</v>
      </c>
    </row>
    <row r="1420" spans="1:14" x14ac:dyDescent="0.45">
      <c r="A1420" t="s">
        <v>2784</v>
      </c>
      <c r="B1420" s="1">
        <v>45037</v>
      </c>
      <c r="C1420" t="s">
        <v>2785</v>
      </c>
      <c r="D1420" t="s">
        <v>13</v>
      </c>
      <c r="E1420" t="s">
        <v>20</v>
      </c>
      <c r="F1420" t="s">
        <v>21</v>
      </c>
      <c r="G1420">
        <v>1</v>
      </c>
      <c r="H1420">
        <v>23998.63</v>
      </c>
      <c r="I1420">
        <v>5243.92</v>
      </c>
      <c r="J1420" t="s">
        <v>22</v>
      </c>
      <c r="K1420" t="s">
        <v>17</v>
      </c>
      <c r="L1420">
        <f t="shared" si="66"/>
        <v>2023</v>
      </c>
      <c r="M1420" t="str">
        <f t="shared" si="67"/>
        <v>Apr</v>
      </c>
      <c r="N1420" s="2">
        <f t="shared" si="68"/>
        <v>0.21850913989673576</v>
      </c>
    </row>
    <row r="1421" spans="1:14" x14ac:dyDescent="0.45">
      <c r="A1421" t="s">
        <v>2786</v>
      </c>
      <c r="B1421" s="1">
        <v>45655</v>
      </c>
      <c r="C1421" t="s">
        <v>2787</v>
      </c>
      <c r="D1421" t="s">
        <v>56</v>
      </c>
      <c r="E1421" t="s">
        <v>14</v>
      </c>
      <c r="F1421" t="s">
        <v>40</v>
      </c>
      <c r="G1421">
        <v>2</v>
      </c>
      <c r="H1421">
        <v>15776.45</v>
      </c>
      <c r="I1421">
        <v>903.01</v>
      </c>
      <c r="J1421" t="s">
        <v>71</v>
      </c>
      <c r="K1421" t="s">
        <v>29</v>
      </c>
      <c r="L1421">
        <f t="shared" si="66"/>
        <v>2024</v>
      </c>
      <c r="M1421" t="str">
        <f t="shared" si="67"/>
        <v>Dec</v>
      </c>
      <c r="N1421" s="2">
        <f t="shared" si="68"/>
        <v>5.7237845015830555E-2</v>
      </c>
    </row>
    <row r="1422" spans="1:14" x14ac:dyDescent="0.45">
      <c r="A1422" t="s">
        <v>2788</v>
      </c>
      <c r="B1422" s="1">
        <v>45452</v>
      </c>
      <c r="C1422" t="s">
        <v>2789</v>
      </c>
      <c r="D1422" t="s">
        <v>26</v>
      </c>
      <c r="E1422" t="s">
        <v>20</v>
      </c>
      <c r="F1422" t="s">
        <v>21</v>
      </c>
      <c r="G1422">
        <v>3</v>
      </c>
      <c r="H1422">
        <v>42124.86</v>
      </c>
      <c r="I1422">
        <v>6386.97</v>
      </c>
      <c r="J1422" t="s">
        <v>47</v>
      </c>
      <c r="K1422" t="s">
        <v>33</v>
      </c>
      <c r="L1422">
        <f t="shared" si="66"/>
        <v>2024</v>
      </c>
      <c r="M1422" t="str">
        <f t="shared" si="67"/>
        <v>Jun</v>
      </c>
      <c r="N1422" s="2">
        <f t="shared" si="68"/>
        <v>0.15161996977556721</v>
      </c>
    </row>
    <row r="1423" spans="1:14" x14ac:dyDescent="0.45">
      <c r="A1423" t="s">
        <v>2790</v>
      </c>
      <c r="B1423" s="1">
        <v>45144</v>
      </c>
      <c r="C1423" t="s">
        <v>2791</v>
      </c>
      <c r="D1423" t="s">
        <v>56</v>
      </c>
      <c r="E1423" t="s">
        <v>14</v>
      </c>
      <c r="F1423" t="s">
        <v>32</v>
      </c>
      <c r="G1423">
        <v>3</v>
      </c>
      <c r="H1423">
        <v>47729.06</v>
      </c>
      <c r="I1423">
        <v>9048.58</v>
      </c>
      <c r="J1423" t="s">
        <v>16</v>
      </c>
      <c r="K1423" t="s">
        <v>17</v>
      </c>
      <c r="L1423">
        <f t="shared" si="66"/>
        <v>2023</v>
      </c>
      <c r="M1423" t="str">
        <f t="shared" si="67"/>
        <v>Aug</v>
      </c>
      <c r="N1423" s="2">
        <f t="shared" si="68"/>
        <v>0.18958219583624736</v>
      </c>
    </row>
    <row r="1424" spans="1:14" x14ac:dyDescent="0.45">
      <c r="A1424" t="s">
        <v>2792</v>
      </c>
      <c r="B1424" s="1">
        <v>45490</v>
      </c>
      <c r="C1424" t="s">
        <v>2793</v>
      </c>
      <c r="D1424" t="s">
        <v>26</v>
      </c>
      <c r="E1424" t="s">
        <v>14</v>
      </c>
      <c r="F1424" t="s">
        <v>15</v>
      </c>
      <c r="G1424">
        <v>5</v>
      </c>
      <c r="H1424">
        <v>8566.2999999999993</v>
      </c>
      <c r="I1424">
        <v>842.63</v>
      </c>
      <c r="J1424" t="s">
        <v>47</v>
      </c>
      <c r="K1424" t="s">
        <v>17</v>
      </c>
      <c r="L1424">
        <f t="shared" si="66"/>
        <v>2024</v>
      </c>
      <c r="M1424" t="str">
        <f t="shared" si="67"/>
        <v>Jul</v>
      </c>
      <c r="N1424" s="2">
        <f t="shared" si="68"/>
        <v>9.8365688803800949E-2</v>
      </c>
    </row>
    <row r="1425" spans="1:14" x14ac:dyDescent="0.45">
      <c r="A1425" t="s">
        <v>2794</v>
      </c>
      <c r="B1425" s="1">
        <v>45330</v>
      </c>
      <c r="C1425" t="s">
        <v>2795</v>
      </c>
      <c r="D1425" t="s">
        <v>56</v>
      </c>
      <c r="E1425" t="s">
        <v>14</v>
      </c>
      <c r="F1425" t="s">
        <v>57</v>
      </c>
      <c r="G1425">
        <v>4</v>
      </c>
      <c r="H1425">
        <v>726.36</v>
      </c>
      <c r="I1425">
        <v>118.37</v>
      </c>
      <c r="J1425" t="s">
        <v>47</v>
      </c>
      <c r="K1425" t="s">
        <v>23</v>
      </c>
      <c r="L1425">
        <f t="shared" si="66"/>
        <v>2024</v>
      </c>
      <c r="M1425" t="str">
        <f t="shared" si="67"/>
        <v>Feb</v>
      </c>
      <c r="N1425" s="2">
        <f t="shared" si="68"/>
        <v>0.16296326890247262</v>
      </c>
    </row>
    <row r="1426" spans="1:14" x14ac:dyDescent="0.45">
      <c r="A1426" t="s">
        <v>2796</v>
      </c>
      <c r="B1426" s="1">
        <v>44871</v>
      </c>
      <c r="C1426" t="s">
        <v>740</v>
      </c>
      <c r="D1426" t="s">
        <v>13</v>
      </c>
      <c r="E1426" t="s">
        <v>36</v>
      </c>
      <c r="F1426" t="s">
        <v>46</v>
      </c>
      <c r="G1426">
        <v>1</v>
      </c>
      <c r="H1426">
        <v>36953.5</v>
      </c>
      <c r="I1426">
        <v>2853.05</v>
      </c>
      <c r="J1426" t="s">
        <v>47</v>
      </c>
      <c r="K1426" t="s">
        <v>33</v>
      </c>
      <c r="L1426">
        <f t="shared" si="66"/>
        <v>2022</v>
      </c>
      <c r="M1426" t="str">
        <f t="shared" si="67"/>
        <v>Nov</v>
      </c>
      <c r="N1426" s="2">
        <f t="shared" si="68"/>
        <v>7.7206489236472872E-2</v>
      </c>
    </row>
    <row r="1427" spans="1:14" x14ac:dyDescent="0.45">
      <c r="A1427" t="s">
        <v>2797</v>
      </c>
      <c r="B1427" s="1">
        <v>45207</v>
      </c>
      <c r="C1427" t="s">
        <v>2798</v>
      </c>
      <c r="D1427" t="s">
        <v>26</v>
      </c>
      <c r="E1427" t="s">
        <v>14</v>
      </c>
      <c r="F1427" t="s">
        <v>40</v>
      </c>
      <c r="G1427">
        <v>3</v>
      </c>
      <c r="H1427">
        <v>10013.36</v>
      </c>
      <c r="I1427">
        <v>788.22</v>
      </c>
      <c r="J1427" t="s">
        <v>16</v>
      </c>
      <c r="K1427" t="s">
        <v>17</v>
      </c>
      <c r="L1427">
        <f t="shared" si="66"/>
        <v>2023</v>
      </c>
      <c r="M1427" t="str">
        <f t="shared" si="67"/>
        <v>Oct</v>
      </c>
      <c r="N1427" s="2">
        <f t="shared" si="68"/>
        <v>7.8716834309362688E-2</v>
      </c>
    </row>
    <row r="1428" spans="1:14" x14ac:dyDescent="0.45">
      <c r="A1428" t="s">
        <v>2799</v>
      </c>
      <c r="B1428" s="1">
        <v>45280</v>
      </c>
      <c r="C1428" t="s">
        <v>2800</v>
      </c>
      <c r="D1428" t="s">
        <v>56</v>
      </c>
      <c r="E1428" t="s">
        <v>36</v>
      </c>
      <c r="F1428" t="s">
        <v>37</v>
      </c>
      <c r="G1428">
        <v>3</v>
      </c>
      <c r="H1428">
        <v>34725.93</v>
      </c>
      <c r="I1428">
        <v>7696.24</v>
      </c>
      <c r="J1428" t="s">
        <v>16</v>
      </c>
      <c r="K1428" t="s">
        <v>17</v>
      </c>
      <c r="L1428">
        <f t="shared" si="66"/>
        <v>2023</v>
      </c>
      <c r="M1428" t="str">
        <f t="shared" si="67"/>
        <v>Dec</v>
      </c>
      <c r="N1428" s="2">
        <f t="shared" si="68"/>
        <v>0.22162804567077107</v>
      </c>
    </row>
    <row r="1429" spans="1:14" x14ac:dyDescent="0.45">
      <c r="A1429" t="s">
        <v>2801</v>
      </c>
      <c r="B1429" s="1">
        <v>45095</v>
      </c>
      <c r="C1429" t="s">
        <v>576</v>
      </c>
      <c r="D1429" t="s">
        <v>13</v>
      </c>
      <c r="E1429" t="s">
        <v>36</v>
      </c>
      <c r="F1429" t="s">
        <v>46</v>
      </c>
      <c r="G1429">
        <v>5</v>
      </c>
      <c r="H1429">
        <v>33016.129999999997</v>
      </c>
      <c r="I1429">
        <v>6820.23</v>
      </c>
      <c r="J1429" t="s">
        <v>28</v>
      </c>
      <c r="K1429" t="s">
        <v>29</v>
      </c>
      <c r="L1429">
        <f t="shared" si="66"/>
        <v>2023</v>
      </c>
      <c r="M1429" t="str">
        <f t="shared" si="67"/>
        <v>Jun</v>
      </c>
      <c r="N1429" s="2">
        <f t="shared" si="68"/>
        <v>0.20657266614833417</v>
      </c>
    </row>
    <row r="1430" spans="1:14" x14ac:dyDescent="0.45">
      <c r="A1430" t="s">
        <v>2802</v>
      </c>
      <c r="B1430" s="1">
        <v>45048</v>
      </c>
      <c r="C1430" t="s">
        <v>2803</v>
      </c>
      <c r="D1430" t="s">
        <v>26</v>
      </c>
      <c r="E1430" t="s">
        <v>20</v>
      </c>
      <c r="F1430" t="s">
        <v>21</v>
      </c>
      <c r="G1430">
        <v>1</v>
      </c>
      <c r="H1430">
        <v>48198.400000000001</v>
      </c>
      <c r="I1430">
        <v>7136.34</v>
      </c>
      <c r="J1430" t="s">
        <v>71</v>
      </c>
      <c r="K1430" t="s">
        <v>33</v>
      </c>
      <c r="L1430">
        <f t="shared" si="66"/>
        <v>2023</v>
      </c>
      <c r="M1430" t="str">
        <f t="shared" si="67"/>
        <v>May</v>
      </c>
      <c r="N1430" s="2">
        <f t="shared" si="68"/>
        <v>0.14806176138627009</v>
      </c>
    </row>
    <row r="1431" spans="1:14" x14ac:dyDescent="0.45">
      <c r="A1431" t="s">
        <v>2804</v>
      </c>
      <c r="B1431" s="1">
        <v>45627</v>
      </c>
      <c r="C1431" t="s">
        <v>931</v>
      </c>
      <c r="D1431" t="s">
        <v>26</v>
      </c>
      <c r="E1431" t="s">
        <v>14</v>
      </c>
      <c r="F1431" t="s">
        <v>15</v>
      </c>
      <c r="G1431">
        <v>2</v>
      </c>
      <c r="H1431">
        <v>9311.61</v>
      </c>
      <c r="I1431">
        <v>2024.26</v>
      </c>
      <c r="J1431" t="s">
        <v>47</v>
      </c>
      <c r="K1431" t="s">
        <v>23</v>
      </c>
      <c r="L1431">
        <f t="shared" si="66"/>
        <v>2024</v>
      </c>
      <c r="M1431" t="str">
        <f t="shared" si="67"/>
        <v>Dec</v>
      </c>
      <c r="N1431" s="2">
        <f t="shared" si="68"/>
        <v>0.21739097750013153</v>
      </c>
    </row>
    <row r="1432" spans="1:14" x14ac:dyDescent="0.45">
      <c r="A1432" t="s">
        <v>2805</v>
      </c>
      <c r="B1432" s="1">
        <v>45147</v>
      </c>
      <c r="C1432" t="s">
        <v>2806</v>
      </c>
      <c r="D1432" t="s">
        <v>26</v>
      </c>
      <c r="E1432" t="s">
        <v>14</v>
      </c>
      <c r="F1432" t="s">
        <v>32</v>
      </c>
      <c r="G1432">
        <v>1</v>
      </c>
      <c r="H1432">
        <v>20680.04</v>
      </c>
      <c r="I1432">
        <v>2295.9499999999998</v>
      </c>
      <c r="J1432" t="s">
        <v>22</v>
      </c>
      <c r="K1432" t="s">
        <v>23</v>
      </c>
      <c r="L1432">
        <f t="shared" si="66"/>
        <v>2023</v>
      </c>
      <c r="M1432" t="str">
        <f t="shared" si="67"/>
        <v>Aug</v>
      </c>
      <c r="N1432" s="2">
        <f t="shared" si="68"/>
        <v>0.11102251252898929</v>
      </c>
    </row>
    <row r="1433" spans="1:14" x14ac:dyDescent="0.45">
      <c r="A1433" t="s">
        <v>2807</v>
      </c>
      <c r="B1433" s="1">
        <v>45207</v>
      </c>
      <c r="C1433" t="s">
        <v>2808</v>
      </c>
      <c r="D1433" t="s">
        <v>26</v>
      </c>
      <c r="E1433" t="s">
        <v>36</v>
      </c>
      <c r="F1433" t="s">
        <v>46</v>
      </c>
      <c r="G1433">
        <v>5</v>
      </c>
      <c r="H1433">
        <v>48147.01</v>
      </c>
      <c r="I1433">
        <v>7023.64</v>
      </c>
      <c r="J1433" t="s">
        <v>71</v>
      </c>
      <c r="K1433" t="s">
        <v>23</v>
      </c>
      <c r="L1433">
        <f t="shared" si="66"/>
        <v>2023</v>
      </c>
      <c r="M1433" t="str">
        <f t="shared" si="67"/>
        <v>Oct</v>
      </c>
      <c r="N1433" s="2">
        <f t="shared" si="68"/>
        <v>0.14587904835627383</v>
      </c>
    </row>
    <row r="1434" spans="1:14" x14ac:dyDescent="0.45">
      <c r="A1434" t="s">
        <v>2809</v>
      </c>
      <c r="B1434" s="1">
        <v>45470</v>
      </c>
      <c r="C1434" t="s">
        <v>2810</v>
      </c>
      <c r="D1434" t="s">
        <v>56</v>
      </c>
      <c r="E1434" t="s">
        <v>20</v>
      </c>
      <c r="F1434" t="s">
        <v>21</v>
      </c>
      <c r="G1434">
        <v>5</v>
      </c>
      <c r="H1434">
        <v>9390.34</v>
      </c>
      <c r="I1434">
        <v>1566.83</v>
      </c>
      <c r="J1434" t="s">
        <v>22</v>
      </c>
      <c r="K1434" t="s">
        <v>17</v>
      </c>
      <c r="L1434">
        <f t="shared" si="66"/>
        <v>2024</v>
      </c>
      <c r="M1434" t="str">
        <f t="shared" si="67"/>
        <v>Jun</v>
      </c>
      <c r="N1434" s="2">
        <f t="shared" si="68"/>
        <v>0.16685551321890368</v>
      </c>
    </row>
    <row r="1435" spans="1:14" x14ac:dyDescent="0.45">
      <c r="A1435" t="s">
        <v>2811</v>
      </c>
      <c r="B1435" s="1">
        <v>45422</v>
      </c>
      <c r="C1435" t="s">
        <v>1892</v>
      </c>
      <c r="D1435" t="s">
        <v>26</v>
      </c>
      <c r="E1435" t="s">
        <v>14</v>
      </c>
      <c r="F1435" t="s">
        <v>15</v>
      </c>
      <c r="G1435">
        <v>1</v>
      </c>
      <c r="H1435">
        <v>13605.94</v>
      </c>
      <c r="I1435">
        <v>2668.5</v>
      </c>
      <c r="J1435" t="s">
        <v>16</v>
      </c>
      <c r="K1435" t="s">
        <v>29</v>
      </c>
      <c r="L1435">
        <f t="shared" si="66"/>
        <v>2024</v>
      </c>
      <c r="M1435" t="str">
        <f t="shared" si="67"/>
        <v>May</v>
      </c>
      <c r="N1435" s="2">
        <f t="shared" si="68"/>
        <v>0.19612757369207859</v>
      </c>
    </row>
    <row r="1436" spans="1:14" x14ac:dyDescent="0.45">
      <c r="A1436" t="s">
        <v>2812</v>
      </c>
      <c r="B1436" s="1">
        <v>45143</v>
      </c>
      <c r="C1436" t="s">
        <v>2813</v>
      </c>
      <c r="D1436" t="s">
        <v>26</v>
      </c>
      <c r="E1436" t="s">
        <v>36</v>
      </c>
      <c r="F1436" t="s">
        <v>37</v>
      </c>
      <c r="G1436">
        <v>3</v>
      </c>
      <c r="H1436">
        <v>868.95</v>
      </c>
      <c r="I1436">
        <v>117.04</v>
      </c>
      <c r="J1436" t="s">
        <v>22</v>
      </c>
      <c r="K1436" t="s">
        <v>23</v>
      </c>
      <c r="L1436">
        <f t="shared" si="66"/>
        <v>2023</v>
      </c>
      <c r="M1436" t="str">
        <f t="shared" si="67"/>
        <v>Aug</v>
      </c>
      <c r="N1436" s="2">
        <f t="shared" si="68"/>
        <v>0.13469129409056907</v>
      </c>
    </row>
    <row r="1437" spans="1:14" x14ac:dyDescent="0.45">
      <c r="A1437" t="s">
        <v>2814</v>
      </c>
      <c r="B1437" s="1">
        <v>45179</v>
      </c>
      <c r="C1437" t="s">
        <v>2815</v>
      </c>
      <c r="D1437" t="s">
        <v>13</v>
      </c>
      <c r="E1437" t="s">
        <v>14</v>
      </c>
      <c r="F1437" t="s">
        <v>40</v>
      </c>
      <c r="G1437">
        <v>3</v>
      </c>
      <c r="H1437">
        <v>37434.9</v>
      </c>
      <c r="I1437">
        <v>5848.17</v>
      </c>
      <c r="J1437" t="s">
        <v>16</v>
      </c>
      <c r="K1437" t="s">
        <v>29</v>
      </c>
      <c r="L1437">
        <f t="shared" si="66"/>
        <v>2023</v>
      </c>
      <c r="M1437" t="str">
        <f t="shared" si="67"/>
        <v>Sep</v>
      </c>
      <c r="N1437" s="2">
        <f t="shared" si="68"/>
        <v>0.15622240209002827</v>
      </c>
    </row>
    <row r="1438" spans="1:14" x14ac:dyDescent="0.45">
      <c r="A1438" t="s">
        <v>2816</v>
      </c>
      <c r="B1438" s="1">
        <v>45283</v>
      </c>
      <c r="C1438" t="s">
        <v>2817</v>
      </c>
      <c r="D1438" t="s">
        <v>26</v>
      </c>
      <c r="E1438" t="s">
        <v>14</v>
      </c>
      <c r="F1438" t="s">
        <v>57</v>
      </c>
      <c r="G1438">
        <v>2</v>
      </c>
      <c r="H1438">
        <v>43759.31</v>
      </c>
      <c r="I1438">
        <v>6023.16</v>
      </c>
      <c r="J1438" t="s">
        <v>28</v>
      </c>
      <c r="K1438" t="s">
        <v>17</v>
      </c>
      <c r="L1438">
        <f t="shared" si="66"/>
        <v>2023</v>
      </c>
      <c r="M1438" t="str">
        <f t="shared" si="67"/>
        <v>Dec</v>
      </c>
      <c r="N1438" s="2">
        <f t="shared" si="68"/>
        <v>0.13764293815418938</v>
      </c>
    </row>
    <row r="1439" spans="1:14" x14ac:dyDescent="0.45">
      <c r="A1439" t="s">
        <v>2818</v>
      </c>
      <c r="B1439" s="1">
        <v>44893</v>
      </c>
      <c r="C1439" t="s">
        <v>2819</v>
      </c>
      <c r="D1439" t="s">
        <v>56</v>
      </c>
      <c r="E1439" t="s">
        <v>20</v>
      </c>
      <c r="F1439" t="s">
        <v>43</v>
      </c>
      <c r="G1439">
        <v>2</v>
      </c>
      <c r="H1439">
        <v>4569.71</v>
      </c>
      <c r="I1439">
        <v>1081.95</v>
      </c>
      <c r="J1439" t="s">
        <v>22</v>
      </c>
      <c r="K1439" t="s">
        <v>33</v>
      </c>
      <c r="L1439">
        <f t="shared" si="66"/>
        <v>2022</v>
      </c>
      <c r="M1439" t="str">
        <f t="shared" si="67"/>
        <v>Nov</v>
      </c>
      <c r="N1439" s="2">
        <f t="shared" si="68"/>
        <v>0.23676557155705724</v>
      </c>
    </row>
    <row r="1440" spans="1:14" x14ac:dyDescent="0.45">
      <c r="A1440" t="s">
        <v>2820</v>
      </c>
      <c r="B1440" s="1">
        <v>45602</v>
      </c>
      <c r="C1440" t="s">
        <v>2821</v>
      </c>
      <c r="D1440" t="s">
        <v>26</v>
      </c>
      <c r="E1440" t="s">
        <v>36</v>
      </c>
      <c r="F1440" t="s">
        <v>46</v>
      </c>
      <c r="G1440">
        <v>3</v>
      </c>
      <c r="H1440">
        <v>25785.15</v>
      </c>
      <c r="I1440">
        <v>5812.74</v>
      </c>
      <c r="J1440" t="s">
        <v>28</v>
      </c>
      <c r="K1440" t="s">
        <v>33</v>
      </c>
      <c r="L1440">
        <f t="shared" si="66"/>
        <v>2024</v>
      </c>
      <c r="M1440" t="str">
        <f t="shared" si="67"/>
        <v>Nov</v>
      </c>
      <c r="N1440" s="2">
        <f t="shared" si="68"/>
        <v>0.2254297531718838</v>
      </c>
    </row>
    <row r="1441" spans="1:14" x14ac:dyDescent="0.45">
      <c r="A1441" t="s">
        <v>2822</v>
      </c>
      <c r="B1441" s="1">
        <v>45033</v>
      </c>
      <c r="C1441" t="s">
        <v>2823</v>
      </c>
      <c r="D1441" t="s">
        <v>13</v>
      </c>
      <c r="E1441" t="s">
        <v>36</v>
      </c>
      <c r="F1441" t="s">
        <v>46</v>
      </c>
      <c r="G1441">
        <v>1</v>
      </c>
      <c r="H1441">
        <v>6553.18</v>
      </c>
      <c r="I1441">
        <v>816.47</v>
      </c>
      <c r="J1441" t="s">
        <v>71</v>
      </c>
      <c r="K1441" t="s">
        <v>29</v>
      </c>
      <c r="L1441">
        <f t="shared" si="66"/>
        <v>2023</v>
      </c>
      <c r="M1441" t="str">
        <f t="shared" si="67"/>
        <v>Apr</v>
      </c>
      <c r="N1441" s="2">
        <f t="shared" si="68"/>
        <v>0.12459141973820344</v>
      </c>
    </row>
    <row r="1442" spans="1:14" x14ac:dyDescent="0.45">
      <c r="A1442" t="s">
        <v>2824</v>
      </c>
      <c r="B1442" s="1">
        <v>45533</v>
      </c>
      <c r="C1442" t="s">
        <v>2825</v>
      </c>
      <c r="D1442" t="s">
        <v>26</v>
      </c>
      <c r="E1442" t="s">
        <v>14</v>
      </c>
      <c r="F1442" t="s">
        <v>40</v>
      </c>
      <c r="G1442">
        <v>3</v>
      </c>
      <c r="H1442">
        <v>11300.75</v>
      </c>
      <c r="I1442">
        <v>1306.2</v>
      </c>
      <c r="J1442" t="s">
        <v>16</v>
      </c>
      <c r="K1442" t="s">
        <v>17</v>
      </c>
      <c r="L1442">
        <f t="shared" si="66"/>
        <v>2024</v>
      </c>
      <c r="M1442" t="str">
        <f t="shared" si="67"/>
        <v>Aug</v>
      </c>
      <c r="N1442" s="2">
        <f t="shared" si="68"/>
        <v>0.11558524876667478</v>
      </c>
    </row>
    <row r="1443" spans="1:14" x14ac:dyDescent="0.45">
      <c r="A1443" t="s">
        <v>2826</v>
      </c>
      <c r="B1443" s="1">
        <v>44827</v>
      </c>
      <c r="C1443" t="s">
        <v>2827</v>
      </c>
      <c r="D1443" t="s">
        <v>26</v>
      </c>
      <c r="E1443" t="s">
        <v>14</v>
      </c>
      <c r="F1443" t="s">
        <v>40</v>
      </c>
      <c r="G1443">
        <v>3</v>
      </c>
      <c r="H1443">
        <v>37134.019999999997</v>
      </c>
      <c r="I1443">
        <v>5281.04</v>
      </c>
      <c r="J1443" t="s">
        <v>47</v>
      </c>
      <c r="K1443" t="s">
        <v>29</v>
      </c>
      <c r="L1443">
        <f t="shared" si="66"/>
        <v>2022</v>
      </c>
      <c r="M1443" t="str">
        <f t="shared" si="67"/>
        <v>Sep</v>
      </c>
      <c r="N1443" s="2">
        <f t="shared" si="68"/>
        <v>0.14221568254662437</v>
      </c>
    </row>
    <row r="1444" spans="1:14" x14ac:dyDescent="0.45">
      <c r="A1444" t="s">
        <v>2828</v>
      </c>
      <c r="B1444" s="1">
        <v>45031</v>
      </c>
      <c r="C1444" t="s">
        <v>333</v>
      </c>
      <c r="D1444" t="s">
        <v>13</v>
      </c>
      <c r="E1444" t="s">
        <v>36</v>
      </c>
      <c r="F1444" t="s">
        <v>53</v>
      </c>
      <c r="G1444">
        <v>3</v>
      </c>
      <c r="H1444">
        <v>19049.29</v>
      </c>
      <c r="I1444">
        <v>1675.02</v>
      </c>
      <c r="J1444" t="s">
        <v>16</v>
      </c>
      <c r="K1444" t="s">
        <v>29</v>
      </c>
      <c r="L1444">
        <f t="shared" si="66"/>
        <v>2023</v>
      </c>
      <c r="M1444" t="str">
        <f t="shared" si="67"/>
        <v>Apr</v>
      </c>
      <c r="N1444" s="2">
        <f t="shared" si="68"/>
        <v>8.7930836267388443E-2</v>
      </c>
    </row>
    <row r="1445" spans="1:14" x14ac:dyDescent="0.45">
      <c r="A1445" t="s">
        <v>2829</v>
      </c>
      <c r="B1445" s="1">
        <v>44799</v>
      </c>
      <c r="C1445" t="s">
        <v>2830</v>
      </c>
      <c r="D1445" t="s">
        <v>26</v>
      </c>
      <c r="E1445" t="s">
        <v>36</v>
      </c>
      <c r="F1445" t="s">
        <v>46</v>
      </c>
      <c r="G1445">
        <v>4</v>
      </c>
      <c r="H1445">
        <v>31680.92</v>
      </c>
      <c r="I1445">
        <v>5333.34</v>
      </c>
      <c r="J1445" t="s">
        <v>22</v>
      </c>
      <c r="K1445" t="s">
        <v>17</v>
      </c>
      <c r="L1445">
        <f t="shared" si="66"/>
        <v>2022</v>
      </c>
      <c r="M1445" t="str">
        <f t="shared" si="67"/>
        <v>Aug</v>
      </c>
      <c r="N1445" s="2">
        <f t="shared" si="68"/>
        <v>0.1683454899668318</v>
      </c>
    </row>
    <row r="1446" spans="1:14" x14ac:dyDescent="0.45">
      <c r="A1446" t="s">
        <v>2831</v>
      </c>
      <c r="B1446" s="1">
        <v>44622</v>
      </c>
      <c r="C1446" t="s">
        <v>2832</v>
      </c>
      <c r="D1446" t="s">
        <v>13</v>
      </c>
      <c r="E1446" t="s">
        <v>20</v>
      </c>
      <c r="F1446" t="s">
        <v>43</v>
      </c>
      <c r="G1446">
        <v>3</v>
      </c>
      <c r="H1446">
        <v>41977.95</v>
      </c>
      <c r="I1446">
        <v>8612.42</v>
      </c>
      <c r="J1446" t="s">
        <v>47</v>
      </c>
      <c r="K1446" t="s">
        <v>17</v>
      </c>
      <c r="L1446">
        <f t="shared" si="66"/>
        <v>2022</v>
      </c>
      <c r="M1446" t="str">
        <f t="shared" si="67"/>
        <v>Mar</v>
      </c>
      <c r="N1446" s="2">
        <f t="shared" si="68"/>
        <v>0.20516533084631339</v>
      </c>
    </row>
    <row r="1447" spans="1:14" x14ac:dyDescent="0.45">
      <c r="A1447" t="s">
        <v>2833</v>
      </c>
      <c r="B1447" s="1">
        <v>44642</v>
      </c>
      <c r="C1447" t="s">
        <v>2834</v>
      </c>
      <c r="D1447" t="s">
        <v>56</v>
      </c>
      <c r="E1447" t="s">
        <v>20</v>
      </c>
      <c r="F1447" t="s">
        <v>43</v>
      </c>
      <c r="G1447">
        <v>2</v>
      </c>
      <c r="H1447">
        <v>3451.95</v>
      </c>
      <c r="I1447">
        <v>330.53</v>
      </c>
      <c r="J1447" t="s">
        <v>28</v>
      </c>
      <c r="K1447" t="s">
        <v>33</v>
      </c>
      <c r="L1447">
        <f t="shared" si="66"/>
        <v>2022</v>
      </c>
      <c r="M1447" t="str">
        <f t="shared" si="67"/>
        <v>Mar</v>
      </c>
      <c r="N1447" s="2">
        <f t="shared" si="68"/>
        <v>9.5751676588594847E-2</v>
      </c>
    </row>
    <row r="1448" spans="1:14" x14ac:dyDescent="0.45">
      <c r="A1448" t="s">
        <v>2835</v>
      </c>
      <c r="B1448" s="1">
        <v>45236</v>
      </c>
      <c r="C1448" t="s">
        <v>2836</v>
      </c>
      <c r="D1448" t="s">
        <v>13</v>
      </c>
      <c r="E1448" t="s">
        <v>20</v>
      </c>
      <c r="F1448" t="s">
        <v>50</v>
      </c>
      <c r="G1448">
        <v>4</v>
      </c>
      <c r="H1448">
        <v>39728.14</v>
      </c>
      <c r="I1448">
        <v>2200.16</v>
      </c>
      <c r="J1448" t="s">
        <v>22</v>
      </c>
      <c r="K1448" t="s">
        <v>23</v>
      </c>
      <c r="L1448">
        <f t="shared" si="66"/>
        <v>2023</v>
      </c>
      <c r="M1448" t="str">
        <f t="shared" si="67"/>
        <v>Nov</v>
      </c>
      <c r="N1448" s="2">
        <f t="shared" si="68"/>
        <v>5.5380392839936628E-2</v>
      </c>
    </row>
    <row r="1449" spans="1:14" x14ac:dyDescent="0.45">
      <c r="A1449" t="s">
        <v>2837</v>
      </c>
      <c r="B1449" s="1">
        <v>44632</v>
      </c>
      <c r="C1449" t="s">
        <v>2838</v>
      </c>
      <c r="D1449" t="s">
        <v>26</v>
      </c>
      <c r="E1449" t="s">
        <v>14</v>
      </c>
      <c r="F1449" t="s">
        <v>57</v>
      </c>
      <c r="G1449">
        <v>2</v>
      </c>
      <c r="H1449">
        <v>21513.24</v>
      </c>
      <c r="I1449">
        <v>4697.78</v>
      </c>
      <c r="J1449" t="s">
        <v>71</v>
      </c>
      <c r="K1449" t="s">
        <v>33</v>
      </c>
      <c r="L1449">
        <f t="shared" si="66"/>
        <v>2022</v>
      </c>
      <c r="M1449" t="str">
        <f t="shared" si="67"/>
        <v>Mar</v>
      </c>
      <c r="N1449" s="2">
        <f t="shared" si="68"/>
        <v>0.21836692195131926</v>
      </c>
    </row>
    <row r="1450" spans="1:14" x14ac:dyDescent="0.45">
      <c r="A1450" t="s">
        <v>2839</v>
      </c>
      <c r="B1450" s="1">
        <v>44866</v>
      </c>
      <c r="C1450" t="s">
        <v>2495</v>
      </c>
      <c r="D1450" t="s">
        <v>13</v>
      </c>
      <c r="E1450" t="s">
        <v>20</v>
      </c>
      <c r="F1450" t="s">
        <v>43</v>
      </c>
      <c r="G1450">
        <v>2</v>
      </c>
      <c r="H1450">
        <v>22083.42</v>
      </c>
      <c r="I1450">
        <v>3201.65</v>
      </c>
      <c r="J1450" t="s">
        <v>28</v>
      </c>
      <c r="K1450" t="s">
        <v>33</v>
      </c>
      <c r="L1450">
        <f t="shared" si="66"/>
        <v>2022</v>
      </c>
      <c r="M1450" t="str">
        <f t="shared" si="67"/>
        <v>Nov</v>
      </c>
      <c r="N1450" s="2">
        <f t="shared" si="68"/>
        <v>0.14497980838112939</v>
      </c>
    </row>
    <row r="1451" spans="1:14" x14ac:dyDescent="0.45">
      <c r="A1451" t="s">
        <v>2840</v>
      </c>
      <c r="B1451" s="1">
        <v>44819</v>
      </c>
      <c r="C1451" t="s">
        <v>2841</v>
      </c>
      <c r="D1451" t="s">
        <v>56</v>
      </c>
      <c r="E1451" t="s">
        <v>14</v>
      </c>
      <c r="F1451" t="s">
        <v>15</v>
      </c>
      <c r="G1451">
        <v>1</v>
      </c>
      <c r="H1451">
        <v>5051.33</v>
      </c>
      <c r="I1451">
        <v>275.83999999999997</v>
      </c>
      <c r="J1451" t="s">
        <v>22</v>
      </c>
      <c r="K1451" t="s">
        <v>29</v>
      </c>
      <c r="L1451">
        <f t="shared" si="66"/>
        <v>2022</v>
      </c>
      <c r="M1451" t="str">
        <f t="shared" si="67"/>
        <v>Sep</v>
      </c>
      <c r="N1451" s="2">
        <f t="shared" si="68"/>
        <v>5.4607400427214216E-2</v>
      </c>
    </row>
    <row r="1452" spans="1:14" x14ac:dyDescent="0.45">
      <c r="A1452" t="s">
        <v>2842</v>
      </c>
      <c r="B1452" s="1">
        <v>44718</v>
      </c>
      <c r="C1452" t="s">
        <v>2843</v>
      </c>
      <c r="D1452" t="s">
        <v>56</v>
      </c>
      <c r="E1452" t="s">
        <v>20</v>
      </c>
      <c r="F1452" t="s">
        <v>43</v>
      </c>
      <c r="G1452">
        <v>1</v>
      </c>
      <c r="H1452">
        <v>20104.97</v>
      </c>
      <c r="I1452">
        <v>4156.46</v>
      </c>
      <c r="J1452" t="s">
        <v>28</v>
      </c>
      <c r="K1452" t="s">
        <v>33</v>
      </c>
      <c r="L1452">
        <f t="shared" si="66"/>
        <v>2022</v>
      </c>
      <c r="M1452" t="str">
        <f t="shared" si="67"/>
        <v>Jun</v>
      </c>
      <c r="N1452" s="2">
        <f t="shared" si="68"/>
        <v>0.20673793594320208</v>
      </c>
    </row>
    <row r="1453" spans="1:14" x14ac:dyDescent="0.45">
      <c r="A1453" t="s">
        <v>2844</v>
      </c>
      <c r="B1453" s="1">
        <v>44798</v>
      </c>
      <c r="C1453" t="s">
        <v>2845</v>
      </c>
      <c r="D1453" t="s">
        <v>13</v>
      </c>
      <c r="E1453" t="s">
        <v>36</v>
      </c>
      <c r="F1453" t="s">
        <v>37</v>
      </c>
      <c r="G1453">
        <v>1</v>
      </c>
      <c r="H1453">
        <v>4282.8500000000004</v>
      </c>
      <c r="I1453">
        <v>616.88</v>
      </c>
      <c r="J1453" t="s">
        <v>71</v>
      </c>
      <c r="K1453" t="s">
        <v>17</v>
      </c>
      <c r="L1453">
        <f t="shared" si="66"/>
        <v>2022</v>
      </c>
      <c r="M1453" t="str">
        <f t="shared" si="67"/>
        <v>Aug</v>
      </c>
      <c r="N1453" s="2">
        <f t="shared" si="68"/>
        <v>0.1440349300115577</v>
      </c>
    </row>
    <row r="1454" spans="1:14" x14ac:dyDescent="0.45">
      <c r="A1454" t="s">
        <v>2846</v>
      </c>
      <c r="B1454" s="1">
        <v>45169</v>
      </c>
      <c r="C1454" t="s">
        <v>2847</v>
      </c>
      <c r="D1454" t="s">
        <v>13</v>
      </c>
      <c r="E1454" t="s">
        <v>36</v>
      </c>
      <c r="F1454" t="s">
        <v>37</v>
      </c>
      <c r="G1454">
        <v>2</v>
      </c>
      <c r="H1454">
        <v>12289.15</v>
      </c>
      <c r="I1454">
        <v>1300.58</v>
      </c>
      <c r="J1454" t="s">
        <v>28</v>
      </c>
      <c r="K1454" t="s">
        <v>23</v>
      </c>
      <c r="L1454">
        <f t="shared" si="66"/>
        <v>2023</v>
      </c>
      <c r="M1454" t="str">
        <f t="shared" si="67"/>
        <v>Aug</v>
      </c>
      <c r="N1454" s="2">
        <f t="shared" si="68"/>
        <v>0.10583156686996252</v>
      </c>
    </row>
    <row r="1455" spans="1:14" x14ac:dyDescent="0.45">
      <c r="A1455" t="s">
        <v>2848</v>
      </c>
      <c r="B1455" s="1">
        <v>45410</v>
      </c>
      <c r="C1455" t="s">
        <v>2849</v>
      </c>
      <c r="D1455" t="s">
        <v>56</v>
      </c>
      <c r="E1455" t="s">
        <v>14</v>
      </c>
      <c r="F1455" t="s">
        <v>32</v>
      </c>
      <c r="G1455">
        <v>5</v>
      </c>
      <c r="H1455">
        <v>23246.43</v>
      </c>
      <c r="I1455">
        <v>2467.9</v>
      </c>
      <c r="J1455" t="s">
        <v>16</v>
      </c>
      <c r="K1455" t="s">
        <v>23</v>
      </c>
      <c r="L1455">
        <f t="shared" si="66"/>
        <v>2024</v>
      </c>
      <c r="M1455" t="str">
        <f t="shared" si="67"/>
        <v>Apr</v>
      </c>
      <c r="N1455" s="2">
        <f t="shared" si="68"/>
        <v>0.10616253764556537</v>
      </c>
    </row>
    <row r="1456" spans="1:14" x14ac:dyDescent="0.45">
      <c r="A1456" t="s">
        <v>2850</v>
      </c>
      <c r="B1456" s="1">
        <v>45509</v>
      </c>
      <c r="C1456" t="s">
        <v>2851</v>
      </c>
      <c r="D1456" t="s">
        <v>56</v>
      </c>
      <c r="E1456" t="s">
        <v>36</v>
      </c>
      <c r="F1456" t="s">
        <v>46</v>
      </c>
      <c r="G1456">
        <v>2</v>
      </c>
      <c r="H1456">
        <v>11831.51</v>
      </c>
      <c r="I1456">
        <v>1776.15</v>
      </c>
      <c r="J1456" t="s">
        <v>47</v>
      </c>
      <c r="K1456" t="s">
        <v>17</v>
      </c>
      <c r="L1456">
        <f t="shared" si="66"/>
        <v>2024</v>
      </c>
      <c r="M1456" t="str">
        <f t="shared" si="67"/>
        <v>Aug</v>
      </c>
      <c r="N1456" s="2">
        <f t="shared" si="68"/>
        <v>0.15012031431321954</v>
      </c>
    </row>
    <row r="1457" spans="1:14" x14ac:dyDescent="0.45">
      <c r="A1457" t="s">
        <v>2852</v>
      </c>
      <c r="B1457" s="1">
        <v>45462</v>
      </c>
      <c r="C1457" t="s">
        <v>2853</v>
      </c>
      <c r="D1457" t="s">
        <v>26</v>
      </c>
      <c r="E1457" t="s">
        <v>14</v>
      </c>
      <c r="F1457" t="s">
        <v>57</v>
      </c>
      <c r="G1457">
        <v>1</v>
      </c>
      <c r="H1457">
        <v>33765.21</v>
      </c>
      <c r="I1457">
        <v>2502.5100000000002</v>
      </c>
      <c r="J1457" t="s">
        <v>47</v>
      </c>
      <c r="K1457" t="s">
        <v>33</v>
      </c>
      <c r="L1457">
        <f t="shared" si="66"/>
        <v>2024</v>
      </c>
      <c r="M1457" t="str">
        <f t="shared" si="67"/>
        <v>Jun</v>
      </c>
      <c r="N1457" s="2">
        <f t="shared" si="68"/>
        <v>7.411504326494639E-2</v>
      </c>
    </row>
    <row r="1458" spans="1:14" x14ac:dyDescent="0.45">
      <c r="A1458" t="s">
        <v>2854</v>
      </c>
      <c r="B1458" s="1">
        <v>45571</v>
      </c>
      <c r="C1458" t="s">
        <v>2855</v>
      </c>
      <c r="D1458" t="s">
        <v>26</v>
      </c>
      <c r="E1458" t="s">
        <v>36</v>
      </c>
      <c r="F1458" t="s">
        <v>37</v>
      </c>
      <c r="G1458">
        <v>1</v>
      </c>
      <c r="H1458">
        <v>30958.31</v>
      </c>
      <c r="I1458">
        <v>5442.1</v>
      </c>
      <c r="J1458" t="s">
        <v>47</v>
      </c>
      <c r="K1458" t="s">
        <v>23</v>
      </c>
      <c r="L1458">
        <f t="shared" si="66"/>
        <v>2024</v>
      </c>
      <c r="M1458" t="str">
        <f t="shared" si="67"/>
        <v>Oct</v>
      </c>
      <c r="N1458" s="2">
        <f t="shared" si="68"/>
        <v>0.1757880194364615</v>
      </c>
    </row>
    <row r="1459" spans="1:14" x14ac:dyDescent="0.45">
      <c r="A1459" t="s">
        <v>2856</v>
      </c>
      <c r="B1459" s="1">
        <v>45134</v>
      </c>
      <c r="C1459" t="s">
        <v>1356</v>
      </c>
      <c r="D1459" t="s">
        <v>13</v>
      </c>
      <c r="E1459" t="s">
        <v>20</v>
      </c>
      <c r="F1459" t="s">
        <v>43</v>
      </c>
      <c r="G1459">
        <v>1</v>
      </c>
      <c r="H1459">
        <v>28153.33</v>
      </c>
      <c r="I1459">
        <v>3087.74</v>
      </c>
      <c r="J1459" t="s">
        <v>71</v>
      </c>
      <c r="K1459" t="s">
        <v>17</v>
      </c>
      <c r="L1459">
        <f t="shared" si="66"/>
        <v>2023</v>
      </c>
      <c r="M1459" t="str">
        <f t="shared" si="67"/>
        <v>Jul</v>
      </c>
      <c r="N1459" s="2">
        <f t="shared" si="68"/>
        <v>0.10967583586026945</v>
      </c>
    </row>
    <row r="1460" spans="1:14" x14ac:dyDescent="0.45">
      <c r="A1460" t="s">
        <v>2857</v>
      </c>
      <c r="B1460" s="1">
        <v>45132</v>
      </c>
      <c r="C1460" t="s">
        <v>2858</v>
      </c>
      <c r="D1460" t="s">
        <v>56</v>
      </c>
      <c r="E1460" t="s">
        <v>20</v>
      </c>
      <c r="F1460" t="s">
        <v>50</v>
      </c>
      <c r="G1460">
        <v>4</v>
      </c>
      <c r="H1460">
        <v>46438.3</v>
      </c>
      <c r="I1460">
        <v>6627.4</v>
      </c>
      <c r="J1460" t="s">
        <v>47</v>
      </c>
      <c r="K1460" t="s">
        <v>29</v>
      </c>
      <c r="L1460">
        <f t="shared" si="66"/>
        <v>2023</v>
      </c>
      <c r="M1460" t="str">
        <f t="shared" si="67"/>
        <v>Jul</v>
      </c>
      <c r="N1460" s="2">
        <f t="shared" si="68"/>
        <v>0.1427140959079036</v>
      </c>
    </row>
    <row r="1461" spans="1:14" x14ac:dyDescent="0.45">
      <c r="A1461" t="s">
        <v>2859</v>
      </c>
      <c r="B1461" s="1">
        <v>45215</v>
      </c>
      <c r="C1461" t="s">
        <v>2860</v>
      </c>
      <c r="D1461" t="s">
        <v>26</v>
      </c>
      <c r="E1461" t="s">
        <v>14</v>
      </c>
      <c r="F1461" t="s">
        <v>15</v>
      </c>
      <c r="G1461">
        <v>5</v>
      </c>
      <c r="H1461">
        <v>14186.87</v>
      </c>
      <c r="I1461">
        <v>2528.3000000000002</v>
      </c>
      <c r="J1461" t="s">
        <v>28</v>
      </c>
      <c r="K1461" t="s">
        <v>33</v>
      </c>
      <c r="L1461">
        <f t="shared" si="66"/>
        <v>2023</v>
      </c>
      <c r="M1461" t="str">
        <f t="shared" si="67"/>
        <v>Oct</v>
      </c>
      <c r="N1461" s="2">
        <f t="shared" si="68"/>
        <v>0.17821408104818046</v>
      </c>
    </row>
    <row r="1462" spans="1:14" x14ac:dyDescent="0.45">
      <c r="A1462" t="s">
        <v>2861</v>
      </c>
      <c r="B1462" s="1">
        <v>45233</v>
      </c>
      <c r="C1462" t="s">
        <v>2862</v>
      </c>
      <c r="D1462" t="s">
        <v>26</v>
      </c>
      <c r="E1462" t="s">
        <v>36</v>
      </c>
      <c r="F1462" t="s">
        <v>64</v>
      </c>
      <c r="G1462">
        <v>5</v>
      </c>
      <c r="H1462">
        <v>49073.71</v>
      </c>
      <c r="I1462">
        <v>3727.07</v>
      </c>
      <c r="J1462" t="s">
        <v>71</v>
      </c>
      <c r="K1462" t="s">
        <v>23</v>
      </c>
      <c r="L1462">
        <f t="shared" si="66"/>
        <v>2023</v>
      </c>
      <c r="M1462" t="str">
        <f t="shared" si="67"/>
        <v>Nov</v>
      </c>
      <c r="N1462" s="2">
        <f t="shared" si="68"/>
        <v>7.5948404960619442E-2</v>
      </c>
    </row>
    <row r="1463" spans="1:14" x14ac:dyDescent="0.45">
      <c r="A1463" t="s">
        <v>2863</v>
      </c>
      <c r="B1463" s="1">
        <v>45104</v>
      </c>
      <c r="C1463" t="s">
        <v>2864</v>
      </c>
      <c r="D1463" t="s">
        <v>26</v>
      </c>
      <c r="E1463" t="s">
        <v>14</v>
      </c>
      <c r="F1463" t="s">
        <v>57</v>
      </c>
      <c r="G1463">
        <v>5</v>
      </c>
      <c r="H1463">
        <v>31183.8</v>
      </c>
      <c r="I1463">
        <v>4662.1000000000004</v>
      </c>
      <c r="J1463" t="s">
        <v>16</v>
      </c>
      <c r="K1463" t="s">
        <v>23</v>
      </c>
      <c r="L1463">
        <f t="shared" si="66"/>
        <v>2023</v>
      </c>
      <c r="M1463" t="str">
        <f t="shared" si="67"/>
        <v>Jun</v>
      </c>
      <c r="N1463" s="2">
        <f t="shared" si="68"/>
        <v>0.1495039090809972</v>
      </c>
    </row>
    <row r="1464" spans="1:14" x14ac:dyDescent="0.45">
      <c r="A1464" t="s">
        <v>2865</v>
      </c>
      <c r="B1464" s="1">
        <v>44629</v>
      </c>
      <c r="C1464" t="s">
        <v>2866</v>
      </c>
      <c r="D1464" t="s">
        <v>56</v>
      </c>
      <c r="E1464" t="s">
        <v>14</v>
      </c>
      <c r="F1464" t="s">
        <v>15</v>
      </c>
      <c r="G1464">
        <v>3</v>
      </c>
      <c r="H1464">
        <v>36915.74</v>
      </c>
      <c r="I1464">
        <v>7379.72</v>
      </c>
      <c r="J1464" t="s">
        <v>28</v>
      </c>
      <c r="K1464" t="s">
        <v>17</v>
      </c>
      <c r="L1464">
        <f t="shared" si="66"/>
        <v>2022</v>
      </c>
      <c r="M1464" t="str">
        <f t="shared" si="67"/>
        <v>Mar</v>
      </c>
      <c r="N1464" s="2">
        <f t="shared" si="68"/>
        <v>0.19990713988125391</v>
      </c>
    </row>
    <row r="1465" spans="1:14" x14ac:dyDescent="0.45">
      <c r="A1465" t="s">
        <v>2867</v>
      </c>
      <c r="B1465" s="1">
        <v>45010</v>
      </c>
      <c r="C1465" t="s">
        <v>2868</v>
      </c>
      <c r="D1465" t="s">
        <v>56</v>
      </c>
      <c r="E1465" t="s">
        <v>20</v>
      </c>
      <c r="F1465" t="s">
        <v>50</v>
      </c>
      <c r="G1465">
        <v>4</v>
      </c>
      <c r="H1465">
        <v>9628.93</v>
      </c>
      <c r="I1465">
        <v>508.71</v>
      </c>
      <c r="J1465" t="s">
        <v>22</v>
      </c>
      <c r="K1465" t="s">
        <v>17</v>
      </c>
      <c r="L1465">
        <f t="shared" si="66"/>
        <v>2023</v>
      </c>
      <c r="M1465" t="str">
        <f t="shared" si="67"/>
        <v>Mar</v>
      </c>
      <c r="N1465" s="2">
        <f t="shared" si="68"/>
        <v>5.2831415328598294E-2</v>
      </c>
    </row>
    <row r="1466" spans="1:14" x14ac:dyDescent="0.45">
      <c r="A1466" t="s">
        <v>2869</v>
      </c>
      <c r="B1466" s="1">
        <v>45173</v>
      </c>
      <c r="C1466" t="s">
        <v>2870</v>
      </c>
      <c r="D1466" t="s">
        <v>13</v>
      </c>
      <c r="E1466" t="s">
        <v>14</v>
      </c>
      <c r="F1466" t="s">
        <v>40</v>
      </c>
      <c r="G1466">
        <v>2</v>
      </c>
      <c r="H1466">
        <v>31547.45</v>
      </c>
      <c r="I1466">
        <v>2464.25</v>
      </c>
      <c r="J1466" t="s">
        <v>71</v>
      </c>
      <c r="K1466" t="s">
        <v>17</v>
      </c>
      <c r="L1466">
        <f t="shared" si="66"/>
        <v>2023</v>
      </c>
      <c r="M1466" t="str">
        <f t="shared" si="67"/>
        <v>Sep</v>
      </c>
      <c r="N1466" s="2">
        <f t="shared" si="68"/>
        <v>7.8112494036760502E-2</v>
      </c>
    </row>
    <row r="1467" spans="1:14" x14ac:dyDescent="0.45">
      <c r="A1467" t="s">
        <v>2871</v>
      </c>
      <c r="B1467" s="1">
        <v>45139</v>
      </c>
      <c r="C1467" t="s">
        <v>1890</v>
      </c>
      <c r="D1467" t="s">
        <v>26</v>
      </c>
      <c r="E1467" t="s">
        <v>14</v>
      </c>
      <c r="F1467" t="s">
        <v>40</v>
      </c>
      <c r="G1467">
        <v>4</v>
      </c>
      <c r="H1467">
        <v>26512.85</v>
      </c>
      <c r="I1467">
        <v>1700.6</v>
      </c>
      <c r="J1467" t="s">
        <v>71</v>
      </c>
      <c r="K1467" t="s">
        <v>29</v>
      </c>
      <c r="L1467">
        <f t="shared" si="66"/>
        <v>2023</v>
      </c>
      <c r="M1467" t="str">
        <f t="shared" si="67"/>
        <v>Aug</v>
      </c>
      <c r="N1467" s="2">
        <f t="shared" si="68"/>
        <v>6.4142481853139144E-2</v>
      </c>
    </row>
    <row r="1468" spans="1:14" x14ac:dyDescent="0.45">
      <c r="A1468" t="s">
        <v>2872</v>
      </c>
      <c r="B1468" s="1">
        <v>45529</v>
      </c>
      <c r="C1468" t="s">
        <v>2873</v>
      </c>
      <c r="D1468" t="s">
        <v>13</v>
      </c>
      <c r="E1468" t="s">
        <v>36</v>
      </c>
      <c r="F1468" t="s">
        <v>37</v>
      </c>
      <c r="G1468">
        <v>1</v>
      </c>
      <c r="H1468">
        <v>36824.269999999997</v>
      </c>
      <c r="I1468">
        <v>6814.68</v>
      </c>
      <c r="J1468" t="s">
        <v>28</v>
      </c>
      <c r="K1468" t="s">
        <v>23</v>
      </c>
      <c r="L1468">
        <f t="shared" si="66"/>
        <v>2024</v>
      </c>
      <c r="M1468" t="str">
        <f t="shared" si="67"/>
        <v>Aug</v>
      </c>
      <c r="N1468" s="2">
        <f t="shared" si="68"/>
        <v>0.18505947300516754</v>
      </c>
    </row>
    <row r="1469" spans="1:14" x14ac:dyDescent="0.45">
      <c r="A1469" t="s">
        <v>2874</v>
      </c>
      <c r="B1469" s="1">
        <v>45087</v>
      </c>
      <c r="C1469" t="s">
        <v>883</v>
      </c>
      <c r="D1469" t="s">
        <v>13</v>
      </c>
      <c r="E1469" t="s">
        <v>36</v>
      </c>
      <c r="F1469" t="s">
        <v>46</v>
      </c>
      <c r="G1469">
        <v>3</v>
      </c>
      <c r="H1469">
        <v>47521.36</v>
      </c>
      <c r="I1469">
        <v>10243.6</v>
      </c>
      <c r="J1469" t="s">
        <v>22</v>
      </c>
      <c r="K1469" t="s">
        <v>33</v>
      </c>
      <c r="L1469">
        <f t="shared" si="66"/>
        <v>2023</v>
      </c>
      <c r="M1469" t="str">
        <f t="shared" si="67"/>
        <v>Jun</v>
      </c>
      <c r="N1469" s="2">
        <f t="shared" si="68"/>
        <v>0.21555780390123516</v>
      </c>
    </row>
    <row r="1470" spans="1:14" x14ac:dyDescent="0.45">
      <c r="A1470" t="s">
        <v>2875</v>
      </c>
      <c r="B1470" s="1">
        <v>44902</v>
      </c>
      <c r="C1470" t="s">
        <v>2876</v>
      </c>
      <c r="D1470" t="s">
        <v>56</v>
      </c>
      <c r="E1470" t="s">
        <v>20</v>
      </c>
      <c r="F1470" t="s">
        <v>50</v>
      </c>
      <c r="G1470">
        <v>4</v>
      </c>
      <c r="H1470">
        <v>43085.120000000003</v>
      </c>
      <c r="I1470">
        <v>8125.44</v>
      </c>
      <c r="J1470" t="s">
        <v>16</v>
      </c>
      <c r="K1470" t="s">
        <v>23</v>
      </c>
      <c r="L1470">
        <f t="shared" si="66"/>
        <v>2022</v>
      </c>
      <c r="M1470" t="str">
        <f t="shared" si="67"/>
        <v>Dec</v>
      </c>
      <c r="N1470" s="2">
        <f t="shared" si="68"/>
        <v>0.18859039965537985</v>
      </c>
    </row>
    <row r="1471" spans="1:14" x14ac:dyDescent="0.45">
      <c r="A1471" t="s">
        <v>2877</v>
      </c>
      <c r="B1471" s="1">
        <v>45417</v>
      </c>
      <c r="C1471" t="s">
        <v>2878</v>
      </c>
      <c r="D1471" t="s">
        <v>26</v>
      </c>
      <c r="E1471" t="s">
        <v>36</v>
      </c>
      <c r="F1471" t="s">
        <v>37</v>
      </c>
      <c r="G1471">
        <v>4</v>
      </c>
      <c r="H1471">
        <v>28998.2</v>
      </c>
      <c r="I1471">
        <v>4051.73</v>
      </c>
      <c r="J1471" t="s">
        <v>28</v>
      </c>
      <c r="K1471" t="s">
        <v>33</v>
      </c>
      <c r="L1471">
        <f t="shared" si="66"/>
        <v>2024</v>
      </c>
      <c r="M1471" t="str">
        <f t="shared" si="67"/>
        <v>May</v>
      </c>
      <c r="N1471" s="2">
        <f t="shared" si="68"/>
        <v>0.13972350007931528</v>
      </c>
    </row>
    <row r="1472" spans="1:14" x14ac:dyDescent="0.45">
      <c r="A1472" t="s">
        <v>2879</v>
      </c>
      <c r="B1472" s="1">
        <v>45263</v>
      </c>
      <c r="C1472" t="s">
        <v>2880</v>
      </c>
      <c r="D1472" t="s">
        <v>56</v>
      </c>
      <c r="E1472" t="s">
        <v>14</v>
      </c>
      <c r="F1472" t="s">
        <v>40</v>
      </c>
      <c r="G1472">
        <v>3</v>
      </c>
      <c r="H1472">
        <v>9701.0499999999993</v>
      </c>
      <c r="I1472">
        <v>1896.4</v>
      </c>
      <c r="J1472" t="s">
        <v>71</v>
      </c>
      <c r="K1472" t="s">
        <v>23</v>
      </c>
      <c r="L1472">
        <f t="shared" si="66"/>
        <v>2023</v>
      </c>
      <c r="M1472" t="str">
        <f t="shared" si="67"/>
        <v>Dec</v>
      </c>
      <c r="N1472" s="2">
        <f t="shared" si="68"/>
        <v>0.19548399400064945</v>
      </c>
    </row>
    <row r="1473" spans="1:14" x14ac:dyDescent="0.45">
      <c r="A1473" t="s">
        <v>2881</v>
      </c>
      <c r="B1473" s="1">
        <v>44634</v>
      </c>
      <c r="C1473" t="s">
        <v>2882</v>
      </c>
      <c r="D1473" t="s">
        <v>13</v>
      </c>
      <c r="E1473" t="s">
        <v>36</v>
      </c>
      <c r="F1473" t="s">
        <v>53</v>
      </c>
      <c r="G1473">
        <v>5</v>
      </c>
      <c r="H1473">
        <v>6705.16</v>
      </c>
      <c r="I1473">
        <v>1403.89</v>
      </c>
      <c r="J1473" t="s">
        <v>28</v>
      </c>
      <c r="K1473" t="s">
        <v>33</v>
      </c>
      <c r="L1473">
        <f t="shared" si="66"/>
        <v>2022</v>
      </c>
      <c r="M1473" t="str">
        <f t="shared" si="67"/>
        <v>Mar</v>
      </c>
      <c r="N1473" s="2">
        <f t="shared" si="68"/>
        <v>0.20937457122574257</v>
      </c>
    </row>
    <row r="1474" spans="1:14" x14ac:dyDescent="0.45">
      <c r="A1474" t="s">
        <v>2883</v>
      </c>
      <c r="B1474" s="1">
        <v>44757</v>
      </c>
      <c r="C1474" t="s">
        <v>2884</v>
      </c>
      <c r="D1474" t="s">
        <v>13</v>
      </c>
      <c r="E1474" t="s">
        <v>36</v>
      </c>
      <c r="F1474" t="s">
        <v>64</v>
      </c>
      <c r="G1474">
        <v>1</v>
      </c>
      <c r="H1474">
        <v>15744.22</v>
      </c>
      <c r="I1474">
        <v>3118.14</v>
      </c>
      <c r="J1474" t="s">
        <v>47</v>
      </c>
      <c r="K1474" t="s">
        <v>33</v>
      </c>
      <c r="L1474">
        <f t="shared" si="66"/>
        <v>2022</v>
      </c>
      <c r="M1474" t="str">
        <f t="shared" si="67"/>
        <v>Jul</v>
      </c>
      <c r="N1474" s="2">
        <f t="shared" si="68"/>
        <v>0.19804982399890245</v>
      </c>
    </row>
    <row r="1475" spans="1:14" x14ac:dyDescent="0.45">
      <c r="A1475" t="s">
        <v>2885</v>
      </c>
      <c r="B1475" s="1">
        <v>44904</v>
      </c>
      <c r="C1475" t="s">
        <v>1212</v>
      </c>
      <c r="D1475" t="s">
        <v>26</v>
      </c>
      <c r="E1475" t="s">
        <v>36</v>
      </c>
      <c r="F1475" t="s">
        <v>46</v>
      </c>
      <c r="G1475">
        <v>5</v>
      </c>
      <c r="H1475">
        <v>35646.050000000003</v>
      </c>
      <c r="I1475">
        <v>3837.4</v>
      </c>
      <c r="J1475" t="s">
        <v>47</v>
      </c>
      <c r="K1475" t="s">
        <v>23</v>
      </c>
      <c r="L1475">
        <f t="shared" ref="L1475:L1538" si="69">YEAR(B1475 )</f>
        <v>2022</v>
      </c>
      <c r="M1475" t="str">
        <f t="shared" ref="M1475:M1538" si="70">TEXT(B1475,"MMM")</f>
        <v>Dec</v>
      </c>
      <c r="N1475" s="2">
        <f t="shared" ref="N1475:N1538" si="71">I1475 / H1475</f>
        <v>0.1076528815955765</v>
      </c>
    </row>
    <row r="1476" spans="1:14" x14ac:dyDescent="0.45">
      <c r="A1476" t="s">
        <v>2886</v>
      </c>
      <c r="B1476" s="1">
        <v>45647</v>
      </c>
      <c r="C1476" t="s">
        <v>2887</v>
      </c>
      <c r="D1476" t="s">
        <v>26</v>
      </c>
      <c r="E1476" t="s">
        <v>14</v>
      </c>
      <c r="F1476" t="s">
        <v>32</v>
      </c>
      <c r="G1476">
        <v>5</v>
      </c>
      <c r="H1476">
        <v>13562.74</v>
      </c>
      <c r="I1476">
        <v>1527.9</v>
      </c>
      <c r="J1476" t="s">
        <v>16</v>
      </c>
      <c r="K1476" t="s">
        <v>17</v>
      </c>
      <c r="L1476">
        <f t="shared" si="69"/>
        <v>2024</v>
      </c>
      <c r="M1476" t="str">
        <f t="shared" si="70"/>
        <v>Dec</v>
      </c>
      <c r="N1476" s="2">
        <f t="shared" si="71"/>
        <v>0.11265422768555618</v>
      </c>
    </row>
    <row r="1477" spans="1:14" x14ac:dyDescent="0.45">
      <c r="A1477" t="s">
        <v>2888</v>
      </c>
      <c r="B1477" s="1">
        <v>45626</v>
      </c>
      <c r="C1477" t="s">
        <v>2889</v>
      </c>
      <c r="D1477" t="s">
        <v>26</v>
      </c>
      <c r="E1477" t="s">
        <v>14</v>
      </c>
      <c r="F1477" t="s">
        <v>32</v>
      </c>
      <c r="G1477">
        <v>5</v>
      </c>
      <c r="H1477">
        <v>15947.57</v>
      </c>
      <c r="I1477">
        <v>3263.87</v>
      </c>
      <c r="J1477" t="s">
        <v>71</v>
      </c>
      <c r="K1477" t="s">
        <v>33</v>
      </c>
      <c r="L1477">
        <f t="shared" si="69"/>
        <v>2024</v>
      </c>
      <c r="M1477" t="str">
        <f t="shared" si="70"/>
        <v>Nov</v>
      </c>
      <c r="N1477" s="2">
        <f t="shared" si="71"/>
        <v>0.20466252852315431</v>
      </c>
    </row>
    <row r="1478" spans="1:14" x14ac:dyDescent="0.45">
      <c r="A1478" t="s">
        <v>2890</v>
      </c>
      <c r="B1478" s="1">
        <v>45090</v>
      </c>
      <c r="C1478" t="s">
        <v>2567</v>
      </c>
      <c r="D1478" t="s">
        <v>26</v>
      </c>
      <c r="E1478" t="s">
        <v>14</v>
      </c>
      <c r="F1478" t="s">
        <v>15</v>
      </c>
      <c r="G1478">
        <v>2</v>
      </c>
      <c r="H1478">
        <v>35620.92</v>
      </c>
      <c r="I1478">
        <v>5051.8599999999997</v>
      </c>
      <c r="J1478" t="s">
        <v>47</v>
      </c>
      <c r="K1478" t="s">
        <v>17</v>
      </c>
      <c r="L1478">
        <f t="shared" si="69"/>
        <v>2023</v>
      </c>
      <c r="M1478" t="str">
        <f t="shared" si="70"/>
        <v>Jun</v>
      </c>
      <c r="N1478" s="2">
        <f t="shared" si="71"/>
        <v>0.14182283893846651</v>
      </c>
    </row>
    <row r="1479" spans="1:14" x14ac:dyDescent="0.45">
      <c r="A1479" t="s">
        <v>2891</v>
      </c>
      <c r="B1479" s="1">
        <v>45454</v>
      </c>
      <c r="C1479" t="s">
        <v>2892</v>
      </c>
      <c r="D1479" t="s">
        <v>56</v>
      </c>
      <c r="E1479" t="s">
        <v>36</v>
      </c>
      <c r="F1479" t="s">
        <v>46</v>
      </c>
      <c r="G1479">
        <v>2</v>
      </c>
      <c r="H1479">
        <v>3930.41</v>
      </c>
      <c r="I1479">
        <v>423.74</v>
      </c>
      <c r="J1479" t="s">
        <v>16</v>
      </c>
      <c r="K1479" t="s">
        <v>23</v>
      </c>
      <c r="L1479">
        <f t="shared" si="69"/>
        <v>2024</v>
      </c>
      <c r="M1479" t="str">
        <f t="shared" si="70"/>
        <v>Jun</v>
      </c>
      <c r="N1479" s="2">
        <f t="shared" si="71"/>
        <v>0.10781063553166209</v>
      </c>
    </row>
    <row r="1480" spans="1:14" x14ac:dyDescent="0.45">
      <c r="A1480" t="s">
        <v>2893</v>
      </c>
      <c r="B1480" s="1">
        <v>45201</v>
      </c>
      <c r="C1480" t="s">
        <v>2894</v>
      </c>
      <c r="D1480" t="s">
        <v>56</v>
      </c>
      <c r="E1480" t="s">
        <v>14</v>
      </c>
      <c r="F1480" t="s">
        <v>40</v>
      </c>
      <c r="G1480">
        <v>2</v>
      </c>
      <c r="H1480">
        <v>32998.480000000003</v>
      </c>
      <c r="I1480">
        <v>6489.41</v>
      </c>
      <c r="J1480" t="s">
        <v>22</v>
      </c>
      <c r="K1480" t="s">
        <v>17</v>
      </c>
      <c r="L1480">
        <f t="shared" si="69"/>
        <v>2023</v>
      </c>
      <c r="M1480" t="str">
        <f t="shared" si="70"/>
        <v>Oct</v>
      </c>
      <c r="N1480" s="2">
        <f t="shared" si="71"/>
        <v>0.19665784605836387</v>
      </c>
    </row>
    <row r="1481" spans="1:14" x14ac:dyDescent="0.45">
      <c r="A1481" t="s">
        <v>2895</v>
      </c>
      <c r="B1481" s="1">
        <v>44604</v>
      </c>
      <c r="C1481" t="s">
        <v>2896</v>
      </c>
      <c r="D1481" t="s">
        <v>13</v>
      </c>
      <c r="E1481" t="s">
        <v>20</v>
      </c>
      <c r="F1481" t="s">
        <v>43</v>
      </c>
      <c r="G1481">
        <v>2</v>
      </c>
      <c r="H1481">
        <v>45253.79</v>
      </c>
      <c r="I1481">
        <v>6149.79</v>
      </c>
      <c r="J1481" t="s">
        <v>16</v>
      </c>
      <c r="K1481" t="s">
        <v>33</v>
      </c>
      <c r="L1481">
        <f t="shared" si="69"/>
        <v>2022</v>
      </c>
      <c r="M1481" t="str">
        <f t="shared" si="70"/>
        <v>Feb</v>
      </c>
      <c r="N1481" s="2">
        <f t="shared" si="71"/>
        <v>0.13589557913270911</v>
      </c>
    </row>
    <row r="1482" spans="1:14" x14ac:dyDescent="0.45">
      <c r="A1482" t="s">
        <v>2897</v>
      </c>
      <c r="B1482" s="1">
        <v>45655</v>
      </c>
      <c r="C1482" t="s">
        <v>2898</v>
      </c>
      <c r="D1482" t="s">
        <v>13</v>
      </c>
      <c r="E1482" t="s">
        <v>20</v>
      </c>
      <c r="F1482" t="s">
        <v>43</v>
      </c>
      <c r="G1482">
        <v>3</v>
      </c>
      <c r="H1482">
        <v>26735.35</v>
      </c>
      <c r="I1482">
        <v>4822.72</v>
      </c>
      <c r="J1482" t="s">
        <v>28</v>
      </c>
      <c r="K1482" t="s">
        <v>23</v>
      </c>
      <c r="L1482">
        <f t="shared" si="69"/>
        <v>2024</v>
      </c>
      <c r="M1482" t="str">
        <f t="shared" si="70"/>
        <v>Dec</v>
      </c>
      <c r="N1482" s="2">
        <f t="shared" si="71"/>
        <v>0.18038738972932841</v>
      </c>
    </row>
    <row r="1483" spans="1:14" x14ac:dyDescent="0.45">
      <c r="A1483" t="s">
        <v>2899</v>
      </c>
      <c r="B1483" s="1">
        <v>44995</v>
      </c>
      <c r="C1483" t="s">
        <v>2900</v>
      </c>
      <c r="D1483" t="s">
        <v>26</v>
      </c>
      <c r="E1483" t="s">
        <v>20</v>
      </c>
      <c r="F1483" t="s">
        <v>43</v>
      </c>
      <c r="G1483">
        <v>4</v>
      </c>
      <c r="H1483">
        <v>11520.75</v>
      </c>
      <c r="I1483">
        <v>1738.55</v>
      </c>
      <c r="J1483" t="s">
        <v>71</v>
      </c>
      <c r="K1483" t="s">
        <v>29</v>
      </c>
      <c r="L1483">
        <f t="shared" si="69"/>
        <v>2023</v>
      </c>
      <c r="M1483" t="str">
        <f t="shared" si="70"/>
        <v>Mar</v>
      </c>
      <c r="N1483" s="2">
        <f t="shared" si="71"/>
        <v>0.15090597400342859</v>
      </c>
    </row>
    <row r="1484" spans="1:14" x14ac:dyDescent="0.45">
      <c r="A1484" t="s">
        <v>2901</v>
      </c>
      <c r="B1484" s="1">
        <v>45025</v>
      </c>
      <c r="C1484" t="s">
        <v>2902</v>
      </c>
      <c r="D1484" t="s">
        <v>13</v>
      </c>
      <c r="E1484" t="s">
        <v>14</v>
      </c>
      <c r="F1484" t="s">
        <v>57</v>
      </c>
      <c r="G1484">
        <v>5</v>
      </c>
      <c r="H1484">
        <v>21749.33</v>
      </c>
      <c r="I1484">
        <v>1849.99</v>
      </c>
      <c r="J1484" t="s">
        <v>47</v>
      </c>
      <c r="K1484" t="s">
        <v>29</v>
      </c>
      <c r="L1484">
        <f t="shared" si="69"/>
        <v>2023</v>
      </c>
      <c r="M1484" t="str">
        <f t="shared" si="70"/>
        <v>Apr</v>
      </c>
      <c r="N1484" s="2">
        <f t="shared" si="71"/>
        <v>8.5059631721988674E-2</v>
      </c>
    </row>
    <row r="1485" spans="1:14" x14ac:dyDescent="0.45">
      <c r="A1485" t="s">
        <v>2903</v>
      </c>
      <c r="B1485" s="1">
        <v>45531</v>
      </c>
      <c r="C1485" t="s">
        <v>1559</v>
      </c>
      <c r="D1485" t="s">
        <v>26</v>
      </c>
      <c r="E1485" t="s">
        <v>20</v>
      </c>
      <c r="F1485" t="s">
        <v>27</v>
      </c>
      <c r="G1485">
        <v>1</v>
      </c>
      <c r="H1485">
        <v>9301.23</v>
      </c>
      <c r="I1485">
        <v>1665.15</v>
      </c>
      <c r="J1485" t="s">
        <v>22</v>
      </c>
      <c r="K1485" t="s">
        <v>33</v>
      </c>
      <c r="L1485">
        <f t="shared" si="69"/>
        <v>2024</v>
      </c>
      <c r="M1485" t="str">
        <f t="shared" si="70"/>
        <v>Aug</v>
      </c>
      <c r="N1485" s="2">
        <f t="shared" si="71"/>
        <v>0.1790247096351773</v>
      </c>
    </row>
    <row r="1486" spans="1:14" x14ac:dyDescent="0.45">
      <c r="A1486" t="s">
        <v>2904</v>
      </c>
      <c r="B1486" s="1">
        <v>44645</v>
      </c>
      <c r="C1486" t="s">
        <v>2905</v>
      </c>
      <c r="D1486" t="s">
        <v>56</v>
      </c>
      <c r="E1486" t="s">
        <v>14</v>
      </c>
      <c r="F1486" t="s">
        <v>15</v>
      </c>
      <c r="G1486">
        <v>3</v>
      </c>
      <c r="H1486">
        <v>42478.32</v>
      </c>
      <c r="I1486">
        <v>2401.9499999999998</v>
      </c>
      <c r="J1486" t="s">
        <v>28</v>
      </c>
      <c r="K1486" t="s">
        <v>29</v>
      </c>
      <c r="L1486">
        <f t="shared" si="69"/>
        <v>2022</v>
      </c>
      <c r="M1486" t="str">
        <f t="shared" si="70"/>
        <v>Mar</v>
      </c>
      <c r="N1486" s="2">
        <f t="shared" si="71"/>
        <v>5.6545315351454573E-2</v>
      </c>
    </row>
    <row r="1487" spans="1:14" x14ac:dyDescent="0.45">
      <c r="A1487" t="s">
        <v>2906</v>
      </c>
      <c r="B1487" s="1">
        <v>44870</v>
      </c>
      <c r="C1487" t="s">
        <v>2907</v>
      </c>
      <c r="D1487" t="s">
        <v>13</v>
      </c>
      <c r="E1487" t="s">
        <v>36</v>
      </c>
      <c r="F1487" t="s">
        <v>53</v>
      </c>
      <c r="G1487">
        <v>3</v>
      </c>
      <c r="H1487">
        <v>36361.71</v>
      </c>
      <c r="I1487">
        <v>7900.11</v>
      </c>
      <c r="J1487" t="s">
        <v>28</v>
      </c>
      <c r="K1487" t="s">
        <v>33</v>
      </c>
      <c r="L1487">
        <f t="shared" si="69"/>
        <v>2022</v>
      </c>
      <c r="M1487" t="str">
        <f t="shared" si="70"/>
        <v>Nov</v>
      </c>
      <c r="N1487" s="2">
        <f t="shared" si="71"/>
        <v>0.21726453458871983</v>
      </c>
    </row>
    <row r="1488" spans="1:14" x14ac:dyDescent="0.45">
      <c r="A1488" t="s">
        <v>2908</v>
      </c>
      <c r="B1488" s="1">
        <v>45007</v>
      </c>
      <c r="C1488" t="s">
        <v>2909</v>
      </c>
      <c r="D1488" t="s">
        <v>56</v>
      </c>
      <c r="E1488" t="s">
        <v>14</v>
      </c>
      <c r="F1488" t="s">
        <v>57</v>
      </c>
      <c r="G1488">
        <v>4</v>
      </c>
      <c r="H1488">
        <v>49709.89</v>
      </c>
      <c r="I1488">
        <v>11003.99</v>
      </c>
      <c r="J1488" t="s">
        <v>71</v>
      </c>
      <c r="K1488" t="s">
        <v>33</v>
      </c>
      <c r="L1488">
        <f t="shared" si="69"/>
        <v>2023</v>
      </c>
      <c r="M1488" t="str">
        <f t="shared" si="70"/>
        <v>Mar</v>
      </c>
      <c r="N1488" s="2">
        <f t="shared" si="71"/>
        <v>0.22136419935751214</v>
      </c>
    </row>
    <row r="1489" spans="1:14" x14ac:dyDescent="0.45">
      <c r="A1489" t="s">
        <v>2910</v>
      </c>
      <c r="B1489" s="1">
        <v>45552</v>
      </c>
      <c r="C1489" t="s">
        <v>2911</v>
      </c>
      <c r="D1489" t="s">
        <v>56</v>
      </c>
      <c r="E1489" t="s">
        <v>20</v>
      </c>
      <c r="F1489" t="s">
        <v>27</v>
      </c>
      <c r="G1489">
        <v>5</v>
      </c>
      <c r="H1489">
        <v>13304.82</v>
      </c>
      <c r="I1489">
        <v>1132.19</v>
      </c>
      <c r="J1489" t="s">
        <v>16</v>
      </c>
      <c r="K1489" t="s">
        <v>23</v>
      </c>
      <c r="L1489">
        <f t="shared" si="69"/>
        <v>2024</v>
      </c>
      <c r="M1489" t="str">
        <f t="shared" si="70"/>
        <v>Sep</v>
      </c>
      <c r="N1489" s="2">
        <f t="shared" si="71"/>
        <v>8.509622828418574E-2</v>
      </c>
    </row>
    <row r="1490" spans="1:14" x14ac:dyDescent="0.45">
      <c r="A1490" t="s">
        <v>2912</v>
      </c>
      <c r="B1490" s="1">
        <v>45154</v>
      </c>
      <c r="C1490" t="s">
        <v>2913</v>
      </c>
      <c r="D1490" t="s">
        <v>26</v>
      </c>
      <c r="E1490" t="s">
        <v>36</v>
      </c>
      <c r="F1490" t="s">
        <v>37</v>
      </c>
      <c r="G1490">
        <v>2</v>
      </c>
      <c r="H1490">
        <v>17784.55</v>
      </c>
      <c r="I1490">
        <v>3920.68</v>
      </c>
      <c r="J1490" t="s">
        <v>16</v>
      </c>
      <c r="K1490" t="s">
        <v>23</v>
      </c>
      <c r="L1490">
        <f t="shared" si="69"/>
        <v>2023</v>
      </c>
      <c r="M1490" t="str">
        <f t="shared" si="70"/>
        <v>Aug</v>
      </c>
      <c r="N1490" s="2">
        <f t="shared" si="71"/>
        <v>0.22045427070125473</v>
      </c>
    </row>
    <row r="1491" spans="1:14" x14ac:dyDescent="0.45">
      <c r="A1491" t="s">
        <v>2914</v>
      </c>
      <c r="B1491" s="1">
        <v>45098</v>
      </c>
      <c r="C1491" t="s">
        <v>2915</v>
      </c>
      <c r="D1491" t="s">
        <v>56</v>
      </c>
      <c r="E1491" t="s">
        <v>36</v>
      </c>
      <c r="F1491" t="s">
        <v>53</v>
      </c>
      <c r="G1491">
        <v>5</v>
      </c>
      <c r="H1491">
        <v>6771.25</v>
      </c>
      <c r="I1491">
        <v>380.41</v>
      </c>
      <c r="J1491" t="s">
        <v>16</v>
      </c>
      <c r="K1491" t="s">
        <v>23</v>
      </c>
      <c r="L1491">
        <f t="shared" si="69"/>
        <v>2023</v>
      </c>
      <c r="M1491" t="str">
        <f t="shared" si="70"/>
        <v>Jun</v>
      </c>
      <c r="N1491" s="2">
        <f t="shared" si="71"/>
        <v>5.6180173527782908E-2</v>
      </c>
    </row>
    <row r="1492" spans="1:14" x14ac:dyDescent="0.45">
      <c r="A1492" t="s">
        <v>2916</v>
      </c>
      <c r="B1492" s="1">
        <v>44865</v>
      </c>
      <c r="C1492" t="s">
        <v>2917</v>
      </c>
      <c r="D1492" t="s">
        <v>56</v>
      </c>
      <c r="E1492" t="s">
        <v>14</v>
      </c>
      <c r="F1492" t="s">
        <v>40</v>
      </c>
      <c r="G1492">
        <v>3</v>
      </c>
      <c r="H1492">
        <v>968.64</v>
      </c>
      <c r="I1492">
        <v>101.39</v>
      </c>
      <c r="J1492" t="s">
        <v>16</v>
      </c>
      <c r="K1492" t="s">
        <v>29</v>
      </c>
      <c r="L1492">
        <f t="shared" si="69"/>
        <v>2022</v>
      </c>
      <c r="M1492" t="str">
        <f t="shared" si="70"/>
        <v>Oct</v>
      </c>
      <c r="N1492" s="2">
        <f t="shared" si="71"/>
        <v>0.10467253055830855</v>
      </c>
    </row>
    <row r="1493" spans="1:14" x14ac:dyDescent="0.45">
      <c r="A1493" t="s">
        <v>2918</v>
      </c>
      <c r="B1493" s="1">
        <v>45648</v>
      </c>
      <c r="C1493" t="s">
        <v>2919</v>
      </c>
      <c r="D1493" t="s">
        <v>13</v>
      </c>
      <c r="E1493" t="s">
        <v>36</v>
      </c>
      <c r="F1493" t="s">
        <v>37</v>
      </c>
      <c r="G1493">
        <v>4</v>
      </c>
      <c r="H1493">
        <v>32938.06</v>
      </c>
      <c r="I1493">
        <v>2978.91</v>
      </c>
      <c r="J1493" t="s">
        <v>47</v>
      </c>
      <c r="K1493" t="s">
        <v>23</v>
      </c>
      <c r="L1493">
        <f t="shared" si="69"/>
        <v>2024</v>
      </c>
      <c r="M1493" t="str">
        <f t="shared" si="70"/>
        <v>Dec</v>
      </c>
      <c r="N1493" s="2">
        <f t="shared" si="71"/>
        <v>9.0439752675172735E-2</v>
      </c>
    </row>
    <row r="1494" spans="1:14" x14ac:dyDescent="0.45">
      <c r="A1494" t="s">
        <v>2920</v>
      </c>
      <c r="B1494" s="1">
        <v>44938</v>
      </c>
      <c r="C1494" t="s">
        <v>2921</v>
      </c>
      <c r="D1494" t="s">
        <v>13</v>
      </c>
      <c r="E1494" t="s">
        <v>36</v>
      </c>
      <c r="F1494" t="s">
        <v>37</v>
      </c>
      <c r="G1494">
        <v>2</v>
      </c>
      <c r="H1494">
        <v>7120.92</v>
      </c>
      <c r="I1494">
        <v>1388.1</v>
      </c>
      <c r="J1494" t="s">
        <v>47</v>
      </c>
      <c r="K1494" t="s">
        <v>29</v>
      </c>
      <c r="L1494">
        <f t="shared" si="69"/>
        <v>2023</v>
      </c>
      <c r="M1494" t="str">
        <f t="shared" si="70"/>
        <v>Jan</v>
      </c>
      <c r="N1494" s="2">
        <f t="shared" si="71"/>
        <v>0.19493267723833435</v>
      </c>
    </row>
    <row r="1495" spans="1:14" x14ac:dyDescent="0.45">
      <c r="A1495" t="s">
        <v>2922</v>
      </c>
      <c r="B1495" s="1">
        <v>45164</v>
      </c>
      <c r="C1495" t="s">
        <v>2923</v>
      </c>
      <c r="D1495" t="s">
        <v>56</v>
      </c>
      <c r="E1495" t="s">
        <v>36</v>
      </c>
      <c r="F1495" t="s">
        <v>53</v>
      </c>
      <c r="G1495">
        <v>4</v>
      </c>
      <c r="H1495">
        <v>23153.71</v>
      </c>
      <c r="I1495">
        <v>5280.94</v>
      </c>
      <c r="J1495" t="s">
        <v>28</v>
      </c>
      <c r="K1495" t="s">
        <v>17</v>
      </c>
      <c r="L1495">
        <f t="shared" si="69"/>
        <v>2023</v>
      </c>
      <c r="M1495" t="str">
        <f t="shared" si="70"/>
        <v>Aug</v>
      </c>
      <c r="N1495" s="2">
        <f t="shared" si="71"/>
        <v>0.22808180632822989</v>
      </c>
    </row>
    <row r="1496" spans="1:14" x14ac:dyDescent="0.45">
      <c r="A1496" t="s">
        <v>2924</v>
      </c>
      <c r="B1496" s="1">
        <v>45415</v>
      </c>
      <c r="C1496" t="s">
        <v>2925</v>
      </c>
      <c r="D1496" t="s">
        <v>13</v>
      </c>
      <c r="E1496" t="s">
        <v>20</v>
      </c>
      <c r="F1496" t="s">
        <v>21</v>
      </c>
      <c r="G1496">
        <v>1</v>
      </c>
      <c r="H1496">
        <v>6634.11</v>
      </c>
      <c r="I1496">
        <v>1323.06</v>
      </c>
      <c r="J1496" t="s">
        <v>71</v>
      </c>
      <c r="K1496" t="s">
        <v>29</v>
      </c>
      <c r="L1496">
        <f t="shared" si="69"/>
        <v>2024</v>
      </c>
      <c r="M1496" t="str">
        <f t="shared" si="70"/>
        <v>May</v>
      </c>
      <c r="N1496" s="2">
        <f t="shared" si="71"/>
        <v>0.19943293071715723</v>
      </c>
    </row>
    <row r="1497" spans="1:14" x14ac:dyDescent="0.45">
      <c r="A1497" t="s">
        <v>2926</v>
      </c>
      <c r="B1497" s="1">
        <v>45248</v>
      </c>
      <c r="C1497" t="s">
        <v>2927</v>
      </c>
      <c r="D1497" t="s">
        <v>13</v>
      </c>
      <c r="E1497" t="s">
        <v>14</v>
      </c>
      <c r="F1497" t="s">
        <v>32</v>
      </c>
      <c r="G1497">
        <v>1</v>
      </c>
      <c r="H1497">
        <v>41209.43</v>
      </c>
      <c r="I1497">
        <v>7471.68</v>
      </c>
      <c r="J1497" t="s">
        <v>16</v>
      </c>
      <c r="K1497" t="s">
        <v>17</v>
      </c>
      <c r="L1497">
        <f t="shared" si="69"/>
        <v>2023</v>
      </c>
      <c r="M1497" t="str">
        <f t="shared" si="70"/>
        <v>Nov</v>
      </c>
      <c r="N1497" s="2">
        <f t="shared" si="71"/>
        <v>0.18130995745391287</v>
      </c>
    </row>
    <row r="1498" spans="1:14" x14ac:dyDescent="0.45">
      <c r="A1498" t="s">
        <v>2928</v>
      </c>
      <c r="B1498" s="1">
        <v>45108</v>
      </c>
      <c r="C1498" t="s">
        <v>2929</v>
      </c>
      <c r="D1498" t="s">
        <v>13</v>
      </c>
      <c r="E1498" t="s">
        <v>36</v>
      </c>
      <c r="F1498" t="s">
        <v>64</v>
      </c>
      <c r="G1498">
        <v>1</v>
      </c>
      <c r="H1498">
        <v>34242.53</v>
      </c>
      <c r="I1498">
        <v>4384.18</v>
      </c>
      <c r="J1498" t="s">
        <v>28</v>
      </c>
      <c r="K1498" t="s">
        <v>33</v>
      </c>
      <c r="L1498">
        <f t="shared" si="69"/>
        <v>2023</v>
      </c>
      <c r="M1498" t="str">
        <f t="shared" si="70"/>
        <v>Jul</v>
      </c>
      <c r="N1498" s="2">
        <f t="shared" si="71"/>
        <v>0.12803317979132969</v>
      </c>
    </row>
    <row r="1499" spans="1:14" x14ac:dyDescent="0.45">
      <c r="A1499" t="s">
        <v>2930</v>
      </c>
      <c r="B1499" s="1">
        <v>45325</v>
      </c>
      <c r="C1499" t="s">
        <v>2931</v>
      </c>
      <c r="D1499" t="s">
        <v>56</v>
      </c>
      <c r="E1499" t="s">
        <v>36</v>
      </c>
      <c r="F1499" t="s">
        <v>53</v>
      </c>
      <c r="G1499">
        <v>5</v>
      </c>
      <c r="H1499">
        <v>38970.129999999997</v>
      </c>
      <c r="I1499">
        <v>4110.75</v>
      </c>
      <c r="J1499" t="s">
        <v>28</v>
      </c>
      <c r="K1499" t="s">
        <v>23</v>
      </c>
      <c r="L1499">
        <f t="shared" si="69"/>
        <v>2024</v>
      </c>
      <c r="M1499" t="str">
        <f t="shared" si="70"/>
        <v>Feb</v>
      </c>
      <c r="N1499" s="2">
        <f t="shared" si="71"/>
        <v>0.10548463656651903</v>
      </c>
    </row>
    <row r="1500" spans="1:14" x14ac:dyDescent="0.45">
      <c r="A1500" t="s">
        <v>2932</v>
      </c>
      <c r="B1500" s="1">
        <v>44794</v>
      </c>
      <c r="C1500" t="s">
        <v>383</v>
      </c>
      <c r="D1500" t="s">
        <v>13</v>
      </c>
      <c r="E1500" t="s">
        <v>36</v>
      </c>
      <c r="F1500" t="s">
        <v>64</v>
      </c>
      <c r="G1500">
        <v>3</v>
      </c>
      <c r="H1500">
        <v>12533.02</v>
      </c>
      <c r="I1500">
        <v>921.29</v>
      </c>
      <c r="J1500" t="s">
        <v>47</v>
      </c>
      <c r="K1500" t="s">
        <v>33</v>
      </c>
      <c r="L1500">
        <f t="shared" si="69"/>
        <v>2022</v>
      </c>
      <c r="M1500" t="str">
        <f t="shared" si="70"/>
        <v>Aug</v>
      </c>
      <c r="N1500" s="2">
        <f t="shared" si="71"/>
        <v>7.3509018576528237E-2</v>
      </c>
    </row>
    <row r="1501" spans="1:14" x14ac:dyDescent="0.45">
      <c r="A1501" t="s">
        <v>2933</v>
      </c>
      <c r="B1501" s="1">
        <v>45194</v>
      </c>
      <c r="C1501" t="s">
        <v>2934</v>
      </c>
      <c r="D1501" t="s">
        <v>56</v>
      </c>
      <c r="E1501" t="s">
        <v>14</v>
      </c>
      <c r="F1501" t="s">
        <v>40</v>
      </c>
      <c r="G1501">
        <v>2</v>
      </c>
      <c r="H1501">
        <v>24471.42</v>
      </c>
      <c r="I1501">
        <v>2745.17</v>
      </c>
      <c r="J1501" t="s">
        <v>47</v>
      </c>
      <c r="K1501" t="s">
        <v>17</v>
      </c>
      <c r="L1501">
        <f t="shared" si="69"/>
        <v>2023</v>
      </c>
      <c r="M1501" t="str">
        <f t="shared" si="70"/>
        <v>Sep</v>
      </c>
      <c r="N1501" s="2">
        <f t="shared" si="71"/>
        <v>0.11217861489034965</v>
      </c>
    </row>
    <row r="1502" spans="1:14" x14ac:dyDescent="0.45">
      <c r="A1502" t="s">
        <v>2935</v>
      </c>
      <c r="B1502" s="1">
        <v>45224</v>
      </c>
      <c r="C1502" t="s">
        <v>2936</v>
      </c>
      <c r="D1502" t="s">
        <v>13</v>
      </c>
      <c r="E1502" t="s">
        <v>36</v>
      </c>
      <c r="F1502" t="s">
        <v>37</v>
      </c>
      <c r="G1502">
        <v>2</v>
      </c>
      <c r="H1502">
        <v>4438.3</v>
      </c>
      <c r="I1502">
        <v>486.48</v>
      </c>
      <c r="J1502" t="s">
        <v>16</v>
      </c>
      <c r="K1502" t="s">
        <v>23</v>
      </c>
      <c r="L1502">
        <f t="shared" si="69"/>
        <v>2023</v>
      </c>
      <c r="M1502" t="str">
        <f t="shared" si="70"/>
        <v>Oct</v>
      </c>
      <c r="N1502" s="2">
        <f t="shared" si="71"/>
        <v>0.10960953518238965</v>
      </c>
    </row>
    <row r="1503" spans="1:14" x14ac:dyDescent="0.45">
      <c r="A1503" t="s">
        <v>2937</v>
      </c>
      <c r="B1503" s="1">
        <v>45398</v>
      </c>
      <c r="C1503" t="s">
        <v>2938</v>
      </c>
      <c r="D1503" t="s">
        <v>13</v>
      </c>
      <c r="E1503" t="s">
        <v>36</v>
      </c>
      <c r="F1503" t="s">
        <v>37</v>
      </c>
      <c r="G1503">
        <v>2</v>
      </c>
      <c r="H1503">
        <v>21664.69</v>
      </c>
      <c r="I1503">
        <v>3061.6</v>
      </c>
      <c r="J1503" t="s">
        <v>16</v>
      </c>
      <c r="K1503" t="s">
        <v>23</v>
      </c>
      <c r="L1503">
        <f t="shared" si="69"/>
        <v>2024</v>
      </c>
      <c r="M1503" t="str">
        <f t="shared" si="70"/>
        <v>Apr</v>
      </c>
      <c r="N1503" s="2">
        <f t="shared" si="71"/>
        <v>0.14131750788956593</v>
      </c>
    </row>
    <row r="1504" spans="1:14" x14ac:dyDescent="0.45">
      <c r="A1504" t="s">
        <v>2939</v>
      </c>
      <c r="B1504" s="1">
        <v>45048</v>
      </c>
      <c r="C1504" t="s">
        <v>2940</v>
      </c>
      <c r="D1504" t="s">
        <v>56</v>
      </c>
      <c r="E1504" t="s">
        <v>14</v>
      </c>
      <c r="F1504" t="s">
        <v>32</v>
      </c>
      <c r="G1504">
        <v>1</v>
      </c>
      <c r="H1504">
        <v>10015.27</v>
      </c>
      <c r="I1504">
        <v>1373.96</v>
      </c>
      <c r="J1504" t="s">
        <v>71</v>
      </c>
      <c r="K1504" t="s">
        <v>33</v>
      </c>
      <c r="L1504">
        <f t="shared" si="69"/>
        <v>2023</v>
      </c>
      <c r="M1504" t="str">
        <f t="shared" si="70"/>
        <v>May</v>
      </c>
      <c r="N1504" s="2">
        <f t="shared" si="71"/>
        <v>0.1371865161897782</v>
      </c>
    </row>
    <row r="1505" spans="1:14" x14ac:dyDescent="0.45">
      <c r="A1505" t="s">
        <v>2941</v>
      </c>
      <c r="B1505" s="1">
        <v>44982</v>
      </c>
      <c r="C1505" t="s">
        <v>2509</v>
      </c>
      <c r="D1505" t="s">
        <v>13</v>
      </c>
      <c r="E1505" t="s">
        <v>36</v>
      </c>
      <c r="F1505" t="s">
        <v>46</v>
      </c>
      <c r="G1505">
        <v>3</v>
      </c>
      <c r="H1505">
        <v>40603.46</v>
      </c>
      <c r="I1505">
        <v>8451.16</v>
      </c>
      <c r="J1505" t="s">
        <v>71</v>
      </c>
      <c r="K1505" t="s">
        <v>33</v>
      </c>
      <c r="L1505">
        <f t="shared" si="69"/>
        <v>2023</v>
      </c>
      <c r="M1505" t="str">
        <f t="shared" si="70"/>
        <v>Feb</v>
      </c>
      <c r="N1505" s="2">
        <f t="shared" si="71"/>
        <v>0.20813891229959219</v>
      </c>
    </row>
    <row r="1506" spans="1:14" x14ac:dyDescent="0.45">
      <c r="A1506" t="s">
        <v>2942</v>
      </c>
      <c r="B1506" s="1">
        <v>44985</v>
      </c>
      <c r="C1506" t="s">
        <v>2943</v>
      </c>
      <c r="D1506" t="s">
        <v>13</v>
      </c>
      <c r="E1506" t="s">
        <v>36</v>
      </c>
      <c r="F1506" t="s">
        <v>37</v>
      </c>
      <c r="G1506">
        <v>4</v>
      </c>
      <c r="H1506">
        <v>17303.23</v>
      </c>
      <c r="I1506">
        <v>2023.73</v>
      </c>
      <c r="J1506" t="s">
        <v>28</v>
      </c>
      <c r="K1506" t="s">
        <v>29</v>
      </c>
      <c r="L1506">
        <f t="shared" si="69"/>
        <v>2023</v>
      </c>
      <c r="M1506" t="str">
        <f t="shared" si="70"/>
        <v>Feb</v>
      </c>
      <c r="N1506" s="2">
        <f t="shared" si="71"/>
        <v>0.11695677627818621</v>
      </c>
    </row>
    <row r="1507" spans="1:14" x14ac:dyDescent="0.45">
      <c r="A1507" t="s">
        <v>2944</v>
      </c>
      <c r="B1507" s="1">
        <v>45583</v>
      </c>
      <c r="C1507" t="s">
        <v>2945</v>
      </c>
      <c r="D1507" t="s">
        <v>26</v>
      </c>
      <c r="E1507" t="s">
        <v>20</v>
      </c>
      <c r="F1507" t="s">
        <v>27</v>
      </c>
      <c r="G1507">
        <v>3</v>
      </c>
      <c r="H1507">
        <v>2055.8000000000002</v>
      </c>
      <c r="I1507">
        <v>282.31</v>
      </c>
      <c r="J1507" t="s">
        <v>47</v>
      </c>
      <c r="K1507" t="s">
        <v>23</v>
      </c>
      <c r="L1507">
        <f t="shared" si="69"/>
        <v>2024</v>
      </c>
      <c r="M1507" t="str">
        <f t="shared" si="70"/>
        <v>Oct</v>
      </c>
      <c r="N1507" s="2">
        <f t="shared" si="71"/>
        <v>0.13732366961766707</v>
      </c>
    </row>
    <row r="1508" spans="1:14" x14ac:dyDescent="0.45">
      <c r="A1508" t="s">
        <v>2946</v>
      </c>
      <c r="B1508" s="1">
        <v>45403</v>
      </c>
      <c r="C1508" t="s">
        <v>2947</v>
      </c>
      <c r="D1508" t="s">
        <v>13</v>
      </c>
      <c r="E1508" t="s">
        <v>20</v>
      </c>
      <c r="F1508" t="s">
        <v>21</v>
      </c>
      <c r="G1508">
        <v>4</v>
      </c>
      <c r="H1508">
        <v>41175.4</v>
      </c>
      <c r="I1508">
        <v>2368.21</v>
      </c>
      <c r="J1508" t="s">
        <v>47</v>
      </c>
      <c r="K1508" t="s">
        <v>29</v>
      </c>
      <c r="L1508">
        <f t="shared" si="69"/>
        <v>2024</v>
      </c>
      <c r="M1508" t="str">
        <f t="shared" si="70"/>
        <v>Apr</v>
      </c>
      <c r="N1508" s="2">
        <f t="shared" si="71"/>
        <v>5.7515166822908824E-2</v>
      </c>
    </row>
    <row r="1509" spans="1:14" x14ac:dyDescent="0.45">
      <c r="A1509" t="s">
        <v>2948</v>
      </c>
      <c r="B1509" s="1">
        <v>45162</v>
      </c>
      <c r="C1509" t="s">
        <v>2949</v>
      </c>
      <c r="D1509" t="s">
        <v>13</v>
      </c>
      <c r="E1509" t="s">
        <v>14</v>
      </c>
      <c r="F1509" t="s">
        <v>15</v>
      </c>
      <c r="G1509">
        <v>2</v>
      </c>
      <c r="H1509">
        <v>41107.54</v>
      </c>
      <c r="I1509">
        <v>2768.09</v>
      </c>
      <c r="J1509" t="s">
        <v>16</v>
      </c>
      <c r="K1509" t="s">
        <v>33</v>
      </c>
      <c r="L1509">
        <f t="shared" si="69"/>
        <v>2023</v>
      </c>
      <c r="M1509" t="str">
        <f t="shared" si="70"/>
        <v>Aug</v>
      </c>
      <c r="N1509" s="2">
        <f t="shared" si="71"/>
        <v>6.7337768205054355E-2</v>
      </c>
    </row>
    <row r="1510" spans="1:14" x14ac:dyDescent="0.45">
      <c r="A1510" t="s">
        <v>2950</v>
      </c>
      <c r="B1510" s="1">
        <v>45072</v>
      </c>
      <c r="C1510" t="s">
        <v>2951</v>
      </c>
      <c r="D1510" t="s">
        <v>56</v>
      </c>
      <c r="E1510" t="s">
        <v>36</v>
      </c>
      <c r="F1510" t="s">
        <v>46</v>
      </c>
      <c r="G1510">
        <v>2</v>
      </c>
      <c r="H1510">
        <v>15283.48</v>
      </c>
      <c r="I1510">
        <v>1519.45</v>
      </c>
      <c r="J1510" t="s">
        <v>16</v>
      </c>
      <c r="K1510" t="s">
        <v>23</v>
      </c>
      <c r="L1510">
        <f t="shared" si="69"/>
        <v>2023</v>
      </c>
      <c r="M1510" t="str">
        <f t="shared" si="70"/>
        <v>May</v>
      </c>
      <c r="N1510" s="2">
        <f t="shared" si="71"/>
        <v>9.9417802751729317E-2</v>
      </c>
    </row>
    <row r="1511" spans="1:14" x14ac:dyDescent="0.45">
      <c r="A1511" t="s">
        <v>2952</v>
      </c>
      <c r="B1511" s="1">
        <v>45196</v>
      </c>
      <c r="C1511" t="s">
        <v>2953</v>
      </c>
      <c r="D1511" t="s">
        <v>13</v>
      </c>
      <c r="E1511" t="s">
        <v>36</v>
      </c>
      <c r="F1511" t="s">
        <v>46</v>
      </c>
      <c r="G1511">
        <v>1</v>
      </c>
      <c r="H1511">
        <v>14612.24</v>
      </c>
      <c r="I1511">
        <v>2655.46</v>
      </c>
      <c r="J1511" t="s">
        <v>71</v>
      </c>
      <c r="K1511" t="s">
        <v>33</v>
      </c>
      <c r="L1511">
        <f t="shared" si="69"/>
        <v>2023</v>
      </c>
      <c r="M1511" t="str">
        <f t="shared" si="70"/>
        <v>Sep</v>
      </c>
      <c r="N1511" s="2">
        <f t="shared" si="71"/>
        <v>0.18172846873579959</v>
      </c>
    </row>
    <row r="1512" spans="1:14" x14ac:dyDescent="0.45">
      <c r="A1512" t="s">
        <v>2954</v>
      </c>
      <c r="B1512" s="1">
        <v>44728</v>
      </c>
      <c r="C1512" t="s">
        <v>2955</v>
      </c>
      <c r="D1512" t="s">
        <v>56</v>
      </c>
      <c r="E1512" t="s">
        <v>36</v>
      </c>
      <c r="F1512" t="s">
        <v>37</v>
      </c>
      <c r="G1512">
        <v>4</v>
      </c>
      <c r="H1512">
        <v>18383.330000000002</v>
      </c>
      <c r="I1512">
        <v>3056.51</v>
      </c>
      <c r="J1512" t="s">
        <v>71</v>
      </c>
      <c r="K1512" t="s">
        <v>33</v>
      </c>
      <c r="L1512">
        <f t="shared" si="69"/>
        <v>2022</v>
      </c>
      <c r="M1512" t="str">
        <f t="shared" si="70"/>
        <v>Jun</v>
      </c>
      <c r="N1512" s="2">
        <f t="shared" si="71"/>
        <v>0.16626530666642006</v>
      </c>
    </row>
    <row r="1513" spans="1:14" x14ac:dyDescent="0.45">
      <c r="A1513" t="s">
        <v>2956</v>
      </c>
      <c r="B1513" s="1">
        <v>44715</v>
      </c>
      <c r="C1513" t="s">
        <v>2957</v>
      </c>
      <c r="D1513" t="s">
        <v>56</v>
      </c>
      <c r="E1513" t="s">
        <v>20</v>
      </c>
      <c r="F1513" t="s">
        <v>43</v>
      </c>
      <c r="G1513">
        <v>5</v>
      </c>
      <c r="H1513">
        <v>43966.85</v>
      </c>
      <c r="I1513">
        <v>5272.84</v>
      </c>
      <c r="J1513" t="s">
        <v>47</v>
      </c>
      <c r="K1513" t="s">
        <v>23</v>
      </c>
      <c r="L1513">
        <f t="shared" si="69"/>
        <v>2022</v>
      </c>
      <c r="M1513" t="str">
        <f t="shared" si="70"/>
        <v>Jun</v>
      </c>
      <c r="N1513" s="2">
        <f t="shared" si="71"/>
        <v>0.11992762729192563</v>
      </c>
    </row>
    <row r="1514" spans="1:14" x14ac:dyDescent="0.45">
      <c r="A1514" t="s">
        <v>2958</v>
      </c>
      <c r="B1514" s="1">
        <v>44796</v>
      </c>
      <c r="C1514" t="s">
        <v>2959</v>
      </c>
      <c r="D1514" t="s">
        <v>56</v>
      </c>
      <c r="E1514" t="s">
        <v>20</v>
      </c>
      <c r="F1514" t="s">
        <v>21</v>
      </c>
      <c r="G1514">
        <v>4</v>
      </c>
      <c r="H1514">
        <v>40845.370000000003</v>
      </c>
      <c r="I1514">
        <v>3566.03</v>
      </c>
      <c r="J1514" t="s">
        <v>22</v>
      </c>
      <c r="K1514" t="s">
        <v>33</v>
      </c>
      <c r="L1514">
        <f t="shared" si="69"/>
        <v>2022</v>
      </c>
      <c r="M1514" t="str">
        <f t="shared" si="70"/>
        <v>Aug</v>
      </c>
      <c r="N1514" s="2">
        <f t="shared" si="71"/>
        <v>8.7305611382636511E-2</v>
      </c>
    </row>
    <row r="1515" spans="1:14" x14ac:dyDescent="0.45">
      <c r="A1515" t="s">
        <v>2960</v>
      </c>
      <c r="B1515" s="1">
        <v>44981</v>
      </c>
      <c r="C1515" t="s">
        <v>2961</v>
      </c>
      <c r="D1515" t="s">
        <v>13</v>
      </c>
      <c r="E1515" t="s">
        <v>14</v>
      </c>
      <c r="F1515" t="s">
        <v>32</v>
      </c>
      <c r="G1515">
        <v>4</v>
      </c>
      <c r="H1515">
        <v>47170.89</v>
      </c>
      <c r="I1515">
        <v>3176.19</v>
      </c>
      <c r="J1515" t="s">
        <v>71</v>
      </c>
      <c r="K1515" t="s">
        <v>29</v>
      </c>
      <c r="L1515">
        <f t="shared" si="69"/>
        <v>2023</v>
      </c>
      <c r="M1515" t="str">
        <f t="shared" si="70"/>
        <v>Feb</v>
      </c>
      <c r="N1515" s="2">
        <f t="shared" si="71"/>
        <v>6.7333688213217946E-2</v>
      </c>
    </row>
    <row r="1516" spans="1:14" x14ac:dyDescent="0.45">
      <c r="A1516" t="s">
        <v>2962</v>
      </c>
      <c r="B1516" s="1">
        <v>44859</v>
      </c>
      <c r="C1516" t="s">
        <v>2963</v>
      </c>
      <c r="D1516" t="s">
        <v>26</v>
      </c>
      <c r="E1516" t="s">
        <v>14</v>
      </c>
      <c r="F1516" t="s">
        <v>57</v>
      </c>
      <c r="G1516">
        <v>5</v>
      </c>
      <c r="H1516">
        <v>2724.02</v>
      </c>
      <c r="I1516">
        <v>191.9</v>
      </c>
      <c r="J1516" t="s">
        <v>71</v>
      </c>
      <c r="K1516" t="s">
        <v>29</v>
      </c>
      <c r="L1516">
        <f t="shared" si="69"/>
        <v>2022</v>
      </c>
      <c r="M1516" t="str">
        <f t="shared" si="70"/>
        <v>Oct</v>
      </c>
      <c r="N1516" s="2">
        <f t="shared" si="71"/>
        <v>7.0447353543659746E-2</v>
      </c>
    </row>
    <row r="1517" spans="1:14" x14ac:dyDescent="0.45">
      <c r="A1517" t="s">
        <v>2964</v>
      </c>
      <c r="B1517" s="1">
        <v>44742</v>
      </c>
      <c r="C1517" t="s">
        <v>1382</v>
      </c>
      <c r="D1517" t="s">
        <v>26</v>
      </c>
      <c r="E1517" t="s">
        <v>20</v>
      </c>
      <c r="F1517" t="s">
        <v>21</v>
      </c>
      <c r="G1517">
        <v>4</v>
      </c>
      <c r="H1517">
        <v>1357.34</v>
      </c>
      <c r="I1517">
        <v>100.44</v>
      </c>
      <c r="J1517" t="s">
        <v>71</v>
      </c>
      <c r="K1517" t="s">
        <v>23</v>
      </c>
      <c r="L1517">
        <f t="shared" si="69"/>
        <v>2022</v>
      </c>
      <c r="M1517" t="str">
        <f t="shared" si="70"/>
        <v>Jun</v>
      </c>
      <c r="N1517" s="2">
        <f t="shared" si="71"/>
        <v>7.3997671917132038E-2</v>
      </c>
    </row>
    <row r="1518" spans="1:14" x14ac:dyDescent="0.45">
      <c r="A1518" t="s">
        <v>2965</v>
      </c>
      <c r="B1518" s="1">
        <v>44976</v>
      </c>
      <c r="C1518" t="s">
        <v>2966</v>
      </c>
      <c r="D1518" t="s">
        <v>13</v>
      </c>
      <c r="E1518" t="s">
        <v>20</v>
      </c>
      <c r="F1518" t="s">
        <v>27</v>
      </c>
      <c r="G1518">
        <v>4</v>
      </c>
      <c r="H1518">
        <v>38853.120000000003</v>
      </c>
      <c r="I1518">
        <v>8319.52</v>
      </c>
      <c r="J1518" t="s">
        <v>71</v>
      </c>
      <c r="K1518" t="s">
        <v>17</v>
      </c>
      <c r="L1518">
        <f t="shared" si="69"/>
        <v>2023</v>
      </c>
      <c r="M1518" t="str">
        <f t="shared" si="70"/>
        <v>Feb</v>
      </c>
      <c r="N1518" s="2">
        <f t="shared" si="71"/>
        <v>0.21412746260789353</v>
      </c>
    </row>
    <row r="1519" spans="1:14" x14ac:dyDescent="0.45">
      <c r="A1519" t="s">
        <v>2967</v>
      </c>
      <c r="B1519" s="1">
        <v>45172</v>
      </c>
      <c r="C1519" t="s">
        <v>2968</v>
      </c>
      <c r="D1519" t="s">
        <v>56</v>
      </c>
      <c r="E1519" t="s">
        <v>36</v>
      </c>
      <c r="F1519" t="s">
        <v>64</v>
      </c>
      <c r="G1519">
        <v>3</v>
      </c>
      <c r="H1519">
        <v>33102.46</v>
      </c>
      <c r="I1519">
        <v>7052.19</v>
      </c>
      <c r="J1519" t="s">
        <v>28</v>
      </c>
      <c r="K1519" t="s">
        <v>33</v>
      </c>
      <c r="L1519">
        <f t="shared" si="69"/>
        <v>2023</v>
      </c>
      <c r="M1519" t="str">
        <f t="shared" si="70"/>
        <v>Sep</v>
      </c>
      <c r="N1519" s="2">
        <f t="shared" si="71"/>
        <v>0.21304126641947455</v>
      </c>
    </row>
    <row r="1520" spans="1:14" x14ac:dyDescent="0.45">
      <c r="A1520" t="s">
        <v>2969</v>
      </c>
      <c r="B1520" s="1">
        <v>44832</v>
      </c>
      <c r="C1520" t="s">
        <v>2970</v>
      </c>
      <c r="D1520" t="s">
        <v>26</v>
      </c>
      <c r="E1520" t="s">
        <v>14</v>
      </c>
      <c r="F1520" t="s">
        <v>32</v>
      </c>
      <c r="G1520">
        <v>4</v>
      </c>
      <c r="H1520">
        <v>29642.959999999999</v>
      </c>
      <c r="I1520">
        <v>6184.78</v>
      </c>
      <c r="J1520" t="s">
        <v>28</v>
      </c>
      <c r="K1520" t="s">
        <v>17</v>
      </c>
      <c r="L1520">
        <f t="shared" si="69"/>
        <v>2022</v>
      </c>
      <c r="M1520" t="str">
        <f t="shared" si="70"/>
        <v>Sep</v>
      </c>
      <c r="N1520" s="2">
        <f t="shared" si="71"/>
        <v>0.20864245675870427</v>
      </c>
    </row>
    <row r="1521" spans="1:14" x14ac:dyDescent="0.45">
      <c r="A1521" t="s">
        <v>2971</v>
      </c>
      <c r="B1521" s="1">
        <v>44999</v>
      </c>
      <c r="C1521" t="s">
        <v>2972</v>
      </c>
      <c r="D1521" t="s">
        <v>13</v>
      </c>
      <c r="E1521" t="s">
        <v>36</v>
      </c>
      <c r="F1521" t="s">
        <v>53</v>
      </c>
      <c r="G1521">
        <v>3</v>
      </c>
      <c r="H1521">
        <v>4908.29</v>
      </c>
      <c r="I1521">
        <v>705.08</v>
      </c>
      <c r="J1521" t="s">
        <v>47</v>
      </c>
      <c r="K1521" t="s">
        <v>23</v>
      </c>
      <c r="L1521">
        <f t="shared" si="69"/>
        <v>2023</v>
      </c>
      <c r="M1521" t="str">
        <f t="shared" si="70"/>
        <v>Mar</v>
      </c>
      <c r="N1521" s="2">
        <f t="shared" si="71"/>
        <v>0.14365084377654949</v>
      </c>
    </row>
    <row r="1522" spans="1:14" x14ac:dyDescent="0.45">
      <c r="A1522" t="s">
        <v>2973</v>
      </c>
      <c r="B1522" s="1">
        <v>45517</v>
      </c>
      <c r="C1522" t="s">
        <v>2974</v>
      </c>
      <c r="D1522" t="s">
        <v>13</v>
      </c>
      <c r="E1522" t="s">
        <v>36</v>
      </c>
      <c r="F1522" t="s">
        <v>46</v>
      </c>
      <c r="G1522">
        <v>5</v>
      </c>
      <c r="H1522">
        <v>14655.67</v>
      </c>
      <c r="I1522">
        <v>1830.57</v>
      </c>
      <c r="J1522" t="s">
        <v>16</v>
      </c>
      <c r="K1522" t="s">
        <v>23</v>
      </c>
      <c r="L1522">
        <f t="shared" si="69"/>
        <v>2024</v>
      </c>
      <c r="M1522" t="str">
        <f t="shared" si="70"/>
        <v>Aug</v>
      </c>
      <c r="N1522" s="2">
        <f t="shared" si="71"/>
        <v>0.12490524145262549</v>
      </c>
    </row>
    <row r="1523" spans="1:14" x14ac:dyDescent="0.45">
      <c r="A1523" t="s">
        <v>2975</v>
      </c>
      <c r="B1523" s="1">
        <v>45104</v>
      </c>
      <c r="C1523" t="s">
        <v>2976</v>
      </c>
      <c r="D1523" t="s">
        <v>56</v>
      </c>
      <c r="E1523" t="s">
        <v>36</v>
      </c>
      <c r="F1523" t="s">
        <v>46</v>
      </c>
      <c r="G1523">
        <v>5</v>
      </c>
      <c r="H1523">
        <v>7542.85</v>
      </c>
      <c r="I1523">
        <v>619.77</v>
      </c>
      <c r="J1523" t="s">
        <v>71</v>
      </c>
      <c r="K1523" t="s">
        <v>33</v>
      </c>
      <c r="L1523">
        <f t="shared" si="69"/>
        <v>2023</v>
      </c>
      <c r="M1523" t="str">
        <f t="shared" si="70"/>
        <v>Jun</v>
      </c>
      <c r="N1523" s="2">
        <f t="shared" si="71"/>
        <v>8.2166555081965034E-2</v>
      </c>
    </row>
    <row r="1524" spans="1:14" x14ac:dyDescent="0.45">
      <c r="A1524" t="s">
        <v>2977</v>
      </c>
      <c r="B1524" s="1">
        <v>45008</v>
      </c>
      <c r="C1524" t="s">
        <v>543</v>
      </c>
      <c r="D1524" t="s">
        <v>13</v>
      </c>
      <c r="E1524" t="s">
        <v>14</v>
      </c>
      <c r="F1524" t="s">
        <v>15</v>
      </c>
      <c r="G1524">
        <v>1</v>
      </c>
      <c r="H1524">
        <v>43246.11</v>
      </c>
      <c r="I1524">
        <v>8482.35</v>
      </c>
      <c r="J1524" t="s">
        <v>28</v>
      </c>
      <c r="K1524" t="s">
        <v>29</v>
      </c>
      <c r="L1524">
        <f t="shared" si="69"/>
        <v>2023</v>
      </c>
      <c r="M1524" t="str">
        <f t="shared" si="70"/>
        <v>Mar</v>
      </c>
      <c r="N1524" s="2">
        <f t="shared" si="71"/>
        <v>0.19614134080498802</v>
      </c>
    </row>
    <row r="1525" spans="1:14" x14ac:dyDescent="0.45">
      <c r="A1525" t="s">
        <v>2978</v>
      </c>
      <c r="B1525" s="1">
        <v>45054</v>
      </c>
      <c r="C1525" t="s">
        <v>2979</v>
      </c>
      <c r="D1525" t="s">
        <v>56</v>
      </c>
      <c r="E1525" t="s">
        <v>14</v>
      </c>
      <c r="F1525" t="s">
        <v>32</v>
      </c>
      <c r="G1525">
        <v>1</v>
      </c>
      <c r="H1525">
        <v>5139.7700000000004</v>
      </c>
      <c r="I1525">
        <v>1227.67</v>
      </c>
      <c r="J1525" t="s">
        <v>22</v>
      </c>
      <c r="K1525" t="s">
        <v>33</v>
      </c>
      <c r="L1525">
        <f t="shared" si="69"/>
        <v>2023</v>
      </c>
      <c r="M1525" t="str">
        <f t="shared" si="70"/>
        <v>May</v>
      </c>
      <c r="N1525" s="2">
        <f t="shared" si="71"/>
        <v>0.23885699165526861</v>
      </c>
    </row>
    <row r="1526" spans="1:14" x14ac:dyDescent="0.45">
      <c r="A1526" t="s">
        <v>2980</v>
      </c>
      <c r="B1526" s="1">
        <v>44866</v>
      </c>
      <c r="C1526" t="s">
        <v>2981</v>
      </c>
      <c r="D1526" t="s">
        <v>13</v>
      </c>
      <c r="E1526" t="s">
        <v>36</v>
      </c>
      <c r="F1526" t="s">
        <v>37</v>
      </c>
      <c r="G1526">
        <v>5</v>
      </c>
      <c r="H1526">
        <v>39359.67</v>
      </c>
      <c r="I1526">
        <v>6791.14</v>
      </c>
      <c r="J1526" t="s">
        <v>71</v>
      </c>
      <c r="K1526" t="s">
        <v>23</v>
      </c>
      <c r="L1526">
        <f t="shared" si="69"/>
        <v>2022</v>
      </c>
      <c r="M1526" t="str">
        <f t="shared" si="70"/>
        <v>Nov</v>
      </c>
      <c r="N1526" s="2">
        <f t="shared" si="71"/>
        <v>0.17254057262167088</v>
      </c>
    </row>
    <row r="1527" spans="1:14" x14ac:dyDescent="0.45">
      <c r="A1527" t="s">
        <v>2982</v>
      </c>
      <c r="B1527" s="1">
        <v>45081</v>
      </c>
      <c r="C1527" t="s">
        <v>2983</v>
      </c>
      <c r="D1527" t="s">
        <v>26</v>
      </c>
      <c r="E1527" t="s">
        <v>14</v>
      </c>
      <c r="F1527" t="s">
        <v>32</v>
      </c>
      <c r="G1527">
        <v>3</v>
      </c>
      <c r="H1527">
        <v>43805.73</v>
      </c>
      <c r="I1527">
        <v>9940.58</v>
      </c>
      <c r="J1527" t="s">
        <v>22</v>
      </c>
      <c r="K1527" t="s">
        <v>23</v>
      </c>
      <c r="L1527">
        <f t="shared" si="69"/>
        <v>2023</v>
      </c>
      <c r="M1527" t="str">
        <f t="shared" si="70"/>
        <v>Jun</v>
      </c>
      <c r="N1527" s="2">
        <f t="shared" si="71"/>
        <v>0.2269241946202015</v>
      </c>
    </row>
    <row r="1528" spans="1:14" x14ac:dyDescent="0.45">
      <c r="A1528" t="s">
        <v>2984</v>
      </c>
      <c r="B1528" s="1">
        <v>45096</v>
      </c>
      <c r="C1528" t="s">
        <v>2985</v>
      </c>
      <c r="D1528" t="s">
        <v>26</v>
      </c>
      <c r="E1528" t="s">
        <v>14</v>
      </c>
      <c r="F1528" t="s">
        <v>32</v>
      </c>
      <c r="G1528">
        <v>3</v>
      </c>
      <c r="H1528">
        <v>18838.080000000002</v>
      </c>
      <c r="I1528">
        <v>2483.1799999999998</v>
      </c>
      <c r="J1528" t="s">
        <v>22</v>
      </c>
      <c r="K1528" t="s">
        <v>17</v>
      </c>
      <c r="L1528">
        <f t="shared" si="69"/>
        <v>2023</v>
      </c>
      <c r="M1528" t="str">
        <f t="shared" si="70"/>
        <v>Jun</v>
      </c>
      <c r="N1528" s="2">
        <f t="shared" si="71"/>
        <v>0.13181704292581833</v>
      </c>
    </row>
    <row r="1529" spans="1:14" x14ac:dyDescent="0.45">
      <c r="A1529" t="s">
        <v>2986</v>
      </c>
      <c r="B1529" s="1">
        <v>45567</v>
      </c>
      <c r="C1529" t="s">
        <v>2987</v>
      </c>
      <c r="D1529" t="s">
        <v>13</v>
      </c>
      <c r="E1529" t="s">
        <v>20</v>
      </c>
      <c r="F1529" t="s">
        <v>50</v>
      </c>
      <c r="G1529">
        <v>1</v>
      </c>
      <c r="H1529">
        <v>15017.54</v>
      </c>
      <c r="I1529">
        <v>3557.78</v>
      </c>
      <c r="J1529" t="s">
        <v>22</v>
      </c>
      <c r="K1529" t="s">
        <v>33</v>
      </c>
      <c r="L1529">
        <f t="shared" si="69"/>
        <v>2024</v>
      </c>
      <c r="M1529" t="str">
        <f t="shared" si="70"/>
        <v>Oct</v>
      </c>
      <c r="N1529" s="2">
        <f t="shared" si="71"/>
        <v>0.23690830855120079</v>
      </c>
    </row>
    <row r="1530" spans="1:14" x14ac:dyDescent="0.45">
      <c r="A1530" t="s">
        <v>2988</v>
      </c>
      <c r="B1530" s="1">
        <v>45379</v>
      </c>
      <c r="C1530" t="s">
        <v>224</v>
      </c>
      <c r="D1530" t="s">
        <v>13</v>
      </c>
      <c r="E1530" t="s">
        <v>20</v>
      </c>
      <c r="F1530" t="s">
        <v>43</v>
      </c>
      <c r="G1530">
        <v>2</v>
      </c>
      <c r="H1530">
        <v>28123.08</v>
      </c>
      <c r="I1530">
        <v>3086.51</v>
      </c>
      <c r="J1530" t="s">
        <v>28</v>
      </c>
      <c r="K1530" t="s">
        <v>23</v>
      </c>
      <c r="L1530">
        <f t="shared" si="69"/>
        <v>2024</v>
      </c>
      <c r="M1530" t="str">
        <f t="shared" si="70"/>
        <v>Mar</v>
      </c>
      <c r="N1530" s="2">
        <f t="shared" si="71"/>
        <v>0.10975007004922648</v>
      </c>
    </row>
    <row r="1531" spans="1:14" x14ac:dyDescent="0.45">
      <c r="A1531" t="s">
        <v>2989</v>
      </c>
      <c r="B1531" s="1">
        <v>44658</v>
      </c>
      <c r="C1531" t="s">
        <v>2990</v>
      </c>
      <c r="D1531" t="s">
        <v>26</v>
      </c>
      <c r="E1531" t="s">
        <v>14</v>
      </c>
      <c r="F1531" t="s">
        <v>40</v>
      </c>
      <c r="G1531">
        <v>4</v>
      </c>
      <c r="H1531">
        <v>35207.56</v>
      </c>
      <c r="I1531">
        <v>4648.7700000000004</v>
      </c>
      <c r="J1531" t="s">
        <v>22</v>
      </c>
      <c r="K1531" t="s">
        <v>23</v>
      </c>
      <c r="L1531">
        <f t="shared" si="69"/>
        <v>2022</v>
      </c>
      <c r="M1531" t="str">
        <f t="shared" si="70"/>
        <v>Apr</v>
      </c>
      <c r="N1531" s="2">
        <f t="shared" si="71"/>
        <v>0.13203897117550892</v>
      </c>
    </row>
    <row r="1532" spans="1:14" x14ac:dyDescent="0.45">
      <c r="A1532" t="s">
        <v>2991</v>
      </c>
      <c r="B1532" s="1">
        <v>45469</v>
      </c>
      <c r="C1532" t="s">
        <v>2992</v>
      </c>
      <c r="D1532" t="s">
        <v>56</v>
      </c>
      <c r="E1532" t="s">
        <v>20</v>
      </c>
      <c r="F1532" t="s">
        <v>43</v>
      </c>
      <c r="G1532">
        <v>5</v>
      </c>
      <c r="H1532">
        <v>34289.24</v>
      </c>
      <c r="I1532">
        <v>5341.2</v>
      </c>
      <c r="J1532" t="s">
        <v>47</v>
      </c>
      <c r="K1532" t="s">
        <v>29</v>
      </c>
      <c r="L1532">
        <f t="shared" si="69"/>
        <v>2024</v>
      </c>
      <c r="M1532" t="str">
        <f t="shared" si="70"/>
        <v>Jun</v>
      </c>
      <c r="N1532" s="2">
        <f t="shared" si="71"/>
        <v>0.15576898175637605</v>
      </c>
    </row>
    <row r="1533" spans="1:14" x14ac:dyDescent="0.45">
      <c r="A1533" t="s">
        <v>2993</v>
      </c>
      <c r="B1533" s="1">
        <v>45084</v>
      </c>
      <c r="C1533" t="s">
        <v>2994</v>
      </c>
      <c r="D1533" t="s">
        <v>26</v>
      </c>
      <c r="E1533" t="s">
        <v>20</v>
      </c>
      <c r="F1533" t="s">
        <v>27</v>
      </c>
      <c r="G1533">
        <v>4</v>
      </c>
      <c r="H1533">
        <v>28835.31</v>
      </c>
      <c r="I1533">
        <v>3629.44</v>
      </c>
      <c r="J1533" t="s">
        <v>16</v>
      </c>
      <c r="K1533" t="s">
        <v>33</v>
      </c>
      <c r="L1533">
        <f t="shared" si="69"/>
        <v>2023</v>
      </c>
      <c r="M1533" t="str">
        <f t="shared" si="70"/>
        <v>Jun</v>
      </c>
      <c r="N1533" s="2">
        <f t="shared" si="71"/>
        <v>0.12586790292873562</v>
      </c>
    </row>
    <row r="1534" spans="1:14" x14ac:dyDescent="0.45">
      <c r="A1534" t="s">
        <v>2995</v>
      </c>
      <c r="B1534" s="1">
        <v>45628</v>
      </c>
      <c r="C1534" t="s">
        <v>353</v>
      </c>
      <c r="D1534" t="s">
        <v>13</v>
      </c>
      <c r="E1534" t="s">
        <v>20</v>
      </c>
      <c r="F1534" t="s">
        <v>43</v>
      </c>
      <c r="G1534">
        <v>4</v>
      </c>
      <c r="H1534">
        <v>1827.16</v>
      </c>
      <c r="I1534">
        <v>227.35</v>
      </c>
      <c r="J1534" t="s">
        <v>71</v>
      </c>
      <c r="K1534" t="s">
        <v>17</v>
      </c>
      <c r="L1534">
        <f t="shared" si="69"/>
        <v>2024</v>
      </c>
      <c r="M1534" t="str">
        <f t="shared" si="70"/>
        <v>Dec</v>
      </c>
      <c r="N1534" s="2">
        <f t="shared" si="71"/>
        <v>0.12442807416974977</v>
      </c>
    </row>
    <row r="1535" spans="1:14" x14ac:dyDescent="0.45">
      <c r="A1535" t="s">
        <v>2996</v>
      </c>
      <c r="B1535" s="1">
        <v>45342</v>
      </c>
      <c r="C1535" t="s">
        <v>2997</v>
      </c>
      <c r="D1535" t="s">
        <v>26</v>
      </c>
      <c r="E1535" t="s">
        <v>14</v>
      </c>
      <c r="F1535" t="s">
        <v>57</v>
      </c>
      <c r="G1535">
        <v>3</v>
      </c>
      <c r="H1535">
        <v>23863.09</v>
      </c>
      <c r="I1535">
        <v>1358.24</v>
      </c>
      <c r="J1535" t="s">
        <v>22</v>
      </c>
      <c r="K1535" t="s">
        <v>17</v>
      </c>
      <c r="L1535">
        <f t="shared" si="69"/>
        <v>2024</v>
      </c>
      <c r="M1535" t="str">
        <f t="shared" si="70"/>
        <v>Feb</v>
      </c>
      <c r="N1535" s="2">
        <f t="shared" si="71"/>
        <v>5.6918026961302999E-2</v>
      </c>
    </row>
    <row r="1536" spans="1:14" x14ac:dyDescent="0.45">
      <c r="A1536" t="s">
        <v>2998</v>
      </c>
      <c r="B1536" s="1">
        <v>44994</v>
      </c>
      <c r="C1536" t="s">
        <v>2999</v>
      </c>
      <c r="D1536" t="s">
        <v>56</v>
      </c>
      <c r="E1536" t="s">
        <v>20</v>
      </c>
      <c r="F1536" t="s">
        <v>27</v>
      </c>
      <c r="G1536">
        <v>1</v>
      </c>
      <c r="H1536">
        <v>45477.57</v>
      </c>
      <c r="I1536">
        <v>11032.35</v>
      </c>
      <c r="J1536" t="s">
        <v>47</v>
      </c>
      <c r="K1536" t="s">
        <v>17</v>
      </c>
      <c r="L1536">
        <f t="shared" si="69"/>
        <v>2023</v>
      </c>
      <c r="M1536" t="str">
        <f t="shared" si="70"/>
        <v>Mar</v>
      </c>
      <c r="N1536" s="2">
        <f t="shared" si="71"/>
        <v>0.24258881905959356</v>
      </c>
    </row>
    <row r="1537" spans="1:14" x14ac:dyDescent="0.45">
      <c r="A1537" t="s">
        <v>3000</v>
      </c>
      <c r="B1537" s="1">
        <v>44733</v>
      </c>
      <c r="C1537" t="s">
        <v>3001</v>
      </c>
      <c r="D1537" t="s">
        <v>26</v>
      </c>
      <c r="E1537" t="s">
        <v>36</v>
      </c>
      <c r="F1537" t="s">
        <v>46</v>
      </c>
      <c r="G1537">
        <v>5</v>
      </c>
      <c r="H1537">
        <v>29088.16</v>
      </c>
      <c r="I1537">
        <v>5729.88</v>
      </c>
      <c r="J1537" t="s">
        <v>22</v>
      </c>
      <c r="K1537" t="s">
        <v>23</v>
      </c>
      <c r="L1537">
        <f t="shared" si="69"/>
        <v>2022</v>
      </c>
      <c r="M1537" t="str">
        <f t="shared" si="70"/>
        <v>Jun</v>
      </c>
      <c r="N1537" s="2">
        <f t="shared" si="71"/>
        <v>0.19698323991617209</v>
      </c>
    </row>
    <row r="1538" spans="1:14" x14ac:dyDescent="0.45">
      <c r="A1538" t="s">
        <v>3002</v>
      </c>
      <c r="B1538" s="1">
        <v>44852</v>
      </c>
      <c r="C1538" t="s">
        <v>2656</v>
      </c>
      <c r="D1538" t="s">
        <v>26</v>
      </c>
      <c r="E1538" t="s">
        <v>20</v>
      </c>
      <c r="F1538" t="s">
        <v>43</v>
      </c>
      <c r="G1538">
        <v>3</v>
      </c>
      <c r="H1538">
        <v>16567.84</v>
      </c>
      <c r="I1538">
        <v>2165.02</v>
      </c>
      <c r="J1538" t="s">
        <v>71</v>
      </c>
      <c r="K1538" t="s">
        <v>17</v>
      </c>
      <c r="L1538">
        <f t="shared" si="69"/>
        <v>2022</v>
      </c>
      <c r="M1538" t="str">
        <f t="shared" si="70"/>
        <v>Oct</v>
      </c>
      <c r="N1538" s="2">
        <f t="shared" si="71"/>
        <v>0.13067605674608157</v>
      </c>
    </row>
    <row r="1539" spans="1:14" x14ac:dyDescent="0.45">
      <c r="A1539" t="s">
        <v>3003</v>
      </c>
      <c r="B1539" s="1">
        <v>45166</v>
      </c>
      <c r="C1539" t="s">
        <v>3004</v>
      </c>
      <c r="D1539" t="s">
        <v>13</v>
      </c>
      <c r="E1539" t="s">
        <v>36</v>
      </c>
      <c r="F1539" t="s">
        <v>46</v>
      </c>
      <c r="G1539">
        <v>1</v>
      </c>
      <c r="H1539">
        <v>30793.65</v>
      </c>
      <c r="I1539">
        <v>3551.14</v>
      </c>
      <c r="J1539" t="s">
        <v>71</v>
      </c>
      <c r="K1539" t="s">
        <v>33</v>
      </c>
      <c r="L1539">
        <f t="shared" ref="L1539:L1602" si="72">YEAR(B1539 )</f>
        <v>2023</v>
      </c>
      <c r="M1539" t="str">
        <f t="shared" ref="M1539:M1602" si="73">TEXT(B1539,"MMM")</f>
        <v>Aug</v>
      </c>
      <c r="N1539" s="2">
        <f t="shared" ref="N1539:N1602" si="74">I1539 / H1539</f>
        <v>0.11532052874537445</v>
      </c>
    </row>
    <row r="1540" spans="1:14" x14ac:dyDescent="0.45">
      <c r="A1540" t="s">
        <v>3005</v>
      </c>
      <c r="B1540" s="1">
        <v>45636</v>
      </c>
      <c r="C1540" t="s">
        <v>3006</v>
      </c>
      <c r="D1540" t="s">
        <v>56</v>
      </c>
      <c r="E1540" t="s">
        <v>14</v>
      </c>
      <c r="F1540" t="s">
        <v>57</v>
      </c>
      <c r="G1540">
        <v>3</v>
      </c>
      <c r="H1540">
        <v>38983.99</v>
      </c>
      <c r="I1540">
        <v>7352.27</v>
      </c>
      <c r="J1540" t="s">
        <v>22</v>
      </c>
      <c r="K1540" t="s">
        <v>17</v>
      </c>
      <c r="L1540">
        <f t="shared" si="72"/>
        <v>2024</v>
      </c>
      <c r="M1540" t="str">
        <f t="shared" si="73"/>
        <v>Dec</v>
      </c>
      <c r="N1540" s="2">
        <f t="shared" si="74"/>
        <v>0.18859716514394759</v>
      </c>
    </row>
    <row r="1541" spans="1:14" x14ac:dyDescent="0.45">
      <c r="A1541" t="s">
        <v>3007</v>
      </c>
      <c r="B1541" s="1">
        <v>45206</v>
      </c>
      <c r="C1541" t="s">
        <v>2178</v>
      </c>
      <c r="D1541" t="s">
        <v>13</v>
      </c>
      <c r="E1541" t="s">
        <v>14</v>
      </c>
      <c r="F1541" t="s">
        <v>32</v>
      </c>
      <c r="G1541">
        <v>3</v>
      </c>
      <c r="H1541">
        <v>25142.43</v>
      </c>
      <c r="I1541">
        <v>2730.04</v>
      </c>
      <c r="J1541" t="s">
        <v>28</v>
      </c>
      <c r="K1541" t="s">
        <v>17</v>
      </c>
      <c r="L1541">
        <f t="shared" si="72"/>
        <v>2023</v>
      </c>
      <c r="M1541" t="str">
        <f t="shared" si="73"/>
        <v>Oct</v>
      </c>
      <c r="N1541" s="2">
        <f t="shared" si="74"/>
        <v>0.10858298104041654</v>
      </c>
    </row>
    <row r="1542" spans="1:14" x14ac:dyDescent="0.45">
      <c r="A1542" t="s">
        <v>3008</v>
      </c>
      <c r="B1542" s="1">
        <v>44728</v>
      </c>
      <c r="C1542" t="s">
        <v>3009</v>
      </c>
      <c r="D1542" t="s">
        <v>13</v>
      </c>
      <c r="E1542" t="s">
        <v>14</v>
      </c>
      <c r="F1542" t="s">
        <v>57</v>
      </c>
      <c r="G1542">
        <v>4</v>
      </c>
      <c r="H1542">
        <v>26081.99</v>
      </c>
      <c r="I1542">
        <v>3848.84</v>
      </c>
      <c r="J1542" t="s">
        <v>47</v>
      </c>
      <c r="K1542" t="s">
        <v>33</v>
      </c>
      <c r="L1542">
        <f t="shared" si="72"/>
        <v>2022</v>
      </c>
      <c r="M1542" t="str">
        <f t="shared" si="73"/>
        <v>Jun</v>
      </c>
      <c r="N1542" s="2">
        <f t="shared" si="74"/>
        <v>0.14756696095658345</v>
      </c>
    </row>
    <row r="1543" spans="1:14" x14ac:dyDescent="0.45">
      <c r="A1543" t="s">
        <v>3010</v>
      </c>
      <c r="B1543" s="1">
        <v>44774</v>
      </c>
      <c r="C1543" t="s">
        <v>3011</v>
      </c>
      <c r="D1543" t="s">
        <v>13</v>
      </c>
      <c r="E1543" t="s">
        <v>20</v>
      </c>
      <c r="F1543" t="s">
        <v>50</v>
      </c>
      <c r="G1543">
        <v>3</v>
      </c>
      <c r="H1543">
        <v>35942.949999999997</v>
      </c>
      <c r="I1543">
        <v>8452.43</v>
      </c>
      <c r="J1543" t="s">
        <v>16</v>
      </c>
      <c r="K1543" t="s">
        <v>29</v>
      </c>
      <c r="L1543">
        <f t="shared" si="72"/>
        <v>2022</v>
      </c>
      <c r="M1543" t="str">
        <f t="shared" si="73"/>
        <v>Aug</v>
      </c>
      <c r="N1543" s="2">
        <f t="shared" si="74"/>
        <v>0.23516238928635522</v>
      </c>
    </row>
    <row r="1544" spans="1:14" x14ac:dyDescent="0.45">
      <c r="A1544" t="s">
        <v>3012</v>
      </c>
      <c r="B1544" s="1">
        <v>44588</v>
      </c>
      <c r="C1544" t="s">
        <v>1185</v>
      </c>
      <c r="D1544" t="s">
        <v>26</v>
      </c>
      <c r="E1544" t="s">
        <v>20</v>
      </c>
      <c r="F1544" t="s">
        <v>50</v>
      </c>
      <c r="G1544">
        <v>4</v>
      </c>
      <c r="H1544">
        <v>31362.37</v>
      </c>
      <c r="I1544">
        <v>1859.96</v>
      </c>
      <c r="J1544" t="s">
        <v>47</v>
      </c>
      <c r="K1544" t="s">
        <v>33</v>
      </c>
      <c r="L1544">
        <f t="shared" si="72"/>
        <v>2022</v>
      </c>
      <c r="M1544" t="str">
        <f t="shared" si="73"/>
        <v>Jan</v>
      </c>
      <c r="N1544" s="2">
        <f t="shared" si="74"/>
        <v>5.930546702943687E-2</v>
      </c>
    </row>
    <row r="1545" spans="1:14" x14ac:dyDescent="0.45">
      <c r="A1545" t="s">
        <v>3013</v>
      </c>
      <c r="B1545" s="1">
        <v>44578</v>
      </c>
      <c r="C1545" t="s">
        <v>3014</v>
      </c>
      <c r="D1545" t="s">
        <v>26</v>
      </c>
      <c r="E1545" t="s">
        <v>14</v>
      </c>
      <c r="F1545" t="s">
        <v>15</v>
      </c>
      <c r="G1545">
        <v>5</v>
      </c>
      <c r="H1545">
        <v>41919.089999999997</v>
      </c>
      <c r="I1545">
        <v>8024.74</v>
      </c>
      <c r="J1545" t="s">
        <v>47</v>
      </c>
      <c r="K1545" t="s">
        <v>17</v>
      </c>
      <c r="L1545">
        <f t="shared" si="72"/>
        <v>2022</v>
      </c>
      <c r="M1545" t="str">
        <f t="shared" si="73"/>
        <v>Jan</v>
      </c>
      <c r="N1545" s="2">
        <f t="shared" si="74"/>
        <v>0.19143402206488738</v>
      </c>
    </row>
    <row r="1546" spans="1:14" x14ac:dyDescent="0.45">
      <c r="A1546" t="s">
        <v>3015</v>
      </c>
      <c r="B1546" s="1">
        <v>45394</v>
      </c>
      <c r="C1546" t="s">
        <v>3016</v>
      </c>
      <c r="D1546" t="s">
        <v>13</v>
      </c>
      <c r="E1546" t="s">
        <v>20</v>
      </c>
      <c r="F1546" t="s">
        <v>43</v>
      </c>
      <c r="G1546">
        <v>3</v>
      </c>
      <c r="H1546">
        <v>8594.07</v>
      </c>
      <c r="I1546">
        <v>1674.79</v>
      </c>
      <c r="J1546" t="s">
        <v>28</v>
      </c>
      <c r="K1546" t="s">
        <v>23</v>
      </c>
      <c r="L1546">
        <f t="shared" si="72"/>
        <v>2024</v>
      </c>
      <c r="M1546" t="str">
        <f t="shared" si="73"/>
        <v>Apr</v>
      </c>
      <c r="N1546" s="2">
        <f t="shared" si="74"/>
        <v>0.19487739801979737</v>
      </c>
    </row>
    <row r="1547" spans="1:14" x14ac:dyDescent="0.45">
      <c r="A1547" t="s">
        <v>3017</v>
      </c>
      <c r="B1547" s="1">
        <v>45323</v>
      </c>
      <c r="C1547" t="s">
        <v>3018</v>
      </c>
      <c r="D1547" t="s">
        <v>26</v>
      </c>
      <c r="E1547" t="s">
        <v>36</v>
      </c>
      <c r="F1547" t="s">
        <v>53</v>
      </c>
      <c r="G1547">
        <v>2</v>
      </c>
      <c r="H1547">
        <v>6387.99</v>
      </c>
      <c r="I1547">
        <v>687.9</v>
      </c>
      <c r="J1547" t="s">
        <v>16</v>
      </c>
      <c r="K1547" t="s">
        <v>17</v>
      </c>
      <c r="L1547">
        <f t="shared" si="72"/>
        <v>2024</v>
      </c>
      <c r="M1547" t="str">
        <f t="shared" si="73"/>
        <v>Feb</v>
      </c>
      <c r="N1547" s="2">
        <f t="shared" si="74"/>
        <v>0.1076864553638938</v>
      </c>
    </row>
    <row r="1548" spans="1:14" x14ac:dyDescent="0.45">
      <c r="A1548" t="s">
        <v>3019</v>
      </c>
      <c r="B1548" s="1">
        <v>45170</v>
      </c>
      <c r="C1548" t="s">
        <v>3020</v>
      </c>
      <c r="D1548" t="s">
        <v>26</v>
      </c>
      <c r="E1548" t="s">
        <v>20</v>
      </c>
      <c r="F1548" t="s">
        <v>50</v>
      </c>
      <c r="G1548">
        <v>4</v>
      </c>
      <c r="H1548">
        <v>44204.28</v>
      </c>
      <c r="I1548">
        <v>2887.95</v>
      </c>
      <c r="J1548" t="s">
        <v>71</v>
      </c>
      <c r="K1548" t="s">
        <v>29</v>
      </c>
      <c r="L1548">
        <f t="shared" si="72"/>
        <v>2023</v>
      </c>
      <c r="M1548" t="str">
        <f t="shared" si="73"/>
        <v>Sep</v>
      </c>
      <c r="N1548" s="2">
        <f t="shared" si="74"/>
        <v>6.5331909036862493E-2</v>
      </c>
    </row>
    <row r="1549" spans="1:14" x14ac:dyDescent="0.45">
      <c r="A1549" t="s">
        <v>3021</v>
      </c>
      <c r="B1549" s="1">
        <v>45479</v>
      </c>
      <c r="C1549" t="s">
        <v>3022</v>
      </c>
      <c r="D1549" t="s">
        <v>56</v>
      </c>
      <c r="E1549" t="s">
        <v>14</v>
      </c>
      <c r="F1549" t="s">
        <v>32</v>
      </c>
      <c r="G1549">
        <v>4</v>
      </c>
      <c r="H1549">
        <v>43817.18</v>
      </c>
      <c r="I1549">
        <v>9059.27</v>
      </c>
      <c r="J1549" t="s">
        <v>22</v>
      </c>
      <c r="K1549" t="s">
        <v>33</v>
      </c>
      <c r="L1549">
        <f t="shared" si="72"/>
        <v>2024</v>
      </c>
      <c r="M1549" t="str">
        <f t="shared" si="73"/>
        <v>Jul</v>
      </c>
      <c r="N1549" s="2">
        <f t="shared" si="74"/>
        <v>0.20675155270147463</v>
      </c>
    </row>
    <row r="1550" spans="1:14" x14ac:dyDescent="0.45">
      <c r="A1550" t="s">
        <v>3023</v>
      </c>
      <c r="B1550" s="1">
        <v>45189</v>
      </c>
      <c r="C1550" t="s">
        <v>3024</v>
      </c>
      <c r="D1550" t="s">
        <v>13</v>
      </c>
      <c r="E1550" t="s">
        <v>14</v>
      </c>
      <c r="F1550" t="s">
        <v>40</v>
      </c>
      <c r="G1550">
        <v>2</v>
      </c>
      <c r="H1550">
        <v>43591.35</v>
      </c>
      <c r="I1550">
        <v>4697.6099999999997</v>
      </c>
      <c r="J1550" t="s">
        <v>47</v>
      </c>
      <c r="K1550" t="s">
        <v>17</v>
      </c>
      <c r="L1550">
        <f t="shared" si="72"/>
        <v>2023</v>
      </c>
      <c r="M1550" t="str">
        <f t="shared" si="73"/>
        <v>Sep</v>
      </c>
      <c r="N1550" s="2">
        <f t="shared" si="74"/>
        <v>0.10776472855279774</v>
      </c>
    </row>
    <row r="1551" spans="1:14" x14ac:dyDescent="0.45">
      <c r="A1551" t="s">
        <v>3025</v>
      </c>
      <c r="B1551" s="1">
        <v>45078</v>
      </c>
      <c r="C1551" t="s">
        <v>757</v>
      </c>
      <c r="D1551" t="s">
        <v>56</v>
      </c>
      <c r="E1551" t="s">
        <v>20</v>
      </c>
      <c r="F1551" t="s">
        <v>43</v>
      </c>
      <c r="G1551">
        <v>2</v>
      </c>
      <c r="H1551">
        <v>11395.2</v>
      </c>
      <c r="I1551">
        <v>1374.5</v>
      </c>
      <c r="J1551" t="s">
        <v>22</v>
      </c>
      <c r="K1551" t="s">
        <v>17</v>
      </c>
      <c r="L1551">
        <f t="shared" si="72"/>
        <v>2023</v>
      </c>
      <c r="M1551" t="str">
        <f t="shared" si="73"/>
        <v>Jun</v>
      </c>
      <c r="N1551" s="2">
        <f t="shared" si="74"/>
        <v>0.12062096321258073</v>
      </c>
    </row>
    <row r="1552" spans="1:14" x14ac:dyDescent="0.45">
      <c r="A1552" t="s">
        <v>3026</v>
      </c>
      <c r="B1552" s="1">
        <v>44568</v>
      </c>
      <c r="C1552" t="s">
        <v>3027</v>
      </c>
      <c r="D1552" t="s">
        <v>26</v>
      </c>
      <c r="E1552" t="s">
        <v>14</v>
      </c>
      <c r="F1552" t="s">
        <v>15</v>
      </c>
      <c r="G1552">
        <v>3</v>
      </c>
      <c r="H1552">
        <v>42525.07</v>
      </c>
      <c r="I1552">
        <v>8385.33</v>
      </c>
      <c r="J1552" t="s">
        <v>16</v>
      </c>
      <c r="K1552" t="s">
        <v>33</v>
      </c>
      <c r="L1552">
        <f t="shared" si="72"/>
        <v>2022</v>
      </c>
      <c r="M1552" t="str">
        <f t="shared" si="73"/>
        <v>Jan</v>
      </c>
      <c r="N1552" s="2">
        <f t="shared" si="74"/>
        <v>0.19718556606726337</v>
      </c>
    </row>
    <row r="1553" spans="1:14" x14ac:dyDescent="0.45">
      <c r="A1553" t="s">
        <v>3028</v>
      </c>
      <c r="B1553" s="1">
        <v>44798</v>
      </c>
      <c r="C1553" t="s">
        <v>3029</v>
      </c>
      <c r="D1553" t="s">
        <v>13</v>
      </c>
      <c r="E1553" t="s">
        <v>36</v>
      </c>
      <c r="F1553" t="s">
        <v>53</v>
      </c>
      <c r="G1553">
        <v>1</v>
      </c>
      <c r="H1553">
        <v>25848.07</v>
      </c>
      <c r="I1553">
        <v>2953.6</v>
      </c>
      <c r="J1553" t="s">
        <v>28</v>
      </c>
      <c r="K1553" t="s">
        <v>29</v>
      </c>
      <c r="L1553">
        <f t="shared" si="72"/>
        <v>2022</v>
      </c>
      <c r="M1553" t="str">
        <f t="shared" si="73"/>
        <v>Aug</v>
      </c>
      <c r="N1553" s="2">
        <f t="shared" si="74"/>
        <v>0.11426771902118804</v>
      </c>
    </row>
    <row r="1554" spans="1:14" x14ac:dyDescent="0.45">
      <c r="A1554" t="s">
        <v>3030</v>
      </c>
      <c r="B1554" s="1">
        <v>45046</v>
      </c>
      <c r="C1554" t="s">
        <v>3031</v>
      </c>
      <c r="D1554" t="s">
        <v>13</v>
      </c>
      <c r="E1554" t="s">
        <v>20</v>
      </c>
      <c r="F1554" t="s">
        <v>43</v>
      </c>
      <c r="G1554">
        <v>5</v>
      </c>
      <c r="H1554">
        <v>3575.95</v>
      </c>
      <c r="I1554">
        <v>875.66</v>
      </c>
      <c r="J1554" t="s">
        <v>47</v>
      </c>
      <c r="K1554" t="s">
        <v>33</v>
      </c>
      <c r="L1554">
        <f t="shared" si="72"/>
        <v>2023</v>
      </c>
      <c r="M1554" t="str">
        <f t="shared" si="73"/>
        <v>Apr</v>
      </c>
      <c r="N1554" s="2">
        <f t="shared" si="74"/>
        <v>0.24487478851773656</v>
      </c>
    </row>
    <row r="1555" spans="1:14" x14ac:dyDescent="0.45">
      <c r="A1555" t="s">
        <v>3032</v>
      </c>
      <c r="B1555" s="1">
        <v>45241</v>
      </c>
      <c r="C1555" t="s">
        <v>3033</v>
      </c>
      <c r="D1555" t="s">
        <v>56</v>
      </c>
      <c r="E1555" t="s">
        <v>14</v>
      </c>
      <c r="F1555" t="s">
        <v>32</v>
      </c>
      <c r="G1555">
        <v>3</v>
      </c>
      <c r="H1555">
        <v>8973.6</v>
      </c>
      <c r="I1555">
        <v>661.6</v>
      </c>
      <c r="J1555" t="s">
        <v>47</v>
      </c>
      <c r="K1555" t="s">
        <v>17</v>
      </c>
      <c r="L1555">
        <f t="shared" si="72"/>
        <v>2023</v>
      </c>
      <c r="M1555" t="str">
        <f t="shared" si="73"/>
        <v>Nov</v>
      </c>
      <c r="N1555" s="2">
        <f t="shared" si="74"/>
        <v>7.3727378086832482E-2</v>
      </c>
    </row>
    <row r="1556" spans="1:14" x14ac:dyDescent="0.45">
      <c r="A1556" t="s">
        <v>3034</v>
      </c>
      <c r="B1556" s="1">
        <v>44723</v>
      </c>
      <c r="C1556" t="s">
        <v>3035</v>
      </c>
      <c r="D1556" t="s">
        <v>13</v>
      </c>
      <c r="E1556" t="s">
        <v>36</v>
      </c>
      <c r="F1556" t="s">
        <v>53</v>
      </c>
      <c r="G1556">
        <v>4</v>
      </c>
      <c r="H1556">
        <v>17111.71</v>
      </c>
      <c r="I1556">
        <v>3618.39</v>
      </c>
      <c r="J1556" t="s">
        <v>47</v>
      </c>
      <c r="K1556" t="s">
        <v>23</v>
      </c>
      <c r="L1556">
        <f t="shared" si="72"/>
        <v>2022</v>
      </c>
      <c r="M1556" t="str">
        <f t="shared" si="73"/>
        <v>Jun</v>
      </c>
      <c r="N1556" s="2">
        <f t="shared" si="74"/>
        <v>0.2114569496561127</v>
      </c>
    </row>
    <row r="1557" spans="1:14" x14ac:dyDescent="0.45">
      <c r="A1557" t="s">
        <v>3036</v>
      </c>
      <c r="B1557" s="1">
        <v>45232</v>
      </c>
      <c r="C1557" t="s">
        <v>3037</v>
      </c>
      <c r="D1557" t="s">
        <v>13</v>
      </c>
      <c r="E1557" t="s">
        <v>20</v>
      </c>
      <c r="F1557" t="s">
        <v>50</v>
      </c>
      <c r="G1557">
        <v>2</v>
      </c>
      <c r="H1557">
        <v>21518.639999999999</v>
      </c>
      <c r="I1557">
        <v>1827.53</v>
      </c>
      <c r="J1557" t="s">
        <v>22</v>
      </c>
      <c r="K1557" t="s">
        <v>33</v>
      </c>
      <c r="L1557">
        <f t="shared" si="72"/>
        <v>2023</v>
      </c>
      <c r="M1557" t="str">
        <f t="shared" si="73"/>
        <v>Nov</v>
      </c>
      <c r="N1557" s="2">
        <f t="shared" si="74"/>
        <v>8.4927764951688398E-2</v>
      </c>
    </row>
    <row r="1558" spans="1:14" x14ac:dyDescent="0.45">
      <c r="A1558" t="s">
        <v>3038</v>
      </c>
      <c r="B1558" s="1">
        <v>45186</v>
      </c>
      <c r="C1558" t="s">
        <v>2731</v>
      </c>
      <c r="D1558" t="s">
        <v>13</v>
      </c>
      <c r="E1558" t="s">
        <v>20</v>
      </c>
      <c r="F1558" t="s">
        <v>43</v>
      </c>
      <c r="G1558">
        <v>2</v>
      </c>
      <c r="H1558">
        <v>3992.8</v>
      </c>
      <c r="I1558">
        <v>380.05</v>
      </c>
      <c r="J1558" t="s">
        <v>71</v>
      </c>
      <c r="K1558" t="s">
        <v>17</v>
      </c>
      <c r="L1558">
        <f t="shared" si="72"/>
        <v>2023</v>
      </c>
      <c r="M1558" t="str">
        <f t="shared" si="73"/>
        <v>Sep</v>
      </c>
      <c r="N1558" s="2">
        <f t="shared" si="74"/>
        <v>9.5183830895612095E-2</v>
      </c>
    </row>
    <row r="1559" spans="1:14" x14ac:dyDescent="0.45">
      <c r="A1559" t="s">
        <v>3039</v>
      </c>
      <c r="B1559" s="1">
        <v>45269</v>
      </c>
      <c r="C1559" t="s">
        <v>3040</v>
      </c>
      <c r="D1559" t="s">
        <v>13</v>
      </c>
      <c r="E1559" t="s">
        <v>36</v>
      </c>
      <c r="F1559" t="s">
        <v>37</v>
      </c>
      <c r="G1559">
        <v>5</v>
      </c>
      <c r="H1559">
        <v>24267.72</v>
      </c>
      <c r="I1559">
        <v>4742.28</v>
      </c>
      <c r="J1559" t="s">
        <v>28</v>
      </c>
      <c r="K1559" t="s">
        <v>17</v>
      </c>
      <c r="L1559">
        <f t="shared" si="72"/>
        <v>2023</v>
      </c>
      <c r="M1559" t="str">
        <f t="shared" si="73"/>
        <v>Dec</v>
      </c>
      <c r="N1559" s="2">
        <f t="shared" si="74"/>
        <v>0.19541514406792232</v>
      </c>
    </row>
    <row r="1560" spans="1:14" x14ac:dyDescent="0.45">
      <c r="A1560" t="s">
        <v>3041</v>
      </c>
      <c r="B1560" s="1">
        <v>44640</v>
      </c>
      <c r="C1560" t="s">
        <v>3042</v>
      </c>
      <c r="D1560" t="s">
        <v>56</v>
      </c>
      <c r="E1560" t="s">
        <v>20</v>
      </c>
      <c r="F1560" t="s">
        <v>21</v>
      </c>
      <c r="G1560">
        <v>4</v>
      </c>
      <c r="H1560">
        <v>38431.519999999997</v>
      </c>
      <c r="I1560">
        <v>7531.29</v>
      </c>
      <c r="J1560" t="s">
        <v>16</v>
      </c>
      <c r="K1560" t="s">
        <v>29</v>
      </c>
      <c r="L1560">
        <f t="shared" si="72"/>
        <v>2022</v>
      </c>
      <c r="M1560" t="str">
        <f t="shared" si="73"/>
        <v>Mar</v>
      </c>
      <c r="N1560" s="2">
        <f t="shared" si="74"/>
        <v>0.19596648792449534</v>
      </c>
    </row>
    <row r="1561" spans="1:14" x14ac:dyDescent="0.45">
      <c r="A1561" t="s">
        <v>3043</v>
      </c>
      <c r="B1561" s="1">
        <v>45404</v>
      </c>
      <c r="C1561" t="s">
        <v>3044</v>
      </c>
      <c r="D1561" t="s">
        <v>56</v>
      </c>
      <c r="E1561" t="s">
        <v>20</v>
      </c>
      <c r="F1561" t="s">
        <v>27</v>
      </c>
      <c r="G1561">
        <v>3</v>
      </c>
      <c r="H1561">
        <v>47082.65</v>
      </c>
      <c r="I1561">
        <v>10538.53</v>
      </c>
      <c r="J1561" t="s">
        <v>28</v>
      </c>
      <c r="K1561" t="s">
        <v>29</v>
      </c>
      <c r="L1561">
        <f t="shared" si="72"/>
        <v>2024</v>
      </c>
      <c r="M1561" t="str">
        <f t="shared" si="73"/>
        <v>Apr</v>
      </c>
      <c r="N1561" s="2">
        <f t="shared" si="74"/>
        <v>0.22383043435320654</v>
      </c>
    </row>
    <row r="1562" spans="1:14" x14ac:dyDescent="0.45">
      <c r="A1562" t="s">
        <v>3045</v>
      </c>
      <c r="B1562" s="1">
        <v>45309</v>
      </c>
      <c r="C1562" t="s">
        <v>3046</v>
      </c>
      <c r="D1562" t="s">
        <v>13</v>
      </c>
      <c r="E1562" t="s">
        <v>36</v>
      </c>
      <c r="F1562" t="s">
        <v>64</v>
      </c>
      <c r="G1562">
        <v>4</v>
      </c>
      <c r="H1562">
        <v>35522.730000000003</v>
      </c>
      <c r="I1562">
        <v>3225.71</v>
      </c>
      <c r="J1562" t="s">
        <v>71</v>
      </c>
      <c r="K1562" t="s">
        <v>23</v>
      </c>
      <c r="L1562">
        <f t="shared" si="72"/>
        <v>2024</v>
      </c>
      <c r="M1562" t="str">
        <f t="shared" si="73"/>
        <v>Jan</v>
      </c>
      <c r="N1562" s="2">
        <f t="shared" si="74"/>
        <v>9.0806928408937032E-2</v>
      </c>
    </row>
    <row r="1563" spans="1:14" x14ac:dyDescent="0.45">
      <c r="A1563" t="s">
        <v>3047</v>
      </c>
      <c r="B1563" s="1">
        <v>44672</v>
      </c>
      <c r="C1563" t="s">
        <v>3048</v>
      </c>
      <c r="D1563" t="s">
        <v>13</v>
      </c>
      <c r="E1563" t="s">
        <v>14</v>
      </c>
      <c r="F1563" t="s">
        <v>40</v>
      </c>
      <c r="G1563">
        <v>1</v>
      </c>
      <c r="H1563">
        <v>30881.279999999999</v>
      </c>
      <c r="I1563">
        <v>3865.71</v>
      </c>
      <c r="J1563" t="s">
        <v>47</v>
      </c>
      <c r="K1563" t="s">
        <v>17</v>
      </c>
      <c r="L1563">
        <f t="shared" si="72"/>
        <v>2022</v>
      </c>
      <c r="M1563" t="str">
        <f t="shared" si="73"/>
        <v>Apr</v>
      </c>
      <c r="N1563" s="2">
        <f t="shared" si="74"/>
        <v>0.12517972052971899</v>
      </c>
    </row>
    <row r="1564" spans="1:14" x14ac:dyDescent="0.45">
      <c r="A1564" t="s">
        <v>3049</v>
      </c>
      <c r="B1564" s="1">
        <v>44883</v>
      </c>
      <c r="C1564" t="s">
        <v>3050</v>
      </c>
      <c r="D1564" t="s">
        <v>13</v>
      </c>
      <c r="E1564" t="s">
        <v>14</v>
      </c>
      <c r="F1564" t="s">
        <v>40</v>
      </c>
      <c r="G1564">
        <v>1</v>
      </c>
      <c r="H1564">
        <v>8981.19</v>
      </c>
      <c r="I1564">
        <v>1975.31</v>
      </c>
      <c r="J1564" t="s">
        <v>47</v>
      </c>
      <c r="K1564" t="s">
        <v>17</v>
      </c>
      <c r="L1564">
        <f t="shared" si="72"/>
        <v>2022</v>
      </c>
      <c r="M1564" t="str">
        <f t="shared" si="73"/>
        <v>Nov</v>
      </c>
      <c r="N1564" s="2">
        <f t="shared" si="74"/>
        <v>0.21993856048029267</v>
      </c>
    </row>
    <row r="1565" spans="1:14" x14ac:dyDescent="0.45">
      <c r="A1565" t="s">
        <v>3051</v>
      </c>
      <c r="B1565" s="1">
        <v>44967</v>
      </c>
      <c r="C1565" t="s">
        <v>3052</v>
      </c>
      <c r="D1565" t="s">
        <v>56</v>
      </c>
      <c r="E1565" t="s">
        <v>20</v>
      </c>
      <c r="F1565" t="s">
        <v>21</v>
      </c>
      <c r="G1565">
        <v>1</v>
      </c>
      <c r="H1565">
        <v>33378.92</v>
      </c>
      <c r="I1565">
        <v>6682.88</v>
      </c>
      <c r="J1565" t="s">
        <v>16</v>
      </c>
      <c r="K1565" t="s">
        <v>33</v>
      </c>
      <c r="L1565">
        <f t="shared" si="72"/>
        <v>2023</v>
      </c>
      <c r="M1565" t="str">
        <f t="shared" si="73"/>
        <v>Feb</v>
      </c>
      <c r="N1565" s="2">
        <f t="shared" si="74"/>
        <v>0.20021258926292404</v>
      </c>
    </row>
    <row r="1566" spans="1:14" x14ac:dyDescent="0.45">
      <c r="A1566" t="s">
        <v>3053</v>
      </c>
      <c r="B1566" s="1">
        <v>45633</v>
      </c>
      <c r="C1566" t="s">
        <v>3054</v>
      </c>
      <c r="D1566" t="s">
        <v>13</v>
      </c>
      <c r="E1566" t="s">
        <v>14</v>
      </c>
      <c r="F1566" t="s">
        <v>40</v>
      </c>
      <c r="G1566">
        <v>4</v>
      </c>
      <c r="H1566">
        <v>43740.77</v>
      </c>
      <c r="I1566">
        <v>10609.74</v>
      </c>
      <c r="J1566" t="s">
        <v>47</v>
      </c>
      <c r="K1566" t="s">
        <v>29</v>
      </c>
      <c r="L1566">
        <f t="shared" si="72"/>
        <v>2024</v>
      </c>
      <c r="M1566" t="str">
        <f t="shared" si="73"/>
        <v>Dec</v>
      </c>
      <c r="N1566" s="2">
        <f t="shared" si="74"/>
        <v>0.24255951598474376</v>
      </c>
    </row>
    <row r="1567" spans="1:14" x14ac:dyDescent="0.45">
      <c r="A1567" t="s">
        <v>3055</v>
      </c>
      <c r="B1567" s="1">
        <v>44679</v>
      </c>
      <c r="C1567" t="s">
        <v>3056</v>
      </c>
      <c r="D1567" t="s">
        <v>56</v>
      </c>
      <c r="E1567" t="s">
        <v>20</v>
      </c>
      <c r="F1567" t="s">
        <v>27</v>
      </c>
      <c r="G1567">
        <v>4</v>
      </c>
      <c r="H1567">
        <v>44229.03</v>
      </c>
      <c r="I1567">
        <v>3639.8</v>
      </c>
      <c r="J1567" t="s">
        <v>22</v>
      </c>
      <c r="K1567" t="s">
        <v>17</v>
      </c>
      <c r="L1567">
        <f t="shared" si="72"/>
        <v>2022</v>
      </c>
      <c r="M1567" t="str">
        <f t="shared" si="73"/>
        <v>Apr</v>
      </c>
      <c r="N1567" s="2">
        <f t="shared" si="74"/>
        <v>8.2294366392389795E-2</v>
      </c>
    </row>
    <row r="1568" spans="1:14" x14ac:dyDescent="0.45">
      <c r="A1568" t="s">
        <v>3057</v>
      </c>
      <c r="B1568" s="1">
        <v>45248</v>
      </c>
      <c r="C1568" t="s">
        <v>3058</v>
      </c>
      <c r="D1568" t="s">
        <v>26</v>
      </c>
      <c r="E1568" t="s">
        <v>20</v>
      </c>
      <c r="F1568" t="s">
        <v>27</v>
      </c>
      <c r="G1568">
        <v>5</v>
      </c>
      <c r="H1568">
        <v>31760.57</v>
      </c>
      <c r="I1568">
        <v>4132.3500000000004</v>
      </c>
      <c r="J1568" t="s">
        <v>71</v>
      </c>
      <c r="K1568" t="s">
        <v>17</v>
      </c>
      <c r="L1568">
        <f t="shared" si="72"/>
        <v>2023</v>
      </c>
      <c r="M1568" t="str">
        <f t="shared" si="73"/>
        <v>Nov</v>
      </c>
      <c r="N1568" s="2">
        <f t="shared" si="74"/>
        <v>0.13010944073107</v>
      </c>
    </row>
    <row r="1569" spans="1:14" x14ac:dyDescent="0.45">
      <c r="A1569" t="s">
        <v>3059</v>
      </c>
      <c r="B1569" s="1">
        <v>44767</v>
      </c>
      <c r="C1569" t="s">
        <v>3060</v>
      </c>
      <c r="D1569" t="s">
        <v>13</v>
      </c>
      <c r="E1569" t="s">
        <v>36</v>
      </c>
      <c r="F1569" t="s">
        <v>46</v>
      </c>
      <c r="G1569">
        <v>5</v>
      </c>
      <c r="H1569">
        <v>6331.69</v>
      </c>
      <c r="I1569">
        <v>641.82000000000005</v>
      </c>
      <c r="J1569" t="s">
        <v>28</v>
      </c>
      <c r="K1569" t="s">
        <v>23</v>
      </c>
      <c r="L1569">
        <f t="shared" si="72"/>
        <v>2022</v>
      </c>
      <c r="M1569" t="str">
        <f t="shared" si="73"/>
        <v>Jul</v>
      </c>
      <c r="N1569" s="2">
        <f t="shared" si="74"/>
        <v>0.10136630188780564</v>
      </c>
    </row>
    <row r="1570" spans="1:14" x14ac:dyDescent="0.45">
      <c r="A1570" t="s">
        <v>3061</v>
      </c>
      <c r="B1570" s="1">
        <v>44778</v>
      </c>
      <c r="C1570" t="s">
        <v>3062</v>
      </c>
      <c r="D1570" t="s">
        <v>56</v>
      </c>
      <c r="E1570" t="s">
        <v>36</v>
      </c>
      <c r="F1570" t="s">
        <v>53</v>
      </c>
      <c r="G1570">
        <v>5</v>
      </c>
      <c r="H1570">
        <v>13665.66</v>
      </c>
      <c r="I1570">
        <v>2032.25</v>
      </c>
      <c r="J1570" t="s">
        <v>22</v>
      </c>
      <c r="K1570" t="s">
        <v>29</v>
      </c>
      <c r="L1570">
        <f t="shared" si="72"/>
        <v>2022</v>
      </c>
      <c r="M1570" t="str">
        <f t="shared" si="73"/>
        <v>Aug</v>
      </c>
      <c r="N1570" s="2">
        <f t="shared" si="74"/>
        <v>0.14871217343326265</v>
      </c>
    </row>
    <row r="1571" spans="1:14" x14ac:dyDescent="0.45">
      <c r="A1571" t="s">
        <v>3063</v>
      </c>
      <c r="B1571" s="1">
        <v>44730</v>
      </c>
      <c r="C1571" t="s">
        <v>3064</v>
      </c>
      <c r="D1571" t="s">
        <v>56</v>
      </c>
      <c r="E1571" t="s">
        <v>36</v>
      </c>
      <c r="F1571" t="s">
        <v>46</v>
      </c>
      <c r="G1571">
        <v>1</v>
      </c>
      <c r="H1571">
        <v>18485.63</v>
      </c>
      <c r="I1571">
        <v>1823.6</v>
      </c>
      <c r="J1571" t="s">
        <v>47</v>
      </c>
      <c r="K1571" t="s">
        <v>17</v>
      </c>
      <c r="L1571">
        <f t="shared" si="72"/>
        <v>2022</v>
      </c>
      <c r="M1571" t="str">
        <f t="shared" si="73"/>
        <v>Jun</v>
      </c>
      <c r="N1571" s="2">
        <f t="shared" si="74"/>
        <v>9.8649599716103792E-2</v>
      </c>
    </row>
    <row r="1572" spans="1:14" x14ac:dyDescent="0.45">
      <c r="A1572" t="s">
        <v>3065</v>
      </c>
      <c r="B1572" s="1">
        <v>44593</v>
      </c>
      <c r="C1572" t="s">
        <v>3066</v>
      </c>
      <c r="D1572" t="s">
        <v>26</v>
      </c>
      <c r="E1572" t="s">
        <v>36</v>
      </c>
      <c r="F1572" t="s">
        <v>37</v>
      </c>
      <c r="G1572">
        <v>4</v>
      </c>
      <c r="H1572">
        <v>28905</v>
      </c>
      <c r="I1572">
        <v>4530.1099999999997</v>
      </c>
      <c r="J1572" t="s">
        <v>22</v>
      </c>
      <c r="K1572" t="s">
        <v>17</v>
      </c>
      <c r="L1572">
        <f t="shared" si="72"/>
        <v>2022</v>
      </c>
      <c r="M1572" t="str">
        <f t="shared" si="73"/>
        <v>Feb</v>
      </c>
      <c r="N1572" s="2">
        <f t="shared" si="74"/>
        <v>0.15672409617713198</v>
      </c>
    </row>
    <row r="1573" spans="1:14" x14ac:dyDescent="0.45">
      <c r="A1573" t="s">
        <v>3067</v>
      </c>
      <c r="B1573" s="1">
        <v>44822</v>
      </c>
      <c r="C1573" t="s">
        <v>3068</v>
      </c>
      <c r="D1573" t="s">
        <v>56</v>
      </c>
      <c r="E1573" t="s">
        <v>14</v>
      </c>
      <c r="F1573" t="s">
        <v>40</v>
      </c>
      <c r="G1573">
        <v>2</v>
      </c>
      <c r="H1573">
        <v>5707.21</v>
      </c>
      <c r="I1573">
        <v>1341.04</v>
      </c>
      <c r="J1573" t="s">
        <v>28</v>
      </c>
      <c r="K1573" t="s">
        <v>33</v>
      </c>
      <c r="L1573">
        <f t="shared" si="72"/>
        <v>2022</v>
      </c>
      <c r="M1573" t="str">
        <f t="shared" si="73"/>
        <v>Sep</v>
      </c>
      <c r="N1573" s="2">
        <f t="shared" si="74"/>
        <v>0.23497295526185299</v>
      </c>
    </row>
    <row r="1574" spans="1:14" x14ac:dyDescent="0.45">
      <c r="A1574" t="s">
        <v>3069</v>
      </c>
      <c r="B1574" s="1">
        <v>45146</v>
      </c>
      <c r="C1574" t="s">
        <v>3070</v>
      </c>
      <c r="D1574" t="s">
        <v>56</v>
      </c>
      <c r="E1574" t="s">
        <v>20</v>
      </c>
      <c r="F1574" t="s">
        <v>21</v>
      </c>
      <c r="G1574">
        <v>4</v>
      </c>
      <c r="H1574">
        <v>18242.650000000001</v>
      </c>
      <c r="I1574">
        <v>3369.67</v>
      </c>
      <c r="J1574" t="s">
        <v>71</v>
      </c>
      <c r="K1574" t="s">
        <v>17</v>
      </c>
      <c r="L1574">
        <f t="shared" si="72"/>
        <v>2023</v>
      </c>
      <c r="M1574" t="str">
        <f t="shared" si="73"/>
        <v>Aug</v>
      </c>
      <c r="N1574" s="2">
        <f t="shared" si="74"/>
        <v>0.18471384365758264</v>
      </c>
    </row>
    <row r="1575" spans="1:14" x14ac:dyDescent="0.45">
      <c r="A1575" t="s">
        <v>3071</v>
      </c>
      <c r="B1575" s="1">
        <v>45544</v>
      </c>
      <c r="C1575" t="s">
        <v>3072</v>
      </c>
      <c r="D1575" t="s">
        <v>56</v>
      </c>
      <c r="E1575" t="s">
        <v>14</v>
      </c>
      <c r="F1575" t="s">
        <v>57</v>
      </c>
      <c r="G1575">
        <v>2</v>
      </c>
      <c r="H1575">
        <v>46354.71</v>
      </c>
      <c r="I1575">
        <v>2798.65</v>
      </c>
      <c r="J1575" t="s">
        <v>47</v>
      </c>
      <c r="K1575" t="s">
        <v>29</v>
      </c>
      <c r="L1575">
        <f t="shared" si="72"/>
        <v>2024</v>
      </c>
      <c r="M1575" t="str">
        <f t="shared" si="73"/>
        <v>Sep</v>
      </c>
      <c r="N1575" s="2">
        <f t="shared" si="74"/>
        <v>6.0374663114061117E-2</v>
      </c>
    </row>
    <row r="1576" spans="1:14" x14ac:dyDescent="0.45">
      <c r="A1576" t="s">
        <v>3073</v>
      </c>
      <c r="B1576" s="1">
        <v>45438</v>
      </c>
      <c r="C1576" t="s">
        <v>1585</v>
      </c>
      <c r="D1576" t="s">
        <v>13</v>
      </c>
      <c r="E1576" t="s">
        <v>20</v>
      </c>
      <c r="F1576" t="s">
        <v>21</v>
      </c>
      <c r="G1576">
        <v>4</v>
      </c>
      <c r="H1576">
        <v>14467.6</v>
      </c>
      <c r="I1576">
        <v>1041.04</v>
      </c>
      <c r="J1576" t="s">
        <v>22</v>
      </c>
      <c r="K1576" t="s">
        <v>33</v>
      </c>
      <c r="L1576">
        <f t="shared" si="72"/>
        <v>2024</v>
      </c>
      <c r="M1576" t="str">
        <f t="shared" si="73"/>
        <v>May</v>
      </c>
      <c r="N1576" s="2">
        <f t="shared" si="74"/>
        <v>7.1956647958196243E-2</v>
      </c>
    </row>
    <row r="1577" spans="1:14" x14ac:dyDescent="0.45">
      <c r="A1577" t="s">
        <v>3074</v>
      </c>
      <c r="B1577" s="1">
        <v>45507</v>
      </c>
      <c r="C1577" t="s">
        <v>3075</v>
      </c>
      <c r="D1577" t="s">
        <v>56</v>
      </c>
      <c r="E1577" t="s">
        <v>20</v>
      </c>
      <c r="F1577" t="s">
        <v>21</v>
      </c>
      <c r="G1577">
        <v>5</v>
      </c>
      <c r="H1577">
        <v>42964.74</v>
      </c>
      <c r="I1577">
        <v>8359.42</v>
      </c>
      <c r="J1577" t="s">
        <v>22</v>
      </c>
      <c r="K1577" t="s">
        <v>23</v>
      </c>
      <c r="L1577">
        <f t="shared" si="72"/>
        <v>2024</v>
      </c>
      <c r="M1577" t="str">
        <f t="shared" si="73"/>
        <v>Aug</v>
      </c>
      <c r="N1577" s="2">
        <f t="shared" si="74"/>
        <v>0.19456465929969552</v>
      </c>
    </row>
    <row r="1578" spans="1:14" x14ac:dyDescent="0.45">
      <c r="A1578" t="s">
        <v>3076</v>
      </c>
      <c r="B1578" s="1">
        <v>44832</v>
      </c>
      <c r="C1578" t="s">
        <v>3077</v>
      </c>
      <c r="D1578" t="s">
        <v>56</v>
      </c>
      <c r="E1578" t="s">
        <v>36</v>
      </c>
      <c r="F1578" t="s">
        <v>64</v>
      </c>
      <c r="G1578">
        <v>2</v>
      </c>
      <c r="H1578">
        <v>5784.54</v>
      </c>
      <c r="I1578">
        <v>1314.07</v>
      </c>
      <c r="J1578" t="s">
        <v>22</v>
      </c>
      <c r="K1578" t="s">
        <v>17</v>
      </c>
      <c r="L1578">
        <f t="shared" si="72"/>
        <v>2022</v>
      </c>
      <c r="M1578" t="str">
        <f t="shared" si="73"/>
        <v>Sep</v>
      </c>
      <c r="N1578" s="2">
        <f t="shared" si="74"/>
        <v>0.22716931683418215</v>
      </c>
    </row>
    <row r="1579" spans="1:14" x14ac:dyDescent="0.45">
      <c r="A1579" t="s">
        <v>3078</v>
      </c>
      <c r="B1579" s="1">
        <v>45572</v>
      </c>
      <c r="C1579" t="s">
        <v>1268</v>
      </c>
      <c r="D1579" t="s">
        <v>13</v>
      </c>
      <c r="E1579" t="s">
        <v>36</v>
      </c>
      <c r="F1579" t="s">
        <v>46</v>
      </c>
      <c r="G1579">
        <v>5</v>
      </c>
      <c r="H1579">
        <v>41508.199999999997</v>
      </c>
      <c r="I1579">
        <v>6040.39</v>
      </c>
      <c r="J1579" t="s">
        <v>16</v>
      </c>
      <c r="K1579" t="s">
        <v>17</v>
      </c>
      <c r="L1579">
        <f t="shared" si="72"/>
        <v>2024</v>
      </c>
      <c r="M1579" t="str">
        <f t="shared" si="73"/>
        <v>Oct</v>
      </c>
      <c r="N1579" s="2">
        <f t="shared" si="74"/>
        <v>0.14552281235996745</v>
      </c>
    </row>
    <row r="1580" spans="1:14" x14ac:dyDescent="0.45">
      <c r="A1580" t="s">
        <v>3079</v>
      </c>
      <c r="B1580" s="1">
        <v>45392</v>
      </c>
      <c r="C1580" t="s">
        <v>3080</v>
      </c>
      <c r="D1580" t="s">
        <v>13</v>
      </c>
      <c r="E1580" t="s">
        <v>14</v>
      </c>
      <c r="F1580" t="s">
        <v>40</v>
      </c>
      <c r="G1580">
        <v>5</v>
      </c>
      <c r="H1580">
        <v>2426.6999999999998</v>
      </c>
      <c r="I1580">
        <v>239.45</v>
      </c>
      <c r="J1580" t="s">
        <v>22</v>
      </c>
      <c r="K1580" t="s">
        <v>23</v>
      </c>
      <c r="L1580">
        <f t="shared" si="72"/>
        <v>2024</v>
      </c>
      <c r="M1580" t="str">
        <f t="shared" si="73"/>
        <v>Apr</v>
      </c>
      <c r="N1580" s="2">
        <f t="shared" si="74"/>
        <v>9.8673095149791903E-2</v>
      </c>
    </row>
    <row r="1581" spans="1:14" x14ac:dyDescent="0.45">
      <c r="A1581" t="s">
        <v>3081</v>
      </c>
      <c r="B1581" s="1">
        <v>44910</v>
      </c>
      <c r="C1581" t="s">
        <v>3082</v>
      </c>
      <c r="D1581" t="s">
        <v>26</v>
      </c>
      <c r="E1581" t="s">
        <v>14</v>
      </c>
      <c r="F1581" t="s">
        <v>40</v>
      </c>
      <c r="G1581">
        <v>3</v>
      </c>
      <c r="H1581">
        <v>49752.59</v>
      </c>
      <c r="I1581">
        <v>5706.16</v>
      </c>
      <c r="J1581" t="s">
        <v>16</v>
      </c>
      <c r="K1581" t="s">
        <v>29</v>
      </c>
      <c r="L1581">
        <f t="shared" si="72"/>
        <v>2022</v>
      </c>
      <c r="M1581" t="str">
        <f t="shared" si="73"/>
        <v>Dec</v>
      </c>
      <c r="N1581" s="2">
        <f t="shared" si="74"/>
        <v>0.11469071258400819</v>
      </c>
    </row>
    <row r="1582" spans="1:14" x14ac:dyDescent="0.45">
      <c r="A1582" t="s">
        <v>3083</v>
      </c>
      <c r="B1582" s="1">
        <v>45262</v>
      </c>
      <c r="C1582" t="s">
        <v>3084</v>
      </c>
      <c r="D1582" t="s">
        <v>56</v>
      </c>
      <c r="E1582" t="s">
        <v>20</v>
      </c>
      <c r="F1582" t="s">
        <v>50</v>
      </c>
      <c r="G1582">
        <v>1</v>
      </c>
      <c r="H1582">
        <v>14804.06</v>
      </c>
      <c r="I1582">
        <v>2983.49</v>
      </c>
      <c r="J1582" t="s">
        <v>22</v>
      </c>
      <c r="K1582" t="s">
        <v>33</v>
      </c>
      <c r="L1582">
        <f t="shared" si="72"/>
        <v>2023</v>
      </c>
      <c r="M1582" t="str">
        <f t="shared" si="73"/>
        <v>Dec</v>
      </c>
      <c r="N1582" s="2">
        <f t="shared" si="74"/>
        <v>0.20153187706615616</v>
      </c>
    </row>
    <row r="1583" spans="1:14" x14ac:dyDescent="0.45">
      <c r="A1583" t="s">
        <v>3085</v>
      </c>
      <c r="B1583" s="1">
        <v>45652</v>
      </c>
      <c r="C1583" t="s">
        <v>3086</v>
      </c>
      <c r="D1583" t="s">
        <v>56</v>
      </c>
      <c r="E1583" t="s">
        <v>14</v>
      </c>
      <c r="F1583" t="s">
        <v>32</v>
      </c>
      <c r="G1583">
        <v>2</v>
      </c>
      <c r="H1583">
        <v>13785.73</v>
      </c>
      <c r="I1583">
        <v>1769.16</v>
      </c>
      <c r="J1583" t="s">
        <v>22</v>
      </c>
      <c r="K1583" t="s">
        <v>33</v>
      </c>
      <c r="L1583">
        <f t="shared" si="72"/>
        <v>2024</v>
      </c>
      <c r="M1583" t="str">
        <f t="shared" si="73"/>
        <v>Dec</v>
      </c>
      <c r="N1583" s="2">
        <f t="shared" si="74"/>
        <v>0.12833270345494943</v>
      </c>
    </row>
    <row r="1584" spans="1:14" x14ac:dyDescent="0.45">
      <c r="A1584" t="s">
        <v>3087</v>
      </c>
      <c r="B1584" s="1">
        <v>44772</v>
      </c>
      <c r="C1584" t="s">
        <v>1710</v>
      </c>
      <c r="D1584" t="s">
        <v>13</v>
      </c>
      <c r="E1584" t="s">
        <v>14</v>
      </c>
      <c r="F1584" t="s">
        <v>57</v>
      </c>
      <c r="G1584">
        <v>3</v>
      </c>
      <c r="H1584">
        <v>18653.14</v>
      </c>
      <c r="I1584">
        <v>3312.93</v>
      </c>
      <c r="J1584" t="s">
        <v>22</v>
      </c>
      <c r="K1584" t="s">
        <v>23</v>
      </c>
      <c r="L1584">
        <f t="shared" si="72"/>
        <v>2022</v>
      </c>
      <c r="M1584" t="str">
        <f t="shared" si="73"/>
        <v>Jul</v>
      </c>
      <c r="N1584" s="2">
        <f t="shared" si="74"/>
        <v>0.17760709456960061</v>
      </c>
    </row>
    <row r="1585" spans="1:14" x14ac:dyDescent="0.45">
      <c r="A1585" t="s">
        <v>3088</v>
      </c>
      <c r="B1585" s="1">
        <v>45467</v>
      </c>
      <c r="C1585" t="s">
        <v>1145</v>
      </c>
      <c r="D1585" t="s">
        <v>56</v>
      </c>
      <c r="E1585" t="s">
        <v>36</v>
      </c>
      <c r="F1585" t="s">
        <v>53</v>
      </c>
      <c r="G1585">
        <v>1</v>
      </c>
      <c r="H1585">
        <v>30656.34</v>
      </c>
      <c r="I1585">
        <v>3889.45</v>
      </c>
      <c r="J1585" t="s">
        <v>16</v>
      </c>
      <c r="K1585" t="s">
        <v>17</v>
      </c>
      <c r="L1585">
        <f t="shared" si="72"/>
        <v>2024</v>
      </c>
      <c r="M1585" t="str">
        <f t="shared" si="73"/>
        <v>Jun</v>
      </c>
      <c r="N1585" s="2">
        <f t="shared" si="74"/>
        <v>0.12687261427815583</v>
      </c>
    </row>
    <row r="1586" spans="1:14" x14ac:dyDescent="0.45">
      <c r="A1586" t="s">
        <v>3089</v>
      </c>
      <c r="B1586" s="1">
        <v>44669</v>
      </c>
      <c r="C1586" t="s">
        <v>3090</v>
      </c>
      <c r="D1586" t="s">
        <v>13</v>
      </c>
      <c r="E1586" t="s">
        <v>36</v>
      </c>
      <c r="F1586" t="s">
        <v>46</v>
      </c>
      <c r="G1586">
        <v>5</v>
      </c>
      <c r="H1586">
        <v>30901.439999999999</v>
      </c>
      <c r="I1586">
        <v>5618.89</v>
      </c>
      <c r="J1586" t="s">
        <v>16</v>
      </c>
      <c r="K1586" t="s">
        <v>29</v>
      </c>
      <c r="L1586">
        <f t="shared" si="72"/>
        <v>2022</v>
      </c>
      <c r="M1586" t="str">
        <f t="shared" si="73"/>
        <v>Apr</v>
      </c>
      <c r="N1586" s="2">
        <f t="shared" si="74"/>
        <v>0.18183262657015339</v>
      </c>
    </row>
    <row r="1587" spans="1:14" x14ac:dyDescent="0.45">
      <c r="A1587" t="s">
        <v>3091</v>
      </c>
      <c r="B1587" s="1">
        <v>44820</v>
      </c>
      <c r="C1587" t="s">
        <v>3092</v>
      </c>
      <c r="D1587" t="s">
        <v>56</v>
      </c>
      <c r="E1587" t="s">
        <v>36</v>
      </c>
      <c r="F1587" t="s">
        <v>53</v>
      </c>
      <c r="G1587">
        <v>4</v>
      </c>
      <c r="H1587">
        <v>16277.92</v>
      </c>
      <c r="I1587">
        <v>3512.02</v>
      </c>
      <c r="J1587" t="s">
        <v>28</v>
      </c>
      <c r="K1587" t="s">
        <v>17</v>
      </c>
      <c r="L1587">
        <f t="shared" si="72"/>
        <v>2022</v>
      </c>
      <c r="M1587" t="str">
        <f t="shared" si="73"/>
        <v>Sep</v>
      </c>
      <c r="N1587" s="2">
        <f t="shared" si="74"/>
        <v>0.215753609797812</v>
      </c>
    </row>
    <row r="1588" spans="1:14" x14ac:dyDescent="0.45">
      <c r="A1588" t="s">
        <v>3093</v>
      </c>
      <c r="B1588" s="1">
        <v>45084</v>
      </c>
      <c r="C1588" t="s">
        <v>3094</v>
      </c>
      <c r="D1588" t="s">
        <v>26</v>
      </c>
      <c r="E1588" t="s">
        <v>14</v>
      </c>
      <c r="F1588" t="s">
        <v>32</v>
      </c>
      <c r="G1588">
        <v>1</v>
      </c>
      <c r="H1588">
        <v>47109.14</v>
      </c>
      <c r="I1588">
        <v>8931.14</v>
      </c>
      <c r="J1588" t="s">
        <v>47</v>
      </c>
      <c r="K1588" t="s">
        <v>23</v>
      </c>
      <c r="L1588">
        <f t="shared" si="72"/>
        <v>2023</v>
      </c>
      <c r="M1588" t="str">
        <f t="shared" si="73"/>
        <v>Jun</v>
      </c>
      <c r="N1588" s="2">
        <f t="shared" si="74"/>
        <v>0.18958401702939173</v>
      </c>
    </row>
    <row r="1589" spans="1:14" x14ac:dyDescent="0.45">
      <c r="A1589" t="s">
        <v>3095</v>
      </c>
      <c r="B1589" s="1">
        <v>44930</v>
      </c>
      <c r="C1589" t="s">
        <v>3096</v>
      </c>
      <c r="D1589" t="s">
        <v>13</v>
      </c>
      <c r="E1589" t="s">
        <v>20</v>
      </c>
      <c r="F1589" t="s">
        <v>21</v>
      </c>
      <c r="G1589">
        <v>5</v>
      </c>
      <c r="H1589">
        <v>12626.88</v>
      </c>
      <c r="I1589">
        <v>1044.82</v>
      </c>
      <c r="J1589" t="s">
        <v>16</v>
      </c>
      <c r="K1589" t="s">
        <v>33</v>
      </c>
      <c r="L1589">
        <f t="shared" si="72"/>
        <v>2023</v>
      </c>
      <c r="M1589" t="str">
        <f t="shared" si="73"/>
        <v>Jan</v>
      </c>
      <c r="N1589" s="2">
        <f t="shared" si="74"/>
        <v>8.2745698066347351E-2</v>
      </c>
    </row>
    <row r="1590" spans="1:14" x14ac:dyDescent="0.45">
      <c r="A1590" t="s">
        <v>3097</v>
      </c>
      <c r="B1590" s="1">
        <v>45292</v>
      </c>
      <c r="C1590" t="s">
        <v>3098</v>
      </c>
      <c r="D1590" t="s">
        <v>56</v>
      </c>
      <c r="E1590" t="s">
        <v>14</v>
      </c>
      <c r="F1590" t="s">
        <v>32</v>
      </c>
      <c r="G1590">
        <v>5</v>
      </c>
      <c r="H1590">
        <v>48264.69</v>
      </c>
      <c r="I1590">
        <v>9062.5400000000009</v>
      </c>
      <c r="J1590" t="s">
        <v>28</v>
      </c>
      <c r="K1590" t="s">
        <v>33</v>
      </c>
      <c r="L1590">
        <f t="shared" si="72"/>
        <v>2024</v>
      </c>
      <c r="M1590" t="str">
        <f t="shared" si="73"/>
        <v>Jan</v>
      </c>
      <c r="N1590" s="2">
        <f t="shared" si="74"/>
        <v>0.18776749627937112</v>
      </c>
    </row>
    <row r="1591" spans="1:14" x14ac:dyDescent="0.45">
      <c r="A1591" t="s">
        <v>3099</v>
      </c>
      <c r="B1591" s="1">
        <v>44868</v>
      </c>
      <c r="C1591" t="s">
        <v>3100</v>
      </c>
      <c r="D1591" t="s">
        <v>13</v>
      </c>
      <c r="E1591" t="s">
        <v>14</v>
      </c>
      <c r="F1591" t="s">
        <v>57</v>
      </c>
      <c r="G1591">
        <v>4</v>
      </c>
      <c r="H1591">
        <v>38915.97</v>
      </c>
      <c r="I1591">
        <v>9043.83</v>
      </c>
      <c r="J1591" t="s">
        <v>71</v>
      </c>
      <c r="K1591" t="s">
        <v>23</v>
      </c>
      <c r="L1591">
        <f t="shared" si="72"/>
        <v>2022</v>
      </c>
      <c r="M1591" t="str">
        <f t="shared" si="73"/>
        <v>Nov</v>
      </c>
      <c r="N1591" s="2">
        <f t="shared" si="74"/>
        <v>0.23239379617159742</v>
      </c>
    </row>
    <row r="1592" spans="1:14" x14ac:dyDescent="0.45">
      <c r="A1592" t="s">
        <v>3101</v>
      </c>
      <c r="B1592" s="1">
        <v>45067</v>
      </c>
      <c r="C1592" t="s">
        <v>3102</v>
      </c>
      <c r="D1592" t="s">
        <v>13</v>
      </c>
      <c r="E1592" t="s">
        <v>20</v>
      </c>
      <c r="F1592" t="s">
        <v>43</v>
      </c>
      <c r="G1592">
        <v>3</v>
      </c>
      <c r="H1592">
        <v>13581.23</v>
      </c>
      <c r="I1592">
        <v>3239.82</v>
      </c>
      <c r="J1592" t="s">
        <v>28</v>
      </c>
      <c r="K1592" t="s">
        <v>17</v>
      </c>
      <c r="L1592">
        <f t="shared" si="72"/>
        <v>2023</v>
      </c>
      <c r="M1592" t="str">
        <f t="shared" si="73"/>
        <v>May</v>
      </c>
      <c r="N1592" s="2">
        <f t="shared" si="74"/>
        <v>0.23855129469127614</v>
      </c>
    </row>
    <row r="1593" spans="1:14" x14ac:dyDescent="0.45">
      <c r="A1593" t="s">
        <v>3103</v>
      </c>
      <c r="B1593" s="1">
        <v>45089</v>
      </c>
      <c r="C1593" t="s">
        <v>3104</v>
      </c>
      <c r="D1593" t="s">
        <v>56</v>
      </c>
      <c r="E1593" t="s">
        <v>36</v>
      </c>
      <c r="F1593" t="s">
        <v>46</v>
      </c>
      <c r="G1593">
        <v>5</v>
      </c>
      <c r="H1593">
        <v>1670.1</v>
      </c>
      <c r="I1593">
        <v>163.93</v>
      </c>
      <c r="J1593" t="s">
        <v>71</v>
      </c>
      <c r="K1593" t="s">
        <v>29</v>
      </c>
      <c r="L1593">
        <f t="shared" si="72"/>
        <v>2023</v>
      </c>
      <c r="M1593" t="str">
        <f t="shared" si="73"/>
        <v>Jun</v>
      </c>
      <c r="N1593" s="2">
        <f t="shared" si="74"/>
        <v>9.8155799053948875E-2</v>
      </c>
    </row>
    <row r="1594" spans="1:14" x14ac:dyDescent="0.45">
      <c r="A1594" t="s">
        <v>3105</v>
      </c>
      <c r="B1594" s="1">
        <v>44843</v>
      </c>
      <c r="C1594" t="s">
        <v>3106</v>
      </c>
      <c r="D1594" t="s">
        <v>13</v>
      </c>
      <c r="E1594" t="s">
        <v>14</v>
      </c>
      <c r="F1594" t="s">
        <v>32</v>
      </c>
      <c r="G1594">
        <v>5</v>
      </c>
      <c r="H1594">
        <v>12728.99</v>
      </c>
      <c r="I1594">
        <v>2102.4</v>
      </c>
      <c r="J1594" t="s">
        <v>22</v>
      </c>
      <c r="K1594" t="s">
        <v>33</v>
      </c>
      <c r="L1594">
        <f t="shared" si="72"/>
        <v>2022</v>
      </c>
      <c r="M1594" t="str">
        <f t="shared" si="73"/>
        <v>Oct</v>
      </c>
      <c r="N1594" s="2">
        <f t="shared" si="74"/>
        <v>0.1651662857775833</v>
      </c>
    </row>
    <row r="1595" spans="1:14" x14ac:dyDescent="0.45">
      <c r="A1595" t="s">
        <v>3107</v>
      </c>
      <c r="B1595" s="1">
        <v>44976</v>
      </c>
      <c r="C1595" t="s">
        <v>3108</v>
      </c>
      <c r="D1595" t="s">
        <v>26</v>
      </c>
      <c r="E1595" t="s">
        <v>36</v>
      </c>
      <c r="F1595" t="s">
        <v>37</v>
      </c>
      <c r="G1595">
        <v>2</v>
      </c>
      <c r="H1595">
        <v>42341.24</v>
      </c>
      <c r="I1595">
        <v>3850.32</v>
      </c>
      <c r="J1595" t="s">
        <v>22</v>
      </c>
      <c r="K1595" t="s">
        <v>33</v>
      </c>
      <c r="L1595">
        <f t="shared" si="72"/>
        <v>2023</v>
      </c>
      <c r="M1595" t="str">
        <f t="shared" si="73"/>
        <v>Feb</v>
      </c>
      <c r="N1595" s="2">
        <f t="shared" si="74"/>
        <v>9.0935456779253521E-2</v>
      </c>
    </row>
    <row r="1596" spans="1:14" x14ac:dyDescent="0.45">
      <c r="A1596" t="s">
        <v>3109</v>
      </c>
      <c r="B1596" s="1">
        <v>45527</v>
      </c>
      <c r="C1596" t="s">
        <v>3110</v>
      </c>
      <c r="D1596" t="s">
        <v>26</v>
      </c>
      <c r="E1596" t="s">
        <v>20</v>
      </c>
      <c r="F1596" t="s">
        <v>27</v>
      </c>
      <c r="G1596">
        <v>5</v>
      </c>
      <c r="H1596">
        <v>2647.67</v>
      </c>
      <c r="I1596">
        <v>500.94</v>
      </c>
      <c r="J1596" t="s">
        <v>28</v>
      </c>
      <c r="K1596" t="s">
        <v>23</v>
      </c>
      <c r="L1596">
        <f t="shared" si="72"/>
        <v>2024</v>
      </c>
      <c r="M1596" t="str">
        <f t="shared" si="73"/>
        <v>Aug</v>
      </c>
      <c r="N1596" s="2">
        <f t="shared" si="74"/>
        <v>0.1892003157493192</v>
      </c>
    </row>
    <row r="1597" spans="1:14" x14ac:dyDescent="0.45">
      <c r="A1597" t="s">
        <v>3111</v>
      </c>
      <c r="B1597" s="1">
        <v>44708</v>
      </c>
      <c r="C1597" t="s">
        <v>3112</v>
      </c>
      <c r="D1597" t="s">
        <v>56</v>
      </c>
      <c r="E1597" t="s">
        <v>36</v>
      </c>
      <c r="F1597" t="s">
        <v>64</v>
      </c>
      <c r="G1597">
        <v>3</v>
      </c>
      <c r="H1597">
        <v>24748.69</v>
      </c>
      <c r="I1597">
        <v>5514.15</v>
      </c>
      <c r="J1597" t="s">
        <v>28</v>
      </c>
      <c r="K1597" t="s">
        <v>29</v>
      </c>
      <c r="L1597">
        <f t="shared" si="72"/>
        <v>2022</v>
      </c>
      <c r="M1597" t="str">
        <f t="shared" si="73"/>
        <v>May</v>
      </c>
      <c r="N1597" s="2">
        <f t="shared" si="74"/>
        <v>0.22280573234381293</v>
      </c>
    </row>
    <row r="1598" spans="1:14" x14ac:dyDescent="0.45">
      <c r="A1598" t="s">
        <v>3113</v>
      </c>
      <c r="B1598" s="1">
        <v>45058</v>
      </c>
      <c r="C1598" t="s">
        <v>3114</v>
      </c>
      <c r="D1598" t="s">
        <v>13</v>
      </c>
      <c r="E1598" t="s">
        <v>14</v>
      </c>
      <c r="F1598" t="s">
        <v>32</v>
      </c>
      <c r="G1598">
        <v>1</v>
      </c>
      <c r="H1598">
        <v>7204.06</v>
      </c>
      <c r="I1598">
        <v>439.45</v>
      </c>
      <c r="J1598" t="s">
        <v>28</v>
      </c>
      <c r="K1598" t="s">
        <v>17</v>
      </c>
      <c r="L1598">
        <f t="shared" si="72"/>
        <v>2023</v>
      </c>
      <c r="M1598" t="str">
        <f t="shared" si="73"/>
        <v>May</v>
      </c>
      <c r="N1598" s="2">
        <f t="shared" si="74"/>
        <v>6.1000324816839389E-2</v>
      </c>
    </row>
    <row r="1599" spans="1:14" x14ac:dyDescent="0.45">
      <c r="A1599" t="s">
        <v>3115</v>
      </c>
      <c r="B1599" s="1">
        <v>45423</v>
      </c>
      <c r="C1599" t="s">
        <v>61</v>
      </c>
      <c r="D1599" t="s">
        <v>26</v>
      </c>
      <c r="E1599" t="s">
        <v>20</v>
      </c>
      <c r="F1599" t="s">
        <v>43</v>
      </c>
      <c r="G1599">
        <v>3</v>
      </c>
      <c r="H1599">
        <v>45514.14</v>
      </c>
      <c r="I1599">
        <v>4045.92</v>
      </c>
      <c r="J1599" t="s">
        <v>47</v>
      </c>
      <c r="K1599" t="s">
        <v>23</v>
      </c>
      <c r="L1599">
        <f t="shared" si="72"/>
        <v>2024</v>
      </c>
      <c r="M1599" t="str">
        <f t="shared" si="73"/>
        <v>May</v>
      </c>
      <c r="N1599" s="2">
        <f t="shared" si="74"/>
        <v>8.8893693256645076E-2</v>
      </c>
    </row>
    <row r="1600" spans="1:14" x14ac:dyDescent="0.45">
      <c r="A1600" t="s">
        <v>3116</v>
      </c>
      <c r="B1600" s="1">
        <v>44969</v>
      </c>
      <c r="C1600" t="s">
        <v>3117</v>
      </c>
      <c r="D1600" t="s">
        <v>26</v>
      </c>
      <c r="E1600" t="s">
        <v>14</v>
      </c>
      <c r="F1600" t="s">
        <v>32</v>
      </c>
      <c r="G1600">
        <v>4</v>
      </c>
      <c r="H1600">
        <v>21637.71</v>
      </c>
      <c r="I1600">
        <v>5268.33</v>
      </c>
      <c r="J1600" t="s">
        <v>28</v>
      </c>
      <c r="K1600" t="s">
        <v>29</v>
      </c>
      <c r="L1600">
        <f t="shared" si="72"/>
        <v>2023</v>
      </c>
      <c r="M1600" t="str">
        <f t="shared" si="73"/>
        <v>Feb</v>
      </c>
      <c r="N1600" s="2">
        <f t="shared" si="74"/>
        <v>0.24347909275057297</v>
      </c>
    </row>
    <row r="1601" spans="1:14" x14ac:dyDescent="0.45">
      <c r="A1601" t="s">
        <v>3118</v>
      </c>
      <c r="B1601" s="1">
        <v>45086</v>
      </c>
      <c r="C1601" t="s">
        <v>3119</v>
      </c>
      <c r="D1601" t="s">
        <v>56</v>
      </c>
      <c r="E1601" t="s">
        <v>20</v>
      </c>
      <c r="F1601" t="s">
        <v>50</v>
      </c>
      <c r="G1601">
        <v>5</v>
      </c>
      <c r="H1601">
        <v>21572.98</v>
      </c>
      <c r="I1601">
        <v>2166.2800000000002</v>
      </c>
      <c r="J1601" t="s">
        <v>28</v>
      </c>
      <c r="K1601" t="s">
        <v>33</v>
      </c>
      <c r="L1601">
        <f t="shared" si="72"/>
        <v>2023</v>
      </c>
      <c r="M1601" t="str">
        <f t="shared" si="73"/>
        <v>Jun</v>
      </c>
      <c r="N1601" s="2">
        <f t="shared" si="74"/>
        <v>0.1004163541615484</v>
      </c>
    </row>
    <row r="1602" spans="1:14" x14ac:dyDescent="0.45">
      <c r="A1602" t="s">
        <v>3120</v>
      </c>
      <c r="B1602" s="1">
        <v>45282</v>
      </c>
      <c r="C1602" t="s">
        <v>3121</v>
      </c>
      <c r="D1602" t="s">
        <v>56</v>
      </c>
      <c r="E1602" t="s">
        <v>20</v>
      </c>
      <c r="F1602" t="s">
        <v>21</v>
      </c>
      <c r="G1602">
        <v>3</v>
      </c>
      <c r="H1602">
        <v>7882.65</v>
      </c>
      <c r="I1602">
        <v>1850.89</v>
      </c>
      <c r="J1602" t="s">
        <v>28</v>
      </c>
      <c r="K1602" t="s">
        <v>17</v>
      </c>
      <c r="L1602">
        <f t="shared" si="72"/>
        <v>2023</v>
      </c>
      <c r="M1602" t="str">
        <f t="shared" si="73"/>
        <v>Dec</v>
      </c>
      <c r="N1602" s="2">
        <f t="shared" si="74"/>
        <v>0.23480555396979444</v>
      </c>
    </row>
    <row r="1603" spans="1:14" x14ac:dyDescent="0.45">
      <c r="A1603" t="s">
        <v>3122</v>
      </c>
      <c r="B1603" s="1">
        <v>45018</v>
      </c>
      <c r="C1603" t="s">
        <v>3123</v>
      </c>
      <c r="D1603" t="s">
        <v>26</v>
      </c>
      <c r="E1603" t="s">
        <v>36</v>
      </c>
      <c r="F1603" t="s">
        <v>64</v>
      </c>
      <c r="G1603">
        <v>1</v>
      </c>
      <c r="H1603">
        <v>15510.39</v>
      </c>
      <c r="I1603">
        <v>2504.7800000000002</v>
      </c>
      <c r="J1603" t="s">
        <v>16</v>
      </c>
      <c r="K1603" t="s">
        <v>17</v>
      </c>
      <c r="L1603">
        <f t="shared" ref="L1603:L1666" si="75">YEAR(B1603 )</f>
        <v>2023</v>
      </c>
      <c r="M1603" t="str">
        <f t="shared" ref="M1603:M1666" si="76">TEXT(B1603,"MMM")</f>
        <v>Apr</v>
      </c>
      <c r="N1603" s="2">
        <f t="shared" ref="N1603:N1666" si="77">I1603 / H1603</f>
        <v>0.16149045897620887</v>
      </c>
    </row>
    <row r="1604" spans="1:14" x14ac:dyDescent="0.45">
      <c r="A1604" t="s">
        <v>3124</v>
      </c>
      <c r="B1604" s="1">
        <v>44612</v>
      </c>
      <c r="C1604" t="s">
        <v>3125</v>
      </c>
      <c r="D1604" t="s">
        <v>56</v>
      </c>
      <c r="E1604" t="s">
        <v>14</v>
      </c>
      <c r="F1604" t="s">
        <v>15</v>
      </c>
      <c r="G1604">
        <v>3</v>
      </c>
      <c r="H1604">
        <v>7222.62</v>
      </c>
      <c r="I1604">
        <v>1802.9</v>
      </c>
      <c r="J1604" t="s">
        <v>22</v>
      </c>
      <c r="K1604" t="s">
        <v>17</v>
      </c>
      <c r="L1604">
        <f t="shared" si="75"/>
        <v>2022</v>
      </c>
      <c r="M1604" t="str">
        <f t="shared" si="76"/>
        <v>Feb</v>
      </c>
      <c r="N1604" s="2">
        <f t="shared" si="77"/>
        <v>0.24961855947010919</v>
      </c>
    </row>
    <row r="1605" spans="1:14" x14ac:dyDescent="0.45">
      <c r="A1605" t="s">
        <v>3126</v>
      </c>
      <c r="B1605" s="1">
        <v>44702</v>
      </c>
      <c r="C1605" t="s">
        <v>3127</v>
      </c>
      <c r="D1605" t="s">
        <v>13</v>
      </c>
      <c r="E1605" t="s">
        <v>14</v>
      </c>
      <c r="F1605" t="s">
        <v>15</v>
      </c>
      <c r="G1605">
        <v>3</v>
      </c>
      <c r="H1605">
        <v>41409.86</v>
      </c>
      <c r="I1605">
        <v>5055.21</v>
      </c>
      <c r="J1605" t="s">
        <v>71</v>
      </c>
      <c r="K1605" t="s">
        <v>23</v>
      </c>
      <c r="L1605">
        <f t="shared" si="75"/>
        <v>2022</v>
      </c>
      <c r="M1605" t="str">
        <f t="shared" si="76"/>
        <v>May</v>
      </c>
      <c r="N1605" s="2">
        <f t="shared" si="77"/>
        <v>0.12207744725531552</v>
      </c>
    </row>
    <row r="1606" spans="1:14" x14ac:dyDescent="0.45">
      <c r="A1606" t="s">
        <v>3128</v>
      </c>
      <c r="B1606" s="1">
        <v>45439</v>
      </c>
      <c r="C1606" t="s">
        <v>3129</v>
      </c>
      <c r="D1606" t="s">
        <v>13</v>
      </c>
      <c r="E1606" t="s">
        <v>14</v>
      </c>
      <c r="F1606" t="s">
        <v>57</v>
      </c>
      <c r="G1606">
        <v>5</v>
      </c>
      <c r="H1606">
        <v>20248.259999999998</v>
      </c>
      <c r="I1606">
        <v>2404.44</v>
      </c>
      <c r="J1606" t="s">
        <v>28</v>
      </c>
      <c r="K1606" t="s">
        <v>33</v>
      </c>
      <c r="L1606">
        <f t="shared" si="75"/>
        <v>2024</v>
      </c>
      <c r="M1606" t="str">
        <f t="shared" si="76"/>
        <v>May</v>
      </c>
      <c r="N1606" s="2">
        <f t="shared" si="77"/>
        <v>0.11874798130802351</v>
      </c>
    </row>
    <row r="1607" spans="1:14" x14ac:dyDescent="0.45">
      <c r="A1607" t="s">
        <v>3130</v>
      </c>
      <c r="B1607" s="1">
        <v>44678</v>
      </c>
      <c r="C1607" t="s">
        <v>3131</v>
      </c>
      <c r="D1607" t="s">
        <v>13</v>
      </c>
      <c r="E1607" t="s">
        <v>14</v>
      </c>
      <c r="F1607" t="s">
        <v>57</v>
      </c>
      <c r="G1607">
        <v>3</v>
      </c>
      <c r="H1607">
        <v>37992.94</v>
      </c>
      <c r="I1607">
        <v>2201.64</v>
      </c>
      <c r="J1607" t="s">
        <v>16</v>
      </c>
      <c r="K1607" t="s">
        <v>17</v>
      </c>
      <c r="L1607">
        <f t="shared" si="75"/>
        <v>2022</v>
      </c>
      <c r="M1607" t="str">
        <f t="shared" si="76"/>
        <v>Apr</v>
      </c>
      <c r="N1607" s="2">
        <f t="shared" si="77"/>
        <v>5.7948660988067779E-2</v>
      </c>
    </row>
    <row r="1608" spans="1:14" x14ac:dyDescent="0.45">
      <c r="A1608" t="s">
        <v>3132</v>
      </c>
      <c r="B1608" s="1">
        <v>44773</v>
      </c>
      <c r="C1608" t="s">
        <v>3133</v>
      </c>
      <c r="D1608" t="s">
        <v>56</v>
      </c>
      <c r="E1608" t="s">
        <v>20</v>
      </c>
      <c r="F1608" t="s">
        <v>43</v>
      </c>
      <c r="G1608">
        <v>5</v>
      </c>
      <c r="H1608">
        <v>3291.46</v>
      </c>
      <c r="I1608">
        <v>582.58000000000004</v>
      </c>
      <c r="J1608" t="s">
        <v>16</v>
      </c>
      <c r="K1608" t="s">
        <v>17</v>
      </c>
      <c r="L1608">
        <f t="shared" si="75"/>
        <v>2022</v>
      </c>
      <c r="M1608" t="str">
        <f t="shared" si="76"/>
        <v>Jul</v>
      </c>
      <c r="N1608" s="2">
        <f t="shared" si="77"/>
        <v>0.17699744186470442</v>
      </c>
    </row>
    <row r="1609" spans="1:14" x14ac:dyDescent="0.45">
      <c r="A1609" t="s">
        <v>3134</v>
      </c>
      <c r="B1609" s="1">
        <v>45381</v>
      </c>
      <c r="C1609" t="s">
        <v>3135</v>
      </c>
      <c r="D1609" t="s">
        <v>26</v>
      </c>
      <c r="E1609" t="s">
        <v>20</v>
      </c>
      <c r="F1609" t="s">
        <v>50</v>
      </c>
      <c r="G1609">
        <v>1</v>
      </c>
      <c r="H1609">
        <v>21801.59</v>
      </c>
      <c r="I1609">
        <v>3101.98</v>
      </c>
      <c r="J1609" t="s">
        <v>28</v>
      </c>
      <c r="K1609" t="s">
        <v>17</v>
      </c>
      <c r="L1609">
        <f t="shared" si="75"/>
        <v>2024</v>
      </c>
      <c r="M1609" t="str">
        <f t="shared" si="76"/>
        <v>Mar</v>
      </c>
      <c r="N1609" s="2">
        <f t="shared" si="77"/>
        <v>0.14228228308118812</v>
      </c>
    </row>
    <row r="1610" spans="1:14" x14ac:dyDescent="0.45">
      <c r="A1610" t="s">
        <v>3136</v>
      </c>
      <c r="B1610" s="1">
        <v>45543</v>
      </c>
      <c r="C1610" t="s">
        <v>3137</v>
      </c>
      <c r="D1610" t="s">
        <v>13</v>
      </c>
      <c r="E1610" t="s">
        <v>14</v>
      </c>
      <c r="F1610" t="s">
        <v>40</v>
      </c>
      <c r="G1610">
        <v>3</v>
      </c>
      <c r="H1610">
        <v>6557.92</v>
      </c>
      <c r="I1610">
        <v>1097.9100000000001</v>
      </c>
      <c r="J1610" t="s">
        <v>22</v>
      </c>
      <c r="K1610" t="s">
        <v>33</v>
      </c>
      <c r="L1610">
        <f t="shared" si="75"/>
        <v>2024</v>
      </c>
      <c r="M1610" t="str">
        <f t="shared" si="76"/>
        <v>Sep</v>
      </c>
      <c r="N1610" s="2">
        <f t="shared" si="77"/>
        <v>0.16741741283821701</v>
      </c>
    </row>
    <row r="1611" spans="1:14" x14ac:dyDescent="0.45">
      <c r="A1611" t="s">
        <v>3138</v>
      </c>
      <c r="B1611" s="1">
        <v>44868</v>
      </c>
      <c r="C1611" t="s">
        <v>3139</v>
      </c>
      <c r="D1611" t="s">
        <v>26</v>
      </c>
      <c r="E1611" t="s">
        <v>36</v>
      </c>
      <c r="F1611" t="s">
        <v>46</v>
      </c>
      <c r="G1611">
        <v>2</v>
      </c>
      <c r="H1611">
        <v>3583.74</v>
      </c>
      <c r="I1611">
        <v>453.03</v>
      </c>
      <c r="J1611" t="s">
        <v>71</v>
      </c>
      <c r="K1611" t="s">
        <v>29</v>
      </c>
      <c r="L1611">
        <f t="shared" si="75"/>
        <v>2022</v>
      </c>
      <c r="M1611" t="str">
        <f t="shared" si="76"/>
        <v>Nov</v>
      </c>
      <c r="N1611" s="2">
        <f t="shared" si="77"/>
        <v>0.12641263038055217</v>
      </c>
    </row>
    <row r="1612" spans="1:14" x14ac:dyDescent="0.45">
      <c r="A1612" t="s">
        <v>3140</v>
      </c>
      <c r="B1612" s="1">
        <v>45155</v>
      </c>
      <c r="C1612" t="s">
        <v>3141</v>
      </c>
      <c r="D1612" t="s">
        <v>13</v>
      </c>
      <c r="E1612" t="s">
        <v>20</v>
      </c>
      <c r="F1612" t="s">
        <v>43</v>
      </c>
      <c r="G1612">
        <v>2</v>
      </c>
      <c r="H1612">
        <v>32686.47</v>
      </c>
      <c r="I1612">
        <v>4166.43</v>
      </c>
      <c r="J1612" t="s">
        <v>22</v>
      </c>
      <c r="K1612" t="s">
        <v>23</v>
      </c>
      <c r="L1612">
        <f t="shared" si="75"/>
        <v>2023</v>
      </c>
      <c r="M1612" t="str">
        <f t="shared" si="76"/>
        <v>Aug</v>
      </c>
      <c r="N1612" s="2">
        <f t="shared" si="77"/>
        <v>0.12746650219494488</v>
      </c>
    </row>
    <row r="1613" spans="1:14" x14ac:dyDescent="0.45">
      <c r="A1613" t="s">
        <v>3142</v>
      </c>
      <c r="B1613" s="1">
        <v>44841</v>
      </c>
      <c r="C1613" t="s">
        <v>2574</v>
      </c>
      <c r="D1613" t="s">
        <v>26</v>
      </c>
      <c r="E1613" t="s">
        <v>14</v>
      </c>
      <c r="F1613" t="s">
        <v>32</v>
      </c>
      <c r="G1613">
        <v>5</v>
      </c>
      <c r="H1613">
        <v>1223.6600000000001</v>
      </c>
      <c r="I1613">
        <v>283.88</v>
      </c>
      <c r="J1613" t="s">
        <v>47</v>
      </c>
      <c r="K1613" t="s">
        <v>29</v>
      </c>
      <c r="L1613">
        <f t="shared" si="75"/>
        <v>2022</v>
      </c>
      <c r="M1613" t="str">
        <f t="shared" si="76"/>
        <v>Oct</v>
      </c>
      <c r="N1613" s="2">
        <f t="shared" si="77"/>
        <v>0.23199254694931598</v>
      </c>
    </row>
    <row r="1614" spans="1:14" x14ac:dyDescent="0.45">
      <c r="A1614" t="s">
        <v>3143</v>
      </c>
      <c r="B1614" s="1">
        <v>44925</v>
      </c>
      <c r="C1614" t="s">
        <v>3144</v>
      </c>
      <c r="D1614" t="s">
        <v>13</v>
      </c>
      <c r="E1614" t="s">
        <v>20</v>
      </c>
      <c r="F1614" t="s">
        <v>50</v>
      </c>
      <c r="G1614">
        <v>5</v>
      </c>
      <c r="H1614">
        <v>31286.6</v>
      </c>
      <c r="I1614">
        <v>7320.53</v>
      </c>
      <c r="J1614" t="s">
        <v>71</v>
      </c>
      <c r="K1614" t="s">
        <v>33</v>
      </c>
      <c r="L1614">
        <f t="shared" si="75"/>
        <v>2022</v>
      </c>
      <c r="M1614" t="str">
        <f t="shared" si="76"/>
        <v>Dec</v>
      </c>
      <c r="N1614" s="2">
        <f t="shared" si="77"/>
        <v>0.23398291920502706</v>
      </c>
    </row>
    <row r="1615" spans="1:14" x14ac:dyDescent="0.45">
      <c r="A1615" t="s">
        <v>3145</v>
      </c>
      <c r="B1615" s="1">
        <v>44977</v>
      </c>
      <c r="C1615" t="s">
        <v>3146</v>
      </c>
      <c r="D1615" t="s">
        <v>56</v>
      </c>
      <c r="E1615" t="s">
        <v>14</v>
      </c>
      <c r="F1615" t="s">
        <v>57</v>
      </c>
      <c r="G1615">
        <v>2</v>
      </c>
      <c r="H1615">
        <v>28593.93</v>
      </c>
      <c r="I1615">
        <v>3499.28</v>
      </c>
      <c r="J1615" t="s">
        <v>22</v>
      </c>
      <c r="K1615" t="s">
        <v>33</v>
      </c>
      <c r="L1615">
        <f t="shared" si="75"/>
        <v>2023</v>
      </c>
      <c r="M1615" t="str">
        <f t="shared" si="76"/>
        <v>Feb</v>
      </c>
      <c r="N1615" s="2">
        <f t="shared" si="77"/>
        <v>0.12237842087464018</v>
      </c>
    </row>
    <row r="1616" spans="1:14" x14ac:dyDescent="0.45">
      <c r="A1616" t="s">
        <v>3147</v>
      </c>
      <c r="B1616" s="1">
        <v>44661</v>
      </c>
      <c r="C1616" t="s">
        <v>3148</v>
      </c>
      <c r="D1616" t="s">
        <v>26</v>
      </c>
      <c r="E1616" t="s">
        <v>20</v>
      </c>
      <c r="F1616" t="s">
        <v>43</v>
      </c>
      <c r="G1616">
        <v>1</v>
      </c>
      <c r="H1616">
        <v>27759.86</v>
      </c>
      <c r="I1616">
        <v>3614.68</v>
      </c>
      <c r="J1616" t="s">
        <v>22</v>
      </c>
      <c r="K1616" t="s">
        <v>29</v>
      </c>
      <c r="L1616">
        <f t="shared" si="75"/>
        <v>2022</v>
      </c>
      <c r="M1616" t="str">
        <f t="shared" si="76"/>
        <v>Apr</v>
      </c>
      <c r="N1616" s="2">
        <f t="shared" si="77"/>
        <v>0.13021247225310215</v>
      </c>
    </row>
    <row r="1617" spans="1:14" x14ac:dyDescent="0.45">
      <c r="A1617" t="s">
        <v>3149</v>
      </c>
      <c r="B1617" s="1">
        <v>44577</v>
      </c>
      <c r="C1617" t="s">
        <v>3150</v>
      </c>
      <c r="D1617" t="s">
        <v>26</v>
      </c>
      <c r="E1617" t="s">
        <v>14</v>
      </c>
      <c r="F1617" t="s">
        <v>15</v>
      </c>
      <c r="G1617">
        <v>5</v>
      </c>
      <c r="H1617">
        <v>39164.99</v>
      </c>
      <c r="I1617">
        <v>3031.4</v>
      </c>
      <c r="J1617" t="s">
        <v>22</v>
      </c>
      <c r="K1617" t="s">
        <v>33</v>
      </c>
      <c r="L1617">
        <f t="shared" si="75"/>
        <v>2022</v>
      </c>
      <c r="M1617" t="str">
        <f t="shared" si="76"/>
        <v>Jan</v>
      </c>
      <c r="N1617" s="2">
        <f t="shared" si="77"/>
        <v>7.7400760219777931E-2</v>
      </c>
    </row>
    <row r="1618" spans="1:14" x14ac:dyDescent="0.45">
      <c r="A1618" t="s">
        <v>3151</v>
      </c>
      <c r="B1618" s="1">
        <v>45076</v>
      </c>
      <c r="C1618" t="s">
        <v>3152</v>
      </c>
      <c r="D1618" t="s">
        <v>56</v>
      </c>
      <c r="E1618" t="s">
        <v>36</v>
      </c>
      <c r="F1618" t="s">
        <v>53</v>
      </c>
      <c r="G1618">
        <v>4</v>
      </c>
      <c r="H1618">
        <v>42808.77</v>
      </c>
      <c r="I1618">
        <v>3798.81</v>
      </c>
      <c r="J1618" t="s">
        <v>16</v>
      </c>
      <c r="K1618" t="s">
        <v>17</v>
      </c>
      <c r="L1618">
        <f t="shared" si="75"/>
        <v>2023</v>
      </c>
      <c r="M1618" t="str">
        <f t="shared" si="76"/>
        <v>May</v>
      </c>
      <c r="N1618" s="2">
        <f t="shared" si="77"/>
        <v>8.8739059776770046E-2</v>
      </c>
    </row>
    <row r="1619" spans="1:14" x14ac:dyDescent="0.45">
      <c r="A1619" t="s">
        <v>3153</v>
      </c>
      <c r="B1619" s="1">
        <v>44562</v>
      </c>
      <c r="C1619" t="s">
        <v>3154</v>
      </c>
      <c r="D1619" t="s">
        <v>56</v>
      </c>
      <c r="E1619" t="s">
        <v>36</v>
      </c>
      <c r="F1619" t="s">
        <v>53</v>
      </c>
      <c r="G1619">
        <v>5</v>
      </c>
      <c r="H1619">
        <v>9325.9500000000007</v>
      </c>
      <c r="I1619">
        <v>2018.62</v>
      </c>
      <c r="J1619" t="s">
        <v>22</v>
      </c>
      <c r="K1619" t="s">
        <v>33</v>
      </c>
      <c r="L1619">
        <f t="shared" si="75"/>
        <v>2022</v>
      </c>
      <c r="M1619" t="str">
        <f t="shared" si="76"/>
        <v>Jan</v>
      </c>
      <c r="N1619" s="2">
        <f t="shared" si="77"/>
        <v>0.21645194323366518</v>
      </c>
    </row>
    <row r="1620" spans="1:14" x14ac:dyDescent="0.45">
      <c r="A1620" t="s">
        <v>3155</v>
      </c>
      <c r="B1620" s="1">
        <v>44791</v>
      </c>
      <c r="C1620" t="s">
        <v>3156</v>
      </c>
      <c r="D1620" t="s">
        <v>13</v>
      </c>
      <c r="E1620" t="s">
        <v>14</v>
      </c>
      <c r="F1620" t="s">
        <v>40</v>
      </c>
      <c r="G1620">
        <v>5</v>
      </c>
      <c r="H1620">
        <v>47222.54</v>
      </c>
      <c r="I1620">
        <v>8198.23</v>
      </c>
      <c r="J1620" t="s">
        <v>71</v>
      </c>
      <c r="K1620" t="s">
        <v>33</v>
      </c>
      <c r="L1620">
        <f t="shared" si="75"/>
        <v>2022</v>
      </c>
      <c r="M1620" t="str">
        <f t="shared" si="76"/>
        <v>Aug</v>
      </c>
      <c r="N1620" s="2">
        <f t="shared" si="77"/>
        <v>0.1736084081881237</v>
      </c>
    </row>
    <row r="1621" spans="1:14" x14ac:dyDescent="0.45">
      <c r="A1621" t="s">
        <v>3157</v>
      </c>
      <c r="B1621" s="1">
        <v>45397</v>
      </c>
      <c r="C1621" t="s">
        <v>3158</v>
      </c>
      <c r="D1621" t="s">
        <v>13</v>
      </c>
      <c r="E1621" t="s">
        <v>20</v>
      </c>
      <c r="F1621" t="s">
        <v>43</v>
      </c>
      <c r="G1621">
        <v>3</v>
      </c>
      <c r="H1621">
        <v>5038.5600000000004</v>
      </c>
      <c r="I1621">
        <v>840.19</v>
      </c>
      <c r="J1621" t="s">
        <v>71</v>
      </c>
      <c r="K1621" t="s">
        <v>23</v>
      </c>
      <c r="L1621">
        <f t="shared" si="75"/>
        <v>2024</v>
      </c>
      <c r="M1621" t="str">
        <f t="shared" si="76"/>
        <v>Apr</v>
      </c>
      <c r="N1621" s="2">
        <f t="shared" si="77"/>
        <v>0.16675200851036803</v>
      </c>
    </row>
    <row r="1622" spans="1:14" x14ac:dyDescent="0.45">
      <c r="A1622" t="s">
        <v>3159</v>
      </c>
      <c r="B1622" s="1">
        <v>44919</v>
      </c>
      <c r="C1622" t="s">
        <v>3160</v>
      </c>
      <c r="D1622" t="s">
        <v>26</v>
      </c>
      <c r="E1622" t="s">
        <v>36</v>
      </c>
      <c r="F1622" t="s">
        <v>53</v>
      </c>
      <c r="G1622">
        <v>1</v>
      </c>
      <c r="H1622">
        <v>20770.88</v>
      </c>
      <c r="I1622">
        <v>4788.24</v>
      </c>
      <c r="J1622" t="s">
        <v>47</v>
      </c>
      <c r="K1622" t="s">
        <v>29</v>
      </c>
      <c r="L1622">
        <f t="shared" si="75"/>
        <v>2022</v>
      </c>
      <c r="M1622" t="str">
        <f t="shared" si="76"/>
        <v>Dec</v>
      </c>
      <c r="N1622" s="2">
        <f t="shared" si="77"/>
        <v>0.23052658337056492</v>
      </c>
    </row>
    <row r="1623" spans="1:14" x14ac:dyDescent="0.45">
      <c r="A1623" t="s">
        <v>3161</v>
      </c>
      <c r="B1623" s="1">
        <v>45089</v>
      </c>
      <c r="C1623" t="s">
        <v>3162</v>
      </c>
      <c r="D1623" t="s">
        <v>56</v>
      </c>
      <c r="E1623" t="s">
        <v>36</v>
      </c>
      <c r="F1623" t="s">
        <v>46</v>
      </c>
      <c r="G1623">
        <v>2</v>
      </c>
      <c r="H1623">
        <v>21436.33</v>
      </c>
      <c r="I1623">
        <v>4215.2299999999996</v>
      </c>
      <c r="J1623" t="s">
        <v>28</v>
      </c>
      <c r="K1623" t="s">
        <v>29</v>
      </c>
      <c r="L1623">
        <f t="shared" si="75"/>
        <v>2023</v>
      </c>
      <c r="M1623" t="str">
        <f t="shared" si="76"/>
        <v>Jun</v>
      </c>
      <c r="N1623" s="2">
        <f t="shared" si="77"/>
        <v>0.1966395367117412</v>
      </c>
    </row>
    <row r="1624" spans="1:14" x14ac:dyDescent="0.45">
      <c r="A1624" t="s">
        <v>3163</v>
      </c>
      <c r="B1624" s="1">
        <v>45335</v>
      </c>
      <c r="C1624" t="s">
        <v>3164</v>
      </c>
      <c r="D1624" t="s">
        <v>13</v>
      </c>
      <c r="E1624" t="s">
        <v>14</v>
      </c>
      <c r="F1624" t="s">
        <v>40</v>
      </c>
      <c r="G1624">
        <v>4</v>
      </c>
      <c r="H1624">
        <v>8182.32</v>
      </c>
      <c r="I1624">
        <v>996.76</v>
      </c>
      <c r="J1624" t="s">
        <v>71</v>
      </c>
      <c r="K1624" t="s">
        <v>17</v>
      </c>
      <c r="L1624">
        <f t="shared" si="75"/>
        <v>2024</v>
      </c>
      <c r="M1624" t="str">
        <f t="shared" si="76"/>
        <v>Feb</v>
      </c>
      <c r="N1624" s="2">
        <f t="shared" si="77"/>
        <v>0.12181875067218099</v>
      </c>
    </row>
    <row r="1625" spans="1:14" x14ac:dyDescent="0.45">
      <c r="A1625" t="s">
        <v>3165</v>
      </c>
      <c r="B1625" s="1">
        <v>44959</v>
      </c>
      <c r="C1625" t="s">
        <v>3166</v>
      </c>
      <c r="D1625" t="s">
        <v>13</v>
      </c>
      <c r="E1625" t="s">
        <v>36</v>
      </c>
      <c r="F1625" t="s">
        <v>46</v>
      </c>
      <c r="G1625">
        <v>3</v>
      </c>
      <c r="H1625">
        <v>40392.54</v>
      </c>
      <c r="I1625">
        <v>7828.41</v>
      </c>
      <c r="J1625" t="s">
        <v>28</v>
      </c>
      <c r="K1625" t="s">
        <v>33</v>
      </c>
      <c r="L1625">
        <f t="shared" si="75"/>
        <v>2023</v>
      </c>
      <c r="M1625" t="str">
        <f t="shared" si="76"/>
        <v>Feb</v>
      </c>
      <c r="N1625" s="2">
        <f t="shared" si="77"/>
        <v>0.1938083121289228</v>
      </c>
    </row>
    <row r="1626" spans="1:14" x14ac:dyDescent="0.45">
      <c r="A1626" t="s">
        <v>3167</v>
      </c>
      <c r="B1626" s="1">
        <v>45464</v>
      </c>
      <c r="C1626" t="s">
        <v>3168</v>
      </c>
      <c r="D1626" t="s">
        <v>56</v>
      </c>
      <c r="E1626" t="s">
        <v>14</v>
      </c>
      <c r="F1626" t="s">
        <v>15</v>
      </c>
      <c r="G1626">
        <v>3</v>
      </c>
      <c r="H1626">
        <v>22274.17</v>
      </c>
      <c r="I1626">
        <v>1626.96</v>
      </c>
      <c r="J1626" t="s">
        <v>71</v>
      </c>
      <c r="K1626" t="s">
        <v>17</v>
      </c>
      <c r="L1626">
        <f t="shared" si="75"/>
        <v>2024</v>
      </c>
      <c r="M1626" t="str">
        <f t="shared" si="76"/>
        <v>Jun</v>
      </c>
      <c r="N1626" s="2">
        <f t="shared" si="77"/>
        <v>7.3042452311354367E-2</v>
      </c>
    </row>
    <row r="1627" spans="1:14" x14ac:dyDescent="0.45">
      <c r="A1627" t="s">
        <v>3169</v>
      </c>
      <c r="B1627" s="1">
        <v>44982</v>
      </c>
      <c r="C1627" t="s">
        <v>3170</v>
      </c>
      <c r="D1627" t="s">
        <v>26</v>
      </c>
      <c r="E1627" t="s">
        <v>20</v>
      </c>
      <c r="F1627" t="s">
        <v>27</v>
      </c>
      <c r="G1627">
        <v>1</v>
      </c>
      <c r="H1627">
        <v>33609.29</v>
      </c>
      <c r="I1627">
        <v>2057.85</v>
      </c>
      <c r="J1627" t="s">
        <v>47</v>
      </c>
      <c r="K1627" t="s">
        <v>23</v>
      </c>
      <c r="L1627">
        <f t="shared" si="75"/>
        <v>2023</v>
      </c>
      <c r="M1627" t="str">
        <f t="shared" si="76"/>
        <v>Feb</v>
      </c>
      <c r="N1627" s="2">
        <f t="shared" si="77"/>
        <v>6.12286067334359E-2</v>
      </c>
    </row>
    <row r="1628" spans="1:14" x14ac:dyDescent="0.45">
      <c r="A1628" t="s">
        <v>3171</v>
      </c>
      <c r="B1628" s="1">
        <v>44973</v>
      </c>
      <c r="C1628" t="s">
        <v>3172</v>
      </c>
      <c r="D1628" t="s">
        <v>56</v>
      </c>
      <c r="E1628" t="s">
        <v>20</v>
      </c>
      <c r="F1628" t="s">
        <v>43</v>
      </c>
      <c r="G1628">
        <v>4</v>
      </c>
      <c r="H1628">
        <v>32269.54</v>
      </c>
      <c r="I1628">
        <v>3543.74</v>
      </c>
      <c r="J1628" t="s">
        <v>28</v>
      </c>
      <c r="K1628" t="s">
        <v>33</v>
      </c>
      <c r="L1628">
        <f t="shared" si="75"/>
        <v>2023</v>
      </c>
      <c r="M1628" t="str">
        <f t="shared" si="76"/>
        <v>Feb</v>
      </c>
      <c r="N1628" s="2">
        <f t="shared" si="77"/>
        <v>0.10981687374533383</v>
      </c>
    </row>
    <row r="1629" spans="1:14" x14ac:dyDescent="0.45">
      <c r="A1629" t="s">
        <v>3173</v>
      </c>
      <c r="B1629" s="1">
        <v>44756</v>
      </c>
      <c r="C1629" t="s">
        <v>3174</v>
      </c>
      <c r="D1629" t="s">
        <v>56</v>
      </c>
      <c r="E1629" t="s">
        <v>20</v>
      </c>
      <c r="F1629" t="s">
        <v>21</v>
      </c>
      <c r="G1629">
        <v>3</v>
      </c>
      <c r="H1629">
        <v>35628.94</v>
      </c>
      <c r="I1629">
        <v>2833.96</v>
      </c>
      <c r="J1629" t="s">
        <v>47</v>
      </c>
      <c r="K1629" t="s">
        <v>23</v>
      </c>
      <c r="L1629">
        <f t="shared" si="75"/>
        <v>2022</v>
      </c>
      <c r="M1629" t="str">
        <f t="shared" si="76"/>
        <v>Jul</v>
      </c>
      <c r="N1629" s="2">
        <f t="shared" si="77"/>
        <v>7.9540957435163664E-2</v>
      </c>
    </row>
    <row r="1630" spans="1:14" x14ac:dyDescent="0.45">
      <c r="A1630" t="s">
        <v>3175</v>
      </c>
      <c r="B1630" s="1">
        <v>45402</v>
      </c>
      <c r="C1630" t="s">
        <v>3176</v>
      </c>
      <c r="D1630" t="s">
        <v>13</v>
      </c>
      <c r="E1630" t="s">
        <v>20</v>
      </c>
      <c r="F1630" t="s">
        <v>27</v>
      </c>
      <c r="G1630">
        <v>2</v>
      </c>
      <c r="H1630">
        <v>12353.37</v>
      </c>
      <c r="I1630">
        <v>1157.47</v>
      </c>
      <c r="J1630" t="s">
        <v>16</v>
      </c>
      <c r="K1630" t="s">
        <v>33</v>
      </c>
      <c r="L1630">
        <f t="shared" si="75"/>
        <v>2024</v>
      </c>
      <c r="M1630" t="str">
        <f t="shared" si="76"/>
        <v>Apr</v>
      </c>
      <c r="N1630" s="2">
        <f t="shared" si="77"/>
        <v>9.3696699766946182E-2</v>
      </c>
    </row>
    <row r="1631" spans="1:14" x14ac:dyDescent="0.45">
      <c r="A1631" t="s">
        <v>3177</v>
      </c>
      <c r="B1631" s="1">
        <v>45398</v>
      </c>
      <c r="C1631" t="s">
        <v>3178</v>
      </c>
      <c r="D1631" t="s">
        <v>13</v>
      </c>
      <c r="E1631" t="s">
        <v>14</v>
      </c>
      <c r="F1631" t="s">
        <v>57</v>
      </c>
      <c r="G1631">
        <v>5</v>
      </c>
      <c r="H1631">
        <v>29755.96</v>
      </c>
      <c r="I1631">
        <v>4083.48</v>
      </c>
      <c r="J1631" t="s">
        <v>47</v>
      </c>
      <c r="K1631" t="s">
        <v>23</v>
      </c>
      <c r="L1631">
        <f t="shared" si="75"/>
        <v>2024</v>
      </c>
      <c r="M1631" t="str">
        <f t="shared" si="76"/>
        <v>Apr</v>
      </c>
      <c r="N1631" s="2">
        <f t="shared" si="77"/>
        <v>0.13723233933638843</v>
      </c>
    </row>
    <row r="1632" spans="1:14" x14ac:dyDescent="0.45">
      <c r="A1632" t="s">
        <v>3179</v>
      </c>
      <c r="B1632" s="1">
        <v>45600</v>
      </c>
      <c r="C1632" t="s">
        <v>3180</v>
      </c>
      <c r="D1632" t="s">
        <v>56</v>
      </c>
      <c r="E1632" t="s">
        <v>20</v>
      </c>
      <c r="F1632" t="s">
        <v>50</v>
      </c>
      <c r="G1632">
        <v>1</v>
      </c>
      <c r="H1632">
        <v>20186.91</v>
      </c>
      <c r="I1632">
        <v>4378.4799999999996</v>
      </c>
      <c r="J1632" t="s">
        <v>47</v>
      </c>
      <c r="K1632" t="s">
        <v>23</v>
      </c>
      <c r="L1632">
        <f t="shared" si="75"/>
        <v>2024</v>
      </c>
      <c r="M1632" t="str">
        <f t="shared" si="76"/>
        <v>Nov</v>
      </c>
      <c r="N1632" s="2">
        <f t="shared" si="77"/>
        <v>0.21689698918754774</v>
      </c>
    </row>
    <row r="1633" spans="1:14" x14ac:dyDescent="0.45">
      <c r="A1633" t="s">
        <v>3181</v>
      </c>
      <c r="B1633" s="1">
        <v>45400</v>
      </c>
      <c r="C1633" t="s">
        <v>3182</v>
      </c>
      <c r="D1633" t="s">
        <v>56</v>
      </c>
      <c r="E1633" t="s">
        <v>20</v>
      </c>
      <c r="F1633" t="s">
        <v>43</v>
      </c>
      <c r="G1633">
        <v>5</v>
      </c>
      <c r="H1633">
        <v>5317.72</v>
      </c>
      <c r="I1633">
        <v>541.30999999999995</v>
      </c>
      <c r="J1633" t="s">
        <v>47</v>
      </c>
      <c r="K1633" t="s">
        <v>17</v>
      </c>
      <c r="L1633">
        <f t="shared" si="75"/>
        <v>2024</v>
      </c>
      <c r="M1633" t="str">
        <f t="shared" si="76"/>
        <v>Apr</v>
      </c>
      <c r="N1633" s="2">
        <f t="shared" si="77"/>
        <v>0.10179362583964555</v>
      </c>
    </row>
    <row r="1634" spans="1:14" x14ac:dyDescent="0.45">
      <c r="A1634" t="s">
        <v>3183</v>
      </c>
      <c r="B1634" s="1">
        <v>45553</v>
      </c>
      <c r="C1634" t="s">
        <v>3184</v>
      </c>
      <c r="D1634" t="s">
        <v>26</v>
      </c>
      <c r="E1634" t="s">
        <v>14</v>
      </c>
      <c r="F1634" t="s">
        <v>15</v>
      </c>
      <c r="G1634">
        <v>4</v>
      </c>
      <c r="H1634">
        <v>21099.42</v>
      </c>
      <c r="I1634">
        <v>3528.05</v>
      </c>
      <c r="J1634" t="s">
        <v>71</v>
      </c>
      <c r="K1634" t="s">
        <v>29</v>
      </c>
      <c r="L1634">
        <f t="shared" si="75"/>
        <v>2024</v>
      </c>
      <c r="M1634" t="str">
        <f t="shared" si="76"/>
        <v>Sep</v>
      </c>
      <c r="N1634" s="2">
        <f t="shared" si="77"/>
        <v>0.16721075745210059</v>
      </c>
    </row>
    <row r="1635" spans="1:14" x14ac:dyDescent="0.45">
      <c r="A1635" t="s">
        <v>3185</v>
      </c>
      <c r="B1635" s="1">
        <v>44570</v>
      </c>
      <c r="C1635" t="s">
        <v>1756</v>
      </c>
      <c r="D1635" t="s">
        <v>13</v>
      </c>
      <c r="E1635" t="s">
        <v>14</v>
      </c>
      <c r="F1635" t="s">
        <v>15</v>
      </c>
      <c r="G1635">
        <v>5</v>
      </c>
      <c r="H1635">
        <v>47847.94</v>
      </c>
      <c r="I1635">
        <v>3981.89</v>
      </c>
      <c r="J1635" t="s">
        <v>22</v>
      </c>
      <c r="K1635" t="s">
        <v>23</v>
      </c>
      <c r="L1635">
        <f t="shared" si="75"/>
        <v>2022</v>
      </c>
      <c r="M1635" t="str">
        <f t="shared" si="76"/>
        <v>Jan</v>
      </c>
      <c r="N1635" s="2">
        <f t="shared" si="77"/>
        <v>8.3219674661019885E-2</v>
      </c>
    </row>
    <row r="1636" spans="1:14" x14ac:dyDescent="0.45">
      <c r="A1636" t="s">
        <v>3186</v>
      </c>
      <c r="B1636" s="1">
        <v>44654</v>
      </c>
      <c r="C1636" t="s">
        <v>3187</v>
      </c>
      <c r="D1636" t="s">
        <v>56</v>
      </c>
      <c r="E1636" t="s">
        <v>36</v>
      </c>
      <c r="F1636" t="s">
        <v>53</v>
      </c>
      <c r="G1636">
        <v>4</v>
      </c>
      <c r="H1636">
        <v>4909.1400000000003</v>
      </c>
      <c r="I1636">
        <v>446.68</v>
      </c>
      <c r="J1636" t="s">
        <v>47</v>
      </c>
      <c r="K1636" t="s">
        <v>29</v>
      </c>
      <c r="L1636">
        <f t="shared" si="75"/>
        <v>2022</v>
      </c>
      <c r="M1636" t="str">
        <f t="shared" si="76"/>
        <v>Apr</v>
      </c>
      <c r="N1636" s="2">
        <f t="shared" si="77"/>
        <v>9.0989460475765602E-2</v>
      </c>
    </row>
    <row r="1637" spans="1:14" x14ac:dyDescent="0.45">
      <c r="A1637" t="s">
        <v>3188</v>
      </c>
      <c r="B1637" s="1">
        <v>44966</v>
      </c>
      <c r="C1637" t="s">
        <v>3189</v>
      </c>
      <c r="D1637" t="s">
        <v>56</v>
      </c>
      <c r="E1637" t="s">
        <v>14</v>
      </c>
      <c r="F1637" t="s">
        <v>15</v>
      </c>
      <c r="G1637">
        <v>4</v>
      </c>
      <c r="H1637">
        <v>34500.269999999997</v>
      </c>
      <c r="I1637">
        <v>6872.17</v>
      </c>
      <c r="J1637" t="s">
        <v>22</v>
      </c>
      <c r="K1637" t="s">
        <v>23</v>
      </c>
      <c r="L1637">
        <f t="shared" si="75"/>
        <v>2023</v>
      </c>
      <c r="M1637" t="str">
        <f t="shared" si="76"/>
        <v>Feb</v>
      </c>
      <c r="N1637" s="2">
        <f t="shared" si="77"/>
        <v>0.19919177444118555</v>
      </c>
    </row>
    <row r="1638" spans="1:14" x14ac:dyDescent="0.45">
      <c r="A1638" t="s">
        <v>3190</v>
      </c>
      <c r="B1638" s="1">
        <v>44575</v>
      </c>
      <c r="C1638" t="s">
        <v>3191</v>
      </c>
      <c r="D1638" t="s">
        <v>26</v>
      </c>
      <c r="E1638" t="s">
        <v>20</v>
      </c>
      <c r="F1638" t="s">
        <v>50</v>
      </c>
      <c r="G1638">
        <v>4</v>
      </c>
      <c r="H1638">
        <v>4513.49</v>
      </c>
      <c r="I1638">
        <v>709.6</v>
      </c>
      <c r="J1638" t="s">
        <v>47</v>
      </c>
      <c r="K1638" t="s">
        <v>29</v>
      </c>
      <c r="L1638">
        <f t="shared" si="75"/>
        <v>2022</v>
      </c>
      <c r="M1638" t="str">
        <f t="shared" si="76"/>
        <v>Jan</v>
      </c>
      <c r="N1638" s="2">
        <f t="shared" si="77"/>
        <v>0.15721758550478676</v>
      </c>
    </row>
    <row r="1639" spans="1:14" x14ac:dyDescent="0.45">
      <c r="A1639" t="s">
        <v>3192</v>
      </c>
      <c r="B1639" s="1">
        <v>45314</v>
      </c>
      <c r="C1639" t="s">
        <v>3193</v>
      </c>
      <c r="D1639" t="s">
        <v>26</v>
      </c>
      <c r="E1639" t="s">
        <v>20</v>
      </c>
      <c r="F1639" t="s">
        <v>43</v>
      </c>
      <c r="G1639">
        <v>1</v>
      </c>
      <c r="H1639">
        <v>43853.31</v>
      </c>
      <c r="I1639">
        <v>3521.76</v>
      </c>
      <c r="J1639" t="s">
        <v>16</v>
      </c>
      <c r="K1639" t="s">
        <v>17</v>
      </c>
      <c r="L1639">
        <f t="shared" si="75"/>
        <v>2024</v>
      </c>
      <c r="M1639" t="str">
        <f t="shared" si="76"/>
        <v>Jan</v>
      </c>
      <c r="N1639" s="2">
        <f t="shared" si="77"/>
        <v>8.030773503756046E-2</v>
      </c>
    </row>
    <row r="1640" spans="1:14" x14ac:dyDescent="0.45">
      <c r="A1640" t="s">
        <v>3194</v>
      </c>
      <c r="B1640" s="1">
        <v>45401</v>
      </c>
      <c r="C1640" t="s">
        <v>3195</v>
      </c>
      <c r="D1640" t="s">
        <v>56</v>
      </c>
      <c r="E1640" t="s">
        <v>14</v>
      </c>
      <c r="F1640" t="s">
        <v>15</v>
      </c>
      <c r="G1640">
        <v>1</v>
      </c>
      <c r="H1640">
        <v>42517.66</v>
      </c>
      <c r="I1640">
        <v>8095.94</v>
      </c>
      <c r="J1640" t="s">
        <v>71</v>
      </c>
      <c r="K1640" t="s">
        <v>29</v>
      </c>
      <c r="L1640">
        <f t="shared" si="75"/>
        <v>2024</v>
      </c>
      <c r="M1640" t="str">
        <f t="shared" si="76"/>
        <v>Apr</v>
      </c>
      <c r="N1640" s="2">
        <f t="shared" si="77"/>
        <v>0.19041358343803491</v>
      </c>
    </row>
    <row r="1641" spans="1:14" x14ac:dyDescent="0.45">
      <c r="A1641" t="s">
        <v>3196</v>
      </c>
      <c r="B1641" s="1">
        <v>45338</v>
      </c>
      <c r="C1641" t="s">
        <v>3197</v>
      </c>
      <c r="D1641" t="s">
        <v>13</v>
      </c>
      <c r="E1641" t="s">
        <v>20</v>
      </c>
      <c r="F1641" t="s">
        <v>43</v>
      </c>
      <c r="G1641">
        <v>5</v>
      </c>
      <c r="H1641">
        <v>30128.63</v>
      </c>
      <c r="I1641">
        <v>2497.59</v>
      </c>
      <c r="J1641" t="s">
        <v>71</v>
      </c>
      <c r="K1641" t="s">
        <v>33</v>
      </c>
      <c r="L1641">
        <f t="shared" si="75"/>
        <v>2024</v>
      </c>
      <c r="M1641" t="str">
        <f t="shared" si="76"/>
        <v>Feb</v>
      </c>
      <c r="N1641" s="2">
        <f t="shared" si="77"/>
        <v>8.2897562882879181E-2</v>
      </c>
    </row>
    <row r="1642" spans="1:14" x14ac:dyDescent="0.45">
      <c r="A1642" t="s">
        <v>3198</v>
      </c>
      <c r="B1642" s="1">
        <v>44582</v>
      </c>
      <c r="C1642" t="s">
        <v>3199</v>
      </c>
      <c r="D1642" t="s">
        <v>26</v>
      </c>
      <c r="E1642" t="s">
        <v>20</v>
      </c>
      <c r="F1642" t="s">
        <v>27</v>
      </c>
      <c r="G1642">
        <v>5</v>
      </c>
      <c r="H1642">
        <v>40679.279999999999</v>
      </c>
      <c r="I1642">
        <v>5009.3100000000004</v>
      </c>
      <c r="J1642" t="s">
        <v>16</v>
      </c>
      <c r="K1642" t="s">
        <v>33</v>
      </c>
      <c r="L1642">
        <f t="shared" si="75"/>
        <v>2022</v>
      </c>
      <c r="M1642" t="str">
        <f t="shared" si="76"/>
        <v>Jan</v>
      </c>
      <c r="N1642" s="2">
        <f t="shared" si="77"/>
        <v>0.12314156002761112</v>
      </c>
    </row>
    <row r="1643" spans="1:14" x14ac:dyDescent="0.45">
      <c r="A1643" t="s">
        <v>3200</v>
      </c>
      <c r="B1643" s="1">
        <v>45627</v>
      </c>
      <c r="C1643" t="s">
        <v>2103</v>
      </c>
      <c r="D1643" t="s">
        <v>56</v>
      </c>
      <c r="E1643" t="s">
        <v>20</v>
      </c>
      <c r="F1643" t="s">
        <v>21</v>
      </c>
      <c r="G1643">
        <v>3</v>
      </c>
      <c r="H1643">
        <v>20213.34</v>
      </c>
      <c r="I1643">
        <v>3880.71</v>
      </c>
      <c r="J1643" t="s">
        <v>71</v>
      </c>
      <c r="K1643" t="s">
        <v>17</v>
      </c>
      <c r="L1643">
        <f t="shared" si="75"/>
        <v>2024</v>
      </c>
      <c r="M1643" t="str">
        <f t="shared" si="76"/>
        <v>Dec</v>
      </c>
      <c r="N1643" s="2">
        <f t="shared" si="77"/>
        <v>0.19198756860568317</v>
      </c>
    </row>
    <row r="1644" spans="1:14" x14ac:dyDescent="0.45">
      <c r="A1644" t="s">
        <v>3201</v>
      </c>
      <c r="B1644" s="1">
        <v>44706</v>
      </c>
      <c r="C1644" t="s">
        <v>3202</v>
      </c>
      <c r="D1644" t="s">
        <v>13</v>
      </c>
      <c r="E1644" t="s">
        <v>36</v>
      </c>
      <c r="F1644" t="s">
        <v>64</v>
      </c>
      <c r="G1644">
        <v>1</v>
      </c>
      <c r="H1644">
        <v>15970.15</v>
      </c>
      <c r="I1644">
        <v>2602.27</v>
      </c>
      <c r="J1644" t="s">
        <v>28</v>
      </c>
      <c r="K1644" t="s">
        <v>29</v>
      </c>
      <c r="L1644">
        <f t="shared" si="75"/>
        <v>2022</v>
      </c>
      <c r="M1644" t="str">
        <f t="shared" si="76"/>
        <v>May</v>
      </c>
      <c r="N1644" s="2">
        <f t="shared" si="77"/>
        <v>0.16294587089037987</v>
      </c>
    </row>
    <row r="1645" spans="1:14" x14ac:dyDescent="0.45">
      <c r="A1645" t="s">
        <v>3203</v>
      </c>
      <c r="B1645" s="1">
        <v>45542</v>
      </c>
      <c r="C1645" t="s">
        <v>3204</v>
      </c>
      <c r="D1645" t="s">
        <v>56</v>
      </c>
      <c r="E1645" t="s">
        <v>14</v>
      </c>
      <c r="F1645" t="s">
        <v>57</v>
      </c>
      <c r="G1645">
        <v>5</v>
      </c>
      <c r="H1645">
        <v>47854.76</v>
      </c>
      <c r="I1645">
        <v>8848.2099999999991</v>
      </c>
      <c r="J1645" t="s">
        <v>16</v>
      </c>
      <c r="K1645" t="s">
        <v>29</v>
      </c>
      <c r="L1645">
        <f t="shared" si="75"/>
        <v>2024</v>
      </c>
      <c r="M1645" t="str">
        <f t="shared" si="76"/>
        <v>Sep</v>
      </c>
      <c r="N1645" s="2">
        <f t="shared" si="77"/>
        <v>0.18489717637284148</v>
      </c>
    </row>
    <row r="1646" spans="1:14" x14ac:dyDescent="0.45">
      <c r="A1646" t="s">
        <v>3205</v>
      </c>
      <c r="B1646" s="1">
        <v>44882</v>
      </c>
      <c r="C1646" t="s">
        <v>3206</v>
      </c>
      <c r="D1646" t="s">
        <v>13</v>
      </c>
      <c r="E1646" t="s">
        <v>20</v>
      </c>
      <c r="F1646" t="s">
        <v>27</v>
      </c>
      <c r="G1646">
        <v>1</v>
      </c>
      <c r="H1646">
        <v>31622.26</v>
      </c>
      <c r="I1646">
        <v>2534.7600000000002</v>
      </c>
      <c r="J1646" t="s">
        <v>47</v>
      </c>
      <c r="K1646" t="s">
        <v>33</v>
      </c>
      <c r="L1646">
        <f t="shared" si="75"/>
        <v>2022</v>
      </c>
      <c r="M1646" t="str">
        <f t="shared" si="76"/>
        <v>Nov</v>
      </c>
      <c r="N1646" s="2">
        <f t="shared" si="77"/>
        <v>8.0157458701560241E-2</v>
      </c>
    </row>
    <row r="1647" spans="1:14" x14ac:dyDescent="0.45">
      <c r="A1647" t="s">
        <v>3207</v>
      </c>
      <c r="B1647" s="1">
        <v>44814</v>
      </c>
      <c r="C1647" t="s">
        <v>3208</v>
      </c>
      <c r="D1647" t="s">
        <v>13</v>
      </c>
      <c r="E1647" t="s">
        <v>36</v>
      </c>
      <c r="F1647" t="s">
        <v>37</v>
      </c>
      <c r="G1647">
        <v>4</v>
      </c>
      <c r="H1647">
        <v>16061.73</v>
      </c>
      <c r="I1647">
        <v>3040.36</v>
      </c>
      <c r="J1647" t="s">
        <v>47</v>
      </c>
      <c r="K1647" t="s">
        <v>33</v>
      </c>
      <c r="L1647">
        <f t="shared" si="75"/>
        <v>2022</v>
      </c>
      <c r="M1647" t="str">
        <f t="shared" si="76"/>
        <v>Sep</v>
      </c>
      <c r="N1647" s="2">
        <f t="shared" si="77"/>
        <v>0.18929218708071921</v>
      </c>
    </row>
    <row r="1648" spans="1:14" x14ac:dyDescent="0.45">
      <c r="A1648" t="s">
        <v>3209</v>
      </c>
      <c r="B1648" s="1">
        <v>44684</v>
      </c>
      <c r="C1648" t="s">
        <v>3210</v>
      </c>
      <c r="D1648" t="s">
        <v>26</v>
      </c>
      <c r="E1648" t="s">
        <v>20</v>
      </c>
      <c r="F1648" t="s">
        <v>21</v>
      </c>
      <c r="G1648">
        <v>3</v>
      </c>
      <c r="H1648">
        <v>46385.52</v>
      </c>
      <c r="I1648">
        <v>6238.45</v>
      </c>
      <c r="J1648" t="s">
        <v>28</v>
      </c>
      <c r="K1648" t="s">
        <v>33</v>
      </c>
      <c r="L1648">
        <f t="shared" si="75"/>
        <v>2022</v>
      </c>
      <c r="M1648" t="str">
        <f t="shared" si="76"/>
        <v>May</v>
      </c>
      <c r="N1648" s="2">
        <f t="shared" si="77"/>
        <v>0.13449132401663277</v>
      </c>
    </row>
    <row r="1649" spans="1:14" x14ac:dyDescent="0.45">
      <c r="A1649" t="s">
        <v>3211</v>
      </c>
      <c r="B1649" s="1">
        <v>45619</v>
      </c>
      <c r="C1649" t="s">
        <v>3212</v>
      </c>
      <c r="D1649" t="s">
        <v>26</v>
      </c>
      <c r="E1649" t="s">
        <v>20</v>
      </c>
      <c r="F1649" t="s">
        <v>27</v>
      </c>
      <c r="G1649">
        <v>4</v>
      </c>
      <c r="H1649">
        <v>21748.7</v>
      </c>
      <c r="I1649">
        <v>3220.45</v>
      </c>
      <c r="J1649" t="s">
        <v>16</v>
      </c>
      <c r="K1649" t="s">
        <v>29</v>
      </c>
      <c r="L1649">
        <f t="shared" si="75"/>
        <v>2024</v>
      </c>
      <c r="M1649" t="str">
        <f t="shared" si="76"/>
        <v>Nov</v>
      </c>
      <c r="N1649" s="2">
        <f t="shared" si="77"/>
        <v>0.14807551715734732</v>
      </c>
    </row>
    <row r="1650" spans="1:14" x14ac:dyDescent="0.45">
      <c r="A1650" t="s">
        <v>3213</v>
      </c>
      <c r="B1650" s="1">
        <v>45616</v>
      </c>
      <c r="C1650" t="s">
        <v>3214</v>
      </c>
      <c r="D1650" t="s">
        <v>26</v>
      </c>
      <c r="E1650" t="s">
        <v>20</v>
      </c>
      <c r="F1650" t="s">
        <v>21</v>
      </c>
      <c r="G1650">
        <v>4</v>
      </c>
      <c r="H1650">
        <v>22445.89</v>
      </c>
      <c r="I1650">
        <v>3329.68</v>
      </c>
      <c r="J1650" t="s">
        <v>28</v>
      </c>
      <c r="K1650" t="s">
        <v>33</v>
      </c>
      <c r="L1650">
        <f t="shared" si="75"/>
        <v>2024</v>
      </c>
      <c r="M1650" t="str">
        <f t="shared" si="76"/>
        <v>Nov</v>
      </c>
      <c r="N1650" s="2">
        <f t="shared" si="77"/>
        <v>0.14834252506806367</v>
      </c>
    </row>
    <row r="1651" spans="1:14" x14ac:dyDescent="0.45">
      <c r="A1651" t="s">
        <v>3215</v>
      </c>
      <c r="B1651" s="1">
        <v>45601</v>
      </c>
      <c r="C1651" t="s">
        <v>68</v>
      </c>
      <c r="D1651" t="s">
        <v>26</v>
      </c>
      <c r="E1651" t="s">
        <v>20</v>
      </c>
      <c r="F1651" t="s">
        <v>21</v>
      </c>
      <c r="G1651">
        <v>2</v>
      </c>
      <c r="H1651">
        <v>26533.47</v>
      </c>
      <c r="I1651">
        <v>5608.5</v>
      </c>
      <c r="J1651" t="s">
        <v>28</v>
      </c>
      <c r="K1651" t="s">
        <v>29</v>
      </c>
      <c r="L1651">
        <f t="shared" si="75"/>
        <v>2024</v>
      </c>
      <c r="M1651" t="str">
        <f t="shared" si="76"/>
        <v>Nov</v>
      </c>
      <c r="N1651" s="2">
        <f t="shared" si="77"/>
        <v>0.21137453940249804</v>
      </c>
    </row>
    <row r="1652" spans="1:14" x14ac:dyDescent="0.45">
      <c r="A1652" t="s">
        <v>3216</v>
      </c>
      <c r="B1652" s="1">
        <v>45360</v>
      </c>
      <c r="C1652" t="s">
        <v>3217</v>
      </c>
      <c r="D1652" t="s">
        <v>56</v>
      </c>
      <c r="E1652" t="s">
        <v>36</v>
      </c>
      <c r="F1652" t="s">
        <v>46</v>
      </c>
      <c r="G1652">
        <v>5</v>
      </c>
      <c r="H1652">
        <v>42869.07</v>
      </c>
      <c r="I1652">
        <v>8355.9599999999991</v>
      </c>
      <c r="J1652" t="s">
        <v>22</v>
      </c>
      <c r="K1652" t="s">
        <v>23</v>
      </c>
      <c r="L1652">
        <f t="shared" si="75"/>
        <v>2024</v>
      </c>
      <c r="M1652" t="str">
        <f t="shared" si="76"/>
        <v>Mar</v>
      </c>
      <c r="N1652" s="2">
        <f t="shared" si="77"/>
        <v>0.19491815427766451</v>
      </c>
    </row>
    <row r="1653" spans="1:14" x14ac:dyDescent="0.45">
      <c r="A1653" t="s">
        <v>3218</v>
      </c>
      <c r="B1653" s="1">
        <v>45059</v>
      </c>
      <c r="C1653" t="s">
        <v>3219</v>
      </c>
      <c r="D1653" t="s">
        <v>56</v>
      </c>
      <c r="E1653" t="s">
        <v>36</v>
      </c>
      <c r="F1653" t="s">
        <v>64</v>
      </c>
      <c r="G1653">
        <v>5</v>
      </c>
      <c r="H1653">
        <v>12583.54</v>
      </c>
      <c r="I1653">
        <v>2238.98</v>
      </c>
      <c r="J1653" t="s">
        <v>16</v>
      </c>
      <c r="K1653" t="s">
        <v>17</v>
      </c>
      <c r="L1653">
        <f t="shared" si="75"/>
        <v>2023</v>
      </c>
      <c r="M1653" t="str">
        <f t="shared" si="76"/>
        <v>May</v>
      </c>
      <c r="N1653" s="2">
        <f t="shared" si="77"/>
        <v>0.17792926314852575</v>
      </c>
    </row>
    <row r="1654" spans="1:14" x14ac:dyDescent="0.45">
      <c r="A1654" t="s">
        <v>3220</v>
      </c>
      <c r="B1654" s="1">
        <v>44682</v>
      </c>
      <c r="C1654" t="s">
        <v>3011</v>
      </c>
      <c r="D1654" t="s">
        <v>13</v>
      </c>
      <c r="E1654" t="s">
        <v>14</v>
      </c>
      <c r="F1654" t="s">
        <v>15</v>
      </c>
      <c r="G1654">
        <v>5</v>
      </c>
      <c r="H1654">
        <v>47195.7</v>
      </c>
      <c r="I1654">
        <v>9681.9500000000007</v>
      </c>
      <c r="J1654" t="s">
        <v>47</v>
      </c>
      <c r="K1654" t="s">
        <v>29</v>
      </c>
      <c r="L1654">
        <f t="shared" si="75"/>
        <v>2022</v>
      </c>
      <c r="M1654" t="str">
        <f t="shared" si="76"/>
        <v>May</v>
      </c>
      <c r="N1654" s="2">
        <f t="shared" si="77"/>
        <v>0.20514474835631216</v>
      </c>
    </row>
    <row r="1655" spans="1:14" x14ac:dyDescent="0.45">
      <c r="A1655" t="s">
        <v>3221</v>
      </c>
      <c r="B1655" s="1">
        <v>45013</v>
      </c>
      <c r="C1655" t="s">
        <v>3222</v>
      </c>
      <c r="D1655" t="s">
        <v>26</v>
      </c>
      <c r="E1655" t="s">
        <v>20</v>
      </c>
      <c r="F1655" t="s">
        <v>27</v>
      </c>
      <c r="G1655">
        <v>4</v>
      </c>
      <c r="H1655">
        <v>23890.49</v>
      </c>
      <c r="I1655">
        <v>1840.47</v>
      </c>
      <c r="J1655" t="s">
        <v>47</v>
      </c>
      <c r="K1655" t="s">
        <v>33</v>
      </c>
      <c r="L1655">
        <f t="shared" si="75"/>
        <v>2023</v>
      </c>
      <c r="M1655" t="str">
        <f t="shared" si="76"/>
        <v>Mar</v>
      </c>
      <c r="N1655" s="2">
        <f t="shared" si="77"/>
        <v>7.7037766910599145E-2</v>
      </c>
    </row>
    <row r="1656" spans="1:14" x14ac:dyDescent="0.45">
      <c r="A1656" t="s">
        <v>3223</v>
      </c>
      <c r="B1656" s="1">
        <v>44713</v>
      </c>
      <c r="C1656" t="s">
        <v>3224</v>
      </c>
      <c r="D1656" t="s">
        <v>26</v>
      </c>
      <c r="E1656" t="s">
        <v>36</v>
      </c>
      <c r="F1656" t="s">
        <v>53</v>
      </c>
      <c r="G1656">
        <v>3</v>
      </c>
      <c r="H1656">
        <v>49845.23</v>
      </c>
      <c r="I1656">
        <v>5324.06</v>
      </c>
      <c r="J1656" t="s">
        <v>22</v>
      </c>
      <c r="K1656" t="s">
        <v>17</v>
      </c>
      <c r="L1656">
        <f t="shared" si="75"/>
        <v>2022</v>
      </c>
      <c r="M1656" t="str">
        <f t="shared" si="76"/>
        <v>Jun</v>
      </c>
      <c r="N1656" s="2">
        <f t="shared" si="77"/>
        <v>0.10681182532410824</v>
      </c>
    </row>
    <row r="1657" spans="1:14" x14ac:dyDescent="0.45">
      <c r="A1657" t="s">
        <v>3225</v>
      </c>
      <c r="B1657" s="1">
        <v>45385</v>
      </c>
      <c r="C1657" t="s">
        <v>3226</v>
      </c>
      <c r="D1657" t="s">
        <v>13</v>
      </c>
      <c r="E1657" t="s">
        <v>36</v>
      </c>
      <c r="F1657" t="s">
        <v>64</v>
      </c>
      <c r="G1657">
        <v>1</v>
      </c>
      <c r="H1657">
        <v>32866.639999999999</v>
      </c>
      <c r="I1657">
        <v>3783.78</v>
      </c>
      <c r="J1657" t="s">
        <v>28</v>
      </c>
      <c r="K1657" t="s">
        <v>17</v>
      </c>
      <c r="L1657">
        <f t="shared" si="75"/>
        <v>2024</v>
      </c>
      <c r="M1657" t="str">
        <f t="shared" si="76"/>
        <v>Apr</v>
      </c>
      <c r="N1657" s="2">
        <f t="shared" si="77"/>
        <v>0.11512524553772459</v>
      </c>
    </row>
    <row r="1658" spans="1:14" x14ac:dyDescent="0.45">
      <c r="A1658" t="s">
        <v>3227</v>
      </c>
      <c r="B1658" s="1">
        <v>44717</v>
      </c>
      <c r="C1658" t="s">
        <v>3228</v>
      </c>
      <c r="D1658" t="s">
        <v>26</v>
      </c>
      <c r="E1658" t="s">
        <v>20</v>
      </c>
      <c r="F1658" t="s">
        <v>27</v>
      </c>
      <c r="G1658">
        <v>2</v>
      </c>
      <c r="H1658">
        <v>37674.050000000003</v>
      </c>
      <c r="I1658">
        <v>8437.4500000000007</v>
      </c>
      <c r="J1658" t="s">
        <v>16</v>
      </c>
      <c r="K1658" t="s">
        <v>23</v>
      </c>
      <c r="L1658">
        <f t="shared" si="75"/>
        <v>2022</v>
      </c>
      <c r="M1658" t="str">
        <f t="shared" si="76"/>
        <v>Jun</v>
      </c>
      <c r="N1658" s="2">
        <f t="shared" si="77"/>
        <v>0.22395919737856695</v>
      </c>
    </row>
    <row r="1659" spans="1:14" x14ac:dyDescent="0.45">
      <c r="A1659" t="s">
        <v>3229</v>
      </c>
      <c r="B1659" s="1">
        <v>45123</v>
      </c>
      <c r="C1659" t="s">
        <v>3230</v>
      </c>
      <c r="D1659" t="s">
        <v>26</v>
      </c>
      <c r="E1659" t="s">
        <v>20</v>
      </c>
      <c r="F1659" t="s">
        <v>21</v>
      </c>
      <c r="G1659">
        <v>3</v>
      </c>
      <c r="H1659">
        <v>47602.2</v>
      </c>
      <c r="I1659">
        <v>3858.04</v>
      </c>
      <c r="J1659" t="s">
        <v>16</v>
      </c>
      <c r="K1659" t="s">
        <v>33</v>
      </c>
      <c r="L1659">
        <f t="shared" si="75"/>
        <v>2023</v>
      </c>
      <c r="M1659" t="str">
        <f t="shared" si="76"/>
        <v>Jul</v>
      </c>
      <c r="N1659" s="2">
        <f t="shared" si="77"/>
        <v>8.1047514610669252E-2</v>
      </c>
    </row>
    <row r="1660" spans="1:14" x14ac:dyDescent="0.45">
      <c r="A1660" t="s">
        <v>3231</v>
      </c>
      <c r="B1660" s="1">
        <v>45332</v>
      </c>
      <c r="C1660" t="s">
        <v>3232</v>
      </c>
      <c r="D1660" t="s">
        <v>13</v>
      </c>
      <c r="E1660" t="s">
        <v>20</v>
      </c>
      <c r="F1660" t="s">
        <v>43</v>
      </c>
      <c r="G1660">
        <v>3</v>
      </c>
      <c r="H1660">
        <v>45475.38</v>
      </c>
      <c r="I1660">
        <v>4018.17</v>
      </c>
      <c r="J1660" t="s">
        <v>71</v>
      </c>
      <c r="K1660" t="s">
        <v>17</v>
      </c>
      <c r="L1660">
        <f t="shared" si="75"/>
        <v>2024</v>
      </c>
      <c r="M1660" t="str">
        <f t="shared" si="76"/>
        <v>Feb</v>
      </c>
      <c r="N1660" s="2">
        <f t="shared" si="77"/>
        <v>8.8359239658909947E-2</v>
      </c>
    </row>
    <row r="1661" spans="1:14" x14ac:dyDescent="0.45">
      <c r="A1661" t="s">
        <v>3233</v>
      </c>
      <c r="B1661" s="1">
        <v>45223</v>
      </c>
      <c r="C1661" t="s">
        <v>3234</v>
      </c>
      <c r="D1661" t="s">
        <v>56</v>
      </c>
      <c r="E1661" t="s">
        <v>36</v>
      </c>
      <c r="F1661" t="s">
        <v>46</v>
      </c>
      <c r="G1661">
        <v>2</v>
      </c>
      <c r="H1661">
        <v>12716.97</v>
      </c>
      <c r="I1661">
        <v>1008.97</v>
      </c>
      <c r="J1661" t="s">
        <v>16</v>
      </c>
      <c r="K1661" t="s">
        <v>23</v>
      </c>
      <c r="L1661">
        <f t="shared" si="75"/>
        <v>2023</v>
      </c>
      <c r="M1661" t="str">
        <f t="shared" si="76"/>
        <v>Oct</v>
      </c>
      <c r="N1661" s="2">
        <f t="shared" si="77"/>
        <v>7.9340440372195578E-2</v>
      </c>
    </row>
    <row r="1662" spans="1:14" x14ac:dyDescent="0.45">
      <c r="A1662" t="s">
        <v>3235</v>
      </c>
      <c r="B1662" s="1">
        <v>45143</v>
      </c>
      <c r="C1662" t="s">
        <v>3236</v>
      </c>
      <c r="D1662" t="s">
        <v>56</v>
      </c>
      <c r="E1662" t="s">
        <v>20</v>
      </c>
      <c r="F1662" t="s">
        <v>27</v>
      </c>
      <c r="G1662">
        <v>2</v>
      </c>
      <c r="H1662">
        <v>21801.31</v>
      </c>
      <c r="I1662">
        <v>2332.4699999999998</v>
      </c>
      <c r="J1662" t="s">
        <v>22</v>
      </c>
      <c r="K1662" t="s">
        <v>17</v>
      </c>
      <c r="L1662">
        <f t="shared" si="75"/>
        <v>2023</v>
      </c>
      <c r="M1662" t="str">
        <f t="shared" si="76"/>
        <v>Aug</v>
      </c>
      <c r="N1662" s="2">
        <f t="shared" si="77"/>
        <v>0.10698760762541332</v>
      </c>
    </row>
    <row r="1663" spans="1:14" x14ac:dyDescent="0.45">
      <c r="A1663" t="s">
        <v>3237</v>
      </c>
      <c r="B1663" s="1">
        <v>45101</v>
      </c>
      <c r="C1663" t="s">
        <v>3238</v>
      </c>
      <c r="D1663" t="s">
        <v>56</v>
      </c>
      <c r="E1663" t="s">
        <v>36</v>
      </c>
      <c r="F1663" t="s">
        <v>37</v>
      </c>
      <c r="G1663">
        <v>5</v>
      </c>
      <c r="H1663">
        <v>513.27</v>
      </c>
      <c r="I1663">
        <v>62.32</v>
      </c>
      <c r="J1663" t="s">
        <v>47</v>
      </c>
      <c r="K1663" t="s">
        <v>23</v>
      </c>
      <c r="L1663">
        <f t="shared" si="75"/>
        <v>2023</v>
      </c>
      <c r="M1663" t="str">
        <f t="shared" si="76"/>
        <v>Jun</v>
      </c>
      <c r="N1663" s="2">
        <f t="shared" si="77"/>
        <v>0.1214175774933271</v>
      </c>
    </row>
    <row r="1664" spans="1:14" x14ac:dyDescent="0.45">
      <c r="A1664" t="s">
        <v>3239</v>
      </c>
      <c r="B1664" s="1">
        <v>45007</v>
      </c>
      <c r="C1664" t="s">
        <v>3240</v>
      </c>
      <c r="D1664" t="s">
        <v>26</v>
      </c>
      <c r="E1664" t="s">
        <v>14</v>
      </c>
      <c r="F1664" t="s">
        <v>32</v>
      </c>
      <c r="G1664">
        <v>1</v>
      </c>
      <c r="H1664">
        <v>41246.18</v>
      </c>
      <c r="I1664">
        <v>4404.6400000000003</v>
      </c>
      <c r="J1664" t="s">
        <v>47</v>
      </c>
      <c r="K1664" t="s">
        <v>33</v>
      </c>
      <c r="L1664">
        <f t="shared" si="75"/>
        <v>2023</v>
      </c>
      <c r="M1664" t="str">
        <f t="shared" si="76"/>
        <v>Mar</v>
      </c>
      <c r="N1664" s="2">
        <f t="shared" si="77"/>
        <v>0.10678904082753846</v>
      </c>
    </row>
    <row r="1665" spans="1:14" x14ac:dyDescent="0.45">
      <c r="A1665" t="s">
        <v>3241</v>
      </c>
      <c r="B1665" s="1">
        <v>45006</v>
      </c>
      <c r="C1665" t="s">
        <v>3242</v>
      </c>
      <c r="D1665" t="s">
        <v>26</v>
      </c>
      <c r="E1665" t="s">
        <v>36</v>
      </c>
      <c r="F1665" t="s">
        <v>64</v>
      </c>
      <c r="G1665">
        <v>4</v>
      </c>
      <c r="H1665">
        <v>8399.6200000000008</v>
      </c>
      <c r="I1665">
        <v>1123.23</v>
      </c>
      <c r="J1665" t="s">
        <v>16</v>
      </c>
      <c r="K1665" t="s">
        <v>33</v>
      </c>
      <c r="L1665">
        <f t="shared" si="75"/>
        <v>2023</v>
      </c>
      <c r="M1665" t="str">
        <f t="shared" si="76"/>
        <v>Mar</v>
      </c>
      <c r="N1665" s="2">
        <f t="shared" si="77"/>
        <v>0.1337239065576776</v>
      </c>
    </row>
    <row r="1666" spans="1:14" x14ac:dyDescent="0.45">
      <c r="A1666" t="s">
        <v>3243</v>
      </c>
      <c r="B1666" s="1">
        <v>45241</v>
      </c>
      <c r="C1666" t="s">
        <v>3244</v>
      </c>
      <c r="D1666" t="s">
        <v>13</v>
      </c>
      <c r="E1666" t="s">
        <v>20</v>
      </c>
      <c r="F1666" t="s">
        <v>21</v>
      </c>
      <c r="G1666">
        <v>5</v>
      </c>
      <c r="H1666">
        <v>1448.79</v>
      </c>
      <c r="I1666">
        <v>311.77999999999997</v>
      </c>
      <c r="J1666" t="s">
        <v>47</v>
      </c>
      <c r="K1666" t="s">
        <v>33</v>
      </c>
      <c r="L1666">
        <f t="shared" si="75"/>
        <v>2023</v>
      </c>
      <c r="M1666" t="str">
        <f t="shared" si="76"/>
        <v>Nov</v>
      </c>
      <c r="N1666" s="2">
        <f t="shared" si="77"/>
        <v>0.21520027057061408</v>
      </c>
    </row>
    <row r="1667" spans="1:14" x14ac:dyDescent="0.45">
      <c r="A1667" t="s">
        <v>3245</v>
      </c>
      <c r="B1667" s="1">
        <v>45512</v>
      </c>
      <c r="C1667" t="s">
        <v>3246</v>
      </c>
      <c r="D1667" t="s">
        <v>26</v>
      </c>
      <c r="E1667" t="s">
        <v>14</v>
      </c>
      <c r="F1667" t="s">
        <v>57</v>
      </c>
      <c r="G1667">
        <v>2</v>
      </c>
      <c r="H1667">
        <v>37356.07</v>
      </c>
      <c r="I1667">
        <v>2246.48</v>
      </c>
      <c r="J1667" t="s">
        <v>22</v>
      </c>
      <c r="K1667" t="s">
        <v>29</v>
      </c>
      <c r="L1667">
        <f t="shared" ref="L1667:L1730" si="78">YEAR(B1667 )</f>
        <v>2024</v>
      </c>
      <c r="M1667" t="str">
        <f t="shared" ref="M1667:M1730" si="79">TEXT(B1667,"MMM")</f>
        <v>Aug</v>
      </c>
      <c r="N1667" s="2">
        <f t="shared" ref="N1667:N1730" si="80">I1667 / H1667</f>
        <v>6.0136946954002388E-2</v>
      </c>
    </row>
    <row r="1668" spans="1:14" x14ac:dyDescent="0.45">
      <c r="A1668" t="s">
        <v>3247</v>
      </c>
      <c r="B1668" s="1">
        <v>44636</v>
      </c>
      <c r="C1668" t="s">
        <v>1342</v>
      </c>
      <c r="D1668" t="s">
        <v>56</v>
      </c>
      <c r="E1668" t="s">
        <v>20</v>
      </c>
      <c r="F1668" t="s">
        <v>43</v>
      </c>
      <c r="G1668">
        <v>3</v>
      </c>
      <c r="H1668">
        <v>14371.88</v>
      </c>
      <c r="I1668">
        <v>3285.52</v>
      </c>
      <c r="J1668" t="s">
        <v>71</v>
      </c>
      <c r="K1668" t="s">
        <v>29</v>
      </c>
      <c r="L1668">
        <f t="shared" si="78"/>
        <v>2022</v>
      </c>
      <c r="M1668" t="str">
        <f t="shared" si="79"/>
        <v>Mar</v>
      </c>
      <c r="N1668" s="2">
        <f t="shared" si="80"/>
        <v>0.22860753081712346</v>
      </c>
    </row>
    <row r="1669" spans="1:14" x14ac:dyDescent="0.45">
      <c r="A1669" t="s">
        <v>3248</v>
      </c>
      <c r="B1669" s="1">
        <v>45187</v>
      </c>
      <c r="C1669" t="s">
        <v>3249</v>
      </c>
      <c r="D1669" t="s">
        <v>56</v>
      </c>
      <c r="E1669" t="s">
        <v>14</v>
      </c>
      <c r="F1669" t="s">
        <v>32</v>
      </c>
      <c r="G1669">
        <v>4</v>
      </c>
      <c r="H1669">
        <v>14112.38</v>
      </c>
      <c r="I1669">
        <v>1958.6</v>
      </c>
      <c r="J1669" t="s">
        <v>22</v>
      </c>
      <c r="K1669" t="s">
        <v>17</v>
      </c>
      <c r="L1669">
        <f t="shared" si="78"/>
        <v>2023</v>
      </c>
      <c r="M1669" t="str">
        <f t="shared" si="79"/>
        <v>Sep</v>
      </c>
      <c r="N1669" s="2">
        <f t="shared" si="80"/>
        <v>0.1387859453897925</v>
      </c>
    </row>
    <row r="1670" spans="1:14" x14ac:dyDescent="0.45">
      <c r="A1670" t="s">
        <v>3250</v>
      </c>
      <c r="B1670" s="1">
        <v>45586</v>
      </c>
      <c r="C1670" t="s">
        <v>3251</v>
      </c>
      <c r="D1670" t="s">
        <v>13</v>
      </c>
      <c r="E1670" t="s">
        <v>14</v>
      </c>
      <c r="F1670" t="s">
        <v>15</v>
      </c>
      <c r="G1670">
        <v>5</v>
      </c>
      <c r="H1670">
        <v>45411.9</v>
      </c>
      <c r="I1670">
        <v>9131.67</v>
      </c>
      <c r="J1670" t="s">
        <v>16</v>
      </c>
      <c r="K1670" t="s">
        <v>17</v>
      </c>
      <c r="L1670">
        <f t="shared" si="78"/>
        <v>2024</v>
      </c>
      <c r="M1670" t="str">
        <f t="shared" si="79"/>
        <v>Oct</v>
      </c>
      <c r="N1670" s="2">
        <f t="shared" si="80"/>
        <v>0.20108539832070449</v>
      </c>
    </row>
    <row r="1671" spans="1:14" x14ac:dyDescent="0.45">
      <c r="A1671" t="s">
        <v>3252</v>
      </c>
      <c r="B1671" s="1">
        <v>45289</v>
      </c>
      <c r="C1671" t="s">
        <v>2968</v>
      </c>
      <c r="D1671" t="s">
        <v>26</v>
      </c>
      <c r="E1671" t="s">
        <v>36</v>
      </c>
      <c r="F1671" t="s">
        <v>53</v>
      </c>
      <c r="G1671">
        <v>2</v>
      </c>
      <c r="H1671">
        <v>14442.52</v>
      </c>
      <c r="I1671">
        <v>3065.61</v>
      </c>
      <c r="J1671" t="s">
        <v>16</v>
      </c>
      <c r="K1671" t="s">
        <v>29</v>
      </c>
      <c r="L1671">
        <f t="shared" si="78"/>
        <v>2023</v>
      </c>
      <c r="M1671" t="str">
        <f t="shared" si="79"/>
        <v>Dec</v>
      </c>
      <c r="N1671" s="2">
        <f t="shared" si="80"/>
        <v>0.21226281840011299</v>
      </c>
    </row>
    <row r="1672" spans="1:14" x14ac:dyDescent="0.45">
      <c r="A1672" t="s">
        <v>3253</v>
      </c>
      <c r="B1672" s="1">
        <v>44767</v>
      </c>
      <c r="C1672" t="s">
        <v>3254</v>
      </c>
      <c r="D1672" t="s">
        <v>13</v>
      </c>
      <c r="E1672" t="s">
        <v>20</v>
      </c>
      <c r="F1672" t="s">
        <v>27</v>
      </c>
      <c r="G1672">
        <v>4</v>
      </c>
      <c r="H1672">
        <v>45688.91</v>
      </c>
      <c r="I1672">
        <v>7187.33</v>
      </c>
      <c r="J1672" t="s">
        <v>71</v>
      </c>
      <c r="K1672" t="s">
        <v>23</v>
      </c>
      <c r="L1672">
        <f t="shared" si="78"/>
        <v>2022</v>
      </c>
      <c r="M1672" t="str">
        <f t="shared" si="79"/>
        <v>Jul</v>
      </c>
      <c r="N1672" s="2">
        <f t="shared" si="80"/>
        <v>0.15731016563975808</v>
      </c>
    </row>
    <row r="1673" spans="1:14" x14ac:dyDescent="0.45">
      <c r="A1673" t="s">
        <v>3255</v>
      </c>
      <c r="B1673" s="1">
        <v>45638</v>
      </c>
      <c r="C1673" t="s">
        <v>3256</v>
      </c>
      <c r="D1673" t="s">
        <v>13</v>
      </c>
      <c r="E1673" t="s">
        <v>14</v>
      </c>
      <c r="F1673" t="s">
        <v>15</v>
      </c>
      <c r="G1673">
        <v>2</v>
      </c>
      <c r="H1673">
        <v>8251.83</v>
      </c>
      <c r="I1673">
        <v>1151.98</v>
      </c>
      <c r="J1673" t="s">
        <v>71</v>
      </c>
      <c r="K1673" t="s">
        <v>23</v>
      </c>
      <c r="L1673">
        <f t="shared" si="78"/>
        <v>2024</v>
      </c>
      <c r="M1673" t="str">
        <f t="shared" si="79"/>
        <v>Dec</v>
      </c>
      <c r="N1673" s="2">
        <f t="shared" si="80"/>
        <v>0.13960297291631069</v>
      </c>
    </row>
    <row r="1674" spans="1:14" x14ac:dyDescent="0.45">
      <c r="A1674" t="s">
        <v>3257</v>
      </c>
      <c r="B1674" s="1">
        <v>45353</v>
      </c>
      <c r="C1674" t="s">
        <v>3258</v>
      </c>
      <c r="D1674" t="s">
        <v>13</v>
      </c>
      <c r="E1674" t="s">
        <v>20</v>
      </c>
      <c r="F1674" t="s">
        <v>27</v>
      </c>
      <c r="G1674">
        <v>2</v>
      </c>
      <c r="H1674">
        <v>44795.57</v>
      </c>
      <c r="I1674">
        <v>3418.04</v>
      </c>
      <c r="J1674" t="s">
        <v>16</v>
      </c>
      <c r="K1674" t="s">
        <v>23</v>
      </c>
      <c r="L1674">
        <f t="shared" si="78"/>
        <v>2024</v>
      </c>
      <c r="M1674" t="str">
        <f t="shared" si="79"/>
        <v>Mar</v>
      </c>
      <c r="N1674" s="2">
        <f t="shared" si="80"/>
        <v>7.6303080862683517E-2</v>
      </c>
    </row>
    <row r="1675" spans="1:14" x14ac:dyDescent="0.45">
      <c r="A1675" t="s">
        <v>3259</v>
      </c>
      <c r="B1675" s="1">
        <v>45059</v>
      </c>
      <c r="C1675" t="s">
        <v>632</v>
      </c>
      <c r="D1675" t="s">
        <v>56</v>
      </c>
      <c r="E1675" t="s">
        <v>14</v>
      </c>
      <c r="F1675" t="s">
        <v>57</v>
      </c>
      <c r="G1675">
        <v>5</v>
      </c>
      <c r="H1675">
        <v>11673.99</v>
      </c>
      <c r="I1675">
        <v>1302.46</v>
      </c>
      <c r="J1675" t="s">
        <v>28</v>
      </c>
      <c r="K1675" t="s">
        <v>29</v>
      </c>
      <c r="L1675">
        <f t="shared" si="78"/>
        <v>2023</v>
      </c>
      <c r="M1675" t="str">
        <f t="shared" si="79"/>
        <v>May</v>
      </c>
      <c r="N1675" s="2">
        <f t="shared" si="80"/>
        <v>0.11156939486842117</v>
      </c>
    </row>
    <row r="1676" spans="1:14" x14ac:dyDescent="0.45">
      <c r="A1676" t="s">
        <v>3260</v>
      </c>
      <c r="B1676" s="1">
        <v>45104</v>
      </c>
      <c r="C1676" t="s">
        <v>3261</v>
      </c>
      <c r="D1676" t="s">
        <v>13</v>
      </c>
      <c r="E1676" t="s">
        <v>36</v>
      </c>
      <c r="F1676" t="s">
        <v>46</v>
      </c>
      <c r="G1676">
        <v>3</v>
      </c>
      <c r="H1676">
        <v>5820.5</v>
      </c>
      <c r="I1676">
        <v>308.13</v>
      </c>
      <c r="J1676" t="s">
        <v>16</v>
      </c>
      <c r="K1676" t="s">
        <v>29</v>
      </c>
      <c r="L1676">
        <f t="shared" si="78"/>
        <v>2023</v>
      </c>
      <c r="M1676" t="str">
        <f t="shared" si="79"/>
        <v>Jun</v>
      </c>
      <c r="N1676" s="2">
        <f t="shared" si="80"/>
        <v>5.2938750966411818E-2</v>
      </c>
    </row>
    <row r="1677" spans="1:14" x14ac:dyDescent="0.45">
      <c r="A1677" t="s">
        <v>3262</v>
      </c>
      <c r="B1677" s="1">
        <v>45025</v>
      </c>
      <c r="C1677" t="s">
        <v>3263</v>
      </c>
      <c r="D1677" t="s">
        <v>26</v>
      </c>
      <c r="E1677" t="s">
        <v>14</v>
      </c>
      <c r="F1677" t="s">
        <v>57</v>
      </c>
      <c r="G1677">
        <v>4</v>
      </c>
      <c r="H1677">
        <v>24853.85</v>
      </c>
      <c r="I1677">
        <v>4585.54</v>
      </c>
      <c r="J1677" t="s">
        <v>22</v>
      </c>
      <c r="K1677" t="s">
        <v>33</v>
      </c>
      <c r="L1677">
        <f t="shared" si="78"/>
        <v>2023</v>
      </c>
      <c r="M1677" t="str">
        <f t="shared" si="79"/>
        <v>Apr</v>
      </c>
      <c r="N1677" s="2">
        <f t="shared" si="80"/>
        <v>0.18450018809963045</v>
      </c>
    </row>
    <row r="1678" spans="1:14" x14ac:dyDescent="0.45">
      <c r="A1678" t="s">
        <v>3264</v>
      </c>
      <c r="B1678" s="1">
        <v>45517</v>
      </c>
      <c r="C1678" t="s">
        <v>3265</v>
      </c>
      <c r="D1678" t="s">
        <v>56</v>
      </c>
      <c r="E1678" t="s">
        <v>36</v>
      </c>
      <c r="F1678" t="s">
        <v>46</v>
      </c>
      <c r="G1678">
        <v>3</v>
      </c>
      <c r="H1678">
        <v>19922.689999999999</v>
      </c>
      <c r="I1678">
        <v>3104.78</v>
      </c>
      <c r="J1678" t="s">
        <v>28</v>
      </c>
      <c r="K1678" t="s">
        <v>29</v>
      </c>
      <c r="L1678">
        <f t="shared" si="78"/>
        <v>2024</v>
      </c>
      <c r="M1678" t="str">
        <f t="shared" si="79"/>
        <v>Aug</v>
      </c>
      <c r="N1678" s="2">
        <f t="shared" si="80"/>
        <v>0.15584140495083748</v>
      </c>
    </row>
    <row r="1679" spans="1:14" x14ac:dyDescent="0.45">
      <c r="A1679" t="s">
        <v>3266</v>
      </c>
      <c r="B1679" s="1">
        <v>45257</v>
      </c>
      <c r="C1679" t="s">
        <v>3267</v>
      </c>
      <c r="D1679" t="s">
        <v>13</v>
      </c>
      <c r="E1679" t="s">
        <v>20</v>
      </c>
      <c r="F1679" t="s">
        <v>50</v>
      </c>
      <c r="G1679">
        <v>5</v>
      </c>
      <c r="H1679">
        <v>10810.72</v>
      </c>
      <c r="I1679">
        <v>1298.95</v>
      </c>
      <c r="J1679" t="s">
        <v>71</v>
      </c>
      <c r="K1679" t="s">
        <v>17</v>
      </c>
      <c r="L1679">
        <f t="shared" si="78"/>
        <v>2023</v>
      </c>
      <c r="M1679" t="str">
        <f t="shared" si="79"/>
        <v>Nov</v>
      </c>
      <c r="N1679" s="2">
        <f t="shared" si="80"/>
        <v>0.12015388429262806</v>
      </c>
    </row>
    <row r="1680" spans="1:14" x14ac:dyDescent="0.45">
      <c r="A1680" t="s">
        <v>3268</v>
      </c>
      <c r="B1680" s="1">
        <v>45608</v>
      </c>
      <c r="C1680" t="s">
        <v>3269</v>
      </c>
      <c r="D1680" t="s">
        <v>56</v>
      </c>
      <c r="E1680" t="s">
        <v>14</v>
      </c>
      <c r="F1680" t="s">
        <v>32</v>
      </c>
      <c r="G1680">
        <v>4</v>
      </c>
      <c r="H1680">
        <v>8360.7800000000007</v>
      </c>
      <c r="I1680">
        <v>1605.62</v>
      </c>
      <c r="J1680" t="s">
        <v>16</v>
      </c>
      <c r="K1680" t="s">
        <v>33</v>
      </c>
      <c r="L1680">
        <f t="shared" si="78"/>
        <v>2024</v>
      </c>
      <c r="M1680" t="str">
        <f t="shared" si="79"/>
        <v>Nov</v>
      </c>
      <c r="N1680" s="2">
        <f t="shared" si="80"/>
        <v>0.19204189082836767</v>
      </c>
    </row>
    <row r="1681" spans="1:14" x14ac:dyDescent="0.45">
      <c r="A1681" t="s">
        <v>3270</v>
      </c>
      <c r="B1681" s="1">
        <v>44951</v>
      </c>
      <c r="C1681" t="s">
        <v>1124</v>
      </c>
      <c r="D1681" t="s">
        <v>56</v>
      </c>
      <c r="E1681" t="s">
        <v>14</v>
      </c>
      <c r="F1681" t="s">
        <v>57</v>
      </c>
      <c r="G1681">
        <v>4</v>
      </c>
      <c r="H1681">
        <v>24645.74</v>
      </c>
      <c r="I1681">
        <v>4504.2700000000004</v>
      </c>
      <c r="J1681" t="s">
        <v>16</v>
      </c>
      <c r="K1681" t="s">
        <v>33</v>
      </c>
      <c r="L1681">
        <f t="shared" si="78"/>
        <v>2023</v>
      </c>
      <c r="M1681" t="str">
        <f t="shared" si="79"/>
        <v>Jan</v>
      </c>
      <c r="N1681" s="2">
        <f t="shared" si="80"/>
        <v>0.18276059067408809</v>
      </c>
    </row>
    <row r="1682" spans="1:14" x14ac:dyDescent="0.45">
      <c r="A1682" t="s">
        <v>3271</v>
      </c>
      <c r="B1682" s="1">
        <v>45638</v>
      </c>
      <c r="C1682" t="s">
        <v>3272</v>
      </c>
      <c r="D1682" t="s">
        <v>13</v>
      </c>
      <c r="E1682" t="s">
        <v>36</v>
      </c>
      <c r="F1682" t="s">
        <v>64</v>
      </c>
      <c r="G1682">
        <v>5</v>
      </c>
      <c r="H1682">
        <v>3692.61</v>
      </c>
      <c r="I1682">
        <v>405.89</v>
      </c>
      <c r="J1682" t="s">
        <v>47</v>
      </c>
      <c r="K1682" t="s">
        <v>23</v>
      </c>
      <c r="L1682">
        <f t="shared" si="78"/>
        <v>2024</v>
      </c>
      <c r="M1682" t="str">
        <f t="shared" si="79"/>
        <v>Dec</v>
      </c>
      <c r="N1682" s="2">
        <f t="shared" si="80"/>
        <v>0.10991954200416507</v>
      </c>
    </row>
    <row r="1683" spans="1:14" x14ac:dyDescent="0.45">
      <c r="A1683" t="s">
        <v>3273</v>
      </c>
      <c r="B1683" s="1">
        <v>44911</v>
      </c>
      <c r="C1683" t="s">
        <v>2985</v>
      </c>
      <c r="D1683" t="s">
        <v>26</v>
      </c>
      <c r="E1683" t="s">
        <v>14</v>
      </c>
      <c r="F1683" t="s">
        <v>15</v>
      </c>
      <c r="G1683">
        <v>3</v>
      </c>
      <c r="H1683">
        <v>32497.53</v>
      </c>
      <c r="I1683">
        <v>3575.69</v>
      </c>
      <c r="J1683" t="s">
        <v>22</v>
      </c>
      <c r="K1683" t="s">
        <v>29</v>
      </c>
      <c r="L1683">
        <f t="shared" si="78"/>
        <v>2022</v>
      </c>
      <c r="M1683" t="str">
        <f t="shared" si="79"/>
        <v>Dec</v>
      </c>
      <c r="N1683" s="2">
        <f t="shared" si="80"/>
        <v>0.11002959301830016</v>
      </c>
    </row>
    <row r="1684" spans="1:14" x14ac:dyDescent="0.45">
      <c r="A1684" t="s">
        <v>3274</v>
      </c>
      <c r="B1684" s="1">
        <v>44986</v>
      </c>
      <c r="C1684" t="s">
        <v>3275</v>
      </c>
      <c r="D1684" t="s">
        <v>13</v>
      </c>
      <c r="E1684" t="s">
        <v>20</v>
      </c>
      <c r="F1684" t="s">
        <v>27</v>
      </c>
      <c r="G1684">
        <v>2</v>
      </c>
      <c r="H1684">
        <v>46923.97</v>
      </c>
      <c r="I1684">
        <v>11411.03</v>
      </c>
      <c r="J1684" t="s">
        <v>28</v>
      </c>
      <c r="K1684" t="s">
        <v>17</v>
      </c>
      <c r="L1684">
        <f t="shared" si="78"/>
        <v>2023</v>
      </c>
      <c r="M1684" t="str">
        <f t="shared" si="79"/>
        <v>Mar</v>
      </c>
      <c r="N1684" s="2">
        <f t="shared" si="80"/>
        <v>0.24318125682886593</v>
      </c>
    </row>
    <row r="1685" spans="1:14" x14ac:dyDescent="0.45">
      <c r="A1685" t="s">
        <v>3276</v>
      </c>
      <c r="B1685" s="1">
        <v>45083</v>
      </c>
      <c r="C1685" t="s">
        <v>3277</v>
      </c>
      <c r="D1685" t="s">
        <v>56</v>
      </c>
      <c r="E1685" t="s">
        <v>20</v>
      </c>
      <c r="F1685" t="s">
        <v>27</v>
      </c>
      <c r="G1685">
        <v>5</v>
      </c>
      <c r="H1685">
        <v>12653.34</v>
      </c>
      <c r="I1685">
        <v>2651.24</v>
      </c>
      <c r="J1685" t="s">
        <v>28</v>
      </c>
      <c r="K1685" t="s">
        <v>29</v>
      </c>
      <c r="L1685">
        <f t="shared" si="78"/>
        <v>2023</v>
      </c>
      <c r="M1685" t="str">
        <f t="shared" si="79"/>
        <v>Jun</v>
      </c>
      <c r="N1685" s="2">
        <f t="shared" si="80"/>
        <v>0.20952886747688751</v>
      </c>
    </row>
    <row r="1686" spans="1:14" x14ac:dyDescent="0.45">
      <c r="A1686" t="s">
        <v>3278</v>
      </c>
      <c r="B1686" s="1">
        <v>44992</v>
      </c>
      <c r="C1686" t="s">
        <v>3279</v>
      </c>
      <c r="D1686" t="s">
        <v>13</v>
      </c>
      <c r="E1686" t="s">
        <v>36</v>
      </c>
      <c r="F1686" t="s">
        <v>64</v>
      </c>
      <c r="G1686">
        <v>4</v>
      </c>
      <c r="H1686">
        <v>30517.46</v>
      </c>
      <c r="I1686">
        <v>3420.69</v>
      </c>
      <c r="J1686" t="s">
        <v>22</v>
      </c>
      <c r="K1686" t="s">
        <v>23</v>
      </c>
      <c r="L1686">
        <f t="shared" si="78"/>
        <v>2023</v>
      </c>
      <c r="M1686" t="str">
        <f t="shared" si="79"/>
        <v>Mar</v>
      </c>
      <c r="N1686" s="2">
        <f t="shared" si="80"/>
        <v>0.11208960378747118</v>
      </c>
    </row>
    <row r="1687" spans="1:14" x14ac:dyDescent="0.45">
      <c r="A1687" t="s">
        <v>3280</v>
      </c>
      <c r="B1687" s="1">
        <v>45460</v>
      </c>
      <c r="C1687" t="s">
        <v>3281</v>
      </c>
      <c r="D1687" t="s">
        <v>13</v>
      </c>
      <c r="E1687" t="s">
        <v>14</v>
      </c>
      <c r="F1687" t="s">
        <v>40</v>
      </c>
      <c r="G1687">
        <v>2</v>
      </c>
      <c r="H1687">
        <v>30563.599999999999</v>
      </c>
      <c r="I1687">
        <v>4512.0600000000004</v>
      </c>
      <c r="J1687" t="s">
        <v>22</v>
      </c>
      <c r="K1687" t="s">
        <v>29</v>
      </c>
      <c r="L1687">
        <f t="shared" si="78"/>
        <v>2024</v>
      </c>
      <c r="M1687" t="str">
        <f t="shared" si="79"/>
        <v>Jun</v>
      </c>
      <c r="N1687" s="2">
        <f t="shared" si="80"/>
        <v>0.14762855161041241</v>
      </c>
    </row>
    <row r="1688" spans="1:14" x14ac:dyDescent="0.45">
      <c r="A1688" t="s">
        <v>3282</v>
      </c>
      <c r="B1688" s="1">
        <v>44940</v>
      </c>
      <c r="C1688" t="s">
        <v>3283</v>
      </c>
      <c r="D1688" t="s">
        <v>26</v>
      </c>
      <c r="E1688" t="s">
        <v>20</v>
      </c>
      <c r="F1688" t="s">
        <v>43</v>
      </c>
      <c r="G1688">
        <v>5</v>
      </c>
      <c r="H1688">
        <v>38529.68</v>
      </c>
      <c r="I1688">
        <v>7508.02</v>
      </c>
      <c r="J1688" t="s">
        <v>16</v>
      </c>
      <c r="K1688" t="s">
        <v>17</v>
      </c>
      <c r="L1688">
        <f t="shared" si="78"/>
        <v>2023</v>
      </c>
      <c r="M1688" t="str">
        <f t="shared" si="79"/>
        <v>Jan</v>
      </c>
      <c r="N1688" s="2">
        <f t="shared" si="80"/>
        <v>0.19486328461591168</v>
      </c>
    </row>
    <row r="1689" spans="1:14" x14ac:dyDescent="0.45">
      <c r="A1689" t="s">
        <v>3284</v>
      </c>
      <c r="B1689" s="1">
        <v>44781</v>
      </c>
      <c r="C1689" t="s">
        <v>3285</v>
      </c>
      <c r="D1689" t="s">
        <v>26</v>
      </c>
      <c r="E1689" t="s">
        <v>20</v>
      </c>
      <c r="F1689" t="s">
        <v>50</v>
      </c>
      <c r="G1689">
        <v>2</v>
      </c>
      <c r="H1689">
        <v>34222.99</v>
      </c>
      <c r="I1689">
        <v>3481.05</v>
      </c>
      <c r="J1689" t="s">
        <v>28</v>
      </c>
      <c r="K1689" t="s">
        <v>17</v>
      </c>
      <c r="L1689">
        <f t="shared" si="78"/>
        <v>2022</v>
      </c>
      <c r="M1689" t="str">
        <f t="shared" si="79"/>
        <v>Aug</v>
      </c>
      <c r="N1689" s="2">
        <f t="shared" si="80"/>
        <v>0.10171671148546636</v>
      </c>
    </row>
    <row r="1690" spans="1:14" x14ac:dyDescent="0.45">
      <c r="A1690" t="s">
        <v>3286</v>
      </c>
      <c r="B1690" s="1">
        <v>44788</v>
      </c>
      <c r="C1690" t="s">
        <v>3287</v>
      </c>
      <c r="D1690" t="s">
        <v>13</v>
      </c>
      <c r="E1690" t="s">
        <v>20</v>
      </c>
      <c r="F1690" t="s">
        <v>21</v>
      </c>
      <c r="G1690">
        <v>2</v>
      </c>
      <c r="H1690">
        <v>10356.07</v>
      </c>
      <c r="I1690">
        <v>2296.71</v>
      </c>
      <c r="J1690" t="s">
        <v>28</v>
      </c>
      <c r="K1690" t="s">
        <v>17</v>
      </c>
      <c r="L1690">
        <f t="shared" si="78"/>
        <v>2022</v>
      </c>
      <c r="M1690" t="str">
        <f t="shared" si="79"/>
        <v>Aug</v>
      </c>
      <c r="N1690" s="2">
        <f t="shared" si="80"/>
        <v>0.2217742831016013</v>
      </c>
    </row>
    <row r="1691" spans="1:14" x14ac:dyDescent="0.45">
      <c r="A1691" t="s">
        <v>3288</v>
      </c>
      <c r="B1691" s="1">
        <v>45362</v>
      </c>
      <c r="C1691" t="s">
        <v>3217</v>
      </c>
      <c r="D1691" t="s">
        <v>13</v>
      </c>
      <c r="E1691" t="s">
        <v>36</v>
      </c>
      <c r="F1691" t="s">
        <v>64</v>
      </c>
      <c r="G1691">
        <v>2</v>
      </c>
      <c r="H1691">
        <v>6363.15</v>
      </c>
      <c r="I1691">
        <v>1448.5</v>
      </c>
      <c r="J1691" t="s">
        <v>28</v>
      </c>
      <c r="K1691" t="s">
        <v>33</v>
      </c>
      <c r="L1691">
        <f t="shared" si="78"/>
        <v>2024</v>
      </c>
      <c r="M1691" t="str">
        <f t="shared" si="79"/>
        <v>Mar</v>
      </c>
      <c r="N1691" s="2">
        <f t="shared" si="80"/>
        <v>0.22763882668175356</v>
      </c>
    </row>
    <row r="1692" spans="1:14" x14ac:dyDescent="0.45">
      <c r="A1692" t="s">
        <v>3289</v>
      </c>
      <c r="B1692" s="1">
        <v>45546</v>
      </c>
      <c r="C1692" t="s">
        <v>3290</v>
      </c>
      <c r="D1692" t="s">
        <v>56</v>
      </c>
      <c r="E1692" t="s">
        <v>36</v>
      </c>
      <c r="F1692" t="s">
        <v>46</v>
      </c>
      <c r="G1692">
        <v>5</v>
      </c>
      <c r="H1692">
        <v>34142.49</v>
      </c>
      <c r="I1692">
        <v>8497.15</v>
      </c>
      <c r="J1692" t="s">
        <v>47</v>
      </c>
      <c r="K1692" t="s">
        <v>33</v>
      </c>
      <c r="L1692">
        <f t="shared" si="78"/>
        <v>2024</v>
      </c>
      <c r="M1692" t="str">
        <f t="shared" si="79"/>
        <v>Sep</v>
      </c>
      <c r="N1692" s="2">
        <f t="shared" si="80"/>
        <v>0.24887317825969929</v>
      </c>
    </row>
    <row r="1693" spans="1:14" x14ac:dyDescent="0.45">
      <c r="A1693" t="s">
        <v>3291</v>
      </c>
      <c r="B1693" s="1">
        <v>45085</v>
      </c>
      <c r="C1693" t="s">
        <v>3292</v>
      </c>
      <c r="D1693" t="s">
        <v>13</v>
      </c>
      <c r="E1693" t="s">
        <v>36</v>
      </c>
      <c r="F1693" t="s">
        <v>46</v>
      </c>
      <c r="G1693">
        <v>2</v>
      </c>
      <c r="H1693">
        <v>23995.64</v>
      </c>
      <c r="I1693">
        <v>3609.62</v>
      </c>
      <c r="J1693" t="s">
        <v>71</v>
      </c>
      <c r="K1693" t="s">
        <v>29</v>
      </c>
      <c r="L1693">
        <f t="shared" si="78"/>
        <v>2023</v>
      </c>
      <c r="M1693" t="str">
        <f t="shared" si="79"/>
        <v>Jun</v>
      </c>
      <c r="N1693" s="2">
        <f t="shared" si="80"/>
        <v>0.15042816111593607</v>
      </c>
    </row>
    <row r="1694" spans="1:14" x14ac:dyDescent="0.45">
      <c r="A1694" t="s">
        <v>3293</v>
      </c>
      <c r="B1694" s="1">
        <v>45076</v>
      </c>
      <c r="C1694" t="s">
        <v>3294</v>
      </c>
      <c r="D1694" t="s">
        <v>56</v>
      </c>
      <c r="E1694" t="s">
        <v>14</v>
      </c>
      <c r="F1694" t="s">
        <v>32</v>
      </c>
      <c r="G1694">
        <v>5</v>
      </c>
      <c r="H1694">
        <v>38512.61</v>
      </c>
      <c r="I1694">
        <v>4502.9799999999996</v>
      </c>
      <c r="J1694" t="s">
        <v>16</v>
      </c>
      <c r="K1694" t="s">
        <v>23</v>
      </c>
      <c r="L1694">
        <f t="shared" si="78"/>
        <v>2023</v>
      </c>
      <c r="M1694" t="str">
        <f t="shared" si="79"/>
        <v>May</v>
      </c>
      <c r="N1694" s="2">
        <f t="shared" si="80"/>
        <v>0.116922223656096</v>
      </c>
    </row>
    <row r="1695" spans="1:14" x14ac:dyDescent="0.45">
      <c r="A1695" t="s">
        <v>3295</v>
      </c>
      <c r="B1695" s="1">
        <v>45494</v>
      </c>
      <c r="C1695" t="s">
        <v>3296</v>
      </c>
      <c r="D1695" t="s">
        <v>26</v>
      </c>
      <c r="E1695" t="s">
        <v>36</v>
      </c>
      <c r="F1695" t="s">
        <v>64</v>
      </c>
      <c r="G1695">
        <v>2</v>
      </c>
      <c r="H1695">
        <v>38021.83</v>
      </c>
      <c r="I1695">
        <v>4188.68</v>
      </c>
      <c r="J1695" t="s">
        <v>16</v>
      </c>
      <c r="K1695" t="s">
        <v>29</v>
      </c>
      <c r="L1695">
        <f t="shared" si="78"/>
        <v>2024</v>
      </c>
      <c r="M1695" t="str">
        <f t="shared" si="79"/>
        <v>Jul</v>
      </c>
      <c r="N1695" s="2">
        <f t="shared" si="80"/>
        <v>0.11016513408218384</v>
      </c>
    </row>
    <row r="1696" spans="1:14" x14ac:dyDescent="0.45">
      <c r="A1696" t="s">
        <v>3297</v>
      </c>
      <c r="B1696" s="1">
        <v>45555</v>
      </c>
      <c r="C1696" t="s">
        <v>3298</v>
      </c>
      <c r="D1696" t="s">
        <v>13</v>
      </c>
      <c r="E1696" t="s">
        <v>36</v>
      </c>
      <c r="F1696" t="s">
        <v>37</v>
      </c>
      <c r="G1696">
        <v>3</v>
      </c>
      <c r="H1696">
        <v>16332.36</v>
      </c>
      <c r="I1696">
        <v>2377.54</v>
      </c>
      <c r="J1696" t="s">
        <v>22</v>
      </c>
      <c r="K1696" t="s">
        <v>33</v>
      </c>
      <c r="L1696">
        <f t="shared" si="78"/>
        <v>2024</v>
      </c>
      <c r="M1696" t="str">
        <f t="shared" si="79"/>
        <v>Sep</v>
      </c>
      <c r="N1696" s="2">
        <f t="shared" si="80"/>
        <v>0.14557234839300626</v>
      </c>
    </row>
    <row r="1697" spans="1:14" x14ac:dyDescent="0.45">
      <c r="A1697" t="s">
        <v>3299</v>
      </c>
      <c r="B1697" s="1">
        <v>44997</v>
      </c>
      <c r="C1697" t="s">
        <v>3300</v>
      </c>
      <c r="D1697" t="s">
        <v>26</v>
      </c>
      <c r="E1697" t="s">
        <v>20</v>
      </c>
      <c r="F1697" t="s">
        <v>27</v>
      </c>
      <c r="G1697">
        <v>5</v>
      </c>
      <c r="H1697">
        <v>39765.129999999997</v>
      </c>
      <c r="I1697">
        <v>5468.29</v>
      </c>
      <c r="J1697" t="s">
        <v>16</v>
      </c>
      <c r="K1697" t="s">
        <v>29</v>
      </c>
      <c r="L1697">
        <f t="shared" si="78"/>
        <v>2023</v>
      </c>
      <c r="M1697" t="str">
        <f t="shared" si="79"/>
        <v>Mar</v>
      </c>
      <c r="N1697" s="2">
        <f t="shared" si="80"/>
        <v>0.13751470195118187</v>
      </c>
    </row>
    <row r="1698" spans="1:14" x14ac:dyDescent="0.45">
      <c r="A1698" t="s">
        <v>3301</v>
      </c>
      <c r="B1698" s="1">
        <v>45189</v>
      </c>
      <c r="C1698" t="s">
        <v>3302</v>
      </c>
      <c r="D1698" t="s">
        <v>26</v>
      </c>
      <c r="E1698" t="s">
        <v>20</v>
      </c>
      <c r="F1698" t="s">
        <v>50</v>
      </c>
      <c r="G1698">
        <v>4</v>
      </c>
      <c r="H1698">
        <v>16552.099999999999</v>
      </c>
      <c r="I1698">
        <v>3269.06</v>
      </c>
      <c r="J1698" t="s">
        <v>28</v>
      </c>
      <c r="K1698" t="s">
        <v>23</v>
      </c>
      <c r="L1698">
        <f t="shared" si="78"/>
        <v>2023</v>
      </c>
      <c r="M1698" t="str">
        <f t="shared" si="79"/>
        <v>Sep</v>
      </c>
      <c r="N1698" s="2">
        <f t="shared" si="80"/>
        <v>0.19750122340971843</v>
      </c>
    </row>
    <row r="1699" spans="1:14" x14ac:dyDescent="0.45">
      <c r="A1699" t="s">
        <v>3303</v>
      </c>
      <c r="B1699" s="1">
        <v>45425</v>
      </c>
      <c r="C1699" t="s">
        <v>3304</v>
      </c>
      <c r="D1699" t="s">
        <v>56</v>
      </c>
      <c r="E1699" t="s">
        <v>20</v>
      </c>
      <c r="F1699" t="s">
        <v>27</v>
      </c>
      <c r="G1699">
        <v>5</v>
      </c>
      <c r="H1699">
        <v>2931.27</v>
      </c>
      <c r="I1699">
        <v>360.58</v>
      </c>
      <c r="J1699" t="s">
        <v>22</v>
      </c>
      <c r="K1699" t="s">
        <v>17</v>
      </c>
      <c r="L1699">
        <f t="shared" si="78"/>
        <v>2024</v>
      </c>
      <c r="M1699" t="str">
        <f t="shared" si="79"/>
        <v>May</v>
      </c>
      <c r="N1699" s="2">
        <f t="shared" si="80"/>
        <v>0.12301152742667854</v>
      </c>
    </row>
    <row r="1700" spans="1:14" x14ac:dyDescent="0.45">
      <c r="A1700" t="s">
        <v>3305</v>
      </c>
      <c r="B1700" s="1">
        <v>45178</v>
      </c>
      <c r="C1700" t="s">
        <v>3306</v>
      </c>
      <c r="D1700" t="s">
        <v>56</v>
      </c>
      <c r="E1700" t="s">
        <v>36</v>
      </c>
      <c r="F1700" t="s">
        <v>37</v>
      </c>
      <c r="G1700">
        <v>3</v>
      </c>
      <c r="H1700">
        <v>8840.25</v>
      </c>
      <c r="I1700">
        <v>1092.4000000000001</v>
      </c>
      <c r="J1700" t="s">
        <v>22</v>
      </c>
      <c r="K1700" t="s">
        <v>23</v>
      </c>
      <c r="L1700">
        <f t="shared" si="78"/>
        <v>2023</v>
      </c>
      <c r="M1700" t="str">
        <f t="shared" si="79"/>
        <v>Sep</v>
      </c>
      <c r="N1700" s="2">
        <f t="shared" si="80"/>
        <v>0.12357116597381297</v>
      </c>
    </row>
    <row r="1701" spans="1:14" x14ac:dyDescent="0.45">
      <c r="A1701" t="s">
        <v>3307</v>
      </c>
      <c r="B1701" s="1">
        <v>44904</v>
      </c>
      <c r="C1701" t="s">
        <v>303</v>
      </c>
      <c r="D1701" t="s">
        <v>26</v>
      </c>
      <c r="E1701" t="s">
        <v>20</v>
      </c>
      <c r="F1701" t="s">
        <v>43</v>
      </c>
      <c r="G1701">
        <v>2</v>
      </c>
      <c r="H1701">
        <v>38207.839999999997</v>
      </c>
      <c r="I1701">
        <v>5980.73</v>
      </c>
      <c r="J1701" t="s">
        <v>47</v>
      </c>
      <c r="K1701" t="s">
        <v>33</v>
      </c>
      <c r="L1701">
        <f t="shared" si="78"/>
        <v>2022</v>
      </c>
      <c r="M1701" t="str">
        <f t="shared" si="79"/>
        <v>Dec</v>
      </c>
      <c r="N1701" s="2">
        <f t="shared" si="80"/>
        <v>0.15653148673151898</v>
      </c>
    </row>
    <row r="1702" spans="1:14" x14ac:dyDescent="0.45">
      <c r="A1702" t="s">
        <v>3308</v>
      </c>
      <c r="B1702" s="1">
        <v>45191</v>
      </c>
      <c r="C1702" t="s">
        <v>3309</v>
      </c>
      <c r="D1702" t="s">
        <v>56</v>
      </c>
      <c r="E1702" t="s">
        <v>14</v>
      </c>
      <c r="F1702" t="s">
        <v>57</v>
      </c>
      <c r="G1702">
        <v>1</v>
      </c>
      <c r="H1702">
        <v>16665.21</v>
      </c>
      <c r="I1702">
        <v>3989.8</v>
      </c>
      <c r="J1702" t="s">
        <v>47</v>
      </c>
      <c r="K1702" t="s">
        <v>29</v>
      </c>
      <c r="L1702">
        <f t="shared" si="78"/>
        <v>2023</v>
      </c>
      <c r="M1702" t="str">
        <f t="shared" si="79"/>
        <v>Sep</v>
      </c>
      <c r="N1702" s="2">
        <f t="shared" si="80"/>
        <v>0.23940892433998734</v>
      </c>
    </row>
    <row r="1703" spans="1:14" x14ac:dyDescent="0.45">
      <c r="A1703" t="s">
        <v>3310</v>
      </c>
      <c r="B1703" s="1">
        <v>45146</v>
      </c>
      <c r="C1703" t="s">
        <v>349</v>
      </c>
      <c r="D1703" t="s">
        <v>13</v>
      </c>
      <c r="E1703" t="s">
        <v>36</v>
      </c>
      <c r="F1703" t="s">
        <v>64</v>
      </c>
      <c r="G1703">
        <v>4</v>
      </c>
      <c r="H1703">
        <v>35541.31</v>
      </c>
      <c r="I1703">
        <v>4901.3999999999996</v>
      </c>
      <c r="J1703" t="s">
        <v>47</v>
      </c>
      <c r="K1703" t="s">
        <v>33</v>
      </c>
      <c r="L1703">
        <f t="shared" si="78"/>
        <v>2023</v>
      </c>
      <c r="M1703" t="str">
        <f t="shared" si="79"/>
        <v>Aug</v>
      </c>
      <c r="N1703" s="2">
        <f t="shared" si="80"/>
        <v>0.13790712835289415</v>
      </c>
    </row>
    <row r="1704" spans="1:14" x14ac:dyDescent="0.45">
      <c r="A1704" t="s">
        <v>3311</v>
      </c>
      <c r="B1704" s="1">
        <v>45453</v>
      </c>
      <c r="C1704" t="s">
        <v>3312</v>
      </c>
      <c r="D1704" t="s">
        <v>26</v>
      </c>
      <c r="E1704" t="s">
        <v>36</v>
      </c>
      <c r="F1704" t="s">
        <v>37</v>
      </c>
      <c r="G1704">
        <v>3</v>
      </c>
      <c r="H1704">
        <v>43904.42</v>
      </c>
      <c r="I1704">
        <v>5343.42</v>
      </c>
      <c r="J1704" t="s">
        <v>28</v>
      </c>
      <c r="K1704" t="s">
        <v>23</v>
      </c>
      <c r="L1704">
        <f t="shared" si="78"/>
        <v>2024</v>
      </c>
      <c r="M1704" t="str">
        <f t="shared" si="79"/>
        <v>Jun</v>
      </c>
      <c r="N1704" s="2">
        <f t="shared" si="80"/>
        <v>0.12170574169981065</v>
      </c>
    </row>
    <row r="1705" spans="1:14" x14ac:dyDescent="0.45">
      <c r="A1705" t="s">
        <v>3313</v>
      </c>
      <c r="B1705" s="1">
        <v>45334</v>
      </c>
      <c r="C1705" t="s">
        <v>3314</v>
      </c>
      <c r="D1705" t="s">
        <v>13</v>
      </c>
      <c r="E1705" t="s">
        <v>20</v>
      </c>
      <c r="F1705" t="s">
        <v>43</v>
      </c>
      <c r="G1705">
        <v>2</v>
      </c>
      <c r="H1705">
        <v>26631.02</v>
      </c>
      <c r="I1705">
        <v>6561.79</v>
      </c>
      <c r="J1705" t="s">
        <v>71</v>
      </c>
      <c r="K1705" t="s">
        <v>17</v>
      </c>
      <c r="L1705">
        <f t="shared" si="78"/>
        <v>2024</v>
      </c>
      <c r="M1705" t="str">
        <f t="shared" si="79"/>
        <v>Feb</v>
      </c>
      <c r="N1705" s="2">
        <f t="shared" si="80"/>
        <v>0.24639649551538018</v>
      </c>
    </row>
    <row r="1706" spans="1:14" x14ac:dyDescent="0.45">
      <c r="A1706" t="s">
        <v>3315</v>
      </c>
      <c r="B1706" s="1">
        <v>45450</v>
      </c>
      <c r="C1706" t="s">
        <v>3316</v>
      </c>
      <c r="D1706" t="s">
        <v>56</v>
      </c>
      <c r="E1706" t="s">
        <v>20</v>
      </c>
      <c r="F1706" t="s">
        <v>50</v>
      </c>
      <c r="G1706">
        <v>5</v>
      </c>
      <c r="H1706">
        <v>14509.06</v>
      </c>
      <c r="I1706">
        <v>1825.39</v>
      </c>
      <c r="J1706" t="s">
        <v>28</v>
      </c>
      <c r="K1706" t="s">
        <v>29</v>
      </c>
      <c r="L1706">
        <f t="shared" si="78"/>
        <v>2024</v>
      </c>
      <c r="M1706" t="str">
        <f t="shared" si="79"/>
        <v>Jun</v>
      </c>
      <c r="N1706" s="2">
        <f t="shared" si="80"/>
        <v>0.12581035573634683</v>
      </c>
    </row>
    <row r="1707" spans="1:14" x14ac:dyDescent="0.45">
      <c r="A1707" t="s">
        <v>3317</v>
      </c>
      <c r="B1707" s="1">
        <v>44566</v>
      </c>
      <c r="C1707" t="s">
        <v>3318</v>
      </c>
      <c r="D1707" t="s">
        <v>13</v>
      </c>
      <c r="E1707" t="s">
        <v>14</v>
      </c>
      <c r="F1707" t="s">
        <v>57</v>
      </c>
      <c r="G1707">
        <v>3</v>
      </c>
      <c r="H1707">
        <v>41288.26</v>
      </c>
      <c r="I1707">
        <v>3342.7</v>
      </c>
      <c r="J1707" t="s">
        <v>16</v>
      </c>
      <c r="K1707" t="s">
        <v>23</v>
      </c>
      <c r="L1707">
        <f t="shared" si="78"/>
        <v>2022</v>
      </c>
      <c r="M1707" t="str">
        <f t="shared" si="79"/>
        <v>Jan</v>
      </c>
      <c r="N1707" s="2">
        <f t="shared" si="80"/>
        <v>8.0960059832988832E-2</v>
      </c>
    </row>
    <row r="1708" spans="1:14" x14ac:dyDescent="0.45">
      <c r="A1708" t="s">
        <v>3319</v>
      </c>
      <c r="B1708" s="1">
        <v>45598</v>
      </c>
      <c r="C1708" t="s">
        <v>3320</v>
      </c>
      <c r="D1708" t="s">
        <v>56</v>
      </c>
      <c r="E1708" t="s">
        <v>20</v>
      </c>
      <c r="F1708" t="s">
        <v>43</v>
      </c>
      <c r="G1708">
        <v>2</v>
      </c>
      <c r="H1708">
        <v>13275.92</v>
      </c>
      <c r="I1708">
        <v>1415.9</v>
      </c>
      <c r="J1708" t="s">
        <v>71</v>
      </c>
      <c r="K1708" t="s">
        <v>23</v>
      </c>
      <c r="L1708">
        <f t="shared" si="78"/>
        <v>2024</v>
      </c>
      <c r="M1708" t="str">
        <f t="shared" si="79"/>
        <v>Nov</v>
      </c>
      <c r="N1708" s="2">
        <f t="shared" si="80"/>
        <v>0.10665174240278641</v>
      </c>
    </row>
    <row r="1709" spans="1:14" x14ac:dyDescent="0.45">
      <c r="A1709" t="s">
        <v>3321</v>
      </c>
      <c r="B1709" s="1">
        <v>45040</v>
      </c>
      <c r="C1709" t="s">
        <v>3322</v>
      </c>
      <c r="D1709" t="s">
        <v>13</v>
      </c>
      <c r="E1709" t="s">
        <v>36</v>
      </c>
      <c r="F1709" t="s">
        <v>53</v>
      </c>
      <c r="G1709">
        <v>3</v>
      </c>
      <c r="H1709">
        <v>10534.73</v>
      </c>
      <c r="I1709">
        <v>1122.6400000000001</v>
      </c>
      <c r="J1709" t="s">
        <v>22</v>
      </c>
      <c r="K1709" t="s">
        <v>29</v>
      </c>
      <c r="L1709">
        <f t="shared" si="78"/>
        <v>2023</v>
      </c>
      <c r="M1709" t="str">
        <f t="shared" si="79"/>
        <v>Apr</v>
      </c>
      <c r="N1709" s="2">
        <f t="shared" si="80"/>
        <v>0.10656561677423153</v>
      </c>
    </row>
    <row r="1710" spans="1:14" x14ac:dyDescent="0.45">
      <c r="A1710" t="s">
        <v>3323</v>
      </c>
      <c r="B1710" s="1">
        <v>45180</v>
      </c>
      <c r="C1710" t="s">
        <v>3324</v>
      </c>
      <c r="D1710" t="s">
        <v>26</v>
      </c>
      <c r="E1710" t="s">
        <v>14</v>
      </c>
      <c r="F1710" t="s">
        <v>15</v>
      </c>
      <c r="G1710">
        <v>5</v>
      </c>
      <c r="H1710">
        <v>22425.360000000001</v>
      </c>
      <c r="I1710">
        <v>1259.75</v>
      </c>
      <c r="J1710" t="s">
        <v>28</v>
      </c>
      <c r="K1710" t="s">
        <v>17</v>
      </c>
      <c r="L1710">
        <f t="shared" si="78"/>
        <v>2023</v>
      </c>
      <c r="M1710" t="str">
        <f t="shared" si="79"/>
        <v>Sep</v>
      </c>
      <c r="N1710" s="2">
        <f t="shared" si="80"/>
        <v>5.6175240887994665E-2</v>
      </c>
    </row>
    <row r="1711" spans="1:14" x14ac:dyDescent="0.45">
      <c r="A1711" t="s">
        <v>3325</v>
      </c>
      <c r="B1711" s="1">
        <v>45469</v>
      </c>
      <c r="C1711" t="s">
        <v>3326</v>
      </c>
      <c r="D1711" t="s">
        <v>13</v>
      </c>
      <c r="E1711" t="s">
        <v>14</v>
      </c>
      <c r="F1711" t="s">
        <v>15</v>
      </c>
      <c r="G1711">
        <v>3</v>
      </c>
      <c r="H1711">
        <v>40147.699999999997</v>
      </c>
      <c r="I1711">
        <v>2738.78</v>
      </c>
      <c r="J1711" t="s">
        <v>71</v>
      </c>
      <c r="K1711" t="s">
        <v>17</v>
      </c>
      <c r="L1711">
        <f t="shared" si="78"/>
        <v>2024</v>
      </c>
      <c r="M1711" t="str">
        <f t="shared" si="79"/>
        <v>Jun</v>
      </c>
      <c r="N1711" s="2">
        <f t="shared" si="80"/>
        <v>6.8217606488042912E-2</v>
      </c>
    </row>
    <row r="1712" spans="1:14" x14ac:dyDescent="0.45">
      <c r="A1712" t="s">
        <v>3327</v>
      </c>
      <c r="B1712" s="1">
        <v>45509</v>
      </c>
      <c r="C1712" t="s">
        <v>3328</v>
      </c>
      <c r="D1712" t="s">
        <v>26</v>
      </c>
      <c r="E1712" t="s">
        <v>20</v>
      </c>
      <c r="F1712" t="s">
        <v>27</v>
      </c>
      <c r="G1712">
        <v>1</v>
      </c>
      <c r="H1712">
        <v>25410.62</v>
      </c>
      <c r="I1712">
        <v>3843.62</v>
      </c>
      <c r="J1712" t="s">
        <v>47</v>
      </c>
      <c r="K1712" t="s">
        <v>17</v>
      </c>
      <c r="L1712">
        <f t="shared" si="78"/>
        <v>2024</v>
      </c>
      <c r="M1712" t="str">
        <f t="shared" si="79"/>
        <v>Aug</v>
      </c>
      <c r="N1712" s="2">
        <f t="shared" si="80"/>
        <v>0.15126037853464419</v>
      </c>
    </row>
    <row r="1713" spans="1:14" x14ac:dyDescent="0.45">
      <c r="A1713" t="s">
        <v>3329</v>
      </c>
      <c r="B1713" s="1">
        <v>45033</v>
      </c>
      <c r="C1713" t="s">
        <v>2268</v>
      </c>
      <c r="D1713" t="s">
        <v>13</v>
      </c>
      <c r="E1713" t="s">
        <v>20</v>
      </c>
      <c r="F1713" t="s">
        <v>27</v>
      </c>
      <c r="G1713">
        <v>4</v>
      </c>
      <c r="H1713">
        <v>11441.9</v>
      </c>
      <c r="I1713">
        <v>1861.83</v>
      </c>
      <c r="J1713" t="s">
        <v>47</v>
      </c>
      <c r="K1713" t="s">
        <v>33</v>
      </c>
      <c r="L1713">
        <f t="shared" si="78"/>
        <v>2023</v>
      </c>
      <c r="M1713" t="str">
        <f t="shared" si="79"/>
        <v>Apr</v>
      </c>
      <c r="N1713" s="2">
        <f t="shared" si="80"/>
        <v>0.1627203523890263</v>
      </c>
    </row>
    <row r="1714" spans="1:14" x14ac:dyDescent="0.45">
      <c r="A1714" t="s">
        <v>3330</v>
      </c>
      <c r="B1714" s="1">
        <v>44760</v>
      </c>
      <c r="C1714" t="s">
        <v>3331</v>
      </c>
      <c r="D1714" t="s">
        <v>26</v>
      </c>
      <c r="E1714" t="s">
        <v>20</v>
      </c>
      <c r="F1714" t="s">
        <v>43</v>
      </c>
      <c r="G1714">
        <v>1</v>
      </c>
      <c r="H1714">
        <v>47084.23</v>
      </c>
      <c r="I1714">
        <v>2630.74</v>
      </c>
      <c r="J1714" t="s">
        <v>16</v>
      </c>
      <c r="K1714" t="s">
        <v>29</v>
      </c>
      <c r="L1714">
        <f t="shared" si="78"/>
        <v>2022</v>
      </c>
      <c r="M1714" t="str">
        <f t="shared" si="79"/>
        <v>Jul</v>
      </c>
      <c r="N1714" s="2">
        <f t="shared" si="80"/>
        <v>5.5873059833409185E-2</v>
      </c>
    </row>
    <row r="1715" spans="1:14" x14ac:dyDescent="0.45">
      <c r="A1715" t="s">
        <v>3332</v>
      </c>
      <c r="B1715" s="1">
        <v>45654</v>
      </c>
      <c r="C1715" t="s">
        <v>3333</v>
      </c>
      <c r="D1715" t="s">
        <v>56</v>
      </c>
      <c r="E1715" t="s">
        <v>36</v>
      </c>
      <c r="F1715" t="s">
        <v>64</v>
      </c>
      <c r="G1715">
        <v>5</v>
      </c>
      <c r="H1715">
        <v>30847.01</v>
      </c>
      <c r="I1715">
        <v>2538.6799999999998</v>
      </c>
      <c r="J1715" t="s">
        <v>22</v>
      </c>
      <c r="K1715" t="s">
        <v>23</v>
      </c>
      <c r="L1715">
        <f t="shared" si="78"/>
        <v>2024</v>
      </c>
      <c r="M1715" t="str">
        <f t="shared" si="79"/>
        <v>Dec</v>
      </c>
      <c r="N1715" s="2">
        <f t="shared" si="80"/>
        <v>8.2299062372657841E-2</v>
      </c>
    </row>
    <row r="1716" spans="1:14" x14ac:dyDescent="0.45">
      <c r="A1716" t="s">
        <v>3334</v>
      </c>
      <c r="B1716" s="1">
        <v>45124</v>
      </c>
      <c r="C1716" t="s">
        <v>3335</v>
      </c>
      <c r="D1716" t="s">
        <v>13</v>
      </c>
      <c r="E1716" t="s">
        <v>20</v>
      </c>
      <c r="F1716" t="s">
        <v>27</v>
      </c>
      <c r="G1716">
        <v>3</v>
      </c>
      <c r="H1716">
        <v>18942.89</v>
      </c>
      <c r="I1716">
        <v>2701.28</v>
      </c>
      <c r="J1716" t="s">
        <v>47</v>
      </c>
      <c r="K1716" t="s">
        <v>33</v>
      </c>
      <c r="L1716">
        <f t="shared" si="78"/>
        <v>2023</v>
      </c>
      <c r="M1716" t="str">
        <f t="shared" si="79"/>
        <v>Jul</v>
      </c>
      <c r="N1716" s="2">
        <f t="shared" si="80"/>
        <v>0.1426012609480391</v>
      </c>
    </row>
    <row r="1717" spans="1:14" x14ac:dyDescent="0.45">
      <c r="A1717" t="s">
        <v>3336</v>
      </c>
      <c r="B1717" s="1">
        <v>44960</v>
      </c>
      <c r="C1717" t="s">
        <v>3337</v>
      </c>
      <c r="D1717" t="s">
        <v>13</v>
      </c>
      <c r="E1717" t="s">
        <v>36</v>
      </c>
      <c r="F1717" t="s">
        <v>53</v>
      </c>
      <c r="G1717">
        <v>2</v>
      </c>
      <c r="H1717">
        <v>25131.29</v>
      </c>
      <c r="I1717">
        <v>5214.1000000000004</v>
      </c>
      <c r="J1717" t="s">
        <v>47</v>
      </c>
      <c r="K1717" t="s">
        <v>23</v>
      </c>
      <c r="L1717">
        <f t="shared" si="78"/>
        <v>2023</v>
      </c>
      <c r="M1717" t="str">
        <f t="shared" si="79"/>
        <v>Feb</v>
      </c>
      <c r="N1717" s="2">
        <f t="shared" si="80"/>
        <v>0.2074744272976039</v>
      </c>
    </row>
    <row r="1718" spans="1:14" x14ac:dyDescent="0.45">
      <c r="A1718" t="s">
        <v>3338</v>
      </c>
      <c r="B1718" s="1">
        <v>44723</v>
      </c>
      <c r="C1718" t="s">
        <v>3339</v>
      </c>
      <c r="D1718" t="s">
        <v>26</v>
      </c>
      <c r="E1718" t="s">
        <v>20</v>
      </c>
      <c r="F1718" t="s">
        <v>27</v>
      </c>
      <c r="G1718">
        <v>4</v>
      </c>
      <c r="H1718">
        <v>19614.099999999999</v>
      </c>
      <c r="I1718">
        <v>2211.88</v>
      </c>
      <c r="J1718" t="s">
        <v>16</v>
      </c>
      <c r="K1718" t="s">
        <v>29</v>
      </c>
      <c r="L1718">
        <f t="shared" si="78"/>
        <v>2022</v>
      </c>
      <c r="M1718" t="str">
        <f t="shared" si="79"/>
        <v>Jun</v>
      </c>
      <c r="N1718" s="2">
        <f t="shared" si="80"/>
        <v>0.11276989512646515</v>
      </c>
    </row>
    <row r="1719" spans="1:14" x14ac:dyDescent="0.45">
      <c r="A1719" t="s">
        <v>3340</v>
      </c>
      <c r="B1719" s="1">
        <v>45400</v>
      </c>
      <c r="C1719" t="s">
        <v>3341</v>
      </c>
      <c r="D1719" t="s">
        <v>13</v>
      </c>
      <c r="E1719" t="s">
        <v>14</v>
      </c>
      <c r="F1719" t="s">
        <v>57</v>
      </c>
      <c r="G1719">
        <v>1</v>
      </c>
      <c r="H1719">
        <v>25524.68</v>
      </c>
      <c r="I1719">
        <v>4047.43</v>
      </c>
      <c r="J1719" t="s">
        <v>47</v>
      </c>
      <c r="K1719" t="s">
        <v>29</v>
      </c>
      <c r="L1719">
        <f t="shared" si="78"/>
        <v>2024</v>
      </c>
      <c r="M1719" t="str">
        <f t="shared" si="79"/>
        <v>Apr</v>
      </c>
      <c r="N1719" s="2">
        <f t="shared" si="80"/>
        <v>0.15856927491353465</v>
      </c>
    </row>
    <row r="1720" spans="1:14" x14ac:dyDescent="0.45">
      <c r="A1720" t="s">
        <v>3342</v>
      </c>
      <c r="B1720" s="1">
        <v>45027</v>
      </c>
      <c r="C1720" t="s">
        <v>3343</v>
      </c>
      <c r="D1720" t="s">
        <v>13</v>
      </c>
      <c r="E1720" t="s">
        <v>20</v>
      </c>
      <c r="F1720" t="s">
        <v>27</v>
      </c>
      <c r="G1720">
        <v>2</v>
      </c>
      <c r="H1720">
        <v>20246.05</v>
      </c>
      <c r="I1720">
        <v>4148.34</v>
      </c>
      <c r="J1720" t="s">
        <v>16</v>
      </c>
      <c r="K1720" t="s">
        <v>23</v>
      </c>
      <c r="L1720">
        <f t="shared" si="78"/>
        <v>2023</v>
      </c>
      <c r="M1720" t="str">
        <f t="shared" si="79"/>
        <v>Apr</v>
      </c>
      <c r="N1720" s="2">
        <f t="shared" si="80"/>
        <v>0.20489626371563838</v>
      </c>
    </row>
    <row r="1721" spans="1:14" x14ac:dyDescent="0.45">
      <c r="A1721" t="s">
        <v>3344</v>
      </c>
      <c r="B1721" s="1">
        <v>45044</v>
      </c>
      <c r="C1721" t="s">
        <v>3345</v>
      </c>
      <c r="D1721" t="s">
        <v>26</v>
      </c>
      <c r="E1721" t="s">
        <v>14</v>
      </c>
      <c r="F1721" t="s">
        <v>32</v>
      </c>
      <c r="G1721">
        <v>5</v>
      </c>
      <c r="H1721">
        <v>39038.29</v>
      </c>
      <c r="I1721">
        <v>4315.71</v>
      </c>
      <c r="J1721" t="s">
        <v>71</v>
      </c>
      <c r="K1721" t="s">
        <v>17</v>
      </c>
      <c r="L1721">
        <f t="shared" si="78"/>
        <v>2023</v>
      </c>
      <c r="M1721" t="str">
        <f t="shared" si="79"/>
        <v>Apr</v>
      </c>
      <c r="N1721" s="2">
        <f t="shared" si="80"/>
        <v>0.11055069266609782</v>
      </c>
    </row>
    <row r="1722" spans="1:14" x14ac:dyDescent="0.45">
      <c r="A1722" t="s">
        <v>3346</v>
      </c>
      <c r="B1722" s="1">
        <v>44825</v>
      </c>
      <c r="C1722" t="s">
        <v>3347</v>
      </c>
      <c r="D1722" t="s">
        <v>13</v>
      </c>
      <c r="E1722" t="s">
        <v>20</v>
      </c>
      <c r="F1722" t="s">
        <v>27</v>
      </c>
      <c r="G1722">
        <v>1</v>
      </c>
      <c r="H1722">
        <v>3292.99</v>
      </c>
      <c r="I1722">
        <v>413.52</v>
      </c>
      <c r="J1722" t="s">
        <v>71</v>
      </c>
      <c r="K1722" t="s">
        <v>23</v>
      </c>
      <c r="L1722">
        <f t="shared" si="78"/>
        <v>2022</v>
      </c>
      <c r="M1722" t="str">
        <f t="shared" si="79"/>
        <v>Sep</v>
      </c>
      <c r="N1722" s="2">
        <f t="shared" si="80"/>
        <v>0.12557584444532174</v>
      </c>
    </row>
    <row r="1723" spans="1:14" x14ac:dyDescent="0.45">
      <c r="A1723" t="s">
        <v>3348</v>
      </c>
      <c r="B1723" s="1">
        <v>45297</v>
      </c>
      <c r="C1723" t="s">
        <v>3349</v>
      </c>
      <c r="D1723" t="s">
        <v>13</v>
      </c>
      <c r="E1723" t="s">
        <v>36</v>
      </c>
      <c r="F1723" t="s">
        <v>37</v>
      </c>
      <c r="G1723">
        <v>5</v>
      </c>
      <c r="H1723">
        <v>10881.01</v>
      </c>
      <c r="I1723">
        <v>2406.52</v>
      </c>
      <c r="J1723" t="s">
        <v>47</v>
      </c>
      <c r="K1723" t="s">
        <v>17</v>
      </c>
      <c r="L1723">
        <f t="shared" si="78"/>
        <v>2024</v>
      </c>
      <c r="M1723" t="str">
        <f t="shared" si="79"/>
        <v>Jan</v>
      </c>
      <c r="N1723" s="2">
        <f t="shared" si="80"/>
        <v>0.22116696887513199</v>
      </c>
    </row>
    <row r="1724" spans="1:14" x14ac:dyDescent="0.45">
      <c r="A1724" t="s">
        <v>3350</v>
      </c>
      <c r="B1724" s="1">
        <v>44612</v>
      </c>
      <c r="C1724" t="s">
        <v>3351</v>
      </c>
      <c r="D1724" t="s">
        <v>56</v>
      </c>
      <c r="E1724" t="s">
        <v>36</v>
      </c>
      <c r="F1724" t="s">
        <v>46</v>
      </c>
      <c r="G1724">
        <v>1</v>
      </c>
      <c r="H1724">
        <v>34650.949999999997</v>
      </c>
      <c r="I1724">
        <v>4992.25</v>
      </c>
      <c r="J1724" t="s">
        <v>28</v>
      </c>
      <c r="K1724" t="s">
        <v>29</v>
      </c>
      <c r="L1724">
        <f t="shared" si="78"/>
        <v>2022</v>
      </c>
      <c r="M1724" t="str">
        <f t="shared" si="79"/>
        <v>Feb</v>
      </c>
      <c r="N1724" s="2">
        <f t="shared" si="80"/>
        <v>0.14407252903600046</v>
      </c>
    </row>
    <row r="1725" spans="1:14" x14ac:dyDescent="0.45">
      <c r="A1725" t="s">
        <v>3352</v>
      </c>
      <c r="B1725" s="1">
        <v>45537</v>
      </c>
      <c r="C1725" t="s">
        <v>2808</v>
      </c>
      <c r="D1725" t="s">
        <v>13</v>
      </c>
      <c r="E1725" t="s">
        <v>36</v>
      </c>
      <c r="F1725" t="s">
        <v>53</v>
      </c>
      <c r="G1725">
        <v>1</v>
      </c>
      <c r="H1725">
        <v>42284.9</v>
      </c>
      <c r="I1725">
        <v>9394.85</v>
      </c>
      <c r="J1725" t="s">
        <v>47</v>
      </c>
      <c r="K1725" t="s">
        <v>17</v>
      </c>
      <c r="L1725">
        <f t="shared" si="78"/>
        <v>2024</v>
      </c>
      <c r="M1725" t="str">
        <f t="shared" si="79"/>
        <v>Sep</v>
      </c>
      <c r="N1725" s="2">
        <f t="shared" si="80"/>
        <v>0.22217978521883699</v>
      </c>
    </row>
    <row r="1726" spans="1:14" x14ac:dyDescent="0.45">
      <c r="A1726" t="s">
        <v>3353</v>
      </c>
      <c r="B1726" s="1">
        <v>45195</v>
      </c>
      <c r="C1726" t="s">
        <v>3354</v>
      </c>
      <c r="D1726" t="s">
        <v>13</v>
      </c>
      <c r="E1726" t="s">
        <v>36</v>
      </c>
      <c r="F1726" t="s">
        <v>46</v>
      </c>
      <c r="G1726">
        <v>1</v>
      </c>
      <c r="H1726">
        <v>2118.17</v>
      </c>
      <c r="I1726">
        <v>311.49</v>
      </c>
      <c r="J1726" t="s">
        <v>71</v>
      </c>
      <c r="K1726" t="s">
        <v>29</v>
      </c>
      <c r="L1726">
        <f t="shared" si="78"/>
        <v>2023</v>
      </c>
      <c r="M1726" t="str">
        <f t="shared" si="79"/>
        <v>Sep</v>
      </c>
      <c r="N1726" s="2">
        <f t="shared" si="80"/>
        <v>0.14705618529202094</v>
      </c>
    </row>
    <row r="1727" spans="1:14" x14ac:dyDescent="0.45">
      <c r="A1727" t="s">
        <v>3355</v>
      </c>
      <c r="B1727" s="1">
        <v>44868</v>
      </c>
      <c r="C1727" t="s">
        <v>3356</v>
      </c>
      <c r="D1727" t="s">
        <v>56</v>
      </c>
      <c r="E1727" t="s">
        <v>20</v>
      </c>
      <c r="F1727" t="s">
        <v>43</v>
      </c>
      <c r="G1727">
        <v>5</v>
      </c>
      <c r="H1727">
        <v>3571.87</v>
      </c>
      <c r="I1727">
        <v>180.32</v>
      </c>
      <c r="J1727" t="s">
        <v>22</v>
      </c>
      <c r="K1727" t="s">
        <v>29</v>
      </c>
      <c r="L1727">
        <f t="shared" si="78"/>
        <v>2022</v>
      </c>
      <c r="M1727" t="str">
        <f t="shared" si="79"/>
        <v>Nov</v>
      </c>
      <c r="N1727" s="2">
        <f t="shared" si="80"/>
        <v>5.0483360256672272E-2</v>
      </c>
    </row>
    <row r="1728" spans="1:14" x14ac:dyDescent="0.45">
      <c r="A1728" t="s">
        <v>3357</v>
      </c>
      <c r="B1728" s="1">
        <v>45132</v>
      </c>
      <c r="C1728" t="s">
        <v>3358</v>
      </c>
      <c r="D1728" t="s">
        <v>26</v>
      </c>
      <c r="E1728" t="s">
        <v>36</v>
      </c>
      <c r="F1728" t="s">
        <v>53</v>
      </c>
      <c r="G1728">
        <v>2</v>
      </c>
      <c r="H1728">
        <v>11801.77</v>
      </c>
      <c r="I1728">
        <v>2425.7600000000002</v>
      </c>
      <c r="J1728" t="s">
        <v>71</v>
      </c>
      <c r="K1728" t="s">
        <v>33</v>
      </c>
      <c r="L1728">
        <f t="shared" si="78"/>
        <v>2023</v>
      </c>
      <c r="M1728" t="str">
        <f t="shared" si="79"/>
        <v>Jul</v>
      </c>
      <c r="N1728" s="2">
        <f t="shared" si="80"/>
        <v>0.20554205004842496</v>
      </c>
    </row>
    <row r="1729" spans="1:14" x14ac:dyDescent="0.45">
      <c r="A1729" t="s">
        <v>3359</v>
      </c>
      <c r="B1729" s="1">
        <v>45585</v>
      </c>
      <c r="C1729" t="s">
        <v>3360</v>
      </c>
      <c r="D1729" t="s">
        <v>13</v>
      </c>
      <c r="E1729" t="s">
        <v>14</v>
      </c>
      <c r="F1729" t="s">
        <v>15</v>
      </c>
      <c r="G1729">
        <v>3</v>
      </c>
      <c r="H1729">
        <v>1049.8</v>
      </c>
      <c r="I1729">
        <v>225.11</v>
      </c>
      <c r="J1729" t="s">
        <v>47</v>
      </c>
      <c r="K1729" t="s">
        <v>23</v>
      </c>
      <c r="L1729">
        <f t="shared" si="78"/>
        <v>2024</v>
      </c>
      <c r="M1729" t="str">
        <f t="shared" si="79"/>
        <v>Oct</v>
      </c>
      <c r="N1729" s="2">
        <f t="shared" si="80"/>
        <v>0.21443132025147649</v>
      </c>
    </row>
    <row r="1730" spans="1:14" x14ac:dyDescent="0.45">
      <c r="A1730" t="s">
        <v>3361</v>
      </c>
      <c r="B1730" s="1">
        <v>44975</v>
      </c>
      <c r="C1730" t="s">
        <v>3362</v>
      </c>
      <c r="D1730" t="s">
        <v>13</v>
      </c>
      <c r="E1730" t="s">
        <v>14</v>
      </c>
      <c r="F1730" t="s">
        <v>57</v>
      </c>
      <c r="G1730">
        <v>2</v>
      </c>
      <c r="H1730">
        <v>38213.85</v>
      </c>
      <c r="I1730">
        <v>4500.3500000000004</v>
      </c>
      <c r="J1730" t="s">
        <v>16</v>
      </c>
      <c r="K1730" t="s">
        <v>17</v>
      </c>
      <c r="L1730">
        <f t="shared" si="78"/>
        <v>2023</v>
      </c>
      <c r="M1730" t="str">
        <f t="shared" si="79"/>
        <v>Feb</v>
      </c>
      <c r="N1730" s="2">
        <f t="shared" si="80"/>
        <v>0.1177675109940506</v>
      </c>
    </row>
    <row r="1731" spans="1:14" x14ac:dyDescent="0.45">
      <c r="A1731" t="s">
        <v>3363</v>
      </c>
      <c r="B1731" s="1">
        <v>45482</v>
      </c>
      <c r="C1731" t="s">
        <v>1500</v>
      </c>
      <c r="D1731" t="s">
        <v>13</v>
      </c>
      <c r="E1731" t="s">
        <v>36</v>
      </c>
      <c r="F1731" t="s">
        <v>64</v>
      </c>
      <c r="G1731">
        <v>2</v>
      </c>
      <c r="H1731">
        <v>31995.63</v>
      </c>
      <c r="I1731">
        <v>2654.5</v>
      </c>
      <c r="J1731" t="s">
        <v>28</v>
      </c>
      <c r="K1731" t="s">
        <v>23</v>
      </c>
      <c r="L1731">
        <f t="shared" ref="L1731:L1794" si="81">YEAR(B1731 )</f>
        <v>2024</v>
      </c>
      <c r="M1731" t="str">
        <f t="shared" ref="M1731:M1794" si="82">TEXT(B1731,"MMM")</f>
        <v>Jul</v>
      </c>
      <c r="N1731" s="2">
        <f t="shared" ref="N1731:N1794" si="83">I1731 / H1731</f>
        <v>8.2964454833363177E-2</v>
      </c>
    </row>
    <row r="1732" spans="1:14" x14ac:dyDescent="0.45">
      <c r="A1732" t="s">
        <v>3364</v>
      </c>
      <c r="B1732" s="1">
        <v>44746</v>
      </c>
      <c r="C1732" t="s">
        <v>3365</v>
      </c>
      <c r="D1732" t="s">
        <v>56</v>
      </c>
      <c r="E1732" t="s">
        <v>36</v>
      </c>
      <c r="F1732" t="s">
        <v>37</v>
      </c>
      <c r="G1732">
        <v>5</v>
      </c>
      <c r="H1732">
        <v>27590.99</v>
      </c>
      <c r="I1732">
        <v>1527.22</v>
      </c>
      <c r="J1732" t="s">
        <v>16</v>
      </c>
      <c r="K1732" t="s">
        <v>23</v>
      </c>
      <c r="L1732">
        <f t="shared" si="81"/>
        <v>2022</v>
      </c>
      <c r="M1732" t="str">
        <f t="shared" si="82"/>
        <v>Jul</v>
      </c>
      <c r="N1732" s="2">
        <f t="shared" si="83"/>
        <v>5.5352127632970038E-2</v>
      </c>
    </row>
    <row r="1733" spans="1:14" x14ac:dyDescent="0.45">
      <c r="A1733" t="s">
        <v>3366</v>
      </c>
      <c r="B1733" s="1">
        <v>44684</v>
      </c>
      <c r="C1733" t="s">
        <v>3367</v>
      </c>
      <c r="D1733" t="s">
        <v>26</v>
      </c>
      <c r="E1733" t="s">
        <v>14</v>
      </c>
      <c r="F1733" t="s">
        <v>32</v>
      </c>
      <c r="G1733">
        <v>1</v>
      </c>
      <c r="H1733">
        <v>16801.68</v>
      </c>
      <c r="I1733">
        <v>2169.7199999999998</v>
      </c>
      <c r="J1733" t="s">
        <v>28</v>
      </c>
      <c r="K1733" t="s">
        <v>23</v>
      </c>
      <c r="L1733">
        <f t="shared" si="81"/>
        <v>2022</v>
      </c>
      <c r="M1733" t="str">
        <f t="shared" si="82"/>
        <v>May</v>
      </c>
      <c r="N1733" s="2">
        <f t="shared" si="83"/>
        <v>0.12913708629137086</v>
      </c>
    </row>
    <row r="1734" spans="1:14" x14ac:dyDescent="0.45">
      <c r="A1734" t="s">
        <v>3368</v>
      </c>
      <c r="B1734" s="1">
        <v>45654</v>
      </c>
      <c r="C1734" t="s">
        <v>3369</v>
      </c>
      <c r="D1734" t="s">
        <v>26</v>
      </c>
      <c r="E1734" t="s">
        <v>14</v>
      </c>
      <c r="F1734" t="s">
        <v>32</v>
      </c>
      <c r="G1734">
        <v>1</v>
      </c>
      <c r="H1734">
        <v>31062.9</v>
      </c>
      <c r="I1734">
        <v>5298.43</v>
      </c>
      <c r="J1734" t="s">
        <v>22</v>
      </c>
      <c r="K1734" t="s">
        <v>17</v>
      </c>
      <c r="L1734">
        <f t="shared" si="81"/>
        <v>2024</v>
      </c>
      <c r="M1734" t="str">
        <f t="shared" si="82"/>
        <v>Dec</v>
      </c>
      <c r="N1734" s="2">
        <f t="shared" si="83"/>
        <v>0.1705710027074098</v>
      </c>
    </row>
    <row r="1735" spans="1:14" x14ac:dyDescent="0.45">
      <c r="A1735" t="s">
        <v>3370</v>
      </c>
      <c r="B1735" s="1">
        <v>44879</v>
      </c>
      <c r="C1735" t="s">
        <v>3371</v>
      </c>
      <c r="D1735" t="s">
        <v>26</v>
      </c>
      <c r="E1735" t="s">
        <v>36</v>
      </c>
      <c r="F1735" t="s">
        <v>64</v>
      </c>
      <c r="G1735">
        <v>5</v>
      </c>
      <c r="H1735">
        <v>14881.74</v>
      </c>
      <c r="I1735">
        <v>991.08</v>
      </c>
      <c r="J1735" t="s">
        <v>22</v>
      </c>
      <c r="K1735" t="s">
        <v>29</v>
      </c>
      <c r="L1735">
        <f t="shared" si="81"/>
        <v>2022</v>
      </c>
      <c r="M1735" t="str">
        <f t="shared" si="82"/>
        <v>Nov</v>
      </c>
      <c r="N1735" s="2">
        <f t="shared" si="83"/>
        <v>6.6597051151276662E-2</v>
      </c>
    </row>
    <row r="1736" spans="1:14" x14ac:dyDescent="0.45">
      <c r="A1736" t="s">
        <v>3372</v>
      </c>
      <c r="B1736" s="1">
        <v>45477</v>
      </c>
      <c r="C1736" t="s">
        <v>3373</v>
      </c>
      <c r="D1736" t="s">
        <v>26</v>
      </c>
      <c r="E1736" t="s">
        <v>20</v>
      </c>
      <c r="F1736" t="s">
        <v>43</v>
      </c>
      <c r="G1736">
        <v>1</v>
      </c>
      <c r="H1736">
        <v>43752.68</v>
      </c>
      <c r="I1736">
        <v>7698.42</v>
      </c>
      <c r="J1736" t="s">
        <v>22</v>
      </c>
      <c r="K1736" t="s">
        <v>29</v>
      </c>
      <c r="L1736">
        <f t="shared" si="81"/>
        <v>2024</v>
      </c>
      <c r="M1736" t="str">
        <f t="shared" si="82"/>
        <v>Jul</v>
      </c>
      <c r="N1736" s="2">
        <f t="shared" si="83"/>
        <v>0.17595310732965386</v>
      </c>
    </row>
    <row r="1737" spans="1:14" x14ac:dyDescent="0.45">
      <c r="A1737" t="s">
        <v>3374</v>
      </c>
      <c r="B1737" s="1">
        <v>45480</v>
      </c>
      <c r="C1737" t="s">
        <v>3375</v>
      </c>
      <c r="D1737" t="s">
        <v>13</v>
      </c>
      <c r="E1737" t="s">
        <v>36</v>
      </c>
      <c r="F1737" t="s">
        <v>64</v>
      </c>
      <c r="G1737">
        <v>4</v>
      </c>
      <c r="H1737">
        <v>29662.48</v>
      </c>
      <c r="I1737">
        <v>5461.41</v>
      </c>
      <c r="J1737" t="s">
        <v>16</v>
      </c>
      <c r="K1737" t="s">
        <v>23</v>
      </c>
      <c r="L1737">
        <f t="shared" si="81"/>
        <v>2024</v>
      </c>
      <c r="M1737" t="str">
        <f t="shared" si="82"/>
        <v>Jul</v>
      </c>
      <c r="N1737" s="2">
        <f t="shared" si="83"/>
        <v>0.18411845536853291</v>
      </c>
    </row>
    <row r="1738" spans="1:14" x14ac:dyDescent="0.45">
      <c r="A1738" t="s">
        <v>3376</v>
      </c>
      <c r="B1738" s="1">
        <v>44628</v>
      </c>
      <c r="C1738" t="s">
        <v>3377</v>
      </c>
      <c r="D1738" t="s">
        <v>26</v>
      </c>
      <c r="E1738" t="s">
        <v>36</v>
      </c>
      <c r="F1738" t="s">
        <v>64</v>
      </c>
      <c r="G1738">
        <v>3</v>
      </c>
      <c r="H1738">
        <v>8497.8799999999992</v>
      </c>
      <c r="I1738">
        <v>1488.12</v>
      </c>
      <c r="J1738" t="s">
        <v>28</v>
      </c>
      <c r="K1738" t="s">
        <v>23</v>
      </c>
      <c r="L1738">
        <f t="shared" si="81"/>
        <v>2022</v>
      </c>
      <c r="M1738" t="str">
        <f t="shared" si="82"/>
        <v>Mar</v>
      </c>
      <c r="N1738" s="2">
        <f t="shared" si="83"/>
        <v>0.17511661732102596</v>
      </c>
    </row>
    <row r="1739" spans="1:14" x14ac:dyDescent="0.45">
      <c r="A1739" t="s">
        <v>3378</v>
      </c>
      <c r="B1739" s="1">
        <v>45005</v>
      </c>
      <c r="C1739" t="s">
        <v>3379</v>
      </c>
      <c r="D1739" t="s">
        <v>13</v>
      </c>
      <c r="E1739" t="s">
        <v>20</v>
      </c>
      <c r="F1739" t="s">
        <v>43</v>
      </c>
      <c r="G1739">
        <v>3</v>
      </c>
      <c r="H1739">
        <v>16019.97</v>
      </c>
      <c r="I1739">
        <v>2555.0500000000002</v>
      </c>
      <c r="J1739" t="s">
        <v>71</v>
      </c>
      <c r="K1739" t="s">
        <v>17</v>
      </c>
      <c r="L1739">
        <f t="shared" si="81"/>
        <v>2023</v>
      </c>
      <c r="M1739" t="str">
        <f t="shared" si="82"/>
        <v>Mar</v>
      </c>
      <c r="N1739" s="2">
        <f t="shared" si="83"/>
        <v>0.15949155959717778</v>
      </c>
    </row>
    <row r="1740" spans="1:14" x14ac:dyDescent="0.45">
      <c r="A1740" t="s">
        <v>3380</v>
      </c>
      <c r="B1740" s="1">
        <v>45388</v>
      </c>
      <c r="C1740" t="s">
        <v>3381</v>
      </c>
      <c r="D1740" t="s">
        <v>56</v>
      </c>
      <c r="E1740" t="s">
        <v>14</v>
      </c>
      <c r="F1740" t="s">
        <v>15</v>
      </c>
      <c r="G1740">
        <v>5</v>
      </c>
      <c r="H1740">
        <v>7792.26</v>
      </c>
      <c r="I1740">
        <v>927.35</v>
      </c>
      <c r="J1740" t="s">
        <v>28</v>
      </c>
      <c r="K1740" t="s">
        <v>17</v>
      </c>
      <c r="L1740">
        <f t="shared" si="81"/>
        <v>2024</v>
      </c>
      <c r="M1740" t="str">
        <f t="shared" si="82"/>
        <v>Apr</v>
      </c>
      <c r="N1740" s="2">
        <f t="shared" si="83"/>
        <v>0.11900911930556732</v>
      </c>
    </row>
    <row r="1741" spans="1:14" x14ac:dyDescent="0.45">
      <c r="A1741" t="s">
        <v>3382</v>
      </c>
      <c r="B1741" s="1">
        <v>45650</v>
      </c>
      <c r="C1741" t="s">
        <v>3383</v>
      </c>
      <c r="D1741" t="s">
        <v>56</v>
      </c>
      <c r="E1741" t="s">
        <v>36</v>
      </c>
      <c r="F1741" t="s">
        <v>53</v>
      </c>
      <c r="G1741">
        <v>4</v>
      </c>
      <c r="H1741">
        <v>25941.01</v>
      </c>
      <c r="I1741">
        <v>3871.75</v>
      </c>
      <c r="J1741" t="s">
        <v>28</v>
      </c>
      <c r="K1741" t="s">
        <v>23</v>
      </c>
      <c r="L1741">
        <f t="shared" si="81"/>
        <v>2024</v>
      </c>
      <c r="M1741" t="str">
        <f t="shared" si="82"/>
        <v>Dec</v>
      </c>
      <c r="N1741" s="2">
        <f t="shared" si="83"/>
        <v>0.14925209157237904</v>
      </c>
    </row>
    <row r="1742" spans="1:14" x14ac:dyDescent="0.45">
      <c r="A1742" t="s">
        <v>3384</v>
      </c>
      <c r="B1742" s="1">
        <v>45519</v>
      </c>
      <c r="C1742" t="s">
        <v>3385</v>
      </c>
      <c r="D1742" t="s">
        <v>26</v>
      </c>
      <c r="E1742" t="s">
        <v>36</v>
      </c>
      <c r="F1742" t="s">
        <v>64</v>
      </c>
      <c r="G1742">
        <v>5</v>
      </c>
      <c r="H1742">
        <v>6713.36</v>
      </c>
      <c r="I1742">
        <v>991.12</v>
      </c>
      <c r="J1742" t="s">
        <v>47</v>
      </c>
      <c r="K1742" t="s">
        <v>23</v>
      </c>
      <c r="L1742">
        <f t="shared" si="81"/>
        <v>2024</v>
      </c>
      <c r="M1742" t="str">
        <f t="shared" si="82"/>
        <v>Aug</v>
      </c>
      <c r="N1742" s="2">
        <f t="shared" si="83"/>
        <v>0.14763397166247602</v>
      </c>
    </row>
    <row r="1743" spans="1:14" x14ac:dyDescent="0.45">
      <c r="A1743" t="s">
        <v>3386</v>
      </c>
      <c r="B1743" s="1">
        <v>45420</v>
      </c>
      <c r="C1743" t="s">
        <v>3387</v>
      </c>
      <c r="D1743" t="s">
        <v>26</v>
      </c>
      <c r="E1743" t="s">
        <v>14</v>
      </c>
      <c r="F1743" t="s">
        <v>15</v>
      </c>
      <c r="G1743">
        <v>5</v>
      </c>
      <c r="H1743">
        <v>24410.69</v>
      </c>
      <c r="I1743">
        <v>2949.48</v>
      </c>
      <c r="J1743" t="s">
        <v>22</v>
      </c>
      <c r="K1743" t="s">
        <v>33</v>
      </c>
      <c r="L1743">
        <f t="shared" si="81"/>
        <v>2024</v>
      </c>
      <c r="M1743" t="str">
        <f t="shared" si="82"/>
        <v>May</v>
      </c>
      <c r="N1743" s="2">
        <f t="shared" si="83"/>
        <v>0.1208273916058907</v>
      </c>
    </row>
    <row r="1744" spans="1:14" x14ac:dyDescent="0.45">
      <c r="A1744" t="s">
        <v>3388</v>
      </c>
      <c r="B1744" s="1">
        <v>44973</v>
      </c>
      <c r="C1744" t="s">
        <v>3389</v>
      </c>
      <c r="D1744" t="s">
        <v>26</v>
      </c>
      <c r="E1744" t="s">
        <v>20</v>
      </c>
      <c r="F1744" t="s">
        <v>50</v>
      </c>
      <c r="G1744">
        <v>3</v>
      </c>
      <c r="H1744">
        <v>43420.79</v>
      </c>
      <c r="I1744">
        <v>2844.01</v>
      </c>
      <c r="J1744" t="s">
        <v>28</v>
      </c>
      <c r="K1744" t="s">
        <v>29</v>
      </c>
      <c r="L1744">
        <f t="shared" si="81"/>
        <v>2023</v>
      </c>
      <c r="M1744" t="str">
        <f t="shared" si="82"/>
        <v>Feb</v>
      </c>
      <c r="N1744" s="2">
        <f t="shared" si="83"/>
        <v>6.5498808289761665E-2</v>
      </c>
    </row>
    <row r="1745" spans="1:14" x14ac:dyDescent="0.45">
      <c r="A1745" t="s">
        <v>3390</v>
      </c>
      <c r="B1745" s="1">
        <v>44712</v>
      </c>
      <c r="C1745" t="s">
        <v>2033</v>
      </c>
      <c r="D1745" t="s">
        <v>13</v>
      </c>
      <c r="E1745" t="s">
        <v>20</v>
      </c>
      <c r="F1745" t="s">
        <v>27</v>
      </c>
      <c r="G1745">
        <v>3</v>
      </c>
      <c r="H1745">
        <v>10711.51</v>
      </c>
      <c r="I1745">
        <v>1924.38</v>
      </c>
      <c r="J1745" t="s">
        <v>22</v>
      </c>
      <c r="K1745" t="s">
        <v>29</v>
      </c>
      <c r="L1745">
        <f t="shared" si="81"/>
        <v>2022</v>
      </c>
      <c r="M1745" t="str">
        <f t="shared" si="82"/>
        <v>May</v>
      </c>
      <c r="N1745" s="2">
        <f t="shared" si="83"/>
        <v>0.17965534271078495</v>
      </c>
    </row>
    <row r="1746" spans="1:14" x14ac:dyDescent="0.45">
      <c r="A1746" t="s">
        <v>3391</v>
      </c>
      <c r="B1746" s="1">
        <v>44681</v>
      </c>
      <c r="C1746" t="s">
        <v>3392</v>
      </c>
      <c r="D1746" t="s">
        <v>26</v>
      </c>
      <c r="E1746" t="s">
        <v>20</v>
      </c>
      <c r="F1746" t="s">
        <v>43</v>
      </c>
      <c r="G1746">
        <v>5</v>
      </c>
      <c r="H1746">
        <v>3427.95</v>
      </c>
      <c r="I1746">
        <v>198.31</v>
      </c>
      <c r="J1746" t="s">
        <v>47</v>
      </c>
      <c r="K1746" t="s">
        <v>33</v>
      </c>
      <c r="L1746">
        <f t="shared" si="81"/>
        <v>2022</v>
      </c>
      <c r="M1746" t="str">
        <f t="shared" si="82"/>
        <v>Apr</v>
      </c>
      <c r="N1746" s="2">
        <f t="shared" si="83"/>
        <v>5.785090214268003E-2</v>
      </c>
    </row>
    <row r="1747" spans="1:14" x14ac:dyDescent="0.45">
      <c r="A1747" t="s">
        <v>3393</v>
      </c>
      <c r="B1747" s="1">
        <v>45380</v>
      </c>
      <c r="C1747" t="s">
        <v>3394</v>
      </c>
      <c r="D1747" t="s">
        <v>26</v>
      </c>
      <c r="E1747" t="s">
        <v>20</v>
      </c>
      <c r="F1747" t="s">
        <v>50</v>
      </c>
      <c r="G1747">
        <v>3</v>
      </c>
      <c r="H1747">
        <v>1125.77</v>
      </c>
      <c r="I1747">
        <v>81.010000000000005</v>
      </c>
      <c r="J1747" t="s">
        <v>71</v>
      </c>
      <c r="K1747" t="s">
        <v>17</v>
      </c>
      <c r="L1747">
        <f t="shared" si="81"/>
        <v>2024</v>
      </c>
      <c r="M1747" t="str">
        <f t="shared" si="82"/>
        <v>Mar</v>
      </c>
      <c r="N1747" s="2">
        <f t="shared" si="83"/>
        <v>7.1959636515451647E-2</v>
      </c>
    </row>
    <row r="1748" spans="1:14" x14ac:dyDescent="0.45">
      <c r="A1748" t="s">
        <v>3395</v>
      </c>
      <c r="B1748" s="1">
        <v>44890</v>
      </c>
      <c r="C1748" t="s">
        <v>3396</v>
      </c>
      <c r="D1748" t="s">
        <v>56</v>
      </c>
      <c r="E1748" t="s">
        <v>20</v>
      </c>
      <c r="F1748" t="s">
        <v>43</v>
      </c>
      <c r="G1748">
        <v>2</v>
      </c>
      <c r="H1748">
        <v>43887.87</v>
      </c>
      <c r="I1748">
        <v>5742.46</v>
      </c>
      <c r="J1748" t="s">
        <v>22</v>
      </c>
      <c r="K1748" t="s">
        <v>29</v>
      </c>
      <c r="L1748">
        <f t="shared" si="81"/>
        <v>2022</v>
      </c>
      <c r="M1748" t="str">
        <f t="shared" si="82"/>
        <v>Nov</v>
      </c>
      <c r="N1748" s="2">
        <f t="shared" si="83"/>
        <v>0.13084389832543708</v>
      </c>
    </row>
    <row r="1749" spans="1:14" x14ac:dyDescent="0.45">
      <c r="A1749" t="s">
        <v>3397</v>
      </c>
      <c r="B1749" s="1">
        <v>45220</v>
      </c>
      <c r="C1749" t="s">
        <v>3398</v>
      </c>
      <c r="D1749" t="s">
        <v>56</v>
      </c>
      <c r="E1749" t="s">
        <v>36</v>
      </c>
      <c r="F1749" t="s">
        <v>46</v>
      </c>
      <c r="G1749">
        <v>2</v>
      </c>
      <c r="H1749">
        <v>8113.83</v>
      </c>
      <c r="I1749">
        <v>1995.8</v>
      </c>
      <c r="J1749" t="s">
        <v>22</v>
      </c>
      <c r="K1749" t="s">
        <v>23</v>
      </c>
      <c r="L1749">
        <f t="shared" si="81"/>
        <v>2023</v>
      </c>
      <c r="M1749" t="str">
        <f t="shared" si="82"/>
        <v>Oct</v>
      </c>
      <c r="N1749" s="2">
        <f t="shared" si="83"/>
        <v>0.24597508205126309</v>
      </c>
    </row>
    <row r="1750" spans="1:14" x14ac:dyDescent="0.45">
      <c r="A1750" t="s">
        <v>3399</v>
      </c>
      <c r="B1750" s="1">
        <v>45491</v>
      </c>
      <c r="C1750" t="s">
        <v>3400</v>
      </c>
      <c r="D1750" t="s">
        <v>13</v>
      </c>
      <c r="E1750" t="s">
        <v>14</v>
      </c>
      <c r="F1750" t="s">
        <v>57</v>
      </c>
      <c r="G1750">
        <v>4</v>
      </c>
      <c r="H1750">
        <v>29875.99</v>
      </c>
      <c r="I1750">
        <v>7066.28</v>
      </c>
      <c r="J1750" t="s">
        <v>47</v>
      </c>
      <c r="K1750" t="s">
        <v>33</v>
      </c>
      <c r="L1750">
        <f t="shared" si="81"/>
        <v>2024</v>
      </c>
      <c r="M1750" t="str">
        <f t="shared" si="82"/>
        <v>Jul</v>
      </c>
      <c r="N1750" s="2">
        <f t="shared" si="83"/>
        <v>0.23652036300721749</v>
      </c>
    </row>
    <row r="1751" spans="1:14" x14ac:dyDescent="0.45">
      <c r="A1751" t="s">
        <v>3401</v>
      </c>
      <c r="B1751" s="1">
        <v>45526</v>
      </c>
      <c r="C1751" t="s">
        <v>3402</v>
      </c>
      <c r="D1751" t="s">
        <v>13</v>
      </c>
      <c r="E1751" t="s">
        <v>20</v>
      </c>
      <c r="F1751" t="s">
        <v>43</v>
      </c>
      <c r="G1751">
        <v>5</v>
      </c>
      <c r="H1751">
        <v>48769.61</v>
      </c>
      <c r="I1751">
        <v>4233.29</v>
      </c>
      <c r="J1751" t="s">
        <v>47</v>
      </c>
      <c r="K1751" t="s">
        <v>17</v>
      </c>
      <c r="L1751">
        <f t="shared" si="81"/>
        <v>2024</v>
      </c>
      <c r="M1751" t="str">
        <f t="shared" si="82"/>
        <v>Aug</v>
      </c>
      <c r="N1751" s="2">
        <f t="shared" si="83"/>
        <v>8.6801801367695983E-2</v>
      </c>
    </row>
    <row r="1752" spans="1:14" x14ac:dyDescent="0.45">
      <c r="A1752" t="s">
        <v>3403</v>
      </c>
      <c r="B1752" s="1">
        <v>45102</v>
      </c>
      <c r="C1752" t="s">
        <v>3404</v>
      </c>
      <c r="D1752" t="s">
        <v>13</v>
      </c>
      <c r="E1752" t="s">
        <v>14</v>
      </c>
      <c r="F1752" t="s">
        <v>32</v>
      </c>
      <c r="G1752">
        <v>4</v>
      </c>
      <c r="H1752">
        <v>35429.31</v>
      </c>
      <c r="I1752">
        <v>5457.89</v>
      </c>
      <c r="J1752" t="s">
        <v>28</v>
      </c>
      <c r="K1752" t="s">
        <v>33</v>
      </c>
      <c r="L1752">
        <f t="shared" si="81"/>
        <v>2023</v>
      </c>
      <c r="M1752" t="str">
        <f t="shared" si="82"/>
        <v>Jun</v>
      </c>
      <c r="N1752" s="2">
        <f t="shared" si="83"/>
        <v>0.15405013532580794</v>
      </c>
    </row>
    <row r="1753" spans="1:14" x14ac:dyDescent="0.45">
      <c r="A1753" t="s">
        <v>3405</v>
      </c>
      <c r="B1753" s="1">
        <v>45331</v>
      </c>
      <c r="C1753" t="s">
        <v>3406</v>
      </c>
      <c r="D1753" t="s">
        <v>56</v>
      </c>
      <c r="E1753" t="s">
        <v>20</v>
      </c>
      <c r="F1753" t="s">
        <v>43</v>
      </c>
      <c r="G1753">
        <v>3</v>
      </c>
      <c r="H1753">
        <v>9708.76</v>
      </c>
      <c r="I1753">
        <v>2026.53</v>
      </c>
      <c r="J1753" t="s">
        <v>47</v>
      </c>
      <c r="K1753" t="s">
        <v>17</v>
      </c>
      <c r="L1753">
        <f t="shared" si="81"/>
        <v>2024</v>
      </c>
      <c r="M1753" t="str">
        <f t="shared" si="82"/>
        <v>Feb</v>
      </c>
      <c r="N1753" s="2">
        <f t="shared" si="83"/>
        <v>0.20873211409077985</v>
      </c>
    </row>
    <row r="1754" spans="1:14" x14ac:dyDescent="0.45">
      <c r="A1754" t="s">
        <v>3407</v>
      </c>
      <c r="B1754" s="1">
        <v>45635</v>
      </c>
      <c r="C1754" t="s">
        <v>1208</v>
      </c>
      <c r="D1754" t="s">
        <v>56</v>
      </c>
      <c r="E1754" t="s">
        <v>20</v>
      </c>
      <c r="F1754" t="s">
        <v>43</v>
      </c>
      <c r="G1754">
        <v>5</v>
      </c>
      <c r="H1754">
        <v>14341.72</v>
      </c>
      <c r="I1754">
        <v>1738.24</v>
      </c>
      <c r="J1754" t="s">
        <v>47</v>
      </c>
      <c r="K1754" t="s">
        <v>23</v>
      </c>
      <c r="L1754">
        <f t="shared" si="81"/>
        <v>2024</v>
      </c>
      <c r="M1754" t="str">
        <f t="shared" si="82"/>
        <v>Dec</v>
      </c>
      <c r="N1754" s="2">
        <f t="shared" si="83"/>
        <v>0.12120164108628534</v>
      </c>
    </row>
    <row r="1755" spans="1:14" x14ac:dyDescent="0.45">
      <c r="A1755" t="s">
        <v>3408</v>
      </c>
      <c r="B1755" s="1">
        <v>44680</v>
      </c>
      <c r="C1755" t="s">
        <v>3409</v>
      </c>
      <c r="D1755" t="s">
        <v>13</v>
      </c>
      <c r="E1755" t="s">
        <v>36</v>
      </c>
      <c r="F1755" t="s">
        <v>37</v>
      </c>
      <c r="G1755">
        <v>5</v>
      </c>
      <c r="H1755">
        <v>32549.69</v>
      </c>
      <c r="I1755">
        <v>6499.59</v>
      </c>
      <c r="J1755" t="s">
        <v>71</v>
      </c>
      <c r="K1755" t="s">
        <v>29</v>
      </c>
      <c r="L1755">
        <f t="shared" si="81"/>
        <v>2022</v>
      </c>
      <c r="M1755" t="str">
        <f t="shared" si="82"/>
        <v>Apr</v>
      </c>
      <c r="N1755" s="2">
        <f t="shared" si="83"/>
        <v>0.19968208606595025</v>
      </c>
    </row>
    <row r="1756" spans="1:14" x14ac:dyDescent="0.45">
      <c r="A1756" t="s">
        <v>3410</v>
      </c>
      <c r="B1756" s="1">
        <v>44960</v>
      </c>
      <c r="C1756" t="s">
        <v>1011</v>
      </c>
      <c r="D1756" t="s">
        <v>13</v>
      </c>
      <c r="E1756" t="s">
        <v>14</v>
      </c>
      <c r="F1756" t="s">
        <v>32</v>
      </c>
      <c r="G1756">
        <v>5</v>
      </c>
      <c r="H1756">
        <v>44336.83</v>
      </c>
      <c r="I1756">
        <v>8746.66</v>
      </c>
      <c r="J1756" t="s">
        <v>71</v>
      </c>
      <c r="K1756" t="s">
        <v>17</v>
      </c>
      <c r="L1756">
        <f t="shared" si="81"/>
        <v>2023</v>
      </c>
      <c r="M1756" t="str">
        <f t="shared" si="82"/>
        <v>Feb</v>
      </c>
      <c r="N1756" s="2">
        <f t="shared" si="83"/>
        <v>0.19727752299837403</v>
      </c>
    </row>
    <row r="1757" spans="1:14" x14ac:dyDescent="0.45">
      <c r="A1757" t="s">
        <v>3411</v>
      </c>
      <c r="B1757" s="1">
        <v>44653</v>
      </c>
      <c r="C1757" t="s">
        <v>2397</v>
      </c>
      <c r="D1757" t="s">
        <v>26</v>
      </c>
      <c r="E1757" t="s">
        <v>36</v>
      </c>
      <c r="F1757" t="s">
        <v>46</v>
      </c>
      <c r="G1757">
        <v>2</v>
      </c>
      <c r="H1757">
        <v>29045.03</v>
      </c>
      <c r="I1757">
        <v>3289.96</v>
      </c>
      <c r="J1757" t="s">
        <v>22</v>
      </c>
      <c r="K1757" t="s">
        <v>29</v>
      </c>
      <c r="L1757">
        <f t="shared" si="81"/>
        <v>2022</v>
      </c>
      <c r="M1757" t="str">
        <f t="shared" si="82"/>
        <v>Apr</v>
      </c>
      <c r="N1757" s="2">
        <f t="shared" si="83"/>
        <v>0.11327101400824857</v>
      </c>
    </row>
    <row r="1758" spans="1:14" x14ac:dyDescent="0.45">
      <c r="A1758" t="s">
        <v>3412</v>
      </c>
      <c r="B1758" s="1">
        <v>45232</v>
      </c>
      <c r="C1758" t="s">
        <v>2746</v>
      </c>
      <c r="D1758" t="s">
        <v>56</v>
      </c>
      <c r="E1758" t="s">
        <v>36</v>
      </c>
      <c r="F1758" t="s">
        <v>46</v>
      </c>
      <c r="G1758">
        <v>1</v>
      </c>
      <c r="H1758">
        <v>40012.69</v>
      </c>
      <c r="I1758">
        <v>8666.4500000000007</v>
      </c>
      <c r="J1758" t="s">
        <v>28</v>
      </c>
      <c r="K1758" t="s">
        <v>29</v>
      </c>
      <c r="L1758">
        <f t="shared" si="81"/>
        <v>2023</v>
      </c>
      <c r="M1758" t="str">
        <f t="shared" si="82"/>
        <v>Nov</v>
      </c>
      <c r="N1758" s="2">
        <f t="shared" si="83"/>
        <v>0.21659253601794831</v>
      </c>
    </row>
    <row r="1759" spans="1:14" x14ac:dyDescent="0.45">
      <c r="A1759" t="s">
        <v>3413</v>
      </c>
      <c r="B1759" s="1">
        <v>45331</v>
      </c>
      <c r="C1759" t="s">
        <v>3414</v>
      </c>
      <c r="D1759" t="s">
        <v>13</v>
      </c>
      <c r="E1759" t="s">
        <v>14</v>
      </c>
      <c r="F1759" t="s">
        <v>32</v>
      </c>
      <c r="G1759">
        <v>3</v>
      </c>
      <c r="H1759">
        <v>36356.92</v>
      </c>
      <c r="I1759">
        <v>7999.83</v>
      </c>
      <c r="J1759" t="s">
        <v>71</v>
      </c>
      <c r="K1759" t="s">
        <v>23</v>
      </c>
      <c r="L1759">
        <f t="shared" si="81"/>
        <v>2024</v>
      </c>
      <c r="M1759" t="str">
        <f t="shared" si="82"/>
        <v>Feb</v>
      </c>
      <c r="N1759" s="2">
        <f t="shared" si="83"/>
        <v>0.22003596564285424</v>
      </c>
    </row>
    <row r="1760" spans="1:14" x14ac:dyDescent="0.45">
      <c r="A1760" t="s">
        <v>3415</v>
      </c>
      <c r="B1760" s="1">
        <v>44926</v>
      </c>
      <c r="C1760" t="s">
        <v>2987</v>
      </c>
      <c r="D1760" t="s">
        <v>26</v>
      </c>
      <c r="E1760" t="s">
        <v>20</v>
      </c>
      <c r="F1760" t="s">
        <v>43</v>
      </c>
      <c r="G1760">
        <v>4</v>
      </c>
      <c r="H1760">
        <v>17153.64</v>
      </c>
      <c r="I1760">
        <v>973.84</v>
      </c>
      <c r="J1760" t="s">
        <v>28</v>
      </c>
      <c r="K1760" t="s">
        <v>29</v>
      </c>
      <c r="L1760">
        <f t="shared" si="81"/>
        <v>2022</v>
      </c>
      <c r="M1760" t="str">
        <f t="shared" si="82"/>
        <v>Dec</v>
      </c>
      <c r="N1760" s="2">
        <f t="shared" si="83"/>
        <v>5.6771623981848755E-2</v>
      </c>
    </row>
    <row r="1761" spans="1:14" x14ac:dyDescent="0.45">
      <c r="A1761" t="s">
        <v>3416</v>
      </c>
      <c r="B1761" s="1">
        <v>45189</v>
      </c>
      <c r="C1761" t="s">
        <v>3417</v>
      </c>
      <c r="D1761" t="s">
        <v>13</v>
      </c>
      <c r="E1761" t="s">
        <v>14</v>
      </c>
      <c r="F1761" t="s">
        <v>40</v>
      </c>
      <c r="G1761">
        <v>3</v>
      </c>
      <c r="H1761">
        <v>11130.88</v>
      </c>
      <c r="I1761">
        <v>1807.21</v>
      </c>
      <c r="J1761" t="s">
        <v>47</v>
      </c>
      <c r="K1761" t="s">
        <v>17</v>
      </c>
      <c r="L1761">
        <f t="shared" si="81"/>
        <v>2023</v>
      </c>
      <c r="M1761" t="str">
        <f t="shared" si="82"/>
        <v>Sep</v>
      </c>
      <c r="N1761" s="2">
        <f t="shared" si="83"/>
        <v>0.16236002903633856</v>
      </c>
    </row>
    <row r="1762" spans="1:14" x14ac:dyDescent="0.45">
      <c r="A1762" t="s">
        <v>3418</v>
      </c>
      <c r="B1762" s="1">
        <v>44861</v>
      </c>
      <c r="C1762" t="s">
        <v>3419</v>
      </c>
      <c r="D1762" t="s">
        <v>13</v>
      </c>
      <c r="E1762" t="s">
        <v>14</v>
      </c>
      <c r="F1762" t="s">
        <v>40</v>
      </c>
      <c r="G1762">
        <v>4</v>
      </c>
      <c r="H1762">
        <v>8023.87</v>
      </c>
      <c r="I1762">
        <v>1563.59</v>
      </c>
      <c r="J1762" t="s">
        <v>22</v>
      </c>
      <c r="K1762" t="s">
        <v>29</v>
      </c>
      <c r="L1762">
        <f t="shared" si="81"/>
        <v>2022</v>
      </c>
      <c r="M1762" t="str">
        <f t="shared" si="82"/>
        <v>Oct</v>
      </c>
      <c r="N1762" s="2">
        <f t="shared" si="83"/>
        <v>0.1948673146499133</v>
      </c>
    </row>
    <row r="1763" spans="1:14" x14ac:dyDescent="0.45">
      <c r="A1763" t="s">
        <v>3420</v>
      </c>
      <c r="B1763" s="1">
        <v>45541</v>
      </c>
      <c r="C1763" t="s">
        <v>3421</v>
      </c>
      <c r="D1763" t="s">
        <v>56</v>
      </c>
      <c r="E1763" t="s">
        <v>20</v>
      </c>
      <c r="F1763" t="s">
        <v>50</v>
      </c>
      <c r="G1763">
        <v>1</v>
      </c>
      <c r="H1763">
        <v>9964.0499999999993</v>
      </c>
      <c r="I1763">
        <v>2051.5100000000002</v>
      </c>
      <c r="J1763" t="s">
        <v>16</v>
      </c>
      <c r="K1763" t="s">
        <v>23</v>
      </c>
      <c r="L1763">
        <f t="shared" si="81"/>
        <v>2024</v>
      </c>
      <c r="M1763" t="str">
        <f t="shared" si="82"/>
        <v>Sep</v>
      </c>
      <c r="N1763" s="2">
        <f t="shared" si="83"/>
        <v>0.20589117878774196</v>
      </c>
    </row>
    <row r="1764" spans="1:14" x14ac:dyDescent="0.45">
      <c r="A1764" t="s">
        <v>3422</v>
      </c>
      <c r="B1764" s="1">
        <v>44999</v>
      </c>
      <c r="C1764" t="s">
        <v>871</v>
      </c>
      <c r="D1764" t="s">
        <v>56</v>
      </c>
      <c r="E1764" t="s">
        <v>14</v>
      </c>
      <c r="F1764" t="s">
        <v>15</v>
      </c>
      <c r="G1764">
        <v>4</v>
      </c>
      <c r="H1764">
        <v>42993.21</v>
      </c>
      <c r="I1764">
        <v>6659.32</v>
      </c>
      <c r="J1764" t="s">
        <v>71</v>
      </c>
      <c r="K1764" t="s">
        <v>23</v>
      </c>
      <c r="L1764">
        <f t="shared" si="81"/>
        <v>2023</v>
      </c>
      <c r="M1764" t="str">
        <f t="shared" si="82"/>
        <v>Mar</v>
      </c>
      <c r="N1764" s="2">
        <f t="shared" si="83"/>
        <v>0.15489236556191083</v>
      </c>
    </row>
    <row r="1765" spans="1:14" x14ac:dyDescent="0.45">
      <c r="A1765" t="s">
        <v>3423</v>
      </c>
      <c r="B1765" s="1">
        <v>45093</v>
      </c>
      <c r="C1765" t="s">
        <v>3424</v>
      </c>
      <c r="D1765" t="s">
        <v>13</v>
      </c>
      <c r="E1765" t="s">
        <v>20</v>
      </c>
      <c r="F1765" t="s">
        <v>21</v>
      </c>
      <c r="G1765">
        <v>2</v>
      </c>
      <c r="H1765">
        <v>11815.51</v>
      </c>
      <c r="I1765">
        <v>2157.4499999999998</v>
      </c>
      <c r="J1765" t="s">
        <v>28</v>
      </c>
      <c r="K1765" t="s">
        <v>33</v>
      </c>
      <c r="L1765">
        <f t="shared" si="81"/>
        <v>2023</v>
      </c>
      <c r="M1765" t="str">
        <f t="shared" si="82"/>
        <v>Jun</v>
      </c>
      <c r="N1765" s="2">
        <f t="shared" si="83"/>
        <v>0.18259474199590198</v>
      </c>
    </row>
    <row r="1766" spans="1:14" x14ac:dyDescent="0.45">
      <c r="A1766" t="s">
        <v>3425</v>
      </c>
      <c r="B1766" s="1">
        <v>44988</v>
      </c>
      <c r="C1766" t="s">
        <v>3426</v>
      </c>
      <c r="D1766" t="s">
        <v>56</v>
      </c>
      <c r="E1766" t="s">
        <v>14</v>
      </c>
      <c r="F1766" t="s">
        <v>15</v>
      </c>
      <c r="G1766">
        <v>3</v>
      </c>
      <c r="H1766">
        <v>44645</v>
      </c>
      <c r="I1766">
        <v>8107.63</v>
      </c>
      <c r="J1766" t="s">
        <v>16</v>
      </c>
      <c r="K1766" t="s">
        <v>23</v>
      </c>
      <c r="L1766">
        <f t="shared" si="81"/>
        <v>2023</v>
      </c>
      <c r="M1766" t="str">
        <f t="shared" si="82"/>
        <v>Mar</v>
      </c>
      <c r="N1766" s="2">
        <f t="shared" si="83"/>
        <v>0.18160219509463546</v>
      </c>
    </row>
    <row r="1767" spans="1:14" x14ac:dyDescent="0.45">
      <c r="A1767" t="s">
        <v>3427</v>
      </c>
      <c r="B1767" s="1">
        <v>45287</v>
      </c>
      <c r="C1767" t="s">
        <v>3428</v>
      </c>
      <c r="D1767" t="s">
        <v>56</v>
      </c>
      <c r="E1767" t="s">
        <v>14</v>
      </c>
      <c r="F1767" t="s">
        <v>32</v>
      </c>
      <c r="G1767">
        <v>2</v>
      </c>
      <c r="H1767">
        <v>36749.69</v>
      </c>
      <c r="I1767">
        <v>2332.35</v>
      </c>
      <c r="J1767" t="s">
        <v>28</v>
      </c>
      <c r="K1767" t="s">
        <v>29</v>
      </c>
      <c r="L1767">
        <f t="shared" si="81"/>
        <v>2023</v>
      </c>
      <c r="M1767" t="str">
        <f t="shared" si="82"/>
        <v>Dec</v>
      </c>
      <c r="N1767" s="2">
        <f t="shared" si="83"/>
        <v>6.3465841480567581E-2</v>
      </c>
    </row>
    <row r="1768" spans="1:14" x14ac:dyDescent="0.45">
      <c r="A1768" t="s">
        <v>3429</v>
      </c>
      <c r="B1768" s="1">
        <v>45554</v>
      </c>
      <c r="C1768" t="s">
        <v>3430</v>
      </c>
      <c r="D1768" t="s">
        <v>26</v>
      </c>
      <c r="E1768" t="s">
        <v>14</v>
      </c>
      <c r="F1768" t="s">
        <v>15</v>
      </c>
      <c r="G1768">
        <v>2</v>
      </c>
      <c r="H1768">
        <v>14210.04</v>
      </c>
      <c r="I1768">
        <v>3120.87</v>
      </c>
      <c r="J1768" t="s">
        <v>16</v>
      </c>
      <c r="K1768" t="s">
        <v>23</v>
      </c>
      <c r="L1768">
        <f t="shared" si="81"/>
        <v>2024</v>
      </c>
      <c r="M1768" t="str">
        <f t="shared" si="82"/>
        <v>Sep</v>
      </c>
      <c r="N1768" s="2">
        <f t="shared" si="83"/>
        <v>0.2196242938091659</v>
      </c>
    </row>
    <row r="1769" spans="1:14" x14ac:dyDescent="0.45">
      <c r="A1769" t="s">
        <v>3431</v>
      </c>
      <c r="B1769" s="1">
        <v>45056</v>
      </c>
      <c r="C1769" t="s">
        <v>3432</v>
      </c>
      <c r="D1769" t="s">
        <v>13</v>
      </c>
      <c r="E1769" t="s">
        <v>20</v>
      </c>
      <c r="F1769" t="s">
        <v>43</v>
      </c>
      <c r="G1769">
        <v>2</v>
      </c>
      <c r="H1769">
        <v>37656.9</v>
      </c>
      <c r="I1769">
        <v>3050.8</v>
      </c>
      <c r="J1769" t="s">
        <v>28</v>
      </c>
      <c r="K1769" t="s">
        <v>29</v>
      </c>
      <c r="L1769">
        <f t="shared" si="81"/>
        <v>2023</v>
      </c>
      <c r="M1769" t="str">
        <f t="shared" si="82"/>
        <v>May</v>
      </c>
      <c r="N1769" s="2">
        <f t="shared" si="83"/>
        <v>8.1015696990458588E-2</v>
      </c>
    </row>
    <row r="1770" spans="1:14" x14ac:dyDescent="0.45">
      <c r="A1770" t="s">
        <v>3433</v>
      </c>
      <c r="B1770" s="1">
        <v>45069</v>
      </c>
      <c r="C1770" t="s">
        <v>3434</v>
      </c>
      <c r="D1770" t="s">
        <v>56</v>
      </c>
      <c r="E1770" t="s">
        <v>14</v>
      </c>
      <c r="F1770" t="s">
        <v>32</v>
      </c>
      <c r="G1770">
        <v>1</v>
      </c>
      <c r="H1770">
        <v>34519.760000000002</v>
      </c>
      <c r="I1770">
        <v>6434.29</v>
      </c>
      <c r="J1770" t="s">
        <v>16</v>
      </c>
      <c r="K1770" t="s">
        <v>17</v>
      </c>
      <c r="L1770">
        <f t="shared" si="81"/>
        <v>2023</v>
      </c>
      <c r="M1770" t="str">
        <f t="shared" si="82"/>
        <v>May</v>
      </c>
      <c r="N1770" s="2">
        <f t="shared" si="83"/>
        <v>0.1863944013515737</v>
      </c>
    </row>
    <row r="1771" spans="1:14" x14ac:dyDescent="0.45">
      <c r="A1771" t="s">
        <v>3435</v>
      </c>
      <c r="B1771" s="1">
        <v>44836</v>
      </c>
      <c r="C1771" t="s">
        <v>3436</v>
      </c>
      <c r="D1771" t="s">
        <v>26</v>
      </c>
      <c r="E1771" t="s">
        <v>20</v>
      </c>
      <c r="F1771" t="s">
        <v>21</v>
      </c>
      <c r="G1771">
        <v>4</v>
      </c>
      <c r="H1771">
        <v>17981.93</v>
      </c>
      <c r="I1771">
        <v>905.7</v>
      </c>
      <c r="J1771" t="s">
        <v>47</v>
      </c>
      <c r="K1771" t="s">
        <v>17</v>
      </c>
      <c r="L1771">
        <f t="shared" si="81"/>
        <v>2022</v>
      </c>
      <c r="M1771" t="str">
        <f t="shared" si="82"/>
        <v>Oct</v>
      </c>
      <c r="N1771" s="2">
        <f t="shared" si="83"/>
        <v>5.036722976899588E-2</v>
      </c>
    </row>
    <row r="1772" spans="1:14" x14ac:dyDescent="0.45">
      <c r="A1772" t="s">
        <v>3437</v>
      </c>
      <c r="B1772" s="1">
        <v>44790</v>
      </c>
      <c r="C1772" t="s">
        <v>3438</v>
      </c>
      <c r="D1772" t="s">
        <v>13</v>
      </c>
      <c r="E1772" t="s">
        <v>36</v>
      </c>
      <c r="F1772" t="s">
        <v>46</v>
      </c>
      <c r="G1772">
        <v>4</v>
      </c>
      <c r="H1772">
        <v>16453.36</v>
      </c>
      <c r="I1772">
        <v>2284.58</v>
      </c>
      <c r="J1772" t="s">
        <v>71</v>
      </c>
      <c r="K1772" t="s">
        <v>23</v>
      </c>
      <c r="L1772">
        <f t="shared" si="81"/>
        <v>2022</v>
      </c>
      <c r="M1772" t="str">
        <f t="shared" si="82"/>
        <v>Aug</v>
      </c>
      <c r="N1772" s="2">
        <f t="shared" si="83"/>
        <v>0.13885188192563708</v>
      </c>
    </row>
    <row r="1773" spans="1:14" x14ac:dyDescent="0.45">
      <c r="A1773" t="s">
        <v>3439</v>
      </c>
      <c r="B1773" s="1">
        <v>45462</v>
      </c>
      <c r="C1773" t="s">
        <v>3440</v>
      </c>
      <c r="D1773" t="s">
        <v>26</v>
      </c>
      <c r="E1773" t="s">
        <v>20</v>
      </c>
      <c r="F1773" t="s">
        <v>27</v>
      </c>
      <c r="G1773">
        <v>5</v>
      </c>
      <c r="H1773">
        <v>49869.120000000003</v>
      </c>
      <c r="I1773">
        <v>8080.71</v>
      </c>
      <c r="J1773" t="s">
        <v>71</v>
      </c>
      <c r="K1773" t="s">
        <v>29</v>
      </c>
      <c r="L1773">
        <f t="shared" si="81"/>
        <v>2024</v>
      </c>
      <c r="M1773" t="str">
        <f t="shared" si="82"/>
        <v>Jun</v>
      </c>
      <c r="N1773" s="2">
        <f t="shared" si="83"/>
        <v>0.16203835158911967</v>
      </c>
    </row>
    <row r="1774" spans="1:14" x14ac:dyDescent="0.45">
      <c r="A1774" t="s">
        <v>3441</v>
      </c>
      <c r="B1774" s="1">
        <v>44868</v>
      </c>
      <c r="C1774" t="s">
        <v>3442</v>
      </c>
      <c r="D1774" t="s">
        <v>26</v>
      </c>
      <c r="E1774" t="s">
        <v>36</v>
      </c>
      <c r="F1774" t="s">
        <v>64</v>
      </c>
      <c r="G1774">
        <v>5</v>
      </c>
      <c r="H1774">
        <v>5633.54</v>
      </c>
      <c r="I1774">
        <v>1312.36</v>
      </c>
      <c r="J1774" t="s">
        <v>16</v>
      </c>
      <c r="K1774" t="s">
        <v>33</v>
      </c>
      <c r="L1774">
        <f t="shared" si="81"/>
        <v>2022</v>
      </c>
      <c r="M1774" t="str">
        <f t="shared" si="82"/>
        <v>Nov</v>
      </c>
      <c r="N1774" s="2">
        <f t="shared" si="83"/>
        <v>0.2329547673398964</v>
      </c>
    </row>
    <row r="1775" spans="1:14" x14ac:dyDescent="0.45">
      <c r="A1775" t="s">
        <v>3443</v>
      </c>
      <c r="B1775" s="1">
        <v>44890</v>
      </c>
      <c r="C1775" t="s">
        <v>3444</v>
      </c>
      <c r="D1775" t="s">
        <v>13</v>
      </c>
      <c r="E1775" t="s">
        <v>36</v>
      </c>
      <c r="F1775" t="s">
        <v>53</v>
      </c>
      <c r="G1775">
        <v>2</v>
      </c>
      <c r="H1775">
        <v>31823.360000000001</v>
      </c>
      <c r="I1775">
        <v>6154.67</v>
      </c>
      <c r="J1775" t="s">
        <v>16</v>
      </c>
      <c r="K1775" t="s">
        <v>33</v>
      </c>
      <c r="L1775">
        <f t="shared" si="81"/>
        <v>2022</v>
      </c>
      <c r="M1775" t="str">
        <f t="shared" si="82"/>
        <v>Nov</v>
      </c>
      <c r="N1775" s="2">
        <f t="shared" si="83"/>
        <v>0.19340101108116806</v>
      </c>
    </row>
    <row r="1776" spans="1:14" x14ac:dyDescent="0.45">
      <c r="A1776" t="s">
        <v>3445</v>
      </c>
      <c r="B1776" s="1">
        <v>45374</v>
      </c>
      <c r="C1776" t="s">
        <v>3446</v>
      </c>
      <c r="D1776" t="s">
        <v>26</v>
      </c>
      <c r="E1776" t="s">
        <v>14</v>
      </c>
      <c r="F1776" t="s">
        <v>57</v>
      </c>
      <c r="G1776">
        <v>2</v>
      </c>
      <c r="H1776">
        <v>9988.2900000000009</v>
      </c>
      <c r="I1776">
        <v>905.16</v>
      </c>
      <c r="J1776" t="s">
        <v>71</v>
      </c>
      <c r="K1776" t="s">
        <v>23</v>
      </c>
      <c r="L1776">
        <f t="shared" si="81"/>
        <v>2024</v>
      </c>
      <c r="M1776" t="str">
        <f t="shared" si="82"/>
        <v>Mar</v>
      </c>
      <c r="N1776" s="2">
        <f t="shared" si="83"/>
        <v>9.062211850076439E-2</v>
      </c>
    </row>
    <row r="1777" spans="1:14" x14ac:dyDescent="0.45">
      <c r="A1777" t="s">
        <v>3447</v>
      </c>
      <c r="B1777" s="1">
        <v>45481</v>
      </c>
      <c r="C1777" t="s">
        <v>371</v>
      </c>
      <c r="D1777" t="s">
        <v>26</v>
      </c>
      <c r="E1777" t="s">
        <v>36</v>
      </c>
      <c r="F1777" t="s">
        <v>46</v>
      </c>
      <c r="G1777">
        <v>1</v>
      </c>
      <c r="H1777">
        <v>39482.559999999998</v>
      </c>
      <c r="I1777">
        <v>8545.48</v>
      </c>
      <c r="J1777" t="s">
        <v>22</v>
      </c>
      <c r="K1777" t="s">
        <v>29</v>
      </c>
      <c r="L1777">
        <f t="shared" si="81"/>
        <v>2024</v>
      </c>
      <c r="M1777" t="str">
        <f t="shared" si="82"/>
        <v>Jul</v>
      </c>
      <c r="N1777" s="2">
        <f t="shared" si="83"/>
        <v>0.21643682679137322</v>
      </c>
    </row>
    <row r="1778" spans="1:14" x14ac:dyDescent="0.45">
      <c r="A1778" t="s">
        <v>3448</v>
      </c>
      <c r="B1778" s="1">
        <v>45296</v>
      </c>
      <c r="C1778" t="s">
        <v>3449</v>
      </c>
      <c r="D1778" t="s">
        <v>26</v>
      </c>
      <c r="E1778" t="s">
        <v>36</v>
      </c>
      <c r="F1778" t="s">
        <v>46</v>
      </c>
      <c r="G1778">
        <v>2</v>
      </c>
      <c r="H1778">
        <v>43439.38</v>
      </c>
      <c r="I1778">
        <v>4273.25</v>
      </c>
      <c r="J1778" t="s">
        <v>47</v>
      </c>
      <c r="K1778" t="s">
        <v>17</v>
      </c>
      <c r="L1778">
        <f t="shared" si="81"/>
        <v>2024</v>
      </c>
      <c r="M1778" t="str">
        <f t="shared" si="82"/>
        <v>Jan</v>
      </c>
      <c r="N1778" s="2">
        <f t="shared" si="83"/>
        <v>9.8372720789293044E-2</v>
      </c>
    </row>
    <row r="1779" spans="1:14" x14ac:dyDescent="0.45">
      <c r="A1779" t="s">
        <v>3450</v>
      </c>
      <c r="B1779" s="1">
        <v>44647</v>
      </c>
      <c r="C1779" t="s">
        <v>3451</v>
      </c>
      <c r="D1779" t="s">
        <v>26</v>
      </c>
      <c r="E1779" t="s">
        <v>36</v>
      </c>
      <c r="F1779" t="s">
        <v>37</v>
      </c>
      <c r="G1779">
        <v>2</v>
      </c>
      <c r="H1779">
        <v>12485.1</v>
      </c>
      <c r="I1779">
        <v>1776.66</v>
      </c>
      <c r="J1779" t="s">
        <v>22</v>
      </c>
      <c r="K1779" t="s">
        <v>33</v>
      </c>
      <c r="L1779">
        <f t="shared" si="81"/>
        <v>2022</v>
      </c>
      <c r="M1779" t="str">
        <f t="shared" si="82"/>
        <v>Mar</v>
      </c>
      <c r="N1779" s="2">
        <f t="shared" si="83"/>
        <v>0.14230242448999209</v>
      </c>
    </row>
    <row r="1780" spans="1:14" x14ac:dyDescent="0.45">
      <c r="A1780" t="s">
        <v>3452</v>
      </c>
      <c r="B1780" s="1">
        <v>45392</v>
      </c>
      <c r="C1780" t="s">
        <v>3453</v>
      </c>
      <c r="D1780" t="s">
        <v>13</v>
      </c>
      <c r="E1780" t="s">
        <v>14</v>
      </c>
      <c r="F1780" t="s">
        <v>15</v>
      </c>
      <c r="G1780">
        <v>2</v>
      </c>
      <c r="H1780">
        <v>19209.64</v>
      </c>
      <c r="I1780">
        <v>2743.93</v>
      </c>
      <c r="J1780" t="s">
        <v>28</v>
      </c>
      <c r="K1780" t="s">
        <v>23</v>
      </c>
      <c r="L1780">
        <f t="shared" si="81"/>
        <v>2024</v>
      </c>
      <c r="M1780" t="str">
        <f t="shared" si="82"/>
        <v>Apr</v>
      </c>
      <c r="N1780" s="2">
        <f t="shared" si="83"/>
        <v>0.14284130259598826</v>
      </c>
    </row>
    <row r="1781" spans="1:14" x14ac:dyDescent="0.45">
      <c r="A1781" t="s">
        <v>3454</v>
      </c>
      <c r="B1781" s="1">
        <v>44680</v>
      </c>
      <c r="C1781" t="s">
        <v>3455</v>
      </c>
      <c r="D1781" t="s">
        <v>56</v>
      </c>
      <c r="E1781" t="s">
        <v>36</v>
      </c>
      <c r="F1781" t="s">
        <v>64</v>
      </c>
      <c r="G1781">
        <v>5</v>
      </c>
      <c r="H1781">
        <v>18281.98</v>
      </c>
      <c r="I1781">
        <v>3313.09</v>
      </c>
      <c r="J1781" t="s">
        <v>28</v>
      </c>
      <c r="K1781" t="s">
        <v>17</v>
      </c>
      <c r="L1781">
        <f t="shared" si="81"/>
        <v>2022</v>
      </c>
      <c r="M1781" t="str">
        <f t="shared" si="82"/>
        <v>Apr</v>
      </c>
      <c r="N1781" s="2">
        <f t="shared" si="83"/>
        <v>0.18122161822734739</v>
      </c>
    </row>
    <row r="1782" spans="1:14" x14ac:dyDescent="0.45">
      <c r="A1782" t="s">
        <v>3456</v>
      </c>
      <c r="B1782" s="1">
        <v>45267</v>
      </c>
      <c r="C1782" t="s">
        <v>3457</v>
      </c>
      <c r="D1782" t="s">
        <v>13</v>
      </c>
      <c r="E1782" t="s">
        <v>20</v>
      </c>
      <c r="F1782" t="s">
        <v>27</v>
      </c>
      <c r="G1782">
        <v>5</v>
      </c>
      <c r="H1782">
        <v>6311.78</v>
      </c>
      <c r="I1782">
        <v>644.02</v>
      </c>
      <c r="J1782" t="s">
        <v>28</v>
      </c>
      <c r="K1782" t="s">
        <v>33</v>
      </c>
      <c r="L1782">
        <f t="shared" si="81"/>
        <v>2023</v>
      </c>
      <c r="M1782" t="str">
        <f t="shared" si="82"/>
        <v>Dec</v>
      </c>
      <c r="N1782" s="2">
        <f t="shared" si="83"/>
        <v>0.10203460830383822</v>
      </c>
    </row>
    <row r="1783" spans="1:14" x14ac:dyDescent="0.45">
      <c r="A1783" t="s">
        <v>3458</v>
      </c>
      <c r="B1783" s="1">
        <v>44610</v>
      </c>
      <c r="C1783" t="s">
        <v>1139</v>
      </c>
      <c r="D1783" t="s">
        <v>13</v>
      </c>
      <c r="E1783" t="s">
        <v>20</v>
      </c>
      <c r="F1783" t="s">
        <v>43</v>
      </c>
      <c r="G1783">
        <v>1</v>
      </c>
      <c r="H1783">
        <v>4227.21</v>
      </c>
      <c r="I1783">
        <v>564.82000000000005</v>
      </c>
      <c r="J1783" t="s">
        <v>16</v>
      </c>
      <c r="K1783" t="s">
        <v>23</v>
      </c>
      <c r="L1783">
        <f t="shared" si="81"/>
        <v>2022</v>
      </c>
      <c r="M1783" t="str">
        <f t="shared" si="82"/>
        <v>Feb</v>
      </c>
      <c r="N1783" s="2">
        <f t="shared" si="83"/>
        <v>0.1336153160122161</v>
      </c>
    </row>
    <row r="1784" spans="1:14" x14ac:dyDescent="0.45">
      <c r="A1784" t="s">
        <v>3459</v>
      </c>
      <c r="B1784" s="1">
        <v>44872</v>
      </c>
      <c r="C1784" t="s">
        <v>3460</v>
      </c>
      <c r="D1784" t="s">
        <v>26</v>
      </c>
      <c r="E1784" t="s">
        <v>14</v>
      </c>
      <c r="F1784" t="s">
        <v>40</v>
      </c>
      <c r="G1784">
        <v>2</v>
      </c>
      <c r="H1784">
        <v>26543.27</v>
      </c>
      <c r="I1784">
        <v>3021.72</v>
      </c>
      <c r="J1784" t="s">
        <v>47</v>
      </c>
      <c r="K1784" t="s">
        <v>29</v>
      </c>
      <c r="L1784">
        <f t="shared" si="81"/>
        <v>2022</v>
      </c>
      <c r="M1784" t="str">
        <f t="shared" si="82"/>
        <v>Nov</v>
      </c>
      <c r="N1784" s="2">
        <f t="shared" si="83"/>
        <v>0.11384128632229562</v>
      </c>
    </row>
    <row r="1785" spans="1:14" x14ac:dyDescent="0.45">
      <c r="A1785" t="s">
        <v>3461</v>
      </c>
      <c r="B1785" s="1">
        <v>45563</v>
      </c>
      <c r="C1785" t="s">
        <v>3462</v>
      </c>
      <c r="D1785" t="s">
        <v>13</v>
      </c>
      <c r="E1785" t="s">
        <v>36</v>
      </c>
      <c r="F1785" t="s">
        <v>46</v>
      </c>
      <c r="G1785">
        <v>5</v>
      </c>
      <c r="H1785">
        <v>775.24</v>
      </c>
      <c r="I1785">
        <v>75.58</v>
      </c>
      <c r="J1785" t="s">
        <v>22</v>
      </c>
      <c r="K1785" t="s">
        <v>23</v>
      </c>
      <c r="L1785">
        <f t="shared" si="81"/>
        <v>2024</v>
      </c>
      <c r="M1785" t="str">
        <f t="shared" si="82"/>
        <v>Sep</v>
      </c>
      <c r="N1785" s="2">
        <f t="shared" si="83"/>
        <v>9.7492389453588568E-2</v>
      </c>
    </row>
    <row r="1786" spans="1:14" x14ac:dyDescent="0.45">
      <c r="A1786" t="s">
        <v>3463</v>
      </c>
      <c r="B1786" s="1">
        <v>45299</v>
      </c>
      <c r="C1786" t="s">
        <v>3464</v>
      </c>
      <c r="D1786" t="s">
        <v>13</v>
      </c>
      <c r="E1786" t="s">
        <v>14</v>
      </c>
      <c r="F1786" t="s">
        <v>32</v>
      </c>
      <c r="G1786">
        <v>2</v>
      </c>
      <c r="H1786">
        <v>11126.17</v>
      </c>
      <c r="I1786">
        <v>1693.41</v>
      </c>
      <c r="J1786" t="s">
        <v>22</v>
      </c>
      <c r="K1786" t="s">
        <v>23</v>
      </c>
      <c r="L1786">
        <f t="shared" si="81"/>
        <v>2024</v>
      </c>
      <c r="M1786" t="str">
        <f t="shared" si="82"/>
        <v>Jan</v>
      </c>
      <c r="N1786" s="2">
        <f t="shared" si="83"/>
        <v>0.15220062249633073</v>
      </c>
    </row>
    <row r="1787" spans="1:14" x14ac:dyDescent="0.45">
      <c r="A1787" t="s">
        <v>3465</v>
      </c>
      <c r="B1787" s="1">
        <v>45580</v>
      </c>
      <c r="C1787" t="s">
        <v>3466</v>
      </c>
      <c r="D1787" t="s">
        <v>13</v>
      </c>
      <c r="E1787" t="s">
        <v>20</v>
      </c>
      <c r="F1787" t="s">
        <v>27</v>
      </c>
      <c r="G1787">
        <v>2</v>
      </c>
      <c r="H1787">
        <v>45666.07</v>
      </c>
      <c r="I1787">
        <v>11375.71</v>
      </c>
      <c r="J1787" t="s">
        <v>47</v>
      </c>
      <c r="K1787" t="s">
        <v>29</v>
      </c>
      <c r="L1787">
        <f t="shared" si="81"/>
        <v>2024</v>
      </c>
      <c r="M1787" t="str">
        <f t="shared" si="82"/>
        <v>Oct</v>
      </c>
      <c r="N1787" s="2">
        <f t="shared" si="83"/>
        <v>0.24910639343389959</v>
      </c>
    </row>
    <row r="1788" spans="1:14" x14ac:dyDescent="0.45">
      <c r="A1788" t="s">
        <v>3467</v>
      </c>
      <c r="B1788" s="1">
        <v>45362</v>
      </c>
      <c r="C1788" t="s">
        <v>3468</v>
      </c>
      <c r="D1788" t="s">
        <v>56</v>
      </c>
      <c r="E1788" t="s">
        <v>20</v>
      </c>
      <c r="F1788" t="s">
        <v>21</v>
      </c>
      <c r="G1788">
        <v>5</v>
      </c>
      <c r="H1788">
        <v>30648.09</v>
      </c>
      <c r="I1788">
        <v>5532.65</v>
      </c>
      <c r="J1788" t="s">
        <v>16</v>
      </c>
      <c r="K1788" t="s">
        <v>23</v>
      </c>
      <c r="L1788">
        <f t="shared" si="81"/>
        <v>2024</v>
      </c>
      <c r="M1788" t="str">
        <f t="shared" si="82"/>
        <v>Mar</v>
      </c>
      <c r="N1788" s="2">
        <f t="shared" si="83"/>
        <v>0.18052185307469404</v>
      </c>
    </row>
    <row r="1789" spans="1:14" x14ac:dyDescent="0.45">
      <c r="A1789" t="s">
        <v>3469</v>
      </c>
      <c r="B1789" s="1">
        <v>45209</v>
      </c>
      <c r="C1789" t="s">
        <v>3470</v>
      </c>
      <c r="D1789" t="s">
        <v>26</v>
      </c>
      <c r="E1789" t="s">
        <v>36</v>
      </c>
      <c r="F1789" t="s">
        <v>64</v>
      </c>
      <c r="G1789">
        <v>4</v>
      </c>
      <c r="H1789">
        <v>40151.199999999997</v>
      </c>
      <c r="I1789">
        <v>5804.68</v>
      </c>
      <c r="J1789" t="s">
        <v>22</v>
      </c>
      <c r="K1789" t="s">
        <v>23</v>
      </c>
      <c r="L1789">
        <f t="shared" si="81"/>
        <v>2023</v>
      </c>
      <c r="M1789" t="str">
        <f t="shared" si="82"/>
        <v>Oct</v>
      </c>
      <c r="N1789" s="2">
        <f t="shared" si="83"/>
        <v>0.14457052342146687</v>
      </c>
    </row>
    <row r="1790" spans="1:14" x14ac:dyDescent="0.45">
      <c r="A1790" t="s">
        <v>3471</v>
      </c>
      <c r="B1790" s="1">
        <v>45553</v>
      </c>
      <c r="C1790" t="s">
        <v>3472</v>
      </c>
      <c r="D1790" t="s">
        <v>26</v>
      </c>
      <c r="E1790" t="s">
        <v>14</v>
      </c>
      <c r="F1790" t="s">
        <v>57</v>
      </c>
      <c r="G1790">
        <v>1</v>
      </c>
      <c r="H1790">
        <v>3438.86</v>
      </c>
      <c r="I1790">
        <v>580.85</v>
      </c>
      <c r="J1790" t="s">
        <v>16</v>
      </c>
      <c r="K1790" t="s">
        <v>17</v>
      </c>
      <c r="L1790">
        <f t="shared" si="81"/>
        <v>2024</v>
      </c>
      <c r="M1790" t="str">
        <f t="shared" si="82"/>
        <v>Sep</v>
      </c>
      <c r="N1790" s="2">
        <f t="shared" si="83"/>
        <v>0.16890771941864455</v>
      </c>
    </row>
    <row r="1791" spans="1:14" x14ac:dyDescent="0.45">
      <c r="A1791" t="s">
        <v>3473</v>
      </c>
      <c r="B1791" s="1">
        <v>44834</v>
      </c>
      <c r="C1791" t="s">
        <v>3474</v>
      </c>
      <c r="D1791" t="s">
        <v>13</v>
      </c>
      <c r="E1791" t="s">
        <v>20</v>
      </c>
      <c r="F1791" t="s">
        <v>43</v>
      </c>
      <c r="G1791">
        <v>2</v>
      </c>
      <c r="H1791">
        <v>14363.9</v>
      </c>
      <c r="I1791">
        <v>2865.85</v>
      </c>
      <c r="J1791" t="s">
        <v>71</v>
      </c>
      <c r="K1791" t="s">
        <v>23</v>
      </c>
      <c r="L1791">
        <f t="shared" si="81"/>
        <v>2022</v>
      </c>
      <c r="M1791" t="str">
        <f t="shared" si="82"/>
        <v>Sep</v>
      </c>
      <c r="N1791" s="2">
        <f t="shared" si="83"/>
        <v>0.19951754050083892</v>
      </c>
    </row>
    <row r="1792" spans="1:14" x14ac:dyDescent="0.45">
      <c r="A1792" t="s">
        <v>3475</v>
      </c>
      <c r="B1792" s="1">
        <v>44565</v>
      </c>
      <c r="C1792" t="s">
        <v>3476</v>
      </c>
      <c r="D1792" t="s">
        <v>26</v>
      </c>
      <c r="E1792" t="s">
        <v>20</v>
      </c>
      <c r="F1792" t="s">
        <v>50</v>
      </c>
      <c r="G1792">
        <v>2</v>
      </c>
      <c r="H1792">
        <v>38622.15</v>
      </c>
      <c r="I1792">
        <v>7712.38</v>
      </c>
      <c r="J1792" t="s">
        <v>16</v>
      </c>
      <c r="K1792" t="s">
        <v>29</v>
      </c>
      <c r="L1792">
        <f t="shared" si="81"/>
        <v>2022</v>
      </c>
      <c r="M1792" t="str">
        <f t="shared" si="82"/>
        <v>Jan</v>
      </c>
      <c r="N1792" s="2">
        <f t="shared" si="83"/>
        <v>0.1996880028688201</v>
      </c>
    </row>
    <row r="1793" spans="1:14" x14ac:dyDescent="0.45">
      <c r="A1793" t="s">
        <v>3477</v>
      </c>
      <c r="B1793" s="1">
        <v>45305</v>
      </c>
      <c r="C1793" t="s">
        <v>3478</v>
      </c>
      <c r="D1793" t="s">
        <v>26</v>
      </c>
      <c r="E1793" t="s">
        <v>36</v>
      </c>
      <c r="F1793" t="s">
        <v>46</v>
      </c>
      <c r="G1793">
        <v>5</v>
      </c>
      <c r="H1793">
        <v>45588.1</v>
      </c>
      <c r="I1793">
        <v>4411.6099999999997</v>
      </c>
      <c r="J1793" t="s">
        <v>22</v>
      </c>
      <c r="K1793" t="s">
        <v>17</v>
      </c>
      <c r="L1793">
        <f t="shared" si="81"/>
        <v>2024</v>
      </c>
      <c r="M1793" t="str">
        <f t="shared" si="82"/>
        <v>Jan</v>
      </c>
      <c r="N1793" s="2">
        <f t="shared" si="83"/>
        <v>9.6771087191613592E-2</v>
      </c>
    </row>
    <row r="1794" spans="1:14" x14ac:dyDescent="0.45">
      <c r="A1794" t="s">
        <v>3479</v>
      </c>
      <c r="B1794" s="1">
        <v>44704</v>
      </c>
      <c r="C1794" t="s">
        <v>3480</v>
      </c>
      <c r="D1794" t="s">
        <v>26</v>
      </c>
      <c r="E1794" t="s">
        <v>14</v>
      </c>
      <c r="F1794" t="s">
        <v>57</v>
      </c>
      <c r="G1794">
        <v>1</v>
      </c>
      <c r="H1794">
        <v>41586.879999999997</v>
      </c>
      <c r="I1794">
        <v>5380.63</v>
      </c>
      <c r="J1794" t="s">
        <v>28</v>
      </c>
      <c r="K1794" t="s">
        <v>33</v>
      </c>
      <c r="L1794">
        <f t="shared" si="81"/>
        <v>2022</v>
      </c>
      <c r="M1794" t="str">
        <f t="shared" si="82"/>
        <v>May</v>
      </c>
      <c r="N1794" s="2">
        <f t="shared" si="83"/>
        <v>0.12938287267522836</v>
      </c>
    </row>
    <row r="1795" spans="1:14" x14ac:dyDescent="0.45">
      <c r="A1795" t="s">
        <v>3481</v>
      </c>
      <c r="B1795" s="1">
        <v>45639</v>
      </c>
      <c r="C1795" t="s">
        <v>3482</v>
      </c>
      <c r="D1795" t="s">
        <v>13</v>
      </c>
      <c r="E1795" t="s">
        <v>14</v>
      </c>
      <c r="F1795" t="s">
        <v>40</v>
      </c>
      <c r="G1795">
        <v>5</v>
      </c>
      <c r="H1795">
        <v>38119.879999999997</v>
      </c>
      <c r="I1795">
        <v>6003.85</v>
      </c>
      <c r="J1795" t="s">
        <v>16</v>
      </c>
      <c r="K1795" t="s">
        <v>33</v>
      </c>
      <c r="L1795">
        <f t="shared" ref="L1795:L1858" si="84">YEAR(B1795 )</f>
        <v>2024</v>
      </c>
      <c r="M1795" t="str">
        <f t="shared" ref="M1795:M1858" si="85">TEXT(B1795,"MMM")</f>
        <v>Dec</v>
      </c>
      <c r="N1795" s="2">
        <f t="shared" ref="N1795:N1858" si="86">I1795 / H1795</f>
        <v>0.15749918415273081</v>
      </c>
    </row>
    <row r="1796" spans="1:14" x14ac:dyDescent="0.45">
      <c r="A1796" t="s">
        <v>3483</v>
      </c>
      <c r="B1796" s="1">
        <v>45487</v>
      </c>
      <c r="C1796" t="s">
        <v>2925</v>
      </c>
      <c r="D1796" t="s">
        <v>26</v>
      </c>
      <c r="E1796" t="s">
        <v>20</v>
      </c>
      <c r="F1796" t="s">
        <v>27</v>
      </c>
      <c r="G1796">
        <v>5</v>
      </c>
      <c r="H1796">
        <v>4458.83</v>
      </c>
      <c r="I1796">
        <v>576.04</v>
      </c>
      <c r="J1796" t="s">
        <v>16</v>
      </c>
      <c r="K1796" t="s">
        <v>29</v>
      </c>
      <c r="L1796">
        <f t="shared" si="84"/>
        <v>2024</v>
      </c>
      <c r="M1796" t="str">
        <f t="shared" si="85"/>
        <v>Jul</v>
      </c>
      <c r="N1796" s="2">
        <f t="shared" si="86"/>
        <v>0.12919084154363364</v>
      </c>
    </row>
    <row r="1797" spans="1:14" x14ac:dyDescent="0.45">
      <c r="A1797" t="s">
        <v>3484</v>
      </c>
      <c r="B1797" s="1">
        <v>45539</v>
      </c>
      <c r="C1797" t="s">
        <v>3485</v>
      </c>
      <c r="D1797" t="s">
        <v>56</v>
      </c>
      <c r="E1797" t="s">
        <v>20</v>
      </c>
      <c r="F1797" t="s">
        <v>43</v>
      </c>
      <c r="G1797">
        <v>1</v>
      </c>
      <c r="H1797">
        <v>48488.17</v>
      </c>
      <c r="I1797">
        <v>8918.82</v>
      </c>
      <c r="J1797" t="s">
        <v>47</v>
      </c>
      <c r="K1797" t="s">
        <v>33</v>
      </c>
      <c r="L1797">
        <f t="shared" si="84"/>
        <v>2024</v>
      </c>
      <c r="M1797" t="str">
        <f t="shared" si="85"/>
        <v>Sep</v>
      </c>
      <c r="N1797" s="2">
        <f t="shared" si="86"/>
        <v>0.18393806159316797</v>
      </c>
    </row>
    <row r="1798" spans="1:14" x14ac:dyDescent="0.45">
      <c r="A1798" t="s">
        <v>3486</v>
      </c>
      <c r="B1798" s="1">
        <v>44758</v>
      </c>
      <c r="C1798" t="s">
        <v>3487</v>
      </c>
      <c r="D1798" t="s">
        <v>26</v>
      </c>
      <c r="E1798" t="s">
        <v>14</v>
      </c>
      <c r="F1798" t="s">
        <v>40</v>
      </c>
      <c r="G1798">
        <v>2</v>
      </c>
      <c r="H1798">
        <v>16031.12</v>
      </c>
      <c r="I1798">
        <v>3616.05</v>
      </c>
      <c r="J1798" t="s">
        <v>47</v>
      </c>
      <c r="K1798" t="s">
        <v>33</v>
      </c>
      <c r="L1798">
        <f t="shared" si="84"/>
        <v>2022</v>
      </c>
      <c r="M1798" t="str">
        <f t="shared" si="85"/>
        <v>Jul</v>
      </c>
      <c r="N1798" s="2">
        <f t="shared" si="86"/>
        <v>0.22556440223764779</v>
      </c>
    </row>
    <row r="1799" spans="1:14" x14ac:dyDescent="0.45">
      <c r="A1799" t="s">
        <v>3488</v>
      </c>
      <c r="B1799" s="1">
        <v>45211</v>
      </c>
      <c r="C1799" t="s">
        <v>3489</v>
      </c>
      <c r="D1799" t="s">
        <v>26</v>
      </c>
      <c r="E1799" t="s">
        <v>36</v>
      </c>
      <c r="F1799" t="s">
        <v>53</v>
      </c>
      <c r="G1799">
        <v>1</v>
      </c>
      <c r="H1799">
        <v>19354.330000000002</v>
      </c>
      <c r="I1799">
        <v>3661.16</v>
      </c>
      <c r="J1799" t="s">
        <v>71</v>
      </c>
      <c r="K1799" t="s">
        <v>23</v>
      </c>
      <c r="L1799">
        <f t="shared" si="84"/>
        <v>2023</v>
      </c>
      <c r="M1799" t="str">
        <f t="shared" si="85"/>
        <v>Oct</v>
      </c>
      <c r="N1799" s="2">
        <f t="shared" si="86"/>
        <v>0.18916490521759211</v>
      </c>
    </row>
    <row r="1800" spans="1:14" x14ac:dyDescent="0.45">
      <c r="A1800" t="s">
        <v>3490</v>
      </c>
      <c r="B1800" s="1">
        <v>45006</v>
      </c>
      <c r="C1800" t="s">
        <v>3491</v>
      </c>
      <c r="D1800" t="s">
        <v>26</v>
      </c>
      <c r="E1800" t="s">
        <v>20</v>
      </c>
      <c r="F1800" t="s">
        <v>21</v>
      </c>
      <c r="G1800">
        <v>1</v>
      </c>
      <c r="H1800">
        <v>5916.91</v>
      </c>
      <c r="I1800">
        <v>790.8</v>
      </c>
      <c r="J1800" t="s">
        <v>28</v>
      </c>
      <c r="K1800" t="s">
        <v>33</v>
      </c>
      <c r="L1800">
        <f t="shared" si="84"/>
        <v>2023</v>
      </c>
      <c r="M1800" t="str">
        <f t="shared" si="85"/>
        <v>Mar</v>
      </c>
      <c r="N1800" s="2">
        <f t="shared" si="86"/>
        <v>0.13365084140201558</v>
      </c>
    </row>
    <row r="1801" spans="1:14" x14ac:dyDescent="0.45">
      <c r="A1801" t="s">
        <v>3492</v>
      </c>
      <c r="B1801" s="1">
        <v>45017</v>
      </c>
      <c r="C1801" t="s">
        <v>3493</v>
      </c>
      <c r="D1801" t="s">
        <v>56</v>
      </c>
      <c r="E1801" t="s">
        <v>20</v>
      </c>
      <c r="F1801" t="s">
        <v>50</v>
      </c>
      <c r="G1801">
        <v>4</v>
      </c>
      <c r="H1801">
        <v>26708.48</v>
      </c>
      <c r="I1801">
        <v>4830.37</v>
      </c>
      <c r="J1801" t="s">
        <v>16</v>
      </c>
      <c r="K1801" t="s">
        <v>29</v>
      </c>
      <c r="L1801">
        <f t="shared" si="84"/>
        <v>2023</v>
      </c>
      <c r="M1801" t="str">
        <f t="shared" si="85"/>
        <v>Apr</v>
      </c>
      <c r="N1801" s="2">
        <f t="shared" si="86"/>
        <v>0.1808552938991661</v>
      </c>
    </row>
    <row r="1802" spans="1:14" x14ac:dyDescent="0.45">
      <c r="A1802" t="s">
        <v>3494</v>
      </c>
      <c r="B1802" s="1">
        <v>45425</v>
      </c>
      <c r="C1802" t="s">
        <v>3495</v>
      </c>
      <c r="D1802" t="s">
        <v>26</v>
      </c>
      <c r="E1802" t="s">
        <v>20</v>
      </c>
      <c r="F1802" t="s">
        <v>21</v>
      </c>
      <c r="G1802">
        <v>2</v>
      </c>
      <c r="H1802">
        <v>48028.43</v>
      </c>
      <c r="I1802">
        <v>4456.54</v>
      </c>
      <c r="J1802" t="s">
        <v>22</v>
      </c>
      <c r="K1802" t="s">
        <v>23</v>
      </c>
      <c r="L1802">
        <f t="shared" si="84"/>
        <v>2024</v>
      </c>
      <c r="M1802" t="str">
        <f t="shared" si="85"/>
        <v>May</v>
      </c>
      <c r="N1802" s="2">
        <f t="shared" si="86"/>
        <v>9.2789624811804181E-2</v>
      </c>
    </row>
    <row r="1803" spans="1:14" x14ac:dyDescent="0.45">
      <c r="A1803" t="s">
        <v>3496</v>
      </c>
      <c r="B1803" s="1">
        <v>44896</v>
      </c>
      <c r="C1803" t="s">
        <v>3497</v>
      </c>
      <c r="D1803" t="s">
        <v>26</v>
      </c>
      <c r="E1803" t="s">
        <v>20</v>
      </c>
      <c r="F1803" t="s">
        <v>43</v>
      </c>
      <c r="G1803">
        <v>3</v>
      </c>
      <c r="H1803">
        <v>13655.88</v>
      </c>
      <c r="I1803">
        <v>1665.09</v>
      </c>
      <c r="J1803" t="s">
        <v>71</v>
      </c>
      <c r="K1803" t="s">
        <v>23</v>
      </c>
      <c r="L1803">
        <f t="shared" si="84"/>
        <v>2022</v>
      </c>
      <c r="M1803" t="str">
        <f t="shared" si="85"/>
        <v>Dec</v>
      </c>
      <c r="N1803" s="2">
        <f t="shared" si="86"/>
        <v>0.12193209079165898</v>
      </c>
    </row>
    <row r="1804" spans="1:14" x14ac:dyDescent="0.45">
      <c r="A1804" t="s">
        <v>3498</v>
      </c>
      <c r="B1804" s="1">
        <v>44966</v>
      </c>
      <c r="C1804" t="s">
        <v>3499</v>
      </c>
      <c r="D1804" t="s">
        <v>56</v>
      </c>
      <c r="E1804" t="s">
        <v>36</v>
      </c>
      <c r="F1804" t="s">
        <v>46</v>
      </c>
      <c r="G1804">
        <v>2</v>
      </c>
      <c r="H1804">
        <v>33957</v>
      </c>
      <c r="I1804">
        <v>6218.97</v>
      </c>
      <c r="J1804" t="s">
        <v>28</v>
      </c>
      <c r="K1804" t="s">
        <v>29</v>
      </c>
      <c r="L1804">
        <f t="shared" si="84"/>
        <v>2023</v>
      </c>
      <c r="M1804" t="str">
        <f t="shared" si="85"/>
        <v>Feb</v>
      </c>
      <c r="N1804" s="2">
        <f t="shared" si="86"/>
        <v>0.18314250375474866</v>
      </c>
    </row>
    <row r="1805" spans="1:14" x14ac:dyDescent="0.45">
      <c r="A1805" t="s">
        <v>3500</v>
      </c>
      <c r="B1805" s="1">
        <v>44661</v>
      </c>
      <c r="C1805" t="s">
        <v>3501</v>
      </c>
      <c r="D1805" t="s">
        <v>56</v>
      </c>
      <c r="E1805" t="s">
        <v>20</v>
      </c>
      <c r="F1805" t="s">
        <v>21</v>
      </c>
      <c r="G1805">
        <v>1</v>
      </c>
      <c r="H1805">
        <v>1690.17</v>
      </c>
      <c r="I1805">
        <v>201.97</v>
      </c>
      <c r="J1805" t="s">
        <v>71</v>
      </c>
      <c r="K1805" t="s">
        <v>17</v>
      </c>
      <c r="L1805">
        <f t="shared" si="84"/>
        <v>2022</v>
      </c>
      <c r="M1805" t="str">
        <f t="shared" si="85"/>
        <v>Apr</v>
      </c>
      <c r="N1805" s="2">
        <f t="shared" si="86"/>
        <v>0.11949685534591194</v>
      </c>
    </row>
    <row r="1806" spans="1:14" x14ac:dyDescent="0.45">
      <c r="A1806" t="s">
        <v>3502</v>
      </c>
      <c r="B1806" s="1">
        <v>45439</v>
      </c>
      <c r="C1806" t="s">
        <v>3503</v>
      </c>
      <c r="D1806" t="s">
        <v>13</v>
      </c>
      <c r="E1806" t="s">
        <v>36</v>
      </c>
      <c r="F1806" t="s">
        <v>37</v>
      </c>
      <c r="G1806">
        <v>4</v>
      </c>
      <c r="H1806">
        <v>21060.76</v>
      </c>
      <c r="I1806">
        <v>4142.8500000000004</v>
      </c>
      <c r="J1806" t="s">
        <v>71</v>
      </c>
      <c r="K1806" t="s">
        <v>33</v>
      </c>
      <c r="L1806">
        <f t="shared" si="84"/>
        <v>2024</v>
      </c>
      <c r="M1806" t="str">
        <f t="shared" si="85"/>
        <v>May</v>
      </c>
      <c r="N1806" s="2">
        <f t="shared" si="86"/>
        <v>0.19670942549081802</v>
      </c>
    </row>
    <row r="1807" spans="1:14" x14ac:dyDescent="0.45">
      <c r="A1807" t="s">
        <v>3504</v>
      </c>
      <c r="B1807" s="1">
        <v>45181</v>
      </c>
      <c r="C1807" t="s">
        <v>3505</v>
      </c>
      <c r="D1807" t="s">
        <v>26</v>
      </c>
      <c r="E1807" t="s">
        <v>36</v>
      </c>
      <c r="F1807" t="s">
        <v>37</v>
      </c>
      <c r="G1807">
        <v>5</v>
      </c>
      <c r="H1807">
        <v>46221.84</v>
      </c>
      <c r="I1807">
        <v>8405.15</v>
      </c>
      <c r="J1807" t="s">
        <v>22</v>
      </c>
      <c r="K1807" t="s">
        <v>17</v>
      </c>
      <c r="L1807">
        <f t="shared" si="84"/>
        <v>2023</v>
      </c>
      <c r="M1807" t="str">
        <f t="shared" si="85"/>
        <v>Sep</v>
      </c>
      <c r="N1807" s="2">
        <f t="shared" si="86"/>
        <v>0.18184369120744653</v>
      </c>
    </row>
    <row r="1808" spans="1:14" x14ac:dyDescent="0.45">
      <c r="A1808" t="s">
        <v>3506</v>
      </c>
      <c r="B1808" s="1">
        <v>44735</v>
      </c>
      <c r="C1808" t="s">
        <v>3507</v>
      </c>
      <c r="D1808" t="s">
        <v>26</v>
      </c>
      <c r="E1808" t="s">
        <v>36</v>
      </c>
      <c r="F1808" t="s">
        <v>64</v>
      </c>
      <c r="G1808">
        <v>3</v>
      </c>
      <c r="H1808">
        <v>27872.04</v>
      </c>
      <c r="I1808">
        <v>5503.4</v>
      </c>
      <c r="J1808" t="s">
        <v>28</v>
      </c>
      <c r="K1808" t="s">
        <v>17</v>
      </c>
      <c r="L1808">
        <f t="shared" si="84"/>
        <v>2022</v>
      </c>
      <c r="M1808" t="str">
        <f t="shared" si="85"/>
        <v>Jun</v>
      </c>
      <c r="N1808" s="2">
        <f t="shared" si="86"/>
        <v>0.19745235727273638</v>
      </c>
    </row>
    <row r="1809" spans="1:14" x14ac:dyDescent="0.45">
      <c r="A1809" t="s">
        <v>3508</v>
      </c>
      <c r="B1809" s="1">
        <v>45546</v>
      </c>
      <c r="C1809" t="s">
        <v>2830</v>
      </c>
      <c r="D1809" t="s">
        <v>56</v>
      </c>
      <c r="E1809" t="s">
        <v>14</v>
      </c>
      <c r="F1809" t="s">
        <v>40</v>
      </c>
      <c r="G1809">
        <v>4</v>
      </c>
      <c r="H1809">
        <v>37353.25</v>
      </c>
      <c r="I1809">
        <v>2055.8000000000002</v>
      </c>
      <c r="J1809" t="s">
        <v>71</v>
      </c>
      <c r="K1809" t="s">
        <v>29</v>
      </c>
      <c r="L1809">
        <f t="shared" si="84"/>
        <v>2024</v>
      </c>
      <c r="M1809" t="str">
        <f t="shared" si="85"/>
        <v>Sep</v>
      </c>
      <c r="N1809" s="2">
        <f t="shared" si="86"/>
        <v>5.5036710326410693E-2</v>
      </c>
    </row>
    <row r="1810" spans="1:14" x14ac:dyDescent="0.45">
      <c r="A1810" t="s">
        <v>3509</v>
      </c>
      <c r="B1810" s="1">
        <v>45220</v>
      </c>
      <c r="C1810" t="s">
        <v>1718</v>
      </c>
      <c r="D1810" t="s">
        <v>56</v>
      </c>
      <c r="E1810" t="s">
        <v>36</v>
      </c>
      <c r="F1810" t="s">
        <v>53</v>
      </c>
      <c r="G1810">
        <v>2</v>
      </c>
      <c r="H1810">
        <v>41888.83</v>
      </c>
      <c r="I1810">
        <v>10341.290000000001</v>
      </c>
      <c r="J1810" t="s">
        <v>16</v>
      </c>
      <c r="K1810" t="s">
        <v>17</v>
      </c>
      <c r="L1810">
        <f t="shared" si="84"/>
        <v>2023</v>
      </c>
      <c r="M1810" t="str">
        <f t="shared" si="85"/>
        <v>Oct</v>
      </c>
      <c r="N1810" s="2">
        <f t="shared" si="86"/>
        <v>0.24687464414737773</v>
      </c>
    </row>
    <row r="1811" spans="1:14" x14ac:dyDescent="0.45">
      <c r="A1811" t="s">
        <v>3510</v>
      </c>
      <c r="B1811" s="1">
        <v>44775</v>
      </c>
      <c r="C1811" t="s">
        <v>3511</v>
      </c>
      <c r="D1811" t="s">
        <v>13</v>
      </c>
      <c r="E1811" t="s">
        <v>36</v>
      </c>
      <c r="F1811" t="s">
        <v>37</v>
      </c>
      <c r="G1811">
        <v>1</v>
      </c>
      <c r="H1811">
        <v>31716.67</v>
      </c>
      <c r="I1811">
        <v>5199.28</v>
      </c>
      <c r="J1811" t="s">
        <v>47</v>
      </c>
      <c r="K1811" t="s">
        <v>23</v>
      </c>
      <c r="L1811">
        <f t="shared" si="84"/>
        <v>2022</v>
      </c>
      <c r="M1811" t="str">
        <f t="shared" si="85"/>
        <v>Aug</v>
      </c>
      <c r="N1811" s="2">
        <f t="shared" si="86"/>
        <v>0.16392893705423678</v>
      </c>
    </row>
    <row r="1812" spans="1:14" x14ac:dyDescent="0.45">
      <c r="A1812" t="s">
        <v>3512</v>
      </c>
      <c r="B1812" s="1">
        <v>45224</v>
      </c>
      <c r="C1812" t="s">
        <v>3513</v>
      </c>
      <c r="D1812" t="s">
        <v>13</v>
      </c>
      <c r="E1812" t="s">
        <v>14</v>
      </c>
      <c r="F1812" t="s">
        <v>32</v>
      </c>
      <c r="G1812">
        <v>4</v>
      </c>
      <c r="H1812">
        <v>35682.28</v>
      </c>
      <c r="I1812">
        <v>7721.85</v>
      </c>
      <c r="J1812" t="s">
        <v>22</v>
      </c>
      <c r="K1812" t="s">
        <v>23</v>
      </c>
      <c r="L1812">
        <f t="shared" si="84"/>
        <v>2023</v>
      </c>
      <c r="M1812" t="str">
        <f t="shared" si="85"/>
        <v>Oct</v>
      </c>
      <c r="N1812" s="2">
        <f t="shared" si="86"/>
        <v>0.21640573416272729</v>
      </c>
    </row>
    <row r="1813" spans="1:14" x14ac:dyDescent="0.45">
      <c r="A1813" t="s">
        <v>3514</v>
      </c>
      <c r="B1813" s="1">
        <v>45005</v>
      </c>
      <c r="C1813" t="s">
        <v>3515</v>
      </c>
      <c r="D1813" t="s">
        <v>56</v>
      </c>
      <c r="E1813" t="s">
        <v>14</v>
      </c>
      <c r="F1813" t="s">
        <v>57</v>
      </c>
      <c r="G1813">
        <v>3</v>
      </c>
      <c r="H1813">
        <v>45091.77</v>
      </c>
      <c r="I1813">
        <v>11111.82</v>
      </c>
      <c r="J1813" t="s">
        <v>16</v>
      </c>
      <c r="K1813" t="s">
        <v>23</v>
      </c>
      <c r="L1813">
        <f t="shared" si="84"/>
        <v>2023</v>
      </c>
      <c r="M1813" t="str">
        <f t="shared" si="85"/>
        <v>Mar</v>
      </c>
      <c r="N1813" s="2">
        <f t="shared" si="86"/>
        <v>0.24642678697243423</v>
      </c>
    </row>
    <row r="1814" spans="1:14" x14ac:dyDescent="0.45">
      <c r="A1814" t="s">
        <v>3516</v>
      </c>
      <c r="B1814" s="1">
        <v>45641</v>
      </c>
      <c r="C1814" t="s">
        <v>3517</v>
      </c>
      <c r="D1814" t="s">
        <v>13</v>
      </c>
      <c r="E1814" t="s">
        <v>20</v>
      </c>
      <c r="F1814" t="s">
        <v>21</v>
      </c>
      <c r="G1814">
        <v>2</v>
      </c>
      <c r="H1814">
        <v>3078.14</v>
      </c>
      <c r="I1814">
        <v>643.59</v>
      </c>
      <c r="J1814" t="s">
        <v>47</v>
      </c>
      <c r="K1814" t="s">
        <v>29</v>
      </c>
      <c r="L1814">
        <f t="shared" si="84"/>
        <v>2024</v>
      </c>
      <c r="M1814" t="str">
        <f t="shared" si="85"/>
        <v>Dec</v>
      </c>
      <c r="N1814" s="2">
        <f t="shared" si="86"/>
        <v>0.20908405725535553</v>
      </c>
    </row>
    <row r="1815" spans="1:14" x14ac:dyDescent="0.45">
      <c r="A1815" t="s">
        <v>3518</v>
      </c>
      <c r="B1815" s="1">
        <v>45145</v>
      </c>
      <c r="C1815" t="s">
        <v>3519</v>
      </c>
      <c r="D1815" t="s">
        <v>13</v>
      </c>
      <c r="E1815" t="s">
        <v>20</v>
      </c>
      <c r="F1815" t="s">
        <v>27</v>
      </c>
      <c r="G1815">
        <v>1</v>
      </c>
      <c r="H1815">
        <v>35547.86</v>
      </c>
      <c r="I1815">
        <v>7364.09</v>
      </c>
      <c r="J1815" t="s">
        <v>16</v>
      </c>
      <c r="K1815" t="s">
        <v>33</v>
      </c>
      <c r="L1815">
        <f t="shared" si="84"/>
        <v>2023</v>
      </c>
      <c r="M1815" t="str">
        <f t="shared" si="85"/>
        <v>Aug</v>
      </c>
      <c r="N1815" s="2">
        <f t="shared" si="86"/>
        <v>0.20715986841401987</v>
      </c>
    </row>
    <row r="1816" spans="1:14" x14ac:dyDescent="0.45">
      <c r="A1816" t="s">
        <v>3520</v>
      </c>
      <c r="B1816" s="1">
        <v>44708</v>
      </c>
      <c r="C1816" t="s">
        <v>3521</v>
      </c>
      <c r="D1816" t="s">
        <v>13</v>
      </c>
      <c r="E1816" t="s">
        <v>36</v>
      </c>
      <c r="F1816" t="s">
        <v>53</v>
      </c>
      <c r="G1816">
        <v>5</v>
      </c>
      <c r="H1816">
        <v>20939.41</v>
      </c>
      <c r="I1816">
        <v>2317.29</v>
      </c>
      <c r="J1816" t="s">
        <v>71</v>
      </c>
      <c r="K1816" t="s">
        <v>33</v>
      </c>
      <c r="L1816">
        <f t="shared" si="84"/>
        <v>2022</v>
      </c>
      <c r="M1816" t="str">
        <f t="shared" si="85"/>
        <v>May</v>
      </c>
      <c r="N1816" s="2">
        <f t="shared" si="86"/>
        <v>0.11066644189115166</v>
      </c>
    </row>
    <row r="1817" spans="1:14" x14ac:dyDescent="0.45">
      <c r="A1817" t="s">
        <v>3522</v>
      </c>
      <c r="B1817" s="1">
        <v>44987</v>
      </c>
      <c r="C1817" t="s">
        <v>3523</v>
      </c>
      <c r="D1817" t="s">
        <v>26</v>
      </c>
      <c r="E1817" t="s">
        <v>20</v>
      </c>
      <c r="F1817" t="s">
        <v>21</v>
      </c>
      <c r="G1817">
        <v>2</v>
      </c>
      <c r="H1817">
        <v>24455.07</v>
      </c>
      <c r="I1817">
        <v>4339.07</v>
      </c>
      <c r="J1817" t="s">
        <v>71</v>
      </c>
      <c r="K1817" t="s">
        <v>33</v>
      </c>
      <c r="L1817">
        <f t="shared" si="84"/>
        <v>2023</v>
      </c>
      <c r="M1817" t="str">
        <f t="shared" si="85"/>
        <v>Mar</v>
      </c>
      <c r="N1817" s="2">
        <f t="shared" si="86"/>
        <v>0.17743028337273212</v>
      </c>
    </row>
    <row r="1818" spans="1:14" x14ac:dyDescent="0.45">
      <c r="A1818" t="s">
        <v>3524</v>
      </c>
      <c r="B1818" s="1">
        <v>45562</v>
      </c>
      <c r="C1818" t="s">
        <v>3525</v>
      </c>
      <c r="D1818" t="s">
        <v>26</v>
      </c>
      <c r="E1818" t="s">
        <v>14</v>
      </c>
      <c r="F1818" t="s">
        <v>40</v>
      </c>
      <c r="G1818">
        <v>2</v>
      </c>
      <c r="H1818">
        <v>19781.54</v>
      </c>
      <c r="I1818">
        <v>1841.69</v>
      </c>
      <c r="J1818" t="s">
        <v>16</v>
      </c>
      <c r="K1818" t="s">
        <v>17</v>
      </c>
      <c r="L1818">
        <f t="shared" si="84"/>
        <v>2024</v>
      </c>
      <c r="M1818" t="str">
        <f t="shared" si="85"/>
        <v>Sep</v>
      </c>
      <c r="N1818" s="2">
        <f t="shared" si="86"/>
        <v>9.310144710674699E-2</v>
      </c>
    </row>
    <row r="1819" spans="1:14" x14ac:dyDescent="0.45">
      <c r="A1819" t="s">
        <v>3526</v>
      </c>
      <c r="B1819" s="1">
        <v>44868</v>
      </c>
      <c r="C1819" t="s">
        <v>1865</v>
      </c>
      <c r="D1819" t="s">
        <v>56</v>
      </c>
      <c r="E1819" t="s">
        <v>36</v>
      </c>
      <c r="F1819" t="s">
        <v>53</v>
      </c>
      <c r="G1819">
        <v>3</v>
      </c>
      <c r="H1819">
        <v>39955.58</v>
      </c>
      <c r="I1819">
        <v>8349.14</v>
      </c>
      <c r="J1819" t="s">
        <v>71</v>
      </c>
      <c r="K1819" t="s">
        <v>33</v>
      </c>
      <c r="L1819">
        <f t="shared" si="84"/>
        <v>2022</v>
      </c>
      <c r="M1819" t="str">
        <f t="shared" si="85"/>
        <v>Nov</v>
      </c>
      <c r="N1819" s="2">
        <f t="shared" si="86"/>
        <v>0.20896055069154293</v>
      </c>
    </row>
    <row r="1820" spans="1:14" x14ac:dyDescent="0.45">
      <c r="A1820" t="s">
        <v>3527</v>
      </c>
      <c r="B1820" s="1">
        <v>44801</v>
      </c>
      <c r="C1820" t="s">
        <v>3528</v>
      </c>
      <c r="D1820" t="s">
        <v>26</v>
      </c>
      <c r="E1820" t="s">
        <v>36</v>
      </c>
      <c r="F1820" t="s">
        <v>53</v>
      </c>
      <c r="G1820">
        <v>1</v>
      </c>
      <c r="H1820">
        <v>39610.959999999999</v>
      </c>
      <c r="I1820">
        <v>3337.44</v>
      </c>
      <c r="J1820" t="s">
        <v>16</v>
      </c>
      <c r="K1820" t="s">
        <v>17</v>
      </c>
      <c r="L1820">
        <f t="shared" si="84"/>
        <v>2022</v>
      </c>
      <c r="M1820" t="str">
        <f t="shared" si="85"/>
        <v>Aug</v>
      </c>
      <c r="N1820" s="2">
        <f t="shared" si="86"/>
        <v>8.4255468688464008E-2</v>
      </c>
    </row>
    <row r="1821" spans="1:14" x14ac:dyDescent="0.45">
      <c r="A1821" t="s">
        <v>3529</v>
      </c>
      <c r="B1821" s="1">
        <v>45439</v>
      </c>
      <c r="C1821" t="s">
        <v>3530</v>
      </c>
      <c r="D1821" t="s">
        <v>13</v>
      </c>
      <c r="E1821" t="s">
        <v>14</v>
      </c>
      <c r="F1821" t="s">
        <v>57</v>
      </c>
      <c r="G1821">
        <v>4</v>
      </c>
      <c r="H1821">
        <v>45412.23</v>
      </c>
      <c r="I1821">
        <v>4354.87</v>
      </c>
      <c r="J1821" t="s">
        <v>16</v>
      </c>
      <c r="K1821" t="s">
        <v>23</v>
      </c>
      <c r="L1821">
        <f t="shared" si="84"/>
        <v>2024</v>
      </c>
      <c r="M1821" t="str">
        <f t="shared" si="85"/>
        <v>May</v>
      </c>
      <c r="N1821" s="2">
        <f t="shared" si="86"/>
        <v>9.589641380746991E-2</v>
      </c>
    </row>
    <row r="1822" spans="1:14" x14ac:dyDescent="0.45">
      <c r="A1822" t="s">
        <v>3531</v>
      </c>
      <c r="B1822" s="1">
        <v>44972</v>
      </c>
      <c r="C1822" t="s">
        <v>3532</v>
      </c>
      <c r="D1822" t="s">
        <v>56</v>
      </c>
      <c r="E1822" t="s">
        <v>20</v>
      </c>
      <c r="F1822" t="s">
        <v>50</v>
      </c>
      <c r="G1822">
        <v>5</v>
      </c>
      <c r="H1822">
        <v>33424.9</v>
      </c>
      <c r="I1822">
        <v>6993.95</v>
      </c>
      <c r="J1822" t="s">
        <v>71</v>
      </c>
      <c r="K1822" t="s">
        <v>23</v>
      </c>
      <c r="L1822">
        <f t="shared" si="84"/>
        <v>2023</v>
      </c>
      <c r="M1822" t="str">
        <f t="shared" si="85"/>
        <v>Feb</v>
      </c>
      <c r="N1822" s="2">
        <f t="shared" si="86"/>
        <v>0.20924370753540025</v>
      </c>
    </row>
    <row r="1823" spans="1:14" x14ac:dyDescent="0.45">
      <c r="A1823" t="s">
        <v>3533</v>
      </c>
      <c r="B1823" s="1">
        <v>44787</v>
      </c>
      <c r="C1823" t="s">
        <v>3534</v>
      </c>
      <c r="D1823" t="s">
        <v>56</v>
      </c>
      <c r="E1823" t="s">
        <v>20</v>
      </c>
      <c r="F1823" t="s">
        <v>27</v>
      </c>
      <c r="G1823">
        <v>3</v>
      </c>
      <c r="H1823">
        <v>19142.009999999998</v>
      </c>
      <c r="I1823">
        <v>2446.6</v>
      </c>
      <c r="J1823" t="s">
        <v>71</v>
      </c>
      <c r="K1823" t="s">
        <v>23</v>
      </c>
      <c r="L1823">
        <f t="shared" si="84"/>
        <v>2022</v>
      </c>
      <c r="M1823" t="str">
        <f t="shared" si="85"/>
        <v>Aug</v>
      </c>
      <c r="N1823" s="2">
        <f t="shared" si="86"/>
        <v>0.12781311889399286</v>
      </c>
    </row>
    <row r="1824" spans="1:14" x14ac:dyDescent="0.45">
      <c r="A1824" t="s">
        <v>3535</v>
      </c>
      <c r="B1824" s="1">
        <v>44826</v>
      </c>
      <c r="C1824" t="s">
        <v>2896</v>
      </c>
      <c r="D1824" t="s">
        <v>13</v>
      </c>
      <c r="E1824" t="s">
        <v>14</v>
      </c>
      <c r="F1824" t="s">
        <v>32</v>
      </c>
      <c r="G1824">
        <v>3</v>
      </c>
      <c r="H1824">
        <v>28707.59</v>
      </c>
      <c r="I1824">
        <v>6829.3</v>
      </c>
      <c r="J1824" t="s">
        <v>16</v>
      </c>
      <c r="K1824" t="s">
        <v>23</v>
      </c>
      <c r="L1824">
        <f t="shared" si="84"/>
        <v>2022</v>
      </c>
      <c r="M1824" t="str">
        <f t="shared" si="85"/>
        <v>Sep</v>
      </c>
      <c r="N1824" s="2">
        <f t="shared" si="86"/>
        <v>0.23789179098628621</v>
      </c>
    </row>
    <row r="1825" spans="1:14" x14ac:dyDescent="0.45">
      <c r="A1825" t="s">
        <v>3536</v>
      </c>
      <c r="B1825" s="1">
        <v>45620</v>
      </c>
      <c r="C1825" t="s">
        <v>3537</v>
      </c>
      <c r="D1825" t="s">
        <v>56</v>
      </c>
      <c r="E1825" t="s">
        <v>20</v>
      </c>
      <c r="F1825" t="s">
        <v>50</v>
      </c>
      <c r="G1825">
        <v>4</v>
      </c>
      <c r="H1825">
        <v>18710.66</v>
      </c>
      <c r="I1825">
        <v>1825.71</v>
      </c>
      <c r="J1825" t="s">
        <v>16</v>
      </c>
      <c r="K1825" t="s">
        <v>33</v>
      </c>
      <c r="L1825">
        <f t="shared" si="84"/>
        <v>2024</v>
      </c>
      <c r="M1825" t="str">
        <f t="shared" si="85"/>
        <v>Nov</v>
      </c>
      <c r="N1825" s="2">
        <f t="shared" si="86"/>
        <v>9.7575927305610821E-2</v>
      </c>
    </row>
    <row r="1826" spans="1:14" x14ac:dyDescent="0.45">
      <c r="A1826" t="s">
        <v>3538</v>
      </c>
      <c r="B1826" s="1">
        <v>45347</v>
      </c>
      <c r="C1826" t="s">
        <v>650</v>
      </c>
      <c r="D1826" t="s">
        <v>56</v>
      </c>
      <c r="E1826" t="s">
        <v>36</v>
      </c>
      <c r="F1826" t="s">
        <v>37</v>
      </c>
      <c r="G1826">
        <v>1</v>
      </c>
      <c r="H1826">
        <v>33187.32</v>
      </c>
      <c r="I1826">
        <v>3135.76</v>
      </c>
      <c r="J1826" t="s">
        <v>16</v>
      </c>
      <c r="K1826" t="s">
        <v>33</v>
      </c>
      <c r="L1826">
        <f t="shared" si="84"/>
        <v>2024</v>
      </c>
      <c r="M1826" t="str">
        <f t="shared" si="85"/>
        <v>Feb</v>
      </c>
      <c r="N1826" s="2">
        <f t="shared" si="86"/>
        <v>9.4486689494662421E-2</v>
      </c>
    </row>
    <row r="1827" spans="1:14" x14ac:dyDescent="0.45">
      <c r="A1827" t="s">
        <v>3539</v>
      </c>
      <c r="B1827" s="1">
        <v>44633</v>
      </c>
      <c r="C1827" t="s">
        <v>3540</v>
      </c>
      <c r="D1827" t="s">
        <v>56</v>
      </c>
      <c r="E1827" t="s">
        <v>14</v>
      </c>
      <c r="F1827" t="s">
        <v>40</v>
      </c>
      <c r="G1827">
        <v>5</v>
      </c>
      <c r="H1827">
        <v>47854.6</v>
      </c>
      <c r="I1827">
        <v>9834.17</v>
      </c>
      <c r="J1827" t="s">
        <v>71</v>
      </c>
      <c r="K1827" t="s">
        <v>29</v>
      </c>
      <c r="L1827">
        <f t="shared" si="84"/>
        <v>2022</v>
      </c>
      <c r="M1827" t="str">
        <f t="shared" si="85"/>
        <v>Mar</v>
      </c>
      <c r="N1827" s="2">
        <f t="shared" si="86"/>
        <v>0.20550103856264601</v>
      </c>
    </row>
    <row r="1828" spans="1:14" x14ac:dyDescent="0.45">
      <c r="A1828" t="s">
        <v>3541</v>
      </c>
      <c r="B1828" s="1">
        <v>45346</v>
      </c>
      <c r="C1828" t="s">
        <v>3542</v>
      </c>
      <c r="D1828" t="s">
        <v>26</v>
      </c>
      <c r="E1828" t="s">
        <v>36</v>
      </c>
      <c r="F1828" t="s">
        <v>64</v>
      </c>
      <c r="G1828">
        <v>2</v>
      </c>
      <c r="H1828">
        <v>5411.33</v>
      </c>
      <c r="I1828">
        <v>921.03</v>
      </c>
      <c r="J1828" t="s">
        <v>16</v>
      </c>
      <c r="K1828" t="s">
        <v>29</v>
      </c>
      <c r="L1828">
        <f t="shared" si="84"/>
        <v>2024</v>
      </c>
      <c r="M1828" t="str">
        <f t="shared" si="85"/>
        <v>Feb</v>
      </c>
      <c r="N1828" s="2">
        <f t="shared" si="86"/>
        <v>0.17020399790809282</v>
      </c>
    </row>
    <row r="1829" spans="1:14" x14ac:dyDescent="0.45">
      <c r="A1829" t="s">
        <v>3543</v>
      </c>
      <c r="B1829" s="1">
        <v>45405</v>
      </c>
      <c r="C1829" t="s">
        <v>3544</v>
      </c>
      <c r="D1829" t="s">
        <v>56</v>
      </c>
      <c r="E1829" t="s">
        <v>14</v>
      </c>
      <c r="F1829" t="s">
        <v>57</v>
      </c>
      <c r="G1829">
        <v>4</v>
      </c>
      <c r="H1829">
        <v>16705.77</v>
      </c>
      <c r="I1829">
        <v>1642.99</v>
      </c>
      <c r="J1829" t="s">
        <v>28</v>
      </c>
      <c r="K1829" t="s">
        <v>17</v>
      </c>
      <c r="L1829">
        <f t="shared" si="84"/>
        <v>2024</v>
      </c>
      <c r="M1829" t="str">
        <f t="shared" si="85"/>
        <v>Apr</v>
      </c>
      <c r="N1829" s="2">
        <f t="shared" si="86"/>
        <v>9.8348654387077045E-2</v>
      </c>
    </row>
    <row r="1830" spans="1:14" x14ac:dyDescent="0.45">
      <c r="A1830" t="s">
        <v>3545</v>
      </c>
      <c r="B1830" s="1">
        <v>45323</v>
      </c>
      <c r="C1830" t="s">
        <v>3546</v>
      </c>
      <c r="D1830" t="s">
        <v>13</v>
      </c>
      <c r="E1830" t="s">
        <v>36</v>
      </c>
      <c r="F1830" t="s">
        <v>46</v>
      </c>
      <c r="G1830">
        <v>1</v>
      </c>
      <c r="H1830">
        <v>546.42999999999995</v>
      </c>
      <c r="I1830">
        <v>62.5</v>
      </c>
      <c r="J1830" t="s">
        <v>16</v>
      </c>
      <c r="K1830" t="s">
        <v>33</v>
      </c>
      <c r="L1830">
        <f t="shared" si="84"/>
        <v>2024</v>
      </c>
      <c r="M1830" t="str">
        <f t="shared" si="85"/>
        <v>Feb</v>
      </c>
      <c r="N1830" s="2">
        <f t="shared" si="86"/>
        <v>0.11437878593781456</v>
      </c>
    </row>
    <row r="1831" spans="1:14" x14ac:dyDescent="0.45">
      <c r="A1831" t="s">
        <v>3547</v>
      </c>
      <c r="B1831" s="1">
        <v>45015</v>
      </c>
      <c r="C1831" t="s">
        <v>3548</v>
      </c>
      <c r="D1831" t="s">
        <v>56</v>
      </c>
      <c r="E1831" t="s">
        <v>14</v>
      </c>
      <c r="F1831" t="s">
        <v>15</v>
      </c>
      <c r="G1831">
        <v>1</v>
      </c>
      <c r="H1831">
        <v>22881.42</v>
      </c>
      <c r="I1831">
        <v>4116.3100000000004</v>
      </c>
      <c r="J1831" t="s">
        <v>28</v>
      </c>
      <c r="K1831" t="s">
        <v>17</v>
      </c>
      <c r="L1831">
        <f t="shared" si="84"/>
        <v>2023</v>
      </c>
      <c r="M1831" t="str">
        <f t="shared" si="85"/>
        <v>Mar</v>
      </c>
      <c r="N1831" s="2">
        <f t="shared" si="86"/>
        <v>0.17989748887962376</v>
      </c>
    </row>
    <row r="1832" spans="1:14" x14ac:dyDescent="0.45">
      <c r="A1832" t="s">
        <v>3549</v>
      </c>
      <c r="B1832" s="1">
        <v>45177</v>
      </c>
      <c r="C1832" t="s">
        <v>3550</v>
      </c>
      <c r="D1832" t="s">
        <v>13</v>
      </c>
      <c r="E1832" t="s">
        <v>20</v>
      </c>
      <c r="F1832" t="s">
        <v>27</v>
      </c>
      <c r="G1832">
        <v>3</v>
      </c>
      <c r="H1832">
        <v>32113.99</v>
      </c>
      <c r="I1832">
        <v>5699.32</v>
      </c>
      <c r="J1832" t="s">
        <v>22</v>
      </c>
      <c r="K1832" t="s">
        <v>33</v>
      </c>
      <c r="L1832">
        <f t="shared" si="84"/>
        <v>2023</v>
      </c>
      <c r="M1832" t="str">
        <f t="shared" si="85"/>
        <v>Sep</v>
      </c>
      <c r="N1832" s="2">
        <f t="shared" si="86"/>
        <v>0.17747156301661673</v>
      </c>
    </row>
    <row r="1833" spans="1:14" x14ac:dyDescent="0.45">
      <c r="A1833" t="s">
        <v>3551</v>
      </c>
      <c r="B1833" s="1">
        <v>44572</v>
      </c>
      <c r="C1833" t="s">
        <v>3552</v>
      </c>
      <c r="D1833" t="s">
        <v>56</v>
      </c>
      <c r="E1833" t="s">
        <v>36</v>
      </c>
      <c r="F1833" t="s">
        <v>46</v>
      </c>
      <c r="G1833">
        <v>4</v>
      </c>
      <c r="H1833">
        <v>42118.31</v>
      </c>
      <c r="I1833">
        <v>4206.49</v>
      </c>
      <c r="J1833" t="s">
        <v>28</v>
      </c>
      <c r="K1833" t="s">
        <v>29</v>
      </c>
      <c r="L1833">
        <f t="shared" si="84"/>
        <v>2022</v>
      </c>
      <c r="M1833" t="str">
        <f t="shared" si="85"/>
        <v>Jan</v>
      </c>
      <c r="N1833" s="2">
        <f t="shared" si="86"/>
        <v>9.9873190543495222E-2</v>
      </c>
    </row>
    <row r="1834" spans="1:14" x14ac:dyDescent="0.45">
      <c r="A1834" t="s">
        <v>3553</v>
      </c>
      <c r="B1834" s="1">
        <v>45005</v>
      </c>
      <c r="C1834" t="s">
        <v>3554</v>
      </c>
      <c r="D1834" t="s">
        <v>26</v>
      </c>
      <c r="E1834" t="s">
        <v>20</v>
      </c>
      <c r="F1834" t="s">
        <v>43</v>
      </c>
      <c r="G1834">
        <v>2</v>
      </c>
      <c r="H1834">
        <v>49947.94</v>
      </c>
      <c r="I1834">
        <v>10346</v>
      </c>
      <c r="J1834" t="s">
        <v>47</v>
      </c>
      <c r="K1834" t="s">
        <v>33</v>
      </c>
      <c r="L1834">
        <f t="shared" si="84"/>
        <v>2023</v>
      </c>
      <c r="M1834" t="str">
        <f t="shared" si="85"/>
        <v>Mar</v>
      </c>
      <c r="N1834" s="2">
        <f t="shared" si="86"/>
        <v>0.20713566965924921</v>
      </c>
    </row>
    <row r="1835" spans="1:14" x14ac:dyDescent="0.45">
      <c r="A1835" t="s">
        <v>3555</v>
      </c>
      <c r="B1835" s="1">
        <v>44616</v>
      </c>
      <c r="C1835" t="s">
        <v>2576</v>
      </c>
      <c r="D1835" t="s">
        <v>13</v>
      </c>
      <c r="E1835" t="s">
        <v>14</v>
      </c>
      <c r="F1835" t="s">
        <v>15</v>
      </c>
      <c r="G1835">
        <v>5</v>
      </c>
      <c r="H1835">
        <v>1694.93</v>
      </c>
      <c r="I1835">
        <v>331.1</v>
      </c>
      <c r="J1835" t="s">
        <v>71</v>
      </c>
      <c r="K1835" t="s">
        <v>23</v>
      </c>
      <c r="L1835">
        <f t="shared" si="84"/>
        <v>2022</v>
      </c>
      <c r="M1835" t="str">
        <f t="shared" si="85"/>
        <v>Feb</v>
      </c>
      <c r="N1835" s="2">
        <f t="shared" si="86"/>
        <v>0.19534730047848584</v>
      </c>
    </row>
    <row r="1836" spans="1:14" x14ac:dyDescent="0.45">
      <c r="A1836" t="s">
        <v>3556</v>
      </c>
      <c r="B1836" s="1">
        <v>44704</v>
      </c>
      <c r="C1836" t="s">
        <v>3557</v>
      </c>
      <c r="D1836" t="s">
        <v>13</v>
      </c>
      <c r="E1836" t="s">
        <v>14</v>
      </c>
      <c r="F1836" t="s">
        <v>32</v>
      </c>
      <c r="G1836">
        <v>2</v>
      </c>
      <c r="H1836">
        <v>5129.7</v>
      </c>
      <c r="I1836">
        <v>345.72</v>
      </c>
      <c r="J1836" t="s">
        <v>28</v>
      </c>
      <c r="K1836" t="s">
        <v>33</v>
      </c>
      <c r="L1836">
        <f t="shared" si="84"/>
        <v>2022</v>
      </c>
      <c r="M1836" t="str">
        <f t="shared" si="85"/>
        <v>May</v>
      </c>
      <c r="N1836" s="2">
        <f t="shared" si="86"/>
        <v>6.7395754137668878E-2</v>
      </c>
    </row>
    <row r="1837" spans="1:14" x14ac:dyDescent="0.45">
      <c r="A1837" t="s">
        <v>3558</v>
      </c>
      <c r="B1837" s="1">
        <v>45343</v>
      </c>
      <c r="C1837" t="s">
        <v>3559</v>
      </c>
      <c r="D1837" t="s">
        <v>56</v>
      </c>
      <c r="E1837" t="s">
        <v>36</v>
      </c>
      <c r="F1837" t="s">
        <v>37</v>
      </c>
      <c r="G1837">
        <v>1</v>
      </c>
      <c r="H1837">
        <v>22219.91</v>
      </c>
      <c r="I1837">
        <v>2781.27</v>
      </c>
      <c r="J1837" t="s">
        <v>71</v>
      </c>
      <c r="K1837" t="s">
        <v>23</v>
      </c>
      <c r="L1837">
        <f t="shared" si="84"/>
        <v>2024</v>
      </c>
      <c r="M1837" t="str">
        <f t="shared" si="85"/>
        <v>Feb</v>
      </c>
      <c r="N1837" s="2">
        <f t="shared" si="86"/>
        <v>0.12517017395660018</v>
      </c>
    </row>
    <row r="1838" spans="1:14" x14ac:dyDescent="0.45">
      <c r="A1838" t="s">
        <v>3560</v>
      </c>
      <c r="B1838" s="1">
        <v>45550</v>
      </c>
      <c r="C1838" t="s">
        <v>3561</v>
      </c>
      <c r="D1838" t="s">
        <v>26</v>
      </c>
      <c r="E1838" t="s">
        <v>36</v>
      </c>
      <c r="F1838" t="s">
        <v>64</v>
      </c>
      <c r="G1838">
        <v>2</v>
      </c>
      <c r="H1838">
        <v>10583.84</v>
      </c>
      <c r="I1838">
        <v>1845.83</v>
      </c>
      <c r="J1838" t="s">
        <v>22</v>
      </c>
      <c r="K1838" t="s">
        <v>17</v>
      </c>
      <c r="L1838">
        <f t="shared" si="84"/>
        <v>2024</v>
      </c>
      <c r="M1838" t="str">
        <f t="shared" si="85"/>
        <v>Sep</v>
      </c>
      <c r="N1838" s="2">
        <f t="shared" si="86"/>
        <v>0.17440078459235966</v>
      </c>
    </row>
    <row r="1839" spans="1:14" x14ac:dyDescent="0.45">
      <c r="A1839" t="s">
        <v>3562</v>
      </c>
      <c r="B1839" s="1">
        <v>45367</v>
      </c>
      <c r="C1839" t="s">
        <v>3563</v>
      </c>
      <c r="D1839" t="s">
        <v>26</v>
      </c>
      <c r="E1839" t="s">
        <v>20</v>
      </c>
      <c r="F1839" t="s">
        <v>27</v>
      </c>
      <c r="G1839">
        <v>5</v>
      </c>
      <c r="H1839">
        <v>29505.78</v>
      </c>
      <c r="I1839">
        <v>6659.8</v>
      </c>
      <c r="J1839" t="s">
        <v>22</v>
      </c>
      <c r="K1839" t="s">
        <v>29</v>
      </c>
      <c r="L1839">
        <f t="shared" si="84"/>
        <v>2024</v>
      </c>
      <c r="M1839" t="str">
        <f t="shared" si="85"/>
        <v>Mar</v>
      </c>
      <c r="N1839" s="2">
        <f t="shared" si="86"/>
        <v>0.22571170801110835</v>
      </c>
    </row>
    <row r="1840" spans="1:14" x14ac:dyDescent="0.45">
      <c r="A1840" t="s">
        <v>3564</v>
      </c>
      <c r="B1840" s="1">
        <v>44844</v>
      </c>
      <c r="C1840" t="s">
        <v>1774</v>
      </c>
      <c r="D1840" t="s">
        <v>56</v>
      </c>
      <c r="E1840" t="s">
        <v>36</v>
      </c>
      <c r="F1840" t="s">
        <v>53</v>
      </c>
      <c r="G1840">
        <v>4</v>
      </c>
      <c r="H1840">
        <v>18826.560000000001</v>
      </c>
      <c r="I1840">
        <v>3965.73</v>
      </c>
      <c r="J1840" t="s">
        <v>16</v>
      </c>
      <c r="K1840" t="s">
        <v>33</v>
      </c>
      <c r="L1840">
        <f t="shared" si="84"/>
        <v>2022</v>
      </c>
      <c r="M1840" t="str">
        <f t="shared" si="85"/>
        <v>Oct</v>
      </c>
      <c r="N1840" s="2">
        <f t="shared" si="86"/>
        <v>0.21064549232573554</v>
      </c>
    </row>
    <row r="1841" spans="1:14" x14ac:dyDescent="0.45">
      <c r="A1841" t="s">
        <v>3565</v>
      </c>
      <c r="B1841" s="1">
        <v>44594</v>
      </c>
      <c r="C1841" t="s">
        <v>3566</v>
      </c>
      <c r="D1841" t="s">
        <v>56</v>
      </c>
      <c r="E1841" t="s">
        <v>36</v>
      </c>
      <c r="F1841" t="s">
        <v>46</v>
      </c>
      <c r="G1841">
        <v>2</v>
      </c>
      <c r="H1841">
        <v>34573.980000000003</v>
      </c>
      <c r="I1841">
        <v>7105.84</v>
      </c>
      <c r="J1841" t="s">
        <v>28</v>
      </c>
      <c r="K1841" t="s">
        <v>23</v>
      </c>
      <c r="L1841">
        <f t="shared" si="84"/>
        <v>2022</v>
      </c>
      <c r="M1841" t="str">
        <f t="shared" si="85"/>
        <v>Feb</v>
      </c>
      <c r="N1841" s="2">
        <f t="shared" si="86"/>
        <v>0.20552565831298564</v>
      </c>
    </row>
    <row r="1842" spans="1:14" x14ac:dyDescent="0.45">
      <c r="A1842" t="s">
        <v>3567</v>
      </c>
      <c r="B1842" s="1">
        <v>45340</v>
      </c>
      <c r="C1842" t="s">
        <v>3568</v>
      </c>
      <c r="D1842" t="s">
        <v>56</v>
      </c>
      <c r="E1842" t="s">
        <v>14</v>
      </c>
      <c r="F1842" t="s">
        <v>40</v>
      </c>
      <c r="G1842">
        <v>3</v>
      </c>
      <c r="H1842">
        <v>28380</v>
      </c>
      <c r="I1842">
        <v>6400.29</v>
      </c>
      <c r="J1842" t="s">
        <v>16</v>
      </c>
      <c r="K1842" t="s">
        <v>29</v>
      </c>
      <c r="L1842">
        <f t="shared" si="84"/>
        <v>2024</v>
      </c>
      <c r="M1842" t="str">
        <f t="shared" si="85"/>
        <v>Feb</v>
      </c>
      <c r="N1842" s="2">
        <f t="shared" si="86"/>
        <v>0.22552114164904863</v>
      </c>
    </row>
    <row r="1843" spans="1:14" x14ac:dyDescent="0.45">
      <c r="A1843" t="s">
        <v>3569</v>
      </c>
      <c r="B1843" s="1">
        <v>45275</v>
      </c>
      <c r="C1843" t="s">
        <v>3570</v>
      </c>
      <c r="D1843" t="s">
        <v>26</v>
      </c>
      <c r="E1843" t="s">
        <v>36</v>
      </c>
      <c r="F1843" t="s">
        <v>37</v>
      </c>
      <c r="G1843">
        <v>1</v>
      </c>
      <c r="H1843">
        <v>39369.39</v>
      </c>
      <c r="I1843">
        <v>6039.12</v>
      </c>
      <c r="J1843" t="s">
        <v>71</v>
      </c>
      <c r="K1843" t="s">
        <v>23</v>
      </c>
      <c r="L1843">
        <f t="shared" si="84"/>
        <v>2023</v>
      </c>
      <c r="M1843" t="str">
        <f t="shared" si="85"/>
        <v>Dec</v>
      </c>
      <c r="N1843" s="2">
        <f t="shared" si="86"/>
        <v>0.15339633151542353</v>
      </c>
    </row>
    <row r="1844" spans="1:14" x14ac:dyDescent="0.45">
      <c r="A1844" t="s">
        <v>3571</v>
      </c>
      <c r="B1844" s="1">
        <v>44653</v>
      </c>
      <c r="C1844" t="s">
        <v>3572</v>
      </c>
      <c r="D1844" t="s">
        <v>56</v>
      </c>
      <c r="E1844" t="s">
        <v>20</v>
      </c>
      <c r="F1844" t="s">
        <v>27</v>
      </c>
      <c r="G1844">
        <v>2</v>
      </c>
      <c r="H1844">
        <v>10672.87</v>
      </c>
      <c r="I1844">
        <v>861.97</v>
      </c>
      <c r="J1844" t="s">
        <v>22</v>
      </c>
      <c r="K1844" t="s">
        <v>23</v>
      </c>
      <c r="L1844">
        <f t="shared" si="84"/>
        <v>2022</v>
      </c>
      <c r="M1844" t="str">
        <f t="shared" si="85"/>
        <v>Apr</v>
      </c>
      <c r="N1844" s="2">
        <f t="shared" si="86"/>
        <v>8.0762718931271529E-2</v>
      </c>
    </row>
    <row r="1845" spans="1:14" x14ac:dyDescent="0.45">
      <c r="A1845" t="s">
        <v>3573</v>
      </c>
      <c r="B1845" s="1">
        <v>45234</v>
      </c>
      <c r="C1845" t="s">
        <v>3574</v>
      </c>
      <c r="D1845" t="s">
        <v>13</v>
      </c>
      <c r="E1845" t="s">
        <v>36</v>
      </c>
      <c r="F1845" t="s">
        <v>46</v>
      </c>
      <c r="G1845">
        <v>3</v>
      </c>
      <c r="H1845">
        <v>4122.71</v>
      </c>
      <c r="I1845">
        <v>894.02</v>
      </c>
      <c r="J1845" t="s">
        <v>47</v>
      </c>
      <c r="K1845" t="s">
        <v>17</v>
      </c>
      <c r="L1845">
        <f t="shared" si="84"/>
        <v>2023</v>
      </c>
      <c r="M1845" t="str">
        <f t="shared" si="85"/>
        <v>Nov</v>
      </c>
      <c r="N1845" s="2">
        <f t="shared" si="86"/>
        <v>0.21685250721006327</v>
      </c>
    </row>
    <row r="1846" spans="1:14" x14ac:dyDescent="0.45">
      <c r="A1846" t="s">
        <v>3575</v>
      </c>
      <c r="B1846" s="1">
        <v>45447</v>
      </c>
      <c r="C1846" t="s">
        <v>3576</v>
      </c>
      <c r="D1846" t="s">
        <v>26</v>
      </c>
      <c r="E1846" t="s">
        <v>14</v>
      </c>
      <c r="F1846" t="s">
        <v>15</v>
      </c>
      <c r="G1846">
        <v>2</v>
      </c>
      <c r="H1846">
        <v>47897.23</v>
      </c>
      <c r="I1846">
        <v>6872.1</v>
      </c>
      <c r="J1846" t="s">
        <v>22</v>
      </c>
      <c r="K1846" t="s">
        <v>17</v>
      </c>
      <c r="L1846">
        <f t="shared" si="84"/>
        <v>2024</v>
      </c>
      <c r="M1846" t="str">
        <f t="shared" si="85"/>
        <v>Jun</v>
      </c>
      <c r="N1846" s="2">
        <f t="shared" si="86"/>
        <v>0.14347593796133931</v>
      </c>
    </row>
    <row r="1847" spans="1:14" x14ac:dyDescent="0.45">
      <c r="A1847" t="s">
        <v>3577</v>
      </c>
      <c r="B1847" s="1">
        <v>45184</v>
      </c>
      <c r="C1847" t="s">
        <v>3578</v>
      </c>
      <c r="D1847" t="s">
        <v>56</v>
      </c>
      <c r="E1847" t="s">
        <v>14</v>
      </c>
      <c r="F1847" t="s">
        <v>57</v>
      </c>
      <c r="G1847">
        <v>3</v>
      </c>
      <c r="H1847">
        <v>44996.97</v>
      </c>
      <c r="I1847">
        <v>4482.5200000000004</v>
      </c>
      <c r="J1847" t="s">
        <v>22</v>
      </c>
      <c r="K1847" t="s">
        <v>33</v>
      </c>
      <c r="L1847">
        <f t="shared" si="84"/>
        <v>2023</v>
      </c>
      <c r="M1847" t="str">
        <f t="shared" si="85"/>
        <v>Sep</v>
      </c>
      <c r="N1847" s="2">
        <f t="shared" si="86"/>
        <v>9.9618263185276709E-2</v>
      </c>
    </row>
    <row r="1848" spans="1:14" x14ac:dyDescent="0.45">
      <c r="A1848" t="s">
        <v>3579</v>
      </c>
      <c r="B1848" s="1">
        <v>44938</v>
      </c>
      <c r="C1848" t="s">
        <v>3580</v>
      </c>
      <c r="D1848" t="s">
        <v>56</v>
      </c>
      <c r="E1848" t="s">
        <v>36</v>
      </c>
      <c r="F1848" t="s">
        <v>37</v>
      </c>
      <c r="G1848">
        <v>4</v>
      </c>
      <c r="H1848">
        <v>10129.64</v>
      </c>
      <c r="I1848">
        <v>541.22</v>
      </c>
      <c r="J1848" t="s">
        <v>71</v>
      </c>
      <c r="K1848" t="s">
        <v>33</v>
      </c>
      <c r="L1848">
        <f t="shared" si="84"/>
        <v>2023</v>
      </c>
      <c r="M1848" t="str">
        <f t="shared" si="85"/>
        <v>Jan</v>
      </c>
      <c r="N1848" s="2">
        <f t="shared" si="86"/>
        <v>5.3429342010180035E-2</v>
      </c>
    </row>
    <row r="1849" spans="1:14" x14ac:dyDescent="0.45">
      <c r="A1849" t="s">
        <v>3581</v>
      </c>
      <c r="B1849" s="1">
        <v>45352</v>
      </c>
      <c r="C1849" t="s">
        <v>3582</v>
      </c>
      <c r="D1849" t="s">
        <v>26</v>
      </c>
      <c r="E1849" t="s">
        <v>14</v>
      </c>
      <c r="F1849" t="s">
        <v>57</v>
      </c>
      <c r="G1849">
        <v>5</v>
      </c>
      <c r="H1849">
        <v>49490.47</v>
      </c>
      <c r="I1849">
        <v>3781.86</v>
      </c>
      <c r="J1849" t="s">
        <v>22</v>
      </c>
      <c r="K1849" t="s">
        <v>33</v>
      </c>
      <c r="L1849">
        <f t="shared" si="84"/>
        <v>2024</v>
      </c>
      <c r="M1849" t="str">
        <f t="shared" si="85"/>
        <v>Mar</v>
      </c>
      <c r="N1849" s="2">
        <f t="shared" si="86"/>
        <v>7.6415924116299563E-2</v>
      </c>
    </row>
    <row r="1850" spans="1:14" x14ac:dyDescent="0.45">
      <c r="A1850" t="s">
        <v>3583</v>
      </c>
      <c r="B1850" s="1">
        <v>45372</v>
      </c>
      <c r="C1850" t="s">
        <v>3584</v>
      </c>
      <c r="D1850" t="s">
        <v>56</v>
      </c>
      <c r="E1850" t="s">
        <v>20</v>
      </c>
      <c r="F1850" t="s">
        <v>50</v>
      </c>
      <c r="G1850">
        <v>2</v>
      </c>
      <c r="H1850">
        <v>2020.49</v>
      </c>
      <c r="I1850">
        <v>449.92</v>
      </c>
      <c r="J1850" t="s">
        <v>47</v>
      </c>
      <c r="K1850" t="s">
        <v>17</v>
      </c>
      <c r="L1850">
        <f t="shared" si="84"/>
        <v>2024</v>
      </c>
      <c r="M1850" t="str">
        <f t="shared" si="85"/>
        <v>Mar</v>
      </c>
      <c r="N1850" s="2">
        <f t="shared" si="86"/>
        <v>0.22267865715742222</v>
      </c>
    </row>
    <row r="1851" spans="1:14" x14ac:dyDescent="0.45">
      <c r="A1851" t="s">
        <v>3585</v>
      </c>
      <c r="B1851" s="1">
        <v>44715</v>
      </c>
      <c r="C1851" t="s">
        <v>3586</v>
      </c>
      <c r="D1851" t="s">
        <v>13</v>
      </c>
      <c r="E1851" t="s">
        <v>20</v>
      </c>
      <c r="F1851" t="s">
        <v>43</v>
      </c>
      <c r="G1851">
        <v>1</v>
      </c>
      <c r="H1851">
        <v>27697.7</v>
      </c>
      <c r="I1851">
        <v>4981.03</v>
      </c>
      <c r="J1851" t="s">
        <v>28</v>
      </c>
      <c r="K1851" t="s">
        <v>23</v>
      </c>
      <c r="L1851">
        <f t="shared" si="84"/>
        <v>2022</v>
      </c>
      <c r="M1851" t="str">
        <f t="shared" si="85"/>
        <v>Jun</v>
      </c>
      <c r="N1851" s="2">
        <f t="shared" si="86"/>
        <v>0.17983550980767354</v>
      </c>
    </row>
    <row r="1852" spans="1:14" x14ac:dyDescent="0.45">
      <c r="A1852" t="s">
        <v>3587</v>
      </c>
      <c r="B1852" s="1">
        <v>45487</v>
      </c>
      <c r="C1852" t="s">
        <v>321</v>
      </c>
      <c r="D1852" t="s">
        <v>26</v>
      </c>
      <c r="E1852" t="s">
        <v>14</v>
      </c>
      <c r="F1852" t="s">
        <v>32</v>
      </c>
      <c r="G1852">
        <v>1</v>
      </c>
      <c r="H1852">
        <v>41146.370000000003</v>
      </c>
      <c r="I1852">
        <v>5256.48</v>
      </c>
      <c r="J1852" t="s">
        <v>28</v>
      </c>
      <c r="K1852" t="s">
        <v>29</v>
      </c>
      <c r="L1852">
        <f t="shared" si="84"/>
        <v>2024</v>
      </c>
      <c r="M1852" t="str">
        <f t="shared" si="85"/>
        <v>Jul</v>
      </c>
      <c r="N1852" s="2">
        <f t="shared" si="86"/>
        <v>0.12775075905845398</v>
      </c>
    </row>
    <row r="1853" spans="1:14" x14ac:dyDescent="0.45">
      <c r="A1853" t="s">
        <v>3588</v>
      </c>
      <c r="B1853" s="1">
        <v>44850</v>
      </c>
      <c r="C1853" t="s">
        <v>3589</v>
      </c>
      <c r="D1853" t="s">
        <v>13</v>
      </c>
      <c r="E1853" t="s">
        <v>36</v>
      </c>
      <c r="F1853" t="s">
        <v>53</v>
      </c>
      <c r="G1853">
        <v>5</v>
      </c>
      <c r="H1853">
        <v>9956.6</v>
      </c>
      <c r="I1853">
        <v>1986.43</v>
      </c>
      <c r="J1853" t="s">
        <v>22</v>
      </c>
      <c r="K1853" t="s">
        <v>29</v>
      </c>
      <c r="L1853">
        <f t="shared" si="84"/>
        <v>2022</v>
      </c>
      <c r="M1853" t="str">
        <f t="shared" si="85"/>
        <v>Oct</v>
      </c>
      <c r="N1853" s="2">
        <f t="shared" si="86"/>
        <v>0.19950886848924332</v>
      </c>
    </row>
    <row r="1854" spans="1:14" x14ac:dyDescent="0.45">
      <c r="A1854" t="s">
        <v>3590</v>
      </c>
      <c r="B1854" s="1">
        <v>45611</v>
      </c>
      <c r="C1854" t="s">
        <v>3591</v>
      </c>
      <c r="D1854" t="s">
        <v>26</v>
      </c>
      <c r="E1854" t="s">
        <v>36</v>
      </c>
      <c r="F1854" t="s">
        <v>64</v>
      </c>
      <c r="G1854">
        <v>2</v>
      </c>
      <c r="H1854">
        <v>16611.830000000002</v>
      </c>
      <c r="I1854">
        <v>2870.66</v>
      </c>
      <c r="J1854" t="s">
        <v>16</v>
      </c>
      <c r="K1854" t="s">
        <v>33</v>
      </c>
      <c r="L1854">
        <f t="shared" si="84"/>
        <v>2024</v>
      </c>
      <c r="M1854" t="str">
        <f t="shared" si="85"/>
        <v>Nov</v>
      </c>
      <c r="N1854" s="2">
        <f t="shared" si="86"/>
        <v>0.17280817345229271</v>
      </c>
    </row>
    <row r="1855" spans="1:14" x14ac:dyDescent="0.45">
      <c r="A1855" t="s">
        <v>3592</v>
      </c>
      <c r="B1855" s="1">
        <v>45103</v>
      </c>
      <c r="C1855" t="s">
        <v>3593</v>
      </c>
      <c r="D1855" t="s">
        <v>13</v>
      </c>
      <c r="E1855" t="s">
        <v>14</v>
      </c>
      <c r="F1855" t="s">
        <v>40</v>
      </c>
      <c r="G1855">
        <v>1</v>
      </c>
      <c r="H1855">
        <v>37706.92</v>
      </c>
      <c r="I1855">
        <v>4764.18</v>
      </c>
      <c r="J1855" t="s">
        <v>28</v>
      </c>
      <c r="K1855" t="s">
        <v>17</v>
      </c>
      <c r="L1855">
        <f t="shared" si="84"/>
        <v>2023</v>
      </c>
      <c r="M1855" t="str">
        <f t="shared" si="85"/>
        <v>Jun</v>
      </c>
      <c r="N1855" s="2">
        <f t="shared" si="86"/>
        <v>0.12634763062058638</v>
      </c>
    </row>
    <row r="1856" spans="1:14" x14ac:dyDescent="0.45">
      <c r="A1856" t="s">
        <v>3594</v>
      </c>
      <c r="B1856" s="1">
        <v>45311</v>
      </c>
      <c r="C1856" t="s">
        <v>3595</v>
      </c>
      <c r="D1856" t="s">
        <v>13</v>
      </c>
      <c r="E1856" t="s">
        <v>36</v>
      </c>
      <c r="F1856" t="s">
        <v>53</v>
      </c>
      <c r="G1856">
        <v>4</v>
      </c>
      <c r="H1856">
        <v>45683.49</v>
      </c>
      <c r="I1856">
        <v>6422.22</v>
      </c>
      <c r="J1856" t="s">
        <v>47</v>
      </c>
      <c r="K1856" t="s">
        <v>29</v>
      </c>
      <c r="L1856">
        <f t="shared" si="84"/>
        <v>2024</v>
      </c>
      <c r="M1856" t="str">
        <f t="shared" si="85"/>
        <v>Jan</v>
      </c>
      <c r="N1856" s="2">
        <f t="shared" si="86"/>
        <v>0.14058076561138391</v>
      </c>
    </row>
    <row r="1857" spans="1:14" x14ac:dyDescent="0.45">
      <c r="A1857" t="s">
        <v>3596</v>
      </c>
      <c r="B1857" s="1">
        <v>45467</v>
      </c>
      <c r="C1857" t="s">
        <v>1908</v>
      </c>
      <c r="D1857" t="s">
        <v>26</v>
      </c>
      <c r="E1857" t="s">
        <v>36</v>
      </c>
      <c r="F1857" t="s">
        <v>46</v>
      </c>
      <c r="G1857">
        <v>3</v>
      </c>
      <c r="H1857">
        <v>9533.4</v>
      </c>
      <c r="I1857">
        <v>1240.95</v>
      </c>
      <c r="J1857" t="s">
        <v>28</v>
      </c>
      <c r="K1857" t="s">
        <v>17</v>
      </c>
      <c r="L1857">
        <f t="shared" si="84"/>
        <v>2024</v>
      </c>
      <c r="M1857" t="str">
        <f t="shared" si="85"/>
        <v>Jun</v>
      </c>
      <c r="N1857" s="2">
        <f t="shared" si="86"/>
        <v>0.13016867014915981</v>
      </c>
    </row>
    <row r="1858" spans="1:14" x14ac:dyDescent="0.45">
      <c r="A1858" t="s">
        <v>3597</v>
      </c>
      <c r="B1858" s="1">
        <v>45332</v>
      </c>
      <c r="C1858" t="s">
        <v>3598</v>
      </c>
      <c r="D1858" t="s">
        <v>26</v>
      </c>
      <c r="E1858" t="s">
        <v>36</v>
      </c>
      <c r="F1858" t="s">
        <v>53</v>
      </c>
      <c r="G1858">
        <v>3</v>
      </c>
      <c r="H1858">
        <v>14384.81</v>
      </c>
      <c r="I1858">
        <v>1835.18</v>
      </c>
      <c r="J1858" t="s">
        <v>22</v>
      </c>
      <c r="K1858" t="s">
        <v>29</v>
      </c>
      <c r="L1858">
        <f t="shared" si="84"/>
        <v>2024</v>
      </c>
      <c r="M1858" t="str">
        <f t="shared" si="85"/>
        <v>Feb</v>
      </c>
      <c r="N1858" s="2">
        <f t="shared" si="86"/>
        <v>0.12757763223845153</v>
      </c>
    </row>
    <row r="1859" spans="1:14" x14ac:dyDescent="0.45">
      <c r="A1859" t="s">
        <v>3599</v>
      </c>
      <c r="B1859" s="1">
        <v>45333</v>
      </c>
      <c r="C1859" t="s">
        <v>3600</v>
      </c>
      <c r="D1859" t="s">
        <v>56</v>
      </c>
      <c r="E1859" t="s">
        <v>36</v>
      </c>
      <c r="F1859" t="s">
        <v>64</v>
      </c>
      <c r="G1859">
        <v>5</v>
      </c>
      <c r="H1859">
        <v>38078.78</v>
      </c>
      <c r="I1859">
        <v>7475.25</v>
      </c>
      <c r="J1859" t="s">
        <v>71</v>
      </c>
      <c r="K1859" t="s">
        <v>29</v>
      </c>
      <c r="L1859">
        <f t="shared" ref="L1859:L1922" si="87">YEAR(B1859 )</f>
        <v>2024</v>
      </c>
      <c r="M1859" t="str">
        <f t="shared" ref="M1859:M1922" si="88">TEXT(B1859,"MMM")</f>
        <v>Feb</v>
      </c>
      <c r="N1859" s="2">
        <f t="shared" ref="N1859:N1922" si="89">I1859 / H1859</f>
        <v>0.19631012338105372</v>
      </c>
    </row>
    <row r="1860" spans="1:14" x14ac:dyDescent="0.45">
      <c r="A1860" t="s">
        <v>3601</v>
      </c>
      <c r="B1860" s="1">
        <v>44625</v>
      </c>
      <c r="C1860" t="s">
        <v>746</v>
      </c>
      <c r="D1860" t="s">
        <v>26</v>
      </c>
      <c r="E1860" t="s">
        <v>36</v>
      </c>
      <c r="F1860" t="s">
        <v>64</v>
      </c>
      <c r="G1860">
        <v>5</v>
      </c>
      <c r="H1860">
        <v>18753.580000000002</v>
      </c>
      <c r="I1860">
        <v>3771.67</v>
      </c>
      <c r="J1860" t="s">
        <v>22</v>
      </c>
      <c r="K1860" t="s">
        <v>33</v>
      </c>
      <c r="L1860">
        <f t="shared" si="87"/>
        <v>2022</v>
      </c>
      <c r="M1860" t="str">
        <f t="shared" si="88"/>
        <v>Mar</v>
      </c>
      <c r="N1860" s="2">
        <f t="shared" si="89"/>
        <v>0.20111733333048942</v>
      </c>
    </row>
    <row r="1861" spans="1:14" x14ac:dyDescent="0.45">
      <c r="A1861" t="s">
        <v>3602</v>
      </c>
      <c r="B1861" s="1">
        <v>45034</v>
      </c>
      <c r="C1861" t="s">
        <v>3603</v>
      </c>
      <c r="D1861" t="s">
        <v>13</v>
      </c>
      <c r="E1861" t="s">
        <v>36</v>
      </c>
      <c r="F1861" t="s">
        <v>37</v>
      </c>
      <c r="G1861">
        <v>2</v>
      </c>
      <c r="H1861">
        <v>31246.46</v>
      </c>
      <c r="I1861">
        <v>7126.77</v>
      </c>
      <c r="J1861" t="s">
        <v>28</v>
      </c>
      <c r="K1861" t="s">
        <v>29</v>
      </c>
      <c r="L1861">
        <f t="shared" si="87"/>
        <v>2023</v>
      </c>
      <c r="M1861" t="str">
        <f t="shared" si="88"/>
        <v>Apr</v>
      </c>
      <c r="N1861" s="2">
        <f t="shared" si="89"/>
        <v>0.2280824771830153</v>
      </c>
    </row>
    <row r="1862" spans="1:14" x14ac:dyDescent="0.45">
      <c r="A1862" t="s">
        <v>3604</v>
      </c>
      <c r="B1862" s="1">
        <v>45491</v>
      </c>
      <c r="C1862" t="s">
        <v>3605</v>
      </c>
      <c r="D1862" t="s">
        <v>26</v>
      </c>
      <c r="E1862" t="s">
        <v>36</v>
      </c>
      <c r="F1862" t="s">
        <v>53</v>
      </c>
      <c r="G1862">
        <v>1</v>
      </c>
      <c r="H1862">
        <v>39058.65</v>
      </c>
      <c r="I1862">
        <v>8946.7900000000009</v>
      </c>
      <c r="J1862" t="s">
        <v>47</v>
      </c>
      <c r="K1862" t="s">
        <v>23</v>
      </c>
      <c r="L1862">
        <f t="shared" si="87"/>
        <v>2024</v>
      </c>
      <c r="M1862" t="str">
        <f t="shared" si="88"/>
        <v>Jul</v>
      </c>
      <c r="N1862" s="2">
        <f t="shared" si="89"/>
        <v>0.22906040019304305</v>
      </c>
    </row>
    <row r="1863" spans="1:14" x14ac:dyDescent="0.45">
      <c r="A1863" t="s">
        <v>3606</v>
      </c>
      <c r="B1863" s="1">
        <v>45272</v>
      </c>
      <c r="C1863" t="s">
        <v>3607</v>
      </c>
      <c r="D1863" t="s">
        <v>26</v>
      </c>
      <c r="E1863" t="s">
        <v>20</v>
      </c>
      <c r="F1863" t="s">
        <v>50</v>
      </c>
      <c r="G1863">
        <v>3</v>
      </c>
      <c r="H1863">
        <v>26803.1</v>
      </c>
      <c r="I1863">
        <v>2843.95</v>
      </c>
      <c r="J1863" t="s">
        <v>47</v>
      </c>
      <c r="K1863" t="s">
        <v>33</v>
      </c>
      <c r="L1863">
        <f t="shared" si="87"/>
        <v>2023</v>
      </c>
      <c r="M1863" t="str">
        <f t="shared" si="88"/>
        <v>Dec</v>
      </c>
      <c r="N1863" s="2">
        <f t="shared" si="89"/>
        <v>0.10610526394334983</v>
      </c>
    </row>
    <row r="1864" spans="1:14" x14ac:dyDescent="0.45">
      <c r="A1864" t="s">
        <v>3608</v>
      </c>
      <c r="B1864" s="1">
        <v>45323</v>
      </c>
      <c r="C1864" t="s">
        <v>3609</v>
      </c>
      <c r="D1864" t="s">
        <v>26</v>
      </c>
      <c r="E1864" t="s">
        <v>36</v>
      </c>
      <c r="F1864" t="s">
        <v>53</v>
      </c>
      <c r="G1864">
        <v>5</v>
      </c>
      <c r="H1864">
        <v>2226.29</v>
      </c>
      <c r="I1864">
        <v>364.9</v>
      </c>
      <c r="J1864" t="s">
        <v>16</v>
      </c>
      <c r="K1864" t="s">
        <v>29</v>
      </c>
      <c r="L1864">
        <f t="shared" si="87"/>
        <v>2024</v>
      </c>
      <c r="M1864" t="str">
        <f t="shared" si="88"/>
        <v>Feb</v>
      </c>
      <c r="N1864" s="2">
        <f t="shared" si="89"/>
        <v>0.16390497194884762</v>
      </c>
    </row>
    <row r="1865" spans="1:14" x14ac:dyDescent="0.45">
      <c r="A1865" t="s">
        <v>3610</v>
      </c>
      <c r="B1865" s="1">
        <v>45549</v>
      </c>
      <c r="C1865" t="s">
        <v>3611</v>
      </c>
      <c r="D1865" t="s">
        <v>56</v>
      </c>
      <c r="E1865" t="s">
        <v>14</v>
      </c>
      <c r="F1865" t="s">
        <v>15</v>
      </c>
      <c r="G1865">
        <v>4</v>
      </c>
      <c r="H1865">
        <v>25668.48</v>
      </c>
      <c r="I1865">
        <v>2466.12</v>
      </c>
      <c r="J1865" t="s">
        <v>22</v>
      </c>
      <c r="K1865" t="s">
        <v>29</v>
      </c>
      <c r="L1865">
        <f t="shared" si="87"/>
        <v>2024</v>
      </c>
      <c r="M1865" t="str">
        <f t="shared" si="88"/>
        <v>Sep</v>
      </c>
      <c r="N1865" s="2">
        <f t="shared" si="89"/>
        <v>9.6075809709028348E-2</v>
      </c>
    </row>
    <row r="1866" spans="1:14" x14ac:dyDescent="0.45">
      <c r="A1866" t="s">
        <v>3612</v>
      </c>
      <c r="B1866" s="1">
        <v>45509</v>
      </c>
      <c r="C1866" t="s">
        <v>3613</v>
      </c>
      <c r="D1866" t="s">
        <v>13</v>
      </c>
      <c r="E1866" t="s">
        <v>20</v>
      </c>
      <c r="F1866" t="s">
        <v>27</v>
      </c>
      <c r="G1866">
        <v>1</v>
      </c>
      <c r="H1866">
        <v>23936.21</v>
      </c>
      <c r="I1866">
        <v>1740.04</v>
      </c>
      <c r="J1866" t="s">
        <v>16</v>
      </c>
      <c r="K1866" t="s">
        <v>17</v>
      </c>
      <c r="L1866">
        <f t="shared" si="87"/>
        <v>2024</v>
      </c>
      <c r="M1866" t="str">
        <f t="shared" si="88"/>
        <v>Aug</v>
      </c>
      <c r="N1866" s="2">
        <f t="shared" si="89"/>
        <v>7.2694883609393468E-2</v>
      </c>
    </row>
    <row r="1867" spans="1:14" x14ac:dyDescent="0.45">
      <c r="A1867" t="s">
        <v>3614</v>
      </c>
      <c r="B1867" s="1">
        <v>45233</v>
      </c>
      <c r="C1867" t="s">
        <v>3615</v>
      </c>
      <c r="D1867" t="s">
        <v>56</v>
      </c>
      <c r="E1867" t="s">
        <v>20</v>
      </c>
      <c r="F1867" t="s">
        <v>43</v>
      </c>
      <c r="G1867">
        <v>2</v>
      </c>
      <c r="H1867">
        <v>1147.32</v>
      </c>
      <c r="I1867">
        <v>138.82</v>
      </c>
      <c r="J1867" t="s">
        <v>28</v>
      </c>
      <c r="K1867" t="s">
        <v>17</v>
      </c>
      <c r="L1867">
        <f t="shared" si="87"/>
        <v>2023</v>
      </c>
      <c r="M1867" t="str">
        <f t="shared" si="88"/>
        <v>Nov</v>
      </c>
      <c r="N1867" s="2">
        <f t="shared" si="89"/>
        <v>0.1209950144685005</v>
      </c>
    </row>
    <row r="1868" spans="1:14" x14ac:dyDescent="0.45">
      <c r="A1868" t="s">
        <v>3616</v>
      </c>
      <c r="B1868" s="1">
        <v>44696</v>
      </c>
      <c r="C1868" t="s">
        <v>1344</v>
      </c>
      <c r="D1868" t="s">
        <v>13</v>
      </c>
      <c r="E1868" t="s">
        <v>36</v>
      </c>
      <c r="F1868" t="s">
        <v>37</v>
      </c>
      <c r="G1868">
        <v>3</v>
      </c>
      <c r="H1868">
        <v>37993.269999999997</v>
      </c>
      <c r="I1868">
        <v>7187.55</v>
      </c>
      <c r="J1868" t="s">
        <v>71</v>
      </c>
      <c r="K1868" t="s">
        <v>29</v>
      </c>
      <c r="L1868">
        <f t="shared" si="87"/>
        <v>2022</v>
      </c>
      <c r="M1868" t="str">
        <f t="shared" si="88"/>
        <v>May</v>
      </c>
      <c r="N1868" s="2">
        <f t="shared" si="89"/>
        <v>0.18917955732686342</v>
      </c>
    </row>
    <row r="1869" spans="1:14" x14ac:dyDescent="0.45">
      <c r="A1869" t="s">
        <v>3617</v>
      </c>
      <c r="B1869" s="1">
        <v>44884</v>
      </c>
      <c r="C1869" t="s">
        <v>3618</v>
      </c>
      <c r="D1869" t="s">
        <v>26</v>
      </c>
      <c r="E1869" t="s">
        <v>36</v>
      </c>
      <c r="F1869" t="s">
        <v>53</v>
      </c>
      <c r="G1869">
        <v>5</v>
      </c>
      <c r="H1869">
        <v>4635.72</v>
      </c>
      <c r="I1869">
        <v>745.08</v>
      </c>
      <c r="J1869" t="s">
        <v>16</v>
      </c>
      <c r="K1869" t="s">
        <v>33</v>
      </c>
      <c r="L1869">
        <f t="shared" si="87"/>
        <v>2022</v>
      </c>
      <c r="M1869" t="str">
        <f t="shared" si="88"/>
        <v>Nov</v>
      </c>
      <c r="N1869" s="2">
        <f t="shared" si="89"/>
        <v>0.16072584194041056</v>
      </c>
    </row>
    <row r="1870" spans="1:14" x14ac:dyDescent="0.45">
      <c r="A1870" t="s">
        <v>3619</v>
      </c>
      <c r="B1870" s="1">
        <v>45106</v>
      </c>
      <c r="C1870" t="s">
        <v>3620</v>
      </c>
      <c r="D1870" t="s">
        <v>13</v>
      </c>
      <c r="E1870" t="s">
        <v>36</v>
      </c>
      <c r="F1870" t="s">
        <v>64</v>
      </c>
      <c r="G1870">
        <v>3</v>
      </c>
      <c r="H1870">
        <v>15179.79</v>
      </c>
      <c r="I1870">
        <v>3372.58</v>
      </c>
      <c r="J1870" t="s">
        <v>22</v>
      </c>
      <c r="K1870" t="s">
        <v>17</v>
      </c>
      <c r="L1870">
        <f t="shared" si="87"/>
        <v>2023</v>
      </c>
      <c r="M1870" t="str">
        <f t="shared" si="88"/>
        <v>Jun</v>
      </c>
      <c r="N1870" s="2">
        <f t="shared" si="89"/>
        <v>0.22217566909687156</v>
      </c>
    </row>
    <row r="1871" spans="1:14" x14ac:dyDescent="0.45">
      <c r="A1871" t="s">
        <v>3621</v>
      </c>
      <c r="B1871" s="1">
        <v>44794</v>
      </c>
      <c r="C1871" t="s">
        <v>1536</v>
      </c>
      <c r="D1871" t="s">
        <v>26</v>
      </c>
      <c r="E1871" t="s">
        <v>20</v>
      </c>
      <c r="F1871" t="s">
        <v>21</v>
      </c>
      <c r="G1871">
        <v>1</v>
      </c>
      <c r="H1871">
        <v>37811</v>
      </c>
      <c r="I1871">
        <v>8956.16</v>
      </c>
      <c r="J1871" t="s">
        <v>47</v>
      </c>
      <c r="K1871" t="s">
        <v>29</v>
      </c>
      <c r="L1871">
        <f t="shared" si="87"/>
        <v>2022</v>
      </c>
      <c r="M1871" t="str">
        <f t="shared" si="88"/>
        <v>Aug</v>
      </c>
      <c r="N1871" s="2">
        <f t="shared" si="89"/>
        <v>0.23686652032477321</v>
      </c>
    </row>
    <row r="1872" spans="1:14" x14ac:dyDescent="0.45">
      <c r="A1872" t="s">
        <v>3622</v>
      </c>
      <c r="B1872" s="1">
        <v>45336</v>
      </c>
      <c r="C1872" t="s">
        <v>3623</v>
      </c>
      <c r="D1872" t="s">
        <v>26</v>
      </c>
      <c r="E1872" t="s">
        <v>14</v>
      </c>
      <c r="F1872" t="s">
        <v>57</v>
      </c>
      <c r="G1872">
        <v>5</v>
      </c>
      <c r="H1872">
        <v>7544.67</v>
      </c>
      <c r="I1872">
        <v>947.85</v>
      </c>
      <c r="J1872" t="s">
        <v>71</v>
      </c>
      <c r="K1872" t="s">
        <v>33</v>
      </c>
      <c r="L1872">
        <f t="shared" si="87"/>
        <v>2024</v>
      </c>
      <c r="M1872" t="str">
        <f t="shared" si="88"/>
        <v>Feb</v>
      </c>
      <c r="N1872" s="2">
        <f t="shared" si="89"/>
        <v>0.12563173737221112</v>
      </c>
    </row>
    <row r="1873" spans="1:14" x14ac:dyDescent="0.45">
      <c r="A1873" t="s">
        <v>3624</v>
      </c>
      <c r="B1873" s="1">
        <v>44909</v>
      </c>
      <c r="C1873" t="s">
        <v>3625</v>
      </c>
      <c r="D1873" t="s">
        <v>56</v>
      </c>
      <c r="E1873" t="s">
        <v>36</v>
      </c>
      <c r="F1873" t="s">
        <v>37</v>
      </c>
      <c r="G1873">
        <v>3</v>
      </c>
      <c r="H1873">
        <v>32623.54</v>
      </c>
      <c r="I1873">
        <v>4296.88</v>
      </c>
      <c r="J1873" t="s">
        <v>47</v>
      </c>
      <c r="K1873" t="s">
        <v>33</v>
      </c>
      <c r="L1873">
        <f t="shared" si="87"/>
        <v>2022</v>
      </c>
      <c r="M1873" t="str">
        <f t="shared" si="88"/>
        <v>Dec</v>
      </c>
      <c r="N1873" s="2">
        <f t="shared" si="89"/>
        <v>0.13171102829429301</v>
      </c>
    </row>
    <row r="1874" spans="1:14" x14ac:dyDescent="0.45">
      <c r="A1874" t="s">
        <v>3626</v>
      </c>
      <c r="B1874" s="1">
        <v>44751</v>
      </c>
      <c r="C1874" t="s">
        <v>3627</v>
      </c>
      <c r="D1874" t="s">
        <v>56</v>
      </c>
      <c r="E1874" t="s">
        <v>20</v>
      </c>
      <c r="F1874" t="s">
        <v>27</v>
      </c>
      <c r="G1874">
        <v>2</v>
      </c>
      <c r="H1874">
        <v>40390.449999999997</v>
      </c>
      <c r="I1874">
        <v>7316.99</v>
      </c>
      <c r="J1874" t="s">
        <v>16</v>
      </c>
      <c r="K1874" t="s">
        <v>29</v>
      </c>
      <c r="L1874">
        <f t="shared" si="87"/>
        <v>2022</v>
      </c>
      <c r="M1874" t="str">
        <f t="shared" si="88"/>
        <v>Jul</v>
      </c>
      <c r="N1874" s="2">
        <f t="shared" si="89"/>
        <v>0.18115643673195025</v>
      </c>
    </row>
    <row r="1875" spans="1:14" x14ac:dyDescent="0.45">
      <c r="A1875" t="s">
        <v>3628</v>
      </c>
      <c r="B1875" s="1">
        <v>45368</v>
      </c>
      <c r="C1875" t="s">
        <v>399</v>
      </c>
      <c r="D1875" t="s">
        <v>56</v>
      </c>
      <c r="E1875" t="s">
        <v>36</v>
      </c>
      <c r="F1875" t="s">
        <v>46</v>
      </c>
      <c r="G1875">
        <v>2</v>
      </c>
      <c r="H1875">
        <v>18196.8</v>
      </c>
      <c r="I1875">
        <v>1852.76</v>
      </c>
      <c r="J1875" t="s">
        <v>22</v>
      </c>
      <c r="K1875" t="s">
        <v>17</v>
      </c>
      <c r="L1875">
        <f t="shared" si="87"/>
        <v>2024</v>
      </c>
      <c r="M1875" t="str">
        <f t="shared" si="88"/>
        <v>Mar</v>
      </c>
      <c r="N1875" s="2">
        <f t="shared" si="89"/>
        <v>0.10181790204871187</v>
      </c>
    </row>
    <row r="1876" spans="1:14" x14ac:dyDescent="0.45">
      <c r="A1876" t="s">
        <v>3629</v>
      </c>
      <c r="B1876" s="1">
        <v>45225</v>
      </c>
      <c r="C1876" t="s">
        <v>3630</v>
      </c>
      <c r="D1876" t="s">
        <v>26</v>
      </c>
      <c r="E1876" t="s">
        <v>36</v>
      </c>
      <c r="F1876" t="s">
        <v>46</v>
      </c>
      <c r="G1876">
        <v>3</v>
      </c>
      <c r="H1876">
        <v>20654.560000000001</v>
      </c>
      <c r="I1876">
        <v>1330.11</v>
      </c>
      <c r="J1876" t="s">
        <v>16</v>
      </c>
      <c r="K1876" t="s">
        <v>17</v>
      </c>
      <c r="L1876">
        <f t="shared" si="87"/>
        <v>2023</v>
      </c>
      <c r="M1876" t="str">
        <f t="shared" si="88"/>
        <v>Oct</v>
      </c>
      <c r="N1876" s="2">
        <f t="shared" si="89"/>
        <v>6.439788598740423E-2</v>
      </c>
    </row>
    <row r="1877" spans="1:14" x14ac:dyDescent="0.45">
      <c r="A1877" t="s">
        <v>3631</v>
      </c>
      <c r="B1877" s="1">
        <v>44632</v>
      </c>
      <c r="C1877" t="s">
        <v>3632</v>
      </c>
      <c r="D1877" t="s">
        <v>56</v>
      </c>
      <c r="E1877" t="s">
        <v>14</v>
      </c>
      <c r="F1877" t="s">
        <v>15</v>
      </c>
      <c r="G1877">
        <v>1</v>
      </c>
      <c r="H1877">
        <v>33244.82</v>
      </c>
      <c r="I1877">
        <v>4901.2</v>
      </c>
      <c r="J1877" t="s">
        <v>16</v>
      </c>
      <c r="K1877" t="s">
        <v>23</v>
      </c>
      <c r="L1877">
        <f t="shared" si="87"/>
        <v>2022</v>
      </c>
      <c r="M1877" t="str">
        <f t="shared" si="88"/>
        <v>Mar</v>
      </c>
      <c r="N1877" s="2">
        <f t="shared" si="89"/>
        <v>0.14742747892754421</v>
      </c>
    </row>
    <row r="1878" spans="1:14" x14ac:dyDescent="0.45">
      <c r="A1878" t="s">
        <v>3633</v>
      </c>
      <c r="B1878" s="1">
        <v>45488</v>
      </c>
      <c r="C1878" t="s">
        <v>3634</v>
      </c>
      <c r="D1878" t="s">
        <v>13</v>
      </c>
      <c r="E1878" t="s">
        <v>14</v>
      </c>
      <c r="F1878" t="s">
        <v>32</v>
      </c>
      <c r="G1878">
        <v>1</v>
      </c>
      <c r="H1878">
        <v>7989.57</v>
      </c>
      <c r="I1878">
        <v>752.66</v>
      </c>
      <c r="J1878" t="s">
        <v>22</v>
      </c>
      <c r="K1878" t="s">
        <v>17</v>
      </c>
      <c r="L1878">
        <f t="shared" si="87"/>
        <v>2024</v>
      </c>
      <c r="M1878" t="str">
        <f t="shared" si="88"/>
        <v>Jul</v>
      </c>
      <c r="N1878" s="2">
        <f t="shared" si="89"/>
        <v>9.4205320186192751E-2</v>
      </c>
    </row>
    <row r="1879" spans="1:14" x14ac:dyDescent="0.45">
      <c r="A1879" t="s">
        <v>3635</v>
      </c>
      <c r="B1879" s="1">
        <v>45023</v>
      </c>
      <c r="C1879" t="s">
        <v>427</v>
      </c>
      <c r="D1879" t="s">
        <v>56</v>
      </c>
      <c r="E1879" t="s">
        <v>14</v>
      </c>
      <c r="F1879" t="s">
        <v>32</v>
      </c>
      <c r="G1879">
        <v>2</v>
      </c>
      <c r="H1879">
        <v>29832.13</v>
      </c>
      <c r="I1879">
        <v>2386.4299999999998</v>
      </c>
      <c r="J1879" t="s">
        <v>71</v>
      </c>
      <c r="K1879" t="s">
        <v>23</v>
      </c>
      <c r="L1879">
        <f t="shared" si="87"/>
        <v>2023</v>
      </c>
      <c r="M1879" t="str">
        <f t="shared" si="88"/>
        <v>Apr</v>
      </c>
      <c r="N1879" s="2">
        <f t="shared" si="89"/>
        <v>7.9995293664917644E-2</v>
      </c>
    </row>
    <row r="1880" spans="1:14" x14ac:dyDescent="0.45">
      <c r="A1880" t="s">
        <v>3636</v>
      </c>
      <c r="B1880" s="1">
        <v>44997</v>
      </c>
      <c r="C1880" t="s">
        <v>3637</v>
      </c>
      <c r="D1880" t="s">
        <v>26</v>
      </c>
      <c r="E1880" t="s">
        <v>36</v>
      </c>
      <c r="F1880" t="s">
        <v>46</v>
      </c>
      <c r="G1880">
        <v>4</v>
      </c>
      <c r="H1880">
        <v>5589.08</v>
      </c>
      <c r="I1880">
        <v>682.36</v>
      </c>
      <c r="J1880" t="s">
        <v>71</v>
      </c>
      <c r="K1880" t="s">
        <v>23</v>
      </c>
      <c r="L1880">
        <f t="shared" si="87"/>
        <v>2023</v>
      </c>
      <c r="M1880" t="str">
        <f t="shared" si="88"/>
        <v>Mar</v>
      </c>
      <c r="N1880" s="2">
        <f t="shared" si="89"/>
        <v>0.12208807173989279</v>
      </c>
    </row>
    <row r="1881" spans="1:14" x14ac:dyDescent="0.45">
      <c r="A1881" t="s">
        <v>3638</v>
      </c>
      <c r="B1881" s="1">
        <v>45580</v>
      </c>
      <c r="C1881" t="s">
        <v>3639</v>
      </c>
      <c r="D1881" t="s">
        <v>26</v>
      </c>
      <c r="E1881" t="s">
        <v>14</v>
      </c>
      <c r="F1881" t="s">
        <v>57</v>
      </c>
      <c r="G1881">
        <v>5</v>
      </c>
      <c r="H1881">
        <v>39075.15</v>
      </c>
      <c r="I1881">
        <v>8511.59</v>
      </c>
      <c r="J1881" t="s">
        <v>22</v>
      </c>
      <c r="K1881" t="s">
        <v>33</v>
      </c>
      <c r="L1881">
        <f t="shared" si="87"/>
        <v>2024</v>
      </c>
      <c r="M1881" t="str">
        <f t="shared" si="88"/>
        <v>Oct</v>
      </c>
      <c r="N1881" s="2">
        <f t="shared" si="89"/>
        <v>0.21782616317531731</v>
      </c>
    </row>
    <row r="1882" spans="1:14" x14ac:dyDescent="0.45">
      <c r="A1882" t="s">
        <v>3640</v>
      </c>
      <c r="B1882" s="1">
        <v>45461</v>
      </c>
      <c r="C1882" t="s">
        <v>903</v>
      </c>
      <c r="D1882" t="s">
        <v>13</v>
      </c>
      <c r="E1882" t="s">
        <v>20</v>
      </c>
      <c r="F1882" t="s">
        <v>21</v>
      </c>
      <c r="G1882">
        <v>4</v>
      </c>
      <c r="H1882">
        <v>29581.279999999999</v>
      </c>
      <c r="I1882">
        <v>6198.56</v>
      </c>
      <c r="J1882" t="s">
        <v>71</v>
      </c>
      <c r="K1882" t="s">
        <v>17</v>
      </c>
      <c r="L1882">
        <f t="shared" si="87"/>
        <v>2024</v>
      </c>
      <c r="M1882" t="str">
        <f t="shared" si="88"/>
        <v>Jun</v>
      </c>
      <c r="N1882" s="2">
        <f t="shared" si="89"/>
        <v>0.20954333281048015</v>
      </c>
    </row>
    <row r="1883" spans="1:14" x14ac:dyDescent="0.45">
      <c r="A1883" t="s">
        <v>3641</v>
      </c>
      <c r="B1883" s="1">
        <v>45015</v>
      </c>
      <c r="C1883" t="s">
        <v>3642</v>
      </c>
      <c r="D1883" t="s">
        <v>26</v>
      </c>
      <c r="E1883" t="s">
        <v>14</v>
      </c>
      <c r="F1883" t="s">
        <v>57</v>
      </c>
      <c r="G1883">
        <v>3</v>
      </c>
      <c r="H1883">
        <v>31942.29</v>
      </c>
      <c r="I1883">
        <v>2791.16</v>
      </c>
      <c r="J1883" t="s">
        <v>16</v>
      </c>
      <c r="K1883" t="s">
        <v>33</v>
      </c>
      <c r="L1883">
        <f t="shared" si="87"/>
        <v>2023</v>
      </c>
      <c r="M1883" t="str">
        <f t="shared" si="88"/>
        <v>Mar</v>
      </c>
      <c r="N1883" s="2">
        <f t="shared" si="89"/>
        <v>8.738133677954836E-2</v>
      </c>
    </row>
    <row r="1884" spans="1:14" x14ac:dyDescent="0.45">
      <c r="A1884" t="s">
        <v>3643</v>
      </c>
      <c r="B1884" s="1">
        <v>44675</v>
      </c>
      <c r="C1884" t="s">
        <v>732</v>
      </c>
      <c r="D1884" t="s">
        <v>26</v>
      </c>
      <c r="E1884" t="s">
        <v>36</v>
      </c>
      <c r="F1884" t="s">
        <v>53</v>
      </c>
      <c r="G1884">
        <v>1</v>
      </c>
      <c r="H1884">
        <v>26913.42</v>
      </c>
      <c r="I1884">
        <v>6662.75</v>
      </c>
      <c r="J1884" t="s">
        <v>28</v>
      </c>
      <c r="K1884" t="s">
        <v>23</v>
      </c>
      <c r="L1884">
        <f t="shared" si="87"/>
        <v>2022</v>
      </c>
      <c r="M1884" t="str">
        <f t="shared" si="88"/>
        <v>Apr</v>
      </c>
      <c r="N1884" s="2">
        <f t="shared" si="89"/>
        <v>0.24756236851355198</v>
      </c>
    </row>
    <row r="1885" spans="1:14" x14ac:dyDescent="0.45">
      <c r="A1885" t="s">
        <v>3644</v>
      </c>
      <c r="B1885" s="1">
        <v>45169</v>
      </c>
      <c r="C1885" t="s">
        <v>1054</v>
      </c>
      <c r="D1885" t="s">
        <v>56</v>
      </c>
      <c r="E1885" t="s">
        <v>20</v>
      </c>
      <c r="F1885" t="s">
        <v>27</v>
      </c>
      <c r="G1885">
        <v>5</v>
      </c>
      <c r="H1885">
        <v>15728.06</v>
      </c>
      <c r="I1885">
        <v>3102.58</v>
      </c>
      <c r="J1885" t="s">
        <v>22</v>
      </c>
      <c r="K1885" t="s">
        <v>17</v>
      </c>
      <c r="L1885">
        <f t="shared" si="87"/>
        <v>2023</v>
      </c>
      <c r="M1885" t="str">
        <f t="shared" si="88"/>
        <v>Aug</v>
      </c>
      <c r="N1885" s="2">
        <f t="shared" si="89"/>
        <v>0.19726399822991519</v>
      </c>
    </row>
    <row r="1886" spans="1:14" x14ac:dyDescent="0.45">
      <c r="A1886" t="s">
        <v>3645</v>
      </c>
      <c r="B1886" s="1">
        <v>45558</v>
      </c>
      <c r="C1886" t="s">
        <v>3320</v>
      </c>
      <c r="D1886" t="s">
        <v>13</v>
      </c>
      <c r="E1886" t="s">
        <v>36</v>
      </c>
      <c r="F1886" t="s">
        <v>46</v>
      </c>
      <c r="G1886">
        <v>1</v>
      </c>
      <c r="H1886">
        <v>7545.75</v>
      </c>
      <c r="I1886">
        <v>714.37</v>
      </c>
      <c r="J1886" t="s">
        <v>16</v>
      </c>
      <c r="K1886" t="s">
        <v>17</v>
      </c>
      <c r="L1886">
        <f t="shared" si="87"/>
        <v>2024</v>
      </c>
      <c r="M1886" t="str">
        <f t="shared" si="88"/>
        <v>Sep</v>
      </c>
      <c r="N1886" s="2">
        <f t="shared" si="89"/>
        <v>9.4671835138985527E-2</v>
      </c>
    </row>
    <row r="1887" spans="1:14" x14ac:dyDescent="0.45">
      <c r="A1887" t="s">
        <v>3646</v>
      </c>
      <c r="B1887" s="1">
        <v>44854</v>
      </c>
      <c r="C1887" t="s">
        <v>3647</v>
      </c>
      <c r="D1887" t="s">
        <v>13</v>
      </c>
      <c r="E1887" t="s">
        <v>36</v>
      </c>
      <c r="F1887" t="s">
        <v>46</v>
      </c>
      <c r="G1887">
        <v>3</v>
      </c>
      <c r="H1887">
        <v>46801.39</v>
      </c>
      <c r="I1887">
        <v>2537.0500000000002</v>
      </c>
      <c r="J1887" t="s">
        <v>16</v>
      </c>
      <c r="K1887" t="s">
        <v>17</v>
      </c>
      <c r="L1887">
        <f t="shared" si="87"/>
        <v>2022</v>
      </c>
      <c r="M1887" t="str">
        <f t="shared" si="88"/>
        <v>Oct</v>
      </c>
      <c r="N1887" s="2">
        <f t="shared" si="89"/>
        <v>5.4208860035994663E-2</v>
      </c>
    </row>
    <row r="1888" spans="1:14" x14ac:dyDescent="0.45">
      <c r="A1888" t="s">
        <v>3648</v>
      </c>
      <c r="B1888" s="1">
        <v>44822</v>
      </c>
      <c r="C1888" t="s">
        <v>3649</v>
      </c>
      <c r="D1888" t="s">
        <v>56</v>
      </c>
      <c r="E1888" t="s">
        <v>14</v>
      </c>
      <c r="F1888" t="s">
        <v>32</v>
      </c>
      <c r="G1888">
        <v>1</v>
      </c>
      <c r="H1888">
        <v>15705.14</v>
      </c>
      <c r="I1888">
        <v>3741.32</v>
      </c>
      <c r="J1888" t="s">
        <v>28</v>
      </c>
      <c r="K1888" t="s">
        <v>29</v>
      </c>
      <c r="L1888">
        <f t="shared" si="87"/>
        <v>2022</v>
      </c>
      <c r="M1888" t="str">
        <f t="shared" si="88"/>
        <v>Sep</v>
      </c>
      <c r="N1888" s="2">
        <f t="shared" si="89"/>
        <v>0.23822264557972742</v>
      </c>
    </row>
    <row r="1889" spans="1:14" x14ac:dyDescent="0.45">
      <c r="A1889" t="s">
        <v>3650</v>
      </c>
      <c r="B1889" s="1">
        <v>45013</v>
      </c>
      <c r="C1889" t="s">
        <v>1696</v>
      </c>
      <c r="D1889" t="s">
        <v>56</v>
      </c>
      <c r="E1889" t="s">
        <v>20</v>
      </c>
      <c r="F1889" t="s">
        <v>50</v>
      </c>
      <c r="G1889">
        <v>2</v>
      </c>
      <c r="H1889">
        <v>6033.8</v>
      </c>
      <c r="I1889">
        <v>558.86</v>
      </c>
      <c r="J1889" t="s">
        <v>47</v>
      </c>
      <c r="K1889" t="s">
        <v>33</v>
      </c>
      <c r="L1889">
        <f t="shared" si="87"/>
        <v>2023</v>
      </c>
      <c r="M1889" t="str">
        <f t="shared" si="88"/>
        <v>Mar</v>
      </c>
      <c r="N1889" s="2">
        <f t="shared" si="89"/>
        <v>9.2621565182803539E-2</v>
      </c>
    </row>
    <row r="1890" spans="1:14" x14ac:dyDescent="0.45">
      <c r="A1890" t="s">
        <v>3651</v>
      </c>
      <c r="B1890" s="1">
        <v>45491</v>
      </c>
      <c r="C1890" t="s">
        <v>3652</v>
      </c>
      <c r="D1890" t="s">
        <v>13</v>
      </c>
      <c r="E1890" t="s">
        <v>36</v>
      </c>
      <c r="F1890" t="s">
        <v>64</v>
      </c>
      <c r="G1890">
        <v>1</v>
      </c>
      <c r="H1890">
        <v>3963.33</v>
      </c>
      <c r="I1890">
        <v>729.84</v>
      </c>
      <c r="J1890" t="s">
        <v>22</v>
      </c>
      <c r="K1890" t="s">
        <v>17</v>
      </c>
      <c r="L1890">
        <f t="shared" si="87"/>
        <v>2024</v>
      </c>
      <c r="M1890" t="str">
        <f t="shared" si="88"/>
        <v>Jul</v>
      </c>
      <c r="N1890" s="2">
        <f t="shared" si="89"/>
        <v>0.18414817842571779</v>
      </c>
    </row>
    <row r="1891" spans="1:14" x14ac:dyDescent="0.45">
      <c r="A1891" t="s">
        <v>3653</v>
      </c>
      <c r="B1891" s="1">
        <v>45533</v>
      </c>
      <c r="C1891" t="s">
        <v>3654</v>
      </c>
      <c r="D1891" t="s">
        <v>56</v>
      </c>
      <c r="E1891" t="s">
        <v>36</v>
      </c>
      <c r="F1891" t="s">
        <v>46</v>
      </c>
      <c r="G1891">
        <v>4</v>
      </c>
      <c r="H1891">
        <v>24730.560000000001</v>
      </c>
      <c r="I1891">
        <v>3188.42</v>
      </c>
      <c r="J1891" t="s">
        <v>22</v>
      </c>
      <c r="K1891" t="s">
        <v>29</v>
      </c>
      <c r="L1891">
        <f t="shared" si="87"/>
        <v>2024</v>
      </c>
      <c r="M1891" t="str">
        <f t="shared" si="88"/>
        <v>Aug</v>
      </c>
      <c r="N1891" s="2">
        <f t="shared" si="89"/>
        <v>0.1289263162661905</v>
      </c>
    </row>
    <row r="1892" spans="1:14" x14ac:dyDescent="0.45">
      <c r="A1892" t="s">
        <v>3655</v>
      </c>
      <c r="B1892" s="1">
        <v>45534</v>
      </c>
      <c r="C1892" t="s">
        <v>3656</v>
      </c>
      <c r="D1892" t="s">
        <v>26</v>
      </c>
      <c r="E1892" t="s">
        <v>14</v>
      </c>
      <c r="F1892" t="s">
        <v>15</v>
      </c>
      <c r="G1892">
        <v>2</v>
      </c>
      <c r="H1892">
        <v>26120.78</v>
      </c>
      <c r="I1892">
        <v>3508.7</v>
      </c>
      <c r="J1892" t="s">
        <v>22</v>
      </c>
      <c r="K1892" t="s">
        <v>17</v>
      </c>
      <c r="L1892">
        <f t="shared" si="87"/>
        <v>2024</v>
      </c>
      <c r="M1892" t="str">
        <f t="shared" si="88"/>
        <v>Aug</v>
      </c>
      <c r="N1892" s="2">
        <f t="shared" si="89"/>
        <v>0.13432600404735234</v>
      </c>
    </row>
    <row r="1893" spans="1:14" x14ac:dyDescent="0.45">
      <c r="A1893" t="s">
        <v>3657</v>
      </c>
      <c r="B1893" s="1">
        <v>44939</v>
      </c>
      <c r="C1893" t="s">
        <v>331</v>
      </c>
      <c r="D1893" t="s">
        <v>56</v>
      </c>
      <c r="E1893" t="s">
        <v>36</v>
      </c>
      <c r="F1893" t="s">
        <v>37</v>
      </c>
      <c r="G1893">
        <v>3</v>
      </c>
      <c r="H1893">
        <v>36179.449999999997</v>
      </c>
      <c r="I1893">
        <v>4033.56</v>
      </c>
      <c r="J1893" t="s">
        <v>16</v>
      </c>
      <c r="K1893" t="s">
        <v>29</v>
      </c>
      <c r="L1893">
        <f t="shared" si="87"/>
        <v>2023</v>
      </c>
      <c r="M1893" t="str">
        <f t="shared" si="88"/>
        <v>Jan</v>
      </c>
      <c r="N1893" s="2">
        <f t="shared" si="89"/>
        <v>0.11148759862297521</v>
      </c>
    </row>
    <row r="1894" spans="1:14" x14ac:dyDescent="0.45">
      <c r="A1894" t="s">
        <v>3658</v>
      </c>
      <c r="B1894" s="1">
        <v>45007</v>
      </c>
      <c r="C1894" t="s">
        <v>3659</v>
      </c>
      <c r="D1894" t="s">
        <v>13</v>
      </c>
      <c r="E1894" t="s">
        <v>14</v>
      </c>
      <c r="F1894" t="s">
        <v>32</v>
      </c>
      <c r="G1894">
        <v>1</v>
      </c>
      <c r="H1894">
        <v>1763.07</v>
      </c>
      <c r="I1894">
        <v>240.69</v>
      </c>
      <c r="J1894" t="s">
        <v>71</v>
      </c>
      <c r="K1894" t="s">
        <v>29</v>
      </c>
      <c r="L1894">
        <f t="shared" si="87"/>
        <v>2023</v>
      </c>
      <c r="M1894" t="str">
        <f t="shared" si="88"/>
        <v>Mar</v>
      </c>
      <c r="N1894" s="2">
        <f t="shared" si="89"/>
        <v>0.13651755177049124</v>
      </c>
    </row>
    <row r="1895" spans="1:14" x14ac:dyDescent="0.45">
      <c r="A1895" t="s">
        <v>3660</v>
      </c>
      <c r="B1895" s="1">
        <v>45454</v>
      </c>
      <c r="C1895" t="s">
        <v>3661</v>
      </c>
      <c r="D1895" t="s">
        <v>13</v>
      </c>
      <c r="E1895" t="s">
        <v>14</v>
      </c>
      <c r="F1895" t="s">
        <v>32</v>
      </c>
      <c r="G1895">
        <v>1</v>
      </c>
      <c r="H1895">
        <v>14346.59</v>
      </c>
      <c r="I1895">
        <v>3111.12</v>
      </c>
      <c r="J1895" t="s">
        <v>28</v>
      </c>
      <c r="K1895" t="s">
        <v>29</v>
      </c>
      <c r="L1895">
        <f t="shared" si="87"/>
        <v>2024</v>
      </c>
      <c r="M1895" t="str">
        <f t="shared" si="88"/>
        <v>Jun</v>
      </c>
      <c r="N1895" s="2">
        <f t="shared" si="89"/>
        <v>0.21685431869175881</v>
      </c>
    </row>
    <row r="1896" spans="1:14" x14ac:dyDescent="0.45">
      <c r="A1896" t="s">
        <v>3662</v>
      </c>
      <c r="B1896" s="1">
        <v>44940</v>
      </c>
      <c r="C1896" t="s">
        <v>2735</v>
      </c>
      <c r="D1896" t="s">
        <v>13</v>
      </c>
      <c r="E1896" t="s">
        <v>36</v>
      </c>
      <c r="F1896" t="s">
        <v>64</v>
      </c>
      <c r="G1896">
        <v>1</v>
      </c>
      <c r="H1896">
        <v>28259.200000000001</v>
      </c>
      <c r="I1896">
        <v>2745.97</v>
      </c>
      <c r="J1896" t="s">
        <v>16</v>
      </c>
      <c r="K1896" t="s">
        <v>33</v>
      </c>
      <c r="L1896">
        <f t="shared" si="87"/>
        <v>2023</v>
      </c>
      <c r="M1896" t="str">
        <f t="shared" si="88"/>
        <v>Jan</v>
      </c>
      <c r="N1896" s="2">
        <f t="shared" si="89"/>
        <v>9.7170832861510584E-2</v>
      </c>
    </row>
    <row r="1897" spans="1:14" x14ac:dyDescent="0.45">
      <c r="A1897" t="s">
        <v>3663</v>
      </c>
      <c r="B1897" s="1">
        <v>45371</v>
      </c>
      <c r="C1897" t="s">
        <v>3664</v>
      </c>
      <c r="D1897" t="s">
        <v>13</v>
      </c>
      <c r="E1897" t="s">
        <v>14</v>
      </c>
      <c r="F1897" t="s">
        <v>40</v>
      </c>
      <c r="G1897">
        <v>1</v>
      </c>
      <c r="H1897">
        <v>24550.73</v>
      </c>
      <c r="I1897">
        <v>1885.68</v>
      </c>
      <c r="J1897" t="s">
        <v>16</v>
      </c>
      <c r="K1897" t="s">
        <v>33</v>
      </c>
      <c r="L1897">
        <f t="shared" si="87"/>
        <v>2024</v>
      </c>
      <c r="M1897" t="str">
        <f t="shared" si="88"/>
        <v>Mar</v>
      </c>
      <c r="N1897" s="2">
        <f t="shared" si="89"/>
        <v>7.6807492078646955E-2</v>
      </c>
    </row>
    <row r="1898" spans="1:14" x14ac:dyDescent="0.45">
      <c r="A1898" t="s">
        <v>3665</v>
      </c>
      <c r="B1898" s="1">
        <v>44761</v>
      </c>
      <c r="C1898" t="s">
        <v>3666</v>
      </c>
      <c r="D1898" t="s">
        <v>56</v>
      </c>
      <c r="E1898" t="s">
        <v>20</v>
      </c>
      <c r="F1898" t="s">
        <v>21</v>
      </c>
      <c r="G1898">
        <v>1</v>
      </c>
      <c r="H1898">
        <v>26611.24</v>
      </c>
      <c r="I1898">
        <v>4922.97</v>
      </c>
      <c r="J1898" t="s">
        <v>22</v>
      </c>
      <c r="K1898" t="s">
        <v>29</v>
      </c>
      <c r="L1898">
        <f t="shared" si="87"/>
        <v>2022</v>
      </c>
      <c r="M1898" t="str">
        <f t="shared" si="88"/>
        <v>Jul</v>
      </c>
      <c r="N1898" s="2">
        <f t="shared" si="89"/>
        <v>0.18499588895519337</v>
      </c>
    </row>
    <row r="1899" spans="1:14" x14ac:dyDescent="0.45">
      <c r="A1899" t="s">
        <v>3667</v>
      </c>
      <c r="B1899" s="1">
        <v>45508</v>
      </c>
      <c r="C1899" t="s">
        <v>3668</v>
      </c>
      <c r="D1899" t="s">
        <v>26</v>
      </c>
      <c r="E1899" t="s">
        <v>36</v>
      </c>
      <c r="F1899" t="s">
        <v>46</v>
      </c>
      <c r="G1899">
        <v>3</v>
      </c>
      <c r="H1899">
        <v>36292.959999999999</v>
      </c>
      <c r="I1899">
        <v>4342.79</v>
      </c>
      <c r="J1899" t="s">
        <v>28</v>
      </c>
      <c r="K1899" t="s">
        <v>33</v>
      </c>
      <c r="L1899">
        <f t="shared" si="87"/>
        <v>2024</v>
      </c>
      <c r="M1899" t="str">
        <f t="shared" si="88"/>
        <v>Aug</v>
      </c>
      <c r="N1899" s="2">
        <f t="shared" si="89"/>
        <v>0.11965929480538375</v>
      </c>
    </row>
    <row r="1900" spans="1:14" x14ac:dyDescent="0.45">
      <c r="A1900" t="s">
        <v>3669</v>
      </c>
      <c r="B1900" s="1">
        <v>45450</v>
      </c>
      <c r="C1900" t="s">
        <v>3670</v>
      </c>
      <c r="D1900" t="s">
        <v>26</v>
      </c>
      <c r="E1900" t="s">
        <v>20</v>
      </c>
      <c r="F1900" t="s">
        <v>21</v>
      </c>
      <c r="G1900">
        <v>2</v>
      </c>
      <c r="H1900">
        <v>43892.29</v>
      </c>
      <c r="I1900">
        <v>10937.11</v>
      </c>
      <c r="J1900" t="s">
        <v>16</v>
      </c>
      <c r="K1900" t="s">
        <v>29</v>
      </c>
      <c r="L1900">
        <f t="shared" si="87"/>
        <v>2024</v>
      </c>
      <c r="M1900" t="str">
        <f t="shared" si="88"/>
        <v>Jun</v>
      </c>
      <c r="N1900" s="2">
        <f t="shared" si="89"/>
        <v>0.24918066475911829</v>
      </c>
    </row>
    <row r="1901" spans="1:14" x14ac:dyDescent="0.45">
      <c r="A1901" t="s">
        <v>3671</v>
      </c>
      <c r="B1901" s="1">
        <v>45622</v>
      </c>
      <c r="C1901" t="s">
        <v>3164</v>
      </c>
      <c r="D1901" t="s">
        <v>13</v>
      </c>
      <c r="E1901" t="s">
        <v>14</v>
      </c>
      <c r="F1901" t="s">
        <v>32</v>
      </c>
      <c r="G1901">
        <v>3</v>
      </c>
      <c r="H1901">
        <v>43867.72</v>
      </c>
      <c r="I1901">
        <v>8309.59</v>
      </c>
      <c r="J1901" t="s">
        <v>16</v>
      </c>
      <c r="K1901" t="s">
        <v>29</v>
      </c>
      <c r="L1901">
        <f t="shared" si="87"/>
        <v>2024</v>
      </c>
      <c r="M1901" t="str">
        <f t="shared" si="88"/>
        <v>Nov</v>
      </c>
      <c r="N1901" s="2">
        <f t="shared" si="89"/>
        <v>0.18942379499094095</v>
      </c>
    </row>
    <row r="1902" spans="1:14" x14ac:dyDescent="0.45">
      <c r="A1902" t="s">
        <v>3672</v>
      </c>
      <c r="B1902" s="1">
        <v>45375</v>
      </c>
      <c r="C1902" t="s">
        <v>3673</v>
      </c>
      <c r="D1902" t="s">
        <v>26</v>
      </c>
      <c r="E1902" t="s">
        <v>14</v>
      </c>
      <c r="F1902" t="s">
        <v>40</v>
      </c>
      <c r="G1902">
        <v>1</v>
      </c>
      <c r="H1902">
        <v>28255.03</v>
      </c>
      <c r="I1902">
        <v>4360.6099999999997</v>
      </c>
      <c r="J1902" t="s">
        <v>16</v>
      </c>
      <c r="K1902" t="s">
        <v>33</v>
      </c>
      <c r="L1902">
        <f t="shared" si="87"/>
        <v>2024</v>
      </c>
      <c r="M1902" t="str">
        <f t="shared" si="88"/>
        <v>Mar</v>
      </c>
      <c r="N1902" s="2">
        <f t="shared" si="89"/>
        <v>0.15433039710097635</v>
      </c>
    </row>
    <row r="1903" spans="1:14" x14ac:dyDescent="0.45">
      <c r="A1903" t="s">
        <v>3674</v>
      </c>
      <c r="B1903" s="1">
        <v>44756</v>
      </c>
      <c r="C1903" t="s">
        <v>3675</v>
      </c>
      <c r="D1903" t="s">
        <v>56</v>
      </c>
      <c r="E1903" t="s">
        <v>20</v>
      </c>
      <c r="F1903" t="s">
        <v>50</v>
      </c>
      <c r="G1903">
        <v>3</v>
      </c>
      <c r="H1903">
        <v>14132.49</v>
      </c>
      <c r="I1903">
        <v>1782.17</v>
      </c>
      <c r="J1903" t="s">
        <v>71</v>
      </c>
      <c r="K1903" t="s">
        <v>17</v>
      </c>
      <c r="L1903">
        <f t="shared" si="87"/>
        <v>2022</v>
      </c>
      <c r="M1903" t="str">
        <f t="shared" si="88"/>
        <v>Jul</v>
      </c>
      <c r="N1903" s="2">
        <f t="shared" si="89"/>
        <v>0.12610445859151501</v>
      </c>
    </row>
    <row r="1904" spans="1:14" x14ac:dyDescent="0.45">
      <c r="A1904" t="s">
        <v>3676</v>
      </c>
      <c r="B1904" s="1">
        <v>45332</v>
      </c>
      <c r="C1904" t="s">
        <v>3677</v>
      </c>
      <c r="D1904" t="s">
        <v>13</v>
      </c>
      <c r="E1904" t="s">
        <v>36</v>
      </c>
      <c r="F1904" t="s">
        <v>53</v>
      </c>
      <c r="G1904">
        <v>4</v>
      </c>
      <c r="H1904">
        <v>19494.16</v>
      </c>
      <c r="I1904">
        <v>1515.36</v>
      </c>
      <c r="J1904" t="s">
        <v>47</v>
      </c>
      <c r="K1904" t="s">
        <v>17</v>
      </c>
      <c r="L1904">
        <f t="shared" si="87"/>
        <v>2024</v>
      </c>
      <c r="M1904" t="str">
        <f t="shared" si="88"/>
        <v>Feb</v>
      </c>
      <c r="N1904" s="2">
        <f t="shared" si="89"/>
        <v>7.7734049582028661E-2</v>
      </c>
    </row>
    <row r="1905" spans="1:14" x14ac:dyDescent="0.45">
      <c r="A1905" t="s">
        <v>3678</v>
      </c>
      <c r="B1905" s="1">
        <v>45096</v>
      </c>
      <c r="C1905" t="s">
        <v>2976</v>
      </c>
      <c r="D1905" t="s">
        <v>26</v>
      </c>
      <c r="E1905" t="s">
        <v>36</v>
      </c>
      <c r="F1905" t="s">
        <v>53</v>
      </c>
      <c r="G1905">
        <v>4</v>
      </c>
      <c r="H1905">
        <v>10698.14</v>
      </c>
      <c r="I1905">
        <v>2118.1</v>
      </c>
      <c r="J1905" t="s">
        <v>16</v>
      </c>
      <c r="K1905" t="s">
        <v>17</v>
      </c>
      <c r="L1905">
        <f t="shared" si="87"/>
        <v>2023</v>
      </c>
      <c r="M1905" t="str">
        <f t="shared" si="88"/>
        <v>Jun</v>
      </c>
      <c r="N1905" s="2">
        <f t="shared" si="89"/>
        <v>0.19798768757933621</v>
      </c>
    </row>
    <row r="1906" spans="1:14" x14ac:dyDescent="0.45">
      <c r="A1906" t="s">
        <v>3679</v>
      </c>
      <c r="B1906" s="1">
        <v>44915</v>
      </c>
      <c r="C1906" t="s">
        <v>3680</v>
      </c>
      <c r="D1906" t="s">
        <v>26</v>
      </c>
      <c r="E1906" t="s">
        <v>14</v>
      </c>
      <c r="F1906" t="s">
        <v>32</v>
      </c>
      <c r="G1906">
        <v>3</v>
      </c>
      <c r="H1906">
        <v>12941.46</v>
      </c>
      <c r="I1906">
        <v>988.63</v>
      </c>
      <c r="J1906" t="s">
        <v>47</v>
      </c>
      <c r="K1906" t="s">
        <v>33</v>
      </c>
      <c r="L1906">
        <f t="shared" si="87"/>
        <v>2022</v>
      </c>
      <c r="M1906" t="str">
        <f t="shared" si="88"/>
        <v>Dec</v>
      </c>
      <c r="N1906" s="2">
        <f t="shared" si="89"/>
        <v>7.6392462674226863E-2</v>
      </c>
    </row>
    <row r="1907" spans="1:14" x14ac:dyDescent="0.45">
      <c r="A1907" t="s">
        <v>3681</v>
      </c>
      <c r="B1907" s="1">
        <v>44845</v>
      </c>
      <c r="C1907" t="s">
        <v>3682</v>
      </c>
      <c r="D1907" t="s">
        <v>13</v>
      </c>
      <c r="E1907" t="s">
        <v>20</v>
      </c>
      <c r="F1907" t="s">
        <v>43</v>
      </c>
      <c r="G1907">
        <v>5</v>
      </c>
      <c r="H1907">
        <v>18815.36</v>
      </c>
      <c r="I1907">
        <v>3124.11</v>
      </c>
      <c r="J1907" t="s">
        <v>71</v>
      </c>
      <c r="K1907" t="s">
        <v>17</v>
      </c>
      <c r="L1907">
        <f t="shared" si="87"/>
        <v>2022</v>
      </c>
      <c r="M1907" t="str">
        <f t="shared" si="88"/>
        <v>Oct</v>
      </c>
      <c r="N1907" s="2">
        <f t="shared" si="89"/>
        <v>0.16604040528589409</v>
      </c>
    </row>
    <row r="1908" spans="1:14" x14ac:dyDescent="0.45">
      <c r="A1908" t="s">
        <v>3683</v>
      </c>
      <c r="B1908" s="1">
        <v>45286</v>
      </c>
      <c r="C1908" t="s">
        <v>3684</v>
      </c>
      <c r="D1908" t="s">
        <v>26</v>
      </c>
      <c r="E1908" t="s">
        <v>36</v>
      </c>
      <c r="F1908" t="s">
        <v>64</v>
      </c>
      <c r="G1908">
        <v>4</v>
      </c>
      <c r="H1908">
        <v>40045.269999999997</v>
      </c>
      <c r="I1908">
        <v>3422.53</v>
      </c>
      <c r="J1908" t="s">
        <v>16</v>
      </c>
      <c r="K1908" t="s">
        <v>33</v>
      </c>
      <c r="L1908">
        <f t="shared" si="87"/>
        <v>2023</v>
      </c>
      <c r="M1908" t="str">
        <f t="shared" si="88"/>
        <v>Dec</v>
      </c>
      <c r="N1908" s="2">
        <f t="shared" si="89"/>
        <v>8.5466523262297908E-2</v>
      </c>
    </row>
    <row r="1909" spans="1:14" x14ac:dyDescent="0.45">
      <c r="A1909" t="s">
        <v>3685</v>
      </c>
      <c r="B1909" s="1">
        <v>44948</v>
      </c>
      <c r="C1909" t="s">
        <v>3686</v>
      </c>
      <c r="D1909" t="s">
        <v>56</v>
      </c>
      <c r="E1909" t="s">
        <v>36</v>
      </c>
      <c r="F1909" t="s">
        <v>46</v>
      </c>
      <c r="G1909">
        <v>4</v>
      </c>
      <c r="H1909">
        <v>32983.379999999997</v>
      </c>
      <c r="I1909">
        <v>2769.47</v>
      </c>
      <c r="J1909" t="s">
        <v>16</v>
      </c>
      <c r="K1909" t="s">
        <v>33</v>
      </c>
      <c r="L1909">
        <f t="shared" si="87"/>
        <v>2023</v>
      </c>
      <c r="M1909" t="str">
        <f t="shared" si="88"/>
        <v>Jan</v>
      </c>
      <c r="N1909" s="2">
        <f t="shared" si="89"/>
        <v>8.3965621473602772E-2</v>
      </c>
    </row>
    <row r="1910" spans="1:14" x14ac:dyDescent="0.45">
      <c r="A1910" t="s">
        <v>3687</v>
      </c>
      <c r="B1910" s="1">
        <v>44665</v>
      </c>
      <c r="C1910" t="s">
        <v>3688</v>
      </c>
      <c r="D1910" t="s">
        <v>56</v>
      </c>
      <c r="E1910" t="s">
        <v>36</v>
      </c>
      <c r="F1910" t="s">
        <v>53</v>
      </c>
      <c r="G1910">
        <v>4</v>
      </c>
      <c r="H1910">
        <v>13919.91</v>
      </c>
      <c r="I1910">
        <v>2482.0300000000002</v>
      </c>
      <c r="J1910" t="s">
        <v>22</v>
      </c>
      <c r="K1910" t="s">
        <v>33</v>
      </c>
      <c r="L1910">
        <f t="shared" si="87"/>
        <v>2022</v>
      </c>
      <c r="M1910" t="str">
        <f t="shared" si="88"/>
        <v>Apr</v>
      </c>
      <c r="N1910" s="2">
        <f t="shared" si="89"/>
        <v>0.17830790572640198</v>
      </c>
    </row>
    <row r="1911" spans="1:14" x14ac:dyDescent="0.45">
      <c r="A1911" t="s">
        <v>3689</v>
      </c>
      <c r="B1911" s="1">
        <v>45392</v>
      </c>
      <c r="C1911" t="s">
        <v>3690</v>
      </c>
      <c r="D1911" t="s">
        <v>56</v>
      </c>
      <c r="E1911" t="s">
        <v>20</v>
      </c>
      <c r="F1911" t="s">
        <v>21</v>
      </c>
      <c r="G1911">
        <v>3</v>
      </c>
      <c r="H1911">
        <v>33852.199999999997</v>
      </c>
      <c r="I1911">
        <v>8403.06</v>
      </c>
      <c r="J1911" t="s">
        <v>22</v>
      </c>
      <c r="K1911" t="s">
        <v>33</v>
      </c>
      <c r="L1911">
        <f t="shared" si="87"/>
        <v>2024</v>
      </c>
      <c r="M1911" t="str">
        <f t="shared" si="88"/>
        <v>Apr</v>
      </c>
      <c r="N1911" s="2">
        <f t="shared" si="89"/>
        <v>0.2482278847460431</v>
      </c>
    </row>
    <row r="1912" spans="1:14" x14ac:dyDescent="0.45">
      <c r="A1912" t="s">
        <v>3691</v>
      </c>
      <c r="B1912" s="1">
        <v>45535</v>
      </c>
      <c r="C1912" t="s">
        <v>3692</v>
      </c>
      <c r="D1912" t="s">
        <v>26</v>
      </c>
      <c r="E1912" t="s">
        <v>36</v>
      </c>
      <c r="F1912" t="s">
        <v>64</v>
      </c>
      <c r="G1912">
        <v>4</v>
      </c>
      <c r="H1912">
        <v>40656.69</v>
      </c>
      <c r="I1912">
        <v>5551.83</v>
      </c>
      <c r="J1912" t="s">
        <v>71</v>
      </c>
      <c r="K1912" t="s">
        <v>23</v>
      </c>
      <c r="L1912">
        <f t="shared" si="87"/>
        <v>2024</v>
      </c>
      <c r="M1912" t="str">
        <f t="shared" si="88"/>
        <v>Aug</v>
      </c>
      <c r="N1912" s="2">
        <f t="shared" si="89"/>
        <v>0.13655391031586683</v>
      </c>
    </row>
    <row r="1913" spans="1:14" x14ac:dyDescent="0.45">
      <c r="A1913" t="s">
        <v>3693</v>
      </c>
      <c r="B1913" s="1">
        <v>44675</v>
      </c>
      <c r="C1913" t="s">
        <v>3525</v>
      </c>
      <c r="D1913" t="s">
        <v>56</v>
      </c>
      <c r="E1913" t="s">
        <v>36</v>
      </c>
      <c r="F1913" t="s">
        <v>46</v>
      </c>
      <c r="G1913">
        <v>5</v>
      </c>
      <c r="H1913">
        <v>40494.46</v>
      </c>
      <c r="I1913">
        <v>8473.74</v>
      </c>
      <c r="J1913" t="s">
        <v>47</v>
      </c>
      <c r="K1913" t="s">
        <v>17</v>
      </c>
      <c r="L1913">
        <f t="shared" si="87"/>
        <v>2022</v>
      </c>
      <c r="M1913" t="str">
        <f t="shared" si="88"/>
        <v>Apr</v>
      </c>
      <c r="N1913" s="2">
        <f t="shared" si="89"/>
        <v>0.20925677240787999</v>
      </c>
    </row>
    <row r="1914" spans="1:14" x14ac:dyDescent="0.45">
      <c r="A1914" t="s">
        <v>3694</v>
      </c>
      <c r="B1914" s="1">
        <v>45458</v>
      </c>
      <c r="C1914" t="s">
        <v>3695</v>
      </c>
      <c r="D1914" t="s">
        <v>26</v>
      </c>
      <c r="E1914" t="s">
        <v>14</v>
      </c>
      <c r="F1914" t="s">
        <v>15</v>
      </c>
      <c r="G1914">
        <v>2</v>
      </c>
      <c r="H1914">
        <v>24362.92</v>
      </c>
      <c r="I1914">
        <v>5410.95</v>
      </c>
      <c r="J1914" t="s">
        <v>16</v>
      </c>
      <c r="K1914" t="s">
        <v>17</v>
      </c>
      <c r="L1914">
        <f t="shared" si="87"/>
        <v>2024</v>
      </c>
      <c r="M1914" t="str">
        <f t="shared" si="88"/>
        <v>Jun</v>
      </c>
      <c r="N1914" s="2">
        <f t="shared" si="89"/>
        <v>0.22209776168045539</v>
      </c>
    </row>
    <row r="1915" spans="1:14" x14ac:dyDescent="0.45">
      <c r="A1915" t="s">
        <v>3696</v>
      </c>
      <c r="B1915" s="1">
        <v>45394</v>
      </c>
      <c r="C1915" t="s">
        <v>3697</v>
      </c>
      <c r="D1915" t="s">
        <v>26</v>
      </c>
      <c r="E1915" t="s">
        <v>36</v>
      </c>
      <c r="F1915" t="s">
        <v>37</v>
      </c>
      <c r="G1915">
        <v>1</v>
      </c>
      <c r="H1915">
        <v>1501.62</v>
      </c>
      <c r="I1915">
        <v>187.09</v>
      </c>
      <c r="J1915" t="s">
        <v>28</v>
      </c>
      <c r="K1915" t="s">
        <v>29</v>
      </c>
      <c r="L1915">
        <f t="shared" si="87"/>
        <v>2024</v>
      </c>
      <c r="M1915" t="str">
        <f t="shared" si="88"/>
        <v>Apr</v>
      </c>
      <c r="N1915" s="2">
        <f t="shared" si="89"/>
        <v>0.12459210719090051</v>
      </c>
    </row>
    <row r="1916" spans="1:14" x14ac:dyDescent="0.45">
      <c r="A1916" t="s">
        <v>3698</v>
      </c>
      <c r="B1916" s="1">
        <v>45215</v>
      </c>
      <c r="C1916" t="s">
        <v>3699</v>
      </c>
      <c r="D1916" t="s">
        <v>56</v>
      </c>
      <c r="E1916" t="s">
        <v>20</v>
      </c>
      <c r="F1916" t="s">
        <v>43</v>
      </c>
      <c r="G1916">
        <v>4</v>
      </c>
      <c r="H1916">
        <v>18878.830000000002</v>
      </c>
      <c r="I1916">
        <v>4284.78</v>
      </c>
      <c r="J1916" t="s">
        <v>16</v>
      </c>
      <c r="K1916" t="s">
        <v>23</v>
      </c>
      <c r="L1916">
        <f t="shared" si="87"/>
        <v>2023</v>
      </c>
      <c r="M1916" t="str">
        <f t="shared" si="88"/>
        <v>Oct</v>
      </c>
      <c r="N1916" s="2">
        <f t="shared" si="89"/>
        <v>0.22696215814221535</v>
      </c>
    </row>
    <row r="1917" spans="1:14" x14ac:dyDescent="0.45">
      <c r="A1917" t="s">
        <v>3700</v>
      </c>
      <c r="B1917" s="1">
        <v>44852</v>
      </c>
      <c r="C1917" t="s">
        <v>3701</v>
      </c>
      <c r="D1917" t="s">
        <v>13</v>
      </c>
      <c r="E1917" t="s">
        <v>36</v>
      </c>
      <c r="F1917" t="s">
        <v>37</v>
      </c>
      <c r="G1917">
        <v>3</v>
      </c>
      <c r="H1917">
        <v>17512.63</v>
      </c>
      <c r="I1917">
        <v>1919.91</v>
      </c>
      <c r="J1917" t="s">
        <v>16</v>
      </c>
      <c r="K1917" t="s">
        <v>29</v>
      </c>
      <c r="L1917">
        <f t="shared" si="87"/>
        <v>2022</v>
      </c>
      <c r="M1917" t="str">
        <f t="shared" si="88"/>
        <v>Oct</v>
      </c>
      <c r="N1917" s="2">
        <f t="shared" si="89"/>
        <v>0.10963002130462415</v>
      </c>
    </row>
    <row r="1918" spans="1:14" x14ac:dyDescent="0.45">
      <c r="A1918" t="s">
        <v>3702</v>
      </c>
      <c r="B1918" s="1">
        <v>44829</v>
      </c>
      <c r="C1918" t="s">
        <v>3703</v>
      </c>
      <c r="D1918" t="s">
        <v>56</v>
      </c>
      <c r="E1918" t="s">
        <v>36</v>
      </c>
      <c r="F1918" t="s">
        <v>53</v>
      </c>
      <c r="G1918">
        <v>4</v>
      </c>
      <c r="H1918">
        <v>1907.16</v>
      </c>
      <c r="I1918">
        <v>123.07</v>
      </c>
      <c r="J1918" t="s">
        <v>28</v>
      </c>
      <c r="K1918" t="s">
        <v>33</v>
      </c>
      <c r="L1918">
        <f t="shared" si="87"/>
        <v>2022</v>
      </c>
      <c r="M1918" t="str">
        <f t="shared" si="88"/>
        <v>Sep</v>
      </c>
      <c r="N1918" s="2">
        <f t="shared" si="89"/>
        <v>6.4530506092829121E-2</v>
      </c>
    </row>
    <row r="1919" spans="1:14" x14ac:dyDescent="0.45">
      <c r="A1919" t="s">
        <v>3704</v>
      </c>
      <c r="B1919" s="1">
        <v>45411</v>
      </c>
      <c r="C1919" t="s">
        <v>3705</v>
      </c>
      <c r="D1919" t="s">
        <v>13</v>
      </c>
      <c r="E1919" t="s">
        <v>36</v>
      </c>
      <c r="F1919" t="s">
        <v>64</v>
      </c>
      <c r="G1919">
        <v>4</v>
      </c>
      <c r="H1919">
        <v>31173.11</v>
      </c>
      <c r="I1919">
        <v>2310.92</v>
      </c>
      <c r="J1919" t="s">
        <v>71</v>
      </c>
      <c r="K1919" t="s">
        <v>29</v>
      </c>
      <c r="L1919">
        <f t="shared" si="87"/>
        <v>2024</v>
      </c>
      <c r="M1919" t="str">
        <f t="shared" si="88"/>
        <v>Apr</v>
      </c>
      <c r="N1919" s="2">
        <f t="shared" si="89"/>
        <v>7.4131839909460429E-2</v>
      </c>
    </row>
    <row r="1920" spans="1:14" x14ac:dyDescent="0.45">
      <c r="A1920" t="s">
        <v>3706</v>
      </c>
      <c r="B1920" s="1">
        <v>45230</v>
      </c>
      <c r="C1920" t="s">
        <v>3707</v>
      </c>
      <c r="D1920" t="s">
        <v>26</v>
      </c>
      <c r="E1920" t="s">
        <v>36</v>
      </c>
      <c r="F1920" t="s">
        <v>53</v>
      </c>
      <c r="G1920">
        <v>5</v>
      </c>
      <c r="H1920">
        <v>29902.6</v>
      </c>
      <c r="I1920">
        <v>6170.06</v>
      </c>
      <c r="J1920" t="s">
        <v>22</v>
      </c>
      <c r="K1920" t="s">
        <v>33</v>
      </c>
      <c r="L1920">
        <f t="shared" si="87"/>
        <v>2023</v>
      </c>
      <c r="M1920" t="str">
        <f t="shared" si="88"/>
        <v>Oct</v>
      </c>
      <c r="N1920" s="2">
        <f t="shared" si="89"/>
        <v>0.20633857925397794</v>
      </c>
    </row>
    <row r="1921" spans="1:14" x14ac:dyDescent="0.45">
      <c r="A1921" t="s">
        <v>3708</v>
      </c>
      <c r="B1921" s="1">
        <v>44763</v>
      </c>
      <c r="C1921" t="s">
        <v>3709</v>
      </c>
      <c r="D1921" t="s">
        <v>26</v>
      </c>
      <c r="E1921" t="s">
        <v>20</v>
      </c>
      <c r="F1921" t="s">
        <v>21</v>
      </c>
      <c r="G1921">
        <v>1</v>
      </c>
      <c r="H1921">
        <v>12330.91</v>
      </c>
      <c r="I1921">
        <v>1466.57</v>
      </c>
      <c r="J1921" t="s">
        <v>71</v>
      </c>
      <c r="K1921" t="s">
        <v>17</v>
      </c>
      <c r="L1921">
        <f t="shared" si="87"/>
        <v>2022</v>
      </c>
      <c r="M1921" t="str">
        <f t="shared" si="88"/>
        <v>Jul</v>
      </c>
      <c r="N1921" s="2">
        <f t="shared" si="89"/>
        <v>0.11893445009330211</v>
      </c>
    </row>
    <row r="1922" spans="1:14" x14ac:dyDescent="0.45">
      <c r="A1922" t="s">
        <v>3710</v>
      </c>
      <c r="B1922" s="1">
        <v>45298</v>
      </c>
      <c r="C1922" t="s">
        <v>3711</v>
      </c>
      <c r="D1922" t="s">
        <v>56</v>
      </c>
      <c r="E1922" t="s">
        <v>36</v>
      </c>
      <c r="F1922" t="s">
        <v>46</v>
      </c>
      <c r="G1922">
        <v>3</v>
      </c>
      <c r="H1922">
        <v>22066.1</v>
      </c>
      <c r="I1922">
        <v>4825.95</v>
      </c>
      <c r="J1922" t="s">
        <v>22</v>
      </c>
      <c r="K1922" t="s">
        <v>33</v>
      </c>
      <c r="L1922">
        <f t="shared" si="87"/>
        <v>2024</v>
      </c>
      <c r="M1922" t="str">
        <f t="shared" si="88"/>
        <v>Jan</v>
      </c>
      <c r="N1922" s="2">
        <f t="shared" si="89"/>
        <v>0.21870425675583816</v>
      </c>
    </row>
    <row r="1923" spans="1:14" x14ac:dyDescent="0.45">
      <c r="A1923" t="s">
        <v>3712</v>
      </c>
      <c r="B1923" s="1">
        <v>44902</v>
      </c>
      <c r="C1923" t="s">
        <v>259</v>
      </c>
      <c r="D1923" t="s">
        <v>56</v>
      </c>
      <c r="E1923" t="s">
        <v>14</v>
      </c>
      <c r="F1923" t="s">
        <v>32</v>
      </c>
      <c r="G1923">
        <v>1</v>
      </c>
      <c r="H1923">
        <v>38572.21</v>
      </c>
      <c r="I1923">
        <v>7979.85</v>
      </c>
      <c r="J1923" t="s">
        <v>71</v>
      </c>
      <c r="K1923" t="s">
        <v>23</v>
      </c>
      <c r="L1923">
        <f t="shared" ref="L1923:L1986" si="90">YEAR(B1923 )</f>
        <v>2022</v>
      </c>
      <c r="M1923" t="str">
        <f t="shared" ref="M1923:M1986" si="91">TEXT(B1923,"MMM")</f>
        <v>Dec</v>
      </c>
      <c r="N1923" s="2">
        <f t="shared" ref="N1923:N1986" si="92">I1923 / H1923</f>
        <v>0.20688080874805984</v>
      </c>
    </row>
    <row r="1924" spans="1:14" x14ac:dyDescent="0.45">
      <c r="A1924" t="s">
        <v>3713</v>
      </c>
      <c r="B1924" s="1">
        <v>45307</v>
      </c>
      <c r="C1924" t="s">
        <v>3714</v>
      </c>
      <c r="D1924" t="s">
        <v>26</v>
      </c>
      <c r="E1924" t="s">
        <v>14</v>
      </c>
      <c r="F1924" t="s">
        <v>32</v>
      </c>
      <c r="G1924">
        <v>1</v>
      </c>
      <c r="H1924">
        <v>18420.16</v>
      </c>
      <c r="I1924">
        <v>2595.64</v>
      </c>
      <c r="J1924" t="s">
        <v>71</v>
      </c>
      <c r="K1924" t="s">
        <v>33</v>
      </c>
      <c r="L1924">
        <f t="shared" si="90"/>
        <v>2024</v>
      </c>
      <c r="M1924" t="str">
        <f t="shared" si="91"/>
        <v>Jan</v>
      </c>
      <c r="N1924" s="2">
        <f t="shared" si="92"/>
        <v>0.14091299966992685</v>
      </c>
    </row>
    <row r="1925" spans="1:14" x14ac:dyDescent="0.45">
      <c r="A1925" t="s">
        <v>3715</v>
      </c>
      <c r="B1925" s="1">
        <v>44831</v>
      </c>
      <c r="C1925" t="s">
        <v>238</v>
      </c>
      <c r="D1925" t="s">
        <v>56</v>
      </c>
      <c r="E1925" t="s">
        <v>14</v>
      </c>
      <c r="F1925" t="s">
        <v>15</v>
      </c>
      <c r="G1925">
        <v>3</v>
      </c>
      <c r="H1925">
        <v>19419.38</v>
      </c>
      <c r="I1925">
        <v>1942.93</v>
      </c>
      <c r="J1925" t="s">
        <v>22</v>
      </c>
      <c r="K1925" t="s">
        <v>29</v>
      </c>
      <c r="L1925">
        <f t="shared" si="90"/>
        <v>2022</v>
      </c>
      <c r="M1925" t="str">
        <f t="shared" si="91"/>
        <v>Sep</v>
      </c>
      <c r="N1925" s="2">
        <f t="shared" si="92"/>
        <v>0.10005108299029114</v>
      </c>
    </row>
    <row r="1926" spans="1:14" x14ac:dyDescent="0.45">
      <c r="A1926" t="s">
        <v>3716</v>
      </c>
      <c r="B1926" s="1">
        <v>44935</v>
      </c>
      <c r="C1926" t="s">
        <v>3717</v>
      </c>
      <c r="D1926" t="s">
        <v>13</v>
      </c>
      <c r="E1926" t="s">
        <v>14</v>
      </c>
      <c r="F1926" t="s">
        <v>15</v>
      </c>
      <c r="G1926">
        <v>1</v>
      </c>
      <c r="H1926">
        <v>37092.410000000003</v>
      </c>
      <c r="I1926">
        <v>2590.6999999999998</v>
      </c>
      <c r="J1926" t="s">
        <v>16</v>
      </c>
      <c r="K1926" t="s">
        <v>33</v>
      </c>
      <c r="L1926">
        <f t="shared" si="90"/>
        <v>2023</v>
      </c>
      <c r="M1926" t="str">
        <f t="shared" si="91"/>
        <v>Jan</v>
      </c>
      <c r="N1926" s="2">
        <f t="shared" si="92"/>
        <v>6.9844477616849365E-2</v>
      </c>
    </row>
    <row r="1927" spans="1:14" x14ac:dyDescent="0.45">
      <c r="A1927" t="s">
        <v>3718</v>
      </c>
      <c r="B1927" s="1">
        <v>44811</v>
      </c>
      <c r="C1927" t="s">
        <v>3719</v>
      </c>
      <c r="D1927" t="s">
        <v>56</v>
      </c>
      <c r="E1927" t="s">
        <v>20</v>
      </c>
      <c r="F1927" t="s">
        <v>43</v>
      </c>
      <c r="G1927">
        <v>3</v>
      </c>
      <c r="H1927">
        <v>1848.59</v>
      </c>
      <c r="I1927">
        <v>451.97</v>
      </c>
      <c r="J1927" t="s">
        <v>47</v>
      </c>
      <c r="K1927" t="s">
        <v>17</v>
      </c>
      <c r="L1927">
        <f t="shared" si="90"/>
        <v>2022</v>
      </c>
      <c r="M1927" t="str">
        <f t="shared" si="91"/>
        <v>Sep</v>
      </c>
      <c r="N1927" s="2">
        <f t="shared" si="92"/>
        <v>0.24449445252868404</v>
      </c>
    </row>
    <row r="1928" spans="1:14" x14ac:dyDescent="0.45">
      <c r="A1928" t="s">
        <v>3720</v>
      </c>
      <c r="B1928" s="1">
        <v>44632</v>
      </c>
      <c r="C1928" t="s">
        <v>3721</v>
      </c>
      <c r="D1928" t="s">
        <v>26</v>
      </c>
      <c r="E1928" t="s">
        <v>14</v>
      </c>
      <c r="F1928" t="s">
        <v>57</v>
      </c>
      <c r="G1928">
        <v>3</v>
      </c>
      <c r="H1928">
        <v>49136.66</v>
      </c>
      <c r="I1928">
        <v>2910.95</v>
      </c>
      <c r="J1928" t="s">
        <v>22</v>
      </c>
      <c r="K1928" t="s">
        <v>33</v>
      </c>
      <c r="L1928">
        <f t="shared" si="90"/>
        <v>2022</v>
      </c>
      <c r="M1928" t="str">
        <f t="shared" si="91"/>
        <v>Mar</v>
      </c>
      <c r="N1928" s="2">
        <f t="shared" si="92"/>
        <v>5.9241918355867076E-2</v>
      </c>
    </row>
    <row r="1929" spans="1:14" x14ac:dyDescent="0.45">
      <c r="A1929" t="s">
        <v>3722</v>
      </c>
      <c r="B1929" s="1">
        <v>44742</v>
      </c>
      <c r="C1929" t="s">
        <v>2297</v>
      </c>
      <c r="D1929" t="s">
        <v>13</v>
      </c>
      <c r="E1929" t="s">
        <v>20</v>
      </c>
      <c r="F1929" t="s">
        <v>43</v>
      </c>
      <c r="G1929">
        <v>4</v>
      </c>
      <c r="H1929">
        <v>33045.58</v>
      </c>
      <c r="I1929">
        <v>2578.31</v>
      </c>
      <c r="J1929" t="s">
        <v>28</v>
      </c>
      <c r="K1929" t="s">
        <v>29</v>
      </c>
      <c r="L1929">
        <f t="shared" si="90"/>
        <v>2022</v>
      </c>
      <c r="M1929" t="str">
        <f t="shared" si="91"/>
        <v>Jun</v>
      </c>
      <c r="N1929" s="2">
        <f t="shared" si="92"/>
        <v>7.8022839968310428E-2</v>
      </c>
    </row>
    <row r="1930" spans="1:14" x14ac:dyDescent="0.45">
      <c r="A1930" t="s">
        <v>3723</v>
      </c>
      <c r="B1930" s="1">
        <v>44648</v>
      </c>
      <c r="C1930" t="s">
        <v>3724</v>
      </c>
      <c r="D1930" t="s">
        <v>56</v>
      </c>
      <c r="E1930" t="s">
        <v>20</v>
      </c>
      <c r="F1930" t="s">
        <v>50</v>
      </c>
      <c r="G1930">
        <v>3</v>
      </c>
      <c r="H1930">
        <v>29098.959999999999</v>
      </c>
      <c r="I1930">
        <v>1893.67</v>
      </c>
      <c r="J1930" t="s">
        <v>47</v>
      </c>
      <c r="K1930" t="s">
        <v>29</v>
      </c>
      <c r="L1930">
        <f t="shared" si="90"/>
        <v>2022</v>
      </c>
      <c r="M1930" t="str">
        <f t="shared" si="91"/>
        <v>Mar</v>
      </c>
      <c r="N1930" s="2">
        <f t="shared" si="92"/>
        <v>6.5076896218971406E-2</v>
      </c>
    </row>
    <row r="1931" spans="1:14" x14ac:dyDescent="0.45">
      <c r="A1931" t="s">
        <v>3725</v>
      </c>
      <c r="B1931" s="1">
        <v>45349</v>
      </c>
      <c r="C1931" t="s">
        <v>3726</v>
      </c>
      <c r="D1931" t="s">
        <v>56</v>
      </c>
      <c r="E1931" t="s">
        <v>20</v>
      </c>
      <c r="F1931" t="s">
        <v>27</v>
      </c>
      <c r="G1931">
        <v>1</v>
      </c>
      <c r="H1931">
        <v>31707.57</v>
      </c>
      <c r="I1931">
        <v>6698.99</v>
      </c>
      <c r="J1931" t="s">
        <v>28</v>
      </c>
      <c r="K1931" t="s">
        <v>29</v>
      </c>
      <c r="L1931">
        <f t="shared" si="90"/>
        <v>2024</v>
      </c>
      <c r="M1931" t="str">
        <f t="shared" si="91"/>
        <v>Feb</v>
      </c>
      <c r="N1931" s="2">
        <f t="shared" si="92"/>
        <v>0.21127415314387069</v>
      </c>
    </row>
    <row r="1932" spans="1:14" x14ac:dyDescent="0.45">
      <c r="A1932" t="s">
        <v>3727</v>
      </c>
      <c r="B1932" s="1">
        <v>44738</v>
      </c>
      <c r="C1932" t="s">
        <v>3728</v>
      </c>
      <c r="D1932" t="s">
        <v>26</v>
      </c>
      <c r="E1932" t="s">
        <v>36</v>
      </c>
      <c r="F1932" t="s">
        <v>37</v>
      </c>
      <c r="G1932">
        <v>4</v>
      </c>
      <c r="H1932">
        <v>2831.49</v>
      </c>
      <c r="I1932">
        <v>143.47</v>
      </c>
      <c r="J1932" t="s">
        <v>47</v>
      </c>
      <c r="K1932" t="s">
        <v>33</v>
      </c>
      <c r="L1932">
        <f t="shared" si="90"/>
        <v>2022</v>
      </c>
      <c r="M1932" t="str">
        <f t="shared" si="91"/>
        <v>Jun</v>
      </c>
      <c r="N1932" s="2">
        <f t="shared" si="92"/>
        <v>5.0669435526878082E-2</v>
      </c>
    </row>
    <row r="1933" spans="1:14" x14ac:dyDescent="0.45">
      <c r="A1933" t="s">
        <v>3729</v>
      </c>
      <c r="B1933" s="1">
        <v>45368</v>
      </c>
      <c r="C1933" t="s">
        <v>3730</v>
      </c>
      <c r="D1933" t="s">
        <v>26</v>
      </c>
      <c r="E1933" t="s">
        <v>14</v>
      </c>
      <c r="F1933" t="s">
        <v>32</v>
      </c>
      <c r="G1933">
        <v>4</v>
      </c>
      <c r="H1933">
        <v>20263.150000000001</v>
      </c>
      <c r="I1933">
        <v>3631.38</v>
      </c>
      <c r="J1933" t="s">
        <v>22</v>
      </c>
      <c r="K1933" t="s">
        <v>33</v>
      </c>
      <c r="L1933">
        <f t="shared" si="90"/>
        <v>2024</v>
      </c>
      <c r="M1933" t="str">
        <f t="shared" si="91"/>
        <v>Mar</v>
      </c>
      <c r="N1933" s="2">
        <f t="shared" si="92"/>
        <v>0.17921103086144058</v>
      </c>
    </row>
    <row r="1934" spans="1:14" x14ac:dyDescent="0.45">
      <c r="A1934" t="s">
        <v>3731</v>
      </c>
      <c r="B1934" s="1">
        <v>44760</v>
      </c>
      <c r="C1934" t="s">
        <v>373</v>
      </c>
      <c r="D1934" t="s">
        <v>56</v>
      </c>
      <c r="E1934" t="s">
        <v>14</v>
      </c>
      <c r="F1934" t="s">
        <v>40</v>
      </c>
      <c r="G1934">
        <v>2</v>
      </c>
      <c r="H1934">
        <v>43748.02</v>
      </c>
      <c r="I1934">
        <v>6982.77</v>
      </c>
      <c r="J1934" t="s">
        <v>71</v>
      </c>
      <c r="K1934" t="s">
        <v>23</v>
      </c>
      <c r="L1934">
        <f t="shared" si="90"/>
        <v>2022</v>
      </c>
      <c r="M1934" t="str">
        <f t="shared" si="91"/>
        <v>Jul</v>
      </c>
      <c r="N1934" s="2">
        <f t="shared" si="92"/>
        <v>0.15961339507479427</v>
      </c>
    </row>
    <row r="1935" spans="1:14" x14ac:dyDescent="0.45">
      <c r="A1935" t="s">
        <v>3732</v>
      </c>
      <c r="B1935" s="1">
        <v>45621</v>
      </c>
      <c r="C1935" t="s">
        <v>3733</v>
      </c>
      <c r="D1935" t="s">
        <v>56</v>
      </c>
      <c r="E1935" t="s">
        <v>14</v>
      </c>
      <c r="F1935" t="s">
        <v>32</v>
      </c>
      <c r="G1935">
        <v>2</v>
      </c>
      <c r="H1935">
        <v>36914.35</v>
      </c>
      <c r="I1935">
        <v>6569</v>
      </c>
      <c r="J1935" t="s">
        <v>71</v>
      </c>
      <c r="K1935" t="s">
        <v>33</v>
      </c>
      <c r="L1935">
        <f t="shared" si="90"/>
        <v>2024</v>
      </c>
      <c r="M1935" t="str">
        <f t="shared" si="91"/>
        <v>Nov</v>
      </c>
      <c r="N1935" s="2">
        <f t="shared" si="92"/>
        <v>0.17795247647595042</v>
      </c>
    </row>
    <row r="1936" spans="1:14" x14ac:dyDescent="0.45">
      <c r="A1936" t="s">
        <v>3734</v>
      </c>
      <c r="B1936" s="1">
        <v>44871</v>
      </c>
      <c r="C1936" t="s">
        <v>3735</v>
      </c>
      <c r="D1936" t="s">
        <v>13</v>
      </c>
      <c r="E1936" t="s">
        <v>20</v>
      </c>
      <c r="F1936" t="s">
        <v>21</v>
      </c>
      <c r="G1936">
        <v>2</v>
      </c>
      <c r="H1936">
        <v>40192.61</v>
      </c>
      <c r="I1936">
        <v>5403.33</v>
      </c>
      <c r="J1936" t="s">
        <v>28</v>
      </c>
      <c r="K1936" t="s">
        <v>17</v>
      </c>
      <c r="L1936">
        <f t="shared" si="90"/>
        <v>2022</v>
      </c>
      <c r="M1936" t="str">
        <f t="shared" si="91"/>
        <v>Nov</v>
      </c>
      <c r="N1936" s="2">
        <f t="shared" si="92"/>
        <v>0.13443590749642781</v>
      </c>
    </row>
    <row r="1937" spans="1:14" x14ac:dyDescent="0.45">
      <c r="A1937" t="s">
        <v>3736</v>
      </c>
      <c r="B1937" s="1">
        <v>44829</v>
      </c>
      <c r="C1937" t="s">
        <v>3737</v>
      </c>
      <c r="D1937" t="s">
        <v>13</v>
      </c>
      <c r="E1937" t="s">
        <v>36</v>
      </c>
      <c r="F1937" t="s">
        <v>37</v>
      </c>
      <c r="G1937">
        <v>3</v>
      </c>
      <c r="H1937">
        <v>35501.58</v>
      </c>
      <c r="I1937">
        <v>4768.7299999999996</v>
      </c>
      <c r="J1937" t="s">
        <v>28</v>
      </c>
      <c r="K1937" t="s">
        <v>33</v>
      </c>
      <c r="L1937">
        <f t="shared" si="90"/>
        <v>2022</v>
      </c>
      <c r="M1937" t="str">
        <f t="shared" si="91"/>
        <v>Sep</v>
      </c>
      <c r="N1937" s="2">
        <f t="shared" si="92"/>
        <v>0.13432444415149972</v>
      </c>
    </row>
    <row r="1938" spans="1:14" x14ac:dyDescent="0.45">
      <c r="A1938" t="s">
        <v>3738</v>
      </c>
      <c r="B1938" s="1">
        <v>45572</v>
      </c>
      <c r="C1938" t="s">
        <v>3739</v>
      </c>
      <c r="D1938" t="s">
        <v>13</v>
      </c>
      <c r="E1938" t="s">
        <v>14</v>
      </c>
      <c r="F1938" t="s">
        <v>40</v>
      </c>
      <c r="G1938">
        <v>4</v>
      </c>
      <c r="H1938">
        <v>34158.19</v>
      </c>
      <c r="I1938">
        <v>7725.92</v>
      </c>
      <c r="J1938" t="s">
        <v>16</v>
      </c>
      <c r="K1938" t="s">
        <v>29</v>
      </c>
      <c r="L1938">
        <f t="shared" si="90"/>
        <v>2024</v>
      </c>
      <c r="M1938" t="str">
        <f t="shared" si="91"/>
        <v>Oct</v>
      </c>
      <c r="N1938" s="2">
        <f t="shared" si="92"/>
        <v>0.22618060266073817</v>
      </c>
    </row>
    <row r="1939" spans="1:14" x14ac:dyDescent="0.45">
      <c r="A1939" t="s">
        <v>3740</v>
      </c>
      <c r="B1939" s="1">
        <v>45319</v>
      </c>
      <c r="C1939" t="s">
        <v>3741</v>
      </c>
      <c r="D1939" t="s">
        <v>13</v>
      </c>
      <c r="E1939" t="s">
        <v>36</v>
      </c>
      <c r="F1939" t="s">
        <v>46</v>
      </c>
      <c r="G1939">
        <v>1</v>
      </c>
      <c r="H1939">
        <v>42105.9</v>
      </c>
      <c r="I1939">
        <v>10446.200000000001</v>
      </c>
      <c r="J1939" t="s">
        <v>16</v>
      </c>
      <c r="K1939" t="s">
        <v>33</v>
      </c>
      <c r="L1939">
        <f t="shared" si="90"/>
        <v>2024</v>
      </c>
      <c r="M1939" t="str">
        <f t="shared" si="91"/>
        <v>Jan</v>
      </c>
      <c r="N1939" s="2">
        <f t="shared" si="92"/>
        <v>0.24809349758584903</v>
      </c>
    </row>
    <row r="1940" spans="1:14" x14ac:dyDescent="0.45">
      <c r="A1940" t="s">
        <v>3742</v>
      </c>
      <c r="B1940" s="1">
        <v>44909</v>
      </c>
      <c r="C1940" t="s">
        <v>3743</v>
      </c>
      <c r="D1940" t="s">
        <v>26</v>
      </c>
      <c r="E1940" t="s">
        <v>14</v>
      </c>
      <c r="F1940" t="s">
        <v>57</v>
      </c>
      <c r="G1940">
        <v>5</v>
      </c>
      <c r="H1940">
        <v>5815.89</v>
      </c>
      <c r="I1940">
        <v>958.42</v>
      </c>
      <c r="J1940" t="s">
        <v>16</v>
      </c>
      <c r="K1940" t="s">
        <v>29</v>
      </c>
      <c r="L1940">
        <f t="shared" si="90"/>
        <v>2022</v>
      </c>
      <c r="M1940" t="str">
        <f t="shared" si="91"/>
        <v>Dec</v>
      </c>
      <c r="N1940" s="2">
        <f t="shared" si="92"/>
        <v>0.16479335063077188</v>
      </c>
    </row>
    <row r="1941" spans="1:14" x14ac:dyDescent="0.45">
      <c r="A1941" t="s">
        <v>3744</v>
      </c>
      <c r="B1941" s="1">
        <v>44663</v>
      </c>
      <c r="C1941" t="s">
        <v>3745</v>
      </c>
      <c r="D1941" t="s">
        <v>26</v>
      </c>
      <c r="E1941" t="s">
        <v>20</v>
      </c>
      <c r="F1941" t="s">
        <v>27</v>
      </c>
      <c r="G1941">
        <v>1</v>
      </c>
      <c r="H1941">
        <v>37043.279999999999</v>
      </c>
      <c r="I1941">
        <v>7928.94</v>
      </c>
      <c r="J1941" t="s">
        <v>16</v>
      </c>
      <c r="K1941" t="s">
        <v>23</v>
      </c>
      <c r="L1941">
        <f t="shared" si="90"/>
        <v>2022</v>
      </c>
      <c r="M1941" t="str">
        <f t="shared" si="91"/>
        <v>Apr</v>
      </c>
      <c r="N1941" s="2">
        <f t="shared" si="92"/>
        <v>0.21404530052414364</v>
      </c>
    </row>
    <row r="1942" spans="1:14" x14ac:dyDescent="0.45">
      <c r="A1942" t="s">
        <v>3746</v>
      </c>
      <c r="B1942" s="1">
        <v>44764</v>
      </c>
      <c r="C1942" t="s">
        <v>1478</v>
      </c>
      <c r="D1942" t="s">
        <v>56</v>
      </c>
      <c r="E1942" t="s">
        <v>14</v>
      </c>
      <c r="F1942" t="s">
        <v>15</v>
      </c>
      <c r="G1942">
        <v>1</v>
      </c>
      <c r="H1942">
        <v>28538.11</v>
      </c>
      <c r="I1942">
        <v>5641.37</v>
      </c>
      <c r="J1942" t="s">
        <v>22</v>
      </c>
      <c r="K1942" t="s">
        <v>17</v>
      </c>
      <c r="L1942">
        <f t="shared" si="90"/>
        <v>2022</v>
      </c>
      <c r="M1942" t="str">
        <f t="shared" si="91"/>
        <v>Jul</v>
      </c>
      <c r="N1942" s="2">
        <f t="shared" si="92"/>
        <v>0.19767847275099856</v>
      </c>
    </row>
    <row r="1943" spans="1:14" x14ac:dyDescent="0.45">
      <c r="A1943" t="s">
        <v>3747</v>
      </c>
      <c r="B1943" s="1">
        <v>45335</v>
      </c>
      <c r="C1943" t="s">
        <v>3748</v>
      </c>
      <c r="D1943" t="s">
        <v>13</v>
      </c>
      <c r="E1943" t="s">
        <v>20</v>
      </c>
      <c r="F1943" t="s">
        <v>50</v>
      </c>
      <c r="G1943">
        <v>1</v>
      </c>
      <c r="H1943">
        <v>5032.3</v>
      </c>
      <c r="I1943">
        <v>652.91</v>
      </c>
      <c r="J1943" t="s">
        <v>16</v>
      </c>
      <c r="K1943" t="s">
        <v>33</v>
      </c>
      <c r="L1943">
        <f t="shared" si="90"/>
        <v>2024</v>
      </c>
      <c r="M1943" t="str">
        <f t="shared" si="91"/>
        <v>Feb</v>
      </c>
      <c r="N1943" s="2">
        <f t="shared" si="92"/>
        <v>0.12974385469864674</v>
      </c>
    </row>
    <row r="1944" spans="1:14" x14ac:dyDescent="0.45">
      <c r="A1944" t="s">
        <v>3749</v>
      </c>
      <c r="B1944" s="1">
        <v>45039</v>
      </c>
      <c r="C1944" t="s">
        <v>3750</v>
      </c>
      <c r="D1944" t="s">
        <v>13</v>
      </c>
      <c r="E1944" t="s">
        <v>20</v>
      </c>
      <c r="F1944" t="s">
        <v>21</v>
      </c>
      <c r="G1944">
        <v>2</v>
      </c>
      <c r="H1944">
        <v>40458.74</v>
      </c>
      <c r="I1944">
        <v>2147.69</v>
      </c>
      <c r="J1944" t="s">
        <v>16</v>
      </c>
      <c r="K1944" t="s">
        <v>17</v>
      </c>
      <c r="L1944">
        <f t="shared" si="90"/>
        <v>2023</v>
      </c>
      <c r="M1944" t="str">
        <f t="shared" si="91"/>
        <v>Apr</v>
      </c>
      <c r="N1944" s="2">
        <f t="shared" si="92"/>
        <v>5.3083462312469451E-2</v>
      </c>
    </row>
    <row r="1945" spans="1:14" x14ac:dyDescent="0.45">
      <c r="A1945" t="s">
        <v>3751</v>
      </c>
      <c r="B1945" s="1">
        <v>45181</v>
      </c>
      <c r="C1945" t="s">
        <v>3752</v>
      </c>
      <c r="D1945" t="s">
        <v>56</v>
      </c>
      <c r="E1945" t="s">
        <v>36</v>
      </c>
      <c r="F1945" t="s">
        <v>53</v>
      </c>
      <c r="G1945">
        <v>4</v>
      </c>
      <c r="H1945">
        <v>44867.53</v>
      </c>
      <c r="I1945">
        <v>7054.29</v>
      </c>
      <c r="J1945" t="s">
        <v>28</v>
      </c>
      <c r="K1945" t="s">
        <v>23</v>
      </c>
      <c r="L1945">
        <f t="shared" si="90"/>
        <v>2023</v>
      </c>
      <c r="M1945" t="str">
        <f t="shared" si="91"/>
        <v>Sep</v>
      </c>
      <c r="N1945" s="2">
        <f t="shared" si="92"/>
        <v>0.15722483497531511</v>
      </c>
    </row>
    <row r="1946" spans="1:14" x14ac:dyDescent="0.45">
      <c r="A1946" t="s">
        <v>3753</v>
      </c>
      <c r="B1946" s="1">
        <v>45397</v>
      </c>
      <c r="C1946" t="s">
        <v>3754</v>
      </c>
      <c r="D1946" t="s">
        <v>26</v>
      </c>
      <c r="E1946" t="s">
        <v>14</v>
      </c>
      <c r="F1946" t="s">
        <v>57</v>
      </c>
      <c r="G1946">
        <v>4</v>
      </c>
      <c r="H1946">
        <v>5626.48</v>
      </c>
      <c r="I1946">
        <v>1197.75</v>
      </c>
      <c r="J1946" t="s">
        <v>16</v>
      </c>
      <c r="K1946" t="s">
        <v>33</v>
      </c>
      <c r="L1946">
        <f t="shared" si="90"/>
        <v>2024</v>
      </c>
      <c r="M1946" t="str">
        <f t="shared" si="91"/>
        <v>Apr</v>
      </c>
      <c r="N1946" s="2">
        <f t="shared" si="92"/>
        <v>0.2128773229443631</v>
      </c>
    </row>
    <row r="1947" spans="1:14" x14ac:dyDescent="0.45">
      <c r="A1947" t="s">
        <v>3755</v>
      </c>
      <c r="B1947" s="1">
        <v>45242</v>
      </c>
      <c r="C1947" t="s">
        <v>3756</v>
      </c>
      <c r="D1947" t="s">
        <v>26</v>
      </c>
      <c r="E1947" t="s">
        <v>20</v>
      </c>
      <c r="F1947" t="s">
        <v>43</v>
      </c>
      <c r="G1947">
        <v>1</v>
      </c>
      <c r="H1947">
        <v>21966.44</v>
      </c>
      <c r="I1947">
        <v>3497.45</v>
      </c>
      <c r="J1947" t="s">
        <v>28</v>
      </c>
      <c r="K1947" t="s">
        <v>29</v>
      </c>
      <c r="L1947">
        <f t="shared" si="90"/>
        <v>2023</v>
      </c>
      <c r="M1947" t="str">
        <f t="shared" si="91"/>
        <v>Nov</v>
      </c>
      <c r="N1947" s="2">
        <f t="shared" si="92"/>
        <v>0.15921787963821174</v>
      </c>
    </row>
    <row r="1948" spans="1:14" x14ac:dyDescent="0.45">
      <c r="A1948" t="s">
        <v>3757</v>
      </c>
      <c r="B1948" s="1">
        <v>45167</v>
      </c>
      <c r="C1948" t="s">
        <v>3758</v>
      </c>
      <c r="D1948" t="s">
        <v>26</v>
      </c>
      <c r="E1948" t="s">
        <v>14</v>
      </c>
      <c r="F1948" t="s">
        <v>57</v>
      </c>
      <c r="G1948">
        <v>2</v>
      </c>
      <c r="H1948">
        <v>2624.05</v>
      </c>
      <c r="I1948">
        <v>601.76</v>
      </c>
      <c r="J1948" t="s">
        <v>47</v>
      </c>
      <c r="K1948" t="s">
        <v>33</v>
      </c>
      <c r="L1948">
        <f t="shared" si="90"/>
        <v>2023</v>
      </c>
      <c r="M1948" t="str">
        <f t="shared" si="91"/>
        <v>Aug</v>
      </c>
      <c r="N1948" s="2">
        <f t="shared" si="92"/>
        <v>0.22932489853470778</v>
      </c>
    </row>
    <row r="1949" spans="1:14" x14ac:dyDescent="0.45">
      <c r="A1949" t="s">
        <v>3759</v>
      </c>
      <c r="B1949" s="1">
        <v>45356</v>
      </c>
      <c r="C1949" t="s">
        <v>3760</v>
      </c>
      <c r="D1949" t="s">
        <v>13</v>
      </c>
      <c r="E1949" t="s">
        <v>20</v>
      </c>
      <c r="F1949" t="s">
        <v>50</v>
      </c>
      <c r="G1949">
        <v>3</v>
      </c>
      <c r="H1949">
        <v>30951.21</v>
      </c>
      <c r="I1949">
        <v>3917.2</v>
      </c>
      <c r="J1949" t="s">
        <v>71</v>
      </c>
      <c r="K1949" t="s">
        <v>23</v>
      </c>
      <c r="L1949">
        <f t="shared" si="90"/>
        <v>2024</v>
      </c>
      <c r="M1949" t="str">
        <f t="shared" si="91"/>
        <v>Mar</v>
      </c>
      <c r="N1949" s="2">
        <f t="shared" si="92"/>
        <v>0.12656048018801203</v>
      </c>
    </row>
    <row r="1950" spans="1:14" x14ac:dyDescent="0.45">
      <c r="A1950" t="s">
        <v>3761</v>
      </c>
      <c r="B1950" s="1">
        <v>44848</v>
      </c>
      <c r="C1950" t="s">
        <v>666</v>
      </c>
      <c r="D1950" t="s">
        <v>26</v>
      </c>
      <c r="E1950" t="s">
        <v>36</v>
      </c>
      <c r="F1950" t="s">
        <v>53</v>
      </c>
      <c r="G1950">
        <v>5</v>
      </c>
      <c r="H1950">
        <v>48412.97</v>
      </c>
      <c r="I1950">
        <v>4554</v>
      </c>
      <c r="J1950" t="s">
        <v>16</v>
      </c>
      <c r="K1950" t="s">
        <v>29</v>
      </c>
      <c r="L1950">
        <f t="shared" si="90"/>
        <v>2022</v>
      </c>
      <c r="M1950" t="str">
        <f t="shared" si="91"/>
        <v>Oct</v>
      </c>
      <c r="N1950" s="2">
        <f t="shared" si="92"/>
        <v>9.4065701815030142E-2</v>
      </c>
    </row>
    <row r="1951" spans="1:14" x14ac:dyDescent="0.45">
      <c r="A1951" t="s">
        <v>3762</v>
      </c>
      <c r="B1951" s="1">
        <v>45591</v>
      </c>
      <c r="C1951" t="s">
        <v>3763</v>
      </c>
      <c r="D1951" t="s">
        <v>13</v>
      </c>
      <c r="E1951" t="s">
        <v>20</v>
      </c>
      <c r="F1951" t="s">
        <v>50</v>
      </c>
      <c r="G1951">
        <v>3</v>
      </c>
      <c r="H1951">
        <v>39093.230000000003</v>
      </c>
      <c r="I1951">
        <v>9002.9599999999991</v>
      </c>
      <c r="J1951" t="s">
        <v>16</v>
      </c>
      <c r="K1951" t="s">
        <v>33</v>
      </c>
      <c r="L1951">
        <f t="shared" si="90"/>
        <v>2024</v>
      </c>
      <c r="M1951" t="str">
        <f t="shared" si="91"/>
        <v>Oct</v>
      </c>
      <c r="N1951" s="2">
        <f t="shared" si="92"/>
        <v>0.23029460599699739</v>
      </c>
    </row>
    <row r="1952" spans="1:14" x14ac:dyDescent="0.45">
      <c r="A1952" t="s">
        <v>3764</v>
      </c>
      <c r="B1952" s="1">
        <v>45520</v>
      </c>
      <c r="C1952" t="s">
        <v>3199</v>
      </c>
      <c r="D1952" t="s">
        <v>26</v>
      </c>
      <c r="E1952" t="s">
        <v>20</v>
      </c>
      <c r="F1952" t="s">
        <v>21</v>
      </c>
      <c r="G1952">
        <v>1</v>
      </c>
      <c r="H1952">
        <v>34596.370000000003</v>
      </c>
      <c r="I1952">
        <v>1980.23</v>
      </c>
      <c r="J1952" t="s">
        <v>16</v>
      </c>
      <c r="K1952" t="s">
        <v>23</v>
      </c>
      <c r="L1952">
        <f t="shared" si="90"/>
        <v>2024</v>
      </c>
      <c r="M1952" t="str">
        <f t="shared" si="91"/>
        <v>Aug</v>
      </c>
      <c r="N1952" s="2">
        <f t="shared" si="92"/>
        <v>5.7238085961041574E-2</v>
      </c>
    </row>
    <row r="1953" spans="1:14" x14ac:dyDescent="0.45">
      <c r="A1953" t="s">
        <v>3765</v>
      </c>
      <c r="B1953" s="1">
        <v>44739</v>
      </c>
      <c r="C1953" t="s">
        <v>3766</v>
      </c>
      <c r="D1953" t="s">
        <v>26</v>
      </c>
      <c r="E1953" t="s">
        <v>14</v>
      </c>
      <c r="F1953" t="s">
        <v>15</v>
      </c>
      <c r="G1953">
        <v>4</v>
      </c>
      <c r="H1953">
        <v>3797.66</v>
      </c>
      <c r="I1953">
        <v>860.76</v>
      </c>
      <c r="J1953" t="s">
        <v>22</v>
      </c>
      <c r="K1953" t="s">
        <v>23</v>
      </c>
      <c r="L1953">
        <f t="shared" si="90"/>
        <v>2022</v>
      </c>
      <c r="M1953" t="str">
        <f t="shared" si="91"/>
        <v>Jun</v>
      </c>
      <c r="N1953" s="2">
        <f t="shared" si="92"/>
        <v>0.22665536145942503</v>
      </c>
    </row>
    <row r="1954" spans="1:14" x14ac:dyDescent="0.45">
      <c r="A1954" t="s">
        <v>3767</v>
      </c>
      <c r="B1954" s="1">
        <v>45025</v>
      </c>
      <c r="C1954" t="s">
        <v>2039</v>
      </c>
      <c r="D1954" t="s">
        <v>13</v>
      </c>
      <c r="E1954" t="s">
        <v>14</v>
      </c>
      <c r="F1954" t="s">
        <v>32</v>
      </c>
      <c r="G1954">
        <v>3</v>
      </c>
      <c r="H1954">
        <v>32302.54</v>
      </c>
      <c r="I1954">
        <v>4036.06</v>
      </c>
      <c r="J1954" t="s">
        <v>16</v>
      </c>
      <c r="K1954" t="s">
        <v>29</v>
      </c>
      <c r="L1954">
        <f t="shared" si="90"/>
        <v>2023</v>
      </c>
      <c r="M1954" t="str">
        <f t="shared" si="91"/>
        <v>Apr</v>
      </c>
      <c r="N1954" s="2">
        <f t="shared" si="92"/>
        <v>0.12494559251377754</v>
      </c>
    </row>
    <row r="1955" spans="1:14" x14ac:dyDescent="0.45">
      <c r="A1955" t="s">
        <v>3768</v>
      </c>
      <c r="B1955" s="1">
        <v>44922</v>
      </c>
      <c r="C1955" t="s">
        <v>3769</v>
      </c>
      <c r="D1955" t="s">
        <v>56</v>
      </c>
      <c r="E1955" t="s">
        <v>14</v>
      </c>
      <c r="F1955" t="s">
        <v>40</v>
      </c>
      <c r="G1955">
        <v>4</v>
      </c>
      <c r="H1955">
        <v>20614.099999999999</v>
      </c>
      <c r="I1955">
        <v>1247.05</v>
      </c>
      <c r="J1955" t="s">
        <v>71</v>
      </c>
      <c r="K1955" t="s">
        <v>17</v>
      </c>
      <c r="L1955">
        <f t="shared" si="90"/>
        <v>2022</v>
      </c>
      <c r="M1955" t="str">
        <f t="shared" si="91"/>
        <v>Dec</v>
      </c>
      <c r="N1955" s="2">
        <f t="shared" si="92"/>
        <v>6.0495000994464955E-2</v>
      </c>
    </row>
    <row r="1956" spans="1:14" x14ac:dyDescent="0.45">
      <c r="A1956" t="s">
        <v>3770</v>
      </c>
      <c r="B1956" s="1">
        <v>45593</v>
      </c>
      <c r="C1956" t="s">
        <v>3771</v>
      </c>
      <c r="D1956" t="s">
        <v>13</v>
      </c>
      <c r="E1956" t="s">
        <v>20</v>
      </c>
      <c r="F1956" t="s">
        <v>27</v>
      </c>
      <c r="G1956">
        <v>5</v>
      </c>
      <c r="H1956">
        <v>1080.43</v>
      </c>
      <c r="I1956">
        <v>82.52</v>
      </c>
      <c r="J1956" t="s">
        <v>71</v>
      </c>
      <c r="K1956" t="s">
        <v>33</v>
      </c>
      <c r="L1956">
        <f t="shared" si="90"/>
        <v>2024</v>
      </c>
      <c r="M1956" t="str">
        <f t="shared" si="91"/>
        <v>Oct</v>
      </c>
      <c r="N1956" s="2">
        <f t="shared" si="92"/>
        <v>7.6376998047073846E-2</v>
      </c>
    </row>
    <row r="1957" spans="1:14" x14ac:dyDescent="0.45">
      <c r="A1957" t="s">
        <v>3772</v>
      </c>
      <c r="B1957" s="1">
        <v>45472</v>
      </c>
      <c r="C1957" t="s">
        <v>3152</v>
      </c>
      <c r="D1957" t="s">
        <v>13</v>
      </c>
      <c r="E1957" t="s">
        <v>36</v>
      </c>
      <c r="F1957" t="s">
        <v>64</v>
      </c>
      <c r="G1957">
        <v>1</v>
      </c>
      <c r="H1957">
        <v>33756.26</v>
      </c>
      <c r="I1957">
        <v>1915.88</v>
      </c>
      <c r="J1957" t="s">
        <v>47</v>
      </c>
      <c r="K1957" t="s">
        <v>29</v>
      </c>
      <c r="L1957">
        <f t="shared" si="90"/>
        <v>2024</v>
      </c>
      <c r="M1957" t="str">
        <f t="shared" si="91"/>
        <v>Jun</v>
      </c>
      <c r="N1957" s="2">
        <f t="shared" si="92"/>
        <v>5.6756287574512107E-2</v>
      </c>
    </row>
    <row r="1958" spans="1:14" x14ac:dyDescent="0.45">
      <c r="A1958" t="s">
        <v>3773</v>
      </c>
      <c r="B1958" s="1">
        <v>45449</v>
      </c>
      <c r="C1958" t="s">
        <v>3774</v>
      </c>
      <c r="D1958" t="s">
        <v>26</v>
      </c>
      <c r="E1958" t="s">
        <v>36</v>
      </c>
      <c r="F1958" t="s">
        <v>46</v>
      </c>
      <c r="G1958">
        <v>4</v>
      </c>
      <c r="H1958">
        <v>12817.32</v>
      </c>
      <c r="I1958">
        <v>2786.98</v>
      </c>
      <c r="J1958" t="s">
        <v>28</v>
      </c>
      <c r="K1958" t="s">
        <v>17</v>
      </c>
      <c r="L1958">
        <f t="shared" si="90"/>
        <v>2024</v>
      </c>
      <c r="M1958" t="str">
        <f t="shared" si="91"/>
        <v>Jun</v>
      </c>
      <c r="N1958" s="2">
        <f t="shared" si="92"/>
        <v>0.21743859090667941</v>
      </c>
    </row>
    <row r="1959" spans="1:14" x14ac:dyDescent="0.45">
      <c r="A1959" t="s">
        <v>3775</v>
      </c>
      <c r="B1959" s="1">
        <v>45151</v>
      </c>
      <c r="C1959" t="s">
        <v>3776</v>
      </c>
      <c r="D1959" t="s">
        <v>26</v>
      </c>
      <c r="E1959" t="s">
        <v>14</v>
      </c>
      <c r="F1959" t="s">
        <v>32</v>
      </c>
      <c r="G1959">
        <v>2</v>
      </c>
      <c r="H1959">
        <v>49614.400000000001</v>
      </c>
      <c r="I1959">
        <v>7153.68</v>
      </c>
      <c r="J1959" t="s">
        <v>71</v>
      </c>
      <c r="K1959" t="s">
        <v>33</v>
      </c>
      <c r="L1959">
        <f t="shared" si="90"/>
        <v>2023</v>
      </c>
      <c r="M1959" t="str">
        <f t="shared" si="91"/>
        <v>Aug</v>
      </c>
      <c r="N1959" s="2">
        <f t="shared" si="92"/>
        <v>0.14418555903124899</v>
      </c>
    </row>
    <row r="1960" spans="1:14" x14ac:dyDescent="0.45">
      <c r="A1960" t="s">
        <v>3777</v>
      </c>
      <c r="B1960" s="1">
        <v>45484</v>
      </c>
      <c r="C1960" t="s">
        <v>3778</v>
      </c>
      <c r="D1960" t="s">
        <v>13</v>
      </c>
      <c r="E1960" t="s">
        <v>36</v>
      </c>
      <c r="F1960" t="s">
        <v>64</v>
      </c>
      <c r="G1960">
        <v>2</v>
      </c>
      <c r="H1960">
        <v>31754</v>
      </c>
      <c r="I1960">
        <v>7815.31</v>
      </c>
      <c r="J1960" t="s">
        <v>71</v>
      </c>
      <c r="K1960" t="s">
        <v>29</v>
      </c>
      <c r="L1960">
        <f t="shared" si="90"/>
        <v>2024</v>
      </c>
      <c r="M1960" t="str">
        <f t="shared" si="91"/>
        <v>Jul</v>
      </c>
      <c r="N1960" s="2">
        <f t="shared" si="92"/>
        <v>0.24612048875732193</v>
      </c>
    </row>
    <row r="1961" spans="1:14" x14ac:dyDescent="0.45">
      <c r="A1961" t="s">
        <v>3779</v>
      </c>
      <c r="B1961" s="1">
        <v>45165</v>
      </c>
      <c r="C1961" t="s">
        <v>2439</v>
      </c>
      <c r="D1961" t="s">
        <v>56</v>
      </c>
      <c r="E1961" t="s">
        <v>36</v>
      </c>
      <c r="F1961" t="s">
        <v>37</v>
      </c>
      <c r="G1961">
        <v>3</v>
      </c>
      <c r="H1961">
        <v>46309.1</v>
      </c>
      <c r="I1961">
        <v>5536.89</v>
      </c>
      <c r="J1961" t="s">
        <v>22</v>
      </c>
      <c r="K1961" t="s">
        <v>23</v>
      </c>
      <c r="L1961">
        <f t="shared" si="90"/>
        <v>2023</v>
      </c>
      <c r="M1961" t="str">
        <f t="shared" si="91"/>
        <v>Aug</v>
      </c>
      <c r="N1961" s="2">
        <f t="shared" si="92"/>
        <v>0.1195637574472404</v>
      </c>
    </row>
    <row r="1962" spans="1:14" x14ac:dyDescent="0.45">
      <c r="A1962" t="s">
        <v>3780</v>
      </c>
      <c r="B1962" s="1">
        <v>45287</v>
      </c>
      <c r="C1962" t="s">
        <v>549</v>
      </c>
      <c r="D1962" t="s">
        <v>13</v>
      </c>
      <c r="E1962" t="s">
        <v>36</v>
      </c>
      <c r="F1962" t="s">
        <v>64</v>
      </c>
      <c r="G1962">
        <v>5</v>
      </c>
      <c r="H1962">
        <v>43870.27</v>
      </c>
      <c r="I1962">
        <v>5997.4</v>
      </c>
      <c r="J1962" t="s">
        <v>47</v>
      </c>
      <c r="K1962" t="s">
        <v>29</v>
      </c>
      <c r="L1962">
        <f t="shared" si="90"/>
        <v>2023</v>
      </c>
      <c r="M1962" t="str">
        <f t="shared" si="91"/>
        <v>Dec</v>
      </c>
      <c r="N1962" s="2">
        <f t="shared" si="92"/>
        <v>0.13670761543067778</v>
      </c>
    </row>
    <row r="1963" spans="1:14" x14ac:dyDescent="0.45">
      <c r="A1963" t="s">
        <v>3781</v>
      </c>
      <c r="B1963" s="1">
        <v>44622</v>
      </c>
      <c r="C1963" t="s">
        <v>3782</v>
      </c>
      <c r="D1963" t="s">
        <v>56</v>
      </c>
      <c r="E1963" t="s">
        <v>36</v>
      </c>
      <c r="F1963" t="s">
        <v>46</v>
      </c>
      <c r="G1963">
        <v>2</v>
      </c>
      <c r="H1963">
        <v>34043.25</v>
      </c>
      <c r="I1963">
        <v>1849.76</v>
      </c>
      <c r="J1963" t="s">
        <v>28</v>
      </c>
      <c r="K1963" t="s">
        <v>33</v>
      </c>
      <c r="L1963">
        <f t="shared" si="90"/>
        <v>2022</v>
      </c>
      <c r="M1963" t="str">
        <f t="shared" si="91"/>
        <v>Mar</v>
      </c>
      <c r="N1963" s="2">
        <f t="shared" si="92"/>
        <v>5.4335587818436844E-2</v>
      </c>
    </row>
    <row r="1964" spans="1:14" x14ac:dyDescent="0.45">
      <c r="A1964" t="s">
        <v>3783</v>
      </c>
      <c r="B1964" s="1">
        <v>44616</v>
      </c>
      <c r="C1964" t="s">
        <v>3784</v>
      </c>
      <c r="D1964" t="s">
        <v>13</v>
      </c>
      <c r="E1964" t="s">
        <v>36</v>
      </c>
      <c r="F1964" t="s">
        <v>37</v>
      </c>
      <c r="G1964">
        <v>3</v>
      </c>
      <c r="H1964">
        <v>37758.089999999997</v>
      </c>
      <c r="I1964">
        <v>2867.11</v>
      </c>
      <c r="J1964" t="s">
        <v>71</v>
      </c>
      <c r="K1964" t="s">
        <v>17</v>
      </c>
      <c r="L1964">
        <f t="shared" si="90"/>
        <v>2022</v>
      </c>
      <c r="M1964" t="str">
        <f t="shared" si="91"/>
        <v>Feb</v>
      </c>
      <c r="N1964" s="2">
        <f t="shared" si="92"/>
        <v>7.5933660839306236E-2</v>
      </c>
    </row>
    <row r="1965" spans="1:14" x14ac:dyDescent="0.45">
      <c r="A1965" t="s">
        <v>3785</v>
      </c>
      <c r="B1965" s="1">
        <v>45249</v>
      </c>
      <c r="C1965" t="s">
        <v>3786</v>
      </c>
      <c r="D1965" t="s">
        <v>26</v>
      </c>
      <c r="E1965" t="s">
        <v>36</v>
      </c>
      <c r="F1965" t="s">
        <v>46</v>
      </c>
      <c r="G1965">
        <v>3</v>
      </c>
      <c r="H1965">
        <v>20096.09</v>
      </c>
      <c r="I1965">
        <v>4537.4399999999996</v>
      </c>
      <c r="J1965" t="s">
        <v>22</v>
      </c>
      <c r="K1965" t="s">
        <v>29</v>
      </c>
      <c r="L1965">
        <f t="shared" si="90"/>
        <v>2023</v>
      </c>
      <c r="M1965" t="str">
        <f t="shared" si="91"/>
        <v>Nov</v>
      </c>
      <c r="N1965" s="2">
        <f t="shared" si="92"/>
        <v>0.2257872053717912</v>
      </c>
    </row>
    <row r="1966" spans="1:14" x14ac:dyDescent="0.45">
      <c r="A1966" t="s">
        <v>3787</v>
      </c>
      <c r="B1966" s="1">
        <v>44684</v>
      </c>
      <c r="C1966" t="s">
        <v>3788</v>
      </c>
      <c r="D1966" t="s">
        <v>13</v>
      </c>
      <c r="E1966" t="s">
        <v>20</v>
      </c>
      <c r="F1966" t="s">
        <v>21</v>
      </c>
      <c r="G1966">
        <v>2</v>
      </c>
      <c r="H1966">
        <v>12307.1</v>
      </c>
      <c r="I1966">
        <v>1847.46</v>
      </c>
      <c r="J1966" t="s">
        <v>28</v>
      </c>
      <c r="K1966" t="s">
        <v>29</v>
      </c>
      <c r="L1966">
        <f t="shared" si="90"/>
        <v>2022</v>
      </c>
      <c r="M1966" t="str">
        <f t="shared" si="91"/>
        <v>May</v>
      </c>
      <c r="N1966" s="2">
        <f t="shared" si="92"/>
        <v>0.1501133492049305</v>
      </c>
    </row>
    <row r="1967" spans="1:14" x14ac:dyDescent="0.45">
      <c r="A1967" t="s">
        <v>3789</v>
      </c>
      <c r="B1967" s="1">
        <v>44966</v>
      </c>
      <c r="C1967" t="s">
        <v>3790</v>
      </c>
      <c r="D1967" t="s">
        <v>13</v>
      </c>
      <c r="E1967" t="s">
        <v>20</v>
      </c>
      <c r="F1967" t="s">
        <v>43</v>
      </c>
      <c r="G1967">
        <v>1</v>
      </c>
      <c r="H1967">
        <v>10593.65</v>
      </c>
      <c r="I1967">
        <v>1657.5</v>
      </c>
      <c r="J1967" t="s">
        <v>71</v>
      </c>
      <c r="K1967" t="s">
        <v>17</v>
      </c>
      <c r="L1967">
        <f t="shared" si="90"/>
        <v>2023</v>
      </c>
      <c r="M1967" t="str">
        <f t="shared" si="91"/>
        <v>Feb</v>
      </c>
      <c r="N1967" s="2">
        <f t="shared" si="92"/>
        <v>0.15646165391531719</v>
      </c>
    </row>
    <row r="1968" spans="1:14" x14ac:dyDescent="0.45">
      <c r="A1968" t="s">
        <v>3791</v>
      </c>
      <c r="B1968" s="1">
        <v>45643</v>
      </c>
      <c r="C1968" t="s">
        <v>3792</v>
      </c>
      <c r="D1968" t="s">
        <v>13</v>
      </c>
      <c r="E1968" t="s">
        <v>20</v>
      </c>
      <c r="F1968" t="s">
        <v>43</v>
      </c>
      <c r="G1968">
        <v>4</v>
      </c>
      <c r="H1968">
        <v>12627.64</v>
      </c>
      <c r="I1968">
        <v>1926.14</v>
      </c>
      <c r="J1968" t="s">
        <v>16</v>
      </c>
      <c r="K1968" t="s">
        <v>29</v>
      </c>
      <c r="L1968">
        <f t="shared" si="90"/>
        <v>2024</v>
      </c>
      <c r="M1968" t="str">
        <f t="shared" si="91"/>
        <v>Dec</v>
      </c>
      <c r="N1968" s="2">
        <f t="shared" si="92"/>
        <v>0.15253364840936234</v>
      </c>
    </row>
    <row r="1969" spans="1:14" x14ac:dyDescent="0.45">
      <c r="A1969" t="s">
        <v>3793</v>
      </c>
      <c r="B1969" s="1">
        <v>45469</v>
      </c>
      <c r="C1969" t="s">
        <v>3794</v>
      </c>
      <c r="D1969" t="s">
        <v>56</v>
      </c>
      <c r="E1969" t="s">
        <v>36</v>
      </c>
      <c r="F1969" t="s">
        <v>37</v>
      </c>
      <c r="G1969">
        <v>4</v>
      </c>
      <c r="H1969">
        <v>47024.18</v>
      </c>
      <c r="I1969">
        <v>11720.38</v>
      </c>
      <c r="J1969" t="s">
        <v>16</v>
      </c>
      <c r="K1969" t="s">
        <v>17</v>
      </c>
      <c r="L1969">
        <f t="shared" si="90"/>
        <v>2024</v>
      </c>
      <c r="M1969" t="str">
        <f t="shared" si="91"/>
        <v>Jun</v>
      </c>
      <c r="N1969" s="2">
        <f t="shared" si="92"/>
        <v>0.24924156040573167</v>
      </c>
    </row>
    <row r="1970" spans="1:14" x14ac:dyDescent="0.45">
      <c r="A1970" t="s">
        <v>3795</v>
      </c>
      <c r="B1970" s="1">
        <v>44900</v>
      </c>
      <c r="C1970" t="s">
        <v>3796</v>
      </c>
      <c r="D1970" t="s">
        <v>13</v>
      </c>
      <c r="E1970" t="s">
        <v>36</v>
      </c>
      <c r="F1970" t="s">
        <v>46</v>
      </c>
      <c r="G1970">
        <v>1</v>
      </c>
      <c r="H1970">
        <v>39467.879999999997</v>
      </c>
      <c r="I1970">
        <v>7500.47</v>
      </c>
      <c r="J1970" t="s">
        <v>28</v>
      </c>
      <c r="K1970" t="s">
        <v>23</v>
      </c>
      <c r="L1970">
        <f t="shared" si="90"/>
        <v>2022</v>
      </c>
      <c r="M1970" t="str">
        <f t="shared" si="91"/>
        <v>Dec</v>
      </c>
      <c r="N1970" s="2">
        <f t="shared" si="92"/>
        <v>0.19003985012622926</v>
      </c>
    </row>
    <row r="1971" spans="1:14" x14ac:dyDescent="0.45">
      <c r="A1971" t="s">
        <v>3797</v>
      </c>
      <c r="B1971" s="1">
        <v>45184</v>
      </c>
      <c r="C1971" t="s">
        <v>3798</v>
      </c>
      <c r="D1971" t="s">
        <v>13</v>
      </c>
      <c r="E1971" t="s">
        <v>20</v>
      </c>
      <c r="F1971" t="s">
        <v>43</v>
      </c>
      <c r="G1971">
        <v>4</v>
      </c>
      <c r="H1971">
        <v>2817.71</v>
      </c>
      <c r="I1971">
        <v>580.39</v>
      </c>
      <c r="J1971" t="s">
        <v>16</v>
      </c>
      <c r="K1971" t="s">
        <v>23</v>
      </c>
      <c r="L1971">
        <f t="shared" si="90"/>
        <v>2023</v>
      </c>
      <c r="M1971" t="str">
        <f t="shared" si="91"/>
        <v>Sep</v>
      </c>
      <c r="N1971" s="2">
        <f t="shared" si="92"/>
        <v>0.20597932363515054</v>
      </c>
    </row>
    <row r="1972" spans="1:14" x14ac:dyDescent="0.45">
      <c r="A1972" t="s">
        <v>3799</v>
      </c>
      <c r="B1972" s="1">
        <v>44687</v>
      </c>
      <c r="C1972" t="s">
        <v>3800</v>
      </c>
      <c r="D1972" t="s">
        <v>56</v>
      </c>
      <c r="E1972" t="s">
        <v>20</v>
      </c>
      <c r="F1972" t="s">
        <v>21</v>
      </c>
      <c r="G1972">
        <v>3</v>
      </c>
      <c r="H1972">
        <v>45928.19</v>
      </c>
      <c r="I1972">
        <v>9417.75</v>
      </c>
      <c r="J1972" t="s">
        <v>22</v>
      </c>
      <c r="K1972" t="s">
        <v>33</v>
      </c>
      <c r="L1972">
        <f t="shared" si="90"/>
        <v>2022</v>
      </c>
      <c r="M1972" t="str">
        <f t="shared" si="91"/>
        <v>May</v>
      </c>
      <c r="N1972" s="2">
        <f t="shared" si="92"/>
        <v>0.20505380246859281</v>
      </c>
    </row>
    <row r="1973" spans="1:14" x14ac:dyDescent="0.45">
      <c r="A1973" t="s">
        <v>3801</v>
      </c>
      <c r="B1973" s="1">
        <v>45090</v>
      </c>
      <c r="C1973" t="s">
        <v>3802</v>
      </c>
      <c r="D1973" t="s">
        <v>26</v>
      </c>
      <c r="E1973" t="s">
        <v>36</v>
      </c>
      <c r="F1973" t="s">
        <v>53</v>
      </c>
      <c r="G1973">
        <v>5</v>
      </c>
      <c r="H1973">
        <v>44110.23</v>
      </c>
      <c r="I1973">
        <v>6030.76</v>
      </c>
      <c r="J1973" t="s">
        <v>47</v>
      </c>
      <c r="K1973" t="s">
        <v>23</v>
      </c>
      <c r="L1973">
        <f t="shared" si="90"/>
        <v>2023</v>
      </c>
      <c r="M1973" t="str">
        <f t="shared" si="91"/>
        <v>Jun</v>
      </c>
      <c r="N1973" s="2">
        <f t="shared" si="92"/>
        <v>0.13672021206871965</v>
      </c>
    </row>
    <row r="1974" spans="1:14" x14ac:dyDescent="0.45">
      <c r="A1974" t="s">
        <v>3803</v>
      </c>
      <c r="B1974" s="1">
        <v>45043</v>
      </c>
      <c r="C1974" t="s">
        <v>3804</v>
      </c>
      <c r="D1974" t="s">
        <v>56</v>
      </c>
      <c r="E1974" t="s">
        <v>14</v>
      </c>
      <c r="F1974" t="s">
        <v>15</v>
      </c>
      <c r="G1974">
        <v>2</v>
      </c>
      <c r="H1974">
        <v>31234.13</v>
      </c>
      <c r="I1974">
        <v>1628.06</v>
      </c>
      <c r="J1974" t="s">
        <v>71</v>
      </c>
      <c r="K1974" t="s">
        <v>33</v>
      </c>
      <c r="L1974">
        <f t="shared" si="90"/>
        <v>2023</v>
      </c>
      <c r="M1974" t="str">
        <f t="shared" si="91"/>
        <v>Apr</v>
      </c>
      <c r="N1974" s="2">
        <f t="shared" si="92"/>
        <v>5.2124390850649592E-2</v>
      </c>
    </row>
    <row r="1975" spans="1:14" x14ac:dyDescent="0.45">
      <c r="A1975" t="s">
        <v>3805</v>
      </c>
      <c r="B1975" s="1">
        <v>44746</v>
      </c>
      <c r="C1975" t="s">
        <v>1496</v>
      </c>
      <c r="D1975" t="s">
        <v>56</v>
      </c>
      <c r="E1975" t="s">
        <v>14</v>
      </c>
      <c r="F1975" t="s">
        <v>57</v>
      </c>
      <c r="G1975">
        <v>3</v>
      </c>
      <c r="H1975">
        <v>41749.050000000003</v>
      </c>
      <c r="I1975">
        <v>3768.11</v>
      </c>
      <c r="J1975" t="s">
        <v>16</v>
      </c>
      <c r="K1975" t="s">
        <v>23</v>
      </c>
      <c r="L1975">
        <f t="shared" si="90"/>
        <v>2022</v>
      </c>
      <c r="M1975" t="str">
        <f t="shared" si="91"/>
        <v>Jul</v>
      </c>
      <c r="N1975" s="2">
        <f t="shared" si="92"/>
        <v>9.025618547008854E-2</v>
      </c>
    </row>
    <row r="1976" spans="1:14" x14ac:dyDescent="0.45">
      <c r="A1976" t="s">
        <v>3806</v>
      </c>
      <c r="B1976" s="1">
        <v>45610</v>
      </c>
      <c r="C1976" t="s">
        <v>3807</v>
      </c>
      <c r="D1976" t="s">
        <v>56</v>
      </c>
      <c r="E1976" t="s">
        <v>14</v>
      </c>
      <c r="F1976" t="s">
        <v>32</v>
      </c>
      <c r="G1976">
        <v>1</v>
      </c>
      <c r="H1976">
        <v>45503.21</v>
      </c>
      <c r="I1976">
        <v>10591.57</v>
      </c>
      <c r="J1976" t="s">
        <v>28</v>
      </c>
      <c r="K1976" t="s">
        <v>33</v>
      </c>
      <c r="L1976">
        <f t="shared" si="90"/>
        <v>2024</v>
      </c>
      <c r="M1976" t="str">
        <f t="shared" si="91"/>
        <v>Nov</v>
      </c>
      <c r="N1976" s="2">
        <f t="shared" si="92"/>
        <v>0.2327653367751418</v>
      </c>
    </row>
    <row r="1977" spans="1:14" x14ac:dyDescent="0.45">
      <c r="A1977" t="s">
        <v>3808</v>
      </c>
      <c r="B1977" s="1">
        <v>44911</v>
      </c>
      <c r="C1977" t="s">
        <v>3809</v>
      </c>
      <c r="D1977" t="s">
        <v>26</v>
      </c>
      <c r="E1977" t="s">
        <v>36</v>
      </c>
      <c r="F1977" t="s">
        <v>53</v>
      </c>
      <c r="G1977">
        <v>2</v>
      </c>
      <c r="H1977">
        <v>27783.919999999998</v>
      </c>
      <c r="I1977">
        <v>3553.5</v>
      </c>
      <c r="J1977" t="s">
        <v>22</v>
      </c>
      <c r="K1977" t="s">
        <v>17</v>
      </c>
      <c r="L1977">
        <f t="shared" si="90"/>
        <v>2022</v>
      </c>
      <c r="M1977" t="str">
        <f t="shared" si="91"/>
        <v>Dec</v>
      </c>
      <c r="N1977" s="2">
        <f t="shared" si="92"/>
        <v>0.12789771925631804</v>
      </c>
    </row>
    <row r="1978" spans="1:14" x14ac:dyDescent="0.45">
      <c r="A1978" t="s">
        <v>3810</v>
      </c>
      <c r="B1978" s="1">
        <v>44625</v>
      </c>
      <c r="C1978" t="s">
        <v>3811</v>
      </c>
      <c r="D1978" t="s">
        <v>13</v>
      </c>
      <c r="E1978" t="s">
        <v>14</v>
      </c>
      <c r="F1978" t="s">
        <v>15</v>
      </c>
      <c r="G1978">
        <v>4</v>
      </c>
      <c r="H1978">
        <v>28112.49</v>
      </c>
      <c r="I1978">
        <v>2053.02</v>
      </c>
      <c r="J1978" t="s">
        <v>22</v>
      </c>
      <c r="K1978" t="s">
        <v>33</v>
      </c>
      <c r="L1978">
        <f t="shared" si="90"/>
        <v>2022</v>
      </c>
      <c r="M1978" t="str">
        <f t="shared" si="91"/>
        <v>Mar</v>
      </c>
      <c r="N1978" s="2">
        <f t="shared" si="92"/>
        <v>7.302874985460199E-2</v>
      </c>
    </row>
    <row r="1979" spans="1:14" x14ac:dyDescent="0.45">
      <c r="A1979" t="s">
        <v>3812</v>
      </c>
      <c r="B1979" s="1">
        <v>45450</v>
      </c>
      <c r="C1979" t="s">
        <v>3813</v>
      </c>
      <c r="D1979" t="s">
        <v>13</v>
      </c>
      <c r="E1979" t="s">
        <v>14</v>
      </c>
      <c r="F1979" t="s">
        <v>57</v>
      </c>
      <c r="G1979">
        <v>1</v>
      </c>
      <c r="H1979">
        <v>27187.29</v>
      </c>
      <c r="I1979">
        <v>5731.66</v>
      </c>
      <c r="J1979" t="s">
        <v>28</v>
      </c>
      <c r="K1979" t="s">
        <v>33</v>
      </c>
      <c r="L1979">
        <f t="shared" si="90"/>
        <v>2024</v>
      </c>
      <c r="M1979" t="str">
        <f t="shared" si="91"/>
        <v>Jun</v>
      </c>
      <c r="N1979" s="2">
        <f t="shared" si="92"/>
        <v>0.2108213065737703</v>
      </c>
    </row>
    <row r="1980" spans="1:14" x14ac:dyDescent="0.45">
      <c r="A1980" t="s">
        <v>3814</v>
      </c>
      <c r="B1980" s="1">
        <v>45496</v>
      </c>
      <c r="C1980" t="s">
        <v>3815</v>
      </c>
      <c r="D1980" t="s">
        <v>13</v>
      </c>
      <c r="E1980" t="s">
        <v>20</v>
      </c>
      <c r="F1980" t="s">
        <v>43</v>
      </c>
      <c r="G1980">
        <v>1</v>
      </c>
      <c r="H1980">
        <v>37920.120000000003</v>
      </c>
      <c r="I1980">
        <v>2634.07</v>
      </c>
      <c r="J1980" t="s">
        <v>28</v>
      </c>
      <c r="K1980" t="s">
        <v>33</v>
      </c>
      <c r="L1980">
        <f t="shared" si="90"/>
        <v>2024</v>
      </c>
      <c r="M1980" t="str">
        <f t="shared" si="91"/>
        <v>Jul</v>
      </c>
      <c r="N1980" s="2">
        <f t="shared" si="92"/>
        <v>6.946365148633496E-2</v>
      </c>
    </row>
    <row r="1981" spans="1:14" x14ac:dyDescent="0.45">
      <c r="A1981" t="s">
        <v>3816</v>
      </c>
      <c r="B1981" s="1">
        <v>45372</v>
      </c>
      <c r="C1981" t="s">
        <v>3817</v>
      </c>
      <c r="D1981" t="s">
        <v>26</v>
      </c>
      <c r="E1981" t="s">
        <v>20</v>
      </c>
      <c r="F1981" t="s">
        <v>27</v>
      </c>
      <c r="G1981">
        <v>3</v>
      </c>
      <c r="H1981">
        <v>20039.63</v>
      </c>
      <c r="I1981">
        <v>3095.84</v>
      </c>
      <c r="J1981" t="s">
        <v>47</v>
      </c>
      <c r="K1981" t="s">
        <v>23</v>
      </c>
      <c r="L1981">
        <f t="shared" si="90"/>
        <v>2024</v>
      </c>
      <c r="M1981" t="str">
        <f t="shared" si="91"/>
        <v>Mar</v>
      </c>
      <c r="N1981" s="2">
        <f t="shared" si="92"/>
        <v>0.15448588621646209</v>
      </c>
    </row>
    <row r="1982" spans="1:14" x14ac:dyDescent="0.45">
      <c r="A1982" t="s">
        <v>3818</v>
      </c>
      <c r="B1982" s="1">
        <v>44680</v>
      </c>
      <c r="C1982" t="s">
        <v>3819</v>
      </c>
      <c r="D1982" t="s">
        <v>56</v>
      </c>
      <c r="E1982" t="s">
        <v>36</v>
      </c>
      <c r="F1982" t="s">
        <v>46</v>
      </c>
      <c r="G1982">
        <v>3</v>
      </c>
      <c r="H1982">
        <v>16594.72</v>
      </c>
      <c r="I1982">
        <v>3254.53</v>
      </c>
      <c r="J1982" t="s">
        <v>16</v>
      </c>
      <c r="K1982" t="s">
        <v>29</v>
      </c>
      <c r="L1982">
        <f t="shared" si="90"/>
        <v>2022</v>
      </c>
      <c r="M1982" t="str">
        <f t="shared" si="91"/>
        <v>Apr</v>
      </c>
      <c r="N1982" s="2">
        <f t="shared" si="92"/>
        <v>0.19611840392606805</v>
      </c>
    </row>
    <row r="1983" spans="1:14" x14ac:dyDescent="0.45">
      <c r="A1983" t="s">
        <v>3820</v>
      </c>
      <c r="B1983" s="1">
        <v>44812</v>
      </c>
      <c r="C1983" t="s">
        <v>3821</v>
      </c>
      <c r="D1983" t="s">
        <v>56</v>
      </c>
      <c r="E1983" t="s">
        <v>36</v>
      </c>
      <c r="F1983" t="s">
        <v>37</v>
      </c>
      <c r="G1983">
        <v>4</v>
      </c>
      <c r="H1983">
        <v>20016.580000000002</v>
      </c>
      <c r="I1983">
        <v>4707.3500000000004</v>
      </c>
      <c r="J1983" t="s">
        <v>28</v>
      </c>
      <c r="K1983" t="s">
        <v>17</v>
      </c>
      <c r="L1983">
        <f t="shared" si="90"/>
        <v>2022</v>
      </c>
      <c r="M1983" t="str">
        <f t="shared" si="91"/>
        <v>Sep</v>
      </c>
      <c r="N1983" s="2">
        <f t="shared" si="92"/>
        <v>0.23517254196271292</v>
      </c>
    </row>
    <row r="1984" spans="1:14" x14ac:dyDescent="0.45">
      <c r="A1984" t="s">
        <v>3822</v>
      </c>
      <c r="B1984" s="1">
        <v>44689</v>
      </c>
      <c r="C1984" t="s">
        <v>3823</v>
      </c>
      <c r="D1984" t="s">
        <v>26</v>
      </c>
      <c r="E1984" t="s">
        <v>36</v>
      </c>
      <c r="F1984" t="s">
        <v>64</v>
      </c>
      <c r="G1984">
        <v>1</v>
      </c>
      <c r="H1984">
        <v>30393.06</v>
      </c>
      <c r="I1984">
        <v>5501.02</v>
      </c>
      <c r="J1984" t="s">
        <v>16</v>
      </c>
      <c r="K1984" t="s">
        <v>23</v>
      </c>
      <c r="L1984">
        <f t="shared" si="90"/>
        <v>2022</v>
      </c>
      <c r="M1984" t="str">
        <f t="shared" si="91"/>
        <v>May</v>
      </c>
      <c r="N1984" s="2">
        <f t="shared" si="92"/>
        <v>0.18099592472755294</v>
      </c>
    </row>
    <row r="1985" spans="1:14" x14ac:dyDescent="0.45">
      <c r="A1985" t="s">
        <v>3824</v>
      </c>
      <c r="B1985" s="1">
        <v>45164</v>
      </c>
      <c r="C1985" t="s">
        <v>3825</v>
      </c>
      <c r="D1985" t="s">
        <v>26</v>
      </c>
      <c r="E1985" t="s">
        <v>14</v>
      </c>
      <c r="F1985" t="s">
        <v>57</v>
      </c>
      <c r="G1985">
        <v>1</v>
      </c>
      <c r="H1985">
        <v>32556.19</v>
      </c>
      <c r="I1985">
        <v>2911.12</v>
      </c>
      <c r="J1985" t="s">
        <v>28</v>
      </c>
      <c r="K1985" t="s">
        <v>33</v>
      </c>
      <c r="L1985">
        <f t="shared" si="90"/>
        <v>2023</v>
      </c>
      <c r="M1985" t="str">
        <f t="shared" si="91"/>
        <v>Aug</v>
      </c>
      <c r="N1985" s="2">
        <f t="shared" si="92"/>
        <v>8.9418325670172091E-2</v>
      </c>
    </row>
    <row r="1986" spans="1:14" x14ac:dyDescent="0.45">
      <c r="A1986" t="s">
        <v>3826</v>
      </c>
      <c r="B1986" s="1">
        <v>45251</v>
      </c>
      <c r="C1986" t="s">
        <v>3827</v>
      </c>
      <c r="D1986" t="s">
        <v>26</v>
      </c>
      <c r="E1986" t="s">
        <v>14</v>
      </c>
      <c r="F1986" t="s">
        <v>40</v>
      </c>
      <c r="G1986">
        <v>2</v>
      </c>
      <c r="H1986">
        <v>15131.67</v>
      </c>
      <c r="I1986">
        <v>3744.2</v>
      </c>
      <c r="J1986" t="s">
        <v>28</v>
      </c>
      <c r="K1986" t="s">
        <v>29</v>
      </c>
      <c r="L1986">
        <f t="shared" si="90"/>
        <v>2023</v>
      </c>
      <c r="M1986" t="str">
        <f t="shared" si="91"/>
        <v>Nov</v>
      </c>
      <c r="N1986" s="2">
        <f t="shared" si="92"/>
        <v>0.24744129365760684</v>
      </c>
    </row>
    <row r="1987" spans="1:14" x14ac:dyDescent="0.45">
      <c r="A1987" t="s">
        <v>3828</v>
      </c>
      <c r="B1987" s="1">
        <v>45295</v>
      </c>
      <c r="C1987" t="s">
        <v>3829</v>
      </c>
      <c r="D1987" t="s">
        <v>13</v>
      </c>
      <c r="E1987" t="s">
        <v>14</v>
      </c>
      <c r="F1987" t="s">
        <v>57</v>
      </c>
      <c r="G1987">
        <v>4</v>
      </c>
      <c r="H1987">
        <v>46239.39</v>
      </c>
      <c r="I1987">
        <v>3949.31</v>
      </c>
      <c r="J1987" t="s">
        <v>22</v>
      </c>
      <c r="K1987" t="s">
        <v>23</v>
      </c>
      <c r="L1987">
        <f t="shared" ref="L1987:L2050" si="93">YEAR(B1987 )</f>
        <v>2024</v>
      </c>
      <c r="M1987" t="str">
        <f t="shared" ref="M1987:M2050" si="94">TEXT(B1987,"MMM")</f>
        <v>Jan</v>
      </c>
      <c r="N1987" s="2">
        <f t="shared" ref="N1987:N2050" si="95">I1987 / H1987</f>
        <v>8.5410080020519308E-2</v>
      </c>
    </row>
    <row r="1988" spans="1:14" x14ac:dyDescent="0.45">
      <c r="A1988" t="s">
        <v>3830</v>
      </c>
      <c r="B1988" s="1">
        <v>44882</v>
      </c>
      <c r="C1988" t="s">
        <v>3831</v>
      </c>
      <c r="D1988" t="s">
        <v>56</v>
      </c>
      <c r="E1988" t="s">
        <v>36</v>
      </c>
      <c r="F1988" t="s">
        <v>53</v>
      </c>
      <c r="G1988">
        <v>3</v>
      </c>
      <c r="H1988">
        <v>15972.95</v>
      </c>
      <c r="I1988">
        <v>3447.9</v>
      </c>
      <c r="J1988" t="s">
        <v>47</v>
      </c>
      <c r="K1988" t="s">
        <v>33</v>
      </c>
      <c r="L1988">
        <f t="shared" si="93"/>
        <v>2022</v>
      </c>
      <c r="M1988" t="str">
        <f t="shared" si="94"/>
        <v>Nov</v>
      </c>
      <c r="N1988" s="2">
        <f t="shared" si="95"/>
        <v>0.2158586860911729</v>
      </c>
    </row>
    <row r="1989" spans="1:14" x14ac:dyDescent="0.45">
      <c r="A1989" t="s">
        <v>3832</v>
      </c>
      <c r="B1989" s="1">
        <v>44915</v>
      </c>
      <c r="C1989" t="s">
        <v>3833</v>
      </c>
      <c r="D1989" t="s">
        <v>56</v>
      </c>
      <c r="E1989" t="s">
        <v>36</v>
      </c>
      <c r="F1989" t="s">
        <v>37</v>
      </c>
      <c r="G1989">
        <v>2</v>
      </c>
      <c r="H1989">
        <v>40863.040000000001</v>
      </c>
      <c r="I1989">
        <v>5579.88</v>
      </c>
      <c r="J1989" t="s">
        <v>16</v>
      </c>
      <c r="K1989" t="s">
        <v>33</v>
      </c>
      <c r="L1989">
        <f t="shared" si="93"/>
        <v>2022</v>
      </c>
      <c r="M1989" t="str">
        <f t="shared" si="94"/>
        <v>Dec</v>
      </c>
      <c r="N1989" s="2">
        <f t="shared" si="95"/>
        <v>0.13655078036289028</v>
      </c>
    </row>
    <row r="1990" spans="1:14" x14ac:dyDescent="0.45">
      <c r="A1990" t="s">
        <v>3834</v>
      </c>
      <c r="B1990" s="1">
        <v>45051</v>
      </c>
      <c r="C1990" t="s">
        <v>66</v>
      </c>
      <c r="D1990" t="s">
        <v>56</v>
      </c>
      <c r="E1990" t="s">
        <v>36</v>
      </c>
      <c r="F1990" t="s">
        <v>46</v>
      </c>
      <c r="G1990">
        <v>3</v>
      </c>
      <c r="H1990">
        <v>28463.95</v>
      </c>
      <c r="I1990">
        <v>4159.7700000000004</v>
      </c>
      <c r="J1990" t="s">
        <v>22</v>
      </c>
      <c r="K1990" t="s">
        <v>17</v>
      </c>
      <c r="L1990">
        <f t="shared" si="93"/>
        <v>2023</v>
      </c>
      <c r="M1990" t="str">
        <f t="shared" si="94"/>
        <v>May</v>
      </c>
      <c r="N1990" s="2">
        <f t="shared" si="95"/>
        <v>0.14614169853446202</v>
      </c>
    </row>
    <row r="1991" spans="1:14" x14ac:dyDescent="0.45">
      <c r="A1991" t="s">
        <v>3835</v>
      </c>
      <c r="B1991" s="1">
        <v>44930</v>
      </c>
      <c r="C1991" t="s">
        <v>3836</v>
      </c>
      <c r="D1991" t="s">
        <v>56</v>
      </c>
      <c r="E1991" t="s">
        <v>20</v>
      </c>
      <c r="F1991" t="s">
        <v>43</v>
      </c>
      <c r="G1991">
        <v>1</v>
      </c>
      <c r="H1991">
        <v>45527.6</v>
      </c>
      <c r="I1991">
        <v>9524.5300000000007</v>
      </c>
      <c r="J1991" t="s">
        <v>16</v>
      </c>
      <c r="K1991" t="s">
        <v>29</v>
      </c>
      <c r="L1991">
        <f t="shared" si="93"/>
        <v>2023</v>
      </c>
      <c r="M1991" t="str">
        <f t="shared" si="94"/>
        <v>Jan</v>
      </c>
      <c r="N1991" s="2">
        <f t="shared" si="95"/>
        <v>0.20920342825011642</v>
      </c>
    </row>
    <row r="1992" spans="1:14" x14ac:dyDescent="0.45">
      <c r="A1992" t="s">
        <v>3837</v>
      </c>
      <c r="B1992" s="1">
        <v>44575</v>
      </c>
      <c r="C1992" t="s">
        <v>3838</v>
      </c>
      <c r="D1992" t="s">
        <v>26</v>
      </c>
      <c r="E1992" t="s">
        <v>20</v>
      </c>
      <c r="F1992" t="s">
        <v>27</v>
      </c>
      <c r="G1992">
        <v>5</v>
      </c>
      <c r="H1992">
        <v>20197.419999999998</v>
      </c>
      <c r="I1992">
        <v>2215.71</v>
      </c>
      <c r="J1992" t="s">
        <v>28</v>
      </c>
      <c r="K1992" t="s">
        <v>23</v>
      </c>
      <c r="L1992">
        <f t="shared" si="93"/>
        <v>2022</v>
      </c>
      <c r="M1992" t="str">
        <f t="shared" si="94"/>
        <v>Jan</v>
      </c>
      <c r="N1992" s="2">
        <f t="shared" si="95"/>
        <v>0.10970262538482639</v>
      </c>
    </row>
    <row r="1993" spans="1:14" x14ac:dyDescent="0.45">
      <c r="A1993" t="s">
        <v>3839</v>
      </c>
      <c r="B1993" s="1">
        <v>44970</v>
      </c>
      <c r="C1993" t="s">
        <v>1788</v>
      </c>
      <c r="D1993" t="s">
        <v>13</v>
      </c>
      <c r="E1993" t="s">
        <v>14</v>
      </c>
      <c r="F1993" t="s">
        <v>57</v>
      </c>
      <c r="G1993">
        <v>5</v>
      </c>
      <c r="H1993">
        <v>17557.61</v>
      </c>
      <c r="I1993">
        <v>1792.62</v>
      </c>
      <c r="J1993" t="s">
        <v>22</v>
      </c>
      <c r="K1993" t="s">
        <v>29</v>
      </c>
      <c r="L1993">
        <f t="shared" si="93"/>
        <v>2023</v>
      </c>
      <c r="M1993" t="str">
        <f t="shared" si="94"/>
        <v>Feb</v>
      </c>
      <c r="N1993" s="2">
        <f t="shared" si="95"/>
        <v>0.10209931761783066</v>
      </c>
    </row>
    <row r="1994" spans="1:14" x14ac:dyDescent="0.45">
      <c r="A1994" t="s">
        <v>3840</v>
      </c>
      <c r="B1994" s="1">
        <v>45179</v>
      </c>
      <c r="C1994" t="s">
        <v>3841</v>
      </c>
      <c r="D1994" t="s">
        <v>56</v>
      </c>
      <c r="E1994" t="s">
        <v>20</v>
      </c>
      <c r="F1994" t="s">
        <v>50</v>
      </c>
      <c r="G1994">
        <v>3</v>
      </c>
      <c r="H1994">
        <v>12333.83</v>
      </c>
      <c r="I1994">
        <v>2282.33</v>
      </c>
      <c r="J1994" t="s">
        <v>16</v>
      </c>
      <c r="K1994" t="s">
        <v>17</v>
      </c>
      <c r="L1994">
        <f t="shared" si="93"/>
        <v>2023</v>
      </c>
      <c r="M1994" t="str">
        <f t="shared" si="94"/>
        <v>Sep</v>
      </c>
      <c r="N1994" s="2">
        <f t="shared" si="95"/>
        <v>0.18504633191798492</v>
      </c>
    </row>
    <row r="1995" spans="1:14" x14ac:dyDescent="0.45">
      <c r="A1995" t="s">
        <v>3842</v>
      </c>
      <c r="B1995" s="1">
        <v>44937</v>
      </c>
      <c r="C1995" t="s">
        <v>3843</v>
      </c>
      <c r="D1995" t="s">
        <v>26</v>
      </c>
      <c r="E1995" t="s">
        <v>20</v>
      </c>
      <c r="F1995" t="s">
        <v>21</v>
      </c>
      <c r="G1995">
        <v>2</v>
      </c>
      <c r="H1995">
        <v>4281.22</v>
      </c>
      <c r="I1995">
        <v>1038.55</v>
      </c>
      <c r="J1995" t="s">
        <v>22</v>
      </c>
      <c r="K1995" t="s">
        <v>17</v>
      </c>
      <c r="L1995">
        <f t="shared" si="93"/>
        <v>2023</v>
      </c>
      <c r="M1995" t="str">
        <f t="shared" si="94"/>
        <v>Jan</v>
      </c>
      <c r="N1995" s="2">
        <f t="shared" si="95"/>
        <v>0.24258272174753923</v>
      </c>
    </row>
    <row r="1996" spans="1:14" x14ac:dyDescent="0.45">
      <c r="A1996" t="s">
        <v>3844</v>
      </c>
      <c r="B1996" s="1">
        <v>45315</v>
      </c>
      <c r="C1996" t="s">
        <v>1631</v>
      </c>
      <c r="D1996" t="s">
        <v>13</v>
      </c>
      <c r="E1996" t="s">
        <v>36</v>
      </c>
      <c r="F1996" t="s">
        <v>64</v>
      </c>
      <c r="G1996">
        <v>2</v>
      </c>
      <c r="H1996">
        <v>29907.56</v>
      </c>
      <c r="I1996">
        <v>4010.69</v>
      </c>
      <c r="J1996" t="s">
        <v>47</v>
      </c>
      <c r="K1996" t="s">
        <v>33</v>
      </c>
      <c r="L1996">
        <f t="shared" si="93"/>
        <v>2024</v>
      </c>
      <c r="M1996" t="str">
        <f t="shared" si="94"/>
        <v>Jan</v>
      </c>
      <c r="N1996" s="2">
        <f t="shared" si="95"/>
        <v>0.13410288234814208</v>
      </c>
    </row>
    <row r="1997" spans="1:14" x14ac:dyDescent="0.45">
      <c r="A1997" t="s">
        <v>3845</v>
      </c>
      <c r="B1997" s="1">
        <v>44729</v>
      </c>
      <c r="C1997" t="s">
        <v>2700</v>
      </c>
      <c r="D1997" t="s">
        <v>56</v>
      </c>
      <c r="E1997" t="s">
        <v>36</v>
      </c>
      <c r="F1997" t="s">
        <v>37</v>
      </c>
      <c r="G1997">
        <v>3</v>
      </c>
      <c r="H1997">
        <v>19434.14</v>
      </c>
      <c r="I1997">
        <v>2495.64</v>
      </c>
      <c r="J1997" t="s">
        <v>22</v>
      </c>
      <c r="K1997" t="s">
        <v>33</v>
      </c>
      <c r="L1997">
        <f t="shared" si="93"/>
        <v>2022</v>
      </c>
      <c r="M1997" t="str">
        <f t="shared" si="94"/>
        <v>Jun</v>
      </c>
      <c r="N1997" s="2">
        <f t="shared" si="95"/>
        <v>0.1284152527459409</v>
      </c>
    </row>
    <row r="1998" spans="1:14" x14ac:dyDescent="0.45">
      <c r="A1998" t="s">
        <v>3846</v>
      </c>
      <c r="B1998" s="1">
        <v>45487</v>
      </c>
      <c r="C1998" t="s">
        <v>3847</v>
      </c>
      <c r="D1998" t="s">
        <v>56</v>
      </c>
      <c r="E1998" t="s">
        <v>14</v>
      </c>
      <c r="F1998" t="s">
        <v>57</v>
      </c>
      <c r="G1998">
        <v>1</v>
      </c>
      <c r="H1998">
        <v>36227.47</v>
      </c>
      <c r="I1998">
        <v>3571.52</v>
      </c>
      <c r="J1998" t="s">
        <v>16</v>
      </c>
      <c r="K1998" t="s">
        <v>17</v>
      </c>
      <c r="L1998">
        <f t="shared" si="93"/>
        <v>2024</v>
      </c>
      <c r="M1998" t="str">
        <f t="shared" si="94"/>
        <v>Jul</v>
      </c>
      <c r="N1998" s="2">
        <f t="shared" si="95"/>
        <v>9.8585962530643181E-2</v>
      </c>
    </row>
    <row r="1999" spans="1:14" x14ac:dyDescent="0.45">
      <c r="A1999" t="s">
        <v>3848</v>
      </c>
      <c r="B1999" s="1">
        <v>45367</v>
      </c>
      <c r="C1999" t="s">
        <v>3849</v>
      </c>
      <c r="D1999" t="s">
        <v>26</v>
      </c>
      <c r="E1999" t="s">
        <v>20</v>
      </c>
      <c r="F1999" t="s">
        <v>27</v>
      </c>
      <c r="G1999">
        <v>5</v>
      </c>
      <c r="H1999">
        <v>20038.16</v>
      </c>
      <c r="I1999">
        <v>2201.71</v>
      </c>
      <c r="J1999" t="s">
        <v>22</v>
      </c>
      <c r="K1999" t="s">
        <v>23</v>
      </c>
      <c r="L1999">
        <f t="shared" si="93"/>
        <v>2024</v>
      </c>
      <c r="M1999" t="str">
        <f t="shared" si="94"/>
        <v>Mar</v>
      </c>
      <c r="N1999" s="2">
        <f t="shared" si="95"/>
        <v>0.10987585686510139</v>
      </c>
    </row>
    <row r="2000" spans="1:14" x14ac:dyDescent="0.45">
      <c r="A2000" t="s">
        <v>3850</v>
      </c>
      <c r="B2000" s="1">
        <v>45290</v>
      </c>
      <c r="C2000" t="s">
        <v>3027</v>
      </c>
      <c r="D2000" t="s">
        <v>56</v>
      </c>
      <c r="E2000" t="s">
        <v>36</v>
      </c>
      <c r="F2000" t="s">
        <v>53</v>
      </c>
      <c r="G2000">
        <v>4</v>
      </c>
      <c r="H2000">
        <v>683.39</v>
      </c>
      <c r="I2000">
        <v>38.1</v>
      </c>
      <c r="J2000" t="s">
        <v>16</v>
      </c>
      <c r="K2000" t="s">
        <v>17</v>
      </c>
      <c r="L2000">
        <f t="shared" si="93"/>
        <v>2023</v>
      </c>
      <c r="M2000" t="str">
        <f t="shared" si="94"/>
        <v>Dec</v>
      </c>
      <c r="N2000" s="2">
        <f t="shared" si="95"/>
        <v>5.5751474267987537E-2</v>
      </c>
    </row>
    <row r="2001" spans="1:14" x14ac:dyDescent="0.45">
      <c r="A2001" t="s">
        <v>3851</v>
      </c>
      <c r="B2001" s="1">
        <v>44930</v>
      </c>
      <c r="C2001" t="s">
        <v>3852</v>
      </c>
      <c r="D2001" t="s">
        <v>56</v>
      </c>
      <c r="E2001" t="s">
        <v>14</v>
      </c>
      <c r="F2001" t="s">
        <v>32</v>
      </c>
      <c r="G2001">
        <v>5</v>
      </c>
      <c r="H2001">
        <v>47705.22</v>
      </c>
      <c r="I2001">
        <v>6329.32</v>
      </c>
      <c r="J2001" t="s">
        <v>22</v>
      </c>
      <c r="K2001" t="s">
        <v>23</v>
      </c>
      <c r="L2001">
        <f t="shared" si="93"/>
        <v>2023</v>
      </c>
      <c r="M2001" t="str">
        <f t="shared" si="94"/>
        <v>Jan</v>
      </c>
      <c r="N2001" s="2">
        <f t="shared" si="95"/>
        <v>0.1326756275309075</v>
      </c>
    </row>
    <row r="2002" spans="1:14" x14ac:dyDescent="0.45">
      <c r="A2002" t="s">
        <v>3853</v>
      </c>
      <c r="B2002" s="1">
        <v>45276</v>
      </c>
      <c r="C2002" t="s">
        <v>2199</v>
      </c>
      <c r="D2002" t="s">
        <v>26</v>
      </c>
      <c r="E2002" t="s">
        <v>14</v>
      </c>
      <c r="F2002" t="s">
        <v>40</v>
      </c>
      <c r="G2002">
        <v>2</v>
      </c>
      <c r="H2002">
        <v>35859.43</v>
      </c>
      <c r="I2002">
        <v>4864.1000000000004</v>
      </c>
      <c r="J2002" t="s">
        <v>16</v>
      </c>
      <c r="K2002" t="s">
        <v>17</v>
      </c>
      <c r="L2002">
        <f t="shared" si="93"/>
        <v>2023</v>
      </c>
      <c r="M2002" t="str">
        <f t="shared" si="94"/>
        <v>Dec</v>
      </c>
      <c r="N2002" s="2">
        <f t="shared" si="95"/>
        <v>0.13564353923082437</v>
      </c>
    </row>
    <row r="2003" spans="1:14" x14ac:dyDescent="0.45">
      <c r="A2003" t="s">
        <v>3854</v>
      </c>
      <c r="B2003" s="1">
        <v>45539</v>
      </c>
      <c r="C2003" t="s">
        <v>1292</v>
      </c>
      <c r="D2003" t="s">
        <v>26</v>
      </c>
      <c r="E2003" t="s">
        <v>36</v>
      </c>
      <c r="F2003" t="s">
        <v>46</v>
      </c>
      <c r="G2003">
        <v>2</v>
      </c>
      <c r="H2003">
        <v>35720.39</v>
      </c>
      <c r="I2003">
        <v>2653.2</v>
      </c>
      <c r="J2003" t="s">
        <v>22</v>
      </c>
      <c r="K2003" t="s">
        <v>17</v>
      </c>
      <c r="L2003">
        <f t="shared" si="93"/>
        <v>2024</v>
      </c>
      <c r="M2003" t="str">
        <f t="shared" si="94"/>
        <v>Sep</v>
      </c>
      <c r="N2003" s="2">
        <f t="shared" si="95"/>
        <v>7.4276904591467227E-2</v>
      </c>
    </row>
    <row r="2004" spans="1:14" x14ac:dyDescent="0.45">
      <c r="A2004" t="s">
        <v>3855</v>
      </c>
      <c r="B2004" s="1">
        <v>44850</v>
      </c>
      <c r="C2004" t="s">
        <v>3298</v>
      </c>
      <c r="D2004" t="s">
        <v>56</v>
      </c>
      <c r="E2004" t="s">
        <v>14</v>
      </c>
      <c r="F2004" t="s">
        <v>32</v>
      </c>
      <c r="G2004">
        <v>5</v>
      </c>
      <c r="H2004">
        <v>22042.99</v>
      </c>
      <c r="I2004">
        <v>1544.72</v>
      </c>
      <c r="J2004" t="s">
        <v>16</v>
      </c>
      <c r="K2004" t="s">
        <v>33</v>
      </c>
      <c r="L2004">
        <f t="shared" si="93"/>
        <v>2022</v>
      </c>
      <c r="M2004" t="str">
        <f t="shared" si="94"/>
        <v>Oct</v>
      </c>
      <c r="N2004" s="2">
        <f t="shared" si="95"/>
        <v>7.0077607438918221E-2</v>
      </c>
    </row>
    <row r="2005" spans="1:14" x14ac:dyDescent="0.45">
      <c r="A2005" t="s">
        <v>3856</v>
      </c>
      <c r="B2005" s="1">
        <v>44783</v>
      </c>
      <c r="C2005" t="s">
        <v>1011</v>
      </c>
      <c r="D2005" t="s">
        <v>26</v>
      </c>
      <c r="E2005" t="s">
        <v>20</v>
      </c>
      <c r="F2005" t="s">
        <v>43</v>
      </c>
      <c r="G2005">
        <v>3</v>
      </c>
      <c r="H2005">
        <v>3041.9</v>
      </c>
      <c r="I2005">
        <v>191.34</v>
      </c>
      <c r="J2005" t="s">
        <v>71</v>
      </c>
      <c r="K2005" t="s">
        <v>17</v>
      </c>
      <c r="L2005">
        <f t="shared" si="93"/>
        <v>2022</v>
      </c>
      <c r="M2005" t="str">
        <f t="shared" si="94"/>
        <v>Aug</v>
      </c>
      <c r="N2005" s="2">
        <f t="shared" si="95"/>
        <v>6.2901476051152233E-2</v>
      </c>
    </row>
    <row r="2006" spans="1:14" x14ac:dyDescent="0.45">
      <c r="A2006" t="s">
        <v>3857</v>
      </c>
      <c r="B2006" s="1">
        <v>45396</v>
      </c>
      <c r="C2006" t="s">
        <v>3858</v>
      </c>
      <c r="D2006" t="s">
        <v>56</v>
      </c>
      <c r="E2006" t="s">
        <v>14</v>
      </c>
      <c r="F2006" t="s">
        <v>40</v>
      </c>
      <c r="G2006">
        <v>3</v>
      </c>
      <c r="H2006">
        <v>34492.68</v>
      </c>
      <c r="I2006">
        <v>5345.37</v>
      </c>
      <c r="J2006" t="s">
        <v>71</v>
      </c>
      <c r="K2006" t="s">
        <v>17</v>
      </c>
      <c r="L2006">
        <f t="shared" si="93"/>
        <v>2024</v>
      </c>
      <c r="M2006" t="str">
        <f t="shared" si="94"/>
        <v>Apr</v>
      </c>
      <c r="N2006" s="2">
        <f t="shared" si="95"/>
        <v>0.15497114170310919</v>
      </c>
    </row>
    <row r="2007" spans="1:14" x14ac:dyDescent="0.45">
      <c r="A2007" t="s">
        <v>3859</v>
      </c>
      <c r="B2007" s="1">
        <v>44689</v>
      </c>
      <c r="C2007" t="s">
        <v>3860</v>
      </c>
      <c r="D2007" t="s">
        <v>26</v>
      </c>
      <c r="E2007" t="s">
        <v>14</v>
      </c>
      <c r="F2007" t="s">
        <v>40</v>
      </c>
      <c r="G2007">
        <v>2</v>
      </c>
      <c r="H2007">
        <v>28744.28</v>
      </c>
      <c r="I2007">
        <v>3661.52</v>
      </c>
      <c r="J2007" t="s">
        <v>47</v>
      </c>
      <c r="K2007" t="s">
        <v>23</v>
      </c>
      <c r="L2007">
        <f t="shared" si="93"/>
        <v>2022</v>
      </c>
      <c r="M2007" t="str">
        <f t="shared" si="94"/>
        <v>May</v>
      </c>
      <c r="N2007" s="2">
        <f t="shared" si="95"/>
        <v>0.12738256098256767</v>
      </c>
    </row>
    <row r="2008" spans="1:14" x14ac:dyDescent="0.45">
      <c r="A2008" t="s">
        <v>3861</v>
      </c>
      <c r="B2008" s="1">
        <v>44726</v>
      </c>
      <c r="C2008" t="s">
        <v>3862</v>
      </c>
      <c r="D2008" t="s">
        <v>13</v>
      </c>
      <c r="E2008" t="s">
        <v>14</v>
      </c>
      <c r="F2008" t="s">
        <v>15</v>
      </c>
      <c r="G2008">
        <v>5</v>
      </c>
      <c r="H2008">
        <v>14084.57</v>
      </c>
      <c r="I2008">
        <v>1013.16</v>
      </c>
      <c r="J2008" t="s">
        <v>16</v>
      </c>
      <c r="K2008" t="s">
        <v>29</v>
      </c>
      <c r="L2008">
        <f t="shared" si="93"/>
        <v>2022</v>
      </c>
      <c r="M2008" t="str">
        <f t="shared" si="94"/>
        <v>Jun</v>
      </c>
      <c r="N2008" s="2">
        <f t="shared" si="95"/>
        <v>7.1934038454848109E-2</v>
      </c>
    </row>
    <row r="2009" spans="1:14" x14ac:dyDescent="0.45">
      <c r="A2009" t="s">
        <v>3863</v>
      </c>
      <c r="B2009" s="1">
        <v>45603</v>
      </c>
      <c r="C2009" t="s">
        <v>230</v>
      </c>
      <c r="D2009" t="s">
        <v>13</v>
      </c>
      <c r="E2009" t="s">
        <v>36</v>
      </c>
      <c r="F2009" t="s">
        <v>53</v>
      </c>
      <c r="G2009">
        <v>5</v>
      </c>
      <c r="H2009">
        <v>37217.54</v>
      </c>
      <c r="I2009">
        <v>6362.56</v>
      </c>
      <c r="J2009" t="s">
        <v>28</v>
      </c>
      <c r="K2009" t="s">
        <v>23</v>
      </c>
      <c r="L2009">
        <f t="shared" si="93"/>
        <v>2024</v>
      </c>
      <c r="M2009" t="str">
        <f t="shared" si="94"/>
        <v>Nov</v>
      </c>
      <c r="N2009" s="2">
        <f t="shared" si="95"/>
        <v>0.17095595248906834</v>
      </c>
    </row>
    <row r="2010" spans="1:14" x14ac:dyDescent="0.45">
      <c r="A2010" t="s">
        <v>3864</v>
      </c>
      <c r="B2010" s="1">
        <v>44707</v>
      </c>
      <c r="C2010" t="s">
        <v>3865</v>
      </c>
      <c r="D2010" t="s">
        <v>26</v>
      </c>
      <c r="E2010" t="s">
        <v>36</v>
      </c>
      <c r="F2010" t="s">
        <v>64</v>
      </c>
      <c r="G2010">
        <v>2</v>
      </c>
      <c r="H2010">
        <v>20235.87</v>
      </c>
      <c r="I2010">
        <v>1508.3</v>
      </c>
      <c r="J2010" t="s">
        <v>16</v>
      </c>
      <c r="K2010" t="s">
        <v>17</v>
      </c>
      <c r="L2010">
        <f t="shared" si="93"/>
        <v>2022</v>
      </c>
      <c r="M2010" t="str">
        <f t="shared" si="94"/>
        <v>May</v>
      </c>
      <c r="N2010" s="2">
        <f t="shared" si="95"/>
        <v>7.4535960153924691E-2</v>
      </c>
    </row>
    <row r="2011" spans="1:14" x14ac:dyDescent="0.45">
      <c r="A2011" t="s">
        <v>3866</v>
      </c>
      <c r="B2011" s="1">
        <v>44735</v>
      </c>
      <c r="C2011" t="s">
        <v>3867</v>
      </c>
      <c r="D2011" t="s">
        <v>26</v>
      </c>
      <c r="E2011" t="s">
        <v>14</v>
      </c>
      <c r="F2011" t="s">
        <v>32</v>
      </c>
      <c r="G2011">
        <v>1</v>
      </c>
      <c r="H2011">
        <v>17552</v>
      </c>
      <c r="I2011">
        <v>1595.23</v>
      </c>
      <c r="J2011" t="s">
        <v>47</v>
      </c>
      <c r="K2011" t="s">
        <v>29</v>
      </c>
      <c r="L2011">
        <f t="shared" si="93"/>
        <v>2022</v>
      </c>
      <c r="M2011" t="str">
        <f t="shared" si="94"/>
        <v>Jun</v>
      </c>
      <c r="N2011" s="2">
        <f t="shared" si="95"/>
        <v>9.0885938924339105E-2</v>
      </c>
    </row>
    <row r="2012" spans="1:14" x14ac:dyDescent="0.45">
      <c r="A2012" t="s">
        <v>3868</v>
      </c>
      <c r="B2012" s="1">
        <v>45595</v>
      </c>
      <c r="C2012" t="s">
        <v>3869</v>
      </c>
      <c r="D2012" t="s">
        <v>13</v>
      </c>
      <c r="E2012" t="s">
        <v>36</v>
      </c>
      <c r="F2012" t="s">
        <v>46</v>
      </c>
      <c r="G2012">
        <v>4</v>
      </c>
      <c r="H2012">
        <v>33711.279999999999</v>
      </c>
      <c r="I2012">
        <v>3479.77</v>
      </c>
      <c r="J2012" t="s">
        <v>47</v>
      </c>
      <c r="K2012" t="s">
        <v>29</v>
      </c>
      <c r="L2012">
        <f t="shared" si="93"/>
        <v>2024</v>
      </c>
      <c r="M2012" t="str">
        <f t="shared" si="94"/>
        <v>Oct</v>
      </c>
      <c r="N2012" s="2">
        <f t="shared" si="95"/>
        <v>0.10322271951702813</v>
      </c>
    </row>
    <row r="2013" spans="1:14" x14ac:dyDescent="0.45">
      <c r="A2013" t="s">
        <v>3870</v>
      </c>
      <c r="B2013" s="1">
        <v>45487</v>
      </c>
      <c r="C2013" t="s">
        <v>3871</v>
      </c>
      <c r="D2013" t="s">
        <v>56</v>
      </c>
      <c r="E2013" t="s">
        <v>36</v>
      </c>
      <c r="F2013" t="s">
        <v>53</v>
      </c>
      <c r="G2013">
        <v>4</v>
      </c>
      <c r="H2013">
        <v>44668.34</v>
      </c>
      <c r="I2013">
        <v>10442.43</v>
      </c>
      <c r="J2013" t="s">
        <v>28</v>
      </c>
      <c r="K2013" t="s">
        <v>23</v>
      </c>
      <c r="L2013">
        <f t="shared" si="93"/>
        <v>2024</v>
      </c>
      <c r="M2013" t="str">
        <f t="shared" si="94"/>
        <v>Jul</v>
      </c>
      <c r="N2013" s="2">
        <f t="shared" si="95"/>
        <v>0.23377698835461538</v>
      </c>
    </row>
    <row r="2014" spans="1:14" x14ac:dyDescent="0.45">
      <c r="A2014" t="s">
        <v>3872</v>
      </c>
      <c r="B2014" s="1">
        <v>44976</v>
      </c>
      <c r="C2014" t="s">
        <v>3873</v>
      </c>
      <c r="D2014" t="s">
        <v>13</v>
      </c>
      <c r="E2014" t="s">
        <v>14</v>
      </c>
      <c r="F2014" t="s">
        <v>40</v>
      </c>
      <c r="G2014">
        <v>4</v>
      </c>
      <c r="H2014">
        <v>41503.1</v>
      </c>
      <c r="I2014">
        <v>7667.9</v>
      </c>
      <c r="J2014" t="s">
        <v>22</v>
      </c>
      <c r="K2014" t="s">
        <v>23</v>
      </c>
      <c r="L2014">
        <f t="shared" si="93"/>
        <v>2023</v>
      </c>
      <c r="M2014" t="str">
        <f t="shared" si="94"/>
        <v>Feb</v>
      </c>
      <c r="N2014" s="2">
        <f t="shared" si="95"/>
        <v>0.1847548737323236</v>
      </c>
    </row>
    <row r="2015" spans="1:14" x14ac:dyDescent="0.45">
      <c r="A2015" t="s">
        <v>3874</v>
      </c>
      <c r="B2015" s="1">
        <v>44705</v>
      </c>
      <c r="C2015" t="s">
        <v>678</v>
      </c>
      <c r="D2015" t="s">
        <v>26</v>
      </c>
      <c r="E2015" t="s">
        <v>36</v>
      </c>
      <c r="F2015" t="s">
        <v>46</v>
      </c>
      <c r="G2015">
        <v>3</v>
      </c>
      <c r="H2015">
        <v>48571.13</v>
      </c>
      <c r="I2015">
        <v>10413.26</v>
      </c>
      <c r="J2015" t="s">
        <v>47</v>
      </c>
      <c r="K2015" t="s">
        <v>29</v>
      </c>
      <c r="L2015">
        <f t="shared" si="93"/>
        <v>2022</v>
      </c>
      <c r="M2015" t="str">
        <f t="shared" si="94"/>
        <v>May</v>
      </c>
      <c r="N2015" s="2">
        <f t="shared" si="95"/>
        <v>0.21439196493884333</v>
      </c>
    </row>
    <row r="2016" spans="1:14" x14ac:dyDescent="0.45">
      <c r="A2016" t="s">
        <v>3875</v>
      </c>
      <c r="B2016" s="1">
        <v>45529</v>
      </c>
      <c r="C2016" t="s">
        <v>3876</v>
      </c>
      <c r="D2016" t="s">
        <v>56</v>
      </c>
      <c r="E2016" t="s">
        <v>36</v>
      </c>
      <c r="F2016" t="s">
        <v>46</v>
      </c>
      <c r="G2016">
        <v>4</v>
      </c>
      <c r="H2016">
        <v>48332.63</v>
      </c>
      <c r="I2016">
        <v>9449.8700000000008</v>
      </c>
      <c r="J2016" t="s">
        <v>22</v>
      </c>
      <c r="K2016" t="s">
        <v>33</v>
      </c>
      <c r="L2016">
        <f t="shared" si="93"/>
        <v>2024</v>
      </c>
      <c r="M2016" t="str">
        <f t="shared" si="94"/>
        <v>Aug</v>
      </c>
      <c r="N2016" s="2">
        <f t="shared" si="95"/>
        <v>0.19551739683936092</v>
      </c>
    </row>
    <row r="2017" spans="1:14" x14ac:dyDescent="0.45">
      <c r="A2017" t="s">
        <v>3877</v>
      </c>
      <c r="B2017" s="1">
        <v>44817</v>
      </c>
      <c r="C2017" t="s">
        <v>2189</v>
      </c>
      <c r="D2017" t="s">
        <v>26</v>
      </c>
      <c r="E2017" t="s">
        <v>36</v>
      </c>
      <c r="F2017" t="s">
        <v>37</v>
      </c>
      <c r="G2017">
        <v>2</v>
      </c>
      <c r="H2017">
        <v>5651.03</v>
      </c>
      <c r="I2017">
        <v>1298.1099999999999</v>
      </c>
      <c r="J2017" t="s">
        <v>16</v>
      </c>
      <c r="K2017" t="s">
        <v>23</v>
      </c>
      <c r="L2017">
        <f t="shared" si="93"/>
        <v>2022</v>
      </c>
      <c r="M2017" t="str">
        <f t="shared" si="94"/>
        <v>Sep</v>
      </c>
      <c r="N2017" s="2">
        <f t="shared" si="95"/>
        <v>0.22971210558075253</v>
      </c>
    </row>
    <row r="2018" spans="1:14" x14ac:dyDescent="0.45">
      <c r="A2018" t="s">
        <v>3878</v>
      </c>
      <c r="B2018" s="1">
        <v>45159</v>
      </c>
      <c r="C2018" t="s">
        <v>1690</v>
      </c>
      <c r="D2018" t="s">
        <v>13</v>
      </c>
      <c r="E2018" t="s">
        <v>14</v>
      </c>
      <c r="F2018" t="s">
        <v>57</v>
      </c>
      <c r="G2018">
        <v>1</v>
      </c>
      <c r="H2018">
        <v>43009.34</v>
      </c>
      <c r="I2018">
        <v>7997.21</v>
      </c>
      <c r="J2018" t="s">
        <v>71</v>
      </c>
      <c r="K2018" t="s">
        <v>17</v>
      </c>
      <c r="L2018">
        <f t="shared" si="93"/>
        <v>2023</v>
      </c>
      <c r="M2018" t="str">
        <f t="shared" si="94"/>
        <v>Aug</v>
      </c>
      <c r="N2018" s="2">
        <f t="shared" si="95"/>
        <v>0.18594123974001928</v>
      </c>
    </row>
    <row r="2019" spans="1:14" x14ac:dyDescent="0.45">
      <c r="A2019" t="s">
        <v>3879</v>
      </c>
      <c r="B2019" s="1">
        <v>44786</v>
      </c>
      <c r="C2019" t="s">
        <v>3880</v>
      </c>
      <c r="D2019" t="s">
        <v>56</v>
      </c>
      <c r="E2019" t="s">
        <v>36</v>
      </c>
      <c r="F2019" t="s">
        <v>46</v>
      </c>
      <c r="G2019">
        <v>2</v>
      </c>
      <c r="H2019">
        <v>14174.61</v>
      </c>
      <c r="I2019">
        <v>1495.2</v>
      </c>
      <c r="J2019" t="s">
        <v>22</v>
      </c>
      <c r="K2019" t="s">
        <v>17</v>
      </c>
      <c r="L2019">
        <f t="shared" si="93"/>
        <v>2022</v>
      </c>
      <c r="M2019" t="str">
        <f t="shared" si="94"/>
        <v>Aug</v>
      </c>
      <c r="N2019" s="2">
        <f t="shared" si="95"/>
        <v>0.10548438369732924</v>
      </c>
    </row>
    <row r="2020" spans="1:14" x14ac:dyDescent="0.45">
      <c r="A2020" t="s">
        <v>3881</v>
      </c>
      <c r="B2020" s="1">
        <v>45280</v>
      </c>
      <c r="C2020" t="s">
        <v>3882</v>
      </c>
      <c r="D2020" t="s">
        <v>56</v>
      </c>
      <c r="E2020" t="s">
        <v>36</v>
      </c>
      <c r="F2020" t="s">
        <v>46</v>
      </c>
      <c r="G2020">
        <v>2</v>
      </c>
      <c r="H2020">
        <v>20182.95</v>
      </c>
      <c r="I2020">
        <v>1709.27</v>
      </c>
      <c r="J2020" t="s">
        <v>16</v>
      </c>
      <c r="K2020" t="s">
        <v>29</v>
      </c>
      <c r="L2020">
        <f t="shared" si="93"/>
        <v>2023</v>
      </c>
      <c r="M2020" t="str">
        <f t="shared" si="94"/>
        <v>Dec</v>
      </c>
      <c r="N2020" s="2">
        <f t="shared" si="95"/>
        <v>8.4688809118587713E-2</v>
      </c>
    </row>
    <row r="2021" spans="1:14" x14ac:dyDescent="0.45">
      <c r="A2021" t="s">
        <v>3883</v>
      </c>
      <c r="B2021" s="1">
        <v>45081</v>
      </c>
      <c r="C2021" t="s">
        <v>3884</v>
      </c>
      <c r="D2021" t="s">
        <v>13</v>
      </c>
      <c r="E2021" t="s">
        <v>36</v>
      </c>
      <c r="F2021" t="s">
        <v>37</v>
      </c>
      <c r="G2021">
        <v>3</v>
      </c>
      <c r="H2021">
        <v>5111.32</v>
      </c>
      <c r="I2021">
        <v>921.96</v>
      </c>
      <c r="J2021" t="s">
        <v>22</v>
      </c>
      <c r="K2021" t="s">
        <v>33</v>
      </c>
      <c r="L2021">
        <f t="shared" si="93"/>
        <v>2023</v>
      </c>
      <c r="M2021" t="str">
        <f t="shared" si="94"/>
        <v>Jun</v>
      </c>
      <c r="N2021" s="2">
        <f t="shared" si="95"/>
        <v>0.18037610636782672</v>
      </c>
    </row>
    <row r="2022" spans="1:14" x14ac:dyDescent="0.45">
      <c r="A2022" t="s">
        <v>3885</v>
      </c>
      <c r="B2022" s="1">
        <v>44702</v>
      </c>
      <c r="C2022" t="s">
        <v>3886</v>
      </c>
      <c r="D2022" t="s">
        <v>26</v>
      </c>
      <c r="E2022" t="s">
        <v>20</v>
      </c>
      <c r="F2022" t="s">
        <v>21</v>
      </c>
      <c r="G2022">
        <v>3</v>
      </c>
      <c r="H2022">
        <v>48292.91</v>
      </c>
      <c r="I2022">
        <v>9774.36</v>
      </c>
      <c r="J2022" t="s">
        <v>16</v>
      </c>
      <c r="K2022" t="s">
        <v>33</v>
      </c>
      <c r="L2022">
        <f t="shared" si="93"/>
        <v>2022</v>
      </c>
      <c r="M2022" t="str">
        <f t="shared" si="94"/>
        <v>May</v>
      </c>
      <c r="N2022" s="2">
        <f t="shared" si="95"/>
        <v>0.20239741195964375</v>
      </c>
    </row>
    <row r="2023" spans="1:14" x14ac:dyDescent="0.45">
      <c r="A2023" t="s">
        <v>3887</v>
      </c>
      <c r="B2023" s="1">
        <v>44784</v>
      </c>
      <c r="C2023" t="s">
        <v>3888</v>
      </c>
      <c r="D2023" t="s">
        <v>56</v>
      </c>
      <c r="E2023" t="s">
        <v>36</v>
      </c>
      <c r="F2023" t="s">
        <v>46</v>
      </c>
      <c r="G2023">
        <v>5</v>
      </c>
      <c r="H2023">
        <v>32960.42</v>
      </c>
      <c r="I2023">
        <v>5418.58</v>
      </c>
      <c r="J2023" t="s">
        <v>71</v>
      </c>
      <c r="K2023" t="s">
        <v>23</v>
      </c>
      <c r="L2023">
        <f t="shared" si="93"/>
        <v>2022</v>
      </c>
      <c r="M2023" t="str">
        <f t="shared" si="94"/>
        <v>Aug</v>
      </c>
      <c r="N2023" s="2">
        <f t="shared" si="95"/>
        <v>0.16439657018933618</v>
      </c>
    </row>
    <row r="2024" spans="1:14" x14ac:dyDescent="0.45">
      <c r="A2024" t="s">
        <v>3889</v>
      </c>
      <c r="B2024" s="1">
        <v>45356</v>
      </c>
      <c r="C2024" t="s">
        <v>3890</v>
      </c>
      <c r="D2024" t="s">
        <v>13</v>
      </c>
      <c r="E2024" t="s">
        <v>36</v>
      </c>
      <c r="F2024" t="s">
        <v>53</v>
      </c>
      <c r="G2024">
        <v>5</v>
      </c>
      <c r="H2024">
        <v>7613.23</v>
      </c>
      <c r="I2024">
        <v>770.36</v>
      </c>
      <c r="J2024" t="s">
        <v>71</v>
      </c>
      <c r="K2024" t="s">
        <v>29</v>
      </c>
      <c r="L2024">
        <f t="shared" si="93"/>
        <v>2024</v>
      </c>
      <c r="M2024" t="str">
        <f t="shared" si="94"/>
        <v>Mar</v>
      </c>
      <c r="N2024" s="2">
        <f t="shared" si="95"/>
        <v>0.10118701260831474</v>
      </c>
    </row>
    <row r="2025" spans="1:14" x14ac:dyDescent="0.45">
      <c r="A2025" t="s">
        <v>3891</v>
      </c>
      <c r="B2025" s="1">
        <v>45228</v>
      </c>
      <c r="C2025" t="s">
        <v>3148</v>
      </c>
      <c r="D2025" t="s">
        <v>56</v>
      </c>
      <c r="E2025" t="s">
        <v>36</v>
      </c>
      <c r="F2025" t="s">
        <v>64</v>
      </c>
      <c r="G2025">
        <v>4</v>
      </c>
      <c r="H2025">
        <v>15840.19</v>
      </c>
      <c r="I2025">
        <v>1211.8499999999999</v>
      </c>
      <c r="J2025" t="s">
        <v>16</v>
      </c>
      <c r="K2025" t="s">
        <v>29</v>
      </c>
      <c r="L2025">
        <f t="shared" si="93"/>
        <v>2023</v>
      </c>
      <c r="M2025" t="str">
        <f t="shared" si="94"/>
        <v>Oct</v>
      </c>
      <c r="N2025" s="2">
        <f t="shared" si="95"/>
        <v>7.6504764147399734E-2</v>
      </c>
    </row>
    <row r="2026" spans="1:14" x14ac:dyDescent="0.45">
      <c r="A2026" t="s">
        <v>3892</v>
      </c>
      <c r="B2026" s="1">
        <v>45063</v>
      </c>
      <c r="C2026" t="s">
        <v>3893</v>
      </c>
      <c r="D2026" t="s">
        <v>26</v>
      </c>
      <c r="E2026" t="s">
        <v>36</v>
      </c>
      <c r="F2026" t="s">
        <v>37</v>
      </c>
      <c r="G2026">
        <v>2</v>
      </c>
      <c r="H2026">
        <v>46344.56</v>
      </c>
      <c r="I2026">
        <v>8557.85</v>
      </c>
      <c r="J2026" t="s">
        <v>28</v>
      </c>
      <c r="K2026" t="s">
        <v>29</v>
      </c>
      <c r="L2026">
        <f t="shared" si="93"/>
        <v>2023</v>
      </c>
      <c r="M2026" t="str">
        <f t="shared" si="94"/>
        <v>May</v>
      </c>
      <c r="N2026" s="2">
        <f t="shared" si="95"/>
        <v>0.18465705575800054</v>
      </c>
    </row>
    <row r="2027" spans="1:14" x14ac:dyDescent="0.45">
      <c r="A2027" t="s">
        <v>3894</v>
      </c>
      <c r="B2027" s="1">
        <v>45153</v>
      </c>
      <c r="C2027" t="s">
        <v>3895</v>
      </c>
      <c r="D2027" t="s">
        <v>56</v>
      </c>
      <c r="E2027" t="s">
        <v>36</v>
      </c>
      <c r="F2027" t="s">
        <v>64</v>
      </c>
      <c r="G2027">
        <v>3</v>
      </c>
      <c r="H2027">
        <v>18096.12</v>
      </c>
      <c r="I2027">
        <v>3617.46</v>
      </c>
      <c r="J2027" t="s">
        <v>71</v>
      </c>
      <c r="K2027" t="s">
        <v>17</v>
      </c>
      <c r="L2027">
        <f t="shared" si="93"/>
        <v>2023</v>
      </c>
      <c r="M2027" t="str">
        <f t="shared" si="94"/>
        <v>Aug</v>
      </c>
      <c r="N2027" s="2">
        <f t="shared" si="95"/>
        <v>0.19990252054031474</v>
      </c>
    </row>
    <row r="2028" spans="1:14" x14ac:dyDescent="0.45">
      <c r="A2028" t="s">
        <v>3896</v>
      </c>
      <c r="B2028" s="1">
        <v>45401</v>
      </c>
      <c r="C2028" t="s">
        <v>3897</v>
      </c>
      <c r="D2028" t="s">
        <v>13</v>
      </c>
      <c r="E2028" t="s">
        <v>14</v>
      </c>
      <c r="F2028" t="s">
        <v>32</v>
      </c>
      <c r="G2028">
        <v>4</v>
      </c>
      <c r="H2028">
        <v>41514.639999999999</v>
      </c>
      <c r="I2028">
        <v>3364.22</v>
      </c>
      <c r="J2028" t="s">
        <v>22</v>
      </c>
      <c r="K2028" t="s">
        <v>23</v>
      </c>
      <c r="L2028">
        <f t="shared" si="93"/>
        <v>2024</v>
      </c>
      <c r="M2028" t="str">
        <f t="shared" si="94"/>
        <v>Apr</v>
      </c>
      <c r="N2028" s="2">
        <f t="shared" si="95"/>
        <v>8.1036954674302844E-2</v>
      </c>
    </row>
    <row r="2029" spans="1:14" x14ac:dyDescent="0.45">
      <c r="A2029" t="s">
        <v>3898</v>
      </c>
      <c r="B2029" s="1">
        <v>44933</v>
      </c>
      <c r="C2029" t="s">
        <v>3899</v>
      </c>
      <c r="D2029" t="s">
        <v>26</v>
      </c>
      <c r="E2029" t="s">
        <v>36</v>
      </c>
      <c r="F2029" t="s">
        <v>64</v>
      </c>
      <c r="G2029">
        <v>3</v>
      </c>
      <c r="H2029">
        <v>6765.99</v>
      </c>
      <c r="I2029">
        <v>1007.72</v>
      </c>
      <c r="J2029" t="s">
        <v>22</v>
      </c>
      <c r="K2029" t="s">
        <v>23</v>
      </c>
      <c r="L2029">
        <f t="shared" si="93"/>
        <v>2023</v>
      </c>
      <c r="M2029" t="str">
        <f t="shared" si="94"/>
        <v>Jan</v>
      </c>
      <c r="N2029" s="2">
        <f t="shared" si="95"/>
        <v>0.14893903183421792</v>
      </c>
    </row>
    <row r="2030" spans="1:14" x14ac:dyDescent="0.45">
      <c r="A2030" t="s">
        <v>3900</v>
      </c>
      <c r="B2030" s="1">
        <v>44889</v>
      </c>
      <c r="C2030" t="s">
        <v>3739</v>
      </c>
      <c r="D2030" t="s">
        <v>56</v>
      </c>
      <c r="E2030" t="s">
        <v>20</v>
      </c>
      <c r="F2030" t="s">
        <v>21</v>
      </c>
      <c r="G2030">
        <v>3</v>
      </c>
      <c r="H2030">
        <v>11807.02</v>
      </c>
      <c r="I2030">
        <v>1843.21</v>
      </c>
      <c r="J2030" t="s">
        <v>71</v>
      </c>
      <c r="K2030" t="s">
        <v>23</v>
      </c>
      <c r="L2030">
        <f t="shared" si="93"/>
        <v>2022</v>
      </c>
      <c r="M2030" t="str">
        <f t="shared" si="94"/>
        <v>Nov</v>
      </c>
      <c r="N2030" s="2">
        <f t="shared" si="95"/>
        <v>0.1561113642561798</v>
      </c>
    </row>
    <row r="2031" spans="1:14" x14ac:dyDescent="0.45">
      <c r="A2031" t="s">
        <v>3901</v>
      </c>
      <c r="B2031" s="1">
        <v>44633</v>
      </c>
      <c r="C2031" t="s">
        <v>1151</v>
      </c>
      <c r="D2031" t="s">
        <v>26</v>
      </c>
      <c r="E2031" t="s">
        <v>36</v>
      </c>
      <c r="F2031" t="s">
        <v>53</v>
      </c>
      <c r="G2031">
        <v>5</v>
      </c>
      <c r="H2031">
        <v>29316.240000000002</v>
      </c>
      <c r="I2031">
        <v>4197.74</v>
      </c>
      <c r="J2031" t="s">
        <v>71</v>
      </c>
      <c r="K2031" t="s">
        <v>33</v>
      </c>
      <c r="L2031">
        <f t="shared" si="93"/>
        <v>2022</v>
      </c>
      <c r="M2031" t="str">
        <f t="shared" si="94"/>
        <v>Mar</v>
      </c>
      <c r="N2031" s="2">
        <f t="shared" si="95"/>
        <v>0.14318821240377347</v>
      </c>
    </row>
    <row r="2032" spans="1:14" x14ac:dyDescent="0.45">
      <c r="A2032" t="s">
        <v>3902</v>
      </c>
      <c r="B2032" s="1">
        <v>45270</v>
      </c>
      <c r="C2032" t="s">
        <v>3903</v>
      </c>
      <c r="D2032" t="s">
        <v>26</v>
      </c>
      <c r="E2032" t="s">
        <v>14</v>
      </c>
      <c r="F2032" t="s">
        <v>15</v>
      </c>
      <c r="G2032">
        <v>5</v>
      </c>
      <c r="H2032">
        <v>22445.17</v>
      </c>
      <c r="I2032">
        <v>2042.85</v>
      </c>
      <c r="J2032" t="s">
        <v>71</v>
      </c>
      <c r="K2032" t="s">
        <v>23</v>
      </c>
      <c r="L2032">
        <f t="shared" si="93"/>
        <v>2023</v>
      </c>
      <c r="M2032" t="str">
        <f t="shared" si="94"/>
        <v>Dec</v>
      </c>
      <c r="N2032" s="2">
        <f t="shared" si="95"/>
        <v>9.1015127085248185E-2</v>
      </c>
    </row>
    <row r="2033" spans="1:14" x14ac:dyDescent="0.45">
      <c r="A2033" t="s">
        <v>3904</v>
      </c>
      <c r="B2033" s="1">
        <v>44986</v>
      </c>
      <c r="C2033" t="s">
        <v>3905</v>
      </c>
      <c r="D2033" t="s">
        <v>26</v>
      </c>
      <c r="E2033" t="s">
        <v>20</v>
      </c>
      <c r="F2033" t="s">
        <v>21</v>
      </c>
      <c r="G2033">
        <v>2</v>
      </c>
      <c r="H2033">
        <v>5450.05</v>
      </c>
      <c r="I2033">
        <v>975.08</v>
      </c>
      <c r="J2033" t="s">
        <v>22</v>
      </c>
      <c r="K2033" t="s">
        <v>33</v>
      </c>
      <c r="L2033">
        <f t="shared" si="93"/>
        <v>2023</v>
      </c>
      <c r="M2033" t="str">
        <f t="shared" si="94"/>
        <v>Mar</v>
      </c>
      <c r="N2033" s="2">
        <f t="shared" si="95"/>
        <v>0.17891212007229293</v>
      </c>
    </row>
    <row r="2034" spans="1:14" x14ac:dyDescent="0.45">
      <c r="A2034" t="s">
        <v>3906</v>
      </c>
      <c r="B2034" s="1">
        <v>44661</v>
      </c>
      <c r="C2034" t="s">
        <v>3907</v>
      </c>
      <c r="D2034" t="s">
        <v>26</v>
      </c>
      <c r="E2034" t="s">
        <v>14</v>
      </c>
      <c r="F2034" t="s">
        <v>32</v>
      </c>
      <c r="G2034">
        <v>3</v>
      </c>
      <c r="H2034">
        <v>49560.25</v>
      </c>
      <c r="I2034">
        <v>9946.83</v>
      </c>
      <c r="J2034" t="s">
        <v>71</v>
      </c>
      <c r="K2034" t="s">
        <v>29</v>
      </c>
      <c r="L2034">
        <f t="shared" si="93"/>
        <v>2022</v>
      </c>
      <c r="M2034" t="str">
        <f t="shared" si="94"/>
        <v>Apr</v>
      </c>
      <c r="N2034" s="2">
        <f t="shared" si="95"/>
        <v>0.20070177208549189</v>
      </c>
    </row>
    <row r="2035" spans="1:14" x14ac:dyDescent="0.45">
      <c r="A2035" t="s">
        <v>3908</v>
      </c>
      <c r="B2035" s="1">
        <v>44780</v>
      </c>
      <c r="C2035" t="s">
        <v>2685</v>
      </c>
      <c r="D2035" t="s">
        <v>13</v>
      </c>
      <c r="E2035" t="s">
        <v>36</v>
      </c>
      <c r="F2035" t="s">
        <v>64</v>
      </c>
      <c r="G2035">
        <v>3</v>
      </c>
      <c r="H2035">
        <v>9441.6299999999992</v>
      </c>
      <c r="I2035">
        <v>1249.6600000000001</v>
      </c>
      <c r="J2035" t="s">
        <v>28</v>
      </c>
      <c r="K2035" t="s">
        <v>33</v>
      </c>
      <c r="L2035">
        <f t="shared" si="93"/>
        <v>2022</v>
      </c>
      <c r="M2035" t="str">
        <f t="shared" si="94"/>
        <v>Aug</v>
      </c>
      <c r="N2035" s="2">
        <f t="shared" si="95"/>
        <v>0.13235638337871747</v>
      </c>
    </row>
    <row r="2036" spans="1:14" x14ac:dyDescent="0.45">
      <c r="A2036" t="s">
        <v>3909</v>
      </c>
      <c r="B2036" s="1">
        <v>45582</v>
      </c>
      <c r="C2036" t="s">
        <v>3910</v>
      </c>
      <c r="D2036" t="s">
        <v>56</v>
      </c>
      <c r="E2036" t="s">
        <v>36</v>
      </c>
      <c r="F2036" t="s">
        <v>64</v>
      </c>
      <c r="G2036">
        <v>1</v>
      </c>
      <c r="H2036">
        <v>42672.82</v>
      </c>
      <c r="I2036">
        <v>2779.99</v>
      </c>
      <c r="J2036" t="s">
        <v>28</v>
      </c>
      <c r="K2036" t="s">
        <v>17</v>
      </c>
      <c r="L2036">
        <f t="shared" si="93"/>
        <v>2024</v>
      </c>
      <c r="M2036" t="str">
        <f t="shared" si="94"/>
        <v>Oct</v>
      </c>
      <c r="N2036" s="2">
        <f t="shared" si="95"/>
        <v>6.5146620260859253E-2</v>
      </c>
    </row>
    <row r="2037" spans="1:14" x14ac:dyDescent="0.45">
      <c r="A2037" t="s">
        <v>3911</v>
      </c>
      <c r="B2037" s="1">
        <v>45260</v>
      </c>
      <c r="C2037" t="s">
        <v>3912</v>
      </c>
      <c r="D2037" t="s">
        <v>56</v>
      </c>
      <c r="E2037" t="s">
        <v>20</v>
      </c>
      <c r="F2037" t="s">
        <v>27</v>
      </c>
      <c r="G2037">
        <v>3</v>
      </c>
      <c r="H2037">
        <v>49811.24</v>
      </c>
      <c r="I2037">
        <v>9050.5300000000007</v>
      </c>
      <c r="J2037" t="s">
        <v>22</v>
      </c>
      <c r="K2037" t="s">
        <v>23</v>
      </c>
      <c r="L2037">
        <f t="shared" si="93"/>
        <v>2023</v>
      </c>
      <c r="M2037" t="str">
        <f t="shared" si="94"/>
        <v>Nov</v>
      </c>
      <c r="N2037" s="2">
        <f t="shared" si="95"/>
        <v>0.18169654078075553</v>
      </c>
    </row>
    <row r="2038" spans="1:14" x14ac:dyDescent="0.45">
      <c r="A2038" t="s">
        <v>3913</v>
      </c>
      <c r="B2038" s="1">
        <v>45386</v>
      </c>
      <c r="C2038" t="s">
        <v>3457</v>
      </c>
      <c r="D2038" t="s">
        <v>56</v>
      </c>
      <c r="E2038" t="s">
        <v>36</v>
      </c>
      <c r="F2038" t="s">
        <v>46</v>
      </c>
      <c r="G2038">
        <v>3</v>
      </c>
      <c r="H2038">
        <v>6828.51</v>
      </c>
      <c r="I2038">
        <v>691.74</v>
      </c>
      <c r="J2038" t="s">
        <v>71</v>
      </c>
      <c r="K2038" t="s">
        <v>29</v>
      </c>
      <c r="L2038">
        <f t="shared" si="93"/>
        <v>2024</v>
      </c>
      <c r="M2038" t="str">
        <f t="shared" si="94"/>
        <v>Apr</v>
      </c>
      <c r="N2038" s="2">
        <f t="shared" si="95"/>
        <v>0.10130174811196001</v>
      </c>
    </row>
    <row r="2039" spans="1:14" x14ac:dyDescent="0.45">
      <c r="A2039" t="s">
        <v>3914</v>
      </c>
      <c r="B2039" s="1">
        <v>44970</v>
      </c>
      <c r="C2039" t="s">
        <v>3915</v>
      </c>
      <c r="D2039" t="s">
        <v>26</v>
      </c>
      <c r="E2039" t="s">
        <v>14</v>
      </c>
      <c r="F2039" t="s">
        <v>15</v>
      </c>
      <c r="G2039">
        <v>4</v>
      </c>
      <c r="H2039">
        <v>7013.09</v>
      </c>
      <c r="I2039">
        <v>1069.0999999999999</v>
      </c>
      <c r="J2039" t="s">
        <v>47</v>
      </c>
      <c r="K2039" t="s">
        <v>33</v>
      </c>
      <c r="L2039">
        <f t="shared" si="93"/>
        <v>2023</v>
      </c>
      <c r="M2039" t="str">
        <f t="shared" si="94"/>
        <v>Feb</v>
      </c>
      <c r="N2039" s="2">
        <f t="shared" si="95"/>
        <v>0.15244350207968241</v>
      </c>
    </row>
    <row r="2040" spans="1:14" x14ac:dyDescent="0.45">
      <c r="A2040" t="s">
        <v>3916</v>
      </c>
      <c r="B2040" s="1">
        <v>44802</v>
      </c>
      <c r="C2040" t="s">
        <v>1315</v>
      </c>
      <c r="D2040" t="s">
        <v>13</v>
      </c>
      <c r="E2040" t="s">
        <v>36</v>
      </c>
      <c r="F2040" t="s">
        <v>64</v>
      </c>
      <c r="G2040">
        <v>4</v>
      </c>
      <c r="H2040">
        <v>12884.4</v>
      </c>
      <c r="I2040">
        <v>1189.07</v>
      </c>
      <c r="J2040" t="s">
        <v>22</v>
      </c>
      <c r="K2040" t="s">
        <v>29</v>
      </c>
      <c r="L2040">
        <f t="shared" si="93"/>
        <v>2022</v>
      </c>
      <c r="M2040" t="str">
        <f t="shared" si="94"/>
        <v>Aug</v>
      </c>
      <c r="N2040" s="2">
        <f t="shared" si="95"/>
        <v>9.228757256837726E-2</v>
      </c>
    </row>
    <row r="2041" spans="1:14" x14ac:dyDescent="0.45">
      <c r="A2041" t="s">
        <v>3917</v>
      </c>
      <c r="B2041" s="1">
        <v>44966</v>
      </c>
      <c r="C2041" t="s">
        <v>3918</v>
      </c>
      <c r="D2041" t="s">
        <v>13</v>
      </c>
      <c r="E2041" t="s">
        <v>14</v>
      </c>
      <c r="F2041" t="s">
        <v>40</v>
      </c>
      <c r="G2041">
        <v>5</v>
      </c>
      <c r="H2041">
        <v>29487.71</v>
      </c>
      <c r="I2041">
        <v>2560.92</v>
      </c>
      <c r="J2041" t="s">
        <v>47</v>
      </c>
      <c r="K2041" t="s">
        <v>33</v>
      </c>
      <c r="L2041">
        <f t="shared" si="93"/>
        <v>2023</v>
      </c>
      <c r="M2041" t="str">
        <f t="shared" si="94"/>
        <v>Feb</v>
      </c>
      <c r="N2041" s="2">
        <f t="shared" si="95"/>
        <v>8.6847028813020755E-2</v>
      </c>
    </row>
    <row r="2042" spans="1:14" x14ac:dyDescent="0.45">
      <c r="A2042" t="s">
        <v>3919</v>
      </c>
      <c r="B2042" s="1">
        <v>44698</v>
      </c>
      <c r="C2042" t="s">
        <v>3920</v>
      </c>
      <c r="D2042" t="s">
        <v>26</v>
      </c>
      <c r="E2042" t="s">
        <v>20</v>
      </c>
      <c r="F2042" t="s">
        <v>43</v>
      </c>
      <c r="G2042">
        <v>3</v>
      </c>
      <c r="H2042">
        <v>1441.08</v>
      </c>
      <c r="I2042">
        <v>311.2</v>
      </c>
      <c r="J2042" t="s">
        <v>71</v>
      </c>
      <c r="K2042" t="s">
        <v>29</v>
      </c>
      <c r="L2042">
        <f t="shared" si="93"/>
        <v>2022</v>
      </c>
      <c r="M2042" t="str">
        <f t="shared" si="94"/>
        <v>May</v>
      </c>
      <c r="N2042" s="2">
        <f t="shared" si="95"/>
        <v>0.21594914924917424</v>
      </c>
    </row>
    <row r="2043" spans="1:14" x14ac:dyDescent="0.45">
      <c r="A2043" t="s">
        <v>3921</v>
      </c>
      <c r="B2043" s="1">
        <v>45442</v>
      </c>
      <c r="C2043" t="s">
        <v>3922</v>
      </c>
      <c r="D2043" t="s">
        <v>13</v>
      </c>
      <c r="E2043" t="s">
        <v>20</v>
      </c>
      <c r="F2043" t="s">
        <v>50</v>
      </c>
      <c r="G2043">
        <v>2</v>
      </c>
      <c r="H2043">
        <v>41350.800000000003</v>
      </c>
      <c r="I2043">
        <v>3559.27</v>
      </c>
      <c r="J2043" t="s">
        <v>16</v>
      </c>
      <c r="K2043" t="s">
        <v>23</v>
      </c>
      <c r="L2043">
        <f t="shared" si="93"/>
        <v>2024</v>
      </c>
      <c r="M2043" t="str">
        <f t="shared" si="94"/>
        <v>May</v>
      </c>
      <c r="N2043" s="2">
        <f t="shared" si="95"/>
        <v>8.60749973398338E-2</v>
      </c>
    </row>
    <row r="2044" spans="1:14" x14ac:dyDescent="0.45">
      <c r="A2044" t="s">
        <v>3923</v>
      </c>
      <c r="B2044" s="1">
        <v>44794</v>
      </c>
      <c r="C2044" t="s">
        <v>3924</v>
      </c>
      <c r="D2044" t="s">
        <v>56</v>
      </c>
      <c r="E2044" t="s">
        <v>14</v>
      </c>
      <c r="F2044" t="s">
        <v>15</v>
      </c>
      <c r="G2044">
        <v>1</v>
      </c>
      <c r="H2044">
        <v>37208.86</v>
      </c>
      <c r="I2044">
        <v>4694.57</v>
      </c>
      <c r="J2044" t="s">
        <v>47</v>
      </c>
      <c r="K2044" t="s">
        <v>29</v>
      </c>
      <c r="L2044">
        <f t="shared" si="93"/>
        <v>2022</v>
      </c>
      <c r="M2044" t="str">
        <f t="shared" si="94"/>
        <v>Aug</v>
      </c>
      <c r="N2044" s="2">
        <f t="shared" si="95"/>
        <v>0.12616806857291515</v>
      </c>
    </row>
    <row r="2045" spans="1:14" x14ac:dyDescent="0.45">
      <c r="A2045" t="s">
        <v>3925</v>
      </c>
      <c r="B2045" s="1">
        <v>44816</v>
      </c>
      <c r="C2045" t="s">
        <v>3926</v>
      </c>
      <c r="D2045" t="s">
        <v>56</v>
      </c>
      <c r="E2045" t="s">
        <v>14</v>
      </c>
      <c r="F2045" t="s">
        <v>57</v>
      </c>
      <c r="G2045">
        <v>3</v>
      </c>
      <c r="H2045">
        <v>19024.75</v>
      </c>
      <c r="I2045">
        <v>1495.31</v>
      </c>
      <c r="J2045" t="s">
        <v>28</v>
      </c>
      <c r="K2045" t="s">
        <v>23</v>
      </c>
      <c r="L2045">
        <f t="shared" si="93"/>
        <v>2022</v>
      </c>
      <c r="M2045" t="str">
        <f t="shared" si="94"/>
        <v>Sep</v>
      </c>
      <c r="N2045" s="2">
        <f t="shared" si="95"/>
        <v>7.8598141894111614E-2</v>
      </c>
    </row>
    <row r="2046" spans="1:14" x14ac:dyDescent="0.45">
      <c r="A2046" t="s">
        <v>3927</v>
      </c>
      <c r="B2046" s="1">
        <v>45263</v>
      </c>
      <c r="C2046" t="s">
        <v>3928</v>
      </c>
      <c r="D2046" t="s">
        <v>56</v>
      </c>
      <c r="E2046" t="s">
        <v>36</v>
      </c>
      <c r="F2046" t="s">
        <v>46</v>
      </c>
      <c r="G2046">
        <v>4</v>
      </c>
      <c r="H2046">
        <v>34085.83</v>
      </c>
      <c r="I2046">
        <v>7614.09</v>
      </c>
      <c r="J2046" t="s">
        <v>16</v>
      </c>
      <c r="K2046" t="s">
        <v>29</v>
      </c>
      <c r="L2046">
        <f t="shared" si="93"/>
        <v>2023</v>
      </c>
      <c r="M2046" t="str">
        <f t="shared" si="94"/>
        <v>Dec</v>
      </c>
      <c r="N2046" s="2">
        <f t="shared" si="95"/>
        <v>0.22337992062977488</v>
      </c>
    </row>
    <row r="2047" spans="1:14" x14ac:dyDescent="0.45">
      <c r="A2047" t="s">
        <v>3929</v>
      </c>
      <c r="B2047" s="1">
        <v>44825</v>
      </c>
      <c r="C2047" t="s">
        <v>3930</v>
      </c>
      <c r="D2047" t="s">
        <v>26</v>
      </c>
      <c r="E2047" t="s">
        <v>14</v>
      </c>
      <c r="F2047" t="s">
        <v>57</v>
      </c>
      <c r="G2047">
        <v>2</v>
      </c>
      <c r="H2047">
        <v>38730.03</v>
      </c>
      <c r="I2047">
        <v>5061.8599999999997</v>
      </c>
      <c r="J2047" t="s">
        <v>22</v>
      </c>
      <c r="K2047" t="s">
        <v>23</v>
      </c>
      <c r="L2047">
        <f t="shared" si="93"/>
        <v>2022</v>
      </c>
      <c r="M2047" t="str">
        <f t="shared" si="94"/>
        <v>Sep</v>
      </c>
      <c r="N2047" s="2">
        <f t="shared" si="95"/>
        <v>0.1306959999772786</v>
      </c>
    </row>
    <row r="2048" spans="1:14" x14ac:dyDescent="0.45">
      <c r="A2048" t="s">
        <v>3931</v>
      </c>
      <c r="B2048" s="1">
        <v>45245</v>
      </c>
      <c r="C2048" t="s">
        <v>3932</v>
      </c>
      <c r="D2048" t="s">
        <v>13</v>
      </c>
      <c r="E2048" t="s">
        <v>20</v>
      </c>
      <c r="F2048" t="s">
        <v>27</v>
      </c>
      <c r="G2048">
        <v>3</v>
      </c>
      <c r="H2048">
        <v>1659.26</v>
      </c>
      <c r="I2048">
        <v>203.95</v>
      </c>
      <c r="J2048" t="s">
        <v>47</v>
      </c>
      <c r="K2048" t="s">
        <v>29</v>
      </c>
      <c r="L2048">
        <f t="shared" si="93"/>
        <v>2023</v>
      </c>
      <c r="M2048" t="str">
        <f t="shared" si="94"/>
        <v>Nov</v>
      </c>
      <c r="N2048" s="2">
        <f t="shared" si="95"/>
        <v>0.12291623976953581</v>
      </c>
    </row>
    <row r="2049" spans="1:14" x14ac:dyDescent="0.45">
      <c r="A2049" t="s">
        <v>3933</v>
      </c>
      <c r="B2049" s="1">
        <v>45203</v>
      </c>
      <c r="C2049" t="s">
        <v>2614</v>
      </c>
      <c r="D2049" t="s">
        <v>56</v>
      </c>
      <c r="E2049" t="s">
        <v>36</v>
      </c>
      <c r="F2049" t="s">
        <v>64</v>
      </c>
      <c r="G2049">
        <v>1</v>
      </c>
      <c r="H2049">
        <v>10833.41</v>
      </c>
      <c r="I2049">
        <v>1188.6300000000001</v>
      </c>
      <c r="J2049" t="s">
        <v>71</v>
      </c>
      <c r="K2049" t="s">
        <v>23</v>
      </c>
      <c r="L2049">
        <f t="shared" si="93"/>
        <v>2023</v>
      </c>
      <c r="M2049" t="str">
        <f t="shared" si="94"/>
        <v>Oct</v>
      </c>
      <c r="N2049" s="2">
        <f t="shared" si="95"/>
        <v>0.10971891583536487</v>
      </c>
    </row>
    <row r="2050" spans="1:14" x14ac:dyDescent="0.45">
      <c r="A2050" t="s">
        <v>3934</v>
      </c>
      <c r="B2050" s="1">
        <v>45582</v>
      </c>
      <c r="C2050" t="s">
        <v>3935</v>
      </c>
      <c r="D2050" t="s">
        <v>56</v>
      </c>
      <c r="E2050" t="s">
        <v>36</v>
      </c>
      <c r="F2050" t="s">
        <v>64</v>
      </c>
      <c r="G2050">
        <v>1</v>
      </c>
      <c r="H2050">
        <v>29795.9</v>
      </c>
      <c r="I2050">
        <v>3992.68</v>
      </c>
      <c r="J2050" t="s">
        <v>47</v>
      </c>
      <c r="K2050" t="s">
        <v>29</v>
      </c>
      <c r="L2050">
        <f t="shared" si="93"/>
        <v>2024</v>
      </c>
      <c r="M2050" t="str">
        <f t="shared" si="94"/>
        <v>Oct</v>
      </c>
      <c r="N2050" s="2">
        <f t="shared" si="95"/>
        <v>0.134000986712937</v>
      </c>
    </row>
    <row r="2051" spans="1:14" x14ac:dyDescent="0.45">
      <c r="A2051" t="s">
        <v>3936</v>
      </c>
      <c r="B2051" s="1">
        <v>45383</v>
      </c>
      <c r="C2051" t="s">
        <v>3937</v>
      </c>
      <c r="D2051" t="s">
        <v>56</v>
      </c>
      <c r="E2051" t="s">
        <v>20</v>
      </c>
      <c r="F2051" t="s">
        <v>50</v>
      </c>
      <c r="G2051">
        <v>1</v>
      </c>
      <c r="H2051">
        <v>35706.629999999997</v>
      </c>
      <c r="I2051">
        <v>8145.43</v>
      </c>
      <c r="J2051" t="s">
        <v>28</v>
      </c>
      <c r="K2051" t="s">
        <v>17</v>
      </c>
      <c r="L2051">
        <f t="shared" ref="L2051:L2114" si="96">YEAR(B2051 )</f>
        <v>2024</v>
      </c>
      <c r="M2051" t="str">
        <f t="shared" ref="M2051:M2114" si="97">TEXT(B2051,"MMM")</f>
        <v>Apr</v>
      </c>
      <c r="N2051" s="2">
        <f t="shared" ref="N2051:N2114" si="98">I2051 / H2051</f>
        <v>0.22812094000469943</v>
      </c>
    </row>
    <row r="2052" spans="1:14" x14ac:dyDescent="0.45">
      <c r="A2052" t="s">
        <v>3938</v>
      </c>
      <c r="B2052" s="1">
        <v>45307</v>
      </c>
      <c r="C2052" t="s">
        <v>3939</v>
      </c>
      <c r="D2052" t="s">
        <v>56</v>
      </c>
      <c r="E2052" t="s">
        <v>20</v>
      </c>
      <c r="F2052" t="s">
        <v>50</v>
      </c>
      <c r="G2052">
        <v>3</v>
      </c>
      <c r="H2052">
        <v>19344.330000000002</v>
      </c>
      <c r="I2052">
        <v>3395.9</v>
      </c>
      <c r="J2052" t="s">
        <v>28</v>
      </c>
      <c r="K2052" t="s">
        <v>17</v>
      </c>
      <c r="L2052">
        <f t="shared" si="96"/>
        <v>2024</v>
      </c>
      <c r="M2052" t="str">
        <f t="shared" si="97"/>
        <v>Jan</v>
      </c>
      <c r="N2052" s="2">
        <f t="shared" si="98"/>
        <v>0.17555014828634538</v>
      </c>
    </row>
    <row r="2053" spans="1:14" x14ac:dyDescent="0.45">
      <c r="A2053" t="s">
        <v>3940</v>
      </c>
      <c r="B2053" s="1">
        <v>44807</v>
      </c>
      <c r="C2053" t="s">
        <v>3312</v>
      </c>
      <c r="D2053" t="s">
        <v>13</v>
      </c>
      <c r="E2053" t="s">
        <v>20</v>
      </c>
      <c r="F2053" t="s">
        <v>43</v>
      </c>
      <c r="G2053">
        <v>2</v>
      </c>
      <c r="H2053">
        <v>14381.78</v>
      </c>
      <c r="I2053">
        <v>3153.22</v>
      </c>
      <c r="J2053" t="s">
        <v>22</v>
      </c>
      <c r="K2053" t="s">
        <v>17</v>
      </c>
      <c r="L2053">
        <f t="shared" si="96"/>
        <v>2022</v>
      </c>
      <c r="M2053" t="str">
        <f t="shared" si="97"/>
        <v>Sep</v>
      </c>
      <c r="N2053" s="2">
        <f t="shared" si="98"/>
        <v>0.21925102456024217</v>
      </c>
    </row>
    <row r="2054" spans="1:14" x14ac:dyDescent="0.45">
      <c r="A2054" t="s">
        <v>3941</v>
      </c>
      <c r="B2054" s="1">
        <v>45564</v>
      </c>
      <c r="C2054" t="s">
        <v>3942</v>
      </c>
      <c r="D2054" t="s">
        <v>56</v>
      </c>
      <c r="E2054" t="s">
        <v>20</v>
      </c>
      <c r="F2054" t="s">
        <v>27</v>
      </c>
      <c r="G2054">
        <v>3</v>
      </c>
      <c r="H2054">
        <v>29309.65</v>
      </c>
      <c r="I2054">
        <v>7305.17</v>
      </c>
      <c r="J2054" t="s">
        <v>22</v>
      </c>
      <c r="K2054" t="s">
        <v>33</v>
      </c>
      <c r="L2054">
        <f t="shared" si="96"/>
        <v>2024</v>
      </c>
      <c r="M2054" t="str">
        <f t="shared" si="97"/>
        <v>Sep</v>
      </c>
      <c r="N2054" s="2">
        <f t="shared" si="98"/>
        <v>0.24924112024537992</v>
      </c>
    </row>
    <row r="2055" spans="1:14" x14ac:dyDescent="0.45">
      <c r="A2055" t="s">
        <v>3943</v>
      </c>
      <c r="B2055" s="1">
        <v>44803</v>
      </c>
      <c r="C2055" t="s">
        <v>3944</v>
      </c>
      <c r="D2055" t="s">
        <v>13</v>
      </c>
      <c r="E2055" t="s">
        <v>14</v>
      </c>
      <c r="F2055" t="s">
        <v>15</v>
      </c>
      <c r="G2055">
        <v>5</v>
      </c>
      <c r="H2055">
        <v>49887.16</v>
      </c>
      <c r="I2055">
        <v>7984.94</v>
      </c>
      <c r="J2055" t="s">
        <v>71</v>
      </c>
      <c r="K2055" t="s">
        <v>17</v>
      </c>
      <c r="L2055">
        <f t="shared" si="96"/>
        <v>2022</v>
      </c>
      <c r="M2055" t="str">
        <f t="shared" si="97"/>
        <v>Aug</v>
      </c>
      <c r="N2055" s="2">
        <f t="shared" si="98"/>
        <v>0.16006002346094664</v>
      </c>
    </row>
    <row r="2056" spans="1:14" x14ac:dyDescent="0.45">
      <c r="A2056" t="s">
        <v>3945</v>
      </c>
      <c r="B2056" s="1">
        <v>45329</v>
      </c>
      <c r="C2056" t="s">
        <v>3304</v>
      </c>
      <c r="D2056" t="s">
        <v>26</v>
      </c>
      <c r="E2056" t="s">
        <v>20</v>
      </c>
      <c r="F2056" t="s">
        <v>21</v>
      </c>
      <c r="G2056">
        <v>5</v>
      </c>
      <c r="H2056">
        <v>6099.89</v>
      </c>
      <c r="I2056">
        <v>459.32</v>
      </c>
      <c r="J2056" t="s">
        <v>47</v>
      </c>
      <c r="K2056" t="s">
        <v>29</v>
      </c>
      <c r="L2056">
        <f t="shared" si="96"/>
        <v>2024</v>
      </c>
      <c r="M2056" t="str">
        <f t="shared" si="97"/>
        <v>Feb</v>
      </c>
      <c r="N2056" s="2">
        <f t="shared" si="98"/>
        <v>7.529971851951428E-2</v>
      </c>
    </row>
    <row r="2057" spans="1:14" x14ac:dyDescent="0.45">
      <c r="A2057" t="s">
        <v>3946</v>
      </c>
      <c r="B2057" s="1">
        <v>45159</v>
      </c>
      <c r="C2057" t="s">
        <v>3947</v>
      </c>
      <c r="D2057" t="s">
        <v>56</v>
      </c>
      <c r="E2057" t="s">
        <v>14</v>
      </c>
      <c r="F2057" t="s">
        <v>40</v>
      </c>
      <c r="G2057">
        <v>1</v>
      </c>
      <c r="H2057">
        <v>29543.439999999999</v>
      </c>
      <c r="I2057">
        <v>2375.6</v>
      </c>
      <c r="J2057" t="s">
        <v>47</v>
      </c>
      <c r="K2057" t="s">
        <v>17</v>
      </c>
      <c r="L2057">
        <f t="shared" si="96"/>
        <v>2023</v>
      </c>
      <c r="M2057" t="str">
        <f t="shared" si="97"/>
        <v>Aug</v>
      </c>
      <c r="N2057" s="2">
        <f t="shared" si="98"/>
        <v>8.0410405829517487E-2</v>
      </c>
    </row>
    <row r="2058" spans="1:14" x14ac:dyDescent="0.45">
      <c r="A2058" t="s">
        <v>3948</v>
      </c>
      <c r="B2058" s="1">
        <v>45507</v>
      </c>
      <c r="C2058" t="s">
        <v>3949</v>
      </c>
      <c r="D2058" t="s">
        <v>26</v>
      </c>
      <c r="E2058" t="s">
        <v>20</v>
      </c>
      <c r="F2058" t="s">
        <v>21</v>
      </c>
      <c r="G2058">
        <v>1</v>
      </c>
      <c r="H2058">
        <v>18369.900000000001</v>
      </c>
      <c r="I2058">
        <v>1106.94</v>
      </c>
      <c r="J2058" t="s">
        <v>16</v>
      </c>
      <c r="K2058" t="s">
        <v>17</v>
      </c>
      <c r="L2058">
        <f t="shared" si="96"/>
        <v>2024</v>
      </c>
      <c r="M2058" t="str">
        <f t="shared" si="97"/>
        <v>Aug</v>
      </c>
      <c r="N2058" s="2">
        <f t="shared" si="98"/>
        <v>6.0258357421651719E-2</v>
      </c>
    </row>
    <row r="2059" spans="1:14" x14ac:dyDescent="0.45">
      <c r="A2059" t="s">
        <v>3950</v>
      </c>
      <c r="B2059" s="1">
        <v>45496</v>
      </c>
      <c r="C2059" t="s">
        <v>3951</v>
      </c>
      <c r="D2059" t="s">
        <v>26</v>
      </c>
      <c r="E2059" t="s">
        <v>20</v>
      </c>
      <c r="F2059" t="s">
        <v>50</v>
      </c>
      <c r="G2059">
        <v>5</v>
      </c>
      <c r="H2059">
        <v>3766.22</v>
      </c>
      <c r="I2059">
        <v>267.01</v>
      </c>
      <c r="J2059" t="s">
        <v>16</v>
      </c>
      <c r="K2059" t="s">
        <v>17</v>
      </c>
      <c r="L2059">
        <f t="shared" si="96"/>
        <v>2024</v>
      </c>
      <c r="M2059" t="str">
        <f t="shared" si="97"/>
        <v>Jul</v>
      </c>
      <c r="N2059" s="2">
        <f t="shared" si="98"/>
        <v>7.0896017757858018E-2</v>
      </c>
    </row>
    <row r="2060" spans="1:14" x14ac:dyDescent="0.45">
      <c r="A2060" t="s">
        <v>3952</v>
      </c>
      <c r="B2060" s="1">
        <v>45439</v>
      </c>
      <c r="C2060" t="s">
        <v>3953</v>
      </c>
      <c r="D2060" t="s">
        <v>13</v>
      </c>
      <c r="E2060" t="s">
        <v>20</v>
      </c>
      <c r="F2060" t="s">
        <v>50</v>
      </c>
      <c r="G2060">
        <v>3</v>
      </c>
      <c r="H2060">
        <v>21936.01</v>
      </c>
      <c r="I2060">
        <v>2265.36</v>
      </c>
      <c r="J2060" t="s">
        <v>71</v>
      </c>
      <c r="K2060" t="s">
        <v>17</v>
      </c>
      <c r="L2060">
        <f t="shared" si="96"/>
        <v>2024</v>
      </c>
      <c r="M2060" t="str">
        <f t="shared" si="97"/>
        <v>May</v>
      </c>
      <c r="N2060" s="2">
        <f t="shared" si="98"/>
        <v>0.10327128771367265</v>
      </c>
    </row>
    <row r="2061" spans="1:14" x14ac:dyDescent="0.45">
      <c r="A2061" t="s">
        <v>3954</v>
      </c>
      <c r="B2061" s="1">
        <v>45450</v>
      </c>
      <c r="C2061" t="s">
        <v>3955</v>
      </c>
      <c r="D2061" t="s">
        <v>56</v>
      </c>
      <c r="E2061" t="s">
        <v>36</v>
      </c>
      <c r="F2061" t="s">
        <v>53</v>
      </c>
      <c r="G2061">
        <v>3</v>
      </c>
      <c r="H2061">
        <v>7824.14</v>
      </c>
      <c r="I2061">
        <v>625.21</v>
      </c>
      <c r="J2061" t="s">
        <v>28</v>
      </c>
      <c r="K2061" t="s">
        <v>29</v>
      </c>
      <c r="L2061">
        <f t="shared" si="96"/>
        <v>2024</v>
      </c>
      <c r="M2061" t="str">
        <f t="shared" si="97"/>
        <v>Jun</v>
      </c>
      <c r="N2061" s="2">
        <f t="shared" si="98"/>
        <v>7.9907823735260355E-2</v>
      </c>
    </row>
    <row r="2062" spans="1:14" x14ac:dyDescent="0.45">
      <c r="A2062" t="s">
        <v>3956</v>
      </c>
      <c r="B2062" s="1">
        <v>45300</v>
      </c>
      <c r="C2062" t="s">
        <v>694</v>
      </c>
      <c r="D2062" t="s">
        <v>56</v>
      </c>
      <c r="E2062" t="s">
        <v>20</v>
      </c>
      <c r="F2062" t="s">
        <v>50</v>
      </c>
      <c r="G2062">
        <v>5</v>
      </c>
      <c r="H2062">
        <v>5369.27</v>
      </c>
      <c r="I2062">
        <v>846.98</v>
      </c>
      <c r="J2062" t="s">
        <v>22</v>
      </c>
      <c r="K2062" t="s">
        <v>23</v>
      </c>
      <c r="L2062">
        <f t="shared" si="96"/>
        <v>2024</v>
      </c>
      <c r="M2062" t="str">
        <f t="shared" si="97"/>
        <v>Jan</v>
      </c>
      <c r="N2062" s="2">
        <f t="shared" si="98"/>
        <v>0.15774583881980231</v>
      </c>
    </row>
    <row r="2063" spans="1:14" x14ac:dyDescent="0.45">
      <c r="A2063" t="s">
        <v>3957</v>
      </c>
      <c r="B2063" s="1">
        <v>44738</v>
      </c>
      <c r="C2063" t="s">
        <v>964</v>
      </c>
      <c r="D2063" t="s">
        <v>26</v>
      </c>
      <c r="E2063" t="s">
        <v>14</v>
      </c>
      <c r="F2063" t="s">
        <v>32</v>
      </c>
      <c r="G2063">
        <v>5</v>
      </c>
      <c r="H2063">
        <v>29587.4</v>
      </c>
      <c r="I2063">
        <v>3770.27</v>
      </c>
      <c r="J2063" t="s">
        <v>47</v>
      </c>
      <c r="K2063" t="s">
        <v>17</v>
      </c>
      <c r="L2063">
        <f t="shared" si="96"/>
        <v>2022</v>
      </c>
      <c r="M2063" t="str">
        <f t="shared" si="97"/>
        <v>Jun</v>
      </c>
      <c r="N2063" s="2">
        <f t="shared" si="98"/>
        <v>0.1274282295842149</v>
      </c>
    </row>
    <row r="2064" spans="1:14" x14ac:dyDescent="0.45">
      <c r="A2064" t="s">
        <v>3958</v>
      </c>
      <c r="B2064" s="1">
        <v>45038</v>
      </c>
      <c r="C2064" t="s">
        <v>3959</v>
      </c>
      <c r="D2064" t="s">
        <v>13</v>
      </c>
      <c r="E2064" t="s">
        <v>36</v>
      </c>
      <c r="F2064" t="s">
        <v>46</v>
      </c>
      <c r="G2064">
        <v>1</v>
      </c>
      <c r="H2064">
        <v>24657.5</v>
      </c>
      <c r="I2064">
        <v>4734.97</v>
      </c>
      <c r="J2064" t="s">
        <v>22</v>
      </c>
      <c r="K2064" t="s">
        <v>29</v>
      </c>
      <c r="L2064">
        <f t="shared" si="96"/>
        <v>2023</v>
      </c>
      <c r="M2064" t="str">
        <f t="shared" si="97"/>
        <v>Apr</v>
      </c>
      <c r="N2064" s="2">
        <f t="shared" si="98"/>
        <v>0.19202960559667445</v>
      </c>
    </row>
    <row r="2065" spans="1:14" x14ac:dyDescent="0.45">
      <c r="A2065" t="s">
        <v>3960</v>
      </c>
      <c r="B2065" s="1">
        <v>44935</v>
      </c>
      <c r="C2065" t="s">
        <v>1202</v>
      </c>
      <c r="D2065" t="s">
        <v>56</v>
      </c>
      <c r="E2065" t="s">
        <v>20</v>
      </c>
      <c r="F2065" t="s">
        <v>43</v>
      </c>
      <c r="G2065">
        <v>2</v>
      </c>
      <c r="H2065">
        <v>19698.55</v>
      </c>
      <c r="I2065">
        <v>2641.09</v>
      </c>
      <c r="J2065" t="s">
        <v>47</v>
      </c>
      <c r="K2065" t="s">
        <v>29</v>
      </c>
      <c r="L2065">
        <f t="shared" si="96"/>
        <v>2023</v>
      </c>
      <c r="M2065" t="str">
        <f t="shared" si="97"/>
        <v>Jan</v>
      </c>
      <c r="N2065" s="2">
        <f t="shared" si="98"/>
        <v>0.13407535072378424</v>
      </c>
    </row>
    <row r="2066" spans="1:14" x14ac:dyDescent="0.45">
      <c r="A2066" t="s">
        <v>3961</v>
      </c>
      <c r="B2066" s="1">
        <v>45250</v>
      </c>
      <c r="C2066" t="s">
        <v>3962</v>
      </c>
      <c r="D2066" t="s">
        <v>56</v>
      </c>
      <c r="E2066" t="s">
        <v>14</v>
      </c>
      <c r="F2066" t="s">
        <v>32</v>
      </c>
      <c r="G2066">
        <v>3</v>
      </c>
      <c r="H2066">
        <v>9931.36</v>
      </c>
      <c r="I2066">
        <v>1760.12</v>
      </c>
      <c r="J2066" t="s">
        <v>16</v>
      </c>
      <c r="K2066" t="s">
        <v>23</v>
      </c>
      <c r="L2066">
        <f t="shared" si="96"/>
        <v>2023</v>
      </c>
      <c r="M2066" t="str">
        <f t="shared" si="97"/>
        <v>Nov</v>
      </c>
      <c r="N2066" s="2">
        <f t="shared" si="98"/>
        <v>0.17722849639928467</v>
      </c>
    </row>
    <row r="2067" spans="1:14" x14ac:dyDescent="0.45">
      <c r="A2067" t="s">
        <v>3963</v>
      </c>
      <c r="B2067" s="1">
        <v>45642</v>
      </c>
      <c r="C2067" t="s">
        <v>3964</v>
      </c>
      <c r="D2067" t="s">
        <v>26</v>
      </c>
      <c r="E2067" t="s">
        <v>20</v>
      </c>
      <c r="F2067" t="s">
        <v>27</v>
      </c>
      <c r="G2067">
        <v>4</v>
      </c>
      <c r="H2067">
        <v>44881.07</v>
      </c>
      <c r="I2067">
        <v>6723.02</v>
      </c>
      <c r="J2067" t="s">
        <v>71</v>
      </c>
      <c r="K2067" t="s">
        <v>33</v>
      </c>
      <c r="L2067">
        <f t="shared" si="96"/>
        <v>2024</v>
      </c>
      <c r="M2067" t="str">
        <f t="shared" si="97"/>
        <v>Dec</v>
      </c>
      <c r="N2067" s="2">
        <f t="shared" si="98"/>
        <v>0.14979633952577334</v>
      </c>
    </row>
    <row r="2068" spans="1:14" x14ac:dyDescent="0.45">
      <c r="A2068" t="s">
        <v>3965</v>
      </c>
      <c r="B2068" s="1">
        <v>44977</v>
      </c>
      <c r="C2068" t="s">
        <v>3966</v>
      </c>
      <c r="D2068" t="s">
        <v>26</v>
      </c>
      <c r="E2068" t="s">
        <v>20</v>
      </c>
      <c r="F2068" t="s">
        <v>27</v>
      </c>
      <c r="G2068">
        <v>4</v>
      </c>
      <c r="H2068">
        <v>29065.93</v>
      </c>
      <c r="I2068">
        <v>2409.31</v>
      </c>
      <c r="J2068" t="s">
        <v>47</v>
      </c>
      <c r="K2068" t="s">
        <v>33</v>
      </c>
      <c r="L2068">
        <f t="shared" si="96"/>
        <v>2023</v>
      </c>
      <c r="M2068" t="str">
        <f t="shared" si="97"/>
        <v>Feb</v>
      </c>
      <c r="N2068" s="2">
        <f t="shared" si="98"/>
        <v>8.2891206302361561E-2</v>
      </c>
    </row>
    <row r="2069" spans="1:14" x14ac:dyDescent="0.45">
      <c r="A2069" t="s">
        <v>3967</v>
      </c>
      <c r="B2069" s="1">
        <v>44633</v>
      </c>
      <c r="C2069" t="s">
        <v>3968</v>
      </c>
      <c r="D2069" t="s">
        <v>56</v>
      </c>
      <c r="E2069" t="s">
        <v>20</v>
      </c>
      <c r="F2069" t="s">
        <v>43</v>
      </c>
      <c r="G2069">
        <v>3</v>
      </c>
      <c r="H2069">
        <v>19510.849999999999</v>
      </c>
      <c r="I2069">
        <v>4725.84</v>
      </c>
      <c r="J2069" t="s">
        <v>16</v>
      </c>
      <c r="K2069" t="s">
        <v>17</v>
      </c>
      <c r="L2069">
        <f t="shared" si="96"/>
        <v>2022</v>
      </c>
      <c r="M2069" t="str">
        <f t="shared" si="97"/>
        <v>Mar</v>
      </c>
      <c r="N2069" s="2">
        <f t="shared" si="98"/>
        <v>0.24221599776534597</v>
      </c>
    </row>
    <row r="2070" spans="1:14" x14ac:dyDescent="0.45">
      <c r="A2070" t="s">
        <v>3969</v>
      </c>
      <c r="B2070" s="1">
        <v>44610</v>
      </c>
      <c r="C2070" t="s">
        <v>3970</v>
      </c>
      <c r="D2070" t="s">
        <v>56</v>
      </c>
      <c r="E2070" t="s">
        <v>36</v>
      </c>
      <c r="F2070" t="s">
        <v>53</v>
      </c>
      <c r="G2070">
        <v>3</v>
      </c>
      <c r="H2070">
        <v>47000.53</v>
      </c>
      <c r="I2070">
        <v>8545.09</v>
      </c>
      <c r="J2070" t="s">
        <v>16</v>
      </c>
      <c r="K2070" t="s">
        <v>17</v>
      </c>
      <c r="L2070">
        <f t="shared" si="96"/>
        <v>2022</v>
      </c>
      <c r="M2070" t="str">
        <f t="shared" si="97"/>
        <v>Feb</v>
      </c>
      <c r="N2070" s="2">
        <f t="shared" si="98"/>
        <v>0.18180837535236305</v>
      </c>
    </row>
    <row r="2071" spans="1:14" x14ac:dyDescent="0.45">
      <c r="A2071" t="s">
        <v>3971</v>
      </c>
      <c r="B2071" s="1">
        <v>44797</v>
      </c>
      <c r="C2071" t="s">
        <v>3972</v>
      </c>
      <c r="D2071" t="s">
        <v>13</v>
      </c>
      <c r="E2071" t="s">
        <v>20</v>
      </c>
      <c r="F2071" t="s">
        <v>21</v>
      </c>
      <c r="G2071">
        <v>1</v>
      </c>
      <c r="H2071">
        <v>46996.86</v>
      </c>
      <c r="I2071">
        <v>8679.4699999999993</v>
      </c>
      <c r="J2071" t="s">
        <v>16</v>
      </c>
      <c r="K2071" t="s">
        <v>17</v>
      </c>
      <c r="L2071">
        <f t="shared" si="96"/>
        <v>2022</v>
      </c>
      <c r="M2071" t="str">
        <f t="shared" si="97"/>
        <v>Aug</v>
      </c>
      <c r="N2071" s="2">
        <f t="shared" si="98"/>
        <v>0.18468191279162052</v>
      </c>
    </row>
    <row r="2072" spans="1:14" x14ac:dyDescent="0.45">
      <c r="A2072" t="s">
        <v>3973</v>
      </c>
      <c r="B2072" s="1">
        <v>44733</v>
      </c>
      <c r="C2072" t="s">
        <v>3974</v>
      </c>
      <c r="D2072" t="s">
        <v>13</v>
      </c>
      <c r="E2072" t="s">
        <v>36</v>
      </c>
      <c r="F2072" t="s">
        <v>53</v>
      </c>
      <c r="G2072">
        <v>3</v>
      </c>
      <c r="H2072">
        <v>13777.04</v>
      </c>
      <c r="I2072">
        <v>2185.7199999999998</v>
      </c>
      <c r="J2072" t="s">
        <v>16</v>
      </c>
      <c r="K2072" t="s">
        <v>33</v>
      </c>
      <c r="L2072">
        <f t="shared" si="96"/>
        <v>2022</v>
      </c>
      <c r="M2072" t="str">
        <f t="shared" si="97"/>
        <v>Jun</v>
      </c>
      <c r="N2072" s="2">
        <f t="shared" si="98"/>
        <v>0.15864946316480169</v>
      </c>
    </row>
    <row r="2073" spans="1:14" x14ac:dyDescent="0.45">
      <c r="A2073" t="s">
        <v>3975</v>
      </c>
      <c r="B2073" s="1">
        <v>44874</v>
      </c>
      <c r="C2073" t="s">
        <v>3976</v>
      </c>
      <c r="D2073" t="s">
        <v>26</v>
      </c>
      <c r="E2073" t="s">
        <v>14</v>
      </c>
      <c r="F2073" t="s">
        <v>40</v>
      </c>
      <c r="G2073">
        <v>1</v>
      </c>
      <c r="H2073">
        <v>16948.36</v>
      </c>
      <c r="I2073">
        <v>4119.6099999999997</v>
      </c>
      <c r="J2073" t="s">
        <v>28</v>
      </c>
      <c r="K2073" t="s">
        <v>17</v>
      </c>
      <c r="L2073">
        <f t="shared" si="96"/>
        <v>2022</v>
      </c>
      <c r="M2073" t="str">
        <f t="shared" si="97"/>
        <v>Nov</v>
      </c>
      <c r="N2073" s="2">
        <f t="shared" si="98"/>
        <v>0.24306835587632075</v>
      </c>
    </row>
    <row r="2074" spans="1:14" x14ac:dyDescent="0.45">
      <c r="A2074" t="s">
        <v>3977</v>
      </c>
      <c r="B2074" s="1">
        <v>45615</v>
      </c>
      <c r="C2074" t="s">
        <v>3978</v>
      </c>
      <c r="D2074" t="s">
        <v>13</v>
      </c>
      <c r="E2074" t="s">
        <v>20</v>
      </c>
      <c r="F2074" t="s">
        <v>27</v>
      </c>
      <c r="G2074">
        <v>1</v>
      </c>
      <c r="H2074">
        <v>42429.919999999998</v>
      </c>
      <c r="I2074">
        <v>4130.18</v>
      </c>
      <c r="J2074" t="s">
        <v>28</v>
      </c>
      <c r="K2074" t="s">
        <v>17</v>
      </c>
      <c r="L2074">
        <f t="shared" si="96"/>
        <v>2024</v>
      </c>
      <c r="M2074" t="str">
        <f t="shared" si="97"/>
        <v>Nov</v>
      </c>
      <c r="N2074" s="2">
        <f t="shared" si="98"/>
        <v>9.7341215821288379E-2</v>
      </c>
    </row>
    <row r="2075" spans="1:14" x14ac:dyDescent="0.45">
      <c r="A2075" t="s">
        <v>3979</v>
      </c>
      <c r="B2075" s="1">
        <v>45317</v>
      </c>
      <c r="C2075" t="s">
        <v>3980</v>
      </c>
      <c r="D2075" t="s">
        <v>13</v>
      </c>
      <c r="E2075" t="s">
        <v>36</v>
      </c>
      <c r="F2075" t="s">
        <v>46</v>
      </c>
      <c r="G2075">
        <v>2</v>
      </c>
      <c r="H2075">
        <v>11501.7</v>
      </c>
      <c r="I2075">
        <v>894.22</v>
      </c>
      <c r="J2075" t="s">
        <v>22</v>
      </c>
      <c r="K2075" t="s">
        <v>29</v>
      </c>
      <c r="L2075">
        <f t="shared" si="96"/>
        <v>2024</v>
      </c>
      <c r="M2075" t="str">
        <f t="shared" si="97"/>
        <v>Jan</v>
      </c>
      <c r="N2075" s="2">
        <f t="shared" si="98"/>
        <v>7.7746767869097608E-2</v>
      </c>
    </row>
    <row r="2076" spans="1:14" x14ac:dyDescent="0.45">
      <c r="A2076" t="s">
        <v>3981</v>
      </c>
      <c r="B2076" s="1">
        <v>45285</v>
      </c>
      <c r="C2076" t="s">
        <v>3982</v>
      </c>
      <c r="D2076" t="s">
        <v>13</v>
      </c>
      <c r="E2076" t="s">
        <v>20</v>
      </c>
      <c r="F2076" t="s">
        <v>21</v>
      </c>
      <c r="G2076">
        <v>3</v>
      </c>
      <c r="H2076">
        <v>8777</v>
      </c>
      <c r="I2076">
        <v>1022.45</v>
      </c>
      <c r="J2076" t="s">
        <v>71</v>
      </c>
      <c r="K2076" t="s">
        <v>17</v>
      </c>
      <c r="L2076">
        <f t="shared" si="96"/>
        <v>2023</v>
      </c>
      <c r="M2076" t="str">
        <f t="shared" si="97"/>
        <v>Dec</v>
      </c>
      <c r="N2076" s="2">
        <f t="shared" si="98"/>
        <v>0.11649196764270252</v>
      </c>
    </row>
    <row r="2077" spans="1:14" x14ac:dyDescent="0.45">
      <c r="A2077" t="s">
        <v>3983</v>
      </c>
      <c r="B2077" s="1">
        <v>45178</v>
      </c>
      <c r="C2077" t="s">
        <v>3984</v>
      </c>
      <c r="D2077" t="s">
        <v>13</v>
      </c>
      <c r="E2077" t="s">
        <v>20</v>
      </c>
      <c r="F2077" t="s">
        <v>27</v>
      </c>
      <c r="G2077">
        <v>5</v>
      </c>
      <c r="H2077">
        <v>44594.89</v>
      </c>
      <c r="I2077">
        <v>5316.58</v>
      </c>
      <c r="J2077" t="s">
        <v>71</v>
      </c>
      <c r="K2077" t="s">
        <v>29</v>
      </c>
      <c r="L2077">
        <f t="shared" si="96"/>
        <v>2023</v>
      </c>
      <c r="M2077" t="str">
        <f t="shared" si="97"/>
        <v>Sep</v>
      </c>
      <c r="N2077" s="2">
        <f t="shared" si="98"/>
        <v>0.11921948904908163</v>
      </c>
    </row>
    <row r="2078" spans="1:14" x14ac:dyDescent="0.45">
      <c r="A2078" t="s">
        <v>3985</v>
      </c>
      <c r="B2078" s="1">
        <v>44694</v>
      </c>
      <c r="C2078" t="s">
        <v>3986</v>
      </c>
      <c r="D2078" t="s">
        <v>56</v>
      </c>
      <c r="E2078" t="s">
        <v>20</v>
      </c>
      <c r="F2078" t="s">
        <v>43</v>
      </c>
      <c r="G2078">
        <v>3</v>
      </c>
      <c r="H2078">
        <v>6361.11</v>
      </c>
      <c r="I2078">
        <v>654.45000000000005</v>
      </c>
      <c r="J2078" t="s">
        <v>71</v>
      </c>
      <c r="K2078" t="s">
        <v>17</v>
      </c>
      <c r="L2078">
        <f t="shared" si="96"/>
        <v>2022</v>
      </c>
      <c r="M2078" t="str">
        <f t="shared" si="97"/>
        <v>May</v>
      </c>
      <c r="N2078" s="2">
        <f t="shared" si="98"/>
        <v>0.10288298740314192</v>
      </c>
    </row>
    <row r="2079" spans="1:14" x14ac:dyDescent="0.45">
      <c r="A2079" t="s">
        <v>3987</v>
      </c>
      <c r="B2079" s="1">
        <v>44938</v>
      </c>
      <c r="C2079" t="s">
        <v>3988</v>
      </c>
      <c r="D2079" t="s">
        <v>56</v>
      </c>
      <c r="E2079" t="s">
        <v>36</v>
      </c>
      <c r="F2079" t="s">
        <v>46</v>
      </c>
      <c r="G2079">
        <v>3</v>
      </c>
      <c r="H2079">
        <v>13004.3</v>
      </c>
      <c r="I2079">
        <v>2105.86</v>
      </c>
      <c r="J2079" t="s">
        <v>22</v>
      </c>
      <c r="K2079" t="s">
        <v>17</v>
      </c>
      <c r="L2079">
        <f t="shared" si="96"/>
        <v>2023</v>
      </c>
      <c r="M2079" t="str">
        <f t="shared" si="97"/>
        <v>Jan</v>
      </c>
      <c r="N2079" s="2">
        <f t="shared" si="98"/>
        <v>0.16193566743307986</v>
      </c>
    </row>
    <row r="2080" spans="1:14" x14ac:dyDescent="0.45">
      <c r="A2080" t="s">
        <v>3989</v>
      </c>
      <c r="B2080" s="1">
        <v>45123</v>
      </c>
      <c r="C2080" t="s">
        <v>3990</v>
      </c>
      <c r="D2080" t="s">
        <v>56</v>
      </c>
      <c r="E2080" t="s">
        <v>14</v>
      </c>
      <c r="F2080" t="s">
        <v>57</v>
      </c>
      <c r="G2080">
        <v>3</v>
      </c>
      <c r="H2080">
        <v>39529.980000000003</v>
      </c>
      <c r="I2080">
        <v>2517.5500000000002</v>
      </c>
      <c r="J2080" t="s">
        <v>22</v>
      </c>
      <c r="K2080" t="s">
        <v>33</v>
      </c>
      <c r="L2080">
        <f t="shared" si="96"/>
        <v>2023</v>
      </c>
      <c r="M2080" t="str">
        <f t="shared" si="97"/>
        <v>Jul</v>
      </c>
      <c r="N2080" s="2">
        <f t="shared" si="98"/>
        <v>6.3687105331194191E-2</v>
      </c>
    </row>
    <row r="2081" spans="1:14" x14ac:dyDescent="0.45">
      <c r="A2081" t="s">
        <v>3991</v>
      </c>
      <c r="B2081" s="1">
        <v>45035</v>
      </c>
      <c r="C2081" t="s">
        <v>3992</v>
      </c>
      <c r="D2081" t="s">
        <v>56</v>
      </c>
      <c r="E2081" t="s">
        <v>20</v>
      </c>
      <c r="F2081" t="s">
        <v>43</v>
      </c>
      <c r="G2081">
        <v>1</v>
      </c>
      <c r="H2081">
        <v>6672.86</v>
      </c>
      <c r="I2081">
        <v>1026.68</v>
      </c>
      <c r="J2081" t="s">
        <v>47</v>
      </c>
      <c r="K2081" t="s">
        <v>29</v>
      </c>
      <c r="L2081">
        <f t="shared" si="96"/>
        <v>2023</v>
      </c>
      <c r="M2081" t="str">
        <f t="shared" si="97"/>
        <v>Apr</v>
      </c>
      <c r="N2081" s="2">
        <f t="shared" si="98"/>
        <v>0.15385906492868126</v>
      </c>
    </row>
    <row r="2082" spans="1:14" x14ac:dyDescent="0.45">
      <c r="A2082" t="s">
        <v>3993</v>
      </c>
      <c r="B2082" s="1">
        <v>45311</v>
      </c>
      <c r="C2082" t="s">
        <v>3994</v>
      </c>
      <c r="D2082" t="s">
        <v>26</v>
      </c>
      <c r="E2082" t="s">
        <v>36</v>
      </c>
      <c r="F2082" t="s">
        <v>46</v>
      </c>
      <c r="G2082">
        <v>4</v>
      </c>
      <c r="H2082">
        <v>30304.07</v>
      </c>
      <c r="I2082">
        <v>3313.58</v>
      </c>
      <c r="J2082" t="s">
        <v>47</v>
      </c>
      <c r="K2082" t="s">
        <v>33</v>
      </c>
      <c r="L2082">
        <f t="shared" si="96"/>
        <v>2024</v>
      </c>
      <c r="M2082" t="str">
        <f t="shared" si="97"/>
        <v>Jan</v>
      </c>
      <c r="N2082" s="2">
        <f t="shared" si="98"/>
        <v>0.10934438839403419</v>
      </c>
    </row>
    <row r="2083" spans="1:14" x14ac:dyDescent="0.45">
      <c r="A2083" t="s">
        <v>3995</v>
      </c>
      <c r="B2083" s="1">
        <v>45565</v>
      </c>
      <c r="C2083" t="s">
        <v>3996</v>
      </c>
      <c r="D2083" t="s">
        <v>13</v>
      </c>
      <c r="E2083" t="s">
        <v>36</v>
      </c>
      <c r="F2083" t="s">
        <v>53</v>
      </c>
      <c r="G2083">
        <v>3</v>
      </c>
      <c r="H2083">
        <v>608.09</v>
      </c>
      <c r="I2083">
        <v>103.3</v>
      </c>
      <c r="J2083" t="s">
        <v>22</v>
      </c>
      <c r="K2083" t="s">
        <v>17</v>
      </c>
      <c r="L2083">
        <f t="shared" si="96"/>
        <v>2024</v>
      </c>
      <c r="M2083" t="str">
        <f t="shared" si="97"/>
        <v>Sep</v>
      </c>
      <c r="N2083" s="2">
        <f t="shared" si="98"/>
        <v>0.16987616964594054</v>
      </c>
    </row>
    <row r="2084" spans="1:14" x14ac:dyDescent="0.45">
      <c r="A2084" t="s">
        <v>3997</v>
      </c>
      <c r="B2084" s="1">
        <v>44817</v>
      </c>
      <c r="C2084" t="s">
        <v>3998</v>
      </c>
      <c r="D2084" t="s">
        <v>56</v>
      </c>
      <c r="E2084" t="s">
        <v>20</v>
      </c>
      <c r="F2084" t="s">
        <v>50</v>
      </c>
      <c r="G2084">
        <v>3</v>
      </c>
      <c r="H2084">
        <v>35993.730000000003</v>
      </c>
      <c r="I2084">
        <v>7288.72</v>
      </c>
      <c r="J2084" t="s">
        <v>16</v>
      </c>
      <c r="K2084" t="s">
        <v>17</v>
      </c>
      <c r="L2084">
        <f t="shared" si="96"/>
        <v>2022</v>
      </c>
      <c r="M2084" t="str">
        <f t="shared" si="97"/>
        <v>Sep</v>
      </c>
      <c r="N2084" s="2">
        <f t="shared" si="98"/>
        <v>0.20249971314448376</v>
      </c>
    </row>
    <row r="2085" spans="1:14" x14ac:dyDescent="0.45">
      <c r="A2085" t="s">
        <v>3999</v>
      </c>
      <c r="B2085" s="1">
        <v>45496</v>
      </c>
      <c r="C2085" t="s">
        <v>4000</v>
      </c>
      <c r="D2085" t="s">
        <v>56</v>
      </c>
      <c r="E2085" t="s">
        <v>36</v>
      </c>
      <c r="F2085" t="s">
        <v>37</v>
      </c>
      <c r="G2085">
        <v>4</v>
      </c>
      <c r="H2085">
        <v>49543.44</v>
      </c>
      <c r="I2085">
        <v>3680.93</v>
      </c>
      <c r="J2085" t="s">
        <v>71</v>
      </c>
      <c r="K2085" t="s">
        <v>23</v>
      </c>
      <c r="L2085">
        <f t="shared" si="96"/>
        <v>2024</v>
      </c>
      <c r="M2085" t="str">
        <f t="shared" si="97"/>
        <v>Jul</v>
      </c>
      <c r="N2085" s="2">
        <f t="shared" si="98"/>
        <v>7.4297020957769577E-2</v>
      </c>
    </row>
    <row r="2086" spans="1:14" x14ac:dyDescent="0.45">
      <c r="A2086" t="s">
        <v>4001</v>
      </c>
      <c r="B2086" s="1">
        <v>45577</v>
      </c>
      <c r="C2086" t="s">
        <v>4002</v>
      </c>
      <c r="D2086" t="s">
        <v>13</v>
      </c>
      <c r="E2086" t="s">
        <v>36</v>
      </c>
      <c r="F2086" t="s">
        <v>53</v>
      </c>
      <c r="G2086">
        <v>1</v>
      </c>
      <c r="H2086">
        <v>28084.06</v>
      </c>
      <c r="I2086">
        <v>2227.38</v>
      </c>
      <c r="J2086" t="s">
        <v>22</v>
      </c>
      <c r="K2086" t="s">
        <v>33</v>
      </c>
      <c r="L2086">
        <f t="shared" si="96"/>
        <v>2024</v>
      </c>
      <c r="M2086" t="str">
        <f t="shared" si="97"/>
        <v>Oct</v>
      </c>
      <c r="N2086" s="2">
        <f t="shared" si="98"/>
        <v>7.9311182215107079E-2</v>
      </c>
    </row>
    <row r="2087" spans="1:14" x14ac:dyDescent="0.45">
      <c r="A2087" t="s">
        <v>4003</v>
      </c>
      <c r="B2087" s="1">
        <v>45440</v>
      </c>
      <c r="C2087" t="s">
        <v>4004</v>
      </c>
      <c r="D2087" t="s">
        <v>26</v>
      </c>
      <c r="E2087" t="s">
        <v>20</v>
      </c>
      <c r="F2087" t="s">
        <v>50</v>
      </c>
      <c r="G2087">
        <v>3</v>
      </c>
      <c r="H2087">
        <v>32791.019999999997</v>
      </c>
      <c r="I2087">
        <v>4313.37</v>
      </c>
      <c r="J2087" t="s">
        <v>22</v>
      </c>
      <c r="K2087" t="s">
        <v>29</v>
      </c>
      <c r="L2087">
        <f t="shared" si="96"/>
        <v>2024</v>
      </c>
      <c r="M2087" t="str">
        <f t="shared" si="97"/>
        <v>May</v>
      </c>
      <c r="N2087" s="2">
        <f t="shared" si="98"/>
        <v>0.1315411963397296</v>
      </c>
    </row>
    <row r="2088" spans="1:14" x14ac:dyDescent="0.45">
      <c r="A2088" t="s">
        <v>4005</v>
      </c>
      <c r="B2088" s="1">
        <v>44704</v>
      </c>
      <c r="C2088" t="s">
        <v>4006</v>
      </c>
      <c r="D2088" t="s">
        <v>26</v>
      </c>
      <c r="E2088" t="s">
        <v>20</v>
      </c>
      <c r="F2088" t="s">
        <v>50</v>
      </c>
      <c r="G2088">
        <v>2</v>
      </c>
      <c r="H2088">
        <v>10451.09</v>
      </c>
      <c r="I2088">
        <v>652.27</v>
      </c>
      <c r="J2088" t="s">
        <v>47</v>
      </c>
      <c r="K2088" t="s">
        <v>33</v>
      </c>
      <c r="L2088">
        <f t="shared" si="96"/>
        <v>2022</v>
      </c>
      <c r="M2088" t="str">
        <f t="shared" si="97"/>
        <v>May</v>
      </c>
      <c r="N2088" s="2">
        <f t="shared" si="98"/>
        <v>6.2411671892596846E-2</v>
      </c>
    </row>
    <row r="2089" spans="1:14" x14ac:dyDescent="0.45">
      <c r="A2089" t="s">
        <v>4007</v>
      </c>
      <c r="B2089" s="1">
        <v>45062</v>
      </c>
      <c r="C2089" t="s">
        <v>4008</v>
      </c>
      <c r="D2089" t="s">
        <v>26</v>
      </c>
      <c r="E2089" t="s">
        <v>20</v>
      </c>
      <c r="F2089" t="s">
        <v>50</v>
      </c>
      <c r="G2089">
        <v>4</v>
      </c>
      <c r="H2089">
        <v>34161.5</v>
      </c>
      <c r="I2089">
        <v>8174.38</v>
      </c>
      <c r="J2089" t="s">
        <v>22</v>
      </c>
      <c r="K2089" t="s">
        <v>17</v>
      </c>
      <c r="L2089">
        <f t="shared" si="96"/>
        <v>2023</v>
      </c>
      <c r="M2089" t="str">
        <f t="shared" si="97"/>
        <v>May</v>
      </c>
      <c r="N2089" s="2">
        <f t="shared" si="98"/>
        <v>0.23928633110372788</v>
      </c>
    </row>
    <row r="2090" spans="1:14" x14ac:dyDescent="0.45">
      <c r="A2090" t="s">
        <v>4009</v>
      </c>
      <c r="B2090" s="1">
        <v>45300</v>
      </c>
      <c r="C2090" t="s">
        <v>4010</v>
      </c>
      <c r="D2090" t="s">
        <v>56</v>
      </c>
      <c r="E2090" t="s">
        <v>20</v>
      </c>
      <c r="F2090" t="s">
        <v>21</v>
      </c>
      <c r="G2090">
        <v>1</v>
      </c>
      <c r="H2090">
        <v>21182.92</v>
      </c>
      <c r="I2090">
        <v>3154.82</v>
      </c>
      <c r="J2090" t="s">
        <v>22</v>
      </c>
      <c r="K2090" t="s">
        <v>33</v>
      </c>
      <c r="L2090">
        <f t="shared" si="96"/>
        <v>2024</v>
      </c>
      <c r="M2090" t="str">
        <f t="shared" si="97"/>
        <v>Jan</v>
      </c>
      <c r="N2090" s="2">
        <f t="shared" si="98"/>
        <v>0.14893225296606891</v>
      </c>
    </row>
    <row r="2091" spans="1:14" x14ac:dyDescent="0.45">
      <c r="A2091" t="s">
        <v>4011</v>
      </c>
      <c r="B2091" s="1">
        <v>44678</v>
      </c>
      <c r="C2091" t="s">
        <v>4012</v>
      </c>
      <c r="D2091" t="s">
        <v>26</v>
      </c>
      <c r="E2091" t="s">
        <v>14</v>
      </c>
      <c r="F2091" t="s">
        <v>40</v>
      </c>
      <c r="G2091">
        <v>3</v>
      </c>
      <c r="H2091">
        <v>23048.83</v>
      </c>
      <c r="I2091">
        <v>4943.6499999999996</v>
      </c>
      <c r="J2091" t="s">
        <v>22</v>
      </c>
      <c r="K2091" t="s">
        <v>23</v>
      </c>
      <c r="L2091">
        <f t="shared" si="96"/>
        <v>2022</v>
      </c>
      <c r="M2091" t="str">
        <f t="shared" si="97"/>
        <v>Apr</v>
      </c>
      <c r="N2091" s="2">
        <f t="shared" si="98"/>
        <v>0.21448594136882432</v>
      </c>
    </row>
    <row r="2092" spans="1:14" x14ac:dyDescent="0.45">
      <c r="A2092" t="s">
        <v>4013</v>
      </c>
      <c r="B2092" s="1">
        <v>44580</v>
      </c>
      <c r="C2092" t="s">
        <v>4014</v>
      </c>
      <c r="D2092" t="s">
        <v>56</v>
      </c>
      <c r="E2092" t="s">
        <v>36</v>
      </c>
      <c r="F2092" t="s">
        <v>64</v>
      </c>
      <c r="G2092">
        <v>5</v>
      </c>
      <c r="H2092">
        <v>3679.05</v>
      </c>
      <c r="I2092">
        <v>763.45</v>
      </c>
      <c r="J2092" t="s">
        <v>71</v>
      </c>
      <c r="K2092" t="s">
        <v>29</v>
      </c>
      <c r="L2092">
        <f t="shared" si="96"/>
        <v>2022</v>
      </c>
      <c r="M2092" t="str">
        <f t="shared" si="97"/>
        <v>Jan</v>
      </c>
      <c r="N2092" s="2">
        <f t="shared" si="98"/>
        <v>0.20751280901319635</v>
      </c>
    </row>
    <row r="2093" spans="1:14" x14ac:dyDescent="0.45">
      <c r="A2093" t="s">
        <v>4015</v>
      </c>
      <c r="B2093" s="1">
        <v>45083</v>
      </c>
      <c r="C2093" t="s">
        <v>1325</v>
      </c>
      <c r="D2093" t="s">
        <v>26</v>
      </c>
      <c r="E2093" t="s">
        <v>36</v>
      </c>
      <c r="F2093" t="s">
        <v>64</v>
      </c>
      <c r="G2093">
        <v>2</v>
      </c>
      <c r="H2093">
        <v>30784.07</v>
      </c>
      <c r="I2093">
        <v>6257.54</v>
      </c>
      <c r="J2093" t="s">
        <v>28</v>
      </c>
      <c r="K2093" t="s">
        <v>23</v>
      </c>
      <c r="L2093">
        <f t="shared" si="96"/>
        <v>2023</v>
      </c>
      <c r="M2093" t="str">
        <f t="shared" si="97"/>
        <v>Jun</v>
      </c>
      <c r="N2093" s="2">
        <f t="shared" si="98"/>
        <v>0.20327201698800712</v>
      </c>
    </row>
    <row r="2094" spans="1:14" x14ac:dyDescent="0.45">
      <c r="A2094" t="s">
        <v>4016</v>
      </c>
      <c r="B2094" s="1">
        <v>45021</v>
      </c>
      <c r="C2094" t="s">
        <v>4017</v>
      </c>
      <c r="D2094" t="s">
        <v>26</v>
      </c>
      <c r="E2094" t="s">
        <v>36</v>
      </c>
      <c r="F2094" t="s">
        <v>64</v>
      </c>
      <c r="G2094">
        <v>2</v>
      </c>
      <c r="H2094">
        <v>21078.31</v>
      </c>
      <c r="I2094">
        <v>4601.1400000000003</v>
      </c>
      <c r="J2094" t="s">
        <v>22</v>
      </c>
      <c r="K2094" t="s">
        <v>33</v>
      </c>
      <c r="L2094">
        <f t="shared" si="96"/>
        <v>2023</v>
      </c>
      <c r="M2094" t="str">
        <f t="shared" si="97"/>
        <v>Apr</v>
      </c>
      <c r="N2094" s="2">
        <f t="shared" si="98"/>
        <v>0.21828789879264515</v>
      </c>
    </row>
    <row r="2095" spans="1:14" x14ac:dyDescent="0.45">
      <c r="A2095" t="s">
        <v>4018</v>
      </c>
      <c r="B2095" s="1">
        <v>44655</v>
      </c>
      <c r="C2095" t="s">
        <v>3108</v>
      </c>
      <c r="D2095" t="s">
        <v>13</v>
      </c>
      <c r="E2095" t="s">
        <v>36</v>
      </c>
      <c r="F2095" t="s">
        <v>37</v>
      </c>
      <c r="G2095">
        <v>4</v>
      </c>
      <c r="H2095">
        <v>49403.1</v>
      </c>
      <c r="I2095">
        <v>11681.92</v>
      </c>
      <c r="J2095" t="s">
        <v>47</v>
      </c>
      <c r="K2095" t="s">
        <v>29</v>
      </c>
      <c r="L2095">
        <f t="shared" si="96"/>
        <v>2022</v>
      </c>
      <c r="M2095" t="str">
        <f t="shared" si="97"/>
        <v>Apr</v>
      </c>
      <c r="N2095" s="2">
        <f t="shared" si="98"/>
        <v>0.23646127469733683</v>
      </c>
    </row>
    <row r="2096" spans="1:14" x14ac:dyDescent="0.45">
      <c r="A2096" t="s">
        <v>4019</v>
      </c>
      <c r="B2096" s="1">
        <v>45436</v>
      </c>
      <c r="C2096" t="s">
        <v>4020</v>
      </c>
      <c r="D2096" t="s">
        <v>26</v>
      </c>
      <c r="E2096" t="s">
        <v>20</v>
      </c>
      <c r="F2096" t="s">
        <v>43</v>
      </c>
      <c r="G2096">
        <v>2</v>
      </c>
      <c r="H2096">
        <v>42507.46</v>
      </c>
      <c r="I2096">
        <v>5797.37</v>
      </c>
      <c r="J2096" t="s">
        <v>28</v>
      </c>
      <c r="K2096" t="s">
        <v>23</v>
      </c>
      <c r="L2096">
        <f t="shared" si="96"/>
        <v>2024</v>
      </c>
      <c r="M2096" t="str">
        <f t="shared" si="97"/>
        <v>May</v>
      </c>
      <c r="N2096" s="2">
        <f t="shared" si="98"/>
        <v>0.13638476634454283</v>
      </c>
    </row>
    <row r="2097" spans="1:14" x14ac:dyDescent="0.45">
      <c r="A2097" t="s">
        <v>4021</v>
      </c>
      <c r="B2097" s="1">
        <v>44981</v>
      </c>
      <c r="C2097" t="s">
        <v>4022</v>
      </c>
      <c r="D2097" t="s">
        <v>26</v>
      </c>
      <c r="E2097" t="s">
        <v>14</v>
      </c>
      <c r="F2097" t="s">
        <v>15</v>
      </c>
      <c r="G2097">
        <v>2</v>
      </c>
      <c r="H2097">
        <v>49023.19</v>
      </c>
      <c r="I2097">
        <v>8552.09</v>
      </c>
      <c r="J2097" t="s">
        <v>28</v>
      </c>
      <c r="K2097" t="s">
        <v>29</v>
      </c>
      <c r="L2097">
        <f t="shared" si="96"/>
        <v>2023</v>
      </c>
      <c r="M2097" t="str">
        <f t="shared" si="97"/>
        <v>Feb</v>
      </c>
      <c r="N2097" s="2">
        <f t="shared" si="98"/>
        <v>0.1744498878999918</v>
      </c>
    </row>
    <row r="2098" spans="1:14" x14ac:dyDescent="0.45">
      <c r="A2098" t="s">
        <v>4023</v>
      </c>
      <c r="B2098" s="1">
        <v>45606</v>
      </c>
      <c r="C2098" t="s">
        <v>4024</v>
      </c>
      <c r="D2098" t="s">
        <v>13</v>
      </c>
      <c r="E2098" t="s">
        <v>36</v>
      </c>
      <c r="F2098" t="s">
        <v>37</v>
      </c>
      <c r="G2098">
        <v>3</v>
      </c>
      <c r="H2098">
        <v>14457.74</v>
      </c>
      <c r="I2098">
        <v>3006.35</v>
      </c>
      <c r="J2098" t="s">
        <v>16</v>
      </c>
      <c r="K2098" t="s">
        <v>17</v>
      </c>
      <c r="L2098">
        <f t="shared" si="96"/>
        <v>2024</v>
      </c>
      <c r="M2098" t="str">
        <f t="shared" si="97"/>
        <v>Nov</v>
      </c>
      <c r="N2098" s="2">
        <f t="shared" si="98"/>
        <v>0.20794052182429618</v>
      </c>
    </row>
    <row r="2099" spans="1:14" x14ac:dyDescent="0.45">
      <c r="A2099" t="s">
        <v>4025</v>
      </c>
      <c r="B2099" s="1">
        <v>45044</v>
      </c>
      <c r="C2099" t="s">
        <v>4026</v>
      </c>
      <c r="D2099" t="s">
        <v>56</v>
      </c>
      <c r="E2099" t="s">
        <v>36</v>
      </c>
      <c r="F2099" t="s">
        <v>46</v>
      </c>
      <c r="G2099">
        <v>3</v>
      </c>
      <c r="H2099">
        <v>17951.849999999999</v>
      </c>
      <c r="I2099">
        <v>1650.32</v>
      </c>
      <c r="J2099" t="s">
        <v>22</v>
      </c>
      <c r="K2099" t="s">
        <v>17</v>
      </c>
      <c r="L2099">
        <f t="shared" si="96"/>
        <v>2023</v>
      </c>
      <c r="M2099" t="str">
        <f t="shared" si="97"/>
        <v>Apr</v>
      </c>
      <c r="N2099" s="2">
        <f t="shared" si="98"/>
        <v>9.1930358152502389E-2</v>
      </c>
    </row>
    <row r="2100" spans="1:14" x14ac:dyDescent="0.45">
      <c r="A2100" t="s">
        <v>4027</v>
      </c>
      <c r="B2100" s="1">
        <v>45212</v>
      </c>
      <c r="C2100" t="s">
        <v>2167</v>
      </c>
      <c r="D2100" t="s">
        <v>13</v>
      </c>
      <c r="E2100" t="s">
        <v>36</v>
      </c>
      <c r="F2100" t="s">
        <v>64</v>
      </c>
      <c r="G2100">
        <v>2</v>
      </c>
      <c r="H2100">
        <v>1563.67</v>
      </c>
      <c r="I2100">
        <v>198.42</v>
      </c>
      <c r="J2100" t="s">
        <v>16</v>
      </c>
      <c r="K2100" t="s">
        <v>17</v>
      </c>
      <c r="L2100">
        <f t="shared" si="96"/>
        <v>2023</v>
      </c>
      <c r="M2100" t="str">
        <f t="shared" si="97"/>
        <v>Oct</v>
      </c>
      <c r="N2100" s="2">
        <f t="shared" si="98"/>
        <v>0.12689378193608625</v>
      </c>
    </row>
    <row r="2101" spans="1:14" x14ac:dyDescent="0.45">
      <c r="A2101" t="s">
        <v>4028</v>
      </c>
      <c r="B2101" s="1">
        <v>45190</v>
      </c>
      <c r="C2101" t="s">
        <v>4029</v>
      </c>
      <c r="D2101" t="s">
        <v>26</v>
      </c>
      <c r="E2101" t="s">
        <v>20</v>
      </c>
      <c r="F2101" t="s">
        <v>21</v>
      </c>
      <c r="G2101">
        <v>5</v>
      </c>
      <c r="H2101">
        <v>7876.42</v>
      </c>
      <c r="I2101">
        <v>1358.81</v>
      </c>
      <c r="J2101" t="s">
        <v>28</v>
      </c>
      <c r="K2101" t="s">
        <v>23</v>
      </c>
      <c r="L2101">
        <f t="shared" si="96"/>
        <v>2023</v>
      </c>
      <c r="M2101" t="str">
        <f t="shared" si="97"/>
        <v>Sep</v>
      </c>
      <c r="N2101" s="2">
        <f t="shared" si="98"/>
        <v>0.17251619390535294</v>
      </c>
    </row>
    <row r="2102" spans="1:14" x14ac:dyDescent="0.45">
      <c r="A2102" t="s">
        <v>4030</v>
      </c>
      <c r="B2102" s="1">
        <v>45263</v>
      </c>
      <c r="C2102" t="s">
        <v>2723</v>
      </c>
      <c r="D2102" t="s">
        <v>56</v>
      </c>
      <c r="E2102" t="s">
        <v>36</v>
      </c>
      <c r="F2102" t="s">
        <v>37</v>
      </c>
      <c r="G2102">
        <v>2</v>
      </c>
      <c r="H2102">
        <v>19692.34</v>
      </c>
      <c r="I2102">
        <v>4630.09</v>
      </c>
      <c r="J2102" t="s">
        <v>22</v>
      </c>
      <c r="K2102" t="s">
        <v>29</v>
      </c>
      <c r="L2102">
        <f t="shared" si="96"/>
        <v>2023</v>
      </c>
      <c r="M2102" t="str">
        <f t="shared" si="97"/>
        <v>Dec</v>
      </c>
      <c r="N2102" s="2">
        <f t="shared" si="98"/>
        <v>0.23512137206649897</v>
      </c>
    </row>
    <row r="2103" spans="1:14" x14ac:dyDescent="0.45">
      <c r="A2103" t="s">
        <v>4031</v>
      </c>
      <c r="B2103" s="1">
        <v>44967</v>
      </c>
      <c r="C2103" t="s">
        <v>4032</v>
      </c>
      <c r="D2103" t="s">
        <v>13</v>
      </c>
      <c r="E2103" t="s">
        <v>36</v>
      </c>
      <c r="F2103" t="s">
        <v>53</v>
      </c>
      <c r="G2103">
        <v>1</v>
      </c>
      <c r="H2103">
        <v>2349.9299999999998</v>
      </c>
      <c r="I2103">
        <v>140.44999999999999</v>
      </c>
      <c r="J2103" t="s">
        <v>71</v>
      </c>
      <c r="K2103" t="s">
        <v>23</v>
      </c>
      <c r="L2103">
        <f t="shared" si="96"/>
        <v>2023</v>
      </c>
      <c r="M2103" t="str">
        <f t="shared" si="97"/>
        <v>Feb</v>
      </c>
      <c r="N2103" s="2">
        <f t="shared" si="98"/>
        <v>5.9767737762401435E-2</v>
      </c>
    </row>
    <row r="2104" spans="1:14" x14ac:dyDescent="0.45">
      <c r="A2104" t="s">
        <v>4033</v>
      </c>
      <c r="B2104" s="1">
        <v>45043</v>
      </c>
      <c r="C2104" t="s">
        <v>4034</v>
      </c>
      <c r="D2104" t="s">
        <v>56</v>
      </c>
      <c r="E2104" t="s">
        <v>20</v>
      </c>
      <c r="F2104" t="s">
        <v>43</v>
      </c>
      <c r="G2104">
        <v>2</v>
      </c>
      <c r="H2104">
        <v>5673.1</v>
      </c>
      <c r="I2104">
        <v>916.99</v>
      </c>
      <c r="J2104" t="s">
        <v>28</v>
      </c>
      <c r="K2104" t="s">
        <v>17</v>
      </c>
      <c r="L2104">
        <f t="shared" si="96"/>
        <v>2023</v>
      </c>
      <c r="M2104" t="str">
        <f t="shared" si="97"/>
        <v>Apr</v>
      </c>
      <c r="N2104" s="2">
        <f t="shared" si="98"/>
        <v>0.16163825774268037</v>
      </c>
    </row>
    <row r="2105" spans="1:14" x14ac:dyDescent="0.45">
      <c r="A2105" t="s">
        <v>4035</v>
      </c>
      <c r="B2105" s="1">
        <v>45254</v>
      </c>
      <c r="C2105" t="s">
        <v>4036</v>
      </c>
      <c r="D2105" t="s">
        <v>26</v>
      </c>
      <c r="E2105" t="s">
        <v>14</v>
      </c>
      <c r="F2105" t="s">
        <v>40</v>
      </c>
      <c r="G2105">
        <v>1</v>
      </c>
      <c r="H2105">
        <v>24971.79</v>
      </c>
      <c r="I2105">
        <v>1292.1500000000001</v>
      </c>
      <c r="J2105" t="s">
        <v>16</v>
      </c>
      <c r="K2105" t="s">
        <v>23</v>
      </c>
      <c r="L2105">
        <f t="shared" si="96"/>
        <v>2023</v>
      </c>
      <c r="M2105" t="str">
        <f t="shared" si="97"/>
        <v>Nov</v>
      </c>
      <c r="N2105" s="2">
        <f t="shared" si="98"/>
        <v>5.1744388367834265E-2</v>
      </c>
    </row>
    <row r="2106" spans="1:14" x14ac:dyDescent="0.45">
      <c r="A2106" t="s">
        <v>4037</v>
      </c>
      <c r="B2106" s="1">
        <v>45218</v>
      </c>
      <c r="C2106" t="s">
        <v>4038</v>
      </c>
      <c r="D2106" t="s">
        <v>13</v>
      </c>
      <c r="E2106" t="s">
        <v>20</v>
      </c>
      <c r="F2106" t="s">
        <v>50</v>
      </c>
      <c r="G2106">
        <v>4</v>
      </c>
      <c r="H2106">
        <v>44208.92</v>
      </c>
      <c r="I2106">
        <v>9105.11</v>
      </c>
      <c r="J2106" t="s">
        <v>28</v>
      </c>
      <c r="K2106" t="s">
        <v>29</v>
      </c>
      <c r="L2106">
        <f t="shared" si="96"/>
        <v>2023</v>
      </c>
      <c r="M2106" t="str">
        <f t="shared" si="97"/>
        <v>Oct</v>
      </c>
      <c r="N2106" s="2">
        <f t="shared" si="98"/>
        <v>0.20595639974919092</v>
      </c>
    </row>
    <row r="2107" spans="1:14" x14ac:dyDescent="0.45">
      <c r="A2107" t="s">
        <v>4039</v>
      </c>
      <c r="B2107" s="1">
        <v>45360</v>
      </c>
      <c r="C2107" t="s">
        <v>4040</v>
      </c>
      <c r="D2107" t="s">
        <v>13</v>
      </c>
      <c r="E2107" t="s">
        <v>14</v>
      </c>
      <c r="F2107" t="s">
        <v>15</v>
      </c>
      <c r="G2107">
        <v>5</v>
      </c>
      <c r="H2107">
        <v>9100.16</v>
      </c>
      <c r="I2107">
        <v>1582.57</v>
      </c>
      <c r="J2107" t="s">
        <v>22</v>
      </c>
      <c r="K2107" t="s">
        <v>17</v>
      </c>
      <c r="L2107">
        <f t="shared" si="96"/>
        <v>2024</v>
      </c>
      <c r="M2107" t="str">
        <f t="shared" si="97"/>
        <v>Mar</v>
      </c>
      <c r="N2107" s="2">
        <f t="shared" si="98"/>
        <v>0.17390573352556438</v>
      </c>
    </row>
    <row r="2108" spans="1:14" x14ac:dyDescent="0.45">
      <c r="A2108" t="s">
        <v>4041</v>
      </c>
      <c r="B2108" s="1">
        <v>44782</v>
      </c>
      <c r="C2108" t="s">
        <v>4042</v>
      </c>
      <c r="D2108" t="s">
        <v>56</v>
      </c>
      <c r="E2108" t="s">
        <v>20</v>
      </c>
      <c r="F2108" t="s">
        <v>21</v>
      </c>
      <c r="G2108">
        <v>5</v>
      </c>
      <c r="H2108">
        <v>6822.1</v>
      </c>
      <c r="I2108">
        <v>1501.57</v>
      </c>
      <c r="J2108" t="s">
        <v>22</v>
      </c>
      <c r="K2108" t="s">
        <v>23</v>
      </c>
      <c r="L2108">
        <f t="shared" si="96"/>
        <v>2022</v>
      </c>
      <c r="M2108" t="str">
        <f t="shared" si="97"/>
        <v>Aug</v>
      </c>
      <c r="N2108" s="2">
        <f t="shared" si="98"/>
        <v>0.22010378036088593</v>
      </c>
    </row>
    <row r="2109" spans="1:14" x14ac:dyDescent="0.45">
      <c r="A2109" t="s">
        <v>4043</v>
      </c>
      <c r="B2109" s="1">
        <v>45506</v>
      </c>
      <c r="C2109" t="s">
        <v>4044</v>
      </c>
      <c r="D2109" t="s">
        <v>26</v>
      </c>
      <c r="E2109" t="s">
        <v>14</v>
      </c>
      <c r="F2109" t="s">
        <v>57</v>
      </c>
      <c r="G2109">
        <v>3</v>
      </c>
      <c r="H2109">
        <v>5936.73</v>
      </c>
      <c r="I2109">
        <v>950.68</v>
      </c>
      <c r="J2109" t="s">
        <v>28</v>
      </c>
      <c r="K2109" t="s">
        <v>33</v>
      </c>
      <c r="L2109">
        <f t="shared" si="96"/>
        <v>2024</v>
      </c>
      <c r="M2109" t="str">
        <f t="shared" si="97"/>
        <v>Aug</v>
      </c>
      <c r="N2109" s="2">
        <f t="shared" si="98"/>
        <v>0.16013529333488302</v>
      </c>
    </row>
    <row r="2110" spans="1:14" x14ac:dyDescent="0.45">
      <c r="A2110" t="s">
        <v>4045</v>
      </c>
      <c r="B2110" s="1">
        <v>44587</v>
      </c>
      <c r="C2110" t="s">
        <v>4046</v>
      </c>
      <c r="D2110" t="s">
        <v>26</v>
      </c>
      <c r="E2110" t="s">
        <v>14</v>
      </c>
      <c r="F2110" t="s">
        <v>32</v>
      </c>
      <c r="G2110">
        <v>1</v>
      </c>
      <c r="H2110">
        <v>48910.27</v>
      </c>
      <c r="I2110">
        <v>11166.68</v>
      </c>
      <c r="J2110" t="s">
        <v>22</v>
      </c>
      <c r="K2110" t="s">
        <v>33</v>
      </c>
      <c r="L2110">
        <f t="shared" si="96"/>
        <v>2022</v>
      </c>
      <c r="M2110" t="str">
        <f t="shared" si="97"/>
        <v>Jan</v>
      </c>
      <c r="N2110" s="2">
        <f t="shared" si="98"/>
        <v>0.22830951454571813</v>
      </c>
    </row>
    <row r="2111" spans="1:14" x14ac:dyDescent="0.45">
      <c r="A2111" t="s">
        <v>4047</v>
      </c>
      <c r="B2111" s="1">
        <v>45078</v>
      </c>
      <c r="C2111" t="s">
        <v>4048</v>
      </c>
      <c r="D2111" t="s">
        <v>13</v>
      </c>
      <c r="E2111" t="s">
        <v>20</v>
      </c>
      <c r="F2111" t="s">
        <v>27</v>
      </c>
      <c r="G2111">
        <v>3</v>
      </c>
      <c r="H2111">
        <v>17353.09</v>
      </c>
      <c r="I2111">
        <v>2857.82</v>
      </c>
      <c r="J2111" t="s">
        <v>22</v>
      </c>
      <c r="K2111" t="s">
        <v>33</v>
      </c>
      <c r="L2111">
        <f t="shared" si="96"/>
        <v>2023</v>
      </c>
      <c r="M2111" t="str">
        <f t="shared" si="97"/>
        <v>Jun</v>
      </c>
      <c r="N2111" s="2">
        <f t="shared" si="98"/>
        <v>0.16468651980713522</v>
      </c>
    </row>
    <row r="2112" spans="1:14" x14ac:dyDescent="0.45">
      <c r="A2112" t="s">
        <v>4049</v>
      </c>
      <c r="B2112" s="1">
        <v>45247</v>
      </c>
      <c r="C2112" t="s">
        <v>4050</v>
      </c>
      <c r="D2112" t="s">
        <v>56</v>
      </c>
      <c r="E2112" t="s">
        <v>14</v>
      </c>
      <c r="F2112" t="s">
        <v>57</v>
      </c>
      <c r="G2112">
        <v>2</v>
      </c>
      <c r="H2112">
        <v>40248.86</v>
      </c>
      <c r="I2112">
        <v>2811.02</v>
      </c>
      <c r="J2112" t="s">
        <v>47</v>
      </c>
      <c r="K2112" t="s">
        <v>29</v>
      </c>
      <c r="L2112">
        <f t="shared" si="96"/>
        <v>2023</v>
      </c>
      <c r="M2112" t="str">
        <f t="shared" si="97"/>
        <v>Nov</v>
      </c>
      <c r="N2112" s="2">
        <f t="shared" si="98"/>
        <v>6.984098431607752E-2</v>
      </c>
    </row>
    <row r="2113" spans="1:14" x14ac:dyDescent="0.45">
      <c r="A2113" t="s">
        <v>4051</v>
      </c>
      <c r="B2113" s="1">
        <v>44854</v>
      </c>
      <c r="C2113" t="s">
        <v>4052</v>
      </c>
      <c r="D2113" t="s">
        <v>56</v>
      </c>
      <c r="E2113" t="s">
        <v>20</v>
      </c>
      <c r="F2113" t="s">
        <v>27</v>
      </c>
      <c r="G2113">
        <v>3</v>
      </c>
      <c r="H2113">
        <v>16789.41</v>
      </c>
      <c r="I2113">
        <v>2428.2800000000002</v>
      </c>
      <c r="J2113" t="s">
        <v>16</v>
      </c>
      <c r="K2113" t="s">
        <v>17</v>
      </c>
      <c r="L2113">
        <f t="shared" si="96"/>
        <v>2022</v>
      </c>
      <c r="M2113" t="str">
        <f t="shared" si="97"/>
        <v>Oct</v>
      </c>
      <c r="N2113" s="2">
        <f t="shared" si="98"/>
        <v>0.14463164578147775</v>
      </c>
    </row>
    <row r="2114" spans="1:14" x14ac:dyDescent="0.45">
      <c r="A2114" t="s">
        <v>4053</v>
      </c>
      <c r="B2114" s="1">
        <v>45248</v>
      </c>
      <c r="C2114" t="s">
        <v>4054</v>
      </c>
      <c r="D2114" t="s">
        <v>56</v>
      </c>
      <c r="E2114" t="s">
        <v>20</v>
      </c>
      <c r="F2114" t="s">
        <v>21</v>
      </c>
      <c r="G2114">
        <v>1</v>
      </c>
      <c r="H2114">
        <v>28060.560000000001</v>
      </c>
      <c r="I2114">
        <v>2895.38</v>
      </c>
      <c r="J2114" t="s">
        <v>28</v>
      </c>
      <c r="K2114" t="s">
        <v>29</v>
      </c>
      <c r="L2114">
        <f t="shared" si="96"/>
        <v>2023</v>
      </c>
      <c r="M2114" t="str">
        <f t="shared" si="97"/>
        <v>Nov</v>
      </c>
      <c r="N2114" s="2">
        <f t="shared" si="98"/>
        <v>0.10318325792500221</v>
      </c>
    </row>
    <row r="2115" spans="1:14" x14ac:dyDescent="0.45">
      <c r="A2115" t="s">
        <v>4055</v>
      </c>
      <c r="B2115" s="1">
        <v>44999</v>
      </c>
      <c r="C2115" t="s">
        <v>4056</v>
      </c>
      <c r="D2115" t="s">
        <v>13</v>
      </c>
      <c r="E2115" t="s">
        <v>14</v>
      </c>
      <c r="F2115" t="s">
        <v>57</v>
      </c>
      <c r="G2115">
        <v>2</v>
      </c>
      <c r="H2115">
        <v>41842.910000000003</v>
      </c>
      <c r="I2115">
        <v>4606.92</v>
      </c>
      <c r="J2115" t="s">
        <v>47</v>
      </c>
      <c r="K2115" t="s">
        <v>23</v>
      </c>
      <c r="L2115">
        <f t="shared" ref="L2115:L2178" si="99">YEAR(B2115 )</f>
        <v>2023</v>
      </c>
      <c r="M2115" t="str">
        <f t="shared" ref="M2115:M2178" si="100">TEXT(B2115,"MMM")</f>
        <v>Mar</v>
      </c>
      <c r="N2115" s="2">
        <f t="shared" ref="N2115:N2178" si="101">I2115 / H2115</f>
        <v>0.11010037303810848</v>
      </c>
    </row>
    <row r="2116" spans="1:14" x14ac:dyDescent="0.45">
      <c r="A2116" t="s">
        <v>4057</v>
      </c>
      <c r="B2116" s="1">
        <v>44963</v>
      </c>
      <c r="C2116" t="s">
        <v>4058</v>
      </c>
      <c r="D2116" t="s">
        <v>13</v>
      </c>
      <c r="E2116" t="s">
        <v>20</v>
      </c>
      <c r="F2116" t="s">
        <v>21</v>
      </c>
      <c r="G2116">
        <v>5</v>
      </c>
      <c r="H2116">
        <v>23349.71</v>
      </c>
      <c r="I2116">
        <v>2129.63</v>
      </c>
      <c r="J2116" t="s">
        <v>28</v>
      </c>
      <c r="K2116" t="s">
        <v>23</v>
      </c>
      <c r="L2116">
        <f t="shared" si="99"/>
        <v>2023</v>
      </c>
      <c r="M2116" t="str">
        <f t="shared" si="100"/>
        <v>Feb</v>
      </c>
      <c r="N2116" s="2">
        <f t="shared" si="101"/>
        <v>9.1205843670007045E-2</v>
      </c>
    </row>
    <row r="2117" spans="1:14" x14ac:dyDescent="0.45">
      <c r="A2117" t="s">
        <v>4059</v>
      </c>
      <c r="B2117" s="1">
        <v>45114</v>
      </c>
      <c r="C2117" t="s">
        <v>4060</v>
      </c>
      <c r="D2117" t="s">
        <v>26</v>
      </c>
      <c r="E2117" t="s">
        <v>20</v>
      </c>
      <c r="F2117" t="s">
        <v>27</v>
      </c>
      <c r="G2117">
        <v>1</v>
      </c>
      <c r="H2117">
        <v>15015.51</v>
      </c>
      <c r="I2117">
        <v>2318.89</v>
      </c>
      <c r="J2117" t="s">
        <v>47</v>
      </c>
      <c r="K2117" t="s">
        <v>17</v>
      </c>
      <c r="L2117">
        <f t="shared" si="99"/>
        <v>2023</v>
      </c>
      <c r="M2117" t="str">
        <f t="shared" si="100"/>
        <v>Jul</v>
      </c>
      <c r="N2117" s="2">
        <f t="shared" si="101"/>
        <v>0.15443298296228367</v>
      </c>
    </row>
    <row r="2118" spans="1:14" x14ac:dyDescent="0.45">
      <c r="A2118" t="s">
        <v>4061</v>
      </c>
      <c r="B2118" s="1">
        <v>44988</v>
      </c>
      <c r="C2118" t="s">
        <v>4062</v>
      </c>
      <c r="D2118" t="s">
        <v>26</v>
      </c>
      <c r="E2118" t="s">
        <v>20</v>
      </c>
      <c r="F2118" t="s">
        <v>43</v>
      </c>
      <c r="G2118">
        <v>1</v>
      </c>
      <c r="H2118">
        <v>20233.740000000002</v>
      </c>
      <c r="I2118">
        <v>2714.61</v>
      </c>
      <c r="J2118" t="s">
        <v>71</v>
      </c>
      <c r="K2118" t="s">
        <v>33</v>
      </c>
      <c r="L2118">
        <f t="shared" si="99"/>
        <v>2023</v>
      </c>
      <c r="M2118" t="str">
        <f t="shared" si="100"/>
        <v>Mar</v>
      </c>
      <c r="N2118" s="2">
        <f t="shared" si="101"/>
        <v>0.13416254236735276</v>
      </c>
    </row>
    <row r="2119" spans="1:14" x14ac:dyDescent="0.45">
      <c r="A2119" t="s">
        <v>4063</v>
      </c>
      <c r="B2119" s="1">
        <v>44893</v>
      </c>
      <c r="C2119" t="s">
        <v>4064</v>
      </c>
      <c r="D2119" t="s">
        <v>56</v>
      </c>
      <c r="E2119" t="s">
        <v>14</v>
      </c>
      <c r="F2119" t="s">
        <v>32</v>
      </c>
      <c r="G2119">
        <v>2</v>
      </c>
      <c r="H2119">
        <v>14772.53</v>
      </c>
      <c r="I2119">
        <v>3427.88</v>
      </c>
      <c r="J2119" t="s">
        <v>47</v>
      </c>
      <c r="K2119" t="s">
        <v>17</v>
      </c>
      <c r="L2119">
        <f t="shared" si="99"/>
        <v>2022</v>
      </c>
      <c r="M2119" t="str">
        <f t="shared" si="100"/>
        <v>Nov</v>
      </c>
      <c r="N2119" s="2">
        <f t="shared" si="101"/>
        <v>0.2320442063749405</v>
      </c>
    </row>
    <row r="2120" spans="1:14" x14ac:dyDescent="0.45">
      <c r="A2120" t="s">
        <v>4065</v>
      </c>
      <c r="B2120" s="1">
        <v>45308</v>
      </c>
      <c r="C2120" t="s">
        <v>4066</v>
      </c>
      <c r="D2120" t="s">
        <v>13</v>
      </c>
      <c r="E2120" t="s">
        <v>20</v>
      </c>
      <c r="F2120" t="s">
        <v>21</v>
      </c>
      <c r="G2120">
        <v>3</v>
      </c>
      <c r="H2120">
        <v>7991.42</v>
      </c>
      <c r="I2120">
        <v>630.55999999999995</v>
      </c>
      <c r="J2120" t="s">
        <v>16</v>
      </c>
      <c r="K2120" t="s">
        <v>23</v>
      </c>
      <c r="L2120">
        <f t="shared" si="99"/>
        <v>2024</v>
      </c>
      <c r="M2120" t="str">
        <f t="shared" si="100"/>
        <v>Jan</v>
      </c>
      <c r="N2120" s="2">
        <f t="shared" si="101"/>
        <v>7.8904625210538301E-2</v>
      </c>
    </row>
    <row r="2121" spans="1:14" x14ac:dyDescent="0.45">
      <c r="A2121" t="s">
        <v>4067</v>
      </c>
      <c r="B2121" s="1">
        <v>44966</v>
      </c>
      <c r="C2121" t="s">
        <v>4068</v>
      </c>
      <c r="D2121" t="s">
        <v>13</v>
      </c>
      <c r="E2121" t="s">
        <v>20</v>
      </c>
      <c r="F2121" t="s">
        <v>50</v>
      </c>
      <c r="G2121">
        <v>2</v>
      </c>
      <c r="H2121">
        <v>34372.9</v>
      </c>
      <c r="I2121">
        <v>3931.79</v>
      </c>
      <c r="J2121" t="s">
        <v>71</v>
      </c>
      <c r="K2121" t="s">
        <v>17</v>
      </c>
      <c r="L2121">
        <f t="shared" si="99"/>
        <v>2023</v>
      </c>
      <c r="M2121" t="str">
        <f t="shared" si="100"/>
        <v>Feb</v>
      </c>
      <c r="N2121" s="2">
        <f t="shared" si="101"/>
        <v>0.11438633341964163</v>
      </c>
    </row>
    <row r="2122" spans="1:14" x14ac:dyDescent="0.45">
      <c r="A2122" t="s">
        <v>4069</v>
      </c>
      <c r="B2122" s="1">
        <v>44755</v>
      </c>
      <c r="C2122" t="s">
        <v>4070</v>
      </c>
      <c r="D2122" t="s">
        <v>56</v>
      </c>
      <c r="E2122" t="s">
        <v>14</v>
      </c>
      <c r="F2122" t="s">
        <v>57</v>
      </c>
      <c r="G2122">
        <v>5</v>
      </c>
      <c r="H2122">
        <v>42080.44</v>
      </c>
      <c r="I2122">
        <v>3693.68</v>
      </c>
      <c r="J2122" t="s">
        <v>28</v>
      </c>
      <c r="K2122" t="s">
        <v>17</v>
      </c>
      <c r="L2122">
        <f t="shared" si="99"/>
        <v>2022</v>
      </c>
      <c r="M2122" t="str">
        <f t="shared" si="100"/>
        <v>Jul</v>
      </c>
      <c r="N2122" s="2">
        <f t="shared" si="101"/>
        <v>8.7776648723254788E-2</v>
      </c>
    </row>
    <row r="2123" spans="1:14" x14ac:dyDescent="0.45">
      <c r="A2123" t="s">
        <v>4071</v>
      </c>
      <c r="B2123" s="1">
        <v>44688</v>
      </c>
      <c r="C2123" t="s">
        <v>4072</v>
      </c>
      <c r="D2123" t="s">
        <v>13</v>
      </c>
      <c r="E2123" t="s">
        <v>14</v>
      </c>
      <c r="F2123" t="s">
        <v>15</v>
      </c>
      <c r="G2123">
        <v>5</v>
      </c>
      <c r="H2123">
        <v>29745.23</v>
      </c>
      <c r="I2123">
        <v>5301.38</v>
      </c>
      <c r="J2123" t="s">
        <v>71</v>
      </c>
      <c r="K2123" t="s">
        <v>29</v>
      </c>
      <c r="L2123">
        <f t="shared" si="99"/>
        <v>2022</v>
      </c>
      <c r="M2123" t="str">
        <f t="shared" si="100"/>
        <v>May</v>
      </c>
      <c r="N2123" s="2">
        <f t="shared" si="101"/>
        <v>0.17822622316250372</v>
      </c>
    </row>
    <row r="2124" spans="1:14" x14ac:dyDescent="0.45">
      <c r="A2124" t="s">
        <v>4073</v>
      </c>
      <c r="B2124" s="1">
        <v>44939</v>
      </c>
      <c r="C2124" t="s">
        <v>4074</v>
      </c>
      <c r="D2124" t="s">
        <v>56</v>
      </c>
      <c r="E2124" t="s">
        <v>36</v>
      </c>
      <c r="F2124" t="s">
        <v>46</v>
      </c>
      <c r="G2124">
        <v>1</v>
      </c>
      <c r="H2124">
        <v>8793.5400000000009</v>
      </c>
      <c r="I2124">
        <v>1996.48</v>
      </c>
      <c r="J2124" t="s">
        <v>22</v>
      </c>
      <c r="K2124" t="s">
        <v>17</v>
      </c>
      <c r="L2124">
        <f t="shared" si="99"/>
        <v>2023</v>
      </c>
      <c r="M2124" t="str">
        <f t="shared" si="100"/>
        <v>Jan</v>
      </c>
      <c r="N2124" s="2">
        <f t="shared" si="101"/>
        <v>0.22703939482847635</v>
      </c>
    </row>
    <row r="2125" spans="1:14" x14ac:dyDescent="0.45">
      <c r="A2125" t="s">
        <v>4075</v>
      </c>
      <c r="B2125" s="1">
        <v>45413</v>
      </c>
      <c r="C2125" t="s">
        <v>4076</v>
      </c>
      <c r="D2125" t="s">
        <v>13</v>
      </c>
      <c r="E2125" t="s">
        <v>14</v>
      </c>
      <c r="F2125" t="s">
        <v>15</v>
      </c>
      <c r="G2125">
        <v>1</v>
      </c>
      <c r="H2125">
        <v>10413.58</v>
      </c>
      <c r="I2125">
        <v>1255.3</v>
      </c>
      <c r="J2125" t="s">
        <v>47</v>
      </c>
      <c r="K2125" t="s">
        <v>33</v>
      </c>
      <c r="L2125">
        <f t="shared" si="99"/>
        <v>2024</v>
      </c>
      <c r="M2125" t="str">
        <f t="shared" si="100"/>
        <v>May</v>
      </c>
      <c r="N2125" s="2">
        <f t="shared" si="101"/>
        <v>0.12054451975209293</v>
      </c>
    </row>
    <row r="2126" spans="1:14" x14ac:dyDescent="0.45">
      <c r="A2126" t="s">
        <v>4077</v>
      </c>
      <c r="B2126" s="1">
        <v>45530</v>
      </c>
      <c r="C2126" t="s">
        <v>4078</v>
      </c>
      <c r="D2126" t="s">
        <v>56</v>
      </c>
      <c r="E2126" t="s">
        <v>20</v>
      </c>
      <c r="F2126" t="s">
        <v>21</v>
      </c>
      <c r="G2126">
        <v>2</v>
      </c>
      <c r="H2126">
        <v>32322.51</v>
      </c>
      <c r="I2126">
        <v>2874.14</v>
      </c>
      <c r="J2126" t="s">
        <v>28</v>
      </c>
      <c r="K2126" t="s">
        <v>29</v>
      </c>
      <c r="L2126">
        <f t="shared" si="99"/>
        <v>2024</v>
      </c>
      <c r="M2126" t="str">
        <f t="shared" si="100"/>
        <v>Aug</v>
      </c>
      <c r="N2126" s="2">
        <f t="shared" si="101"/>
        <v>8.8920693349619204E-2</v>
      </c>
    </row>
    <row r="2127" spans="1:14" x14ac:dyDescent="0.45">
      <c r="A2127" t="s">
        <v>4079</v>
      </c>
      <c r="B2127" s="1">
        <v>44683</v>
      </c>
      <c r="C2127" t="s">
        <v>4080</v>
      </c>
      <c r="D2127" t="s">
        <v>13</v>
      </c>
      <c r="E2127" t="s">
        <v>36</v>
      </c>
      <c r="F2127" t="s">
        <v>46</v>
      </c>
      <c r="G2127">
        <v>5</v>
      </c>
      <c r="H2127">
        <v>9886.61</v>
      </c>
      <c r="I2127">
        <v>1069.1099999999999</v>
      </c>
      <c r="J2127" t="s">
        <v>71</v>
      </c>
      <c r="K2127" t="s">
        <v>23</v>
      </c>
      <c r="L2127">
        <f t="shared" si="99"/>
        <v>2022</v>
      </c>
      <c r="M2127" t="str">
        <f t="shared" si="100"/>
        <v>May</v>
      </c>
      <c r="N2127" s="2">
        <f t="shared" si="101"/>
        <v>0.10813716734047361</v>
      </c>
    </row>
    <row r="2128" spans="1:14" x14ac:dyDescent="0.45">
      <c r="A2128" t="s">
        <v>4081</v>
      </c>
      <c r="B2128" s="1">
        <v>45031</v>
      </c>
      <c r="C2128" t="s">
        <v>4082</v>
      </c>
      <c r="D2128" t="s">
        <v>13</v>
      </c>
      <c r="E2128" t="s">
        <v>20</v>
      </c>
      <c r="F2128" t="s">
        <v>21</v>
      </c>
      <c r="G2128">
        <v>4</v>
      </c>
      <c r="H2128">
        <v>47691.9</v>
      </c>
      <c r="I2128">
        <v>11786.99</v>
      </c>
      <c r="J2128" t="s">
        <v>28</v>
      </c>
      <c r="K2128" t="s">
        <v>23</v>
      </c>
      <c r="L2128">
        <f t="shared" si="99"/>
        <v>2023</v>
      </c>
      <c r="M2128" t="str">
        <f t="shared" si="100"/>
        <v>Apr</v>
      </c>
      <c r="N2128" s="2">
        <f t="shared" si="101"/>
        <v>0.24714867723869252</v>
      </c>
    </row>
    <row r="2129" spans="1:14" x14ac:dyDescent="0.45">
      <c r="A2129" t="s">
        <v>4083</v>
      </c>
      <c r="B2129" s="1">
        <v>45238</v>
      </c>
      <c r="C2129" t="s">
        <v>383</v>
      </c>
      <c r="D2129" t="s">
        <v>26</v>
      </c>
      <c r="E2129" t="s">
        <v>36</v>
      </c>
      <c r="F2129" t="s">
        <v>46</v>
      </c>
      <c r="G2129">
        <v>3</v>
      </c>
      <c r="H2129">
        <v>14977.24</v>
      </c>
      <c r="I2129">
        <v>3193.86</v>
      </c>
      <c r="J2129" t="s">
        <v>16</v>
      </c>
      <c r="K2129" t="s">
        <v>23</v>
      </c>
      <c r="L2129">
        <f t="shared" si="99"/>
        <v>2023</v>
      </c>
      <c r="M2129" t="str">
        <f t="shared" si="100"/>
        <v>Nov</v>
      </c>
      <c r="N2129" s="2">
        <f t="shared" si="101"/>
        <v>0.21324756764263644</v>
      </c>
    </row>
    <row r="2130" spans="1:14" x14ac:dyDescent="0.45">
      <c r="A2130" t="s">
        <v>4084</v>
      </c>
      <c r="B2130" s="1">
        <v>44585</v>
      </c>
      <c r="C2130" t="s">
        <v>4085</v>
      </c>
      <c r="D2130" t="s">
        <v>26</v>
      </c>
      <c r="E2130" t="s">
        <v>20</v>
      </c>
      <c r="F2130" t="s">
        <v>43</v>
      </c>
      <c r="G2130">
        <v>3</v>
      </c>
      <c r="H2130">
        <v>32702.38</v>
      </c>
      <c r="I2130">
        <v>7513.39</v>
      </c>
      <c r="J2130" t="s">
        <v>47</v>
      </c>
      <c r="K2130" t="s">
        <v>29</v>
      </c>
      <c r="L2130">
        <f t="shared" si="99"/>
        <v>2022</v>
      </c>
      <c r="M2130" t="str">
        <f t="shared" si="100"/>
        <v>Jan</v>
      </c>
      <c r="N2130" s="2">
        <f t="shared" si="101"/>
        <v>0.22975055638152331</v>
      </c>
    </row>
    <row r="2131" spans="1:14" x14ac:dyDescent="0.45">
      <c r="A2131" t="s">
        <v>4086</v>
      </c>
      <c r="B2131" s="1">
        <v>44768</v>
      </c>
      <c r="C2131" t="s">
        <v>1240</v>
      </c>
      <c r="D2131" t="s">
        <v>26</v>
      </c>
      <c r="E2131" t="s">
        <v>14</v>
      </c>
      <c r="F2131" t="s">
        <v>15</v>
      </c>
      <c r="G2131">
        <v>5</v>
      </c>
      <c r="H2131">
        <v>48657.27</v>
      </c>
      <c r="I2131">
        <v>2592.9899999999998</v>
      </c>
      <c r="J2131" t="s">
        <v>28</v>
      </c>
      <c r="K2131" t="s">
        <v>29</v>
      </c>
      <c r="L2131">
        <f t="shared" si="99"/>
        <v>2022</v>
      </c>
      <c r="M2131" t="str">
        <f t="shared" si="100"/>
        <v>Jul</v>
      </c>
      <c r="N2131" s="2">
        <f t="shared" si="101"/>
        <v>5.3290905963281537E-2</v>
      </c>
    </row>
    <row r="2132" spans="1:14" x14ac:dyDescent="0.45">
      <c r="A2132" t="s">
        <v>4087</v>
      </c>
      <c r="B2132" s="1">
        <v>44926</v>
      </c>
      <c r="C2132" t="s">
        <v>331</v>
      </c>
      <c r="D2132" t="s">
        <v>56</v>
      </c>
      <c r="E2132" t="s">
        <v>14</v>
      </c>
      <c r="F2132" t="s">
        <v>40</v>
      </c>
      <c r="G2132">
        <v>1</v>
      </c>
      <c r="H2132">
        <v>32261.59</v>
      </c>
      <c r="I2132">
        <v>7695.29</v>
      </c>
      <c r="J2132" t="s">
        <v>22</v>
      </c>
      <c r="K2132" t="s">
        <v>17</v>
      </c>
      <c r="L2132">
        <f t="shared" si="99"/>
        <v>2022</v>
      </c>
      <c r="M2132" t="str">
        <f t="shared" si="100"/>
        <v>Dec</v>
      </c>
      <c r="N2132" s="2">
        <f t="shared" si="101"/>
        <v>0.23852792128348294</v>
      </c>
    </row>
    <row r="2133" spans="1:14" x14ac:dyDescent="0.45">
      <c r="A2133" t="s">
        <v>4088</v>
      </c>
      <c r="B2133" s="1">
        <v>45212</v>
      </c>
      <c r="C2133" t="s">
        <v>4089</v>
      </c>
      <c r="D2133" t="s">
        <v>56</v>
      </c>
      <c r="E2133" t="s">
        <v>14</v>
      </c>
      <c r="F2133" t="s">
        <v>40</v>
      </c>
      <c r="G2133">
        <v>2</v>
      </c>
      <c r="H2133">
        <v>46122.12</v>
      </c>
      <c r="I2133">
        <v>10464.36</v>
      </c>
      <c r="J2133" t="s">
        <v>71</v>
      </c>
      <c r="K2133" t="s">
        <v>33</v>
      </c>
      <c r="L2133">
        <f t="shared" si="99"/>
        <v>2023</v>
      </c>
      <c r="M2133" t="str">
        <f t="shared" si="100"/>
        <v>Oct</v>
      </c>
      <c r="N2133" s="2">
        <f t="shared" si="101"/>
        <v>0.22688375989655288</v>
      </c>
    </row>
    <row r="2134" spans="1:14" x14ac:dyDescent="0.45">
      <c r="A2134" t="s">
        <v>4090</v>
      </c>
      <c r="B2134" s="1">
        <v>45159</v>
      </c>
      <c r="C2134" t="s">
        <v>4091</v>
      </c>
      <c r="D2134" t="s">
        <v>56</v>
      </c>
      <c r="E2134" t="s">
        <v>36</v>
      </c>
      <c r="F2134" t="s">
        <v>37</v>
      </c>
      <c r="G2134">
        <v>3</v>
      </c>
      <c r="H2134">
        <v>4065.41</v>
      </c>
      <c r="I2134">
        <v>662.78</v>
      </c>
      <c r="J2134" t="s">
        <v>71</v>
      </c>
      <c r="K2134" t="s">
        <v>23</v>
      </c>
      <c r="L2134">
        <f t="shared" si="99"/>
        <v>2023</v>
      </c>
      <c r="M2134" t="str">
        <f t="shared" si="100"/>
        <v>Aug</v>
      </c>
      <c r="N2134" s="2">
        <f t="shared" si="101"/>
        <v>0.16302906717895613</v>
      </c>
    </row>
    <row r="2135" spans="1:14" x14ac:dyDescent="0.45">
      <c r="A2135" t="s">
        <v>4092</v>
      </c>
      <c r="B2135" s="1">
        <v>45390</v>
      </c>
      <c r="C2135" t="s">
        <v>4093</v>
      </c>
      <c r="D2135" t="s">
        <v>13</v>
      </c>
      <c r="E2135" t="s">
        <v>14</v>
      </c>
      <c r="F2135" t="s">
        <v>15</v>
      </c>
      <c r="G2135">
        <v>2</v>
      </c>
      <c r="H2135">
        <v>22364.6</v>
      </c>
      <c r="I2135">
        <v>4726.2</v>
      </c>
      <c r="J2135" t="s">
        <v>22</v>
      </c>
      <c r="K2135" t="s">
        <v>33</v>
      </c>
      <c r="L2135">
        <f t="shared" si="99"/>
        <v>2024</v>
      </c>
      <c r="M2135" t="str">
        <f t="shared" si="100"/>
        <v>Apr</v>
      </c>
      <c r="N2135" s="2">
        <f t="shared" si="101"/>
        <v>0.21132504046573602</v>
      </c>
    </row>
    <row r="2136" spans="1:14" x14ac:dyDescent="0.45">
      <c r="A2136" t="s">
        <v>4094</v>
      </c>
      <c r="B2136" s="1">
        <v>45170</v>
      </c>
      <c r="C2136" t="s">
        <v>4095</v>
      </c>
      <c r="D2136" t="s">
        <v>56</v>
      </c>
      <c r="E2136" t="s">
        <v>20</v>
      </c>
      <c r="F2136" t="s">
        <v>43</v>
      </c>
      <c r="G2136">
        <v>2</v>
      </c>
      <c r="H2136">
        <v>13203.92</v>
      </c>
      <c r="I2136">
        <v>870.06</v>
      </c>
      <c r="J2136" t="s">
        <v>71</v>
      </c>
      <c r="K2136" t="s">
        <v>23</v>
      </c>
      <c r="L2136">
        <f t="shared" si="99"/>
        <v>2023</v>
      </c>
      <c r="M2136" t="str">
        <f t="shared" si="100"/>
        <v>Sep</v>
      </c>
      <c r="N2136" s="2">
        <f t="shared" si="101"/>
        <v>6.5894067822283076E-2</v>
      </c>
    </row>
    <row r="2137" spans="1:14" x14ac:dyDescent="0.45">
      <c r="A2137" t="s">
        <v>4096</v>
      </c>
      <c r="B2137" s="1">
        <v>44910</v>
      </c>
      <c r="C2137" t="s">
        <v>4097</v>
      </c>
      <c r="D2137" t="s">
        <v>26</v>
      </c>
      <c r="E2137" t="s">
        <v>20</v>
      </c>
      <c r="F2137" t="s">
        <v>21</v>
      </c>
      <c r="G2137">
        <v>2</v>
      </c>
      <c r="H2137">
        <v>46441.37</v>
      </c>
      <c r="I2137">
        <v>9616.11</v>
      </c>
      <c r="J2137" t="s">
        <v>22</v>
      </c>
      <c r="K2137" t="s">
        <v>17</v>
      </c>
      <c r="L2137">
        <f t="shared" si="99"/>
        <v>2022</v>
      </c>
      <c r="M2137" t="str">
        <f t="shared" si="100"/>
        <v>Dec</v>
      </c>
      <c r="N2137" s="2">
        <f t="shared" si="101"/>
        <v>0.20705913714431767</v>
      </c>
    </row>
    <row r="2138" spans="1:14" x14ac:dyDescent="0.45">
      <c r="A2138" t="s">
        <v>4098</v>
      </c>
      <c r="B2138" s="1">
        <v>45311</v>
      </c>
      <c r="C2138" t="s">
        <v>4099</v>
      </c>
      <c r="D2138" t="s">
        <v>13</v>
      </c>
      <c r="E2138" t="s">
        <v>36</v>
      </c>
      <c r="F2138" t="s">
        <v>53</v>
      </c>
      <c r="G2138">
        <v>3</v>
      </c>
      <c r="H2138">
        <v>19125.98</v>
      </c>
      <c r="I2138">
        <v>4292.4399999999996</v>
      </c>
      <c r="J2138" t="s">
        <v>28</v>
      </c>
      <c r="K2138" t="s">
        <v>29</v>
      </c>
      <c r="L2138">
        <f t="shared" si="99"/>
        <v>2024</v>
      </c>
      <c r="M2138" t="str">
        <f t="shared" si="100"/>
        <v>Jan</v>
      </c>
      <c r="N2138" s="2">
        <f t="shared" si="101"/>
        <v>0.22442980699551079</v>
      </c>
    </row>
    <row r="2139" spans="1:14" x14ac:dyDescent="0.45">
      <c r="A2139" t="s">
        <v>4100</v>
      </c>
      <c r="B2139" s="1">
        <v>45386</v>
      </c>
      <c r="C2139" t="s">
        <v>4101</v>
      </c>
      <c r="D2139" t="s">
        <v>13</v>
      </c>
      <c r="E2139" t="s">
        <v>20</v>
      </c>
      <c r="F2139" t="s">
        <v>21</v>
      </c>
      <c r="G2139">
        <v>4</v>
      </c>
      <c r="H2139">
        <v>46238.76</v>
      </c>
      <c r="I2139">
        <v>11367.57</v>
      </c>
      <c r="J2139" t="s">
        <v>16</v>
      </c>
      <c r="K2139" t="s">
        <v>33</v>
      </c>
      <c r="L2139">
        <f t="shared" si="99"/>
        <v>2024</v>
      </c>
      <c r="M2139" t="str">
        <f t="shared" si="100"/>
        <v>Apr</v>
      </c>
      <c r="N2139" s="2">
        <f t="shared" si="101"/>
        <v>0.2458450442875198</v>
      </c>
    </row>
    <row r="2140" spans="1:14" x14ac:dyDescent="0.45">
      <c r="A2140" t="s">
        <v>4102</v>
      </c>
      <c r="B2140" s="1">
        <v>45223</v>
      </c>
      <c r="C2140" t="s">
        <v>4103</v>
      </c>
      <c r="D2140" t="s">
        <v>26</v>
      </c>
      <c r="E2140" t="s">
        <v>20</v>
      </c>
      <c r="F2140" t="s">
        <v>27</v>
      </c>
      <c r="G2140">
        <v>1</v>
      </c>
      <c r="H2140">
        <v>33406.68</v>
      </c>
      <c r="I2140">
        <v>3105.49</v>
      </c>
      <c r="J2140" t="s">
        <v>22</v>
      </c>
      <c r="K2140" t="s">
        <v>23</v>
      </c>
      <c r="L2140">
        <f t="shared" si="99"/>
        <v>2023</v>
      </c>
      <c r="M2140" t="str">
        <f t="shared" si="100"/>
        <v>Oct</v>
      </c>
      <c r="N2140" s="2">
        <f t="shared" si="101"/>
        <v>9.2960150484873078E-2</v>
      </c>
    </row>
    <row r="2141" spans="1:14" x14ac:dyDescent="0.45">
      <c r="A2141" t="s">
        <v>4104</v>
      </c>
      <c r="B2141" s="1">
        <v>44879</v>
      </c>
      <c r="C2141" t="s">
        <v>4105</v>
      </c>
      <c r="D2141" t="s">
        <v>26</v>
      </c>
      <c r="E2141" t="s">
        <v>36</v>
      </c>
      <c r="F2141" t="s">
        <v>37</v>
      </c>
      <c r="G2141">
        <v>2</v>
      </c>
      <c r="H2141">
        <v>29381.11</v>
      </c>
      <c r="I2141">
        <v>3799.85</v>
      </c>
      <c r="J2141" t="s">
        <v>16</v>
      </c>
      <c r="K2141" t="s">
        <v>23</v>
      </c>
      <c r="L2141">
        <f t="shared" si="99"/>
        <v>2022</v>
      </c>
      <c r="M2141" t="str">
        <f t="shared" si="100"/>
        <v>Nov</v>
      </c>
      <c r="N2141" s="2">
        <f t="shared" si="101"/>
        <v>0.12932969516808587</v>
      </c>
    </row>
    <row r="2142" spans="1:14" x14ac:dyDescent="0.45">
      <c r="A2142" t="s">
        <v>4106</v>
      </c>
      <c r="B2142" s="1">
        <v>44695</v>
      </c>
      <c r="C2142" t="s">
        <v>4107</v>
      </c>
      <c r="D2142" t="s">
        <v>13</v>
      </c>
      <c r="E2142" t="s">
        <v>14</v>
      </c>
      <c r="F2142" t="s">
        <v>40</v>
      </c>
      <c r="G2142">
        <v>2</v>
      </c>
      <c r="H2142">
        <v>31628.34</v>
      </c>
      <c r="I2142">
        <v>7654.57</v>
      </c>
      <c r="J2142" t="s">
        <v>28</v>
      </c>
      <c r="K2142" t="s">
        <v>23</v>
      </c>
      <c r="L2142">
        <f t="shared" si="99"/>
        <v>2022</v>
      </c>
      <c r="M2142" t="str">
        <f t="shared" si="100"/>
        <v>May</v>
      </c>
      <c r="N2142" s="2">
        <f t="shared" si="101"/>
        <v>0.24201617916084117</v>
      </c>
    </row>
    <row r="2143" spans="1:14" x14ac:dyDescent="0.45">
      <c r="A2143" t="s">
        <v>4108</v>
      </c>
      <c r="B2143" s="1">
        <v>45614</v>
      </c>
      <c r="C2143" t="s">
        <v>4109</v>
      </c>
      <c r="D2143" t="s">
        <v>26</v>
      </c>
      <c r="E2143" t="s">
        <v>36</v>
      </c>
      <c r="F2143" t="s">
        <v>46</v>
      </c>
      <c r="G2143">
        <v>1</v>
      </c>
      <c r="H2143">
        <v>47550.09</v>
      </c>
      <c r="I2143">
        <v>4213.96</v>
      </c>
      <c r="J2143" t="s">
        <v>47</v>
      </c>
      <c r="K2143" t="s">
        <v>23</v>
      </c>
      <c r="L2143">
        <f t="shared" si="99"/>
        <v>2024</v>
      </c>
      <c r="M2143" t="str">
        <f t="shared" si="100"/>
        <v>Nov</v>
      </c>
      <c r="N2143" s="2">
        <f t="shared" si="101"/>
        <v>8.8621493671200202E-2</v>
      </c>
    </row>
    <row r="2144" spans="1:14" x14ac:dyDescent="0.45">
      <c r="A2144" t="s">
        <v>4110</v>
      </c>
      <c r="B2144" s="1">
        <v>44723</v>
      </c>
      <c r="C2144" t="s">
        <v>3540</v>
      </c>
      <c r="D2144" t="s">
        <v>26</v>
      </c>
      <c r="E2144" t="s">
        <v>14</v>
      </c>
      <c r="F2144" t="s">
        <v>15</v>
      </c>
      <c r="G2144">
        <v>3</v>
      </c>
      <c r="H2144">
        <v>41962.879999999997</v>
      </c>
      <c r="I2144">
        <v>3942.58</v>
      </c>
      <c r="J2144" t="s">
        <v>71</v>
      </c>
      <c r="K2144" t="s">
        <v>17</v>
      </c>
      <c r="L2144">
        <f t="shared" si="99"/>
        <v>2022</v>
      </c>
      <c r="M2144" t="str">
        <f t="shared" si="100"/>
        <v>Jun</v>
      </c>
      <c r="N2144" s="2">
        <f t="shared" si="101"/>
        <v>9.3953989811948094E-2</v>
      </c>
    </row>
    <row r="2145" spans="1:14" x14ac:dyDescent="0.45">
      <c r="A2145" t="s">
        <v>4111</v>
      </c>
      <c r="B2145" s="1">
        <v>45527</v>
      </c>
      <c r="C2145" t="s">
        <v>4112</v>
      </c>
      <c r="D2145" t="s">
        <v>26</v>
      </c>
      <c r="E2145" t="s">
        <v>14</v>
      </c>
      <c r="F2145" t="s">
        <v>40</v>
      </c>
      <c r="G2145">
        <v>5</v>
      </c>
      <c r="H2145">
        <v>17261.150000000001</v>
      </c>
      <c r="I2145">
        <v>3666.94</v>
      </c>
      <c r="J2145" t="s">
        <v>28</v>
      </c>
      <c r="K2145" t="s">
        <v>23</v>
      </c>
      <c r="L2145">
        <f t="shared" si="99"/>
        <v>2024</v>
      </c>
      <c r="M2145" t="str">
        <f t="shared" si="100"/>
        <v>Aug</v>
      </c>
      <c r="N2145" s="2">
        <f t="shared" si="101"/>
        <v>0.21243891629468487</v>
      </c>
    </row>
    <row r="2146" spans="1:14" x14ac:dyDescent="0.45">
      <c r="A2146" t="s">
        <v>4113</v>
      </c>
      <c r="B2146" s="1">
        <v>45590</v>
      </c>
      <c r="C2146" t="s">
        <v>4114</v>
      </c>
      <c r="D2146" t="s">
        <v>26</v>
      </c>
      <c r="E2146" t="s">
        <v>14</v>
      </c>
      <c r="F2146" t="s">
        <v>15</v>
      </c>
      <c r="G2146">
        <v>4</v>
      </c>
      <c r="H2146">
        <v>2016.31</v>
      </c>
      <c r="I2146">
        <v>333.9</v>
      </c>
      <c r="J2146" t="s">
        <v>47</v>
      </c>
      <c r="K2146" t="s">
        <v>29</v>
      </c>
      <c r="L2146">
        <f t="shared" si="99"/>
        <v>2024</v>
      </c>
      <c r="M2146" t="str">
        <f t="shared" si="100"/>
        <v>Oct</v>
      </c>
      <c r="N2146" s="2">
        <f t="shared" si="101"/>
        <v>0.16559953578566788</v>
      </c>
    </row>
    <row r="2147" spans="1:14" x14ac:dyDescent="0.45">
      <c r="A2147" t="s">
        <v>4115</v>
      </c>
      <c r="B2147" s="1">
        <v>44657</v>
      </c>
      <c r="C2147" t="s">
        <v>4116</v>
      </c>
      <c r="D2147" t="s">
        <v>56</v>
      </c>
      <c r="E2147" t="s">
        <v>36</v>
      </c>
      <c r="F2147" t="s">
        <v>64</v>
      </c>
      <c r="G2147">
        <v>5</v>
      </c>
      <c r="H2147">
        <v>5977.19</v>
      </c>
      <c r="I2147">
        <v>1244.53</v>
      </c>
      <c r="J2147" t="s">
        <v>71</v>
      </c>
      <c r="K2147" t="s">
        <v>23</v>
      </c>
      <c r="L2147">
        <f t="shared" si="99"/>
        <v>2022</v>
      </c>
      <c r="M2147" t="str">
        <f t="shared" si="100"/>
        <v>Apr</v>
      </c>
      <c r="N2147" s="2">
        <f t="shared" si="101"/>
        <v>0.20821322393967734</v>
      </c>
    </row>
    <row r="2148" spans="1:14" x14ac:dyDescent="0.45">
      <c r="A2148" t="s">
        <v>4117</v>
      </c>
      <c r="B2148" s="1">
        <v>44995</v>
      </c>
      <c r="C2148" t="s">
        <v>4118</v>
      </c>
      <c r="D2148" t="s">
        <v>13</v>
      </c>
      <c r="E2148" t="s">
        <v>14</v>
      </c>
      <c r="F2148" t="s">
        <v>32</v>
      </c>
      <c r="G2148">
        <v>2</v>
      </c>
      <c r="H2148">
        <v>26031.360000000001</v>
      </c>
      <c r="I2148">
        <v>6261.89</v>
      </c>
      <c r="J2148" t="s">
        <v>16</v>
      </c>
      <c r="K2148" t="s">
        <v>17</v>
      </c>
      <c r="L2148">
        <f t="shared" si="99"/>
        <v>2023</v>
      </c>
      <c r="M2148" t="str">
        <f t="shared" si="100"/>
        <v>Mar</v>
      </c>
      <c r="N2148" s="2">
        <f t="shared" si="101"/>
        <v>0.24055178062152727</v>
      </c>
    </row>
    <row r="2149" spans="1:14" x14ac:dyDescent="0.45">
      <c r="A2149" t="s">
        <v>4119</v>
      </c>
      <c r="B2149" s="1">
        <v>45580</v>
      </c>
      <c r="C2149" t="s">
        <v>4120</v>
      </c>
      <c r="D2149" t="s">
        <v>13</v>
      </c>
      <c r="E2149" t="s">
        <v>36</v>
      </c>
      <c r="F2149" t="s">
        <v>53</v>
      </c>
      <c r="G2149">
        <v>2</v>
      </c>
      <c r="H2149">
        <v>15634.19</v>
      </c>
      <c r="I2149">
        <v>2610.89</v>
      </c>
      <c r="J2149" t="s">
        <v>16</v>
      </c>
      <c r="K2149" t="s">
        <v>33</v>
      </c>
      <c r="L2149">
        <f t="shared" si="99"/>
        <v>2024</v>
      </c>
      <c r="M2149" t="str">
        <f t="shared" si="100"/>
        <v>Oct</v>
      </c>
      <c r="N2149" s="2">
        <f t="shared" si="101"/>
        <v>0.16699873802224482</v>
      </c>
    </row>
    <row r="2150" spans="1:14" x14ac:dyDescent="0.45">
      <c r="A2150" t="s">
        <v>4121</v>
      </c>
      <c r="B2150" s="1">
        <v>44691</v>
      </c>
      <c r="C2150" t="s">
        <v>4122</v>
      </c>
      <c r="D2150" t="s">
        <v>13</v>
      </c>
      <c r="E2150" t="s">
        <v>14</v>
      </c>
      <c r="F2150" t="s">
        <v>57</v>
      </c>
      <c r="G2150">
        <v>2</v>
      </c>
      <c r="H2150">
        <v>3248.45</v>
      </c>
      <c r="I2150">
        <v>641.21</v>
      </c>
      <c r="J2150" t="s">
        <v>16</v>
      </c>
      <c r="K2150" t="s">
        <v>33</v>
      </c>
      <c r="L2150">
        <f t="shared" si="99"/>
        <v>2022</v>
      </c>
      <c r="M2150" t="str">
        <f t="shared" si="100"/>
        <v>May</v>
      </c>
      <c r="N2150" s="2">
        <f t="shared" si="101"/>
        <v>0.19738952423463499</v>
      </c>
    </row>
    <row r="2151" spans="1:14" x14ac:dyDescent="0.45">
      <c r="A2151" t="s">
        <v>4123</v>
      </c>
      <c r="B2151" s="1">
        <v>45216</v>
      </c>
      <c r="C2151" t="s">
        <v>4124</v>
      </c>
      <c r="D2151" t="s">
        <v>13</v>
      </c>
      <c r="E2151" t="s">
        <v>20</v>
      </c>
      <c r="F2151" t="s">
        <v>43</v>
      </c>
      <c r="G2151">
        <v>5</v>
      </c>
      <c r="H2151">
        <v>47378.16</v>
      </c>
      <c r="I2151">
        <v>4397.24</v>
      </c>
      <c r="J2151" t="s">
        <v>28</v>
      </c>
      <c r="K2151" t="s">
        <v>33</v>
      </c>
      <c r="L2151">
        <f t="shared" si="99"/>
        <v>2023</v>
      </c>
      <c r="M2151" t="str">
        <f t="shared" si="100"/>
        <v>Oct</v>
      </c>
      <c r="N2151" s="2">
        <f t="shared" si="101"/>
        <v>9.2811540169563347E-2</v>
      </c>
    </row>
    <row r="2152" spans="1:14" x14ac:dyDescent="0.45">
      <c r="A2152" t="s">
        <v>4125</v>
      </c>
      <c r="B2152" s="1">
        <v>45073</v>
      </c>
      <c r="C2152" t="s">
        <v>4126</v>
      </c>
      <c r="D2152" t="s">
        <v>56</v>
      </c>
      <c r="E2152" t="s">
        <v>14</v>
      </c>
      <c r="F2152" t="s">
        <v>57</v>
      </c>
      <c r="G2152">
        <v>5</v>
      </c>
      <c r="H2152">
        <v>31681.83</v>
      </c>
      <c r="I2152">
        <v>6985.95</v>
      </c>
      <c r="J2152" t="s">
        <v>22</v>
      </c>
      <c r="K2152" t="s">
        <v>17</v>
      </c>
      <c r="L2152">
        <f t="shared" si="99"/>
        <v>2023</v>
      </c>
      <c r="M2152" t="str">
        <f t="shared" si="100"/>
        <v>May</v>
      </c>
      <c r="N2152" s="2">
        <f t="shared" si="101"/>
        <v>0.22050336107478638</v>
      </c>
    </row>
    <row r="2153" spans="1:14" x14ac:dyDescent="0.45">
      <c r="A2153" t="s">
        <v>4127</v>
      </c>
      <c r="B2153" s="1">
        <v>45587</v>
      </c>
      <c r="C2153" t="s">
        <v>3833</v>
      </c>
      <c r="D2153" t="s">
        <v>13</v>
      </c>
      <c r="E2153" t="s">
        <v>14</v>
      </c>
      <c r="F2153" t="s">
        <v>57</v>
      </c>
      <c r="G2153">
        <v>2</v>
      </c>
      <c r="H2153">
        <v>35532.06</v>
      </c>
      <c r="I2153">
        <v>2352.9299999999998</v>
      </c>
      <c r="J2153" t="s">
        <v>47</v>
      </c>
      <c r="K2153" t="s">
        <v>23</v>
      </c>
      <c r="L2153">
        <f t="shared" si="99"/>
        <v>2024</v>
      </c>
      <c r="M2153" t="str">
        <f t="shared" si="100"/>
        <v>Oct</v>
      </c>
      <c r="N2153" s="2">
        <f t="shared" si="101"/>
        <v>6.6219915197711587E-2</v>
      </c>
    </row>
    <row r="2154" spans="1:14" x14ac:dyDescent="0.45">
      <c r="A2154" t="s">
        <v>4128</v>
      </c>
      <c r="B2154" s="1">
        <v>45352</v>
      </c>
      <c r="C2154" t="s">
        <v>1555</v>
      </c>
      <c r="D2154" t="s">
        <v>13</v>
      </c>
      <c r="E2154" t="s">
        <v>14</v>
      </c>
      <c r="F2154" t="s">
        <v>40</v>
      </c>
      <c r="G2154">
        <v>1</v>
      </c>
      <c r="H2154">
        <v>31166.09</v>
      </c>
      <c r="I2154">
        <v>4199.22</v>
      </c>
      <c r="J2154" t="s">
        <v>47</v>
      </c>
      <c r="K2154" t="s">
        <v>33</v>
      </c>
      <c r="L2154">
        <f t="shared" si="99"/>
        <v>2024</v>
      </c>
      <c r="M2154" t="str">
        <f t="shared" si="100"/>
        <v>Mar</v>
      </c>
      <c r="N2154" s="2">
        <f t="shared" si="101"/>
        <v>0.13473682454231506</v>
      </c>
    </row>
    <row r="2155" spans="1:14" x14ac:dyDescent="0.45">
      <c r="A2155" t="s">
        <v>4129</v>
      </c>
      <c r="B2155" s="1">
        <v>45349</v>
      </c>
      <c r="C2155" t="s">
        <v>4130</v>
      </c>
      <c r="D2155" t="s">
        <v>13</v>
      </c>
      <c r="E2155" t="s">
        <v>20</v>
      </c>
      <c r="F2155" t="s">
        <v>50</v>
      </c>
      <c r="G2155">
        <v>1</v>
      </c>
      <c r="H2155">
        <v>38075.919999999998</v>
      </c>
      <c r="I2155">
        <v>3768.77</v>
      </c>
      <c r="J2155" t="s">
        <v>28</v>
      </c>
      <c r="K2155" t="s">
        <v>33</v>
      </c>
      <c r="L2155">
        <f t="shared" si="99"/>
        <v>2024</v>
      </c>
      <c r="M2155" t="str">
        <f t="shared" si="100"/>
        <v>Feb</v>
      </c>
      <c r="N2155" s="2">
        <f t="shared" si="101"/>
        <v>9.8980405463610602E-2</v>
      </c>
    </row>
    <row r="2156" spans="1:14" x14ac:dyDescent="0.45">
      <c r="A2156" t="s">
        <v>4131</v>
      </c>
      <c r="B2156" s="1">
        <v>44650</v>
      </c>
      <c r="C2156" t="s">
        <v>4132</v>
      </c>
      <c r="D2156" t="s">
        <v>13</v>
      </c>
      <c r="E2156" t="s">
        <v>14</v>
      </c>
      <c r="F2156" t="s">
        <v>32</v>
      </c>
      <c r="G2156">
        <v>1</v>
      </c>
      <c r="H2156">
        <v>11287.52</v>
      </c>
      <c r="I2156">
        <v>2251.25</v>
      </c>
      <c r="J2156" t="s">
        <v>71</v>
      </c>
      <c r="K2156" t="s">
        <v>33</v>
      </c>
      <c r="L2156">
        <f t="shared" si="99"/>
        <v>2022</v>
      </c>
      <c r="M2156" t="str">
        <f t="shared" si="100"/>
        <v>Mar</v>
      </c>
      <c r="N2156" s="2">
        <f t="shared" si="101"/>
        <v>0.19944593675138558</v>
      </c>
    </row>
    <row r="2157" spans="1:14" x14ac:dyDescent="0.45">
      <c r="A2157" t="s">
        <v>4133</v>
      </c>
      <c r="B2157" s="1">
        <v>45126</v>
      </c>
      <c r="C2157" t="s">
        <v>4134</v>
      </c>
      <c r="D2157" t="s">
        <v>56</v>
      </c>
      <c r="E2157" t="s">
        <v>14</v>
      </c>
      <c r="F2157" t="s">
        <v>57</v>
      </c>
      <c r="G2157">
        <v>4</v>
      </c>
      <c r="H2157">
        <v>23397.05</v>
      </c>
      <c r="I2157">
        <v>1435.49</v>
      </c>
      <c r="J2157" t="s">
        <v>16</v>
      </c>
      <c r="K2157" t="s">
        <v>23</v>
      </c>
      <c r="L2157">
        <f t="shared" si="99"/>
        <v>2023</v>
      </c>
      <c r="M2157" t="str">
        <f t="shared" si="100"/>
        <v>Jul</v>
      </c>
      <c r="N2157" s="2">
        <f t="shared" si="101"/>
        <v>6.1353461226949554E-2</v>
      </c>
    </row>
    <row r="2158" spans="1:14" x14ac:dyDescent="0.45">
      <c r="A2158" t="s">
        <v>4135</v>
      </c>
      <c r="B2158" s="1">
        <v>44902</v>
      </c>
      <c r="C2158" t="s">
        <v>4136</v>
      </c>
      <c r="D2158" t="s">
        <v>26</v>
      </c>
      <c r="E2158" t="s">
        <v>20</v>
      </c>
      <c r="F2158" t="s">
        <v>50</v>
      </c>
      <c r="G2158">
        <v>4</v>
      </c>
      <c r="H2158">
        <v>33795.18</v>
      </c>
      <c r="I2158">
        <v>8281.8700000000008</v>
      </c>
      <c r="J2158" t="s">
        <v>16</v>
      </c>
      <c r="K2158" t="s">
        <v>33</v>
      </c>
      <c r="L2158">
        <f t="shared" si="99"/>
        <v>2022</v>
      </c>
      <c r="M2158" t="str">
        <f t="shared" si="100"/>
        <v>Dec</v>
      </c>
      <c r="N2158" s="2">
        <f t="shared" si="101"/>
        <v>0.24506068616885604</v>
      </c>
    </row>
    <row r="2159" spans="1:14" x14ac:dyDescent="0.45">
      <c r="A2159" t="s">
        <v>4137</v>
      </c>
      <c r="B2159" s="1">
        <v>44930</v>
      </c>
      <c r="C2159" t="s">
        <v>3521</v>
      </c>
      <c r="D2159" t="s">
        <v>13</v>
      </c>
      <c r="E2159" t="s">
        <v>14</v>
      </c>
      <c r="F2159" t="s">
        <v>15</v>
      </c>
      <c r="G2159">
        <v>5</v>
      </c>
      <c r="H2159">
        <v>11110.21</v>
      </c>
      <c r="I2159">
        <v>2032.4</v>
      </c>
      <c r="J2159" t="s">
        <v>71</v>
      </c>
      <c r="K2159" t="s">
        <v>23</v>
      </c>
      <c r="L2159">
        <f t="shared" si="99"/>
        <v>2023</v>
      </c>
      <c r="M2159" t="str">
        <f t="shared" si="100"/>
        <v>Jan</v>
      </c>
      <c r="N2159" s="2">
        <f t="shared" si="101"/>
        <v>0.18293083569077453</v>
      </c>
    </row>
    <row r="2160" spans="1:14" x14ac:dyDescent="0.45">
      <c r="A2160" t="s">
        <v>4138</v>
      </c>
      <c r="B2160" s="1">
        <v>44896</v>
      </c>
      <c r="C2160" t="s">
        <v>3306</v>
      </c>
      <c r="D2160" t="s">
        <v>26</v>
      </c>
      <c r="E2160" t="s">
        <v>36</v>
      </c>
      <c r="F2160" t="s">
        <v>37</v>
      </c>
      <c r="G2160">
        <v>2</v>
      </c>
      <c r="H2160">
        <v>7406.09</v>
      </c>
      <c r="I2160">
        <v>378.79</v>
      </c>
      <c r="J2160" t="s">
        <v>28</v>
      </c>
      <c r="K2160" t="s">
        <v>23</v>
      </c>
      <c r="L2160">
        <f t="shared" si="99"/>
        <v>2022</v>
      </c>
      <c r="M2160" t="str">
        <f t="shared" si="100"/>
        <v>Dec</v>
      </c>
      <c r="N2160" s="2">
        <f t="shared" si="101"/>
        <v>5.1145746270974297E-2</v>
      </c>
    </row>
    <row r="2161" spans="1:14" x14ac:dyDescent="0.45">
      <c r="A2161" t="s">
        <v>4139</v>
      </c>
      <c r="B2161" s="1">
        <v>44619</v>
      </c>
      <c r="C2161" t="s">
        <v>4140</v>
      </c>
      <c r="D2161" t="s">
        <v>56</v>
      </c>
      <c r="E2161" t="s">
        <v>20</v>
      </c>
      <c r="F2161" t="s">
        <v>50</v>
      </c>
      <c r="G2161">
        <v>4</v>
      </c>
      <c r="H2161">
        <v>5561.43</v>
      </c>
      <c r="I2161">
        <v>728.77</v>
      </c>
      <c r="J2161" t="s">
        <v>71</v>
      </c>
      <c r="K2161" t="s">
        <v>33</v>
      </c>
      <c r="L2161">
        <f t="shared" si="99"/>
        <v>2022</v>
      </c>
      <c r="M2161" t="str">
        <f t="shared" si="100"/>
        <v>Feb</v>
      </c>
      <c r="N2161" s="2">
        <f t="shared" si="101"/>
        <v>0.13104003826354013</v>
      </c>
    </row>
    <row r="2162" spans="1:14" x14ac:dyDescent="0.45">
      <c r="A2162" t="s">
        <v>4141</v>
      </c>
      <c r="B2162" s="1">
        <v>45259</v>
      </c>
      <c r="C2162" t="s">
        <v>4142</v>
      </c>
      <c r="D2162" t="s">
        <v>26</v>
      </c>
      <c r="E2162" t="s">
        <v>14</v>
      </c>
      <c r="F2162" t="s">
        <v>57</v>
      </c>
      <c r="G2162">
        <v>3</v>
      </c>
      <c r="H2162">
        <v>3863.43</v>
      </c>
      <c r="I2162">
        <v>645.84</v>
      </c>
      <c r="J2162" t="s">
        <v>22</v>
      </c>
      <c r="K2162" t="s">
        <v>17</v>
      </c>
      <c r="L2162">
        <f t="shared" si="99"/>
        <v>2023</v>
      </c>
      <c r="M2162" t="str">
        <f t="shared" si="100"/>
        <v>Nov</v>
      </c>
      <c r="N2162" s="2">
        <f t="shared" si="101"/>
        <v>0.1671675169473758</v>
      </c>
    </row>
    <row r="2163" spans="1:14" x14ac:dyDescent="0.45">
      <c r="A2163" t="s">
        <v>4143</v>
      </c>
      <c r="B2163" s="1">
        <v>45342</v>
      </c>
      <c r="C2163" t="s">
        <v>1975</v>
      </c>
      <c r="D2163" t="s">
        <v>56</v>
      </c>
      <c r="E2163" t="s">
        <v>20</v>
      </c>
      <c r="F2163" t="s">
        <v>27</v>
      </c>
      <c r="G2163">
        <v>1</v>
      </c>
      <c r="H2163">
        <v>27202.27</v>
      </c>
      <c r="I2163">
        <v>1928.19</v>
      </c>
      <c r="J2163" t="s">
        <v>16</v>
      </c>
      <c r="K2163" t="s">
        <v>23</v>
      </c>
      <c r="L2163">
        <f t="shared" si="99"/>
        <v>2024</v>
      </c>
      <c r="M2163" t="str">
        <f t="shared" si="100"/>
        <v>Feb</v>
      </c>
      <c r="N2163" s="2">
        <f t="shared" si="101"/>
        <v>7.0883422596717108E-2</v>
      </c>
    </row>
    <row r="2164" spans="1:14" x14ac:dyDescent="0.45">
      <c r="A2164" t="s">
        <v>4144</v>
      </c>
      <c r="B2164" s="1">
        <v>45521</v>
      </c>
      <c r="C2164" t="s">
        <v>4145</v>
      </c>
      <c r="D2164" t="s">
        <v>26</v>
      </c>
      <c r="E2164" t="s">
        <v>14</v>
      </c>
      <c r="F2164" t="s">
        <v>40</v>
      </c>
      <c r="G2164">
        <v>5</v>
      </c>
      <c r="H2164">
        <v>38730.75</v>
      </c>
      <c r="I2164">
        <v>9377.1299999999992</v>
      </c>
      <c r="J2164" t="s">
        <v>22</v>
      </c>
      <c r="K2164" t="s">
        <v>23</v>
      </c>
      <c r="L2164">
        <f t="shared" si="99"/>
        <v>2024</v>
      </c>
      <c r="M2164" t="str">
        <f t="shared" si="100"/>
        <v>Aug</v>
      </c>
      <c r="N2164" s="2">
        <f t="shared" si="101"/>
        <v>0.24211072597354813</v>
      </c>
    </row>
    <row r="2165" spans="1:14" x14ac:dyDescent="0.45">
      <c r="A2165" t="s">
        <v>4146</v>
      </c>
      <c r="B2165" s="1">
        <v>44801</v>
      </c>
      <c r="C2165" t="s">
        <v>4147</v>
      </c>
      <c r="D2165" t="s">
        <v>26</v>
      </c>
      <c r="E2165" t="s">
        <v>14</v>
      </c>
      <c r="F2165" t="s">
        <v>57</v>
      </c>
      <c r="G2165">
        <v>3</v>
      </c>
      <c r="H2165">
        <v>793.35</v>
      </c>
      <c r="I2165">
        <v>112.64</v>
      </c>
      <c r="J2165" t="s">
        <v>16</v>
      </c>
      <c r="K2165" t="s">
        <v>17</v>
      </c>
      <c r="L2165">
        <f t="shared" si="99"/>
        <v>2022</v>
      </c>
      <c r="M2165" t="str">
        <f t="shared" si="100"/>
        <v>Aug</v>
      </c>
      <c r="N2165" s="2">
        <f t="shared" si="101"/>
        <v>0.14198021049977941</v>
      </c>
    </row>
    <row r="2166" spans="1:14" x14ac:dyDescent="0.45">
      <c r="A2166" t="s">
        <v>4148</v>
      </c>
      <c r="B2166" s="1">
        <v>44593</v>
      </c>
      <c r="C2166" t="s">
        <v>1504</v>
      </c>
      <c r="D2166" t="s">
        <v>26</v>
      </c>
      <c r="E2166" t="s">
        <v>36</v>
      </c>
      <c r="F2166" t="s">
        <v>37</v>
      </c>
      <c r="G2166">
        <v>3</v>
      </c>
      <c r="H2166">
        <v>48577.97</v>
      </c>
      <c r="I2166">
        <v>2540.9499999999998</v>
      </c>
      <c r="J2166" t="s">
        <v>47</v>
      </c>
      <c r="K2166" t="s">
        <v>33</v>
      </c>
      <c r="L2166">
        <f t="shared" si="99"/>
        <v>2022</v>
      </c>
      <c r="M2166" t="str">
        <f t="shared" si="100"/>
        <v>Feb</v>
      </c>
      <c r="N2166" s="2">
        <f t="shared" si="101"/>
        <v>5.2306631998002381E-2</v>
      </c>
    </row>
    <row r="2167" spans="1:14" x14ac:dyDescent="0.45">
      <c r="A2167" t="s">
        <v>4149</v>
      </c>
      <c r="B2167" s="1">
        <v>44819</v>
      </c>
      <c r="C2167" t="s">
        <v>4150</v>
      </c>
      <c r="D2167" t="s">
        <v>13</v>
      </c>
      <c r="E2167" t="s">
        <v>14</v>
      </c>
      <c r="F2167" t="s">
        <v>57</v>
      </c>
      <c r="G2167">
        <v>2</v>
      </c>
      <c r="H2167">
        <v>12130.91</v>
      </c>
      <c r="I2167">
        <v>674.96</v>
      </c>
      <c r="J2167" t="s">
        <v>16</v>
      </c>
      <c r="K2167" t="s">
        <v>23</v>
      </c>
      <c r="L2167">
        <f t="shared" si="99"/>
        <v>2022</v>
      </c>
      <c r="M2167" t="str">
        <f t="shared" si="100"/>
        <v>Sep</v>
      </c>
      <c r="N2167" s="2">
        <f t="shared" si="101"/>
        <v>5.5639684079759888E-2</v>
      </c>
    </row>
    <row r="2168" spans="1:14" x14ac:dyDescent="0.45">
      <c r="A2168" t="s">
        <v>4151</v>
      </c>
      <c r="B2168" s="1">
        <v>45506</v>
      </c>
      <c r="C2168" t="s">
        <v>4152</v>
      </c>
      <c r="D2168" t="s">
        <v>56</v>
      </c>
      <c r="E2168" t="s">
        <v>14</v>
      </c>
      <c r="F2168" t="s">
        <v>15</v>
      </c>
      <c r="G2168">
        <v>5</v>
      </c>
      <c r="H2168">
        <v>24104.79</v>
      </c>
      <c r="I2168">
        <v>4475.24</v>
      </c>
      <c r="J2168" t="s">
        <v>28</v>
      </c>
      <c r="K2168" t="s">
        <v>17</v>
      </c>
      <c r="L2168">
        <f t="shared" si="99"/>
        <v>2024</v>
      </c>
      <c r="M2168" t="str">
        <f t="shared" si="100"/>
        <v>Aug</v>
      </c>
      <c r="N2168" s="2">
        <f t="shared" si="101"/>
        <v>0.18565770537722998</v>
      </c>
    </row>
    <row r="2169" spans="1:14" x14ac:dyDescent="0.45">
      <c r="A2169" t="s">
        <v>4153</v>
      </c>
      <c r="B2169" s="1">
        <v>45105</v>
      </c>
      <c r="C2169" t="s">
        <v>1382</v>
      </c>
      <c r="D2169" t="s">
        <v>56</v>
      </c>
      <c r="E2169" t="s">
        <v>14</v>
      </c>
      <c r="F2169" t="s">
        <v>57</v>
      </c>
      <c r="G2169">
        <v>5</v>
      </c>
      <c r="H2169">
        <v>18749.150000000001</v>
      </c>
      <c r="I2169">
        <v>2633.09</v>
      </c>
      <c r="J2169" t="s">
        <v>28</v>
      </c>
      <c r="K2169" t="s">
        <v>17</v>
      </c>
      <c r="L2169">
        <f t="shared" si="99"/>
        <v>2023</v>
      </c>
      <c r="M2169" t="str">
        <f t="shared" si="100"/>
        <v>Jun</v>
      </c>
      <c r="N2169" s="2">
        <f t="shared" si="101"/>
        <v>0.14043783318177092</v>
      </c>
    </row>
    <row r="2170" spans="1:14" x14ac:dyDescent="0.45">
      <c r="A2170" t="s">
        <v>4154</v>
      </c>
      <c r="B2170" s="1">
        <v>44988</v>
      </c>
      <c r="C2170" t="s">
        <v>4155</v>
      </c>
      <c r="D2170" t="s">
        <v>26</v>
      </c>
      <c r="E2170" t="s">
        <v>14</v>
      </c>
      <c r="F2170" t="s">
        <v>32</v>
      </c>
      <c r="G2170">
        <v>1</v>
      </c>
      <c r="H2170">
        <v>42711.77</v>
      </c>
      <c r="I2170">
        <v>4841.3</v>
      </c>
      <c r="J2170" t="s">
        <v>22</v>
      </c>
      <c r="K2170" t="s">
        <v>17</v>
      </c>
      <c r="L2170">
        <f t="shared" si="99"/>
        <v>2023</v>
      </c>
      <c r="M2170" t="str">
        <f t="shared" si="100"/>
        <v>Mar</v>
      </c>
      <c r="N2170" s="2">
        <f t="shared" si="101"/>
        <v>0.11334814736078605</v>
      </c>
    </row>
    <row r="2171" spans="1:14" x14ac:dyDescent="0.45">
      <c r="A2171" t="s">
        <v>4156</v>
      </c>
      <c r="B2171" s="1">
        <v>45406</v>
      </c>
      <c r="C2171" t="s">
        <v>3446</v>
      </c>
      <c r="D2171" t="s">
        <v>13</v>
      </c>
      <c r="E2171" t="s">
        <v>36</v>
      </c>
      <c r="F2171" t="s">
        <v>37</v>
      </c>
      <c r="G2171">
        <v>1</v>
      </c>
      <c r="H2171">
        <v>17947.150000000001</v>
      </c>
      <c r="I2171">
        <v>1046.1600000000001</v>
      </c>
      <c r="J2171" t="s">
        <v>16</v>
      </c>
      <c r="K2171" t="s">
        <v>17</v>
      </c>
      <c r="L2171">
        <f t="shared" si="99"/>
        <v>2024</v>
      </c>
      <c r="M2171" t="str">
        <f t="shared" si="100"/>
        <v>Apr</v>
      </c>
      <c r="N2171" s="2">
        <f t="shared" si="101"/>
        <v>5.8291149291113072E-2</v>
      </c>
    </row>
    <row r="2172" spans="1:14" x14ac:dyDescent="0.45">
      <c r="A2172" t="s">
        <v>4157</v>
      </c>
      <c r="B2172" s="1">
        <v>45425</v>
      </c>
      <c r="C2172" t="s">
        <v>4158</v>
      </c>
      <c r="D2172" t="s">
        <v>56</v>
      </c>
      <c r="E2172" t="s">
        <v>14</v>
      </c>
      <c r="F2172" t="s">
        <v>57</v>
      </c>
      <c r="G2172">
        <v>1</v>
      </c>
      <c r="H2172">
        <v>38172.199999999997</v>
      </c>
      <c r="I2172">
        <v>4699.37</v>
      </c>
      <c r="J2172" t="s">
        <v>16</v>
      </c>
      <c r="K2172" t="s">
        <v>29</v>
      </c>
      <c r="L2172">
        <f t="shared" si="99"/>
        <v>2024</v>
      </c>
      <c r="M2172" t="str">
        <f t="shared" si="100"/>
        <v>May</v>
      </c>
      <c r="N2172" s="2">
        <f t="shared" si="101"/>
        <v>0.12310975002750693</v>
      </c>
    </row>
    <row r="2173" spans="1:14" x14ac:dyDescent="0.45">
      <c r="A2173" t="s">
        <v>4159</v>
      </c>
      <c r="B2173" s="1">
        <v>45158</v>
      </c>
      <c r="C2173" t="s">
        <v>128</v>
      </c>
      <c r="D2173" t="s">
        <v>13</v>
      </c>
      <c r="E2173" t="s">
        <v>36</v>
      </c>
      <c r="F2173" t="s">
        <v>53</v>
      </c>
      <c r="G2173">
        <v>5</v>
      </c>
      <c r="H2173">
        <v>12040.67</v>
      </c>
      <c r="I2173">
        <v>2756.98</v>
      </c>
      <c r="J2173" t="s">
        <v>28</v>
      </c>
      <c r="K2173" t="s">
        <v>23</v>
      </c>
      <c r="L2173">
        <f t="shared" si="99"/>
        <v>2023</v>
      </c>
      <c r="M2173" t="str">
        <f t="shared" si="100"/>
        <v>Aug</v>
      </c>
      <c r="N2173" s="2">
        <f t="shared" si="101"/>
        <v>0.22897230801940424</v>
      </c>
    </row>
    <row r="2174" spans="1:14" x14ac:dyDescent="0.45">
      <c r="A2174" t="s">
        <v>4160</v>
      </c>
      <c r="B2174" s="1">
        <v>45297</v>
      </c>
      <c r="C2174" t="s">
        <v>4161</v>
      </c>
      <c r="D2174" t="s">
        <v>56</v>
      </c>
      <c r="E2174" t="s">
        <v>20</v>
      </c>
      <c r="F2174" t="s">
        <v>43</v>
      </c>
      <c r="G2174">
        <v>3</v>
      </c>
      <c r="H2174">
        <v>20842.560000000001</v>
      </c>
      <c r="I2174">
        <v>3977.28</v>
      </c>
      <c r="J2174" t="s">
        <v>28</v>
      </c>
      <c r="K2174" t="s">
        <v>17</v>
      </c>
      <c r="L2174">
        <f t="shared" si="99"/>
        <v>2024</v>
      </c>
      <c r="M2174" t="str">
        <f t="shared" si="100"/>
        <v>Jan</v>
      </c>
      <c r="N2174" s="2">
        <f t="shared" si="101"/>
        <v>0.19082492745612822</v>
      </c>
    </row>
    <row r="2175" spans="1:14" x14ac:dyDescent="0.45">
      <c r="A2175" t="s">
        <v>4162</v>
      </c>
      <c r="B2175" s="1">
        <v>44630</v>
      </c>
      <c r="C2175" t="s">
        <v>4163</v>
      </c>
      <c r="D2175" t="s">
        <v>26</v>
      </c>
      <c r="E2175" t="s">
        <v>20</v>
      </c>
      <c r="F2175" t="s">
        <v>50</v>
      </c>
      <c r="G2175">
        <v>1</v>
      </c>
      <c r="H2175">
        <v>24009.64</v>
      </c>
      <c r="I2175">
        <v>2775.98</v>
      </c>
      <c r="J2175" t="s">
        <v>22</v>
      </c>
      <c r="K2175" t="s">
        <v>33</v>
      </c>
      <c r="L2175">
        <f t="shared" si="99"/>
        <v>2022</v>
      </c>
      <c r="M2175" t="str">
        <f t="shared" si="100"/>
        <v>Mar</v>
      </c>
      <c r="N2175" s="2">
        <f t="shared" si="101"/>
        <v>0.11561939287719433</v>
      </c>
    </row>
    <row r="2176" spans="1:14" x14ac:dyDescent="0.45">
      <c r="A2176" t="s">
        <v>4164</v>
      </c>
      <c r="B2176" s="1">
        <v>45117</v>
      </c>
      <c r="C2176" t="s">
        <v>4165</v>
      </c>
      <c r="D2176" t="s">
        <v>13</v>
      </c>
      <c r="E2176" t="s">
        <v>36</v>
      </c>
      <c r="F2176" t="s">
        <v>37</v>
      </c>
      <c r="G2176">
        <v>4</v>
      </c>
      <c r="H2176">
        <v>45408.92</v>
      </c>
      <c r="I2176">
        <v>5928.77</v>
      </c>
      <c r="J2176" t="s">
        <v>28</v>
      </c>
      <c r="K2176" t="s">
        <v>23</v>
      </c>
      <c r="L2176">
        <f t="shared" si="99"/>
        <v>2023</v>
      </c>
      <c r="M2176" t="str">
        <f t="shared" si="100"/>
        <v>Jul</v>
      </c>
      <c r="N2176" s="2">
        <f t="shared" si="101"/>
        <v>0.13056399491553644</v>
      </c>
    </row>
    <row r="2177" spans="1:14" x14ac:dyDescent="0.45">
      <c r="A2177" t="s">
        <v>4166</v>
      </c>
      <c r="B2177" s="1">
        <v>44850</v>
      </c>
      <c r="C2177" t="s">
        <v>4167</v>
      </c>
      <c r="D2177" t="s">
        <v>13</v>
      </c>
      <c r="E2177" t="s">
        <v>20</v>
      </c>
      <c r="F2177" t="s">
        <v>43</v>
      </c>
      <c r="G2177">
        <v>1</v>
      </c>
      <c r="H2177">
        <v>42009.29</v>
      </c>
      <c r="I2177">
        <v>5048.08</v>
      </c>
      <c r="J2177" t="s">
        <v>16</v>
      </c>
      <c r="K2177" t="s">
        <v>17</v>
      </c>
      <c r="L2177">
        <f t="shared" si="99"/>
        <v>2022</v>
      </c>
      <c r="M2177" t="str">
        <f t="shared" si="100"/>
        <v>Oct</v>
      </c>
      <c r="N2177" s="2">
        <f t="shared" si="101"/>
        <v>0.12016580142154271</v>
      </c>
    </row>
    <row r="2178" spans="1:14" x14ac:dyDescent="0.45">
      <c r="A2178" t="s">
        <v>4168</v>
      </c>
      <c r="B2178" s="1">
        <v>45222</v>
      </c>
      <c r="C2178" t="s">
        <v>4169</v>
      </c>
      <c r="D2178" t="s">
        <v>26</v>
      </c>
      <c r="E2178" t="s">
        <v>20</v>
      </c>
      <c r="F2178" t="s">
        <v>50</v>
      </c>
      <c r="G2178">
        <v>2</v>
      </c>
      <c r="H2178">
        <v>8952.42</v>
      </c>
      <c r="I2178">
        <v>665.36</v>
      </c>
      <c r="J2178" t="s">
        <v>71</v>
      </c>
      <c r="K2178" t="s">
        <v>23</v>
      </c>
      <c r="L2178">
        <f t="shared" si="99"/>
        <v>2023</v>
      </c>
      <c r="M2178" t="str">
        <f t="shared" si="100"/>
        <v>Oct</v>
      </c>
      <c r="N2178" s="2">
        <f t="shared" si="101"/>
        <v>7.4321803490006055E-2</v>
      </c>
    </row>
    <row r="2179" spans="1:14" x14ac:dyDescent="0.45">
      <c r="A2179" t="s">
        <v>4170</v>
      </c>
      <c r="B2179" s="1">
        <v>44989</v>
      </c>
      <c r="C2179" t="s">
        <v>4171</v>
      </c>
      <c r="D2179" t="s">
        <v>26</v>
      </c>
      <c r="E2179" t="s">
        <v>14</v>
      </c>
      <c r="F2179" t="s">
        <v>32</v>
      </c>
      <c r="G2179">
        <v>1</v>
      </c>
      <c r="H2179">
        <v>1002.93</v>
      </c>
      <c r="I2179">
        <v>137.68</v>
      </c>
      <c r="J2179" t="s">
        <v>71</v>
      </c>
      <c r="K2179" t="s">
        <v>29</v>
      </c>
      <c r="L2179">
        <f t="shared" ref="L2179:L2242" si="102">YEAR(B2179 )</f>
        <v>2023</v>
      </c>
      <c r="M2179" t="str">
        <f t="shared" ref="M2179:M2242" si="103">TEXT(B2179,"MMM")</f>
        <v>Mar</v>
      </c>
      <c r="N2179" s="2">
        <f t="shared" ref="N2179:N2242" si="104">I2179 / H2179</f>
        <v>0.13727777611598019</v>
      </c>
    </row>
    <row r="2180" spans="1:14" x14ac:dyDescent="0.45">
      <c r="A2180" t="s">
        <v>4172</v>
      </c>
      <c r="B2180" s="1">
        <v>45404</v>
      </c>
      <c r="C2180" t="s">
        <v>4173</v>
      </c>
      <c r="D2180" t="s">
        <v>13</v>
      </c>
      <c r="E2180" t="s">
        <v>20</v>
      </c>
      <c r="F2180" t="s">
        <v>21</v>
      </c>
      <c r="G2180">
        <v>3</v>
      </c>
      <c r="H2180">
        <v>41565.33</v>
      </c>
      <c r="I2180">
        <v>4136.01</v>
      </c>
      <c r="J2180" t="s">
        <v>22</v>
      </c>
      <c r="K2180" t="s">
        <v>23</v>
      </c>
      <c r="L2180">
        <f t="shared" si="102"/>
        <v>2024</v>
      </c>
      <c r="M2180" t="str">
        <f t="shared" si="103"/>
        <v>Apr</v>
      </c>
      <c r="N2180" s="2">
        <f t="shared" si="104"/>
        <v>9.9506247153577268E-2</v>
      </c>
    </row>
    <row r="2181" spans="1:14" x14ac:dyDescent="0.45">
      <c r="A2181" t="s">
        <v>4174</v>
      </c>
      <c r="B2181" s="1">
        <v>45311</v>
      </c>
      <c r="C2181" t="s">
        <v>4175</v>
      </c>
      <c r="D2181" t="s">
        <v>56</v>
      </c>
      <c r="E2181" t="s">
        <v>36</v>
      </c>
      <c r="F2181" t="s">
        <v>64</v>
      </c>
      <c r="G2181">
        <v>4</v>
      </c>
      <c r="H2181">
        <v>17707.63</v>
      </c>
      <c r="I2181">
        <v>3677.86</v>
      </c>
      <c r="J2181" t="s">
        <v>47</v>
      </c>
      <c r="K2181" t="s">
        <v>23</v>
      </c>
      <c r="L2181">
        <f t="shared" si="102"/>
        <v>2024</v>
      </c>
      <c r="M2181" t="str">
        <f t="shared" si="103"/>
        <v>Jan</v>
      </c>
      <c r="N2181" s="2">
        <f t="shared" si="104"/>
        <v>0.20769916696926691</v>
      </c>
    </row>
    <row r="2182" spans="1:14" x14ac:dyDescent="0.45">
      <c r="A2182" t="s">
        <v>4176</v>
      </c>
      <c r="B2182" s="1">
        <v>44820</v>
      </c>
      <c r="C2182" t="s">
        <v>4177</v>
      </c>
      <c r="D2182" t="s">
        <v>13</v>
      </c>
      <c r="E2182" t="s">
        <v>20</v>
      </c>
      <c r="F2182" t="s">
        <v>50</v>
      </c>
      <c r="G2182">
        <v>5</v>
      </c>
      <c r="H2182">
        <v>32695.61</v>
      </c>
      <c r="I2182">
        <v>7098.17</v>
      </c>
      <c r="J2182" t="s">
        <v>71</v>
      </c>
      <c r="K2182" t="s">
        <v>29</v>
      </c>
      <c r="L2182">
        <f t="shared" si="102"/>
        <v>2022</v>
      </c>
      <c r="M2182" t="str">
        <f t="shared" si="103"/>
        <v>Sep</v>
      </c>
      <c r="N2182" s="2">
        <f t="shared" si="104"/>
        <v>0.21709856460852084</v>
      </c>
    </row>
    <row r="2183" spans="1:14" x14ac:dyDescent="0.45">
      <c r="A2183" t="s">
        <v>4178</v>
      </c>
      <c r="B2183" s="1">
        <v>44674</v>
      </c>
      <c r="C2183" t="s">
        <v>4179</v>
      </c>
      <c r="D2183" t="s">
        <v>13</v>
      </c>
      <c r="E2183" t="s">
        <v>20</v>
      </c>
      <c r="F2183" t="s">
        <v>50</v>
      </c>
      <c r="G2183">
        <v>3</v>
      </c>
      <c r="H2183">
        <v>37943.94</v>
      </c>
      <c r="I2183">
        <v>8989.5400000000009</v>
      </c>
      <c r="J2183" t="s">
        <v>47</v>
      </c>
      <c r="K2183" t="s">
        <v>33</v>
      </c>
      <c r="L2183">
        <f t="shared" si="102"/>
        <v>2022</v>
      </c>
      <c r="M2183" t="str">
        <f t="shared" si="103"/>
        <v>Apr</v>
      </c>
      <c r="N2183" s="2">
        <f t="shared" si="104"/>
        <v>0.23691635607688608</v>
      </c>
    </row>
    <row r="2184" spans="1:14" x14ac:dyDescent="0.45">
      <c r="A2184" t="s">
        <v>4180</v>
      </c>
      <c r="B2184" s="1">
        <v>44989</v>
      </c>
      <c r="C2184" t="s">
        <v>4181</v>
      </c>
      <c r="D2184" t="s">
        <v>56</v>
      </c>
      <c r="E2184" t="s">
        <v>14</v>
      </c>
      <c r="F2184" t="s">
        <v>15</v>
      </c>
      <c r="G2184">
        <v>3</v>
      </c>
      <c r="H2184">
        <v>35563.07</v>
      </c>
      <c r="I2184">
        <v>7055.17</v>
      </c>
      <c r="J2184" t="s">
        <v>22</v>
      </c>
      <c r="K2184" t="s">
        <v>29</v>
      </c>
      <c r="L2184">
        <f t="shared" si="102"/>
        <v>2023</v>
      </c>
      <c r="M2184" t="str">
        <f t="shared" si="103"/>
        <v>Mar</v>
      </c>
      <c r="N2184" s="2">
        <f t="shared" si="104"/>
        <v>0.19838472887745631</v>
      </c>
    </row>
    <row r="2185" spans="1:14" x14ac:dyDescent="0.45">
      <c r="A2185" t="s">
        <v>4182</v>
      </c>
      <c r="B2185" s="1">
        <v>45271</v>
      </c>
      <c r="C2185" t="s">
        <v>4183</v>
      </c>
      <c r="D2185" t="s">
        <v>26</v>
      </c>
      <c r="E2185" t="s">
        <v>14</v>
      </c>
      <c r="F2185" t="s">
        <v>15</v>
      </c>
      <c r="G2185">
        <v>3</v>
      </c>
      <c r="H2185">
        <v>46751.06</v>
      </c>
      <c r="I2185">
        <v>11101.04</v>
      </c>
      <c r="J2185" t="s">
        <v>22</v>
      </c>
      <c r="K2185" t="s">
        <v>33</v>
      </c>
      <c r="L2185">
        <f t="shared" si="102"/>
        <v>2023</v>
      </c>
      <c r="M2185" t="str">
        <f t="shared" si="103"/>
        <v>Dec</v>
      </c>
      <c r="N2185" s="2">
        <f t="shared" si="104"/>
        <v>0.23745001717608116</v>
      </c>
    </row>
    <row r="2186" spans="1:14" x14ac:dyDescent="0.45">
      <c r="A2186" t="s">
        <v>4184</v>
      </c>
      <c r="B2186" s="1">
        <v>44855</v>
      </c>
      <c r="C2186" t="s">
        <v>4080</v>
      </c>
      <c r="D2186" t="s">
        <v>13</v>
      </c>
      <c r="E2186" t="s">
        <v>14</v>
      </c>
      <c r="F2186" t="s">
        <v>57</v>
      </c>
      <c r="G2186">
        <v>3</v>
      </c>
      <c r="H2186">
        <v>41888.800000000003</v>
      </c>
      <c r="I2186">
        <v>2712.91</v>
      </c>
      <c r="J2186" t="s">
        <v>22</v>
      </c>
      <c r="K2186" t="s">
        <v>29</v>
      </c>
      <c r="L2186">
        <f t="shared" si="102"/>
        <v>2022</v>
      </c>
      <c r="M2186" t="str">
        <f t="shared" si="103"/>
        <v>Oct</v>
      </c>
      <c r="N2186" s="2">
        <f t="shared" si="104"/>
        <v>6.4764567139665011E-2</v>
      </c>
    </row>
    <row r="2187" spans="1:14" x14ac:dyDescent="0.45">
      <c r="A2187" t="s">
        <v>4185</v>
      </c>
      <c r="B2187" s="1">
        <v>45254</v>
      </c>
      <c r="C2187" t="s">
        <v>4186</v>
      </c>
      <c r="D2187" t="s">
        <v>13</v>
      </c>
      <c r="E2187" t="s">
        <v>20</v>
      </c>
      <c r="F2187" t="s">
        <v>21</v>
      </c>
      <c r="G2187">
        <v>1</v>
      </c>
      <c r="H2187">
        <v>35263.9</v>
      </c>
      <c r="I2187">
        <v>1829.76</v>
      </c>
      <c r="J2187" t="s">
        <v>71</v>
      </c>
      <c r="K2187" t="s">
        <v>17</v>
      </c>
      <c r="L2187">
        <f t="shared" si="102"/>
        <v>2023</v>
      </c>
      <c r="M2187" t="str">
        <f t="shared" si="103"/>
        <v>Nov</v>
      </c>
      <c r="N2187" s="2">
        <f t="shared" si="104"/>
        <v>5.1887624454470434E-2</v>
      </c>
    </row>
    <row r="2188" spans="1:14" x14ac:dyDescent="0.45">
      <c r="A2188" t="s">
        <v>4187</v>
      </c>
      <c r="B2188" s="1">
        <v>45176</v>
      </c>
      <c r="C2188" t="s">
        <v>4188</v>
      </c>
      <c r="D2188" t="s">
        <v>26</v>
      </c>
      <c r="E2188" t="s">
        <v>36</v>
      </c>
      <c r="F2188" t="s">
        <v>46</v>
      </c>
      <c r="G2188">
        <v>3</v>
      </c>
      <c r="H2188">
        <v>38819.599999999999</v>
      </c>
      <c r="I2188">
        <v>7899.57</v>
      </c>
      <c r="J2188" t="s">
        <v>28</v>
      </c>
      <c r="K2188" t="s">
        <v>33</v>
      </c>
      <c r="L2188">
        <f t="shared" si="102"/>
        <v>2023</v>
      </c>
      <c r="M2188" t="str">
        <f t="shared" si="103"/>
        <v>Sep</v>
      </c>
      <c r="N2188" s="2">
        <f t="shared" si="104"/>
        <v>0.20349436882399613</v>
      </c>
    </row>
    <row r="2189" spans="1:14" x14ac:dyDescent="0.45">
      <c r="A2189" t="s">
        <v>4189</v>
      </c>
      <c r="B2189" s="1">
        <v>45054</v>
      </c>
      <c r="C2189" t="s">
        <v>4190</v>
      </c>
      <c r="D2189" t="s">
        <v>56</v>
      </c>
      <c r="E2189" t="s">
        <v>14</v>
      </c>
      <c r="F2189" t="s">
        <v>32</v>
      </c>
      <c r="G2189">
        <v>2</v>
      </c>
      <c r="H2189">
        <v>12332</v>
      </c>
      <c r="I2189">
        <v>2234.0500000000002</v>
      </c>
      <c r="J2189" t="s">
        <v>71</v>
      </c>
      <c r="K2189" t="s">
        <v>33</v>
      </c>
      <c r="L2189">
        <f t="shared" si="102"/>
        <v>2023</v>
      </c>
      <c r="M2189" t="str">
        <f t="shared" si="103"/>
        <v>May</v>
      </c>
      <c r="N2189" s="2">
        <f t="shared" si="104"/>
        <v>0.18115877392150503</v>
      </c>
    </row>
    <row r="2190" spans="1:14" x14ac:dyDescent="0.45">
      <c r="A2190" t="s">
        <v>4191</v>
      </c>
      <c r="B2190" s="1">
        <v>44775</v>
      </c>
      <c r="C2190" t="s">
        <v>929</v>
      </c>
      <c r="D2190" t="s">
        <v>13</v>
      </c>
      <c r="E2190" t="s">
        <v>20</v>
      </c>
      <c r="F2190" t="s">
        <v>50</v>
      </c>
      <c r="G2190">
        <v>2</v>
      </c>
      <c r="H2190">
        <v>5441.92</v>
      </c>
      <c r="I2190">
        <v>1080.6500000000001</v>
      </c>
      <c r="J2190" t="s">
        <v>16</v>
      </c>
      <c r="K2190" t="s">
        <v>33</v>
      </c>
      <c r="L2190">
        <f t="shared" si="102"/>
        <v>2022</v>
      </c>
      <c r="M2190" t="str">
        <f t="shared" si="103"/>
        <v>Aug</v>
      </c>
      <c r="N2190" s="2">
        <f t="shared" si="104"/>
        <v>0.19857881041985184</v>
      </c>
    </row>
    <row r="2191" spans="1:14" x14ac:dyDescent="0.45">
      <c r="A2191" t="s">
        <v>4192</v>
      </c>
      <c r="B2191" s="1">
        <v>44912</v>
      </c>
      <c r="C2191" t="s">
        <v>4193</v>
      </c>
      <c r="D2191" t="s">
        <v>26</v>
      </c>
      <c r="E2191" t="s">
        <v>14</v>
      </c>
      <c r="F2191" t="s">
        <v>32</v>
      </c>
      <c r="G2191">
        <v>1</v>
      </c>
      <c r="H2191">
        <v>36785.42</v>
      </c>
      <c r="I2191">
        <v>6991.71</v>
      </c>
      <c r="J2191" t="s">
        <v>47</v>
      </c>
      <c r="K2191" t="s">
        <v>17</v>
      </c>
      <c r="L2191">
        <f t="shared" si="102"/>
        <v>2022</v>
      </c>
      <c r="M2191" t="str">
        <f t="shared" si="103"/>
        <v>Dec</v>
      </c>
      <c r="N2191" s="2">
        <f t="shared" si="104"/>
        <v>0.190067423452009</v>
      </c>
    </row>
    <row r="2192" spans="1:14" x14ac:dyDescent="0.45">
      <c r="A2192" t="s">
        <v>4194</v>
      </c>
      <c r="B2192" s="1">
        <v>45649</v>
      </c>
      <c r="C2192" t="s">
        <v>1898</v>
      </c>
      <c r="D2192" t="s">
        <v>56</v>
      </c>
      <c r="E2192" t="s">
        <v>20</v>
      </c>
      <c r="F2192" t="s">
        <v>21</v>
      </c>
      <c r="G2192">
        <v>5</v>
      </c>
      <c r="H2192">
        <v>22922.26</v>
      </c>
      <c r="I2192">
        <v>2588.23</v>
      </c>
      <c r="J2192" t="s">
        <v>28</v>
      </c>
      <c r="K2192" t="s">
        <v>33</v>
      </c>
      <c r="L2192">
        <f t="shared" si="102"/>
        <v>2024</v>
      </c>
      <c r="M2192" t="str">
        <f t="shared" si="103"/>
        <v>Dec</v>
      </c>
      <c r="N2192" s="2">
        <f t="shared" si="104"/>
        <v>0.11291338637638698</v>
      </c>
    </row>
    <row r="2193" spans="1:14" x14ac:dyDescent="0.45">
      <c r="A2193" t="s">
        <v>4195</v>
      </c>
      <c r="B2193" s="1">
        <v>45443</v>
      </c>
      <c r="C2193" t="s">
        <v>4196</v>
      </c>
      <c r="D2193" t="s">
        <v>13</v>
      </c>
      <c r="E2193" t="s">
        <v>14</v>
      </c>
      <c r="F2193" t="s">
        <v>15</v>
      </c>
      <c r="G2193">
        <v>5</v>
      </c>
      <c r="H2193">
        <v>5195.29</v>
      </c>
      <c r="I2193">
        <v>377.95</v>
      </c>
      <c r="J2193" t="s">
        <v>16</v>
      </c>
      <c r="K2193" t="s">
        <v>29</v>
      </c>
      <c r="L2193">
        <f t="shared" si="102"/>
        <v>2024</v>
      </c>
      <c r="M2193" t="str">
        <f t="shared" si="103"/>
        <v>May</v>
      </c>
      <c r="N2193" s="2">
        <f t="shared" si="104"/>
        <v>7.2748585738235977E-2</v>
      </c>
    </row>
    <row r="2194" spans="1:14" x14ac:dyDescent="0.45">
      <c r="A2194" t="s">
        <v>4197</v>
      </c>
      <c r="B2194" s="1">
        <v>45645</v>
      </c>
      <c r="C2194" t="s">
        <v>4198</v>
      </c>
      <c r="D2194" t="s">
        <v>26</v>
      </c>
      <c r="E2194" t="s">
        <v>14</v>
      </c>
      <c r="F2194" t="s">
        <v>57</v>
      </c>
      <c r="G2194">
        <v>4</v>
      </c>
      <c r="H2194">
        <v>44229.11</v>
      </c>
      <c r="I2194">
        <v>4764.8599999999997</v>
      </c>
      <c r="J2194" t="s">
        <v>28</v>
      </c>
      <c r="K2194" t="s">
        <v>17</v>
      </c>
      <c r="L2194">
        <f t="shared" si="102"/>
        <v>2024</v>
      </c>
      <c r="M2194" t="str">
        <f t="shared" si="103"/>
        <v>Dec</v>
      </c>
      <c r="N2194" s="2">
        <f t="shared" si="104"/>
        <v>0.10773131089456695</v>
      </c>
    </row>
    <row r="2195" spans="1:14" x14ac:dyDescent="0.45">
      <c r="A2195" t="s">
        <v>4199</v>
      </c>
      <c r="B2195" s="1">
        <v>44963</v>
      </c>
      <c r="C2195" t="s">
        <v>466</v>
      </c>
      <c r="D2195" t="s">
        <v>13</v>
      </c>
      <c r="E2195" t="s">
        <v>14</v>
      </c>
      <c r="F2195" t="s">
        <v>15</v>
      </c>
      <c r="G2195">
        <v>1</v>
      </c>
      <c r="H2195">
        <v>21552.14</v>
      </c>
      <c r="I2195">
        <v>5107.8500000000004</v>
      </c>
      <c r="J2195" t="s">
        <v>47</v>
      </c>
      <c r="K2195" t="s">
        <v>17</v>
      </c>
      <c r="L2195">
        <f t="shared" si="102"/>
        <v>2023</v>
      </c>
      <c r="M2195" t="str">
        <f t="shared" si="103"/>
        <v>Feb</v>
      </c>
      <c r="N2195" s="2">
        <f t="shared" si="104"/>
        <v>0.23699966685442839</v>
      </c>
    </row>
    <row r="2196" spans="1:14" x14ac:dyDescent="0.45">
      <c r="A2196" t="s">
        <v>4200</v>
      </c>
      <c r="B2196" s="1">
        <v>44759</v>
      </c>
      <c r="C2196" t="s">
        <v>4201</v>
      </c>
      <c r="D2196" t="s">
        <v>13</v>
      </c>
      <c r="E2196" t="s">
        <v>14</v>
      </c>
      <c r="F2196" t="s">
        <v>40</v>
      </c>
      <c r="G2196">
        <v>4</v>
      </c>
      <c r="H2196">
        <v>25680.799999999999</v>
      </c>
      <c r="I2196">
        <v>6051.97</v>
      </c>
      <c r="J2196" t="s">
        <v>71</v>
      </c>
      <c r="K2196" t="s">
        <v>33</v>
      </c>
      <c r="L2196">
        <f t="shared" si="102"/>
        <v>2022</v>
      </c>
      <c r="M2196" t="str">
        <f t="shared" si="103"/>
        <v>Jul</v>
      </c>
      <c r="N2196" s="2">
        <f t="shared" si="104"/>
        <v>0.23566127223450983</v>
      </c>
    </row>
    <row r="2197" spans="1:14" x14ac:dyDescent="0.45">
      <c r="A2197" t="s">
        <v>4202</v>
      </c>
      <c r="B2197" s="1">
        <v>44927</v>
      </c>
      <c r="C2197" t="s">
        <v>4203</v>
      </c>
      <c r="D2197" t="s">
        <v>26</v>
      </c>
      <c r="E2197" t="s">
        <v>36</v>
      </c>
      <c r="F2197" t="s">
        <v>53</v>
      </c>
      <c r="G2197">
        <v>2</v>
      </c>
      <c r="H2197">
        <v>22791.07</v>
      </c>
      <c r="I2197">
        <v>3389.45</v>
      </c>
      <c r="J2197" t="s">
        <v>71</v>
      </c>
      <c r="K2197" t="s">
        <v>17</v>
      </c>
      <c r="L2197">
        <f t="shared" si="102"/>
        <v>2023</v>
      </c>
      <c r="M2197" t="str">
        <f t="shared" si="103"/>
        <v>Jan</v>
      </c>
      <c r="N2197" s="2">
        <f t="shared" si="104"/>
        <v>0.14871833573412743</v>
      </c>
    </row>
    <row r="2198" spans="1:14" x14ac:dyDescent="0.45">
      <c r="A2198" t="s">
        <v>4204</v>
      </c>
      <c r="B2198" s="1">
        <v>44574</v>
      </c>
      <c r="C2198" t="s">
        <v>3709</v>
      </c>
      <c r="D2198" t="s">
        <v>13</v>
      </c>
      <c r="E2198" t="s">
        <v>14</v>
      </c>
      <c r="F2198" t="s">
        <v>40</v>
      </c>
      <c r="G2198">
        <v>3</v>
      </c>
      <c r="H2198">
        <v>11032.76</v>
      </c>
      <c r="I2198">
        <v>2275.06</v>
      </c>
      <c r="J2198" t="s">
        <v>28</v>
      </c>
      <c r="K2198" t="s">
        <v>17</v>
      </c>
      <c r="L2198">
        <f t="shared" si="102"/>
        <v>2022</v>
      </c>
      <c r="M2198" t="str">
        <f t="shared" si="103"/>
        <v>Jan</v>
      </c>
      <c r="N2198" s="2">
        <f t="shared" si="104"/>
        <v>0.20620950695927401</v>
      </c>
    </row>
    <row r="2199" spans="1:14" x14ac:dyDescent="0.45">
      <c r="A2199" t="s">
        <v>4205</v>
      </c>
      <c r="B2199" s="1">
        <v>44929</v>
      </c>
      <c r="C2199" t="s">
        <v>4206</v>
      </c>
      <c r="D2199" t="s">
        <v>26</v>
      </c>
      <c r="E2199" t="s">
        <v>14</v>
      </c>
      <c r="F2199" t="s">
        <v>57</v>
      </c>
      <c r="G2199">
        <v>2</v>
      </c>
      <c r="H2199">
        <v>46691</v>
      </c>
      <c r="I2199">
        <v>5983.36</v>
      </c>
      <c r="J2199" t="s">
        <v>71</v>
      </c>
      <c r="K2199" t="s">
        <v>29</v>
      </c>
      <c r="L2199">
        <f t="shared" si="102"/>
        <v>2023</v>
      </c>
      <c r="M2199" t="str">
        <f t="shared" si="103"/>
        <v>Jan</v>
      </c>
      <c r="N2199" s="2">
        <f t="shared" si="104"/>
        <v>0.12814803709494335</v>
      </c>
    </row>
    <row r="2200" spans="1:14" x14ac:dyDescent="0.45">
      <c r="A2200" t="s">
        <v>4207</v>
      </c>
      <c r="B2200" s="1">
        <v>44896</v>
      </c>
      <c r="C2200" t="s">
        <v>4208</v>
      </c>
      <c r="D2200" t="s">
        <v>13</v>
      </c>
      <c r="E2200" t="s">
        <v>36</v>
      </c>
      <c r="F2200" t="s">
        <v>37</v>
      </c>
      <c r="G2200">
        <v>1</v>
      </c>
      <c r="H2200">
        <v>8675.14</v>
      </c>
      <c r="I2200">
        <v>478.21</v>
      </c>
      <c r="J2200" t="s">
        <v>47</v>
      </c>
      <c r="K2200" t="s">
        <v>29</v>
      </c>
      <c r="L2200">
        <f t="shared" si="102"/>
        <v>2022</v>
      </c>
      <c r="M2200" t="str">
        <f t="shared" si="103"/>
        <v>Dec</v>
      </c>
      <c r="N2200" s="2">
        <f t="shared" si="104"/>
        <v>5.5124182433943431E-2</v>
      </c>
    </row>
    <row r="2201" spans="1:14" x14ac:dyDescent="0.45">
      <c r="A2201" t="s">
        <v>4209</v>
      </c>
      <c r="B2201" s="1">
        <v>45380</v>
      </c>
      <c r="C2201" t="s">
        <v>3356</v>
      </c>
      <c r="D2201" t="s">
        <v>26</v>
      </c>
      <c r="E2201" t="s">
        <v>20</v>
      </c>
      <c r="F2201" t="s">
        <v>50</v>
      </c>
      <c r="G2201">
        <v>5</v>
      </c>
      <c r="H2201">
        <v>42087.16</v>
      </c>
      <c r="I2201">
        <v>10077.77</v>
      </c>
      <c r="J2201" t="s">
        <v>71</v>
      </c>
      <c r="K2201" t="s">
        <v>17</v>
      </c>
      <c r="L2201">
        <f t="shared" si="102"/>
        <v>2024</v>
      </c>
      <c r="M2201" t="str">
        <f t="shared" si="103"/>
        <v>Mar</v>
      </c>
      <c r="N2201" s="2">
        <f t="shared" si="104"/>
        <v>0.23944998902278034</v>
      </c>
    </row>
    <row r="2202" spans="1:14" x14ac:dyDescent="0.45">
      <c r="A2202" t="s">
        <v>4210</v>
      </c>
      <c r="B2202" s="1">
        <v>45111</v>
      </c>
      <c r="C2202" t="s">
        <v>4211</v>
      </c>
      <c r="D2202" t="s">
        <v>26</v>
      </c>
      <c r="E2202" t="s">
        <v>36</v>
      </c>
      <c r="F2202" t="s">
        <v>53</v>
      </c>
      <c r="G2202">
        <v>5</v>
      </c>
      <c r="H2202">
        <v>14923.16</v>
      </c>
      <c r="I2202">
        <v>1846.75</v>
      </c>
      <c r="J2202" t="s">
        <v>47</v>
      </c>
      <c r="K2202" t="s">
        <v>23</v>
      </c>
      <c r="L2202">
        <f t="shared" si="102"/>
        <v>2023</v>
      </c>
      <c r="M2202" t="str">
        <f t="shared" si="103"/>
        <v>Jul</v>
      </c>
      <c r="N2202" s="2">
        <f t="shared" si="104"/>
        <v>0.1237505997389293</v>
      </c>
    </row>
    <row r="2203" spans="1:14" x14ac:dyDescent="0.45">
      <c r="A2203" t="s">
        <v>4212</v>
      </c>
      <c r="B2203" s="1">
        <v>44712</v>
      </c>
      <c r="C2203" t="s">
        <v>4213</v>
      </c>
      <c r="D2203" t="s">
        <v>13</v>
      </c>
      <c r="E2203" t="s">
        <v>36</v>
      </c>
      <c r="F2203" t="s">
        <v>64</v>
      </c>
      <c r="G2203">
        <v>5</v>
      </c>
      <c r="H2203">
        <v>23812.35</v>
      </c>
      <c r="I2203">
        <v>4747.72</v>
      </c>
      <c r="J2203" t="s">
        <v>47</v>
      </c>
      <c r="K2203" t="s">
        <v>33</v>
      </c>
      <c r="L2203">
        <f t="shared" si="102"/>
        <v>2022</v>
      </c>
      <c r="M2203" t="str">
        <f t="shared" si="103"/>
        <v>May</v>
      </c>
      <c r="N2203" s="2">
        <f t="shared" si="104"/>
        <v>0.19938057352592251</v>
      </c>
    </row>
    <row r="2204" spans="1:14" x14ac:dyDescent="0.45">
      <c r="A2204" t="s">
        <v>4214</v>
      </c>
      <c r="B2204" s="1">
        <v>44573</v>
      </c>
      <c r="C2204" t="s">
        <v>4215</v>
      </c>
      <c r="D2204" t="s">
        <v>13</v>
      </c>
      <c r="E2204" t="s">
        <v>20</v>
      </c>
      <c r="F2204" t="s">
        <v>50</v>
      </c>
      <c r="G2204">
        <v>5</v>
      </c>
      <c r="H2204">
        <v>22518.63</v>
      </c>
      <c r="I2204">
        <v>1447.25</v>
      </c>
      <c r="J2204" t="s">
        <v>22</v>
      </c>
      <c r="K2204" t="s">
        <v>23</v>
      </c>
      <c r="L2204">
        <f t="shared" si="102"/>
        <v>2022</v>
      </c>
      <c r="M2204" t="str">
        <f t="shared" si="103"/>
        <v>Jan</v>
      </c>
      <c r="N2204" s="2">
        <f t="shared" si="104"/>
        <v>6.4269007484025448E-2</v>
      </c>
    </row>
    <row r="2205" spans="1:14" x14ac:dyDescent="0.45">
      <c r="A2205" t="s">
        <v>4216</v>
      </c>
      <c r="B2205" s="1">
        <v>44591</v>
      </c>
      <c r="C2205" t="s">
        <v>4217</v>
      </c>
      <c r="D2205" t="s">
        <v>13</v>
      </c>
      <c r="E2205" t="s">
        <v>14</v>
      </c>
      <c r="F2205" t="s">
        <v>15</v>
      </c>
      <c r="G2205">
        <v>3</v>
      </c>
      <c r="H2205">
        <v>46081.87</v>
      </c>
      <c r="I2205">
        <v>10541.64</v>
      </c>
      <c r="J2205" t="s">
        <v>22</v>
      </c>
      <c r="K2205" t="s">
        <v>23</v>
      </c>
      <c r="L2205">
        <f t="shared" si="102"/>
        <v>2022</v>
      </c>
      <c r="M2205" t="str">
        <f t="shared" si="103"/>
        <v>Jan</v>
      </c>
      <c r="N2205" s="2">
        <f t="shared" si="104"/>
        <v>0.22875894576326869</v>
      </c>
    </row>
    <row r="2206" spans="1:14" x14ac:dyDescent="0.45">
      <c r="A2206" t="s">
        <v>4218</v>
      </c>
      <c r="B2206" s="1">
        <v>45310</v>
      </c>
      <c r="C2206" t="s">
        <v>4219</v>
      </c>
      <c r="D2206" t="s">
        <v>13</v>
      </c>
      <c r="E2206" t="s">
        <v>36</v>
      </c>
      <c r="F2206" t="s">
        <v>53</v>
      </c>
      <c r="G2206">
        <v>1</v>
      </c>
      <c r="H2206">
        <v>48663.38</v>
      </c>
      <c r="I2206">
        <v>7819.16</v>
      </c>
      <c r="J2206" t="s">
        <v>28</v>
      </c>
      <c r="K2206" t="s">
        <v>29</v>
      </c>
      <c r="L2206">
        <f t="shared" si="102"/>
        <v>2024</v>
      </c>
      <c r="M2206" t="str">
        <f t="shared" si="103"/>
        <v>Jan</v>
      </c>
      <c r="N2206" s="2">
        <f t="shared" si="104"/>
        <v>0.160678522535837</v>
      </c>
    </row>
    <row r="2207" spans="1:14" x14ac:dyDescent="0.45">
      <c r="A2207" t="s">
        <v>4220</v>
      </c>
      <c r="B2207" s="1">
        <v>45614</v>
      </c>
      <c r="C2207" t="s">
        <v>1884</v>
      </c>
      <c r="D2207" t="s">
        <v>13</v>
      </c>
      <c r="E2207" t="s">
        <v>20</v>
      </c>
      <c r="F2207" t="s">
        <v>27</v>
      </c>
      <c r="G2207">
        <v>4</v>
      </c>
      <c r="H2207">
        <v>3376.15</v>
      </c>
      <c r="I2207">
        <v>169.61</v>
      </c>
      <c r="J2207" t="s">
        <v>16</v>
      </c>
      <c r="K2207" t="s">
        <v>23</v>
      </c>
      <c r="L2207">
        <f t="shared" si="102"/>
        <v>2024</v>
      </c>
      <c r="M2207" t="str">
        <f t="shared" si="103"/>
        <v>Nov</v>
      </c>
      <c r="N2207" s="2">
        <f t="shared" si="104"/>
        <v>5.0237696784799259E-2</v>
      </c>
    </row>
    <row r="2208" spans="1:14" x14ac:dyDescent="0.45">
      <c r="A2208" t="s">
        <v>4221</v>
      </c>
      <c r="B2208" s="1">
        <v>44758</v>
      </c>
      <c r="C2208" t="s">
        <v>4222</v>
      </c>
      <c r="D2208" t="s">
        <v>56</v>
      </c>
      <c r="E2208" t="s">
        <v>14</v>
      </c>
      <c r="F2208" t="s">
        <v>40</v>
      </c>
      <c r="G2208">
        <v>4</v>
      </c>
      <c r="H2208">
        <v>25005.26</v>
      </c>
      <c r="I2208">
        <v>3776.29</v>
      </c>
      <c r="J2208" t="s">
        <v>16</v>
      </c>
      <c r="K2208" t="s">
        <v>17</v>
      </c>
      <c r="L2208">
        <f t="shared" si="102"/>
        <v>2022</v>
      </c>
      <c r="M2208" t="str">
        <f t="shared" si="103"/>
        <v>Jul</v>
      </c>
      <c r="N2208" s="2">
        <f t="shared" si="104"/>
        <v>0.1510198254287298</v>
      </c>
    </row>
    <row r="2209" spans="1:14" x14ac:dyDescent="0.45">
      <c r="A2209" t="s">
        <v>4223</v>
      </c>
      <c r="B2209" s="1">
        <v>44826</v>
      </c>
      <c r="C2209" t="s">
        <v>4224</v>
      </c>
      <c r="D2209" t="s">
        <v>26</v>
      </c>
      <c r="E2209" t="s">
        <v>36</v>
      </c>
      <c r="F2209" t="s">
        <v>46</v>
      </c>
      <c r="G2209">
        <v>3</v>
      </c>
      <c r="H2209">
        <v>2032.88</v>
      </c>
      <c r="I2209">
        <v>168.8</v>
      </c>
      <c r="J2209" t="s">
        <v>47</v>
      </c>
      <c r="K2209" t="s">
        <v>33</v>
      </c>
      <c r="L2209">
        <f t="shared" si="102"/>
        <v>2022</v>
      </c>
      <c r="M2209" t="str">
        <f t="shared" si="103"/>
        <v>Sep</v>
      </c>
      <c r="N2209" s="2">
        <f t="shared" si="104"/>
        <v>8.303490614300893E-2</v>
      </c>
    </row>
    <row r="2210" spans="1:14" x14ac:dyDescent="0.45">
      <c r="A2210" t="s">
        <v>4225</v>
      </c>
      <c r="B2210" s="1">
        <v>44652</v>
      </c>
      <c r="C2210" t="s">
        <v>4226</v>
      </c>
      <c r="D2210" t="s">
        <v>56</v>
      </c>
      <c r="E2210" t="s">
        <v>36</v>
      </c>
      <c r="F2210" t="s">
        <v>37</v>
      </c>
      <c r="G2210">
        <v>1</v>
      </c>
      <c r="H2210">
        <v>49602.91</v>
      </c>
      <c r="I2210">
        <v>11741.15</v>
      </c>
      <c r="J2210" t="s">
        <v>71</v>
      </c>
      <c r="K2210" t="s">
        <v>29</v>
      </c>
      <c r="L2210">
        <f t="shared" si="102"/>
        <v>2022</v>
      </c>
      <c r="M2210" t="str">
        <f t="shared" si="103"/>
        <v>Apr</v>
      </c>
      <c r="N2210" s="2">
        <f t="shared" si="104"/>
        <v>0.23670284666766525</v>
      </c>
    </row>
    <row r="2211" spans="1:14" x14ac:dyDescent="0.45">
      <c r="A2211" t="s">
        <v>4227</v>
      </c>
      <c r="B2211" s="1">
        <v>44742</v>
      </c>
      <c r="C2211" t="s">
        <v>4228</v>
      </c>
      <c r="D2211" t="s">
        <v>26</v>
      </c>
      <c r="E2211" t="s">
        <v>36</v>
      </c>
      <c r="F2211" t="s">
        <v>46</v>
      </c>
      <c r="G2211">
        <v>4</v>
      </c>
      <c r="H2211">
        <v>12034.22</v>
      </c>
      <c r="I2211">
        <v>2982.45</v>
      </c>
      <c r="J2211" t="s">
        <v>71</v>
      </c>
      <c r="K2211" t="s">
        <v>17</v>
      </c>
      <c r="L2211">
        <f t="shared" si="102"/>
        <v>2022</v>
      </c>
      <c r="M2211" t="str">
        <f t="shared" si="103"/>
        <v>Jun</v>
      </c>
      <c r="N2211" s="2">
        <f t="shared" si="104"/>
        <v>0.24783076925633735</v>
      </c>
    </row>
    <row r="2212" spans="1:14" x14ac:dyDescent="0.45">
      <c r="A2212" t="s">
        <v>4229</v>
      </c>
      <c r="B2212" s="1">
        <v>44719</v>
      </c>
      <c r="C2212" t="s">
        <v>4230</v>
      </c>
      <c r="D2212" t="s">
        <v>13</v>
      </c>
      <c r="E2212" t="s">
        <v>14</v>
      </c>
      <c r="F2212" t="s">
        <v>40</v>
      </c>
      <c r="G2212">
        <v>1</v>
      </c>
      <c r="H2212">
        <v>10005.719999999999</v>
      </c>
      <c r="I2212">
        <v>2038.97</v>
      </c>
      <c r="J2212" t="s">
        <v>16</v>
      </c>
      <c r="K2212" t="s">
        <v>17</v>
      </c>
      <c r="L2212">
        <f t="shared" si="102"/>
        <v>2022</v>
      </c>
      <c r="M2212" t="str">
        <f t="shared" si="103"/>
        <v>Jun</v>
      </c>
      <c r="N2212" s="2">
        <f t="shared" si="104"/>
        <v>0.20378043758969872</v>
      </c>
    </row>
    <row r="2213" spans="1:14" x14ac:dyDescent="0.45">
      <c r="A2213" t="s">
        <v>4231</v>
      </c>
      <c r="B2213" s="1">
        <v>44998</v>
      </c>
      <c r="C2213" t="s">
        <v>4232</v>
      </c>
      <c r="D2213" t="s">
        <v>26</v>
      </c>
      <c r="E2213" t="s">
        <v>36</v>
      </c>
      <c r="F2213" t="s">
        <v>53</v>
      </c>
      <c r="G2213">
        <v>2</v>
      </c>
      <c r="H2213">
        <v>44065.13</v>
      </c>
      <c r="I2213">
        <v>7739.46</v>
      </c>
      <c r="J2213" t="s">
        <v>47</v>
      </c>
      <c r="K2213" t="s">
        <v>33</v>
      </c>
      <c r="L2213">
        <f t="shared" si="102"/>
        <v>2023</v>
      </c>
      <c r="M2213" t="str">
        <f t="shared" si="103"/>
        <v>Mar</v>
      </c>
      <c r="N2213" s="2">
        <f t="shared" si="104"/>
        <v>0.17563683574744929</v>
      </c>
    </row>
    <row r="2214" spans="1:14" x14ac:dyDescent="0.45">
      <c r="A2214" t="s">
        <v>4233</v>
      </c>
      <c r="B2214" s="1">
        <v>44781</v>
      </c>
      <c r="C2214" t="s">
        <v>2559</v>
      </c>
      <c r="D2214" t="s">
        <v>56</v>
      </c>
      <c r="E2214" t="s">
        <v>20</v>
      </c>
      <c r="F2214" t="s">
        <v>21</v>
      </c>
      <c r="G2214">
        <v>4</v>
      </c>
      <c r="H2214">
        <v>38970.21</v>
      </c>
      <c r="I2214">
        <v>5625.89</v>
      </c>
      <c r="J2214" t="s">
        <v>22</v>
      </c>
      <c r="K2214" t="s">
        <v>23</v>
      </c>
      <c r="L2214">
        <f t="shared" si="102"/>
        <v>2022</v>
      </c>
      <c r="M2214" t="str">
        <f t="shared" si="103"/>
        <v>Aug</v>
      </c>
      <c r="N2214" s="2">
        <f t="shared" si="104"/>
        <v>0.14436386152396921</v>
      </c>
    </row>
    <row r="2215" spans="1:14" x14ac:dyDescent="0.45">
      <c r="A2215" t="s">
        <v>4234</v>
      </c>
      <c r="B2215" s="1">
        <v>44803</v>
      </c>
      <c r="C2215" t="s">
        <v>4235</v>
      </c>
      <c r="D2215" t="s">
        <v>26</v>
      </c>
      <c r="E2215" t="s">
        <v>20</v>
      </c>
      <c r="F2215" t="s">
        <v>43</v>
      </c>
      <c r="G2215">
        <v>1</v>
      </c>
      <c r="H2215">
        <v>39954.94</v>
      </c>
      <c r="I2215">
        <v>4211.7700000000004</v>
      </c>
      <c r="J2215" t="s">
        <v>47</v>
      </c>
      <c r="K2215" t="s">
        <v>29</v>
      </c>
      <c r="L2215">
        <f t="shared" si="102"/>
        <v>2022</v>
      </c>
      <c r="M2215" t="str">
        <f t="shared" si="103"/>
        <v>Aug</v>
      </c>
      <c r="N2215" s="2">
        <f t="shared" si="104"/>
        <v>0.10541299774195632</v>
      </c>
    </row>
    <row r="2216" spans="1:14" x14ac:dyDescent="0.45">
      <c r="A2216" t="s">
        <v>4236</v>
      </c>
      <c r="B2216" s="1">
        <v>45577</v>
      </c>
      <c r="C2216" t="s">
        <v>4237</v>
      </c>
      <c r="D2216" t="s">
        <v>26</v>
      </c>
      <c r="E2216" t="s">
        <v>20</v>
      </c>
      <c r="F2216" t="s">
        <v>50</v>
      </c>
      <c r="G2216">
        <v>3</v>
      </c>
      <c r="H2216">
        <v>36549.769999999997</v>
      </c>
      <c r="I2216">
        <v>7831.98</v>
      </c>
      <c r="J2216" t="s">
        <v>47</v>
      </c>
      <c r="K2216" t="s">
        <v>33</v>
      </c>
      <c r="L2216">
        <f t="shared" si="102"/>
        <v>2024</v>
      </c>
      <c r="M2216" t="str">
        <f t="shared" si="103"/>
        <v>Oct</v>
      </c>
      <c r="N2216" s="2">
        <f t="shared" si="104"/>
        <v>0.21428260697673338</v>
      </c>
    </row>
    <row r="2217" spans="1:14" x14ac:dyDescent="0.45">
      <c r="A2217" t="s">
        <v>4238</v>
      </c>
      <c r="B2217" s="1">
        <v>44815</v>
      </c>
      <c r="C2217" t="s">
        <v>1418</v>
      </c>
      <c r="D2217" t="s">
        <v>56</v>
      </c>
      <c r="E2217" t="s">
        <v>14</v>
      </c>
      <c r="F2217" t="s">
        <v>32</v>
      </c>
      <c r="G2217">
        <v>3</v>
      </c>
      <c r="H2217">
        <v>30368.880000000001</v>
      </c>
      <c r="I2217">
        <v>5569.08</v>
      </c>
      <c r="J2217" t="s">
        <v>22</v>
      </c>
      <c r="K2217" t="s">
        <v>23</v>
      </c>
      <c r="L2217">
        <f t="shared" si="102"/>
        <v>2022</v>
      </c>
      <c r="M2217" t="str">
        <f t="shared" si="103"/>
        <v>Sep</v>
      </c>
      <c r="N2217" s="2">
        <f t="shared" si="104"/>
        <v>0.18338114543572234</v>
      </c>
    </row>
    <row r="2218" spans="1:14" x14ac:dyDescent="0.45">
      <c r="A2218" t="s">
        <v>4239</v>
      </c>
      <c r="B2218" s="1">
        <v>44942</v>
      </c>
      <c r="C2218" t="s">
        <v>4240</v>
      </c>
      <c r="D2218" t="s">
        <v>13</v>
      </c>
      <c r="E2218" t="s">
        <v>14</v>
      </c>
      <c r="F2218" t="s">
        <v>15</v>
      </c>
      <c r="G2218">
        <v>4</v>
      </c>
      <c r="H2218">
        <v>2588.4699999999998</v>
      </c>
      <c r="I2218">
        <v>507.07</v>
      </c>
      <c r="J2218" t="s">
        <v>71</v>
      </c>
      <c r="K2218" t="s">
        <v>23</v>
      </c>
      <c r="L2218">
        <f t="shared" si="102"/>
        <v>2023</v>
      </c>
      <c r="M2218" t="str">
        <f t="shared" si="103"/>
        <v>Jan</v>
      </c>
      <c r="N2218" s="2">
        <f t="shared" si="104"/>
        <v>0.19589564491765407</v>
      </c>
    </row>
    <row r="2219" spans="1:14" x14ac:dyDescent="0.45">
      <c r="A2219" t="s">
        <v>4241</v>
      </c>
      <c r="B2219" s="1">
        <v>45610</v>
      </c>
      <c r="C2219" t="s">
        <v>1298</v>
      </c>
      <c r="D2219" t="s">
        <v>56</v>
      </c>
      <c r="E2219" t="s">
        <v>36</v>
      </c>
      <c r="F2219" t="s">
        <v>46</v>
      </c>
      <c r="G2219">
        <v>3</v>
      </c>
      <c r="H2219">
        <v>18504.419999999998</v>
      </c>
      <c r="I2219">
        <v>2627.34</v>
      </c>
      <c r="J2219" t="s">
        <v>28</v>
      </c>
      <c r="K2219" t="s">
        <v>23</v>
      </c>
      <c r="L2219">
        <f t="shared" si="102"/>
        <v>2024</v>
      </c>
      <c r="M2219" t="str">
        <f t="shared" si="103"/>
        <v>Nov</v>
      </c>
      <c r="N2219" s="2">
        <f t="shared" si="104"/>
        <v>0.14198445560574177</v>
      </c>
    </row>
    <row r="2220" spans="1:14" x14ac:dyDescent="0.45">
      <c r="A2220" t="s">
        <v>4242</v>
      </c>
      <c r="B2220" s="1">
        <v>44950</v>
      </c>
      <c r="C2220" t="s">
        <v>3754</v>
      </c>
      <c r="D2220" t="s">
        <v>56</v>
      </c>
      <c r="E2220" t="s">
        <v>20</v>
      </c>
      <c r="F2220" t="s">
        <v>21</v>
      </c>
      <c r="G2220">
        <v>3</v>
      </c>
      <c r="H2220">
        <v>32554.21</v>
      </c>
      <c r="I2220">
        <v>7726.77</v>
      </c>
      <c r="J2220" t="s">
        <v>22</v>
      </c>
      <c r="K2220" t="s">
        <v>33</v>
      </c>
      <c r="L2220">
        <f t="shared" si="102"/>
        <v>2023</v>
      </c>
      <c r="M2220" t="str">
        <f t="shared" si="103"/>
        <v>Jan</v>
      </c>
      <c r="N2220" s="2">
        <f t="shared" si="104"/>
        <v>0.23735086798297364</v>
      </c>
    </row>
    <row r="2221" spans="1:14" x14ac:dyDescent="0.45">
      <c r="A2221" t="s">
        <v>4243</v>
      </c>
      <c r="B2221" s="1">
        <v>44643</v>
      </c>
      <c r="C2221" t="s">
        <v>4244</v>
      </c>
      <c r="D2221" t="s">
        <v>13</v>
      </c>
      <c r="E2221" t="s">
        <v>20</v>
      </c>
      <c r="F2221" t="s">
        <v>21</v>
      </c>
      <c r="G2221">
        <v>5</v>
      </c>
      <c r="H2221">
        <v>26892.15</v>
      </c>
      <c r="I2221">
        <v>5437.37</v>
      </c>
      <c r="J2221" t="s">
        <v>16</v>
      </c>
      <c r="K2221" t="s">
        <v>17</v>
      </c>
      <c r="L2221">
        <f t="shared" si="102"/>
        <v>2022</v>
      </c>
      <c r="M2221" t="str">
        <f t="shared" si="103"/>
        <v>Mar</v>
      </c>
      <c r="N2221" s="2">
        <f t="shared" si="104"/>
        <v>0.20219171765738328</v>
      </c>
    </row>
    <row r="2222" spans="1:14" x14ac:dyDescent="0.45">
      <c r="A2222" t="s">
        <v>4245</v>
      </c>
      <c r="B2222" s="1">
        <v>45503</v>
      </c>
      <c r="C2222" t="s">
        <v>4246</v>
      </c>
      <c r="D2222" t="s">
        <v>56</v>
      </c>
      <c r="E2222" t="s">
        <v>20</v>
      </c>
      <c r="F2222" t="s">
        <v>50</v>
      </c>
      <c r="G2222">
        <v>5</v>
      </c>
      <c r="H2222">
        <v>11654.53</v>
      </c>
      <c r="I2222">
        <v>1441.02</v>
      </c>
      <c r="J2222" t="s">
        <v>47</v>
      </c>
      <c r="K2222" t="s">
        <v>29</v>
      </c>
      <c r="L2222">
        <f t="shared" si="102"/>
        <v>2024</v>
      </c>
      <c r="M2222" t="str">
        <f t="shared" si="103"/>
        <v>Jul</v>
      </c>
      <c r="N2222" s="2">
        <f t="shared" si="104"/>
        <v>0.12364462573780323</v>
      </c>
    </row>
    <row r="2223" spans="1:14" x14ac:dyDescent="0.45">
      <c r="A2223" t="s">
        <v>4247</v>
      </c>
      <c r="B2223" s="1">
        <v>45316</v>
      </c>
      <c r="C2223" t="s">
        <v>4248</v>
      </c>
      <c r="D2223" t="s">
        <v>56</v>
      </c>
      <c r="E2223" t="s">
        <v>36</v>
      </c>
      <c r="F2223" t="s">
        <v>46</v>
      </c>
      <c r="G2223">
        <v>2</v>
      </c>
      <c r="H2223">
        <v>6271.51</v>
      </c>
      <c r="I2223">
        <v>343.56</v>
      </c>
      <c r="J2223" t="s">
        <v>16</v>
      </c>
      <c r="K2223" t="s">
        <v>17</v>
      </c>
      <c r="L2223">
        <f t="shared" si="102"/>
        <v>2024</v>
      </c>
      <c r="M2223" t="str">
        <f t="shared" si="103"/>
        <v>Jan</v>
      </c>
      <c r="N2223" s="2">
        <f t="shared" si="104"/>
        <v>5.4781065485026731E-2</v>
      </c>
    </row>
    <row r="2224" spans="1:14" x14ac:dyDescent="0.45">
      <c r="A2224" t="s">
        <v>4249</v>
      </c>
      <c r="B2224" s="1">
        <v>45584</v>
      </c>
      <c r="C2224" t="s">
        <v>4250</v>
      </c>
      <c r="D2224" t="s">
        <v>56</v>
      </c>
      <c r="E2224" t="s">
        <v>14</v>
      </c>
      <c r="F2224" t="s">
        <v>57</v>
      </c>
      <c r="G2224">
        <v>3</v>
      </c>
      <c r="H2224">
        <v>29935.81</v>
      </c>
      <c r="I2224">
        <v>7318.06</v>
      </c>
      <c r="J2224" t="s">
        <v>22</v>
      </c>
      <c r="K2224" t="s">
        <v>33</v>
      </c>
      <c r="L2224">
        <f t="shared" si="102"/>
        <v>2024</v>
      </c>
      <c r="M2224" t="str">
        <f t="shared" si="103"/>
        <v>Oct</v>
      </c>
      <c r="N2224" s="2">
        <f t="shared" si="104"/>
        <v>0.24445839280781112</v>
      </c>
    </row>
    <row r="2225" spans="1:14" x14ac:dyDescent="0.45">
      <c r="A2225" t="s">
        <v>4251</v>
      </c>
      <c r="B2225" s="1">
        <v>45011</v>
      </c>
      <c r="C2225" t="s">
        <v>4252</v>
      </c>
      <c r="D2225" t="s">
        <v>13</v>
      </c>
      <c r="E2225" t="s">
        <v>36</v>
      </c>
      <c r="F2225" t="s">
        <v>64</v>
      </c>
      <c r="G2225">
        <v>5</v>
      </c>
      <c r="H2225">
        <v>18923.87</v>
      </c>
      <c r="I2225">
        <v>1348.03</v>
      </c>
      <c r="J2225" t="s">
        <v>28</v>
      </c>
      <c r="K2225" t="s">
        <v>23</v>
      </c>
      <c r="L2225">
        <f t="shared" si="102"/>
        <v>2023</v>
      </c>
      <c r="M2225" t="str">
        <f t="shared" si="103"/>
        <v>Mar</v>
      </c>
      <c r="N2225" s="2">
        <f t="shared" si="104"/>
        <v>7.1234372250496336E-2</v>
      </c>
    </row>
    <row r="2226" spans="1:14" x14ac:dyDescent="0.45">
      <c r="A2226" t="s">
        <v>4253</v>
      </c>
      <c r="B2226" s="1">
        <v>44604</v>
      </c>
      <c r="C2226" t="s">
        <v>4254</v>
      </c>
      <c r="D2226" t="s">
        <v>56</v>
      </c>
      <c r="E2226" t="s">
        <v>36</v>
      </c>
      <c r="F2226" t="s">
        <v>53</v>
      </c>
      <c r="G2226">
        <v>3</v>
      </c>
      <c r="H2226">
        <v>23230.38</v>
      </c>
      <c r="I2226">
        <v>1605.87</v>
      </c>
      <c r="J2226" t="s">
        <v>71</v>
      </c>
      <c r="K2226" t="s">
        <v>29</v>
      </c>
      <c r="L2226">
        <f t="shared" si="102"/>
        <v>2022</v>
      </c>
      <c r="M2226" t="str">
        <f t="shared" si="103"/>
        <v>Feb</v>
      </c>
      <c r="N2226" s="2">
        <f t="shared" si="104"/>
        <v>6.9128012542196887E-2</v>
      </c>
    </row>
    <row r="2227" spans="1:14" x14ac:dyDescent="0.45">
      <c r="A2227" t="s">
        <v>4255</v>
      </c>
      <c r="B2227" s="1">
        <v>45362</v>
      </c>
      <c r="C2227" t="s">
        <v>4256</v>
      </c>
      <c r="D2227" t="s">
        <v>26</v>
      </c>
      <c r="E2227" t="s">
        <v>36</v>
      </c>
      <c r="F2227" t="s">
        <v>64</v>
      </c>
      <c r="G2227">
        <v>4</v>
      </c>
      <c r="H2227">
        <v>47644.56</v>
      </c>
      <c r="I2227">
        <v>11430.06</v>
      </c>
      <c r="J2227" t="s">
        <v>28</v>
      </c>
      <c r="K2227" t="s">
        <v>33</v>
      </c>
      <c r="L2227">
        <f t="shared" si="102"/>
        <v>2024</v>
      </c>
      <c r="M2227" t="str">
        <f t="shared" si="103"/>
        <v>Mar</v>
      </c>
      <c r="N2227" s="2">
        <f t="shared" si="104"/>
        <v>0.23990272971352869</v>
      </c>
    </row>
    <row r="2228" spans="1:14" x14ac:dyDescent="0.45">
      <c r="A2228" t="s">
        <v>4257</v>
      </c>
      <c r="B2228" s="1">
        <v>44885</v>
      </c>
      <c r="C2228" t="s">
        <v>4258</v>
      </c>
      <c r="D2228" t="s">
        <v>26</v>
      </c>
      <c r="E2228" t="s">
        <v>20</v>
      </c>
      <c r="F2228" t="s">
        <v>27</v>
      </c>
      <c r="G2228">
        <v>5</v>
      </c>
      <c r="H2228">
        <v>12163.98</v>
      </c>
      <c r="I2228">
        <v>2795.76</v>
      </c>
      <c r="J2228" t="s">
        <v>28</v>
      </c>
      <c r="K2228" t="s">
        <v>33</v>
      </c>
      <c r="L2228">
        <f t="shared" si="102"/>
        <v>2022</v>
      </c>
      <c r="M2228" t="str">
        <f t="shared" si="103"/>
        <v>Nov</v>
      </c>
      <c r="N2228" s="2">
        <f t="shared" si="104"/>
        <v>0.2298392466939275</v>
      </c>
    </row>
    <row r="2229" spans="1:14" x14ac:dyDescent="0.45">
      <c r="A2229" t="s">
        <v>4259</v>
      </c>
      <c r="B2229" s="1">
        <v>44665</v>
      </c>
      <c r="C2229" t="s">
        <v>2966</v>
      </c>
      <c r="D2229" t="s">
        <v>56</v>
      </c>
      <c r="E2229" t="s">
        <v>14</v>
      </c>
      <c r="F2229" t="s">
        <v>32</v>
      </c>
      <c r="G2229">
        <v>2</v>
      </c>
      <c r="H2229">
        <v>1526.51</v>
      </c>
      <c r="I2229">
        <v>142.69</v>
      </c>
      <c r="J2229" t="s">
        <v>22</v>
      </c>
      <c r="K2229" t="s">
        <v>29</v>
      </c>
      <c r="L2229">
        <f t="shared" si="102"/>
        <v>2022</v>
      </c>
      <c r="M2229" t="str">
        <f t="shared" si="103"/>
        <v>Apr</v>
      </c>
      <c r="N2229" s="2">
        <f t="shared" si="104"/>
        <v>9.3474657879738743E-2</v>
      </c>
    </row>
    <row r="2230" spans="1:14" x14ac:dyDescent="0.45">
      <c r="A2230" t="s">
        <v>4260</v>
      </c>
      <c r="B2230" s="1">
        <v>45176</v>
      </c>
      <c r="C2230" t="s">
        <v>4261</v>
      </c>
      <c r="D2230" t="s">
        <v>56</v>
      </c>
      <c r="E2230" t="s">
        <v>36</v>
      </c>
      <c r="F2230" t="s">
        <v>46</v>
      </c>
      <c r="G2230">
        <v>1</v>
      </c>
      <c r="H2230">
        <v>39552.89</v>
      </c>
      <c r="I2230">
        <v>5754.21</v>
      </c>
      <c r="J2230" t="s">
        <v>22</v>
      </c>
      <c r="K2230" t="s">
        <v>33</v>
      </c>
      <c r="L2230">
        <f t="shared" si="102"/>
        <v>2023</v>
      </c>
      <c r="M2230" t="str">
        <f t="shared" si="103"/>
        <v>Sep</v>
      </c>
      <c r="N2230" s="2">
        <f t="shared" si="104"/>
        <v>0.14548140477219237</v>
      </c>
    </row>
    <row r="2231" spans="1:14" x14ac:dyDescent="0.45">
      <c r="A2231" t="s">
        <v>4262</v>
      </c>
      <c r="B2231" s="1">
        <v>45250</v>
      </c>
      <c r="C2231" t="s">
        <v>4263</v>
      </c>
      <c r="D2231" t="s">
        <v>13</v>
      </c>
      <c r="E2231" t="s">
        <v>20</v>
      </c>
      <c r="F2231" t="s">
        <v>43</v>
      </c>
      <c r="G2231">
        <v>4</v>
      </c>
      <c r="H2231">
        <v>21280.52</v>
      </c>
      <c r="I2231">
        <v>4345.7700000000004</v>
      </c>
      <c r="J2231" t="s">
        <v>28</v>
      </c>
      <c r="K2231" t="s">
        <v>23</v>
      </c>
      <c r="L2231">
        <f t="shared" si="102"/>
        <v>2023</v>
      </c>
      <c r="M2231" t="str">
        <f t="shared" si="103"/>
        <v>Nov</v>
      </c>
      <c r="N2231" s="2">
        <f t="shared" si="104"/>
        <v>0.20421352485747529</v>
      </c>
    </row>
    <row r="2232" spans="1:14" x14ac:dyDescent="0.45">
      <c r="A2232" t="s">
        <v>4264</v>
      </c>
      <c r="B2232" s="1">
        <v>44592</v>
      </c>
      <c r="C2232" t="s">
        <v>4265</v>
      </c>
      <c r="D2232" t="s">
        <v>56</v>
      </c>
      <c r="E2232" t="s">
        <v>36</v>
      </c>
      <c r="F2232" t="s">
        <v>64</v>
      </c>
      <c r="G2232">
        <v>2</v>
      </c>
      <c r="H2232">
        <v>17168.68</v>
      </c>
      <c r="I2232">
        <v>3018.8</v>
      </c>
      <c r="J2232" t="s">
        <v>47</v>
      </c>
      <c r="K2232" t="s">
        <v>23</v>
      </c>
      <c r="L2232">
        <f t="shared" si="102"/>
        <v>2022</v>
      </c>
      <c r="M2232" t="str">
        <f t="shared" si="103"/>
        <v>Jan</v>
      </c>
      <c r="N2232" s="2">
        <f t="shared" si="104"/>
        <v>0.17583180535719695</v>
      </c>
    </row>
    <row r="2233" spans="1:14" x14ac:dyDescent="0.45">
      <c r="A2233" t="s">
        <v>4266</v>
      </c>
      <c r="B2233" s="1">
        <v>44876</v>
      </c>
      <c r="C2233" t="s">
        <v>462</v>
      </c>
      <c r="D2233" t="s">
        <v>13</v>
      </c>
      <c r="E2233" t="s">
        <v>36</v>
      </c>
      <c r="F2233" t="s">
        <v>53</v>
      </c>
      <c r="G2233">
        <v>2</v>
      </c>
      <c r="H2233">
        <v>11086.01</v>
      </c>
      <c r="I2233">
        <v>2640.81</v>
      </c>
      <c r="J2233" t="s">
        <v>47</v>
      </c>
      <c r="K2233" t="s">
        <v>23</v>
      </c>
      <c r="L2233">
        <f t="shared" si="102"/>
        <v>2022</v>
      </c>
      <c r="M2233" t="str">
        <f t="shared" si="103"/>
        <v>Nov</v>
      </c>
      <c r="N2233" s="2">
        <f t="shared" si="104"/>
        <v>0.23821104256626144</v>
      </c>
    </row>
    <row r="2234" spans="1:14" x14ac:dyDescent="0.45">
      <c r="A2234" t="s">
        <v>4267</v>
      </c>
      <c r="B2234" s="1">
        <v>44673</v>
      </c>
      <c r="C2234" t="s">
        <v>4268</v>
      </c>
      <c r="D2234" t="s">
        <v>26</v>
      </c>
      <c r="E2234" t="s">
        <v>14</v>
      </c>
      <c r="F2234" t="s">
        <v>57</v>
      </c>
      <c r="G2234">
        <v>5</v>
      </c>
      <c r="H2234">
        <v>14153.41</v>
      </c>
      <c r="I2234">
        <v>2344.77</v>
      </c>
      <c r="J2234" t="s">
        <v>22</v>
      </c>
      <c r="K2234" t="s">
        <v>17</v>
      </c>
      <c r="L2234">
        <f t="shared" si="102"/>
        <v>2022</v>
      </c>
      <c r="M2234" t="str">
        <f t="shared" si="103"/>
        <v>Apr</v>
      </c>
      <c r="N2234" s="2">
        <f t="shared" si="104"/>
        <v>0.16566820292777501</v>
      </c>
    </row>
    <row r="2235" spans="1:14" x14ac:dyDescent="0.45">
      <c r="A2235" t="s">
        <v>4269</v>
      </c>
      <c r="B2235" s="1">
        <v>45424</v>
      </c>
      <c r="C2235" t="s">
        <v>4270</v>
      </c>
      <c r="D2235" t="s">
        <v>13</v>
      </c>
      <c r="E2235" t="s">
        <v>36</v>
      </c>
      <c r="F2235" t="s">
        <v>46</v>
      </c>
      <c r="G2235">
        <v>3</v>
      </c>
      <c r="H2235">
        <v>8854.08</v>
      </c>
      <c r="I2235">
        <v>527.94000000000005</v>
      </c>
      <c r="J2235" t="s">
        <v>22</v>
      </c>
      <c r="K2235" t="s">
        <v>23</v>
      </c>
      <c r="L2235">
        <f t="shared" si="102"/>
        <v>2024</v>
      </c>
      <c r="M2235" t="str">
        <f t="shared" si="103"/>
        <v>May</v>
      </c>
      <c r="N2235" s="2">
        <f t="shared" si="104"/>
        <v>5.9626748346524996E-2</v>
      </c>
    </row>
    <row r="2236" spans="1:14" x14ac:dyDescent="0.45">
      <c r="A2236" t="s">
        <v>4271</v>
      </c>
      <c r="B2236" s="1">
        <v>44842</v>
      </c>
      <c r="C2236" t="s">
        <v>4272</v>
      </c>
      <c r="D2236" t="s">
        <v>13</v>
      </c>
      <c r="E2236" t="s">
        <v>20</v>
      </c>
      <c r="F2236" t="s">
        <v>27</v>
      </c>
      <c r="G2236">
        <v>4</v>
      </c>
      <c r="H2236">
        <v>3591.2</v>
      </c>
      <c r="I2236">
        <v>813.44</v>
      </c>
      <c r="J2236" t="s">
        <v>28</v>
      </c>
      <c r="K2236" t="s">
        <v>29</v>
      </c>
      <c r="L2236">
        <f t="shared" si="102"/>
        <v>2022</v>
      </c>
      <c r="M2236" t="str">
        <f t="shared" si="103"/>
        <v>Oct</v>
      </c>
      <c r="N2236" s="2">
        <f t="shared" si="104"/>
        <v>0.22650924482067278</v>
      </c>
    </row>
    <row r="2237" spans="1:14" x14ac:dyDescent="0.45">
      <c r="A2237" t="s">
        <v>4273</v>
      </c>
      <c r="B2237" s="1">
        <v>45281</v>
      </c>
      <c r="C2237" t="s">
        <v>4274</v>
      </c>
      <c r="D2237" t="s">
        <v>13</v>
      </c>
      <c r="E2237" t="s">
        <v>20</v>
      </c>
      <c r="F2237" t="s">
        <v>27</v>
      </c>
      <c r="G2237">
        <v>5</v>
      </c>
      <c r="H2237">
        <v>37065.199999999997</v>
      </c>
      <c r="I2237">
        <v>3125.97</v>
      </c>
      <c r="J2237" t="s">
        <v>71</v>
      </c>
      <c r="K2237" t="s">
        <v>17</v>
      </c>
      <c r="L2237">
        <f t="shared" si="102"/>
        <v>2023</v>
      </c>
      <c r="M2237" t="str">
        <f t="shared" si="103"/>
        <v>Dec</v>
      </c>
      <c r="N2237" s="2">
        <f t="shared" si="104"/>
        <v>8.4337060099500344E-2</v>
      </c>
    </row>
    <row r="2238" spans="1:14" x14ac:dyDescent="0.45">
      <c r="A2238" t="s">
        <v>4275</v>
      </c>
      <c r="B2238" s="1">
        <v>45441</v>
      </c>
      <c r="C2238" t="s">
        <v>3932</v>
      </c>
      <c r="D2238" t="s">
        <v>13</v>
      </c>
      <c r="E2238" t="s">
        <v>14</v>
      </c>
      <c r="F2238" t="s">
        <v>15</v>
      </c>
      <c r="G2238">
        <v>1</v>
      </c>
      <c r="H2238">
        <v>2645.42</v>
      </c>
      <c r="I2238">
        <v>488.35</v>
      </c>
      <c r="J2238" t="s">
        <v>71</v>
      </c>
      <c r="K2238" t="s">
        <v>29</v>
      </c>
      <c r="L2238">
        <f t="shared" si="102"/>
        <v>2024</v>
      </c>
      <c r="M2238" t="str">
        <f t="shared" si="103"/>
        <v>May</v>
      </c>
      <c r="N2238" s="2">
        <f t="shared" si="104"/>
        <v>0.18460206696857209</v>
      </c>
    </row>
    <row r="2239" spans="1:14" x14ac:dyDescent="0.45">
      <c r="A2239" t="s">
        <v>4276</v>
      </c>
      <c r="B2239" s="1">
        <v>45483</v>
      </c>
      <c r="C2239" t="s">
        <v>4277</v>
      </c>
      <c r="D2239" t="s">
        <v>56</v>
      </c>
      <c r="E2239" t="s">
        <v>36</v>
      </c>
      <c r="F2239" t="s">
        <v>37</v>
      </c>
      <c r="G2239">
        <v>5</v>
      </c>
      <c r="H2239">
        <v>5442.2</v>
      </c>
      <c r="I2239">
        <v>1321.06</v>
      </c>
      <c r="J2239" t="s">
        <v>16</v>
      </c>
      <c r="K2239" t="s">
        <v>29</v>
      </c>
      <c r="L2239">
        <f t="shared" si="102"/>
        <v>2024</v>
      </c>
      <c r="M2239" t="str">
        <f t="shared" si="103"/>
        <v>Jul</v>
      </c>
      <c r="N2239" s="2">
        <f t="shared" si="104"/>
        <v>0.2427437433390908</v>
      </c>
    </row>
    <row r="2240" spans="1:14" x14ac:dyDescent="0.45">
      <c r="A2240" t="s">
        <v>4278</v>
      </c>
      <c r="B2240" s="1">
        <v>45647</v>
      </c>
      <c r="C2240" t="s">
        <v>4279</v>
      </c>
      <c r="D2240" t="s">
        <v>26</v>
      </c>
      <c r="E2240" t="s">
        <v>14</v>
      </c>
      <c r="F2240" t="s">
        <v>15</v>
      </c>
      <c r="G2240">
        <v>4</v>
      </c>
      <c r="H2240">
        <v>18688.09</v>
      </c>
      <c r="I2240">
        <v>2701.9</v>
      </c>
      <c r="J2240" t="s">
        <v>71</v>
      </c>
      <c r="K2240" t="s">
        <v>23</v>
      </c>
      <c r="L2240">
        <f t="shared" si="102"/>
        <v>2024</v>
      </c>
      <c r="M2240" t="str">
        <f t="shared" si="103"/>
        <v>Dec</v>
      </c>
      <c r="N2240" s="2">
        <f t="shared" si="104"/>
        <v>0.14457871296638661</v>
      </c>
    </row>
    <row r="2241" spans="1:14" x14ac:dyDescent="0.45">
      <c r="A2241" t="s">
        <v>4280</v>
      </c>
      <c r="B2241" s="1">
        <v>44739</v>
      </c>
      <c r="C2241" t="s">
        <v>4281</v>
      </c>
      <c r="D2241" t="s">
        <v>13</v>
      </c>
      <c r="E2241" t="s">
        <v>36</v>
      </c>
      <c r="F2241" t="s">
        <v>53</v>
      </c>
      <c r="G2241">
        <v>3</v>
      </c>
      <c r="H2241">
        <v>10772.91</v>
      </c>
      <c r="I2241">
        <v>1620.15</v>
      </c>
      <c r="J2241" t="s">
        <v>28</v>
      </c>
      <c r="K2241" t="s">
        <v>17</v>
      </c>
      <c r="L2241">
        <f t="shared" si="102"/>
        <v>2022</v>
      </c>
      <c r="M2241" t="str">
        <f t="shared" si="103"/>
        <v>Jun</v>
      </c>
      <c r="N2241" s="2">
        <f t="shared" si="104"/>
        <v>0.15039111994809204</v>
      </c>
    </row>
    <row r="2242" spans="1:14" x14ac:dyDescent="0.45">
      <c r="A2242" t="s">
        <v>4282</v>
      </c>
      <c r="B2242" s="1">
        <v>45141</v>
      </c>
      <c r="C2242" t="s">
        <v>4283</v>
      </c>
      <c r="D2242" t="s">
        <v>56</v>
      </c>
      <c r="E2242" t="s">
        <v>20</v>
      </c>
      <c r="F2242" t="s">
        <v>21</v>
      </c>
      <c r="G2242">
        <v>4</v>
      </c>
      <c r="H2242">
        <v>24059.45</v>
      </c>
      <c r="I2242">
        <v>5947.95</v>
      </c>
      <c r="J2242" t="s">
        <v>28</v>
      </c>
      <c r="K2242" t="s">
        <v>33</v>
      </c>
      <c r="L2242">
        <f t="shared" si="102"/>
        <v>2023</v>
      </c>
      <c r="M2242" t="str">
        <f t="shared" si="103"/>
        <v>Aug</v>
      </c>
      <c r="N2242" s="2">
        <f t="shared" si="104"/>
        <v>0.2472188682617433</v>
      </c>
    </row>
    <row r="2243" spans="1:14" x14ac:dyDescent="0.45">
      <c r="A2243" t="s">
        <v>4284</v>
      </c>
      <c r="B2243" s="1">
        <v>45505</v>
      </c>
      <c r="C2243" t="s">
        <v>4285</v>
      </c>
      <c r="D2243" t="s">
        <v>56</v>
      </c>
      <c r="E2243" t="s">
        <v>14</v>
      </c>
      <c r="F2243" t="s">
        <v>40</v>
      </c>
      <c r="G2243">
        <v>1</v>
      </c>
      <c r="H2243">
        <v>42487.17</v>
      </c>
      <c r="I2243">
        <v>3549.32</v>
      </c>
      <c r="J2243" t="s">
        <v>16</v>
      </c>
      <c r="K2243" t="s">
        <v>29</v>
      </c>
      <c r="L2243">
        <f t="shared" ref="L2243:L2306" si="105">YEAR(B2243 )</f>
        <v>2024</v>
      </c>
      <c r="M2243" t="str">
        <f t="shared" ref="M2243:M2306" si="106">TEXT(B2243,"MMM")</f>
        <v>Aug</v>
      </c>
      <c r="N2243" s="2">
        <f t="shared" ref="N2243:N2306" si="107">I2243 / H2243</f>
        <v>8.353863060307383E-2</v>
      </c>
    </row>
    <row r="2244" spans="1:14" x14ac:dyDescent="0.45">
      <c r="A2244" t="s">
        <v>4286</v>
      </c>
      <c r="B2244" s="1">
        <v>44589</v>
      </c>
      <c r="C2244" t="s">
        <v>1557</v>
      </c>
      <c r="D2244" t="s">
        <v>26</v>
      </c>
      <c r="E2244" t="s">
        <v>14</v>
      </c>
      <c r="F2244" t="s">
        <v>40</v>
      </c>
      <c r="G2244">
        <v>2</v>
      </c>
      <c r="H2244">
        <v>24985.119999999999</v>
      </c>
      <c r="I2244">
        <v>5016.55</v>
      </c>
      <c r="J2244" t="s">
        <v>71</v>
      </c>
      <c r="K2244" t="s">
        <v>17</v>
      </c>
      <c r="L2244">
        <f t="shared" si="105"/>
        <v>2022</v>
      </c>
      <c r="M2244" t="str">
        <f t="shared" si="106"/>
        <v>Jan</v>
      </c>
      <c r="N2244" s="2">
        <f t="shared" si="107"/>
        <v>0.20078150515186641</v>
      </c>
    </row>
    <row r="2245" spans="1:14" x14ac:dyDescent="0.45">
      <c r="A2245" t="s">
        <v>4287</v>
      </c>
      <c r="B2245" s="1">
        <v>45624</v>
      </c>
      <c r="C2245" t="s">
        <v>1044</v>
      </c>
      <c r="D2245" t="s">
        <v>56</v>
      </c>
      <c r="E2245" t="s">
        <v>20</v>
      </c>
      <c r="F2245" t="s">
        <v>50</v>
      </c>
      <c r="G2245">
        <v>4</v>
      </c>
      <c r="H2245">
        <v>13159.36</v>
      </c>
      <c r="I2245">
        <v>3052.46</v>
      </c>
      <c r="J2245" t="s">
        <v>71</v>
      </c>
      <c r="K2245" t="s">
        <v>29</v>
      </c>
      <c r="L2245">
        <f t="shared" si="105"/>
        <v>2024</v>
      </c>
      <c r="M2245" t="str">
        <f t="shared" si="106"/>
        <v>Nov</v>
      </c>
      <c r="N2245" s="2">
        <f t="shared" si="107"/>
        <v>0.23196112880869585</v>
      </c>
    </row>
    <row r="2246" spans="1:14" x14ac:dyDescent="0.45">
      <c r="A2246" t="s">
        <v>4288</v>
      </c>
      <c r="B2246" s="1">
        <v>45334</v>
      </c>
      <c r="C2246" t="s">
        <v>4289</v>
      </c>
      <c r="D2246" t="s">
        <v>26</v>
      </c>
      <c r="E2246" t="s">
        <v>14</v>
      </c>
      <c r="F2246" t="s">
        <v>40</v>
      </c>
      <c r="G2246">
        <v>4</v>
      </c>
      <c r="H2246">
        <v>18476.05</v>
      </c>
      <c r="I2246">
        <v>2896.34</v>
      </c>
      <c r="J2246" t="s">
        <v>47</v>
      </c>
      <c r="K2246" t="s">
        <v>23</v>
      </c>
      <c r="L2246">
        <f t="shared" si="105"/>
        <v>2024</v>
      </c>
      <c r="M2246" t="str">
        <f t="shared" si="106"/>
        <v>Feb</v>
      </c>
      <c r="N2246" s="2">
        <f t="shared" si="107"/>
        <v>0.15676186197807432</v>
      </c>
    </row>
    <row r="2247" spans="1:14" x14ac:dyDescent="0.45">
      <c r="A2247" t="s">
        <v>4290</v>
      </c>
      <c r="B2247" s="1">
        <v>45451</v>
      </c>
      <c r="C2247" t="s">
        <v>4291</v>
      </c>
      <c r="D2247" t="s">
        <v>26</v>
      </c>
      <c r="E2247" t="s">
        <v>36</v>
      </c>
      <c r="F2247" t="s">
        <v>37</v>
      </c>
      <c r="G2247">
        <v>4</v>
      </c>
      <c r="H2247">
        <v>7667.5</v>
      </c>
      <c r="I2247">
        <v>1088.81</v>
      </c>
      <c r="J2247" t="s">
        <v>47</v>
      </c>
      <c r="K2247" t="s">
        <v>33</v>
      </c>
      <c r="L2247">
        <f t="shared" si="105"/>
        <v>2024</v>
      </c>
      <c r="M2247" t="str">
        <f t="shared" si="106"/>
        <v>Jun</v>
      </c>
      <c r="N2247" s="2">
        <f t="shared" si="107"/>
        <v>0.14200326051516138</v>
      </c>
    </row>
    <row r="2248" spans="1:14" x14ac:dyDescent="0.45">
      <c r="A2248" t="s">
        <v>4292</v>
      </c>
      <c r="B2248" s="1">
        <v>45019</v>
      </c>
      <c r="C2248" t="s">
        <v>1335</v>
      </c>
      <c r="D2248" t="s">
        <v>13</v>
      </c>
      <c r="E2248" t="s">
        <v>36</v>
      </c>
      <c r="F2248" t="s">
        <v>64</v>
      </c>
      <c r="G2248">
        <v>5</v>
      </c>
      <c r="H2248">
        <v>10001.35</v>
      </c>
      <c r="I2248">
        <v>671.09</v>
      </c>
      <c r="J2248" t="s">
        <v>71</v>
      </c>
      <c r="K2248" t="s">
        <v>23</v>
      </c>
      <c r="L2248">
        <f t="shared" si="105"/>
        <v>2023</v>
      </c>
      <c r="M2248" t="str">
        <f t="shared" si="106"/>
        <v>Apr</v>
      </c>
      <c r="N2248" s="2">
        <f t="shared" si="107"/>
        <v>6.709994150789643E-2</v>
      </c>
    </row>
    <row r="2249" spans="1:14" x14ac:dyDescent="0.45">
      <c r="A2249" t="s">
        <v>4293</v>
      </c>
      <c r="B2249" s="1">
        <v>45087</v>
      </c>
      <c r="C2249" t="s">
        <v>4294</v>
      </c>
      <c r="D2249" t="s">
        <v>26</v>
      </c>
      <c r="E2249" t="s">
        <v>14</v>
      </c>
      <c r="F2249" t="s">
        <v>40</v>
      </c>
      <c r="G2249">
        <v>2</v>
      </c>
      <c r="H2249">
        <v>30511.71</v>
      </c>
      <c r="I2249">
        <v>6836.52</v>
      </c>
      <c r="J2249" t="s">
        <v>71</v>
      </c>
      <c r="K2249" t="s">
        <v>17</v>
      </c>
      <c r="L2249">
        <f t="shared" si="105"/>
        <v>2023</v>
      </c>
      <c r="M2249" t="str">
        <f t="shared" si="106"/>
        <v>Jun</v>
      </c>
      <c r="N2249" s="2">
        <f t="shared" si="107"/>
        <v>0.22406217154004154</v>
      </c>
    </row>
    <row r="2250" spans="1:14" x14ac:dyDescent="0.45">
      <c r="A2250" t="s">
        <v>4295</v>
      </c>
      <c r="B2250" s="1">
        <v>45480</v>
      </c>
      <c r="C2250" t="s">
        <v>4296</v>
      </c>
      <c r="D2250" t="s">
        <v>13</v>
      </c>
      <c r="E2250" t="s">
        <v>36</v>
      </c>
      <c r="F2250" t="s">
        <v>64</v>
      </c>
      <c r="G2250">
        <v>3</v>
      </c>
      <c r="H2250">
        <v>22128.06</v>
      </c>
      <c r="I2250">
        <v>5331.92</v>
      </c>
      <c r="J2250" t="s">
        <v>16</v>
      </c>
      <c r="K2250" t="s">
        <v>29</v>
      </c>
      <c r="L2250">
        <f t="shared" si="105"/>
        <v>2024</v>
      </c>
      <c r="M2250" t="str">
        <f t="shared" si="106"/>
        <v>Jul</v>
      </c>
      <c r="N2250" s="2">
        <f t="shared" si="107"/>
        <v>0.2409574088284287</v>
      </c>
    </row>
    <row r="2251" spans="1:14" x14ac:dyDescent="0.45">
      <c r="A2251" t="s">
        <v>4297</v>
      </c>
      <c r="B2251" s="1">
        <v>45637</v>
      </c>
      <c r="C2251" t="s">
        <v>4298</v>
      </c>
      <c r="D2251" t="s">
        <v>26</v>
      </c>
      <c r="E2251" t="s">
        <v>36</v>
      </c>
      <c r="F2251" t="s">
        <v>37</v>
      </c>
      <c r="G2251">
        <v>3</v>
      </c>
      <c r="H2251">
        <v>21266.43</v>
      </c>
      <c r="I2251">
        <v>1726.66</v>
      </c>
      <c r="J2251" t="s">
        <v>22</v>
      </c>
      <c r="K2251" t="s">
        <v>33</v>
      </c>
      <c r="L2251">
        <f t="shared" si="105"/>
        <v>2024</v>
      </c>
      <c r="M2251" t="str">
        <f t="shared" si="106"/>
        <v>Dec</v>
      </c>
      <c r="N2251" s="2">
        <f t="shared" si="107"/>
        <v>8.1191812636159433E-2</v>
      </c>
    </row>
    <row r="2252" spans="1:14" x14ac:dyDescent="0.45">
      <c r="A2252" t="s">
        <v>4299</v>
      </c>
      <c r="B2252" s="1">
        <v>45429</v>
      </c>
      <c r="C2252" t="s">
        <v>35</v>
      </c>
      <c r="D2252" t="s">
        <v>56</v>
      </c>
      <c r="E2252" t="s">
        <v>20</v>
      </c>
      <c r="F2252" t="s">
        <v>27</v>
      </c>
      <c r="G2252">
        <v>3</v>
      </c>
      <c r="H2252">
        <v>25241.97</v>
      </c>
      <c r="I2252">
        <v>5943.06</v>
      </c>
      <c r="J2252" t="s">
        <v>16</v>
      </c>
      <c r="K2252" t="s">
        <v>17</v>
      </c>
      <c r="L2252">
        <f t="shared" si="105"/>
        <v>2024</v>
      </c>
      <c r="M2252" t="str">
        <f t="shared" si="106"/>
        <v>May</v>
      </c>
      <c r="N2252" s="2">
        <f t="shared" si="107"/>
        <v>0.23544358859470954</v>
      </c>
    </row>
    <row r="2253" spans="1:14" x14ac:dyDescent="0.45">
      <c r="A2253" t="s">
        <v>4300</v>
      </c>
      <c r="B2253" s="1">
        <v>44658</v>
      </c>
      <c r="C2253" t="s">
        <v>4301</v>
      </c>
      <c r="D2253" t="s">
        <v>13</v>
      </c>
      <c r="E2253" t="s">
        <v>20</v>
      </c>
      <c r="F2253" t="s">
        <v>50</v>
      </c>
      <c r="G2253">
        <v>5</v>
      </c>
      <c r="H2253">
        <v>29773.73</v>
      </c>
      <c r="I2253">
        <v>5512.73</v>
      </c>
      <c r="J2253" t="s">
        <v>16</v>
      </c>
      <c r="K2253" t="s">
        <v>17</v>
      </c>
      <c r="L2253">
        <f t="shared" si="105"/>
        <v>2022</v>
      </c>
      <c r="M2253" t="str">
        <f t="shared" si="106"/>
        <v>Apr</v>
      </c>
      <c r="N2253" s="2">
        <f t="shared" si="107"/>
        <v>0.18515416106749136</v>
      </c>
    </row>
    <row r="2254" spans="1:14" x14ac:dyDescent="0.45">
      <c r="A2254" t="s">
        <v>4302</v>
      </c>
      <c r="B2254" s="1">
        <v>45394</v>
      </c>
      <c r="C2254" t="s">
        <v>4303</v>
      </c>
      <c r="D2254" t="s">
        <v>26</v>
      </c>
      <c r="E2254" t="s">
        <v>36</v>
      </c>
      <c r="F2254" t="s">
        <v>37</v>
      </c>
      <c r="G2254">
        <v>2</v>
      </c>
      <c r="H2254">
        <v>41123.65</v>
      </c>
      <c r="I2254">
        <v>2273.69</v>
      </c>
      <c r="J2254" t="s">
        <v>47</v>
      </c>
      <c r="K2254" t="s">
        <v>17</v>
      </c>
      <c r="L2254">
        <f t="shared" si="105"/>
        <v>2024</v>
      </c>
      <c r="M2254" t="str">
        <f t="shared" si="106"/>
        <v>Apr</v>
      </c>
      <c r="N2254" s="2">
        <f t="shared" si="107"/>
        <v>5.5289109794485654E-2</v>
      </c>
    </row>
    <row r="2255" spans="1:14" x14ac:dyDescent="0.45">
      <c r="A2255" t="s">
        <v>4304</v>
      </c>
      <c r="B2255" s="1">
        <v>45540</v>
      </c>
      <c r="C2255" t="s">
        <v>4305</v>
      </c>
      <c r="D2255" t="s">
        <v>13</v>
      </c>
      <c r="E2255" t="s">
        <v>14</v>
      </c>
      <c r="F2255" t="s">
        <v>40</v>
      </c>
      <c r="G2255">
        <v>4</v>
      </c>
      <c r="H2255">
        <v>39990.32</v>
      </c>
      <c r="I2255">
        <v>8514.67</v>
      </c>
      <c r="J2255" t="s">
        <v>28</v>
      </c>
      <c r="K2255" t="s">
        <v>17</v>
      </c>
      <c r="L2255">
        <f t="shared" si="105"/>
        <v>2024</v>
      </c>
      <c r="M2255" t="str">
        <f t="shared" si="106"/>
        <v>Sep</v>
      </c>
      <c r="N2255" s="2">
        <f t="shared" si="107"/>
        <v>0.21291827622284593</v>
      </c>
    </row>
    <row r="2256" spans="1:14" x14ac:dyDescent="0.45">
      <c r="A2256" t="s">
        <v>4306</v>
      </c>
      <c r="B2256" s="1">
        <v>45073</v>
      </c>
      <c r="C2256" t="s">
        <v>4307</v>
      </c>
      <c r="D2256" t="s">
        <v>56</v>
      </c>
      <c r="E2256" t="s">
        <v>20</v>
      </c>
      <c r="F2256" t="s">
        <v>50</v>
      </c>
      <c r="G2256">
        <v>2</v>
      </c>
      <c r="H2256">
        <v>31964.87</v>
      </c>
      <c r="I2256">
        <v>2796.49</v>
      </c>
      <c r="J2256" t="s">
        <v>16</v>
      </c>
      <c r="K2256" t="s">
        <v>33</v>
      </c>
      <c r="L2256">
        <f t="shared" si="105"/>
        <v>2023</v>
      </c>
      <c r="M2256" t="str">
        <f t="shared" si="106"/>
        <v>May</v>
      </c>
      <c r="N2256" s="2">
        <f t="shared" si="107"/>
        <v>8.748635611532285E-2</v>
      </c>
    </row>
    <row r="2257" spans="1:14" x14ac:dyDescent="0.45">
      <c r="A2257" t="s">
        <v>4308</v>
      </c>
      <c r="B2257" s="1">
        <v>44826</v>
      </c>
      <c r="C2257" t="s">
        <v>4309</v>
      </c>
      <c r="D2257" t="s">
        <v>26</v>
      </c>
      <c r="E2257" t="s">
        <v>36</v>
      </c>
      <c r="F2257" t="s">
        <v>53</v>
      </c>
      <c r="G2257">
        <v>2</v>
      </c>
      <c r="H2257">
        <v>5760.75</v>
      </c>
      <c r="I2257">
        <v>606.80999999999995</v>
      </c>
      <c r="J2257" t="s">
        <v>22</v>
      </c>
      <c r="K2257" t="s">
        <v>23</v>
      </c>
      <c r="L2257">
        <f t="shared" si="105"/>
        <v>2022</v>
      </c>
      <c r="M2257" t="str">
        <f t="shared" si="106"/>
        <v>Sep</v>
      </c>
      <c r="N2257" s="2">
        <f t="shared" si="107"/>
        <v>0.10533524280692617</v>
      </c>
    </row>
    <row r="2258" spans="1:14" x14ac:dyDescent="0.45">
      <c r="A2258" t="s">
        <v>4310</v>
      </c>
      <c r="B2258" s="1">
        <v>44983</v>
      </c>
      <c r="C2258" t="s">
        <v>4311</v>
      </c>
      <c r="D2258" t="s">
        <v>26</v>
      </c>
      <c r="E2258" t="s">
        <v>36</v>
      </c>
      <c r="F2258" t="s">
        <v>46</v>
      </c>
      <c r="G2258">
        <v>2</v>
      </c>
      <c r="H2258">
        <v>28165.78</v>
      </c>
      <c r="I2258">
        <v>2208.7399999999998</v>
      </c>
      <c r="J2258" t="s">
        <v>16</v>
      </c>
      <c r="K2258" t="s">
        <v>23</v>
      </c>
      <c r="L2258">
        <f t="shared" si="105"/>
        <v>2023</v>
      </c>
      <c r="M2258" t="str">
        <f t="shared" si="106"/>
        <v>Feb</v>
      </c>
      <c r="N2258" s="2">
        <f t="shared" si="107"/>
        <v>7.8419273316769497E-2</v>
      </c>
    </row>
    <row r="2259" spans="1:14" x14ac:dyDescent="0.45">
      <c r="A2259" t="s">
        <v>4312</v>
      </c>
      <c r="B2259" s="1">
        <v>45265</v>
      </c>
      <c r="C2259" t="s">
        <v>4313</v>
      </c>
      <c r="D2259" t="s">
        <v>26</v>
      </c>
      <c r="E2259" t="s">
        <v>36</v>
      </c>
      <c r="F2259" t="s">
        <v>37</v>
      </c>
      <c r="G2259">
        <v>5</v>
      </c>
      <c r="H2259">
        <v>6859.08</v>
      </c>
      <c r="I2259">
        <v>1256.33</v>
      </c>
      <c r="J2259" t="s">
        <v>22</v>
      </c>
      <c r="K2259" t="s">
        <v>23</v>
      </c>
      <c r="L2259">
        <f t="shared" si="105"/>
        <v>2023</v>
      </c>
      <c r="M2259" t="str">
        <f t="shared" si="106"/>
        <v>Dec</v>
      </c>
      <c r="N2259" s="2">
        <f t="shared" si="107"/>
        <v>0.18316304810557682</v>
      </c>
    </row>
    <row r="2260" spans="1:14" x14ac:dyDescent="0.45">
      <c r="A2260" t="s">
        <v>4314</v>
      </c>
      <c r="B2260" s="1">
        <v>44588</v>
      </c>
      <c r="C2260" t="s">
        <v>4315</v>
      </c>
      <c r="D2260" t="s">
        <v>56</v>
      </c>
      <c r="E2260" t="s">
        <v>20</v>
      </c>
      <c r="F2260" t="s">
        <v>50</v>
      </c>
      <c r="G2260">
        <v>5</v>
      </c>
      <c r="H2260">
        <v>1789.89</v>
      </c>
      <c r="I2260">
        <v>427.73</v>
      </c>
      <c r="J2260" t="s">
        <v>71</v>
      </c>
      <c r="K2260" t="s">
        <v>17</v>
      </c>
      <c r="L2260">
        <f t="shared" si="105"/>
        <v>2022</v>
      </c>
      <c r="M2260" t="str">
        <f t="shared" si="106"/>
        <v>Jan</v>
      </c>
      <c r="N2260" s="2">
        <f t="shared" si="107"/>
        <v>0.23896999256937576</v>
      </c>
    </row>
    <row r="2261" spans="1:14" x14ac:dyDescent="0.45">
      <c r="A2261" t="s">
        <v>4316</v>
      </c>
      <c r="B2261" s="1">
        <v>45638</v>
      </c>
      <c r="C2261" t="s">
        <v>4317</v>
      </c>
      <c r="D2261" t="s">
        <v>26</v>
      </c>
      <c r="E2261" t="s">
        <v>14</v>
      </c>
      <c r="F2261" t="s">
        <v>40</v>
      </c>
      <c r="G2261">
        <v>4</v>
      </c>
      <c r="H2261">
        <v>25080.71</v>
      </c>
      <c r="I2261">
        <v>2229.0300000000002</v>
      </c>
      <c r="J2261" t="s">
        <v>22</v>
      </c>
      <c r="K2261" t="s">
        <v>17</v>
      </c>
      <c r="L2261">
        <f t="shared" si="105"/>
        <v>2024</v>
      </c>
      <c r="M2261" t="str">
        <f t="shared" si="106"/>
        <v>Dec</v>
      </c>
      <c r="N2261" s="2">
        <f t="shared" si="107"/>
        <v>8.8874278280000857E-2</v>
      </c>
    </row>
    <row r="2262" spans="1:14" x14ac:dyDescent="0.45">
      <c r="A2262" t="s">
        <v>4318</v>
      </c>
      <c r="B2262" s="1">
        <v>45092</v>
      </c>
      <c r="C2262" t="s">
        <v>4319</v>
      </c>
      <c r="D2262" t="s">
        <v>26</v>
      </c>
      <c r="E2262" t="s">
        <v>36</v>
      </c>
      <c r="F2262" t="s">
        <v>37</v>
      </c>
      <c r="G2262">
        <v>5</v>
      </c>
      <c r="H2262">
        <v>22787.98</v>
      </c>
      <c r="I2262">
        <v>4675.8</v>
      </c>
      <c r="J2262" t="s">
        <v>71</v>
      </c>
      <c r="K2262" t="s">
        <v>23</v>
      </c>
      <c r="L2262">
        <f t="shared" si="105"/>
        <v>2023</v>
      </c>
      <c r="M2262" t="str">
        <f t="shared" si="106"/>
        <v>Jun</v>
      </c>
      <c r="N2262" s="2">
        <f t="shared" si="107"/>
        <v>0.20518712057848043</v>
      </c>
    </row>
    <row r="2263" spans="1:14" x14ac:dyDescent="0.45">
      <c r="A2263" t="s">
        <v>4320</v>
      </c>
      <c r="B2263" s="1">
        <v>45104</v>
      </c>
      <c r="C2263" t="s">
        <v>2064</v>
      </c>
      <c r="D2263" t="s">
        <v>56</v>
      </c>
      <c r="E2263" t="s">
        <v>36</v>
      </c>
      <c r="F2263" t="s">
        <v>53</v>
      </c>
      <c r="G2263">
        <v>2</v>
      </c>
      <c r="H2263">
        <v>14286.4</v>
      </c>
      <c r="I2263">
        <v>2979.7</v>
      </c>
      <c r="J2263" t="s">
        <v>16</v>
      </c>
      <c r="K2263" t="s">
        <v>23</v>
      </c>
      <c r="L2263">
        <f t="shared" si="105"/>
        <v>2023</v>
      </c>
      <c r="M2263" t="str">
        <f t="shared" si="106"/>
        <v>Jun</v>
      </c>
      <c r="N2263" s="2">
        <f t="shared" si="107"/>
        <v>0.20856898868854296</v>
      </c>
    </row>
    <row r="2264" spans="1:14" x14ac:dyDescent="0.45">
      <c r="A2264" t="s">
        <v>4321</v>
      </c>
      <c r="B2264" s="1">
        <v>44771</v>
      </c>
      <c r="C2264" t="s">
        <v>4322</v>
      </c>
      <c r="D2264" t="s">
        <v>26</v>
      </c>
      <c r="E2264" t="s">
        <v>20</v>
      </c>
      <c r="F2264" t="s">
        <v>27</v>
      </c>
      <c r="G2264">
        <v>2</v>
      </c>
      <c r="H2264">
        <v>25718.9</v>
      </c>
      <c r="I2264">
        <v>6318.6</v>
      </c>
      <c r="J2264" t="s">
        <v>16</v>
      </c>
      <c r="K2264" t="s">
        <v>23</v>
      </c>
      <c r="L2264">
        <f t="shared" si="105"/>
        <v>2022</v>
      </c>
      <c r="M2264" t="str">
        <f t="shared" si="106"/>
        <v>Jul</v>
      </c>
      <c r="N2264" s="2">
        <f t="shared" si="107"/>
        <v>0.24567924755724391</v>
      </c>
    </row>
    <row r="2265" spans="1:14" x14ac:dyDescent="0.45">
      <c r="A2265" t="s">
        <v>4323</v>
      </c>
      <c r="B2265" s="1">
        <v>44631</v>
      </c>
      <c r="C2265" t="s">
        <v>4324</v>
      </c>
      <c r="D2265" t="s">
        <v>26</v>
      </c>
      <c r="E2265" t="s">
        <v>36</v>
      </c>
      <c r="F2265" t="s">
        <v>64</v>
      </c>
      <c r="G2265">
        <v>3</v>
      </c>
      <c r="H2265">
        <v>2407.16</v>
      </c>
      <c r="I2265">
        <v>481.13</v>
      </c>
      <c r="J2265" t="s">
        <v>47</v>
      </c>
      <c r="K2265" t="s">
        <v>17</v>
      </c>
      <c r="L2265">
        <f t="shared" si="105"/>
        <v>2022</v>
      </c>
      <c r="M2265" t="str">
        <f t="shared" si="106"/>
        <v>Mar</v>
      </c>
      <c r="N2265" s="2">
        <f t="shared" si="107"/>
        <v>0.19987454095282409</v>
      </c>
    </row>
    <row r="2266" spans="1:14" x14ac:dyDescent="0.45">
      <c r="A2266" t="s">
        <v>4325</v>
      </c>
      <c r="B2266" s="1">
        <v>45019</v>
      </c>
      <c r="C2266" t="s">
        <v>4326</v>
      </c>
      <c r="D2266" t="s">
        <v>26</v>
      </c>
      <c r="E2266" t="s">
        <v>36</v>
      </c>
      <c r="F2266" t="s">
        <v>46</v>
      </c>
      <c r="G2266">
        <v>2</v>
      </c>
      <c r="H2266">
        <v>29704.79</v>
      </c>
      <c r="I2266">
        <v>2625.51</v>
      </c>
      <c r="J2266" t="s">
        <v>28</v>
      </c>
      <c r="K2266" t="s">
        <v>17</v>
      </c>
      <c r="L2266">
        <f t="shared" si="105"/>
        <v>2023</v>
      </c>
      <c r="M2266" t="str">
        <f t="shared" si="106"/>
        <v>Apr</v>
      </c>
      <c r="N2266" s="2">
        <f t="shared" si="107"/>
        <v>8.8386755132758052E-2</v>
      </c>
    </row>
    <row r="2267" spans="1:14" x14ac:dyDescent="0.45">
      <c r="A2267" t="s">
        <v>4327</v>
      </c>
      <c r="B2267" s="1">
        <v>44581</v>
      </c>
      <c r="C2267" t="s">
        <v>248</v>
      </c>
      <c r="D2267" t="s">
        <v>13</v>
      </c>
      <c r="E2267" t="s">
        <v>14</v>
      </c>
      <c r="F2267" t="s">
        <v>32</v>
      </c>
      <c r="G2267">
        <v>1</v>
      </c>
      <c r="H2267">
        <v>25177.13</v>
      </c>
      <c r="I2267">
        <v>1833.67</v>
      </c>
      <c r="J2267" t="s">
        <v>28</v>
      </c>
      <c r="K2267" t="s">
        <v>23</v>
      </c>
      <c r="L2267">
        <f t="shared" si="105"/>
        <v>2022</v>
      </c>
      <c r="M2267" t="str">
        <f t="shared" si="106"/>
        <v>Jan</v>
      </c>
      <c r="N2267" s="2">
        <f t="shared" si="107"/>
        <v>7.2830779362063905E-2</v>
      </c>
    </row>
    <row r="2268" spans="1:14" x14ac:dyDescent="0.45">
      <c r="A2268" t="s">
        <v>4328</v>
      </c>
      <c r="B2268" s="1">
        <v>45218</v>
      </c>
      <c r="C2268" t="s">
        <v>4329</v>
      </c>
      <c r="D2268" t="s">
        <v>56</v>
      </c>
      <c r="E2268" t="s">
        <v>14</v>
      </c>
      <c r="F2268" t="s">
        <v>40</v>
      </c>
      <c r="G2268">
        <v>4</v>
      </c>
      <c r="H2268">
        <v>26438.43</v>
      </c>
      <c r="I2268">
        <v>6209.43</v>
      </c>
      <c r="J2268" t="s">
        <v>71</v>
      </c>
      <c r="K2268" t="s">
        <v>33</v>
      </c>
      <c r="L2268">
        <f t="shared" si="105"/>
        <v>2023</v>
      </c>
      <c r="M2268" t="str">
        <f t="shared" si="106"/>
        <v>Oct</v>
      </c>
      <c r="N2268" s="2">
        <f t="shared" si="107"/>
        <v>0.23486379486225167</v>
      </c>
    </row>
    <row r="2269" spans="1:14" x14ac:dyDescent="0.45">
      <c r="A2269" t="s">
        <v>4330</v>
      </c>
      <c r="B2269" s="1">
        <v>45043</v>
      </c>
      <c r="C2269" t="s">
        <v>1872</v>
      </c>
      <c r="D2269" t="s">
        <v>13</v>
      </c>
      <c r="E2269" t="s">
        <v>20</v>
      </c>
      <c r="F2269" t="s">
        <v>43</v>
      </c>
      <c r="G2269">
        <v>5</v>
      </c>
      <c r="H2269">
        <v>15342.66</v>
      </c>
      <c r="I2269">
        <v>3660.97</v>
      </c>
      <c r="J2269" t="s">
        <v>47</v>
      </c>
      <c r="K2269" t="s">
        <v>23</v>
      </c>
      <c r="L2269">
        <f t="shared" si="105"/>
        <v>2023</v>
      </c>
      <c r="M2269" t="str">
        <f t="shared" si="106"/>
        <v>Apr</v>
      </c>
      <c r="N2269" s="2">
        <f t="shared" si="107"/>
        <v>0.23861377362204467</v>
      </c>
    </row>
    <row r="2270" spans="1:14" x14ac:dyDescent="0.45">
      <c r="A2270" t="s">
        <v>4331</v>
      </c>
      <c r="B2270" s="1">
        <v>45039</v>
      </c>
      <c r="C2270" t="s">
        <v>4332</v>
      </c>
      <c r="D2270" t="s">
        <v>26</v>
      </c>
      <c r="E2270" t="s">
        <v>20</v>
      </c>
      <c r="F2270" t="s">
        <v>27</v>
      </c>
      <c r="G2270">
        <v>4</v>
      </c>
      <c r="H2270">
        <v>35514.550000000003</v>
      </c>
      <c r="I2270">
        <v>7675.82</v>
      </c>
      <c r="J2270" t="s">
        <v>47</v>
      </c>
      <c r="K2270" t="s">
        <v>23</v>
      </c>
      <c r="L2270">
        <f t="shared" si="105"/>
        <v>2023</v>
      </c>
      <c r="M2270" t="str">
        <f t="shared" si="106"/>
        <v>Apr</v>
      </c>
      <c r="N2270" s="2">
        <f t="shared" si="107"/>
        <v>0.21613169813498972</v>
      </c>
    </row>
    <row r="2271" spans="1:14" x14ac:dyDescent="0.45">
      <c r="A2271" t="s">
        <v>4333</v>
      </c>
      <c r="B2271" s="1">
        <v>45095</v>
      </c>
      <c r="C2271" t="s">
        <v>4334</v>
      </c>
      <c r="D2271" t="s">
        <v>56</v>
      </c>
      <c r="E2271" t="s">
        <v>36</v>
      </c>
      <c r="F2271" t="s">
        <v>53</v>
      </c>
      <c r="G2271">
        <v>4</v>
      </c>
      <c r="H2271">
        <v>21242.21</v>
      </c>
      <c r="I2271">
        <v>3056.06</v>
      </c>
      <c r="J2271" t="s">
        <v>16</v>
      </c>
      <c r="K2271" t="s">
        <v>33</v>
      </c>
      <c r="L2271">
        <f t="shared" si="105"/>
        <v>2023</v>
      </c>
      <c r="M2271" t="str">
        <f t="shared" si="106"/>
        <v>Jun</v>
      </c>
      <c r="N2271" s="2">
        <f t="shared" si="107"/>
        <v>0.14386732830529403</v>
      </c>
    </row>
    <row r="2272" spans="1:14" x14ac:dyDescent="0.45">
      <c r="A2272" t="s">
        <v>4335</v>
      </c>
      <c r="B2272" s="1">
        <v>44913</v>
      </c>
      <c r="C2272" t="s">
        <v>4336</v>
      </c>
      <c r="D2272" t="s">
        <v>13</v>
      </c>
      <c r="E2272" t="s">
        <v>14</v>
      </c>
      <c r="F2272" t="s">
        <v>32</v>
      </c>
      <c r="G2272">
        <v>2</v>
      </c>
      <c r="H2272">
        <v>31640.87</v>
      </c>
      <c r="I2272">
        <v>6745.29</v>
      </c>
      <c r="J2272" t="s">
        <v>22</v>
      </c>
      <c r="K2272" t="s">
        <v>23</v>
      </c>
      <c r="L2272">
        <f t="shared" si="105"/>
        <v>2022</v>
      </c>
      <c r="M2272" t="str">
        <f t="shared" si="106"/>
        <v>Dec</v>
      </c>
      <c r="N2272" s="2">
        <f t="shared" si="107"/>
        <v>0.21318282335473077</v>
      </c>
    </row>
    <row r="2273" spans="1:14" x14ac:dyDescent="0.45">
      <c r="A2273" t="s">
        <v>4337</v>
      </c>
      <c r="B2273" s="1">
        <v>45011</v>
      </c>
      <c r="C2273" t="s">
        <v>4338</v>
      </c>
      <c r="D2273" t="s">
        <v>13</v>
      </c>
      <c r="E2273" t="s">
        <v>14</v>
      </c>
      <c r="F2273" t="s">
        <v>32</v>
      </c>
      <c r="G2273">
        <v>3</v>
      </c>
      <c r="H2273">
        <v>36082.400000000001</v>
      </c>
      <c r="I2273">
        <v>5953.62</v>
      </c>
      <c r="J2273" t="s">
        <v>28</v>
      </c>
      <c r="K2273" t="s">
        <v>33</v>
      </c>
      <c r="L2273">
        <f t="shared" si="105"/>
        <v>2023</v>
      </c>
      <c r="M2273" t="str">
        <f t="shared" si="106"/>
        <v>Mar</v>
      </c>
      <c r="N2273" s="2">
        <f t="shared" si="107"/>
        <v>0.16500066514422543</v>
      </c>
    </row>
    <row r="2274" spans="1:14" x14ac:dyDescent="0.45">
      <c r="A2274" t="s">
        <v>4339</v>
      </c>
      <c r="B2274" s="1">
        <v>44841</v>
      </c>
      <c r="C2274" t="s">
        <v>4340</v>
      </c>
      <c r="D2274" t="s">
        <v>13</v>
      </c>
      <c r="E2274" t="s">
        <v>20</v>
      </c>
      <c r="F2274" t="s">
        <v>21</v>
      </c>
      <c r="G2274">
        <v>5</v>
      </c>
      <c r="H2274">
        <v>31068.84</v>
      </c>
      <c r="I2274">
        <v>2388.39</v>
      </c>
      <c r="J2274" t="s">
        <v>22</v>
      </c>
      <c r="K2274" t="s">
        <v>17</v>
      </c>
      <c r="L2274">
        <f t="shared" si="105"/>
        <v>2022</v>
      </c>
      <c r="M2274" t="str">
        <f t="shared" si="106"/>
        <v>Oct</v>
      </c>
      <c r="N2274" s="2">
        <f t="shared" si="107"/>
        <v>7.6874128548088685E-2</v>
      </c>
    </row>
    <row r="2275" spans="1:14" x14ac:dyDescent="0.45">
      <c r="A2275" t="s">
        <v>4341</v>
      </c>
      <c r="B2275" s="1">
        <v>45342</v>
      </c>
      <c r="C2275" t="s">
        <v>4342</v>
      </c>
      <c r="D2275" t="s">
        <v>56</v>
      </c>
      <c r="E2275" t="s">
        <v>20</v>
      </c>
      <c r="F2275" t="s">
        <v>50</v>
      </c>
      <c r="G2275">
        <v>1</v>
      </c>
      <c r="H2275">
        <v>21675.57</v>
      </c>
      <c r="I2275">
        <v>2868.99</v>
      </c>
      <c r="J2275" t="s">
        <v>71</v>
      </c>
      <c r="K2275" t="s">
        <v>33</v>
      </c>
      <c r="L2275">
        <f t="shared" si="105"/>
        <v>2024</v>
      </c>
      <c r="M2275" t="str">
        <f t="shared" si="106"/>
        <v>Feb</v>
      </c>
      <c r="N2275" s="2">
        <f t="shared" si="107"/>
        <v>0.1323605330794069</v>
      </c>
    </row>
    <row r="2276" spans="1:14" x14ac:dyDescent="0.45">
      <c r="A2276" t="s">
        <v>4343</v>
      </c>
      <c r="B2276" s="1">
        <v>45017</v>
      </c>
      <c r="C2276" t="s">
        <v>4344</v>
      </c>
      <c r="D2276" t="s">
        <v>26</v>
      </c>
      <c r="E2276" t="s">
        <v>20</v>
      </c>
      <c r="F2276" t="s">
        <v>50</v>
      </c>
      <c r="G2276">
        <v>1</v>
      </c>
      <c r="H2276">
        <v>36190.82</v>
      </c>
      <c r="I2276">
        <v>7797.02</v>
      </c>
      <c r="J2276" t="s">
        <v>71</v>
      </c>
      <c r="K2276" t="s">
        <v>23</v>
      </c>
      <c r="L2276">
        <f t="shared" si="105"/>
        <v>2023</v>
      </c>
      <c r="M2276" t="str">
        <f t="shared" si="106"/>
        <v>Apr</v>
      </c>
      <c r="N2276" s="2">
        <f t="shared" si="107"/>
        <v>0.21544192698590417</v>
      </c>
    </row>
    <row r="2277" spans="1:14" x14ac:dyDescent="0.45">
      <c r="A2277" t="s">
        <v>4345</v>
      </c>
      <c r="B2277" s="1">
        <v>45211</v>
      </c>
      <c r="C2277" t="s">
        <v>4346</v>
      </c>
      <c r="D2277" t="s">
        <v>13</v>
      </c>
      <c r="E2277" t="s">
        <v>36</v>
      </c>
      <c r="F2277" t="s">
        <v>64</v>
      </c>
      <c r="G2277">
        <v>2</v>
      </c>
      <c r="H2277">
        <v>17587.63</v>
      </c>
      <c r="I2277">
        <v>2008.21</v>
      </c>
      <c r="J2277" t="s">
        <v>16</v>
      </c>
      <c r="K2277" t="s">
        <v>17</v>
      </c>
      <c r="L2277">
        <f t="shared" si="105"/>
        <v>2023</v>
      </c>
      <c r="M2277" t="str">
        <f t="shared" si="106"/>
        <v>Oct</v>
      </c>
      <c r="N2277" s="2">
        <f t="shared" si="107"/>
        <v>0.11418309345829995</v>
      </c>
    </row>
    <row r="2278" spans="1:14" x14ac:dyDescent="0.45">
      <c r="A2278" t="s">
        <v>4347</v>
      </c>
      <c r="B2278" s="1">
        <v>44771</v>
      </c>
      <c r="C2278" t="s">
        <v>4348</v>
      </c>
      <c r="D2278" t="s">
        <v>56</v>
      </c>
      <c r="E2278" t="s">
        <v>20</v>
      </c>
      <c r="F2278" t="s">
        <v>27</v>
      </c>
      <c r="G2278">
        <v>5</v>
      </c>
      <c r="H2278">
        <v>5127.62</v>
      </c>
      <c r="I2278">
        <v>597.88</v>
      </c>
      <c r="J2278" t="s">
        <v>71</v>
      </c>
      <c r="K2278" t="s">
        <v>17</v>
      </c>
      <c r="L2278">
        <f t="shared" si="105"/>
        <v>2022</v>
      </c>
      <c r="M2278" t="str">
        <f t="shared" si="106"/>
        <v>Jul</v>
      </c>
      <c r="N2278" s="2">
        <f t="shared" si="107"/>
        <v>0.116599904049052</v>
      </c>
    </row>
    <row r="2279" spans="1:14" x14ac:dyDescent="0.45">
      <c r="A2279" t="s">
        <v>4349</v>
      </c>
      <c r="B2279" s="1">
        <v>45330</v>
      </c>
      <c r="C2279" t="s">
        <v>2911</v>
      </c>
      <c r="D2279" t="s">
        <v>26</v>
      </c>
      <c r="E2279" t="s">
        <v>20</v>
      </c>
      <c r="F2279" t="s">
        <v>27</v>
      </c>
      <c r="G2279">
        <v>2</v>
      </c>
      <c r="H2279">
        <v>43655.26</v>
      </c>
      <c r="I2279">
        <v>3997.67</v>
      </c>
      <c r="J2279" t="s">
        <v>47</v>
      </c>
      <c r="K2279" t="s">
        <v>23</v>
      </c>
      <c r="L2279">
        <f t="shared" si="105"/>
        <v>2024</v>
      </c>
      <c r="M2279" t="str">
        <f t="shared" si="106"/>
        <v>Feb</v>
      </c>
      <c r="N2279" s="2">
        <f t="shared" si="107"/>
        <v>9.1573615642192949E-2</v>
      </c>
    </row>
    <row r="2280" spans="1:14" x14ac:dyDescent="0.45">
      <c r="A2280" t="s">
        <v>4350</v>
      </c>
      <c r="B2280" s="1">
        <v>45379</v>
      </c>
      <c r="C2280" t="s">
        <v>4351</v>
      </c>
      <c r="D2280" t="s">
        <v>26</v>
      </c>
      <c r="E2280" t="s">
        <v>20</v>
      </c>
      <c r="F2280" t="s">
        <v>43</v>
      </c>
      <c r="G2280">
        <v>3</v>
      </c>
      <c r="H2280">
        <v>31156.880000000001</v>
      </c>
      <c r="I2280">
        <v>4938.18</v>
      </c>
      <c r="J2280" t="s">
        <v>47</v>
      </c>
      <c r="K2280" t="s">
        <v>33</v>
      </c>
      <c r="L2280">
        <f t="shared" si="105"/>
        <v>2024</v>
      </c>
      <c r="M2280" t="str">
        <f t="shared" si="106"/>
        <v>Mar</v>
      </c>
      <c r="N2280" s="2">
        <f t="shared" si="107"/>
        <v>0.15849404690071664</v>
      </c>
    </row>
    <row r="2281" spans="1:14" x14ac:dyDescent="0.45">
      <c r="A2281" t="s">
        <v>4352</v>
      </c>
      <c r="B2281" s="1">
        <v>45635</v>
      </c>
      <c r="C2281" t="s">
        <v>4353</v>
      </c>
      <c r="D2281" t="s">
        <v>13</v>
      </c>
      <c r="E2281" t="s">
        <v>36</v>
      </c>
      <c r="F2281" t="s">
        <v>37</v>
      </c>
      <c r="G2281">
        <v>2</v>
      </c>
      <c r="H2281">
        <v>3145.64</v>
      </c>
      <c r="I2281">
        <v>515.87</v>
      </c>
      <c r="J2281" t="s">
        <v>16</v>
      </c>
      <c r="K2281" t="s">
        <v>29</v>
      </c>
      <c r="L2281">
        <f t="shared" si="105"/>
        <v>2024</v>
      </c>
      <c r="M2281" t="str">
        <f t="shared" si="106"/>
        <v>Dec</v>
      </c>
      <c r="N2281" s="2">
        <f t="shared" si="107"/>
        <v>0.16399524421103495</v>
      </c>
    </row>
    <row r="2282" spans="1:14" x14ac:dyDescent="0.45">
      <c r="A2282" t="s">
        <v>4354</v>
      </c>
      <c r="B2282" s="1">
        <v>45387</v>
      </c>
      <c r="C2282" t="s">
        <v>4355</v>
      </c>
      <c r="D2282" t="s">
        <v>13</v>
      </c>
      <c r="E2282" t="s">
        <v>36</v>
      </c>
      <c r="F2282" t="s">
        <v>37</v>
      </c>
      <c r="G2282">
        <v>4</v>
      </c>
      <c r="H2282">
        <v>17268.599999999999</v>
      </c>
      <c r="I2282">
        <v>3916.79</v>
      </c>
      <c r="J2282" t="s">
        <v>47</v>
      </c>
      <c r="K2282" t="s">
        <v>23</v>
      </c>
      <c r="L2282">
        <f t="shared" si="105"/>
        <v>2024</v>
      </c>
      <c r="M2282" t="str">
        <f t="shared" si="106"/>
        <v>Apr</v>
      </c>
      <c r="N2282" s="2">
        <f t="shared" si="107"/>
        <v>0.22681572333599714</v>
      </c>
    </row>
    <row r="2283" spans="1:14" x14ac:dyDescent="0.45">
      <c r="A2283" t="s">
        <v>4356</v>
      </c>
      <c r="B2283" s="1">
        <v>45607</v>
      </c>
      <c r="C2283" t="s">
        <v>2445</v>
      </c>
      <c r="D2283" t="s">
        <v>26</v>
      </c>
      <c r="E2283" t="s">
        <v>20</v>
      </c>
      <c r="F2283" t="s">
        <v>27</v>
      </c>
      <c r="G2283">
        <v>4</v>
      </c>
      <c r="H2283">
        <v>48533.91</v>
      </c>
      <c r="I2283">
        <v>8079.85</v>
      </c>
      <c r="J2283" t="s">
        <v>47</v>
      </c>
      <c r="K2283" t="s">
        <v>33</v>
      </c>
      <c r="L2283">
        <f t="shared" si="105"/>
        <v>2024</v>
      </c>
      <c r="M2283" t="str">
        <f t="shared" si="106"/>
        <v>Nov</v>
      </c>
      <c r="N2283" s="2">
        <f t="shared" si="107"/>
        <v>0.16647844774921286</v>
      </c>
    </row>
    <row r="2284" spans="1:14" x14ac:dyDescent="0.45">
      <c r="A2284" t="s">
        <v>4357</v>
      </c>
      <c r="B2284" s="1">
        <v>45247</v>
      </c>
      <c r="C2284" t="s">
        <v>1414</v>
      </c>
      <c r="D2284" t="s">
        <v>26</v>
      </c>
      <c r="E2284" t="s">
        <v>14</v>
      </c>
      <c r="F2284" t="s">
        <v>57</v>
      </c>
      <c r="G2284">
        <v>4</v>
      </c>
      <c r="H2284">
        <v>43528.51</v>
      </c>
      <c r="I2284">
        <v>8276.81</v>
      </c>
      <c r="J2284" t="s">
        <v>16</v>
      </c>
      <c r="K2284" t="s">
        <v>23</v>
      </c>
      <c r="L2284">
        <f t="shared" si="105"/>
        <v>2023</v>
      </c>
      <c r="M2284" t="str">
        <f t="shared" si="106"/>
        <v>Nov</v>
      </c>
      <c r="N2284" s="2">
        <f t="shared" si="107"/>
        <v>0.19014687155613641</v>
      </c>
    </row>
    <row r="2285" spans="1:14" x14ac:dyDescent="0.45">
      <c r="A2285" t="s">
        <v>4358</v>
      </c>
      <c r="B2285" s="1">
        <v>45396</v>
      </c>
      <c r="C2285" t="s">
        <v>4359</v>
      </c>
      <c r="D2285" t="s">
        <v>56</v>
      </c>
      <c r="E2285" t="s">
        <v>14</v>
      </c>
      <c r="F2285" t="s">
        <v>32</v>
      </c>
      <c r="G2285">
        <v>4</v>
      </c>
      <c r="H2285">
        <v>37964.76</v>
      </c>
      <c r="I2285">
        <v>2942.21</v>
      </c>
      <c r="J2285" t="s">
        <v>22</v>
      </c>
      <c r="K2285" t="s">
        <v>33</v>
      </c>
      <c r="L2285">
        <f t="shared" si="105"/>
        <v>2024</v>
      </c>
      <c r="M2285" t="str">
        <f t="shared" si="106"/>
        <v>Apr</v>
      </c>
      <c r="N2285" s="2">
        <f t="shared" si="107"/>
        <v>7.7498448561244687E-2</v>
      </c>
    </row>
    <row r="2286" spans="1:14" x14ac:dyDescent="0.45">
      <c r="A2286" t="s">
        <v>4360</v>
      </c>
      <c r="B2286" s="1">
        <v>44931</v>
      </c>
      <c r="C2286" t="s">
        <v>4361</v>
      </c>
      <c r="D2286" t="s">
        <v>56</v>
      </c>
      <c r="E2286" t="s">
        <v>14</v>
      </c>
      <c r="F2286" t="s">
        <v>15</v>
      </c>
      <c r="G2286">
        <v>2</v>
      </c>
      <c r="H2286">
        <v>39406.78</v>
      </c>
      <c r="I2286">
        <v>9401.11</v>
      </c>
      <c r="J2286" t="s">
        <v>71</v>
      </c>
      <c r="K2286" t="s">
        <v>23</v>
      </c>
      <c r="L2286">
        <f t="shared" si="105"/>
        <v>2023</v>
      </c>
      <c r="M2286" t="str">
        <f t="shared" si="106"/>
        <v>Jan</v>
      </c>
      <c r="N2286" s="2">
        <f t="shared" si="107"/>
        <v>0.23856580009835873</v>
      </c>
    </row>
    <row r="2287" spans="1:14" x14ac:dyDescent="0.45">
      <c r="A2287" t="s">
        <v>4362</v>
      </c>
      <c r="B2287" s="1">
        <v>45073</v>
      </c>
      <c r="C2287" t="s">
        <v>4363</v>
      </c>
      <c r="D2287" t="s">
        <v>13</v>
      </c>
      <c r="E2287" t="s">
        <v>36</v>
      </c>
      <c r="F2287" t="s">
        <v>46</v>
      </c>
      <c r="G2287">
        <v>2</v>
      </c>
      <c r="H2287">
        <v>8794.5499999999993</v>
      </c>
      <c r="I2287">
        <v>1865.46</v>
      </c>
      <c r="J2287" t="s">
        <v>47</v>
      </c>
      <c r="K2287" t="s">
        <v>17</v>
      </c>
      <c r="L2287">
        <f t="shared" si="105"/>
        <v>2023</v>
      </c>
      <c r="M2287" t="str">
        <f t="shared" si="106"/>
        <v>May</v>
      </c>
      <c r="N2287" s="2">
        <f t="shared" si="107"/>
        <v>0.21211545786879377</v>
      </c>
    </row>
    <row r="2288" spans="1:14" x14ac:dyDescent="0.45">
      <c r="A2288" t="s">
        <v>4364</v>
      </c>
      <c r="B2288" s="1">
        <v>44626</v>
      </c>
      <c r="C2288" t="s">
        <v>3726</v>
      </c>
      <c r="D2288" t="s">
        <v>13</v>
      </c>
      <c r="E2288" t="s">
        <v>14</v>
      </c>
      <c r="F2288" t="s">
        <v>40</v>
      </c>
      <c r="G2288">
        <v>3</v>
      </c>
      <c r="H2288">
        <v>4827.26</v>
      </c>
      <c r="I2288">
        <v>353.44</v>
      </c>
      <c r="J2288" t="s">
        <v>28</v>
      </c>
      <c r="K2288" t="s">
        <v>29</v>
      </c>
      <c r="L2288">
        <f t="shared" si="105"/>
        <v>2022</v>
      </c>
      <c r="M2288" t="str">
        <f t="shared" si="106"/>
        <v>Mar</v>
      </c>
      <c r="N2288" s="2">
        <f t="shared" si="107"/>
        <v>7.3217518840915957E-2</v>
      </c>
    </row>
    <row r="2289" spans="1:14" x14ac:dyDescent="0.45">
      <c r="A2289" t="s">
        <v>4365</v>
      </c>
      <c r="B2289" s="1">
        <v>45390</v>
      </c>
      <c r="C2289" t="s">
        <v>4366</v>
      </c>
      <c r="D2289" t="s">
        <v>26</v>
      </c>
      <c r="E2289" t="s">
        <v>20</v>
      </c>
      <c r="F2289" t="s">
        <v>27</v>
      </c>
      <c r="G2289">
        <v>5</v>
      </c>
      <c r="H2289">
        <v>49376.03</v>
      </c>
      <c r="I2289">
        <v>2590.89</v>
      </c>
      <c r="J2289" t="s">
        <v>22</v>
      </c>
      <c r="K2289" t="s">
        <v>29</v>
      </c>
      <c r="L2289">
        <f t="shared" si="105"/>
        <v>2024</v>
      </c>
      <c r="M2289" t="str">
        <f t="shared" si="106"/>
        <v>Apr</v>
      </c>
      <c r="N2289" s="2">
        <f t="shared" si="107"/>
        <v>5.2472626900137577E-2</v>
      </c>
    </row>
    <row r="2290" spans="1:14" x14ac:dyDescent="0.45">
      <c r="A2290" t="s">
        <v>4367</v>
      </c>
      <c r="B2290" s="1">
        <v>45405</v>
      </c>
      <c r="C2290" t="s">
        <v>4368</v>
      </c>
      <c r="D2290" t="s">
        <v>13</v>
      </c>
      <c r="E2290" t="s">
        <v>14</v>
      </c>
      <c r="F2290" t="s">
        <v>15</v>
      </c>
      <c r="G2290">
        <v>3</v>
      </c>
      <c r="H2290">
        <v>19672.189999999999</v>
      </c>
      <c r="I2290">
        <v>1352.9</v>
      </c>
      <c r="J2290" t="s">
        <v>71</v>
      </c>
      <c r="K2290" t="s">
        <v>33</v>
      </c>
      <c r="L2290">
        <f t="shared" si="105"/>
        <v>2024</v>
      </c>
      <c r="M2290" t="str">
        <f t="shared" si="106"/>
        <v>Apr</v>
      </c>
      <c r="N2290" s="2">
        <f t="shared" si="107"/>
        <v>6.8772210923135665E-2</v>
      </c>
    </row>
    <row r="2291" spans="1:14" x14ac:dyDescent="0.45">
      <c r="A2291" t="s">
        <v>4369</v>
      </c>
      <c r="B2291" s="1">
        <v>45058</v>
      </c>
      <c r="C2291" t="s">
        <v>4370</v>
      </c>
      <c r="D2291" t="s">
        <v>56</v>
      </c>
      <c r="E2291" t="s">
        <v>36</v>
      </c>
      <c r="F2291" t="s">
        <v>46</v>
      </c>
      <c r="G2291">
        <v>5</v>
      </c>
      <c r="H2291">
        <v>1036.9100000000001</v>
      </c>
      <c r="I2291">
        <v>91.94</v>
      </c>
      <c r="J2291" t="s">
        <v>71</v>
      </c>
      <c r="K2291" t="s">
        <v>23</v>
      </c>
      <c r="L2291">
        <f t="shared" si="105"/>
        <v>2023</v>
      </c>
      <c r="M2291" t="str">
        <f t="shared" si="106"/>
        <v>May</v>
      </c>
      <c r="N2291" s="2">
        <f t="shared" si="107"/>
        <v>8.8667290314492081E-2</v>
      </c>
    </row>
    <row r="2292" spans="1:14" x14ac:dyDescent="0.45">
      <c r="A2292" t="s">
        <v>4371</v>
      </c>
      <c r="B2292" s="1">
        <v>45576</v>
      </c>
      <c r="C2292" t="s">
        <v>4372</v>
      </c>
      <c r="D2292" t="s">
        <v>13</v>
      </c>
      <c r="E2292" t="s">
        <v>14</v>
      </c>
      <c r="F2292" t="s">
        <v>57</v>
      </c>
      <c r="G2292">
        <v>4</v>
      </c>
      <c r="H2292">
        <v>3008.04</v>
      </c>
      <c r="I2292">
        <v>482.44</v>
      </c>
      <c r="J2292" t="s">
        <v>16</v>
      </c>
      <c r="K2292" t="s">
        <v>33</v>
      </c>
      <c r="L2292">
        <f t="shared" si="105"/>
        <v>2024</v>
      </c>
      <c r="M2292" t="str">
        <f t="shared" si="106"/>
        <v>Oct</v>
      </c>
      <c r="N2292" s="2">
        <f t="shared" si="107"/>
        <v>0.16038350553849018</v>
      </c>
    </row>
    <row r="2293" spans="1:14" x14ac:dyDescent="0.45">
      <c r="A2293" t="s">
        <v>4373</v>
      </c>
      <c r="B2293" s="1">
        <v>45120</v>
      </c>
      <c r="C2293" t="s">
        <v>4374</v>
      </c>
      <c r="D2293" t="s">
        <v>13</v>
      </c>
      <c r="E2293" t="s">
        <v>36</v>
      </c>
      <c r="F2293" t="s">
        <v>64</v>
      </c>
      <c r="G2293">
        <v>4</v>
      </c>
      <c r="H2293">
        <v>36128.43</v>
      </c>
      <c r="I2293">
        <v>8535.59</v>
      </c>
      <c r="J2293" t="s">
        <v>71</v>
      </c>
      <c r="K2293" t="s">
        <v>17</v>
      </c>
      <c r="L2293">
        <f t="shared" si="105"/>
        <v>2023</v>
      </c>
      <c r="M2293" t="str">
        <f t="shared" si="106"/>
        <v>Jul</v>
      </c>
      <c r="N2293" s="2">
        <f t="shared" si="107"/>
        <v>0.23625687581774243</v>
      </c>
    </row>
    <row r="2294" spans="1:14" x14ac:dyDescent="0.45">
      <c r="A2294" t="s">
        <v>4375</v>
      </c>
      <c r="B2294" s="1">
        <v>45168</v>
      </c>
      <c r="C2294" t="s">
        <v>4376</v>
      </c>
      <c r="D2294" t="s">
        <v>13</v>
      </c>
      <c r="E2294" t="s">
        <v>14</v>
      </c>
      <c r="F2294" t="s">
        <v>40</v>
      </c>
      <c r="G2294">
        <v>2</v>
      </c>
      <c r="H2294">
        <v>17055.810000000001</v>
      </c>
      <c r="I2294">
        <v>3786.04</v>
      </c>
      <c r="J2294" t="s">
        <v>22</v>
      </c>
      <c r="K2294" t="s">
        <v>23</v>
      </c>
      <c r="L2294">
        <f t="shared" si="105"/>
        <v>2023</v>
      </c>
      <c r="M2294" t="str">
        <f t="shared" si="106"/>
        <v>Aug</v>
      </c>
      <c r="N2294" s="2">
        <f t="shared" si="107"/>
        <v>0.22197948968709194</v>
      </c>
    </row>
    <row r="2295" spans="1:14" x14ac:dyDescent="0.45">
      <c r="A2295" t="s">
        <v>4377</v>
      </c>
      <c r="B2295" s="1">
        <v>45473</v>
      </c>
      <c r="C2295" t="s">
        <v>2463</v>
      </c>
      <c r="D2295" t="s">
        <v>56</v>
      </c>
      <c r="E2295" t="s">
        <v>14</v>
      </c>
      <c r="F2295" t="s">
        <v>57</v>
      </c>
      <c r="G2295">
        <v>2</v>
      </c>
      <c r="H2295">
        <v>31842.66</v>
      </c>
      <c r="I2295">
        <v>4701.0200000000004</v>
      </c>
      <c r="J2295" t="s">
        <v>71</v>
      </c>
      <c r="K2295" t="s">
        <v>17</v>
      </c>
      <c r="L2295">
        <f t="shared" si="105"/>
        <v>2024</v>
      </c>
      <c r="M2295" t="str">
        <f t="shared" si="106"/>
        <v>Jun</v>
      </c>
      <c r="N2295" s="2">
        <f t="shared" si="107"/>
        <v>0.14763276686055751</v>
      </c>
    </row>
    <row r="2296" spans="1:14" x14ac:dyDescent="0.45">
      <c r="A2296" t="s">
        <v>4378</v>
      </c>
      <c r="B2296" s="1">
        <v>44754</v>
      </c>
      <c r="C2296" t="s">
        <v>4379</v>
      </c>
      <c r="D2296" t="s">
        <v>26</v>
      </c>
      <c r="E2296" t="s">
        <v>36</v>
      </c>
      <c r="F2296" t="s">
        <v>53</v>
      </c>
      <c r="G2296">
        <v>2</v>
      </c>
      <c r="H2296">
        <v>41858.47</v>
      </c>
      <c r="I2296">
        <v>3958.33</v>
      </c>
      <c r="J2296" t="s">
        <v>28</v>
      </c>
      <c r="K2296" t="s">
        <v>17</v>
      </c>
      <c r="L2296">
        <f t="shared" si="105"/>
        <v>2022</v>
      </c>
      <c r="M2296" t="str">
        <f t="shared" si="106"/>
        <v>Jul</v>
      </c>
      <c r="N2296" s="2">
        <f t="shared" si="107"/>
        <v>9.4564612610064339E-2</v>
      </c>
    </row>
    <row r="2297" spans="1:14" x14ac:dyDescent="0.45">
      <c r="A2297" t="s">
        <v>4380</v>
      </c>
      <c r="B2297" s="1">
        <v>44637</v>
      </c>
      <c r="C2297" t="s">
        <v>4381</v>
      </c>
      <c r="D2297" t="s">
        <v>13</v>
      </c>
      <c r="E2297" t="s">
        <v>14</v>
      </c>
      <c r="F2297" t="s">
        <v>40</v>
      </c>
      <c r="G2297">
        <v>3</v>
      </c>
      <c r="H2297">
        <v>36602.11</v>
      </c>
      <c r="I2297">
        <v>2301.0500000000002</v>
      </c>
      <c r="J2297" t="s">
        <v>47</v>
      </c>
      <c r="K2297" t="s">
        <v>29</v>
      </c>
      <c r="L2297">
        <f t="shared" si="105"/>
        <v>2022</v>
      </c>
      <c r="M2297" t="str">
        <f t="shared" si="106"/>
        <v>Mar</v>
      </c>
      <c r="N2297" s="2">
        <f t="shared" si="107"/>
        <v>6.2866594302896747E-2</v>
      </c>
    </row>
    <row r="2298" spans="1:14" x14ac:dyDescent="0.45">
      <c r="A2298" t="s">
        <v>4382</v>
      </c>
      <c r="B2298" s="1">
        <v>45272</v>
      </c>
      <c r="C2298" t="s">
        <v>4383</v>
      </c>
      <c r="D2298" t="s">
        <v>13</v>
      </c>
      <c r="E2298" t="s">
        <v>14</v>
      </c>
      <c r="F2298" t="s">
        <v>15</v>
      </c>
      <c r="G2298">
        <v>1</v>
      </c>
      <c r="H2298">
        <v>4040.52</v>
      </c>
      <c r="I2298">
        <v>450.93</v>
      </c>
      <c r="J2298" t="s">
        <v>47</v>
      </c>
      <c r="K2298" t="s">
        <v>33</v>
      </c>
      <c r="L2298">
        <f t="shared" si="105"/>
        <v>2023</v>
      </c>
      <c r="M2298" t="str">
        <f t="shared" si="106"/>
        <v>Dec</v>
      </c>
      <c r="N2298" s="2">
        <f t="shared" si="107"/>
        <v>0.11160197202340293</v>
      </c>
    </row>
    <row r="2299" spans="1:14" x14ac:dyDescent="0.45">
      <c r="A2299" t="s">
        <v>4384</v>
      </c>
      <c r="B2299" s="1">
        <v>45475</v>
      </c>
      <c r="C2299" t="s">
        <v>4385</v>
      </c>
      <c r="D2299" t="s">
        <v>13</v>
      </c>
      <c r="E2299" t="s">
        <v>14</v>
      </c>
      <c r="F2299" t="s">
        <v>32</v>
      </c>
      <c r="G2299">
        <v>1</v>
      </c>
      <c r="H2299">
        <v>15925.38</v>
      </c>
      <c r="I2299">
        <v>1671.9</v>
      </c>
      <c r="J2299" t="s">
        <v>22</v>
      </c>
      <c r="K2299" t="s">
        <v>29</v>
      </c>
      <c r="L2299">
        <f t="shared" si="105"/>
        <v>2024</v>
      </c>
      <c r="M2299" t="str">
        <f t="shared" si="106"/>
        <v>Jul</v>
      </c>
      <c r="N2299" s="2">
        <f t="shared" si="107"/>
        <v>0.10498336617399398</v>
      </c>
    </row>
    <row r="2300" spans="1:14" x14ac:dyDescent="0.45">
      <c r="A2300" t="s">
        <v>4386</v>
      </c>
      <c r="B2300" s="1">
        <v>44724</v>
      </c>
      <c r="C2300" t="s">
        <v>4387</v>
      </c>
      <c r="D2300" t="s">
        <v>13</v>
      </c>
      <c r="E2300" t="s">
        <v>14</v>
      </c>
      <c r="F2300" t="s">
        <v>57</v>
      </c>
      <c r="G2300">
        <v>5</v>
      </c>
      <c r="H2300">
        <v>46014.55</v>
      </c>
      <c r="I2300">
        <v>7122.44</v>
      </c>
      <c r="J2300" t="s">
        <v>71</v>
      </c>
      <c r="K2300" t="s">
        <v>17</v>
      </c>
      <c r="L2300">
        <f t="shared" si="105"/>
        <v>2022</v>
      </c>
      <c r="M2300" t="str">
        <f t="shared" si="106"/>
        <v>Jun</v>
      </c>
      <c r="N2300" s="2">
        <f t="shared" si="107"/>
        <v>0.1547866924700991</v>
      </c>
    </row>
    <row r="2301" spans="1:14" x14ac:dyDescent="0.45">
      <c r="A2301" t="s">
        <v>4388</v>
      </c>
      <c r="B2301" s="1">
        <v>45031</v>
      </c>
      <c r="C2301" t="s">
        <v>4389</v>
      </c>
      <c r="D2301" t="s">
        <v>13</v>
      </c>
      <c r="E2301" t="s">
        <v>36</v>
      </c>
      <c r="F2301" t="s">
        <v>64</v>
      </c>
      <c r="G2301">
        <v>4</v>
      </c>
      <c r="H2301">
        <v>42685.25</v>
      </c>
      <c r="I2301">
        <v>4646.58</v>
      </c>
      <c r="J2301" t="s">
        <v>16</v>
      </c>
      <c r="K2301" t="s">
        <v>33</v>
      </c>
      <c r="L2301">
        <f t="shared" si="105"/>
        <v>2023</v>
      </c>
      <c r="M2301" t="str">
        <f t="shared" si="106"/>
        <v>Apr</v>
      </c>
      <c r="N2301" s="2">
        <f t="shared" si="107"/>
        <v>0.10885680650810292</v>
      </c>
    </row>
    <row r="2302" spans="1:14" x14ac:dyDescent="0.45">
      <c r="A2302" t="s">
        <v>4390</v>
      </c>
      <c r="B2302" s="1">
        <v>44653</v>
      </c>
      <c r="C2302" t="s">
        <v>2693</v>
      </c>
      <c r="D2302" t="s">
        <v>56</v>
      </c>
      <c r="E2302" t="s">
        <v>14</v>
      </c>
      <c r="F2302" t="s">
        <v>57</v>
      </c>
      <c r="G2302">
        <v>3</v>
      </c>
      <c r="H2302">
        <v>28417.34</v>
      </c>
      <c r="I2302">
        <v>6170.46</v>
      </c>
      <c r="J2302" t="s">
        <v>16</v>
      </c>
      <c r="K2302" t="s">
        <v>17</v>
      </c>
      <c r="L2302">
        <f t="shared" si="105"/>
        <v>2022</v>
      </c>
      <c r="M2302" t="str">
        <f t="shared" si="106"/>
        <v>Apr</v>
      </c>
      <c r="N2302" s="2">
        <f t="shared" si="107"/>
        <v>0.21713714232225817</v>
      </c>
    </row>
    <row r="2303" spans="1:14" x14ac:dyDescent="0.45">
      <c r="A2303" t="s">
        <v>4391</v>
      </c>
      <c r="B2303" s="1">
        <v>45015</v>
      </c>
      <c r="C2303" t="s">
        <v>4392</v>
      </c>
      <c r="D2303" t="s">
        <v>13</v>
      </c>
      <c r="E2303" t="s">
        <v>36</v>
      </c>
      <c r="F2303" t="s">
        <v>37</v>
      </c>
      <c r="G2303">
        <v>1</v>
      </c>
      <c r="H2303">
        <v>35391.279999999999</v>
      </c>
      <c r="I2303">
        <v>6458.44</v>
      </c>
      <c r="J2303" t="s">
        <v>28</v>
      </c>
      <c r="K2303" t="s">
        <v>33</v>
      </c>
      <c r="L2303">
        <f t="shared" si="105"/>
        <v>2023</v>
      </c>
      <c r="M2303" t="str">
        <f t="shared" si="106"/>
        <v>Mar</v>
      </c>
      <c r="N2303" s="2">
        <f t="shared" si="107"/>
        <v>0.18248675945035048</v>
      </c>
    </row>
    <row r="2304" spans="1:14" x14ac:dyDescent="0.45">
      <c r="A2304" t="s">
        <v>4393</v>
      </c>
      <c r="B2304" s="1">
        <v>44624</v>
      </c>
      <c r="C2304" t="s">
        <v>4394</v>
      </c>
      <c r="D2304" t="s">
        <v>56</v>
      </c>
      <c r="E2304" t="s">
        <v>20</v>
      </c>
      <c r="F2304" t="s">
        <v>43</v>
      </c>
      <c r="G2304">
        <v>5</v>
      </c>
      <c r="H2304">
        <v>5236.8599999999997</v>
      </c>
      <c r="I2304">
        <v>282.19</v>
      </c>
      <c r="J2304" t="s">
        <v>22</v>
      </c>
      <c r="K2304" t="s">
        <v>17</v>
      </c>
      <c r="L2304">
        <f t="shared" si="105"/>
        <v>2022</v>
      </c>
      <c r="M2304" t="str">
        <f t="shared" si="106"/>
        <v>Mar</v>
      </c>
      <c r="N2304" s="2">
        <f t="shared" si="107"/>
        <v>5.388534350736892E-2</v>
      </c>
    </row>
    <row r="2305" spans="1:14" x14ac:dyDescent="0.45">
      <c r="A2305" t="s">
        <v>4395</v>
      </c>
      <c r="B2305" s="1">
        <v>45550</v>
      </c>
      <c r="C2305" t="s">
        <v>4396</v>
      </c>
      <c r="D2305" t="s">
        <v>13</v>
      </c>
      <c r="E2305" t="s">
        <v>36</v>
      </c>
      <c r="F2305" t="s">
        <v>37</v>
      </c>
      <c r="G2305">
        <v>5</v>
      </c>
      <c r="H2305">
        <v>3408.82</v>
      </c>
      <c r="I2305">
        <v>771.85</v>
      </c>
      <c r="J2305" t="s">
        <v>71</v>
      </c>
      <c r="K2305" t="s">
        <v>33</v>
      </c>
      <c r="L2305">
        <f t="shared" si="105"/>
        <v>2024</v>
      </c>
      <c r="M2305" t="str">
        <f t="shared" si="106"/>
        <v>Sep</v>
      </c>
      <c r="N2305" s="2">
        <f t="shared" si="107"/>
        <v>0.22642732675823304</v>
      </c>
    </row>
    <row r="2306" spans="1:14" x14ac:dyDescent="0.45">
      <c r="A2306" t="s">
        <v>4397</v>
      </c>
      <c r="B2306" s="1">
        <v>44925</v>
      </c>
      <c r="C2306" t="s">
        <v>4398</v>
      </c>
      <c r="D2306" t="s">
        <v>13</v>
      </c>
      <c r="E2306" t="s">
        <v>14</v>
      </c>
      <c r="F2306" t="s">
        <v>32</v>
      </c>
      <c r="G2306">
        <v>4</v>
      </c>
      <c r="H2306">
        <v>45605.74</v>
      </c>
      <c r="I2306">
        <v>10863.48</v>
      </c>
      <c r="J2306" t="s">
        <v>16</v>
      </c>
      <c r="K2306" t="s">
        <v>23</v>
      </c>
      <c r="L2306">
        <f t="shared" si="105"/>
        <v>2022</v>
      </c>
      <c r="M2306" t="str">
        <f t="shared" si="106"/>
        <v>Dec</v>
      </c>
      <c r="N2306" s="2">
        <f t="shared" si="107"/>
        <v>0.23820422604698444</v>
      </c>
    </row>
    <row r="2307" spans="1:14" x14ac:dyDescent="0.45">
      <c r="A2307" t="s">
        <v>4399</v>
      </c>
      <c r="B2307" s="1">
        <v>44916</v>
      </c>
      <c r="C2307" t="s">
        <v>1005</v>
      </c>
      <c r="D2307" t="s">
        <v>13</v>
      </c>
      <c r="E2307" t="s">
        <v>36</v>
      </c>
      <c r="F2307" t="s">
        <v>64</v>
      </c>
      <c r="G2307">
        <v>1</v>
      </c>
      <c r="H2307">
        <v>5980.83</v>
      </c>
      <c r="I2307">
        <v>595.82000000000005</v>
      </c>
      <c r="J2307" t="s">
        <v>16</v>
      </c>
      <c r="K2307" t="s">
        <v>29</v>
      </c>
      <c r="L2307">
        <f t="shared" ref="L2307:L2370" si="108">YEAR(B2307 )</f>
        <v>2022</v>
      </c>
      <c r="M2307" t="str">
        <f t="shared" ref="M2307:M2370" si="109">TEXT(B2307,"MMM")</f>
        <v>Dec</v>
      </c>
      <c r="N2307" s="2">
        <f t="shared" ref="N2307:N2370" si="110">I2307 / H2307</f>
        <v>9.9621624423366001E-2</v>
      </c>
    </row>
    <row r="2308" spans="1:14" x14ac:dyDescent="0.45">
      <c r="A2308" t="s">
        <v>4400</v>
      </c>
      <c r="B2308" s="1">
        <v>45432</v>
      </c>
      <c r="C2308" t="s">
        <v>4401</v>
      </c>
      <c r="D2308" t="s">
        <v>56</v>
      </c>
      <c r="E2308" t="s">
        <v>36</v>
      </c>
      <c r="F2308" t="s">
        <v>37</v>
      </c>
      <c r="G2308">
        <v>5</v>
      </c>
      <c r="H2308">
        <v>22726.400000000001</v>
      </c>
      <c r="I2308">
        <v>3253.81</v>
      </c>
      <c r="J2308" t="s">
        <v>22</v>
      </c>
      <c r="K2308" t="s">
        <v>29</v>
      </c>
      <c r="L2308">
        <f t="shared" si="108"/>
        <v>2024</v>
      </c>
      <c r="M2308" t="str">
        <f t="shared" si="109"/>
        <v>May</v>
      </c>
      <c r="N2308" s="2">
        <f t="shared" si="110"/>
        <v>0.14317313784849336</v>
      </c>
    </row>
    <row r="2309" spans="1:14" x14ac:dyDescent="0.45">
      <c r="A2309" t="s">
        <v>4402</v>
      </c>
      <c r="B2309" s="1">
        <v>44978</v>
      </c>
      <c r="C2309" t="s">
        <v>4403</v>
      </c>
      <c r="D2309" t="s">
        <v>26</v>
      </c>
      <c r="E2309" t="s">
        <v>14</v>
      </c>
      <c r="F2309" t="s">
        <v>57</v>
      </c>
      <c r="G2309">
        <v>1</v>
      </c>
      <c r="H2309">
        <v>32423.82</v>
      </c>
      <c r="I2309">
        <v>6427.36</v>
      </c>
      <c r="J2309" t="s">
        <v>28</v>
      </c>
      <c r="K2309" t="s">
        <v>17</v>
      </c>
      <c r="L2309">
        <f t="shared" si="108"/>
        <v>2023</v>
      </c>
      <c r="M2309" t="str">
        <f t="shared" si="109"/>
        <v>Feb</v>
      </c>
      <c r="N2309" s="2">
        <f t="shared" si="110"/>
        <v>0.19822957319649565</v>
      </c>
    </row>
    <row r="2310" spans="1:14" x14ac:dyDescent="0.45">
      <c r="A2310" t="s">
        <v>4404</v>
      </c>
      <c r="B2310" s="1">
        <v>44906</v>
      </c>
      <c r="C2310" t="s">
        <v>4405</v>
      </c>
      <c r="D2310" t="s">
        <v>56</v>
      </c>
      <c r="E2310" t="s">
        <v>14</v>
      </c>
      <c r="F2310" t="s">
        <v>40</v>
      </c>
      <c r="G2310">
        <v>3</v>
      </c>
      <c r="H2310">
        <v>1120.94</v>
      </c>
      <c r="I2310">
        <v>92.96</v>
      </c>
      <c r="J2310" t="s">
        <v>71</v>
      </c>
      <c r="K2310" t="s">
        <v>29</v>
      </c>
      <c r="L2310">
        <f t="shared" si="108"/>
        <v>2022</v>
      </c>
      <c r="M2310" t="str">
        <f t="shared" si="109"/>
        <v>Dec</v>
      </c>
      <c r="N2310" s="2">
        <f t="shared" si="110"/>
        <v>8.2930397701928726E-2</v>
      </c>
    </row>
    <row r="2311" spans="1:14" x14ac:dyDescent="0.45">
      <c r="A2311" t="s">
        <v>4406</v>
      </c>
      <c r="B2311" s="1">
        <v>45020</v>
      </c>
      <c r="C2311" t="s">
        <v>4407</v>
      </c>
      <c r="D2311" t="s">
        <v>26</v>
      </c>
      <c r="E2311" t="s">
        <v>36</v>
      </c>
      <c r="F2311" t="s">
        <v>64</v>
      </c>
      <c r="G2311">
        <v>1</v>
      </c>
      <c r="H2311">
        <v>19714.55</v>
      </c>
      <c r="I2311">
        <v>4538.67</v>
      </c>
      <c r="J2311" t="s">
        <v>22</v>
      </c>
      <c r="K2311" t="s">
        <v>17</v>
      </c>
      <c r="L2311">
        <f t="shared" si="108"/>
        <v>2023</v>
      </c>
      <c r="M2311" t="str">
        <f t="shared" si="109"/>
        <v>Apr</v>
      </c>
      <c r="N2311" s="2">
        <f t="shared" si="110"/>
        <v>0.23021930503105575</v>
      </c>
    </row>
    <row r="2312" spans="1:14" x14ac:dyDescent="0.45">
      <c r="A2312" t="s">
        <v>4408</v>
      </c>
      <c r="B2312" s="1">
        <v>45587</v>
      </c>
      <c r="C2312" t="s">
        <v>4409</v>
      </c>
      <c r="D2312" t="s">
        <v>13</v>
      </c>
      <c r="E2312" t="s">
        <v>14</v>
      </c>
      <c r="F2312" t="s">
        <v>57</v>
      </c>
      <c r="G2312">
        <v>5</v>
      </c>
      <c r="H2312">
        <v>34511.25</v>
      </c>
      <c r="I2312">
        <v>3787.03</v>
      </c>
      <c r="J2312" t="s">
        <v>47</v>
      </c>
      <c r="K2312" t="s">
        <v>17</v>
      </c>
      <c r="L2312">
        <f t="shared" si="108"/>
        <v>2024</v>
      </c>
      <c r="M2312" t="str">
        <f t="shared" si="109"/>
        <v>Oct</v>
      </c>
      <c r="N2312" s="2">
        <f t="shared" si="110"/>
        <v>0.10973320294106995</v>
      </c>
    </row>
    <row r="2313" spans="1:14" x14ac:dyDescent="0.45">
      <c r="A2313" t="s">
        <v>4410</v>
      </c>
      <c r="B2313" s="1">
        <v>44590</v>
      </c>
      <c r="C2313" t="s">
        <v>1013</v>
      </c>
      <c r="D2313" t="s">
        <v>13</v>
      </c>
      <c r="E2313" t="s">
        <v>36</v>
      </c>
      <c r="F2313" t="s">
        <v>37</v>
      </c>
      <c r="G2313">
        <v>4</v>
      </c>
      <c r="H2313">
        <v>33654.519999999997</v>
      </c>
      <c r="I2313">
        <v>3962.08</v>
      </c>
      <c r="J2313" t="s">
        <v>28</v>
      </c>
      <c r="K2313" t="s">
        <v>29</v>
      </c>
      <c r="L2313">
        <f t="shared" si="108"/>
        <v>2022</v>
      </c>
      <c r="M2313" t="str">
        <f t="shared" si="109"/>
        <v>Jan</v>
      </c>
      <c r="N2313" s="2">
        <f t="shared" si="110"/>
        <v>0.11772801989153316</v>
      </c>
    </row>
    <row r="2314" spans="1:14" x14ac:dyDescent="0.45">
      <c r="A2314" t="s">
        <v>4411</v>
      </c>
      <c r="B2314" s="1">
        <v>44799</v>
      </c>
      <c r="C2314" t="s">
        <v>4026</v>
      </c>
      <c r="D2314" t="s">
        <v>26</v>
      </c>
      <c r="E2314" t="s">
        <v>36</v>
      </c>
      <c r="F2314" t="s">
        <v>37</v>
      </c>
      <c r="G2314">
        <v>5</v>
      </c>
      <c r="H2314">
        <v>18729.740000000002</v>
      </c>
      <c r="I2314">
        <v>1742.19</v>
      </c>
      <c r="J2314" t="s">
        <v>16</v>
      </c>
      <c r="K2314" t="s">
        <v>23</v>
      </c>
      <c r="L2314">
        <f t="shared" si="108"/>
        <v>2022</v>
      </c>
      <c r="M2314" t="str">
        <f t="shared" si="109"/>
        <v>Aug</v>
      </c>
      <c r="N2314" s="2">
        <f t="shared" si="110"/>
        <v>9.3017308302197468E-2</v>
      </c>
    </row>
    <row r="2315" spans="1:14" x14ac:dyDescent="0.45">
      <c r="A2315" t="s">
        <v>4412</v>
      </c>
      <c r="B2315" s="1">
        <v>44698</v>
      </c>
      <c r="C2315" t="s">
        <v>4413</v>
      </c>
      <c r="D2315" t="s">
        <v>56</v>
      </c>
      <c r="E2315" t="s">
        <v>36</v>
      </c>
      <c r="F2315" t="s">
        <v>64</v>
      </c>
      <c r="G2315">
        <v>4</v>
      </c>
      <c r="H2315">
        <v>7500.19</v>
      </c>
      <c r="I2315">
        <v>916.04</v>
      </c>
      <c r="J2315" t="s">
        <v>22</v>
      </c>
      <c r="K2315" t="s">
        <v>33</v>
      </c>
      <c r="L2315">
        <f t="shared" si="108"/>
        <v>2022</v>
      </c>
      <c r="M2315" t="str">
        <f t="shared" si="109"/>
        <v>May</v>
      </c>
      <c r="N2315" s="2">
        <f t="shared" si="110"/>
        <v>0.12213557256549501</v>
      </c>
    </row>
    <row r="2316" spans="1:14" x14ac:dyDescent="0.45">
      <c r="A2316" t="s">
        <v>4414</v>
      </c>
      <c r="B2316" s="1">
        <v>45009</v>
      </c>
      <c r="C2316" t="s">
        <v>4415</v>
      </c>
      <c r="D2316" t="s">
        <v>26</v>
      </c>
      <c r="E2316" t="s">
        <v>20</v>
      </c>
      <c r="F2316" t="s">
        <v>43</v>
      </c>
      <c r="G2316">
        <v>5</v>
      </c>
      <c r="H2316">
        <v>2360.5100000000002</v>
      </c>
      <c r="I2316">
        <v>231.97</v>
      </c>
      <c r="J2316" t="s">
        <v>22</v>
      </c>
      <c r="K2316" t="s">
        <v>29</v>
      </c>
      <c r="L2316">
        <f t="shared" si="108"/>
        <v>2023</v>
      </c>
      <c r="M2316" t="str">
        <f t="shared" si="109"/>
        <v>Mar</v>
      </c>
      <c r="N2316" s="2">
        <f t="shared" si="110"/>
        <v>9.8271136322235442E-2</v>
      </c>
    </row>
    <row r="2317" spans="1:14" x14ac:dyDescent="0.45">
      <c r="A2317" t="s">
        <v>4416</v>
      </c>
      <c r="B2317" s="1">
        <v>45434</v>
      </c>
      <c r="C2317" t="s">
        <v>2949</v>
      </c>
      <c r="D2317" t="s">
        <v>56</v>
      </c>
      <c r="E2317" t="s">
        <v>20</v>
      </c>
      <c r="F2317" t="s">
        <v>21</v>
      </c>
      <c r="G2317">
        <v>5</v>
      </c>
      <c r="H2317">
        <v>21317.71</v>
      </c>
      <c r="I2317">
        <v>3225.33</v>
      </c>
      <c r="J2317" t="s">
        <v>28</v>
      </c>
      <c r="K2317" t="s">
        <v>33</v>
      </c>
      <c r="L2317">
        <f t="shared" si="108"/>
        <v>2024</v>
      </c>
      <c r="M2317" t="str">
        <f t="shared" si="109"/>
        <v>May</v>
      </c>
      <c r="N2317" s="2">
        <f t="shared" si="110"/>
        <v>0.15129814600161087</v>
      </c>
    </row>
    <row r="2318" spans="1:14" x14ac:dyDescent="0.45">
      <c r="A2318" t="s">
        <v>4417</v>
      </c>
      <c r="B2318" s="1">
        <v>45145</v>
      </c>
      <c r="C2318" t="s">
        <v>4418</v>
      </c>
      <c r="D2318" t="s">
        <v>26</v>
      </c>
      <c r="E2318" t="s">
        <v>36</v>
      </c>
      <c r="F2318" t="s">
        <v>64</v>
      </c>
      <c r="G2318">
        <v>3</v>
      </c>
      <c r="H2318">
        <v>29728.07</v>
      </c>
      <c r="I2318">
        <v>2584.48</v>
      </c>
      <c r="J2318" t="s">
        <v>22</v>
      </c>
      <c r="K2318" t="s">
        <v>17</v>
      </c>
      <c r="L2318">
        <f t="shared" si="108"/>
        <v>2023</v>
      </c>
      <c r="M2318" t="str">
        <f t="shared" si="109"/>
        <v>Aug</v>
      </c>
      <c r="N2318" s="2">
        <f t="shared" si="110"/>
        <v>8.6937362566759296E-2</v>
      </c>
    </row>
    <row r="2319" spans="1:14" x14ac:dyDescent="0.45">
      <c r="A2319" t="s">
        <v>4419</v>
      </c>
      <c r="B2319" s="1">
        <v>44708</v>
      </c>
      <c r="C2319" t="s">
        <v>269</v>
      </c>
      <c r="D2319" t="s">
        <v>56</v>
      </c>
      <c r="E2319" t="s">
        <v>20</v>
      </c>
      <c r="F2319" t="s">
        <v>27</v>
      </c>
      <c r="G2319">
        <v>3</v>
      </c>
      <c r="H2319">
        <v>11112.4</v>
      </c>
      <c r="I2319">
        <v>733.32</v>
      </c>
      <c r="J2319" t="s">
        <v>22</v>
      </c>
      <c r="K2319" t="s">
        <v>29</v>
      </c>
      <c r="L2319">
        <f t="shared" si="108"/>
        <v>2022</v>
      </c>
      <c r="M2319" t="str">
        <f t="shared" si="109"/>
        <v>May</v>
      </c>
      <c r="N2319" s="2">
        <f t="shared" si="110"/>
        <v>6.5991145027176859E-2</v>
      </c>
    </row>
    <row r="2320" spans="1:14" x14ac:dyDescent="0.45">
      <c r="A2320" t="s">
        <v>4420</v>
      </c>
      <c r="B2320" s="1">
        <v>44973</v>
      </c>
      <c r="C2320" t="s">
        <v>4421</v>
      </c>
      <c r="D2320" t="s">
        <v>56</v>
      </c>
      <c r="E2320" t="s">
        <v>20</v>
      </c>
      <c r="F2320" t="s">
        <v>50</v>
      </c>
      <c r="G2320">
        <v>5</v>
      </c>
      <c r="H2320">
        <v>9160.77</v>
      </c>
      <c r="I2320">
        <v>1570.51</v>
      </c>
      <c r="J2320" t="s">
        <v>28</v>
      </c>
      <c r="K2320" t="s">
        <v>17</v>
      </c>
      <c r="L2320">
        <f t="shared" si="108"/>
        <v>2023</v>
      </c>
      <c r="M2320" t="str">
        <f t="shared" si="109"/>
        <v>Feb</v>
      </c>
      <c r="N2320" s="2">
        <f t="shared" si="110"/>
        <v>0.17143864544137663</v>
      </c>
    </row>
    <row r="2321" spans="1:14" x14ac:dyDescent="0.45">
      <c r="A2321" t="s">
        <v>4422</v>
      </c>
      <c r="B2321" s="1">
        <v>44921</v>
      </c>
      <c r="C2321" t="s">
        <v>1808</v>
      </c>
      <c r="D2321" t="s">
        <v>56</v>
      </c>
      <c r="E2321" t="s">
        <v>36</v>
      </c>
      <c r="F2321" t="s">
        <v>53</v>
      </c>
      <c r="G2321">
        <v>5</v>
      </c>
      <c r="H2321">
        <v>21434.82</v>
      </c>
      <c r="I2321">
        <v>1517.75</v>
      </c>
      <c r="J2321" t="s">
        <v>28</v>
      </c>
      <c r="K2321" t="s">
        <v>23</v>
      </c>
      <c r="L2321">
        <f t="shared" si="108"/>
        <v>2022</v>
      </c>
      <c r="M2321" t="str">
        <f t="shared" si="109"/>
        <v>Dec</v>
      </c>
      <c r="N2321" s="2">
        <f t="shared" si="110"/>
        <v>7.0807685812150509E-2</v>
      </c>
    </row>
    <row r="2322" spans="1:14" x14ac:dyDescent="0.45">
      <c r="A2322" t="s">
        <v>4423</v>
      </c>
      <c r="B2322" s="1">
        <v>45269</v>
      </c>
      <c r="C2322" t="s">
        <v>1050</v>
      </c>
      <c r="D2322" t="s">
        <v>26</v>
      </c>
      <c r="E2322" t="s">
        <v>36</v>
      </c>
      <c r="F2322" t="s">
        <v>37</v>
      </c>
      <c r="G2322">
        <v>3</v>
      </c>
      <c r="H2322">
        <v>42863.88</v>
      </c>
      <c r="I2322">
        <v>2501.59</v>
      </c>
      <c r="J2322" t="s">
        <v>28</v>
      </c>
      <c r="K2322" t="s">
        <v>29</v>
      </c>
      <c r="L2322">
        <f t="shared" si="108"/>
        <v>2023</v>
      </c>
      <c r="M2322" t="str">
        <f t="shared" si="109"/>
        <v>Dec</v>
      </c>
      <c r="N2322" s="2">
        <f t="shared" si="110"/>
        <v>5.8361258943427433E-2</v>
      </c>
    </row>
    <row r="2323" spans="1:14" x14ac:dyDescent="0.45">
      <c r="A2323" t="s">
        <v>4424</v>
      </c>
      <c r="B2323" s="1">
        <v>45193</v>
      </c>
      <c r="C2323" t="s">
        <v>4425</v>
      </c>
      <c r="D2323" t="s">
        <v>56</v>
      </c>
      <c r="E2323" t="s">
        <v>36</v>
      </c>
      <c r="F2323" t="s">
        <v>46</v>
      </c>
      <c r="G2323">
        <v>1</v>
      </c>
      <c r="H2323">
        <v>11702.39</v>
      </c>
      <c r="I2323">
        <v>2739.97</v>
      </c>
      <c r="J2323" t="s">
        <v>28</v>
      </c>
      <c r="K2323" t="s">
        <v>33</v>
      </c>
      <c r="L2323">
        <f t="shared" si="108"/>
        <v>2023</v>
      </c>
      <c r="M2323" t="str">
        <f t="shared" si="109"/>
        <v>Sep</v>
      </c>
      <c r="N2323" s="2">
        <f t="shared" si="110"/>
        <v>0.23413764196886278</v>
      </c>
    </row>
    <row r="2324" spans="1:14" x14ac:dyDescent="0.45">
      <c r="A2324" t="s">
        <v>4426</v>
      </c>
      <c r="B2324" s="1">
        <v>45161</v>
      </c>
      <c r="C2324" t="s">
        <v>4427</v>
      </c>
      <c r="D2324" t="s">
        <v>26</v>
      </c>
      <c r="E2324" t="s">
        <v>20</v>
      </c>
      <c r="F2324" t="s">
        <v>43</v>
      </c>
      <c r="G2324">
        <v>5</v>
      </c>
      <c r="H2324">
        <v>47574.54</v>
      </c>
      <c r="I2324">
        <v>8320.06</v>
      </c>
      <c r="J2324" t="s">
        <v>47</v>
      </c>
      <c r="K2324" t="s">
        <v>33</v>
      </c>
      <c r="L2324">
        <f t="shared" si="108"/>
        <v>2023</v>
      </c>
      <c r="M2324" t="str">
        <f t="shared" si="109"/>
        <v>Aug</v>
      </c>
      <c r="N2324" s="2">
        <f t="shared" si="110"/>
        <v>0.17488471775029246</v>
      </c>
    </row>
    <row r="2325" spans="1:14" x14ac:dyDescent="0.45">
      <c r="A2325" t="s">
        <v>4428</v>
      </c>
      <c r="B2325" s="1">
        <v>45356</v>
      </c>
      <c r="C2325" t="s">
        <v>4429</v>
      </c>
      <c r="D2325" t="s">
        <v>56</v>
      </c>
      <c r="E2325" t="s">
        <v>20</v>
      </c>
      <c r="F2325" t="s">
        <v>50</v>
      </c>
      <c r="G2325">
        <v>5</v>
      </c>
      <c r="H2325">
        <v>26001.39</v>
      </c>
      <c r="I2325">
        <v>5461.37</v>
      </c>
      <c r="J2325" t="s">
        <v>47</v>
      </c>
      <c r="K2325" t="s">
        <v>33</v>
      </c>
      <c r="L2325">
        <f t="shared" si="108"/>
        <v>2024</v>
      </c>
      <c r="M2325" t="str">
        <f t="shared" si="109"/>
        <v>Mar</v>
      </c>
      <c r="N2325" s="2">
        <f t="shared" si="110"/>
        <v>0.21004146316793063</v>
      </c>
    </row>
    <row r="2326" spans="1:14" x14ac:dyDescent="0.45">
      <c r="A2326" t="s">
        <v>4430</v>
      </c>
      <c r="B2326" s="1">
        <v>45394</v>
      </c>
      <c r="C2326" t="s">
        <v>4431</v>
      </c>
      <c r="D2326" t="s">
        <v>56</v>
      </c>
      <c r="E2326" t="s">
        <v>20</v>
      </c>
      <c r="F2326" t="s">
        <v>21</v>
      </c>
      <c r="G2326">
        <v>2</v>
      </c>
      <c r="H2326">
        <v>25447.96</v>
      </c>
      <c r="I2326">
        <v>5877.17</v>
      </c>
      <c r="J2326" t="s">
        <v>47</v>
      </c>
      <c r="K2326" t="s">
        <v>33</v>
      </c>
      <c r="L2326">
        <f t="shared" si="108"/>
        <v>2024</v>
      </c>
      <c r="M2326" t="str">
        <f t="shared" si="109"/>
        <v>Apr</v>
      </c>
      <c r="N2326" s="2">
        <f t="shared" si="110"/>
        <v>0.23094857112318631</v>
      </c>
    </row>
    <row r="2327" spans="1:14" x14ac:dyDescent="0.45">
      <c r="A2327" t="s">
        <v>4432</v>
      </c>
      <c r="B2327" s="1">
        <v>45334</v>
      </c>
      <c r="C2327" t="s">
        <v>3180</v>
      </c>
      <c r="D2327" t="s">
        <v>13</v>
      </c>
      <c r="E2327" t="s">
        <v>14</v>
      </c>
      <c r="F2327" t="s">
        <v>40</v>
      </c>
      <c r="G2327">
        <v>5</v>
      </c>
      <c r="H2327">
        <v>8423.15</v>
      </c>
      <c r="I2327">
        <v>1710.82</v>
      </c>
      <c r="J2327" t="s">
        <v>16</v>
      </c>
      <c r="K2327" t="s">
        <v>33</v>
      </c>
      <c r="L2327">
        <f t="shared" si="108"/>
        <v>2024</v>
      </c>
      <c r="M2327" t="str">
        <f t="shared" si="109"/>
        <v>Feb</v>
      </c>
      <c r="N2327" s="2">
        <f t="shared" si="110"/>
        <v>0.20310928809293435</v>
      </c>
    </row>
    <row r="2328" spans="1:14" x14ac:dyDescent="0.45">
      <c r="A2328" t="s">
        <v>4433</v>
      </c>
      <c r="B2328" s="1">
        <v>45267</v>
      </c>
      <c r="C2328" t="s">
        <v>4434</v>
      </c>
      <c r="D2328" t="s">
        <v>13</v>
      </c>
      <c r="E2328" t="s">
        <v>14</v>
      </c>
      <c r="F2328" t="s">
        <v>57</v>
      </c>
      <c r="G2328">
        <v>1</v>
      </c>
      <c r="H2328">
        <v>38271</v>
      </c>
      <c r="I2328">
        <v>8407.4</v>
      </c>
      <c r="J2328" t="s">
        <v>16</v>
      </c>
      <c r="K2328" t="s">
        <v>29</v>
      </c>
      <c r="L2328">
        <f t="shared" si="108"/>
        <v>2023</v>
      </c>
      <c r="M2328" t="str">
        <f t="shared" si="109"/>
        <v>Dec</v>
      </c>
      <c r="N2328" s="2">
        <f t="shared" si="110"/>
        <v>0.21968069817877767</v>
      </c>
    </row>
    <row r="2329" spans="1:14" x14ac:dyDescent="0.45">
      <c r="A2329" t="s">
        <v>4435</v>
      </c>
      <c r="B2329" s="1">
        <v>44831</v>
      </c>
      <c r="C2329" t="s">
        <v>4436</v>
      </c>
      <c r="D2329" t="s">
        <v>26</v>
      </c>
      <c r="E2329" t="s">
        <v>36</v>
      </c>
      <c r="F2329" t="s">
        <v>64</v>
      </c>
      <c r="G2329">
        <v>2</v>
      </c>
      <c r="H2329">
        <v>5772.17</v>
      </c>
      <c r="I2329">
        <v>1247.8800000000001</v>
      </c>
      <c r="J2329" t="s">
        <v>22</v>
      </c>
      <c r="K2329" t="s">
        <v>17</v>
      </c>
      <c r="L2329">
        <f t="shared" si="108"/>
        <v>2022</v>
      </c>
      <c r="M2329" t="str">
        <f t="shared" si="109"/>
        <v>Sep</v>
      </c>
      <c r="N2329" s="2">
        <f t="shared" si="110"/>
        <v>0.2161890588808022</v>
      </c>
    </row>
    <row r="2330" spans="1:14" x14ac:dyDescent="0.45">
      <c r="A2330" t="s">
        <v>4437</v>
      </c>
      <c r="B2330" s="1">
        <v>45384</v>
      </c>
      <c r="C2330" t="s">
        <v>4438</v>
      </c>
      <c r="D2330" t="s">
        <v>56</v>
      </c>
      <c r="E2330" t="s">
        <v>36</v>
      </c>
      <c r="F2330" t="s">
        <v>64</v>
      </c>
      <c r="G2330">
        <v>4</v>
      </c>
      <c r="H2330">
        <v>9173.36</v>
      </c>
      <c r="I2330">
        <v>999.91</v>
      </c>
      <c r="J2330" t="s">
        <v>22</v>
      </c>
      <c r="K2330" t="s">
        <v>33</v>
      </c>
      <c r="L2330">
        <f t="shared" si="108"/>
        <v>2024</v>
      </c>
      <c r="M2330" t="str">
        <f t="shared" si="109"/>
        <v>Apr</v>
      </c>
      <c r="N2330" s="2">
        <f t="shared" si="110"/>
        <v>0.10900149999563953</v>
      </c>
    </row>
    <row r="2331" spans="1:14" x14ac:dyDescent="0.45">
      <c r="A2331" t="s">
        <v>4439</v>
      </c>
      <c r="B2331" s="1">
        <v>44842</v>
      </c>
      <c r="C2331" t="s">
        <v>4440</v>
      </c>
      <c r="D2331" t="s">
        <v>56</v>
      </c>
      <c r="E2331" t="s">
        <v>20</v>
      </c>
      <c r="F2331" t="s">
        <v>21</v>
      </c>
      <c r="G2331">
        <v>4</v>
      </c>
      <c r="H2331">
        <v>23971.67</v>
      </c>
      <c r="I2331">
        <v>5500.98</v>
      </c>
      <c r="J2331" t="s">
        <v>47</v>
      </c>
      <c r="K2331" t="s">
        <v>29</v>
      </c>
      <c r="L2331">
        <f t="shared" si="108"/>
        <v>2022</v>
      </c>
      <c r="M2331" t="str">
        <f t="shared" si="109"/>
        <v>Oct</v>
      </c>
      <c r="N2331" s="2">
        <f t="shared" si="110"/>
        <v>0.22947838010451505</v>
      </c>
    </row>
    <row r="2332" spans="1:14" x14ac:dyDescent="0.45">
      <c r="A2332" t="s">
        <v>4441</v>
      </c>
      <c r="B2332" s="1">
        <v>45465</v>
      </c>
      <c r="C2332" t="s">
        <v>4442</v>
      </c>
      <c r="D2332" t="s">
        <v>26</v>
      </c>
      <c r="E2332" t="s">
        <v>20</v>
      </c>
      <c r="F2332" t="s">
        <v>21</v>
      </c>
      <c r="G2332">
        <v>2</v>
      </c>
      <c r="H2332">
        <v>17687.57</v>
      </c>
      <c r="I2332">
        <v>1850.72</v>
      </c>
      <c r="J2332" t="s">
        <v>16</v>
      </c>
      <c r="K2332" t="s">
        <v>17</v>
      </c>
      <c r="L2332">
        <f t="shared" si="108"/>
        <v>2024</v>
      </c>
      <c r="M2332" t="str">
        <f t="shared" si="109"/>
        <v>Jun</v>
      </c>
      <c r="N2332" s="2">
        <f t="shared" si="110"/>
        <v>0.1046339321907984</v>
      </c>
    </row>
    <row r="2333" spans="1:14" x14ac:dyDescent="0.45">
      <c r="A2333" t="s">
        <v>4443</v>
      </c>
      <c r="B2333" s="1">
        <v>45017</v>
      </c>
      <c r="C2333" t="s">
        <v>1894</v>
      </c>
      <c r="D2333" t="s">
        <v>56</v>
      </c>
      <c r="E2333" t="s">
        <v>20</v>
      </c>
      <c r="F2333" t="s">
        <v>27</v>
      </c>
      <c r="G2333">
        <v>2</v>
      </c>
      <c r="H2333">
        <v>44254.97</v>
      </c>
      <c r="I2333">
        <v>4319.53</v>
      </c>
      <c r="J2333" t="s">
        <v>71</v>
      </c>
      <c r="K2333" t="s">
        <v>17</v>
      </c>
      <c r="L2333">
        <f t="shared" si="108"/>
        <v>2023</v>
      </c>
      <c r="M2333" t="str">
        <f t="shared" si="109"/>
        <v>Apr</v>
      </c>
      <c r="N2333" s="2">
        <f t="shared" si="110"/>
        <v>9.7605534474433028E-2</v>
      </c>
    </row>
    <row r="2334" spans="1:14" x14ac:dyDescent="0.45">
      <c r="A2334" t="s">
        <v>4444</v>
      </c>
      <c r="B2334" s="1">
        <v>45389</v>
      </c>
      <c r="C2334" t="s">
        <v>4445</v>
      </c>
      <c r="D2334" t="s">
        <v>56</v>
      </c>
      <c r="E2334" t="s">
        <v>14</v>
      </c>
      <c r="F2334" t="s">
        <v>57</v>
      </c>
      <c r="G2334">
        <v>1</v>
      </c>
      <c r="H2334">
        <v>44797.71</v>
      </c>
      <c r="I2334">
        <v>6088.52</v>
      </c>
      <c r="J2334" t="s">
        <v>28</v>
      </c>
      <c r="K2334" t="s">
        <v>23</v>
      </c>
      <c r="L2334">
        <f t="shared" si="108"/>
        <v>2024</v>
      </c>
      <c r="M2334" t="str">
        <f t="shared" si="109"/>
        <v>Apr</v>
      </c>
      <c r="N2334" s="2">
        <f t="shared" si="110"/>
        <v>0.13591141154313469</v>
      </c>
    </row>
    <row r="2335" spans="1:14" x14ac:dyDescent="0.45">
      <c r="A2335" t="s">
        <v>4446</v>
      </c>
      <c r="B2335" s="1">
        <v>44633</v>
      </c>
      <c r="C2335" t="s">
        <v>3690</v>
      </c>
      <c r="D2335" t="s">
        <v>26</v>
      </c>
      <c r="E2335" t="s">
        <v>36</v>
      </c>
      <c r="F2335" t="s">
        <v>37</v>
      </c>
      <c r="G2335">
        <v>2</v>
      </c>
      <c r="H2335">
        <v>31638.09</v>
      </c>
      <c r="I2335">
        <v>2383.4499999999998</v>
      </c>
      <c r="J2335" t="s">
        <v>28</v>
      </c>
      <c r="K2335" t="s">
        <v>17</v>
      </c>
      <c r="L2335">
        <f t="shared" si="108"/>
        <v>2022</v>
      </c>
      <c r="M2335" t="str">
        <f t="shared" si="109"/>
        <v>Mar</v>
      </c>
      <c r="N2335" s="2">
        <f t="shared" si="110"/>
        <v>7.5334825838095781E-2</v>
      </c>
    </row>
    <row r="2336" spans="1:14" x14ac:dyDescent="0.45">
      <c r="A2336" t="s">
        <v>4447</v>
      </c>
      <c r="B2336" s="1">
        <v>44630</v>
      </c>
      <c r="C2336" t="s">
        <v>4448</v>
      </c>
      <c r="D2336" t="s">
        <v>26</v>
      </c>
      <c r="E2336" t="s">
        <v>36</v>
      </c>
      <c r="F2336" t="s">
        <v>64</v>
      </c>
      <c r="G2336">
        <v>1</v>
      </c>
      <c r="H2336">
        <v>39120.589999999997</v>
      </c>
      <c r="I2336">
        <v>8096.84</v>
      </c>
      <c r="J2336" t="s">
        <v>22</v>
      </c>
      <c r="K2336" t="s">
        <v>29</v>
      </c>
      <c r="L2336">
        <f t="shared" si="108"/>
        <v>2022</v>
      </c>
      <c r="M2336" t="str">
        <f t="shared" si="109"/>
        <v>Mar</v>
      </c>
      <c r="N2336" s="2">
        <f t="shared" si="110"/>
        <v>0.20697131612790096</v>
      </c>
    </row>
    <row r="2337" spans="1:14" x14ac:dyDescent="0.45">
      <c r="A2337" t="s">
        <v>4449</v>
      </c>
      <c r="B2337" s="1">
        <v>44588</v>
      </c>
      <c r="C2337" t="s">
        <v>4450</v>
      </c>
      <c r="D2337" t="s">
        <v>56</v>
      </c>
      <c r="E2337" t="s">
        <v>14</v>
      </c>
      <c r="F2337" t="s">
        <v>15</v>
      </c>
      <c r="G2337">
        <v>5</v>
      </c>
      <c r="H2337">
        <v>25019.95</v>
      </c>
      <c r="I2337">
        <v>2956.27</v>
      </c>
      <c r="J2337" t="s">
        <v>71</v>
      </c>
      <c r="K2337" t="s">
        <v>17</v>
      </c>
      <c r="L2337">
        <f t="shared" si="108"/>
        <v>2022</v>
      </c>
      <c r="M2337" t="str">
        <f t="shared" si="109"/>
        <v>Jan</v>
      </c>
      <c r="N2337" s="2">
        <f t="shared" si="110"/>
        <v>0.1181565111041389</v>
      </c>
    </row>
    <row r="2338" spans="1:14" x14ac:dyDescent="0.45">
      <c r="A2338" t="s">
        <v>4451</v>
      </c>
      <c r="B2338" s="1">
        <v>45064</v>
      </c>
      <c r="C2338" t="s">
        <v>2122</v>
      </c>
      <c r="D2338" t="s">
        <v>13</v>
      </c>
      <c r="E2338" t="s">
        <v>36</v>
      </c>
      <c r="F2338" t="s">
        <v>46</v>
      </c>
      <c r="G2338">
        <v>3</v>
      </c>
      <c r="H2338">
        <v>10269.25</v>
      </c>
      <c r="I2338">
        <v>2102.6799999999998</v>
      </c>
      <c r="J2338" t="s">
        <v>71</v>
      </c>
      <c r="K2338" t="s">
        <v>17</v>
      </c>
      <c r="L2338">
        <f t="shared" si="108"/>
        <v>2023</v>
      </c>
      <c r="M2338" t="str">
        <f t="shared" si="109"/>
        <v>May</v>
      </c>
      <c r="N2338" s="2">
        <f t="shared" si="110"/>
        <v>0.20475497236896559</v>
      </c>
    </row>
    <row r="2339" spans="1:14" x14ac:dyDescent="0.45">
      <c r="A2339" t="s">
        <v>4452</v>
      </c>
      <c r="B2339" s="1">
        <v>44686</v>
      </c>
      <c r="C2339" t="s">
        <v>4453</v>
      </c>
      <c r="D2339" t="s">
        <v>26</v>
      </c>
      <c r="E2339" t="s">
        <v>20</v>
      </c>
      <c r="F2339" t="s">
        <v>50</v>
      </c>
      <c r="G2339">
        <v>1</v>
      </c>
      <c r="H2339">
        <v>19819.14</v>
      </c>
      <c r="I2339">
        <v>4268.3999999999996</v>
      </c>
      <c r="J2339" t="s">
        <v>47</v>
      </c>
      <c r="K2339" t="s">
        <v>33</v>
      </c>
      <c r="L2339">
        <f t="shared" si="108"/>
        <v>2022</v>
      </c>
      <c r="M2339" t="str">
        <f t="shared" si="109"/>
        <v>May</v>
      </c>
      <c r="N2339" s="2">
        <f t="shared" si="110"/>
        <v>0.21536756892579595</v>
      </c>
    </row>
    <row r="2340" spans="1:14" x14ac:dyDescent="0.45">
      <c r="A2340" t="s">
        <v>4454</v>
      </c>
      <c r="B2340" s="1">
        <v>44590</v>
      </c>
      <c r="C2340" t="s">
        <v>2981</v>
      </c>
      <c r="D2340" t="s">
        <v>13</v>
      </c>
      <c r="E2340" t="s">
        <v>36</v>
      </c>
      <c r="F2340" t="s">
        <v>64</v>
      </c>
      <c r="G2340">
        <v>5</v>
      </c>
      <c r="H2340">
        <v>31314.53</v>
      </c>
      <c r="I2340">
        <v>5868.31</v>
      </c>
      <c r="J2340" t="s">
        <v>28</v>
      </c>
      <c r="K2340" t="s">
        <v>17</v>
      </c>
      <c r="L2340">
        <f t="shared" si="108"/>
        <v>2022</v>
      </c>
      <c r="M2340" t="str">
        <f t="shared" si="109"/>
        <v>Jan</v>
      </c>
      <c r="N2340" s="2">
        <f t="shared" si="110"/>
        <v>0.18739894866696069</v>
      </c>
    </row>
    <row r="2341" spans="1:14" x14ac:dyDescent="0.45">
      <c r="A2341" t="s">
        <v>4455</v>
      </c>
      <c r="B2341" s="1">
        <v>45611</v>
      </c>
      <c r="C2341" t="s">
        <v>4456</v>
      </c>
      <c r="D2341" t="s">
        <v>13</v>
      </c>
      <c r="E2341" t="s">
        <v>20</v>
      </c>
      <c r="F2341" t="s">
        <v>43</v>
      </c>
      <c r="G2341">
        <v>4</v>
      </c>
      <c r="H2341">
        <v>48547.93</v>
      </c>
      <c r="I2341">
        <v>11148.73</v>
      </c>
      <c r="J2341" t="s">
        <v>16</v>
      </c>
      <c r="K2341" t="s">
        <v>23</v>
      </c>
      <c r="L2341">
        <f t="shared" si="108"/>
        <v>2024</v>
      </c>
      <c r="M2341" t="str">
        <f t="shared" si="109"/>
        <v>Nov</v>
      </c>
      <c r="N2341" s="2">
        <f t="shared" si="110"/>
        <v>0.22964377677894812</v>
      </c>
    </row>
    <row r="2342" spans="1:14" x14ac:dyDescent="0.45">
      <c r="A2342" t="s">
        <v>4457</v>
      </c>
      <c r="B2342" s="1">
        <v>45520</v>
      </c>
      <c r="C2342" t="s">
        <v>4458</v>
      </c>
      <c r="D2342" t="s">
        <v>13</v>
      </c>
      <c r="E2342" t="s">
        <v>14</v>
      </c>
      <c r="F2342" t="s">
        <v>32</v>
      </c>
      <c r="G2342">
        <v>4</v>
      </c>
      <c r="H2342">
        <v>41765.440000000002</v>
      </c>
      <c r="I2342">
        <v>9410.98</v>
      </c>
      <c r="J2342" t="s">
        <v>71</v>
      </c>
      <c r="K2342" t="s">
        <v>29</v>
      </c>
      <c r="L2342">
        <f t="shared" si="108"/>
        <v>2024</v>
      </c>
      <c r="M2342" t="str">
        <f t="shared" si="109"/>
        <v>Aug</v>
      </c>
      <c r="N2342" s="2">
        <f t="shared" si="110"/>
        <v>0.225329363224714</v>
      </c>
    </row>
    <row r="2343" spans="1:14" x14ac:dyDescent="0.45">
      <c r="A2343" t="s">
        <v>4459</v>
      </c>
      <c r="B2343" s="1">
        <v>44713</v>
      </c>
      <c r="C2343" t="s">
        <v>4460</v>
      </c>
      <c r="D2343" t="s">
        <v>26</v>
      </c>
      <c r="E2343" t="s">
        <v>14</v>
      </c>
      <c r="F2343" t="s">
        <v>57</v>
      </c>
      <c r="G2343">
        <v>3</v>
      </c>
      <c r="H2343">
        <v>11050.11</v>
      </c>
      <c r="I2343">
        <v>1092.9000000000001</v>
      </c>
      <c r="J2343" t="s">
        <v>47</v>
      </c>
      <c r="K2343" t="s">
        <v>29</v>
      </c>
      <c r="L2343">
        <f t="shared" si="108"/>
        <v>2022</v>
      </c>
      <c r="M2343" t="str">
        <f t="shared" si="109"/>
        <v>Jun</v>
      </c>
      <c r="N2343" s="2">
        <f t="shared" si="110"/>
        <v>9.890399281093129E-2</v>
      </c>
    </row>
    <row r="2344" spans="1:14" x14ac:dyDescent="0.45">
      <c r="A2344" t="s">
        <v>4461</v>
      </c>
      <c r="B2344" s="1">
        <v>45136</v>
      </c>
      <c r="C2344" t="s">
        <v>4462</v>
      </c>
      <c r="D2344" t="s">
        <v>56</v>
      </c>
      <c r="E2344" t="s">
        <v>36</v>
      </c>
      <c r="F2344" t="s">
        <v>46</v>
      </c>
      <c r="G2344">
        <v>2</v>
      </c>
      <c r="H2344">
        <v>2572.88</v>
      </c>
      <c r="I2344">
        <v>374.71</v>
      </c>
      <c r="J2344" t="s">
        <v>71</v>
      </c>
      <c r="K2344" t="s">
        <v>29</v>
      </c>
      <c r="L2344">
        <f t="shared" si="108"/>
        <v>2023</v>
      </c>
      <c r="M2344" t="str">
        <f t="shared" si="109"/>
        <v>Jul</v>
      </c>
      <c r="N2344" s="2">
        <f t="shared" si="110"/>
        <v>0.1456383507975498</v>
      </c>
    </row>
    <row r="2345" spans="1:14" x14ac:dyDescent="0.45">
      <c r="A2345" t="s">
        <v>4463</v>
      </c>
      <c r="B2345" s="1">
        <v>45543</v>
      </c>
      <c r="C2345" t="s">
        <v>4464</v>
      </c>
      <c r="D2345" t="s">
        <v>13</v>
      </c>
      <c r="E2345" t="s">
        <v>14</v>
      </c>
      <c r="F2345" t="s">
        <v>32</v>
      </c>
      <c r="G2345">
        <v>4</v>
      </c>
      <c r="H2345">
        <v>14680.63</v>
      </c>
      <c r="I2345">
        <v>2193.6999999999998</v>
      </c>
      <c r="J2345" t="s">
        <v>47</v>
      </c>
      <c r="K2345" t="s">
        <v>29</v>
      </c>
      <c r="L2345">
        <f t="shared" si="108"/>
        <v>2024</v>
      </c>
      <c r="M2345" t="str">
        <f t="shared" si="109"/>
        <v>Sep</v>
      </c>
      <c r="N2345" s="2">
        <f t="shared" si="110"/>
        <v>0.14942819211437111</v>
      </c>
    </row>
    <row r="2346" spans="1:14" x14ac:dyDescent="0.45">
      <c r="A2346" t="s">
        <v>4465</v>
      </c>
      <c r="B2346" s="1">
        <v>45055</v>
      </c>
      <c r="C2346" t="s">
        <v>4466</v>
      </c>
      <c r="D2346" t="s">
        <v>13</v>
      </c>
      <c r="E2346" t="s">
        <v>14</v>
      </c>
      <c r="F2346" t="s">
        <v>57</v>
      </c>
      <c r="G2346">
        <v>2</v>
      </c>
      <c r="H2346">
        <v>47599.72</v>
      </c>
      <c r="I2346">
        <v>11046.26</v>
      </c>
      <c r="J2346" t="s">
        <v>71</v>
      </c>
      <c r="K2346" t="s">
        <v>17</v>
      </c>
      <c r="L2346">
        <f t="shared" si="108"/>
        <v>2023</v>
      </c>
      <c r="M2346" t="str">
        <f t="shared" si="109"/>
        <v>May</v>
      </c>
      <c r="N2346" s="2">
        <f t="shared" si="110"/>
        <v>0.23206565080634928</v>
      </c>
    </row>
    <row r="2347" spans="1:14" x14ac:dyDescent="0.45">
      <c r="A2347" t="s">
        <v>4467</v>
      </c>
      <c r="B2347" s="1">
        <v>44732</v>
      </c>
      <c r="C2347" t="s">
        <v>4468</v>
      </c>
      <c r="D2347" t="s">
        <v>13</v>
      </c>
      <c r="E2347" t="s">
        <v>36</v>
      </c>
      <c r="F2347" t="s">
        <v>64</v>
      </c>
      <c r="G2347">
        <v>1</v>
      </c>
      <c r="H2347">
        <v>49093.8</v>
      </c>
      <c r="I2347">
        <v>5436.36</v>
      </c>
      <c r="J2347" t="s">
        <v>16</v>
      </c>
      <c r="K2347" t="s">
        <v>17</v>
      </c>
      <c r="L2347">
        <f t="shared" si="108"/>
        <v>2022</v>
      </c>
      <c r="M2347" t="str">
        <f t="shared" si="109"/>
        <v>Jun</v>
      </c>
      <c r="N2347" s="2">
        <f t="shared" si="110"/>
        <v>0.11073414565586692</v>
      </c>
    </row>
    <row r="2348" spans="1:14" x14ac:dyDescent="0.45">
      <c r="A2348" t="s">
        <v>4469</v>
      </c>
      <c r="B2348" s="1">
        <v>44763</v>
      </c>
      <c r="C2348" t="s">
        <v>4470</v>
      </c>
      <c r="D2348" t="s">
        <v>13</v>
      </c>
      <c r="E2348" t="s">
        <v>14</v>
      </c>
      <c r="F2348" t="s">
        <v>15</v>
      </c>
      <c r="G2348">
        <v>4</v>
      </c>
      <c r="H2348">
        <v>26784.52</v>
      </c>
      <c r="I2348">
        <v>2655</v>
      </c>
      <c r="J2348" t="s">
        <v>22</v>
      </c>
      <c r="K2348" t="s">
        <v>29</v>
      </c>
      <c r="L2348">
        <f t="shared" si="108"/>
        <v>2022</v>
      </c>
      <c r="M2348" t="str">
        <f t="shared" si="109"/>
        <v>Jul</v>
      </c>
      <c r="N2348" s="2">
        <f t="shared" si="110"/>
        <v>9.9124419627456453E-2</v>
      </c>
    </row>
    <row r="2349" spans="1:14" x14ac:dyDescent="0.45">
      <c r="A2349" t="s">
        <v>4471</v>
      </c>
      <c r="B2349" s="1">
        <v>45076</v>
      </c>
      <c r="C2349" t="s">
        <v>2189</v>
      </c>
      <c r="D2349" t="s">
        <v>56</v>
      </c>
      <c r="E2349" t="s">
        <v>14</v>
      </c>
      <c r="F2349" t="s">
        <v>32</v>
      </c>
      <c r="G2349">
        <v>3</v>
      </c>
      <c r="H2349">
        <v>24128.400000000001</v>
      </c>
      <c r="I2349">
        <v>4781.3900000000003</v>
      </c>
      <c r="J2349" t="s">
        <v>47</v>
      </c>
      <c r="K2349" t="s">
        <v>17</v>
      </c>
      <c r="L2349">
        <f t="shared" si="108"/>
        <v>2023</v>
      </c>
      <c r="M2349" t="str">
        <f t="shared" si="109"/>
        <v>May</v>
      </c>
      <c r="N2349" s="2">
        <f t="shared" si="110"/>
        <v>0.19816440377314701</v>
      </c>
    </row>
    <row r="2350" spans="1:14" x14ac:dyDescent="0.45">
      <c r="A2350" t="s">
        <v>4472</v>
      </c>
      <c r="B2350" s="1">
        <v>44692</v>
      </c>
      <c r="C2350" t="s">
        <v>1794</v>
      </c>
      <c r="D2350" t="s">
        <v>13</v>
      </c>
      <c r="E2350" t="s">
        <v>14</v>
      </c>
      <c r="F2350" t="s">
        <v>40</v>
      </c>
      <c r="G2350">
        <v>3</v>
      </c>
      <c r="H2350">
        <v>35563.39</v>
      </c>
      <c r="I2350">
        <v>5627.77</v>
      </c>
      <c r="J2350" t="s">
        <v>47</v>
      </c>
      <c r="K2350" t="s">
        <v>29</v>
      </c>
      <c r="L2350">
        <f t="shared" si="108"/>
        <v>2022</v>
      </c>
      <c r="M2350" t="str">
        <f t="shared" si="109"/>
        <v>May</v>
      </c>
      <c r="N2350" s="2">
        <f t="shared" si="110"/>
        <v>0.15824616269708822</v>
      </c>
    </row>
    <row r="2351" spans="1:14" x14ac:dyDescent="0.45">
      <c r="A2351" t="s">
        <v>4473</v>
      </c>
      <c r="B2351" s="1">
        <v>45082</v>
      </c>
      <c r="C2351" t="s">
        <v>4474</v>
      </c>
      <c r="D2351" t="s">
        <v>56</v>
      </c>
      <c r="E2351" t="s">
        <v>20</v>
      </c>
      <c r="F2351" t="s">
        <v>50</v>
      </c>
      <c r="G2351">
        <v>1</v>
      </c>
      <c r="H2351">
        <v>19419.240000000002</v>
      </c>
      <c r="I2351">
        <v>2317.21</v>
      </c>
      <c r="J2351" t="s">
        <v>16</v>
      </c>
      <c r="K2351" t="s">
        <v>29</v>
      </c>
      <c r="L2351">
        <f t="shared" si="108"/>
        <v>2023</v>
      </c>
      <c r="M2351" t="str">
        <f t="shared" si="109"/>
        <v>Jun</v>
      </c>
      <c r="N2351" s="2">
        <f t="shared" si="110"/>
        <v>0.11932547308751526</v>
      </c>
    </row>
    <row r="2352" spans="1:14" x14ac:dyDescent="0.45">
      <c r="A2352" t="s">
        <v>4475</v>
      </c>
      <c r="B2352" s="1">
        <v>44949</v>
      </c>
      <c r="C2352" t="s">
        <v>4476</v>
      </c>
      <c r="D2352" t="s">
        <v>26</v>
      </c>
      <c r="E2352" t="s">
        <v>36</v>
      </c>
      <c r="F2352" t="s">
        <v>64</v>
      </c>
      <c r="G2352">
        <v>3</v>
      </c>
      <c r="H2352">
        <v>47329.56</v>
      </c>
      <c r="I2352">
        <v>10348.19</v>
      </c>
      <c r="J2352" t="s">
        <v>16</v>
      </c>
      <c r="K2352" t="s">
        <v>17</v>
      </c>
      <c r="L2352">
        <f t="shared" si="108"/>
        <v>2023</v>
      </c>
      <c r="M2352" t="str">
        <f t="shared" si="109"/>
        <v>Jan</v>
      </c>
      <c r="N2352" s="2">
        <f t="shared" si="110"/>
        <v>0.21864116209827433</v>
      </c>
    </row>
    <row r="2353" spans="1:14" x14ac:dyDescent="0.45">
      <c r="A2353" t="s">
        <v>4477</v>
      </c>
      <c r="B2353" s="1">
        <v>45316</v>
      </c>
      <c r="C2353" t="s">
        <v>4478</v>
      </c>
      <c r="D2353" t="s">
        <v>26</v>
      </c>
      <c r="E2353" t="s">
        <v>14</v>
      </c>
      <c r="F2353" t="s">
        <v>57</v>
      </c>
      <c r="G2353">
        <v>4</v>
      </c>
      <c r="H2353">
        <v>29610.38</v>
      </c>
      <c r="I2353">
        <v>4126.3</v>
      </c>
      <c r="J2353" t="s">
        <v>22</v>
      </c>
      <c r="K2353" t="s">
        <v>23</v>
      </c>
      <c r="L2353">
        <f t="shared" si="108"/>
        <v>2024</v>
      </c>
      <c r="M2353" t="str">
        <f t="shared" si="109"/>
        <v>Jan</v>
      </c>
      <c r="N2353" s="2">
        <f t="shared" si="110"/>
        <v>0.13935315926374467</v>
      </c>
    </row>
    <row r="2354" spans="1:14" x14ac:dyDescent="0.45">
      <c r="A2354" t="s">
        <v>4479</v>
      </c>
      <c r="B2354" s="1">
        <v>45120</v>
      </c>
      <c r="C2354" t="s">
        <v>4480</v>
      </c>
      <c r="D2354" t="s">
        <v>56</v>
      </c>
      <c r="E2354" t="s">
        <v>14</v>
      </c>
      <c r="F2354" t="s">
        <v>15</v>
      </c>
      <c r="G2354">
        <v>1</v>
      </c>
      <c r="H2354">
        <v>21132.35</v>
      </c>
      <c r="I2354">
        <v>3420.27</v>
      </c>
      <c r="J2354" t="s">
        <v>22</v>
      </c>
      <c r="K2354" t="s">
        <v>33</v>
      </c>
      <c r="L2354">
        <f t="shared" si="108"/>
        <v>2023</v>
      </c>
      <c r="M2354" t="str">
        <f t="shared" si="109"/>
        <v>Jul</v>
      </c>
      <c r="N2354" s="2">
        <f t="shared" si="110"/>
        <v>0.1618499598956103</v>
      </c>
    </row>
    <row r="2355" spans="1:14" x14ac:dyDescent="0.45">
      <c r="A2355" t="s">
        <v>4481</v>
      </c>
      <c r="B2355" s="1">
        <v>44640</v>
      </c>
      <c r="C2355" t="s">
        <v>4482</v>
      </c>
      <c r="D2355" t="s">
        <v>13</v>
      </c>
      <c r="E2355" t="s">
        <v>14</v>
      </c>
      <c r="F2355" t="s">
        <v>32</v>
      </c>
      <c r="G2355">
        <v>1</v>
      </c>
      <c r="H2355">
        <v>48194.52</v>
      </c>
      <c r="I2355">
        <v>8037.79</v>
      </c>
      <c r="J2355" t="s">
        <v>22</v>
      </c>
      <c r="K2355" t="s">
        <v>23</v>
      </c>
      <c r="L2355">
        <f t="shared" si="108"/>
        <v>2022</v>
      </c>
      <c r="M2355" t="str">
        <f t="shared" si="109"/>
        <v>Mar</v>
      </c>
      <c r="N2355" s="2">
        <f t="shared" si="110"/>
        <v>0.16677809012310943</v>
      </c>
    </row>
    <row r="2356" spans="1:14" x14ac:dyDescent="0.45">
      <c r="A2356" t="s">
        <v>4483</v>
      </c>
      <c r="B2356" s="1">
        <v>44587</v>
      </c>
      <c r="C2356" t="s">
        <v>4484</v>
      </c>
      <c r="D2356" t="s">
        <v>13</v>
      </c>
      <c r="E2356" t="s">
        <v>36</v>
      </c>
      <c r="F2356" t="s">
        <v>53</v>
      </c>
      <c r="G2356">
        <v>3</v>
      </c>
      <c r="H2356">
        <v>7200.46</v>
      </c>
      <c r="I2356">
        <v>500.89</v>
      </c>
      <c r="J2356" t="s">
        <v>22</v>
      </c>
      <c r="K2356" t="s">
        <v>33</v>
      </c>
      <c r="L2356">
        <f t="shared" si="108"/>
        <v>2022</v>
      </c>
      <c r="M2356" t="str">
        <f t="shared" si="109"/>
        <v>Jan</v>
      </c>
      <c r="N2356" s="2">
        <f t="shared" si="110"/>
        <v>6.9563611213728005E-2</v>
      </c>
    </row>
    <row r="2357" spans="1:14" x14ac:dyDescent="0.45">
      <c r="A2357" t="s">
        <v>4485</v>
      </c>
      <c r="B2357" s="1">
        <v>45003</v>
      </c>
      <c r="C2357" t="s">
        <v>4486</v>
      </c>
      <c r="D2357" t="s">
        <v>13</v>
      </c>
      <c r="E2357" t="s">
        <v>14</v>
      </c>
      <c r="F2357" t="s">
        <v>40</v>
      </c>
      <c r="G2357">
        <v>4</v>
      </c>
      <c r="H2357">
        <v>16072.75</v>
      </c>
      <c r="I2357">
        <v>1781.61</v>
      </c>
      <c r="J2357" t="s">
        <v>16</v>
      </c>
      <c r="K2357" t="s">
        <v>17</v>
      </c>
      <c r="L2357">
        <f t="shared" si="108"/>
        <v>2023</v>
      </c>
      <c r="M2357" t="str">
        <f t="shared" si="109"/>
        <v>Mar</v>
      </c>
      <c r="N2357" s="2">
        <f t="shared" si="110"/>
        <v>0.11084661927797047</v>
      </c>
    </row>
    <row r="2358" spans="1:14" x14ac:dyDescent="0.45">
      <c r="A2358" t="s">
        <v>4487</v>
      </c>
      <c r="B2358" s="1">
        <v>44727</v>
      </c>
      <c r="C2358" t="s">
        <v>2382</v>
      </c>
      <c r="D2358" t="s">
        <v>56</v>
      </c>
      <c r="E2358" t="s">
        <v>20</v>
      </c>
      <c r="F2358" t="s">
        <v>50</v>
      </c>
      <c r="G2358">
        <v>1</v>
      </c>
      <c r="H2358">
        <v>13101.02</v>
      </c>
      <c r="I2358">
        <v>2338.89</v>
      </c>
      <c r="J2358" t="s">
        <v>22</v>
      </c>
      <c r="K2358" t="s">
        <v>17</v>
      </c>
      <c r="L2358">
        <f t="shared" si="108"/>
        <v>2022</v>
      </c>
      <c r="M2358" t="str">
        <f t="shared" si="109"/>
        <v>Jun</v>
      </c>
      <c r="N2358" s="2">
        <f t="shared" si="110"/>
        <v>0.17852732077349701</v>
      </c>
    </row>
    <row r="2359" spans="1:14" x14ac:dyDescent="0.45">
      <c r="A2359" t="s">
        <v>4488</v>
      </c>
      <c r="B2359" s="1">
        <v>44843</v>
      </c>
      <c r="C2359" t="s">
        <v>4489</v>
      </c>
      <c r="D2359" t="s">
        <v>13</v>
      </c>
      <c r="E2359" t="s">
        <v>36</v>
      </c>
      <c r="F2359" t="s">
        <v>37</v>
      </c>
      <c r="G2359">
        <v>5</v>
      </c>
      <c r="H2359">
        <v>45768.19</v>
      </c>
      <c r="I2359">
        <v>2494.77</v>
      </c>
      <c r="J2359" t="s">
        <v>16</v>
      </c>
      <c r="K2359" t="s">
        <v>23</v>
      </c>
      <c r="L2359">
        <f t="shared" si="108"/>
        <v>2022</v>
      </c>
      <c r="M2359" t="str">
        <f t="shared" si="109"/>
        <v>Oct</v>
      </c>
      <c r="N2359" s="2">
        <f t="shared" si="110"/>
        <v>5.4508819335001006E-2</v>
      </c>
    </row>
    <row r="2360" spans="1:14" x14ac:dyDescent="0.45">
      <c r="A2360" t="s">
        <v>4490</v>
      </c>
      <c r="B2360" s="1">
        <v>45349</v>
      </c>
      <c r="C2360" t="s">
        <v>4491</v>
      </c>
      <c r="D2360" t="s">
        <v>56</v>
      </c>
      <c r="E2360" t="s">
        <v>20</v>
      </c>
      <c r="F2360" t="s">
        <v>43</v>
      </c>
      <c r="G2360">
        <v>1</v>
      </c>
      <c r="H2360">
        <v>48121.64</v>
      </c>
      <c r="I2360">
        <v>3990.77</v>
      </c>
      <c r="J2360" t="s">
        <v>22</v>
      </c>
      <c r="K2360" t="s">
        <v>33</v>
      </c>
      <c r="L2360">
        <f t="shared" si="108"/>
        <v>2024</v>
      </c>
      <c r="M2360" t="str">
        <f t="shared" si="109"/>
        <v>Feb</v>
      </c>
      <c r="N2360" s="2">
        <f t="shared" si="110"/>
        <v>8.2930880992418382E-2</v>
      </c>
    </row>
    <row r="2361" spans="1:14" x14ac:dyDescent="0.45">
      <c r="A2361" t="s">
        <v>4492</v>
      </c>
      <c r="B2361" s="1">
        <v>45279</v>
      </c>
      <c r="C2361" t="s">
        <v>4493</v>
      </c>
      <c r="D2361" t="s">
        <v>26</v>
      </c>
      <c r="E2361" t="s">
        <v>14</v>
      </c>
      <c r="F2361" t="s">
        <v>15</v>
      </c>
      <c r="G2361">
        <v>2</v>
      </c>
      <c r="H2361">
        <v>17854.32</v>
      </c>
      <c r="I2361">
        <v>4217.88</v>
      </c>
      <c r="J2361" t="s">
        <v>28</v>
      </c>
      <c r="K2361" t="s">
        <v>17</v>
      </c>
      <c r="L2361">
        <f t="shared" si="108"/>
        <v>2023</v>
      </c>
      <c r="M2361" t="str">
        <f t="shared" si="109"/>
        <v>Dec</v>
      </c>
      <c r="N2361" s="2">
        <f t="shared" si="110"/>
        <v>0.23623862460177705</v>
      </c>
    </row>
    <row r="2362" spans="1:14" x14ac:dyDescent="0.45">
      <c r="A2362" t="s">
        <v>4494</v>
      </c>
      <c r="B2362" s="1">
        <v>44662</v>
      </c>
      <c r="C2362" t="s">
        <v>3018</v>
      </c>
      <c r="D2362" t="s">
        <v>56</v>
      </c>
      <c r="E2362" t="s">
        <v>14</v>
      </c>
      <c r="F2362" t="s">
        <v>57</v>
      </c>
      <c r="G2362">
        <v>4</v>
      </c>
      <c r="H2362">
        <v>4547.47</v>
      </c>
      <c r="I2362">
        <v>859.95</v>
      </c>
      <c r="J2362" t="s">
        <v>71</v>
      </c>
      <c r="K2362" t="s">
        <v>29</v>
      </c>
      <c r="L2362">
        <f t="shared" si="108"/>
        <v>2022</v>
      </c>
      <c r="M2362" t="str">
        <f t="shared" si="109"/>
        <v>Apr</v>
      </c>
      <c r="N2362" s="2">
        <f t="shared" si="110"/>
        <v>0.18910515077614587</v>
      </c>
    </row>
    <row r="2363" spans="1:14" x14ac:dyDescent="0.45">
      <c r="A2363" t="s">
        <v>4495</v>
      </c>
      <c r="B2363" s="1">
        <v>45303</v>
      </c>
      <c r="C2363" t="s">
        <v>4496</v>
      </c>
      <c r="D2363" t="s">
        <v>13</v>
      </c>
      <c r="E2363" t="s">
        <v>20</v>
      </c>
      <c r="F2363" t="s">
        <v>43</v>
      </c>
      <c r="G2363">
        <v>2</v>
      </c>
      <c r="H2363">
        <v>6008.25</v>
      </c>
      <c r="I2363">
        <v>1335.43</v>
      </c>
      <c r="J2363" t="s">
        <v>71</v>
      </c>
      <c r="K2363" t="s">
        <v>33</v>
      </c>
      <c r="L2363">
        <f t="shared" si="108"/>
        <v>2024</v>
      </c>
      <c r="M2363" t="str">
        <f t="shared" si="109"/>
        <v>Jan</v>
      </c>
      <c r="N2363" s="2">
        <f t="shared" si="110"/>
        <v>0.22226605084675238</v>
      </c>
    </row>
    <row r="2364" spans="1:14" x14ac:dyDescent="0.45">
      <c r="A2364" t="s">
        <v>4497</v>
      </c>
      <c r="B2364" s="1">
        <v>45239</v>
      </c>
      <c r="C2364" t="s">
        <v>4498</v>
      </c>
      <c r="D2364" t="s">
        <v>56</v>
      </c>
      <c r="E2364" t="s">
        <v>36</v>
      </c>
      <c r="F2364" t="s">
        <v>53</v>
      </c>
      <c r="G2364">
        <v>5</v>
      </c>
      <c r="H2364">
        <v>46510.32</v>
      </c>
      <c r="I2364">
        <v>11404.23</v>
      </c>
      <c r="J2364" t="s">
        <v>16</v>
      </c>
      <c r="K2364" t="s">
        <v>33</v>
      </c>
      <c r="L2364">
        <f t="shared" si="108"/>
        <v>2023</v>
      </c>
      <c r="M2364" t="str">
        <f t="shared" si="109"/>
        <v>Nov</v>
      </c>
      <c r="N2364" s="2">
        <f t="shared" si="110"/>
        <v>0.24519783996325975</v>
      </c>
    </row>
    <row r="2365" spans="1:14" x14ac:dyDescent="0.45">
      <c r="A2365" t="s">
        <v>4499</v>
      </c>
      <c r="B2365" s="1">
        <v>45379</v>
      </c>
      <c r="C2365" t="s">
        <v>4500</v>
      </c>
      <c r="D2365" t="s">
        <v>26</v>
      </c>
      <c r="E2365" t="s">
        <v>14</v>
      </c>
      <c r="F2365" t="s">
        <v>57</v>
      </c>
      <c r="G2365">
        <v>3</v>
      </c>
      <c r="H2365">
        <v>44329.25</v>
      </c>
      <c r="I2365">
        <v>4254.9399999999996</v>
      </c>
      <c r="J2365" t="s">
        <v>47</v>
      </c>
      <c r="K2365" t="s">
        <v>29</v>
      </c>
      <c r="L2365">
        <f t="shared" si="108"/>
        <v>2024</v>
      </c>
      <c r="M2365" t="str">
        <f t="shared" si="109"/>
        <v>Mar</v>
      </c>
      <c r="N2365" s="2">
        <f t="shared" si="110"/>
        <v>9.5984930942887584E-2</v>
      </c>
    </row>
    <row r="2366" spans="1:14" x14ac:dyDescent="0.45">
      <c r="A2366" t="s">
        <v>4501</v>
      </c>
      <c r="B2366" s="1">
        <v>44995</v>
      </c>
      <c r="C2366" t="s">
        <v>2970</v>
      </c>
      <c r="D2366" t="s">
        <v>56</v>
      </c>
      <c r="E2366" t="s">
        <v>36</v>
      </c>
      <c r="F2366" t="s">
        <v>53</v>
      </c>
      <c r="G2366">
        <v>2</v>
      </c>
      <c r="H2366">
        <v>40219.51</v>
      </c>
      <c r="I2366">
        <v>7057.96</v>
      </c>
      <c r="J2366" t="s">
        <v>16</v>
      </c>
      <c r="K2366" t="s">
        <v>33</v>
      </c>
      <c r="L2366">
        <f t="shared" si="108"/>
        <v>2023</v>
      </c>
      <c r="M2366" t="str">
        <f t="shared" si="109"/>
        <v>Mar</v>
      </c>
      <c r="N2366" s="2">
        <f t="shared" si="110"/>
        <v>0.17548597683064759</v>
      </c>
    </row>
    <row r="2367" spans="1:14" x14ac:dyDescent="0.45">
      <c r="A2367" t="s">
        <v>4502</v>
      </c>
      <c r="B2367" s="1">
        <v>45471</v>
      </c>
      <c r="C2367" t="s">
        <v>4503</v>
      </c>
      <c r="D2367" t="s">
        <v>26</v>
      </c>
      <c r="E2367" t="s">
        <v>36</v>
      </c>
      <c r="F2367" t="s">
        <v>53</v>
      </c>
      <c r="G2367">
        <v>5</v>
      </c>
      <c r="H2367">
        <v>38924.67</v>
      </c>
      <c r="I2367">
        <v>3354.04</v>
      </c>
      <c r="J2367" t="s">
        <v>22</v>
      </c>
      <c r="K2367" t="s">
        <v>23</v>
      </c>
      <c r="L2367">
        <f t="shared" si="108"/>
        <v>2024</v>
      </c>
      <c r="M2367" t="str">
        <f t="shared" si="109"/>
        <v>Jun</v>
      </c>
      <c r="N2367" s="2">
        <f t="shared" si="110"/>
        <v>8.6167461406866139E-2</v>
      </c>
    </row>
    <row r="2368" spans="1:14" x14ac:dyDescent="0.45">
      <c r="A2368" t="s">
        <v>4504</v>
      </c>
      <c r="B2368" s="1">
        <v>44851</v>
      </c>
      <c r="C2368" t="s">
        <v>4505</v>
      </c>
      <c r="D2368" t="s">
        <v>26</v>
      </c>
      <c r="E2368" t="s">
        <v>36</v>
      </c>
      <c r="F2368" t="s">
        <v>46</v>
      </c>
      <c r="G2368">
        <v>4</v>
      </c>
      <c r="H2368">
        <v>7574.17</v>
      </c>
      <c r="I2368">
        <v>1734.55</v>
      </c>
      <c r="J2368" t="s">
        <v>47</v>
      </c>
      <c r="K2368" t="s">
        <v>23</v>
      </c>
      <c r="L2368">
        <f t="shared" si="108"/>
        <v>2022</v>
      </c>
      <c r="M2368" t="str">
        <f t="shared" si="109"/>
        <v>Oct</v>
      </c>
      <c r="N2368" s="2">
        <f t="shared" si="110"/>
        <v>0.22900859104033841</v>
      </c>
    </row>
    <row r="2369" spans="1:14" x14ac:dyDescent="0.45">
      <c r="A2369" t="s">
        <v>4506</v>
      </c>
      <c r="B2369" s="1">
        <v>45378</v>
      </c>
      <c r="C2369" t="s">
        <v>4507</v>
      </c>
      <c r="D2369" t="s">
        <v>13</v>
      </c>
      <c r="E2369" t="s">
        <v>20</v>
      </c>
      <c r="F2369" t="s">
        <v>27</v>
      </c>
      <c r="G2369">
        <v>1</v>
      </c>
      <c r="H2369">
        <v>13234.33</v>
      </c>
      <c r="I2369">
        <v>2099.2800000000002</v>
      </c>
      <c r="J2369" t="s">
        <v>28</v>
      </c>
      <c r="K2369" t="s">
        <v>29</v>
      </c>
      <c r="L2369">
        <f t="shared" si="108"/>
        <v>2024</v>
      </c>
      <c r="M2369" t="str">
        <f t="shared" si="109"/>
        <v>Mar</v>
      </c>
      <c r="N2369" s="2">
        <f t="shared" si="110"/>
        <v>0.15862382153082175</v>
      </c>
    </row>
    <row r="2370" spans="1:14" x14ac:dyDescent="0.45">
      <c r="A2370" t="s">
        <v>4508</v>
      </c>
      <c r="B2370" s="1">
        <v>44930</v>
      </c>
      <c r="C2370" t="s">
        <v>3495</v>
      </c>
      <c r="D2370" t="s">
        <v>13</v>
      </c>
      <c r="E2370" t="s">
        <v>14</v>
      </c>
      <c r="F2370" t="s">
        <v>32</v>
      </c>
      <c r="G2370">
        <v>2</v>
      </c>
      <c r="H2370">
        <v>18289.04</v>
      </c>
      <c r="I2370">
        <v>1497.52</v>
      </c>
      <c r="J2370" t="s">
        <v>47</v>
      </c>
      <c r="K2370" t="s">
        <v>17</v>
      </c>
      <c r="L2370">
        <f t="shared" si="108"/>
        <v>2023</v>
      </c>
      <c r="M2370" t="str">
        <f t="shared" si="109"/>
        <v>Jan</v>
      </c>
      <c r="N2370" s="2">
        <f t="shared" si="110"/>
        <v>8.1880732941696219E-2</v>
      </c>
    </row>
    <row r="2371" spans="1:14" x14ac:dyDescent="0.45">
      <c r="A2371" t="s">
        <v>4509</v>
      </c>
      <c r="B2371" s="1">
        <v>44876</v>
      </c>
      <c r="C2371" t="s">
        <v>4510</v>
      </c>
      <c r="D2371" t="s">
        <v>26</v>
      </c>
      <c r="E2371" t="s">
        <v>14</v>
      </c>
      <c r="F2371" t="s">
        <v>32</v>
      </c>
      <c r="G2371">
        <v>3</v>
      </c>
      <c r="H2371">
        <v>30926.76</v>
      </c>
      <c r="I2371">
        <v>5522.72</v>
      </c>
      <c r="J2371" t="s">
        <v>16</v>
      </c>
      <c r="K2371" t="s">
        <v>23</v>
      </c>
      <c r="L2371">
        <f t="shared" ref="L2371:L2434" si="111">YEAR(B2371 )</f>
        <v>2022</v>
      </c>
      <c r="M2371" t="str">
        <f t="shared" ref="M2371:M2434" si="112">TEXT(B2371,"MMM")</f>
        <v>Nov</v>
      </c>
      <c r="N2371" s="2">
        <f t="shared" ref="N2371:N2434" si="113">I2371 / H2371</f>
        <v>0.17857415390425641</v>
      </c>
    </row>
    <row r="2372" spans="1:14" x14ac:dyDescent="0.45">
      <c r="A2372" t="s">
        <v>4511</v>
      </c>
      <c r="B2372" s="1">
        <v>45039</v>
      </c>
      <c r="C2372" t="s">
        <v>913</v>
      </c>
      <c r="D2372" t="s">
        <v>13</v>
      </c>
      <c r="E2372" t="s">
        <v>36</v>
      </c>
      <c r="F2372" t="s">
        <v>64</v>
      </c>
      <c r="G2372">
        <v>2</v>
      </c>
      <c r="H2372">
        <v>4643.95</v>
      </c>
      <c r="I2372">
        <v>361.41</v>
      </c>
      <c r="J2372" t="s">
        <v>47</v>
      </c>
      <c r="K2372" t="s">
        <v>33</v>
      </c>
      <c r="L2372">
        <f t="shared" si="111"/>
        <v>2023</v>
      </c>
      <c r="M2372" t="str">
        <f t="shared" si="112"/>
        <v>Apr</v>
      </c>
      <c r="N2372" s="2">
        <f t="shared" si="113"/>
        <v>7.7823835312611042E-2</v>
      </c>
    </row>
    <row r="2373" spans="1:14" x14ac:dyDescent="0.45">
      <c r="A2373" t="s">
        <v>4512</v>
      </c>
      <c r="B2373" s="1">
        <v>44589</v>
      </c>
      <c r="C2373" t="s">
        <v>4513</v>
      </c>
      <c r="D2373" t="s">
        <v>13</v>
      </c>
      <c r="E2373" t="s">
        <v>14</v>
      </c>
      <c r="F2373" t="s">
        <v>32</v>
      </c>
      <c r="G2373">
        <v>4</v>
      </c>
      <c r="H2373">
        <v>979.35</v>
      </c>
      <c r="I2373">
        <v>168.77</v>
      </c>
      <c r="J2373" t="s">
        <v>16</v>
      </c>
      <c r="K2373" t="s">
        <v>17</v>
      </c>
      <c r="L2373">
        <f t="shared" si="111"/>
        <v>2022</v>
      </c>
      <c r="M2373" t="str">
        <f t="shared" si="112"/>
        <v>Jan</v>
      </c>
      <c r="N2373" s="2">
        <f t="shared" si="113"/>
        <v>0.17232858528615919</v>
      </c>
    </row>
    <row r="2374" spans="1:14" x14ac:dyDescent="0.45">
      <c r="A2374" t="s">
        <v>4514</v>
      </c>
      <c r="B2374" s="1">
        <v>45463</v>
      </c>
      <c r="C2374" t="s">
        <v>4515</v>
      </c>
      <c r="D2374" t="s">
        <v>56</v>
      </c>
      <c r="E2374" t="s">
        <v>36</v>
      </c>
      <c r="F2374" t="s">
        <v>64</v>
      </c>
      <c r="G2374">
        <v>2</v>
      </c>
      <c r="H2374">
        <v>4079.85</v>
      </c>
      <c r="I2374">
        <v>747.39</v>
      </c>
      <c r="J2374" t="s">
        <v>71</v>
      </c>
      <c r="K2374" t="s">
        <v>23</v>
      </c>
      <c r="L2374">
        <f t="shared" si="111"/>
        <v>2024</v>
      </c>
      <c r="M2374" t="str">
        <f t="shared" si="112"/>
        <v>Jun</v>
      </c>
      <c r="N2374" s="2">
        <f t="shared" si="113"/>
        <v>0.18319055847641458</v>
      </c>
    </row>
    <row r="2375" spans="1:14" x14ac:dyDescent="0.45">
      <c r="A2375" t="s">
        <v>4516</v>
      </c>
      <c r="B2375" s="1">
        <v>44718</v>
      </c>
      <c r="C2375" t="s">
        <v>4517</v>
      </c>
      <c r="D2375" t="s">
        <v>26</v>
      </c>
      <c r="E2375" t="s">
        <v>20</v>
      </c>
      <c r="F2375" t="s">
        <v>27</v>
      </c>
      <c r="G2375">
        <v>1</v>
      </c>
      <c r="H2375">
        <v>24935.48</v>
      </c>
      <c r="I2375">
        <v>2894.47</v>
      </c>
      <c r="J2375" t="s">
        <v>16</v>
      </c>
      <c r="K2375" t="s">
        <v>17</v>
      </c>
      <c r="L2375">
        <f t="shared" si="111"/>
        <v>2022</v>
      </c>
      <c r="M2375" t="str">
        <f t="shared" si="112"/>
        <v>Jun</v>
      </c>
      <c r="N2375" s="2">
        <f t="shared" si="113"/>
        <v>0.11607837507038163</v>
      </c>
    </row>
    <row r="2376" spans="1:14" x14ac:dyDescent="0.45">
      <c r="A2376" t="s">
        <v>4518</v>
      </c>
      <c r="B2376" s="1">
        <v>45140</v>
      </c>
      <c r="C2376" t="s">
        <v>4519</v>
      </c>
      <c r="D2376" t="s">
        <v>13</v>
      </c>
      <c r="E2376" t="s">
        <v>20</v>
      </c>
      <c r="F2376" t="s">
        <v>27</v>
      </c>
      <c r="G2376">
        <v>3</v>
      </c>
      <c r="H2376">
        <v>35514.379999999997</v>
      </c>
      <c r="I2376">
        <v>5496.69</v>
      </c>
      <c r="J2376" t="s">
        <v>28</v>
      </c>
      <c r="K2376" t="s">
        <v>17</v>
      </c>
      <c r="L2376">
        <f t="shared" si="111"/>
        <v>2023</v>
      </c>
      <c r="M2376" t="str">
        <f t="shared" si="112"/>
        <v>Aug</v>
      </c>
      <c r="N2376" s="2">
        <f t="shared" si="113"/>
        <v>0.15477364380287648</v>
      </c>
    </row>
    <row r="2377" spans="1:14" x14ac:dyDescent="0.45">
      <c r="A2377" t="s">
        <v>4520</v>
      </c>
      <c r="B2377" s="1">
        <v>45423</v>
      </c>
      <c r="C2377" t="s">
        <v>4521</v>
      </c>
      <c r="D2377" t="s">
        <v>26</v>
      </c>
      <c r="E2377" t="s">
        <v>14</v>
      </c>
      <c r="F2377" t="s">
        <v>32</v>
      </c>
      <c r="G2377">
        <v>4</v>
      </c>
      <c r="H2377">
        <v>10557.8</v>
      </c>
      <c r="I2377">
        <v>1458.87</v>
      </c>
      <c r="J2377" t="s">
        <v>47</v>
      </c>
      <c r="K2377" t="s">
        <v>23</v>
      </c>
      <c r="L2377">
        <f t="shared" si="111"/>
        <v>2024</v>
      </c>
      <c r="M2377" t="str">
        <f t="shared" si="112"/>
        <v>May</v>
      </c>
      <c r="N2377" s="2">
        <f t="shared" si="113"/>
        <v>0.13817935554755725</v>
      </c>
    </row>
    <row r="2378" spans="1:14" x14ac:dyDescent="0.45">
      <c r="A2378" t="s">
        <v>4522</v>
      </c>
      <c r="B2378" s="1">
        <v>45280</v>
      </c>
      <c r="C2378" t="s">
        <v>4523</v>
      </c>
      <c r="D2378" t="s">
        <v>56</v>
      </c>
      <c r="E2378" t="s">
        <v>14</v>
      </c>
      <c r="F2378" t="s">
        <v>32</v>
      </c>
      <c r="G2378">
        <v>5</v>
      </c>
      <c r="H2378">
        <v>7169.9</v>
      </c>
      <c r="I2378">
        <v>843.09</v>
      </c>
      <c r="J2378" t="s">
        <v>47</v>
      </c>
      <c r="K2378" t="s">
        <v>33</v>
      </c>
      <c r="L2378">
        <f t="shared" si="111"/>
        <v>2023</v>
      </c>
      <c r="M2378" t="str">
        <f t="shared" si="112"/>
        <v>Dec</v>
      </c>
      <c r="N2378" s="2">
        <f t="shared" si="113"/>
        <v>0.11758741405040518</v>
      </c>
    </row>
    <row r="2379" spans="1:14" x14ac:dyDescent="0.45">
      <c r="A2379" t="s">
        <v>4524</v>
      </c>
      <c r="B2379" s="1">
        <v>44943</v>
      </c>
      <c r="C2379" t="s">
        <v>4525</v>
      </c>
      <c r="D2379" t="s">
        <v>26</v>
      </c>
      <c r="E2379" t="s">
        <v>36</v>
      </c>
      <c r="F2379" t="s">
        <v>53</v>
      </c>
      <c r="G2379">
        <v>4</v>
      </c>
      <c r="H2379">
        <v>37870.720000000001</v>
      </c>
      <c r="I2379">
        <v>6537.35</v>
      </c>
      <c r="J2379" t="s">
        <v>28</v>
      </c>
      <c r="K2379" t="s">
        <v>33</v>
      </c>
      <c r="L2379">
        <f t="shared" si="111"/>
        <v>2023</v>
      </c>
      <c r="M2379" t="str">
        <f t="shared" si="112"/>
        <v>Jan</v>
      </c>
      <c r="N2379" s="2">
        <f t="shared" si="113"/>
        <v>0.17262280727696755</v>
      </c>
    </row>
    <row r="2380" spans="1:14" x14ac:dyDescent="0.45">
      <c r="A2380" t="s">
        <v>4526</v>
      </c>
      <c r="B2380" s="1">
        <v>45640</v>
      </c>
      <c r="C2380" t="s">
        <v>4527</v>
      </c>
      <c r="D2380" t="s">
        <v>26</v>
      </c>
      <c r="E2380" t="s">
        <v>14</v>
      </c>
      <c r="F2380" t="s">
        <v>32</v>
      </c>
      <c r="G2380">
        <v>1</v>
      </c>
      <c r="H2380">
        <v>39783.81</v>
      </c>
      <c r="I2380">
        <v>2975.44</v>
      </c>
      <c r="J2380" t="s">
        <v>22</v>
      </c>
      <c r="K2380" t="s">
        <v>29</v>
      </c>
      <c r="L2380">
        <f t="shared" si="111"/>
        <v>2024</v>
      </c>
      <c r="M2380" t="str">
        <f t="shared" si="112"/>
        <v>Dec</v>
      </c>
      <c r="N2380" s="2">
        <f t="shared" si="113"/>
        <v>7.4790222454812649E-2</v>
      </c>
    </row>
    <row r="2381" spans="1:14" x14ac:dyDescent="0.45">
      <c r="A2381" t="s">
        <v>4528</v>
      </c>
      <c r="B2381" s="1">
        <v>45406</v>
      </c>
      <c r="C2381" t="s">
        <v>2049</v>
      </c>
      <c r="D2381" t="s">
        <v>13</v>
      </c>
      <c r="E2381" t="s">
        <v>14</v>
      </c>
      <c r="F2381" t="s">
        <v>15</v>
      </c>
      <c r="G2381">
        <v>2</v>
      </c>
      <c r="H2381">
        <v>35712.730000000003</v>
      </c>
      <c r="I2381">
        <v>2221.91</v>
      </c>
      <c r="J2381" t="s">
        <v>16</v>
      </c>
      <c r="K2381" t="s">
        <v>33</v>
      </c>
      <c r="L2381">
        <f t="shared" si="111"/>
        <v>2024</v>
      </c>
      <c r="M2381" t="str">
        <f t="shared" si="112"/>
        <v>Apr</v>
      </c>
      <c r="N2381" s="2">
        <f t="shared" si="113"/>
        <v>6.2216190137242368E-2</v>
      </c>
    </row>
    <row r="2382" spans="1:14" x14ac:dyDescent="0.45">
      <c r="A2382" t="s">
        <v>4529</v>
      </c>
      <c r="B2382" s="1">
        <v>44916</v>
      </c>
      <c r="C2382" t="s">
        <v>4530</v>
      </c>
      <c r="D2382" t="s">
        <v>56</v>
      </c>
      <c r="E2382" t="s">
        <v>20</v>
      </c>
      <c r="F2382" t="s">
        <v>43</v>
      </c>
      <c r="G2382">
        <v>1</v>
      </c>
      <c r="H2382">
        <v>40011.43</v>
      </c>
      <c r="I2382">
        <v>5585.81</v>
      </c>
      <c r="J2382" t="s">
        <v>47</v>
      </c>
      <c r="K2382" t="s">
        <v>17</v>
      </c>
      <c r="L2382">
        <f t="shared" si="111"/>
        <v>2022</v>
      </c>
      <c r="M2382" t="str">
        <f t="shared" si="112"/>
        <v>Dec</v>
      </c>
      <c r="N2382" s="2">
        <f t="shared" si="113"/>
        <v>0.1396053577690175</v>
      </c>
    </row>
    <row r="2383" spans="1:14" x14ac:dyDescent="0.45">
      <c r="A2383" t="s">
        <v>4531</v>
      </c>
      <c r="B2383" s="1">
        <v>44978</v>
      </c>
      <c r="C2383" t="s">
        <v>4532</v>
      </c>
      <c r="D2383" t="s">
        <v>13</v>
      </c>
      <c r="E2383" t="s">
        <v>36</v>
      </c>
      <c r="F2383" t="s">
        <v>46</v>
      </c>
      <c r="G2383">
        <v>2</v>
      </c>
      <c r="H2383">
        <v>36812.160000000003</v>
      </c>
      <c r="I2383">
        <v>8125.87</v>
      </c>
      <c r="J2383" t="s">
        <v>22</v>
      </c>
      <c r="K2383" t="s">
        <v>29</v>
      </c>
      <c r="L2383">
        <f t="shared" si="111"/>
        <v>2023</v>
      </c>
      <c r="M2383" t="str">
        <f t="shared" si="112"/>
        <v>Feb</v>
      </c>
      <c r="N2383" s="2">
        <f t="shared" si="113"/>
        <v>0.22073874502338356</v>
      </c>
    </row>
    <row r="2384" spans="1:14" x14ac:dyDescent="0.45">
      <c r="A2384" t="s">
        <v>4533</v>
      </c>
      <c r="B2384" s="1">
        <v>45593</v>
      </c>
      <c r="C2384" t="s">
        <v>4534</v>
      </c>
      <c r="D2384" t="s">
        <v>56</v>
      </c>
      <c r="E2384" t="s">
        <v>36</v>
      </c>
      <c r="F2384" t="s">
        <v>64</v>
      </c>
      <c r="G2384">
        <v>5</v>
      </c>
      <c r="H2384">
        <v>43779.81</v>
      </c>
      <c r="I2384">
        <v>2932.8</v>
      </c>
      <c r="J2384" t="s">
        <v>16</v>
      </c>
      <c r="K2384" t="s">
        <v>23</v>
      </c>
      <c r="L2384">
        <f t="shared" si="111"/>
        <v>2024</v>
      </c>
      <c r="M2384" t="str">
        <f t="shared" si="112"/>
        <v>Oct</v>
      </c>
      <c r="N2384" s="2">
        <f t="shared" si="113"/>
        <v>6.6989783646845436E-2</v>
      </c>
    </row>
    <row r="2385" spans="1:14" x14ac:dyDescent="0.45">
      <c r="A2385" t="s">
        <v>4535</v>
      </c>
      <c r="B2385" s="1">
        <v>44699</v>
      </c>
      <c r="C2385" t="s">
        <v>4536</v>
      </c>
      <c r="D2385" t="s">
        <v>26</v>
      </c>
      <c r="E2385" t="s">
        <v>36</v>
      </c>
      <c r="F2385" t="s">
        <v>53</v>
      </c>
      <c r="G2385">
        <v>1</v>
      </c>
      <c r="H2385">
        <v>13653.62</v>
      </c>
      <c r="I2385">
        <v>2739.59</v>
      </c>
      <c r="J2385" t="s">
        <v>16</v>
      </c>
      <c r="K2385" t="s">
        <v>29</v>
      </c>
      <c r="L2385">
        <f t="shared" si="111"/>
        <v>2022</v>
      </c>
      <c r="M2385" t="str">
        <f t="shared" si="112"/>
        <v>May</v>
      </c>
      <c r="N2385" s="2">
        <f t="shared" si="113"/>
        <v>0.20064935160052791</v>
      </c>
    </row>
    <row r="2386" spans="1:14" x14ac:dyDescent="0.45">
      <c r="A2386" t="s">
        <v>4537</v>
      </c>
      <c r="B2386" s="1">
        <v>45427</v>
      </c>
      <c r="C2386" t="s">
        <v>4285</v>
      </c>
      <c r="D2386" t="s">
        <v>26</v>
      </c>
      <c r="E2386" t="s">
        <v>20</v>
      </c>
      <c r="F2386" t="s">
        <v>21</v>
      </c>
      <c r="G2386">
        <v>1</v>
      </c>
      <c r="H2386">
        <v>20637.57</v>
      </c>
      <c r="I2386">
        <v>2186.0100000000002</v>
      </c>
      <c r="J2386" t="s">
        <v>16</v>
      </c>
      <c r="K2386" t="s">
        <v>17</v>
      </c>
      <c r="L2386">
        <f t="shared" si="111"/>
        <v>2024</v>
      </c>
      <c r="M2386" t="str">
        <f t="shared" si="112"/>
        <v>May</v>
      </c>
      <c r="N2386" s="2">
        <f t="shared" si="113"/>
        <v>0.10592380789017312</v>
      </c>
    </row>
    <row r="2387" spans="1:14" x14ac:dyDescent="0.45">
      <c r="A2387" t="s">
        <v>4538</v>
      </c>
      <c r="B2387" s="1">
        <v>45051</v>
      </c>
      <c r="C2387" t="s">
        <v>4539</v>
      </c>
      <c r="D2387" t="s">
        <v>26</v>
      </c>
      <c r="E2387" t="s">
        <v>36</v>
      </c>
      <c r="F2387" t="s">
        <v>53</v>
      </c>
      <c r="G2387">
        <v>2</v>
      </c>
      <c r="H2387">
        <v>18623.02</v>
      </c>
      <c r="I2387">
        <v>4474.21</v>
      </c>
      <c r="J2387" t="s">
        <v>71</v>
      </c>
      <c r="K2387" t="s">
        <v>33</v>
      </c>
      <c r="L2387">
        <f t="shared" si="111"/>
        <v>2023</v>
      </c>
      <c r="M2387" t="str">
        <f t="shared" si="112"/>
        <v>May</v>
      </c>
      <c r="N2387" s="2">
        <f t="shared" si="113"/>
        <v>0.24025158110768285</v>
      </c>
    </row>
    <row r="2388" spans="1:14" x14ac:dyDescent="0.45">
      <c r="A2388" t="s">
        <v>4540</v>
      </c>
      <c r="B2388" s="1">
        <v>45192</v>
      </c>
      <c r="C2388" t="s">
        <v>3707</v>
      </c>
      <c r="D2388" t="s">
        <v>56</v>
      </c>
      <c r="E2388" t="s">
        <v>20</v>
      </c>
      <c r="F2388" t="s">
        <v>21</v>
      </c>
      <c r="G2388">
        <v>3</v>
      </c>
      <c r="H2388">
        <v>26638.67</v>
      </c>
      <c r="I2388">
        <v>4664.3</v>
      </c>
      <c r="J2388" t="s">
        <v>16</v>
      </c>
      <c r="K2388" t="s">
        <v>23</v>
      </c>
      <c r="L2388">
        <f t="shared" si="111"/>
        <v>2023</v>
      </c>
      <c r="M2388" t="str">
        <f t="shared" si="112"/>
        <v>Sep</v>
      </c>
      <c r="N2388" s="2">
        <f t="shared" si="113"/>
        <v>0.17509507794495749</v>
      </c>
    </row>
    <row r="2389" spans="1:14" x14ac:dyDescent="0.45">
      <c r="A2389" t="s">
        <v>4541</v>
      </c>
      <c r="B2389" s="1">
        <v>45345</v>
      </c>
      <c r="C2389" t="s">
        <v>4542</v>
      </c>
      <c r="D2389" t="s">
        <v>26</v>
      </c>
      <c r="E2389" t="s">
        <v>20</v>
      </c>
      <c r="F2389" t="s">
        <v>43</v>
      </c>
      <c r="G2389">
        <v>2</v>
      </c>
      <c r="H2389">
        <v>15179.39</v>
      </c>
      <c r="I2389">
        <v>1398.4</v>
      </c>
      <c r="J2389" t="s">
        <v>47</v>
      </c>
      <c r="K2389" t="s">
        <v>23</v>
      </c>
      <c r="L2389">
        <f t="shared" si="111"/>
        <v>2024</v>
      </c>
      <c r="M2389" t="str">
        <f t="shared" si="112"/>
        <v>Feb</v>
      </c>
      <c r="N2389" s="2">
        <f t="shared" si="113"/>
        <v>9.2124914110514336E-2</v>
      </c>
    </row>
    <row r="2390" spans="1:14" x14ac:dyDescent="0.45">
      <c r="A2390" t="s">
        <v>4543</v>
      </c>
      <c r="B2390" s="1">
        <v>45413</v>
      </c>
      <c r="C2390" t="s">
        <v>4544</v>
      </c>
      <c r="D2390" t="s">
        <v>56</v>
      </c>
      <c r="E2390" t="s">
        <v>20</v>
      </c>
      <c r="F2390" t="s">
        <v>21</v>
      </c>
      <c r="G2390">
        <v>3</v>
      </c>
      <c r="H2390">
        <v>42257.52</v>
      </c>
      <c r="I2390">
        <v>9813.66</v>
      </c>
      <c r="J2390" t="s">
        <v>22</v>
      </c>
      <c r="K2390" t="s">
        <v>17</v>
      </c>
      <c r="L2390">
        <f t="shared" si="111"/>
        <v>2024</v>
      </c>
      <c r="M2390" t="str">
        <f t="shared" si="112"/>
        <v>May</v>
      </c>
      <c r="N2390" s="2">
        <f t="shared" si="113"/>
        <v>0.2322346413135461</v>
      </c>
    </row>
    <row r="2391" spans="1:14" x14ac:dyDescent="0.45">
      <c r="A2391" t="s">
        <v>4545</v>
      </c>
      <c r="B2391" s="1">
        <v>44690</v>
      </c>
      <c r="C2391" t="s">
        <v>4546</v>
      </c>
      <c r="D2391" t="s">
        <v>56</v>
      </c>
      <c r="E2391" t="s">
        <v>36</v>
      </c>
      <c r="F2391" t="s">
        <v>64</v>
      </c>
      <c r="G2391">
        <v>2</v>
      </c>
      <c r="H2391">
        <v>12855.23</v>
      </c>
      <c r="I2391">
        <v>1659.05</v>
      </c>
      <c r="J2391" t="s">
        <v>28</v>
      </c>
      <c r="K2391" t="s">
        <v>29</v>
      </c>
      <c r="L2391">
        <f t="shared" si="111"/>
        <v>2022</v>
      </c>
      <c r="M2391" t="str">
        <f t="shared" si="112"/>
        <v>May</v>
      </c>
      <c r="N2391" s="2">
        <f t="shared" si="113"/>
        <v>0.12905642295003669</v>
      </c>
    </row>
    <row r="2392" spans="1:14" x14ac:dyDescent="0.45">
      <c r="A2392" t="s">
        <v>4547</v>
      </c>
      <c r="B2392" s="1">
        <v>45305</v>
      </c>
      <c r="C2392" t="s">
        <v>4548</v>
      </c>
      <c r="D2392" t="s">
        <v>26</v>
      </c>
      <c r="E2392" t="s">
        <v>20</v>
      </c>
      <c r="F2392" t="s">
        <v>43</v>
      </c>
      <c r="G2392">
        <v>3</v>
      </c>
      <c r="H2392">
        <v>11727.75</v>
      </c>
      <c r="I2392">
        <v>2034.09</v>
      </c>
      <c r="J2392" t="s">
        <v>71</v>
      </c>
      <c r="K2392" t="s">
        <v>29</v>
      </c>
      <c r="L2392">
        <f t="shared" si="111"/>
        <v>2024</v>
      </c>
      <c r="M2392" t="str">
        <f t="shared" si="112"/>
        <v>Jan</v>
      </c>
      <c r="N2392" s="2">
        <f t="shared" si="113"/>
        <v>0.17344247617829506</v>
      </c>
    </row>
    <row r="2393" spans="1:14" x14ac:dyDescent="0.45">
      <c r="A2393" t="s">
        <v>4549</v>
      </c>
      <c r="B2393" s="1">
        <v>44577</v>
      </c>
      <c r="C2393" t="s">
        <v>4550</v>
      </c>
      <c r="D2393" t="s">
        <v>13</v>
      </c>
      <c r="E2393" t="s">
        <v>14</v>
      </c>
      <c r="F2393" t="s">
        <v>32</v>
      </c>
      <c r="G2393">
        <v>5</v>
      </c>
      <c r="H2393">
        <v>41027.24</v>
      </c>
      <c r="I2393">
        <v>6048.98</v>
      </c>
      <c r="J2393" t="s">
        <v>22</v>
      </c>
      <c r="K2393" t="s">
        <v>33</v>
      </c>
      <c r="L2393">
        <f t="shared" si="111"/>
        <v>2022</v>
      </c>
      <c r="M2393" t="str">
        <f t="shared" si="112"/>
        <v>Jan</v>
      </c>
      <c r="N2393" s="2">
        <f t="shared" si="113"/>
        <v>0.14743814109845069</v>
      </c>
    </row>
    <row r="2394" spans="1:14" x14ac:dyDescent="0.45">
      <c r="A2394" t="s">
        <v>4551</v>
      </c>
      <c r="B2394" s="1">
        <v>45153</v>
      </c>
      <c r="C2394" t="s">
        <v>4552</v>
      </c>
      <c r="D2394" t="s">
        <v>56</v>
      </c>
      <c r="E2394" t="s">
        <v>36</v>
      </c>
      <c r="F2394" t="s">
        <v>53</v>
      </c>
      <c r="G2394">
        <v>3</v>
      </c>
      <c r="H2394">
        <v>2297.1999999999998</v>
      </c>
      <c r="I2394">
        <v>419.11</v>
      </c>
      <c r="J2394" t="s">
        <v>28</v>
      </c>
      <c r="K2394" t="s">
        <v>33</v>
      </c>
      <c r="L2394">
        <f t="shared" si="111"/>
        <v>2023</v>
      </c>
      <c r="M2394" t="str">
        <f t="shared" si="112"/>
        <v>Aug</v>
      </c>
      <c r="N2394" s="2">
        <f t="shared" si="113"/>
        <v>0.18244384468048061</v>
      </c>
    </row>
    <row r="2395" spans="1:14" x14ac:dyDescent="0.45">
      <c r="A2395" t="s">
        <v>4553</v>
      </c>
      <c r="B2395" s="1">
        <v>45521</v>
      </c>
      <c r="C2395" t="s">
        <v>4554</v>
      </c>
      <c r="D2395" t="s">
        <v>56</v>
      </c>
      <c r="E2395" t="s">
        <v>36</v>
      </c>
      <c r="F2395" t="s">
        <v>64</v>
      </c>
      <c r="G2395">
        <v>5</v>
      </c>
      <c r="H2395">
        <v>14794.61</v>
      </c>
      <c r="I2395">
        <v>1035.7</v>
      </c>
      <c r="J2395" t="s">
        <v>47</v>
      </c>
      <c r="K2395" t="s">
        <v>33</v>
      </c>
      <c r="L2395">
        <f t="shared" si="111"/>
        <v>2024</v>
      </c>
      <c r="M2395" t="str">
        <f t="shared" si="112"/>
        <v>Aug</v>
      </c>
      <c r="N2395" s="2">
        <f t="shared" si="113"/>
        <v>7.0005224875816258E-2</v>
      </c>
    </row>
    <row r="2396" spans="1:14" x14ac:dyDescent="0.45">
      <c r="A2396" t="s">
        <v>4555</v>
      </c>
      <c r="B2396" s="1">
        <v>45344</v>
      </c>
      <c r="C2396" t="s">
        <v>4556</v>
      </c>
      <c r="D2396" t="s">
        <v>13</v>
      </c>
      <c r="E2396" t="s">
        <v>20</v>
      </c>
      <c r="F2396" t="s">
        <v>27</v>
      </c>
      <c r="G2396">
        <v>1</v>
      </c>
      <c r="H2396">
        <v>2114.36</v>
      </c>
      <c r="I2396">
        <v>448.93</v>
      </c>
      <c r="J2396" t="s">
        <v>71</v>
      </c>
      <c r="K2396" t="s">
        <v>29</v>
      </c>
      <c r="L2396">
        <f t="shared" si="111"/>
        <v>2024</v>
      </c>
      <c r="M2396" t="str">
        <f t="shared" si="112"/>
        <v>Feb</v>
      </c>
      <c r="N2396" s="2">
        <f t="shared" si="113"/>
        <v>0.21232429671389924</v>
      </c>
    </row>
    <row r="2397" spans="1:14" x14ac:dyDescent="0.45">
      <c r="A2397" t="s">
        <v>4557</v>
      </c>
      <c r="B2397" s="1">
        <v>44932</v>
      </c>
      <c r="C2397" t="s">
        <v>820</v>
      </c>
      <c r="D2397" t="s">
        <v>56</v>
      </c>
      <c r="E2397" t="s">
        <v>36</v>
      </c>
      <c r="F2397" t="s">
        <v>46</v>
      </c>
      <c r="G2397">
        <v>5</v>
      </c>
      <c r="H2397">
        <v>26421.86</v>
      </c>
      <c r="I2397">
        <v>5523.17</v>
      </c>
      <c r="J2397" t="s">
        <v>71</v>
      </c>
      <c r="K2397" t="s">
        <v>17</v>
      </c>
      <c r="L2397">
        <f t="shared" si="111"/>
        <v>2023</v>
      </c>
      <c r="M2397" t="str">
        <f t="shared" si="112"/>
        <v>Jan</v>
      </c>
      <c r="N2397" s="2">
        <f t="shared" si="113"/>
        <v>0.20903789513682988</v>
      </c>
    </row>
    <row r="2398" spans="1:14" x14ac:dyDescent="0.45">
      <c r="A2398" t="s">
        <v>4558</v>
      </c>
      <c r="B2398" s="1">
        <v>44835</v>
      </c>
      <c r="C2398" t="s">
        <v>4559</v>
      </c>
      <c r="D2398" t="s">
        <v>56</v>
      </c>
      <c r="E2398" t="s">
        <v>14</v>
      </c>
      <c r="F2398" t="s">
        <v>40</v>
      </c>
      <c r="G2398">
        <v>2</v>
      </c>
      <c r="H2398">
        <v>38686.17</v>
      </c>
      <c r="I2398">
        <v>5738.67</v>
      </c>
      <c r="J2398" t="s">
        <v>47</v>
      </c>
      <c r="K2398" t="s">
        <v>17</v>
      </c>
      <c r="L2398">
        <f t="shared" si="111"/>
        <v>2022</v>
      </c>
      <c r="M2398" t="str">
        <f t="shared" si="112"/>
        <v>Oct</v>
      </c>
      <c r="N2398" s="2">
        <f t="shared" si="113"/>
        <v>0.14833905760120478</v>
      </c>
    </row>
    <row r="2399" spans="1:14" x14ac:dyDescent="0.45">
      <c r="A2399" t="s">
        <v>4560</v>
      </c>
      <c r="B2399" s="1">
        <v>44793</v>
      </c>
      <c r="C2399" t="s">
        <v>4561</v>
      </c>
      <c r="D2399" t="s">
        <v>26</v>
      </c>
      <c r="E2399" t="s">
        <v>36</v>
      </c>
      <c r="F2399" t="s">
        <v>46</v>
      </c>
      <c r="G2399">
        <v>4</v>
      </c>
      <c r="H2399">
        <v>23882.33</v>
      </c>
      <c r="I2399">
        <v>3970.67</v>
      </c>
      <c r="J2399" t="s">
        <v>71</v>
      </c>
      <c r="K2399" t="s">
        <v>29</v>
      </c>
      <c r="L2399">
        <f t="shared" si="111"/>
        <v>2022</v>
      </c>
      <c r="M2399" t="str">
        <f t="shared" si="112"/>
        <v>Aug</v>
      </c>
      <c r="N2399" s="2">
        <f t="shared" si="113"/>
        <v>0.16625974098842114</v>
      </c>
    </row>
    <row r="2400" spans="1:14" x14ac:dyDescent="0.45">
      <c r="A2400" t="s">
        <v>4562</v>
      </c>
      <c r="B2400" s="1">
        <v>45587</v>
      </c>
      <c r="C2400" t="s">
        <v>4563</v>
      </c>
      <c r="D2400" t="s">
        <v>26</v>
      </c>
      <c r="E2400" t="s">
        <v>14</v>
      </c>
      <c r="F2400" t="s">
        <v>15</v>
      </c>
      <c r="G2400">
        <v>2</v>
      </c>
      <c r="H2400">
        <v>39524.47</v>
      </c>
      <c r="I2400">
        <v>6786.7</v>
      </c>
      <c r="J2400" t="s">
        <v>71</v>
      </c>
      <c r="K2400" t="s">
        <v>29</v>
      </c>
      <c r="L2400">
        <f t="shared" si="111"/>
        <v>2024</v>
      </c>
      <c r="M2400" t="str">
        <f t="shared" si="112"/>
        <v>Oct</v>
      </c>
      <c r="N2400" s="2">
        <f t="shared" si="113"/>
        <v>0.17170881734783539</v>
      </c>
    </row>
    <row r="2401" spans="1:14" x14ac:dyDescent="0.45">
      <c r="A2401" t="s">
        <v>4564</v>
      </c>
      <c r="B2401" s="1">
        <v>45200</v>
      </c>
      <c r="C2401" t="s">
        <v>4565</v>
      </c>
      <c r="D2401" t="s">
        <v>56</v>
      </c>
      <c r="E2401" t="s">
        <v>36</v>
      </c>
      <c r="F2401" t="s">
        <v>53</v>
      </c>
      <c r="G2401">
        <v>5</v>
      </c>
      <c r="H2401">
        <v>10604.96</v>
      </c>
      <c r="I2401">
        <v>1213.53</v>
      </c>
      <c r="J2401" t="s">
        <v>22</v>
      </c>
      <c r="K2401" t="s">
        <v>23</v>
      </c>
      <c r="L2401">
        <f t="shared" si="111"/>
        <v>2023</v>
      </c>
      <c r="M2401" t="str">
        <f t="shared" si="112"/>
        <v>Oct</v>
      </c>
      <c r="N2401" s="2">
        <f t="shared" si="113"/>
        <v>0.11443041746503524</v>
      </c>
    </row>
    <row r="2402" spans="1:14" x14ac:dyDescent="0.45">
      <c r="A2402" t="s">
        <v>4566</v>
      </c>
      <c r="B2402" s="1">
        <v>45309</v>
      </c>
      <c r="C2402" t="s">
        <v>4567</v>
      </c>
      <c r="D2402" t="s">
        <v>26</v>
      </c>
      <c r="E2402" t="s">
        <v>14</v>
      </c>
      <c r="F2402" t="s">
        <v>57</v>
      </c>
      <c r="G2402">
        <v>3</v>
      </c>
      <c r="H2402">
        <v>44985.08</v>
      </c>
      <c r="I2402">
        <v>2351.94</v>
      </c>
      <c r="J2402" t="s">
        <v>71</v>
      </c>
      <c r="K2402" t="s">
        <v>33</v>
      </c>
      <c r="L2402">
        <f t="shared" si="111"/>
        <v>2024</v>
      </c>
      <c r="M2402" t="str">
        <f t="shared" si="112"/>
        <v>Jan</v>
      </c>
      <c r="N2402" s="2">
        <f t="shared" si="113"/>
        <v>5.2282667942348884E-2</v>
      </c>
    </row>
    <row r="2403" spans="1:14" x14ac:dyDescent="0.45">
      <c r="A2403" t="s">
        <v>4568</v>
      </c>
      <c r="B2403" s="1">
        <v>44767</v>
      </c>
      <c r="C2403" t="s">
        <v>779</v>
      </c>
      <c r="D2403" t="s">
        <v>13</v>
      </c>
      <c r="E2403" t="s">
        <v>20</v>
      </c>
      <c r="F2403" t="s">
        <v>50</v>
      </c>
      <c r="G2403">
        <v>2</v>
      </c>
      <c r="H2403">
        <v>39795.54</v>
      </c>
      <c r="I2403">
        <v>6750.09</v>
      </c>
      <c r="J2403" t="s">
        <v>71</v>
      </c>
      <c r="K2403" t="s">
        <v>33</v>
      </c>
      <c r="L2403">
        <f t="shared" si="111"/>
        <v>2022</v>
      </c>
      <c r="M2403" t="str">
        <f t="shared" si="112"/>
        <v>Jul</v>
      </c>
      <c r="N2403" s="2">
        <f t="shared" si="113"/>
        <v>0.16961925884156867</v>
      </c>
    </row>
    <row r="2404" spans="1:14" x14ac:dyDescent="0.45">
      <c r="A2404" t="s">
        <v>4569</v>
      </c>
      <c r="B2404" s="1">
        <v>45354</v>
      </c>
      <c r="C2404" t="s">
        <v>4570</v>
      </c>
      <c r="D2404" t="s">
        <v>13</v>
      </c>
      <c r="E2404" t="s">
        <v>14</v>
      </c>
      <c r="F2404" t="s">
        <v>40</v>
      </c>
      <c r="G2404">
        <v>2</v>
      </c>
      <c r="H2404">
        <v>2902.95</v>
      </c>
      <c r="I2404">
        <v>607.14</v>
      </c>
      <c r="J2404" t="s">
        <v>28</v>
      </c>
      <c r="K2404" t="s">
        <v>23</v>
      </c>
      <c r="L2404">
        <f t="shared" si="111"/>
        <v>2024</v>
      </c>
      <c r="M2404" t="str">
        <f t="shared" si="112"/>
        <v>Mar</v>
      </c>
      <c r="N2404" s="2">
        <f t="shared" si="113"/>
        <v>0.20914586885754147</v>
      </c>
    </row>
    <row r="2405" spans="1:14" x14ac:dyDescent="0.45">
      <c r="A2405" t="s">
        <v>4571</v>
      </c>
      <c r="B2405" s="1">
        <v>45213</v>
      </c>
      <c r="C2405" t="s">
        <v>4572</v>
      </c>
      <c r="D2405" t="s">
        <v>13</v>
      </c>
      <c r="E2405" t="s">
        <v>14</v>
      </c>
      <c r="F2405" t="s">
        <v>15</v>
      </c>
      <c r="G2405">
        <v>5</v>
      </c>
      <c r="H2405">
        <v>23493.41</v>
      </c>
      <c r="I2405">
        <v>3094.15</v>
      </c>
      <c r="J2405" t="s">
        <v>22</v>
      </c>
      <c r="K2405" t="s">
        <v>23</v>
      </c>
      <c r="L2405">
        <f t="shared" si="111"/>
        <v>2023</v>
      </c>
      <c r="M2405" t="str">
        <f t="shared" si="112"/>
        <v>Oct</v>
      </c>
      <c r="N2405" s="2">
        <f t="shared" si="113"/>
        <v>0.13170289029987559</v>
      </c>
    </row>
    <row r="2406" spans="1:14" x14ac:dyDescent="0.45">
      <c r="A2406" t="s">
        <v>4573</v>
      </c>
      <c r="B2406" s="1">
        <v>45195</v>
      </c>
      <c r="C2406" t="s">
        <v>4574</v>
      </c>
      <c r="D2406" t="s">
        <v>13</v>
      </c>
      <c r="E2406" t="s">
        <v>36</v>
      </c>
      <c r="F2406" t="s">
        <v>46</v>
      </c>
      <c r="G2406">
        <v>1</v>
      </c>
      <c r="H2406">
        <v>3415.97</v>
      </c>
      <c r="I2406">
        <v>750.93</v>
      </c>
      <c r="J2406" t="s">
        <v>16</v>
      </c>
      <c r="K2406" t="s">
        <v>33</v>
      </c>
      <c r="L2406">
        <f t="shared" si="111"/>
        <v>2023</v>
      </c>
      <c r="M2406" t="str">
        <f t="shared" si="112"/>
        <v>Sep</v>
      </c>
      <c r="N2406" s="2">
        <f t="shared" si="113"/>
        <v>0.21982921395679705</v>
      </c>
    </row>
    <row r="2407" spans="1:14" x14ac:dyDescent="0.45">
      <c r="A2407" t="s">
        <v>4575</v>
      </c>
      <c r="B2407" s="1">
        <v>45400</v>
      </c>
      <c r="C2407" t="s">
        <v>3790</v>
      </c>
      <c r="D2407" t="s">
        <v>26</v>
      </c>
      <c r="E2407" t="s">
        <v>14</v>
      </c>
      <c r="F2407" t="s">
        <v>32</v>
      </c>
      <c r="G2407">
        <v>4</v>
      </c>
      <c r="H2407">
        <v>49357.55</v>
      </c>
      <c r="I2407">
        <v>10955.57</v>
      </c>
      <c r="J2407" t="s">
        <v>22</v>
      </c>
      <c r="K2407" t="s">
        <v>33</v>
      </c>
      <c r="L2407">
        <f t="shared" si="111"/>
        <v>2024</v>
      </c>
      <c r="M2407" t="str">
        <f t="shared" si="112"/>
        <v>Apr</v>
      </c>
      <c r="N2407" s="2">
        <f t="shared" si="113"/>
        <v>0.22196340782717131</v>
      </c>
    </row>
    <row r="2408" spans="1:14" x14ac:dyDescent="0.45">
      <c r="A2408" t="s">
        <v>4576</v>
      </c>
      <c r="B2408" s="1">
        <v>45588</v>
      </c>
      <c r="C2408" t="s">
        <v>4577</v>
      </c>
      <c r="D2408" t="s">
        <v>26</v>
      </c>
      <c r="E2408" t="s">
        <v>14</v>
      </c>
      <c r="F2408" t="s">
        <v>57</v>
      </c>
      <c r="G2408">
        <v>5</v>
      </c>
      <c r="H2408">
        <v>33264.6</v>
      </c>
      <c r="I2408">
        <v>8191.12</v>
      </c>
      <c r="J2408" t="s">
        <v>16</v>
      </c>
      <c r="K2408" t="s">
        <v>23</v>
      </c>
      <c r="L2408">
        <f t="shared" si="111"/>
        <v>2024</v>
      </c>
      <c r="M2408" t="str">
        <f t="shared" si="112"/>
        <v>Oct</v>
      </c>
      <c r="N2408" s="2">
        <f t="shared" si="113"/>
        <v>0.24624134966300512</v>
      </c>
    </row>
    <row r="2409" spans="1:14" x14ac:dyDescent="0.45">
      <c r="A2409" t="s">
        <v>4578</v>
      </c>
      <c r="B2409" s="1">
        <v>44623</v>
      </c>
      <c r="C2409" t="s">
        <v>4579</v>
      </c>
      <c r="D2409" t="s">
        <v>13</v>
      </c>
      <c r="E2409" t="s">
        <v>36</v>
      </c>
      <c r="F2409" t="s">
        <v>37</v>
      </c>
      <c r="G2409">
        <v>5</v>
      </c>
      <c r="H2409">
        <v>20986.61</v>
      </c>
      <c r="I2409">
        <v>4867.1099999999997</v>
      </c>
      <c r="J2409" t="s">
        <v>16</v>
      </c>
      <c r="K2409" t="s">
        <v>33</v>
      </c>
      <c r="L2409">
        <f t="shared" si="111"/>
        <v>2022</v>
      </c>
      <c r="M2409" t="str">
        <f t="shared" si="112"/>
        <v>Mar</v>
      </c>
      <c r="N2409" s="2">
        <f t="shared" si="113"/>
        <v>0.23191501628895755</v>
      </c>
    </row>
    <row r="2410" spans="1:14" x14ac:dyDescent="0.45">
      <c r="A2410" t="s">
        <v>4580</v>
      </c>
      <c r="B2410" s="1">
        <v>45474</v>
      </c>
      <c r="C2410" t="s">
        <v>3719</v>
      </c>
      <c r="D2410" t="s">
        <v>13</v>
      </c>
      <c r="E2410" t="s">
        <v>20</v>
      </c>
      <c r="F2410" t="s">
        <v>50</v>
      </c>
      <c r="G2410">
        <v>2</v>
      </c>
      <c r="H2410">
        <v>26327.88</v>
      </c>
      <c r="I2410">
        <v>5752.11</v>
      </c>
      <c r="J2410" t="s">
        <v>71</v>
      </c>
      <c r="K2410" t="s">
        <v>33</v>
      </c>
      <c r="L2410">
        <f t="shared" si="111"/>
        <v>2024</v>
      </c>
      <c r="M2410" t="str">
        <f t="shared" si="112"/>
        <v>Jul</v>
      </c>
      <c r="N2410" s="2">
        <f t="shared" si="113"/>
        <v>0.21847980163993452</v>
      </c>
    </row>
    <row r="2411" spans="1:14" x14ac:dyDescent="0.45">
      <c r="A2411" t="s">
        <v>4581</v>
      </c>
      <c r="B2411" s="1">
        <v>44734</v>
      </c>
      <c r="C2411" t="s">
        <v>2704</v>
      </c>
      <c r="D2411" t="s">
        <v>26</v>
      </c>
      <c r="E2411" t="s">
        <v>14</v>
      </c>
      <c r="F2411" t="s">
        <v>40</v>
      </c>
      <c r="G2411">
        <v>4</v>
      </c>
      <c r="H2411">
        <v>24346.55</v>
      </c>
      <c r="I2411">
        <v>2102.08</v>
      </c>
      <c r="J2411" t="s">
        <v>47</v>
      </c>
      <c r="K2411" t="s">
        <v>29</v>
      </c>
      <c r="L2411">
        <f t="shared" si="111"/>
        <v>2022</v>
      </c>
      <c r="M2411" t="str">
        <f t="shared" si="112"/>
        <v>Jun</v>
      </c>
      <c r="N2411" s="2">
        <f t="shared" si="113"/>
        <v>8.6339953710073913E-2</v>
      </c>
    </row>
    <row r="2412" spans="1:14" x14ac:dyDescent="0.45">
      <c r="A2412" t="s">
        <v>4582</v>
      </c>
      <c r="B2412" s="1">
        <v>44781</v>
      </c>
      <c r="C2412" t="s">
        <v>4583</v>
      </c>
      <c r="D2412" t="s">
        <v>26</v>
      </c>
      <c r="E2412" t="s">
        <v>36</v>
      </c>
      <c r="F2412" t="s">
        <v>37</v>
      </c>
      <c r="G2412">
        <v>1</v>
      </c>
      <c r="H2412">
        <v>21712.86</v>
      </c>
      <c r="I2412">
        <v>2145.2399999999998</v>
      </c>
      <c r="J2412" t="s">
        <v>22</v>
      </c>
      <c r="K2412" t="s">
        <v>33</v>
      </c>
      <c r="L2412">
        <f t="shared" si="111"/>
        <v>2022</v>
      </c>
      <c r="M2412" t="str">
        <f t="shared" si="112"/>
        <v>Aug</v>
      </c>
      <c r="N2412" s="2">
        <f t="shared" si="113"/>
        <v>9.8800434396942624E-2</v>
      </c>
    </row>
    <row r="2413" spans="1:14" x14ac:dyDescent="0.45">
      <c r="A2413" t="s">
        <v>4584</v>
      </c>
      <c r="B2413" s="1">
        <v>45172</v>
      </c>
      <c r="C2413" t="s">
        <v>4585</v>
      </c>
      <c r="D2413" t="s">
        <v>13</v>
      </c>
      <c r="E2413" t="s">
        <v>20</v>
      </c>
      <c r="F2413" t="s">
        <v>50</v>
      </c>
      <c r="G2413">
        <v>5</v>
      </c>
      <c r="H2413">
        <v>5645.38</v>
      </c>
      <c r="I2413">
        <v>420.81</v>
      </c>
      <c r="J2413" t="s">
        <v>71</v>
      </c>
      <c r="K2413" t="s">
        <v>23</v>
      </c>
      <c r="L2413">
        <f t="shared" si="111"/>
        <v>2023</v>
      </c>
      <c r="M2413" t="str">
        <f t="shared" si="112"/>
        <v>Sep</v>
      </c>
      <c r="N2413" s="2">
        <f t="shared" si="113"/>
        <v>7.4540597798553862E-2</v>
      </c>
    </row>
    <row r="2414" spans="1:14" x14ac:dyDescent="0.45">
      <c r="A2414" t="s">
        <v>4586</v>
      </c>
      <c r="B2414" s="1">
        <v>44955</v>
      </c>
      <c r="C2414" t="s">
        <v>4587</v>
      </c>
      <c r="D2414" t="s">
        <v>26</v>
      </c>
      <c r="E2414" t="s">
        <v>14</v>
      </c>
      <c r="F2414" t="s">
        <v>15</v>
      </c>
      <c r="G2414">
        <v>3</v>
      </c>
      <c r="H2414">
        <v>1544.01</v>
      </c>
      <c r="I2414">
        <v>157.29</v>
      </c>
      <c r="J2414" t="s">
        <v>28</v>
      </c>
      <c r="K2414" t="s">
        <v>33</v>
      </c>
      <c r="L2414">
        <f t="shared" si="111"/>
        <v>2023</v>
      </c>
      <c r="M2414" t="str">
        <f t="shared" si="112"/>
        <v>Jan</v>
      </c>
      <c r="N2414" s="2">
        <f t="shared" si="113"/>
        <v>0.10187110187110186</v>
      </c>
    </row>
    <row r="2415" spans="1:14" x14ac:dyDescent="0.45">
      <c r="A2415" t="s">
        <v>4588</v>
      </c>
      <c r="B2415" s="1">
        <v>44757</v>
      </c>
      <c r="C2415" t="s">
        <v>4589</v>
      </c>
      <c r="D2415" t="s">
        <v>56</v>
      </c>
      <c r="E2415" t="s">
        <v>36</v>
      </c>
      <c r="F2415" t="s">
        <v>46</v>
      </c>
      <c r="G2415">
        <v>3</v>
      </c>
      <c r="H2415">
        <v>23127.02</v>
      </c>
      <c r="I2415">
        <v>1702.86</v>
      </c>
      <c r="J2415" t="s">
        <v>22</v>
      </c>
      <c r="K2415" t="s">
        <v>33</v>
      </c>
      <c r="L2415">
        <f t="shared" si="111"/>
        <v>2022</v>
      </c>
      <c r="M2415" t="str">
        <f t="shared" si="112"/>
        <v>Jul</v>
      </c>
      <c r="N2415" s="2">
        <f t="shared" si="113"/>
        <v>7.363075744302551E-2</v>
      </c>
    </row>
    <row r="2416" spans="1:14" x14ac:dyDescent="0.45">
      <c r="A2416" t="s">
        <v>4590</v>
      </c>
      <c r="B2416" s="1">
        <v>44899</v>
      </c>
      <c r="C2416" t="s">
        <v>4591</v>
      </c>
      <c r="D2416" t="s">
        <v>56</v>
      </c>
      <c r="E2416" t="s">
        <v>36</v>
      </c>
      <c r="F2416" t="s">
        <v>53</v>
      </c>
      <c r="G2416">
        <v>4</v>
      </c>
      <c r="H2416">
        <v>5355.76</v>
      </c>
      <c r="I2416">
        <v>606.33000000000004</v>
      </c>
      <c r="J2416" t="s">
        <v>22</v>
      </c>
      <c r="K2416" t="s">
        <v>29</v>
      </c>
      <c r="L2416">
        <f t="shared" si="111"/>
        <v>2022</v>
      </c>
      <c r="M2416" t="str">
        <f t="shared" si="112"/>
        <v>Dec</v>
      </c>
      <c r="N2416" s="2">
        <f t="shared" si="113"/>
        <v>0.11321082348723617</v>
      </c>
    </row>
    <row r="2417" spans="1:14" x14ac:dyDescent="0.45">
      <c r="A2417" t="s">
        <v>4592</v>
      </c>
      <c r="B2417" s="1">
        <v>45409</v>
      </c>
      <c r="C2417" t="s">
        <v>4593</v>
      </c>
      <c r="D2417" t="s">
        <v>56</v>
      </c>
      <c r="E2417" t="s">
        <v>36</v>
      </c>
      <c r="F2417" t="s">
        <v>46</v>
      </c>
      <c r="G2417">
        <v>4</v>
      </c>
      <c r="H2417">
        <v>6417.41</v>
      </c>
      <c r="I2417">
        <v>966.72</v>
      </c>
      <c r="J2417" t="s">
        <v>28</v>
      </c>
      <c r="K2417" t="s">
        <v>33</v>
      </c>
      <c r="L2417">
        <f t="shared" si="111"/>
        <v>2024</v>
      </c>
      <c r="M2417" t="str">
        <f t="shared" si="112"/>
        <v>Apr</v>
      </c>
      <c r="N2417" s="2">
        <f t="shared" si="113"/>
        <v>0.1506402115495192</v>
      </c>
    </row>
    <row r="2418" spans="1:14" x14ac:dyDescent="0.45">
      <c r="A2418" t="s">
        <v>4594</v>
      </c>
      <c r="B2418" s="1">
        <v>45405</v>
      </c>
      <c r="C2418" t="s">
        <v>4595</v>
      </c>
      <c r="D2418" t="s">
        <v>13</v>
      </c>
      <c r="E2418" t="s">
        <v>36</v>
      </c>
      <c r="F2418" t="s">
        <v>37</v>
      </c>
      <c r="G2418">
        <v>1</v>
      </c>
      <c r="H2418">
        <v>22181.97</v>
      </c>
      <c r="I2418">
        <v>3504.42</v>
      </c>
      <c r="J2418" t="s">
        <v>28</v>
      </c>
      <c r="K2418" t="s">
        <v>33</v>
      </c>
      <c r="L2418">
        <f t="shared" si="111"/>
        <v>2024</v>
      </c>
      <c r="M2418" t="str">
        <f t="shared" si="112"/>
        <v>Apr</v>
      </c>
      <c r="N2418" s="2">
        <f t="shared" si="113"/>
        <v>0.15798506624975148</v>
      </c>
    </row>
    <row r="2419" spans="1:14" x14ac:dyDescent="0.45">
      <c r="A2419" t="s">
        <v>4596</v>
      </c>
      <c r="B2419" s="1">
        <v>44592</v>
      </c>
      <c r="C2419" t="s">
        <v>4597</v>
      </c>
      <c r="D2419" t="s">
        <v>13</v>
      </c>
      <c r="E2419" t="s">
        <v>14</v>
      </c>
      <c r="F2419" t="s">
        <v>15</v>
      </c>
      <c r="G2419">
        <v>4</v>
      </c>
      <c r="H2419">
        <v>13223.18</v>
      </c>
      <c r="I2419">
        <v>1965.89</v>
      </c>
      <c r="J2419" t="s">
        <v>22</v>
      </c>
      <c r="K2419" t="s">
        <v>17</v>
      </c>
      <c r="L2419">
        <f t="shared" si="111"/>
        <v>2022</v>
      </c>
      <c r="M2419" t="str">
        <f t="shared" si="112"/>
        <v>Jan</v>
      </c>
      <c r="N2419" s="2">
        <f t="shared" si="113"/>
        <v>0.14866998709841356</v>
      </c>
    </row>
    <row r="2420" spans="1:14" x14ac:dyDescent="0.45">
      <c r="A2420" t="s">
        <v>4598</v>
      </c>
      <c r="B2420" s="1">
        <v>44793</v>
      </c>
      <c r="C2420" t="s">
        <v>4599</v>
      </c>
      <c r="D2420" t="s">
        <v>13</v>
      </c>
      <c r="E2420" t="s">
        <v>14</v>
      </c>
      <c r="F2420" t="s">
        <v>15</v>
      </c>
      <c r="G2420">
        <v>1</v>
      </c>
      <c r="H2420">
        <v>6767.97</v>
      </c>
      <c r="I2420">
        <v>386.71</v>
      </c>
      <c r="J2420" t="s">
        <v>22</v>
      </c>
      <c r="K2420" t="s">
        <v>17</v>
      </c>
      <c r="L2420">
        <f t="shared" si="111"/>
        <v>2022</v>
      </c>
      <c r="M2420" t="str">
        <f t="shared" si="112"/>
        <v>Aug</v>
      </c>
      <c r="N2420" s="2">
        <f t="shared" si="113"/>
        <v>5.7138255636475926E-2</v>
      </c>
    </row>
    <row r="2421" spans="1:14" x14ac:dyDescent="0.45">
      <c r="A2421" t="s">
        <v>4600</v>
      </c>
      <c r="B2421" s="1">
        <v>44681</v>
      </c>
      <c r="C2421" t="s">
        <v>4601</v>
      </c>
      <c r="D2421" t="s">
        <v>13</v>
      </c>
      <c r="E2421" t="s">
        <v>36</v>
      </c>
      <c r="F2421" t="s">
        <v>37</v>
      </c>
      <c r="G2421">
        <v>3</v>
      </c>
      <c r="H2421">
        <v>49327.99</v>
      </c>
      <c r="I2421">
        <v>2553.65</v>
      </c>
      <c r="J2421" t="s">
        <v>16</v>
      </c>
      <c r="K2421" t="s">
        <v>17</v>
      </c>
      <c r="L2421">
        <f t="shared" si="111"/>
        <v>2022</v>
      </c>
      <c r="M2421" t="str">
        <f t="shared" si="112"/>
        <v>Apr</v>
      </c>
      <c r="N2421" s="2">
        <f t="shared" si="113"/>
        <v>5.1768782794514842E-2</v>
      </c>
    </row>
    <row r="2422" spans="1:14" x14ac:dyDescent="0.45">
      <c r="A2422" t="s">
        <v>4602</v>
      </c>
      <c r="B2422" s="1">
        <v>45193</v>
      </c>
      <c r="C2422" t="s">
        <v>4603</v>
      </c>
      <c r="D2422" t="s">
        <v>13</v>
      </c>
      <c r="E2422" t="s">
        <v>14</v>
      </c>
      <c r="F2422" t="s">
        <v>57</v>
      </c>
      <c r="G2422">
        <v>4</v>
      </c>
      <c r="H2422">
        <v>33332.61</v>
      </c>
      <c r="I2422">
        <v>5008.7299999999996</v>
      </c>
      <c r="J2422" t="s">
        <v>16</v>
      </c>
      <c r="K2422" t="s">
        <v>17</v>
      </c>
      <c r="L2422">
        <f t="shared" si="111"/>
        <v>2023</v>
      </c>
      <c r="M2422" t="str">
        <f t="shared" si="112"/>
        <v>Sep</v>
      </c>
      <c r="N2422" s="2">
        <f t="shared" si="113"/>
        <v>0.15026516075398835</v>
      </c>
    </row>
    <row r="2423" spans="1:14" x14ac:dyDescent="0.45">
      <c r="A2423" t="s">
        <v>4604</v>
      </c>
      <c r="B2423" s="1">
        <v>44651</v>
      </c>
      <c r="C2423" t="s">
        <v>4605</v>
      </c>
      <c r="D2423" t="s">
        <v>26</v>
      </c>
      <c r="E2423" t="s">
        <v>14</v>
      </c>
      <c r="F2423" t="s">
        <v>40</v>
      </c>
      <c r="G2423">
        <v>4</v>
      </c>
      <c r="H2423">
        <v>49228.62</v>
      </c>
      <c r="I2423">
        <v>3521.8</v>
      </c>
      <c r="J2423" t="s">
        <v>22</v>
      </c>
      <c r="K2423" t="s">
        <v>23</v>
      </c>
      <c r="L2423">
        <f t="shared" si="111"/>
        <v>2022</v>
      </c>
      <c r="M2423" t="str">
        <f t="shared" si="112"/>
        <v>Mar</v>
      </c>
      <c r="N2423" s="2">
        <f t="shared" si="113"/>
        <v>7.1539685654401844E-2</v>
      </c>
    </row>
    <row r="2424" spans="1:14" x14ac:dyDescent="0.45">
      <c r="A2424" t="s">
        <v>4606</v>
      </c>
      <c r="B2424" s="1">
        <v>44629</v>
      </c>
      <c r="C2424" t="s">
        <v>1107</v>
      </c>
      <c r="D2424" t="s">
        <v>26</v>
      </c>
      <c r="E2424" t="s">
        <v>20</v>
      </c>
      <c r="F2424" t="s">
        <v>43</v>
      </c>
      <c r="G2424">
        <v>3</v>
      </c>
      <c r="H2424">
        <v>7925.47</v>
      </c>
      <c r="I2424">
        <v>1707.81</v>
      </c>
      <c r="J2424" t="s">
        <v>71</v>
      </c>
      <c r="K2424" t="s">
        <v>29</v>
      </c>
      <c r="L2424">
        <f t="shared" si="111"/>
        <v>2022</v>
      </c>
      <c r="M2424" t="str">
        <f t="shared" si="112"/>
        <v>Mar</v>
      </c>
      <c r="N2424" s="2">
        <f t="shared" si="113"/>
        <v>0.21548375049050716</v>
      </c>
    </row>
    <row r="2425" spans="1:14" x14ac:dyDescent="0.45">
      <c r="A2425" t="s">
        <v>4607</v>
      </c>
      <c r="B2425" s="1">
        <v>45067</v>
      </c>
      <c r="C2425" t="s">
        <v>4608</v>
      </c>
      <c r="D2425" t="s">
        <v>13</v>
      </c>
      <c r="E2425" t="s">
        <v>20</v>
      </c>
      <c r="F2425" t="s">
        <v>43</v>
      </c>
      <c r="G2425">
        <v>5</v>
      </c>
      <c r="H2425">
        <v>7153</v>
      </c>
      <c r="I2425">
        <v>464.4</v>
      </c>
      <c r="J2425" t="s">
        <v>71</v>
      </c>
      <c r="K2425" t="s">
        <v>29</v>
      </c>
      <c r="L2425">
        <f t="shared" si="111"/>
        <v>2023</v>
      </c>
      <c r="M2425" t="str">
        <f t="shared" si="112"/>
        <v>May</v>
      </c>
      <c r="N2425" s="2">
        <f t="shared" si="113"/>
        <v>6.492380819236683E-2</v>
      </c>
    </row>
    <row r="2426" spans="1:14" x14ac:dyDescent="0.45">
      <c r="A2426" t="s">
        <v>4609</v>
      </c>
      <c r="B2426" s="1">
        <v>44754</v>
      </c>
      <c r="C2426" t="s">
        <v>4610</v>
      </c>
      <c r="D2426" t="s">
        <v>26</v>
      </c>
      <c r="E2426" t="s">
        <v>36</v>
      </c>
      <c r="F2426" t="s">
        <v>46</v>
      </c>
      <c r="G2426">
        <v>1</v>
      </c>
      <c r="H2426">
        <v>47236.11</v>
      </c>
      <c r="I2426">
        <v>10169.51</v>
      </c>
      <c r="J2426" t="s">
        <v>16</v>
      </c>
      <c r="K2426" t="s">
        <v>17</v>
      </c>
      <c r="L2426">
        <f t="shared" si="111"/>
        <v>2022</v>
      </c>
      <c r="M2426" t="str">
        <f t="shared" si="112"/>
        <v>Jul</v>
      </c>
      <c r="N2426" s="2">
        <f t="shared" si="113"/>
        <v>0.2152910135910853</v>
      </c>
    </row>
    <row r="2427" spans="1:14" x14ac:dyDescent="0.45">
      <c r="A2427" t="s">
        <v>4611</v>
      </c>
      <c r="B2427" s="1">
        <v>44745</v>
      </c>
      <c r="C2427" t="s">
        <v>537</v>
      </c>
      <c r="D2427" t="s">
        <v>26</v>
      </c>
      <c r="E2427" t="s">
        <v>20</v>
      </c>
      <c r="F2427" t="s">
        <v>43</v>
      </c>
      <c r="G2427">
        <v>4</v>
      </c>
      <c r="H2427">
        <v>31470.87</v>
      </c>
      <c r="I2427">
        <v>1647.09</v>
      </c>
      <c r="J2427" t="s">
        <v>47</v>
      </c>
      <c r="K2427" t="s">
        <v>23</v>
      </c>
      <c r="L2427">
        <f t="shared" si="111"/>
        <v>2022</v>
      </c>
      <c r="M2427" t="str">
        <f t="shared" si="112"/>
        <v>Jul</v>
      </c>
      <c r="N2427" s="2">
        <f t="shared" si="113"/>
        <v>5.2336970665253293E-2</v>
      </c>
    </row>
    <row r="2428" spans="1:14" x14ac:dyDescent="0.45">
      <c r="A2428" t="s">
        <v>4612</v>
      </c>
      <c r="B2428" s="1">
        <v>45012</v>
      </c>
      <c r="C2428" t="s">
        <v>2107</v>
      </c>
      <c r="D2428" t="s">
        <v>26</v>
      </c>
      <c r="E2428" t="s">
        <v>14</v>
      </c>
      <c r="F2428" t="s">
        <v>57</v>
      </c>
      <c r="G2428">
        <v>1</v>
      </c>
      <c r="H2428">
        <v>23680.94</v>
      </c>
      <c r="I2428">
        <v>5603.44</v>
      </c>
      <c r="J2428" t="s">
        <v>28</v>
      </c>
      <c r="K2428" t="s">
        <v>29</v>
      </c>
      <c r="L2428">
        <f t="shared" si="111"/>
        <v>2023</v>
      </c>
      <c r="M2428" t="str">
        <f t="shared" si="112"/>
        <v>Mar</v>
      </c>
      <c r="N2428" s="2">
        <f t="shared" si="113"/>
        <v>0.23662236380819343</v>
      </c>
    </row>
    <row r="2429" spans="1:14" x14ac:dyDescent="0.45">
      <c r="A2429" t="s">
        <v>4613</v>
      </c>
      <c r="B2429" s="1">
        <v>44954</v>
      </c>
      <c r="C2429" t="s">
        <v>4614</v>
      </c>
      <c r="D2429" t="s">
        <v>13</v>
      </c>
      <c r="E2429" t="s">
        <v>14</v>
      </c>
      <c r="F2429" t="s">
        <v>15</v>
      </c>
      <c r="G2429">
        <v>2</v>
      </c>
      <c r="H2429">
        <v>25275.16</v>
      </c>
      <c r="I2429">
        <v>5355.85</v>
      </c>
      <c r="J2429" t="s">
        <v>28</v>
      </c>
      <c r="K2429" t="s">
        <v>17</v>
      </c>
      <c r="L2429">
        <f t="shared" si="111"/>
        <v>2023</v>
      </c>
      <c r="M2429" t="str">
        <f t="shared" si="112"/>
        <v>Jan</v>
      </c>
      <c r="N2429" s="2">
        <f t="shared" si="113"/>
        <v>0.21190172485554989</v>
      </c>
    </row>
    <row r="2430" spans="1:14" x14ac:dyDescent="0.45">
      <c r="A2430" t="s">
        <v>4615</v>
      </c>
      <c r="B2430" s="1">
        <v>44855</v>
      </c>
      <c r="C2430" t="s">
        <v>4616</v>
      </c>
      <c r="D2430" t="s">
        <v>13</v>
      </c>
      <c r="E2430" t="s">
        <v>14</v>
      </c>
      <c r="F2430" t="s">
        <v>57</v>
      </c>
      <c r="G2430">
        <v>4</v>
      </c>
      <c r="H2430">
        <v>18464.310000000001</v>
      </c>
      <c r="I2430">
        <v>2457.2800000000002</v>
      </c>
      <c r="J2430" t="s">
        <v>22</v>
      </c>
      <c r="K2430" t="s">
        <v>23</v>
      </c>
      <c r="L2430">
        <f t="shared" si="111"/>
        <v>2022</v>
      </c>
      <c r="M2430" t="str">
        <f t="shared" si="112"/>
        <v>Oct</v>
      </c>
      <c r="N2430" s="2">
        <f t="shared" si="113"/>
        <v>0.13308268762818648</v>
      </c>
    </row>
    <row r="2431" spans="1:14" x14ac:dyDescent="0.45">
      <c r="A2431" t="s">
        <v>4617</v>
      </c>
      <c r="B2431" s="1">
        <v>44865</v>
      </c>
      <c r="C2431" t="s">
        <v>4618</v>
      </c>
      <c r="D2431" t="s">
        <v>56</v>
      </c>
      <c r="E2431" t="s">
        <v>36</v>
      </c>
      <c r="F2431" t="s">
        <v>53</v>
      </c>
      <c r="G2431">
        <v>2</v>
      </c>
      <c r="H2431">
        <v>8350.69</v>
      </c>
      <c r="I2431">
        <v>591.66999999999996</v>
      </c>
      <c r="J2431" t="s">
        <v>22</v>
      </c>
      <c r="K2431" t="s">
        <v>23</v>
      </c>
      <c r="L2431">
        <f t="shared" si="111"/>
        <v>2022</v>
      </c>
      <c r="M2431" t="str">
        <f t="shared" si="112"/>
        <v>Oct</v>
      </c>
      <c r="N2431" s="2">
        <f t="shared" si="113"/>
        <v>7.0852827730403106E-2</v>
      </c>
    </row>
    <row r="2432" spans="1:14" x14ac:dyDescent="0.45">
      <c r="A2432" t="s">
        <v>4619</v>
      </c>
      <c r="B2432" s="1">
        <v>45224</v>
      </c>
      <c r="C2432" t="s">
        <v>526</v>
      </c>
      <c r="D2432" t="s">
        <v>56</v>
      </c>
      <c r="E2432" t="s">
        <v>36</v>
      </c>
      <c r="F2432" t="s">
        <v>46</v>
      </c>
      <c r="G2432">
        <v>3</v>
      </c>
      <c r="H2432">
        <v>35690.050000000003</v>
      </c>
      <c r="I2432">
        <v>7722.04</v>
      </c>
      <c r="J2432" t="s">
        <v>28</v>
      </c>
      <c r="K2432" t="s">
        <v>23</v>
      </c>
      <c r="L2432">
        <f t="shared" si="111"/>
        <v>2023</v>
      </c>
      <c r="M2432" t="str">
        <f t="shared" si="112"/>
        <v>Oct</v>
      </c>
      <c r="N2432" s="2">
        <f t="shared" si="113"/>
        <v>0.21636394457278707</v>
      </c>
    </row>
    <row r="2433" spans="1:14" x14ac:dyDescent="0.45">
      <c r="A2433" t="s">
        <v>4620</v>
      </c>
      <c r="B2433" s="1">
        <v>44565</v>
      </c>
      <c r="C2433" t="s">
        <v>4621</v>
      </c>
      <c r="D2433" t="s">
        <v>26</v>
      </c>
      <c r="E2433" t="s">
        <v>20</v>
      </c>
      <c r="F2433" t="s">
        <v>21</v>
      </c>
      <c r="G2433">
        <v>2</v>
      </c>
      <c r="H2433">
        <v>13582.78</v>
      </c>
      <c r="I2433">
        <v>2684.26</v>
      </c>
      <c r="J2433" t="s">
        <v>16</v>
      </c>
      <c r="K2433" t="s">
        <v>23</v>
      </c>
      <c r="L2433">
        <f t="shared" si="111"/>
        <v>2022</v>
      </c>
      <c r="M2433" t="str">
        <f t="shared" si="112"/>
        <v>Jan</v>
      </c>
      <c r="N2433" s="2">
        <f t="shared" si="113"/>
        <v>0.1976222835089724</v>
      </c>
    </row>
    <row r="2434" spans="1:14" x14ac:dyDescent="0.45">
      <c r="A2434" t="s">
        <v>4622</v>
      </c>
      <c r="B2434" s="1">
        <v>45590</v>
      </c>
      <c r="C2434" t="s">
        <v>4623</v>
      </c>
      <c r="D2434" t="s">
        <v>56</v>
      </c>
      <c r="E2434" t="s">
        <v>14</v>
      </c>
      <c r="F2434" t="s">
        <v>15</v>
      </c>
      <c r="G2434">
        <v>2</v>
      </c>
      <c r="H2434">
        <v>1570.47</v>
      </c>
      <c r="I2434">
        <v>157.69999999999999</v>
      </c>
      <c r="J2434" t="s">
        <v>28</v>
      </c>
      <c r="K2434" t="s">
        <v>17</v>
      </c>
      <c r="L2434">
        <f t="shared" si="111"/>
        <v>2024</v>
      </c>
      <c r="M2434" t="str">
        <f t="shared" si="112"/>
        <v>Oct</v>
      </c>
      <c r="N2434" s="2">
        <f t="shared" si="113"/>
        <v>0.10041579909199157</v>
      </c>
    </row>
    <row r="2435" spans="1:14" x14ac:dyDescent="0.45">
      <c r="A2435" t="s">
        <v>4624</v>
      </c>
      <c r="B2435" s="1">
        <v>44942</v>
      </c>
      <c r="C2435" t="s">
        <v>4625</v>
      </c>
      <c r="D2435" t="s">
        <v>26</v>
      </c>
      <c r="E2435" t="s">
        <v>14</v>
      </c>
      <c r="F2435" t="s">
        <v>40</v>
      </c>
      <c r="G2435">
        <v>1</v>
      </c>
      <c r="H2435">
        <v>47329.1</v>
      </c>
      <c r="I2435">
        <v>5164.46</v>
      </c>
      <c r="J2435" t="s">
        <v>16</v>
      </c>
      <c r="K2435" t="s">
        <v>33</v>
      </c>
      <c r="L2435">
        <f t="shared" ref="L2435:L2498" si="114">YEAR(B2435 )</f>
        <v>2023</v>
      </c>
      <c r="M2435" t="str">
        <f t="shared" ref="M2435:M2498" si="115">TEXT(B2435,"MMM")</f>
        <v>Jan</v>
      </c>
      <c r="N2435" s="2">
        <f t="shared" ref="N2435:N2498" si="116">I2435 / H2435</f>
        <v>0.10911806901039742</v>
      </c>
    </row>
    <row r="2436" spans="1:14" x14ac:dyDescent="0.45">
      <c r="A2436" t="s">
        <v>4626</v>
      </c>
      <c r="B2436" s="1">
        <v>44901</v>
      </c>
      <c r="C2436" t="s">
        <v>3080</v>
      </c>
      <c r="D2436" t="s">
        <v>13</v>
      </c>
      <c r="E2436" t="s">
        <v>20</v>
      </c>
      <c r="F2436" t="s">
        <v>43</v>
      </c>
      <c r="G2436">
        <v>2</v>
      </c>
      <c r="H2436">
        <v>7708.59</v>
      </c>
      <c r="I2436">
        <v>1324.64</v>
      </c>
      <c r="J2436" t="s">
        <v>16</v>
      </c>
      <c r="K2436" t="s">
        <v>29</v>
      </c>
      <c r="L2436">
        <f t="shared" si="114"/>
        <v>2022</v>
      </c>
      <c r="M2436" t="str">
        <f t="shared" si="115"/>
        <v>Dec</v>
      </c>
      <c r="N2436" s="2">
        <f t="shared" si="116"/>
        <v>0.17183946739935579</v>
      </c>
    </row>
    <row r="2437" spans="1:14" x14ac:dyDescent="0.45">
      <c r="A2437" t="s">
        <v>4627</v>
      </c>
      <c r="B2437" s="1">
        <v>45563</v>
      </c>
      <c r="C2437" t="s">
        <v>4628</v>
      </c>
      <c r="D2437" t="s">
        <v>13</v>
      </c>
      <c r="E2437" t="s">
        <v>36</v>
      </c>
      <c r="F2437" t="s">
        <v>46</v>
      </c>
      <c r="G2437">
        <v>4</v>
      </c>
      <c r="H2437">
        <v>8908.81</v>
      </c>
      <c r="I2437">
        <v>850.29</v>
      </c>
      <c r="J2437" t="s">
        <v>47</v>
      </c>
      <c r="K2437" t="s">
        <v>33</v>
      </c>
      <c r="L2437">
        <f t="shared" si="114"/>
        <v>2024</v>
      </c>
      <c r="M2437" t="str">
        <f t="shared" si="115"/>
        <v>Sep</v>
      </c>
      <c r="N2437" s="2">
        <f t="shared" si="116"/>
        <v>9.5443723684756995E-2</v>
      </c>
    </row>
    <row r="2438" spans="1:14" x14ac:dyDescent="0.45">
      <c r="A2438" t="s">
        <v>4629</v>
      </c>
      <c r="B2438" s="1">
        <v>44726</v>
      </c>
      <c r="C2438" t="s">
        <v>3442</v>
      </c>
      <c r="D2438" t="s">
        <v>26</v>
      </c>
      <c r="E2438" t="s">
        <v>36</v>
      </c>
      <c r="F2438" t="s">
        <v>53</v>
      </c>
      <c r="G2438">
        <v>4</v>
      </c>
      <c r="H2438">
        <v>11627.57</v>
      </c>
      <c r="I2438">
        <v>1375.61</v>
      </c>
      <c r="J2438" t="s">
        <v>22</v>
      </c>
      <c r="K2438" t="s">
        <v>23</v>
      </c>
      <c r="L2438">
        <f t="shared" si="114"/>
        <v>2022</v>
      </c>
      <c r="M2438" t="str">
        <f t="shared" si="115"/>
        <v>Jun</v>
      </c>
      <c r="N2438" s="2">
        <f t="shared" si="116"/>
        <v>0.11830588850464886</v>
      </c>
    </row>
    <row r="2439" spans="1:14" x14ac:dyDescent="0.45">
      <c r="A2439" t="s">
        <v>4630</v>
      </c>
      <c r="B2439" s="1">
        <v>44996</v>
      </c>
      <c r="C2439" t="s">
        <v>4631</v>
      </c>
      <c r="D2439" t="s">
        <v>13</v>
      </c>
      <c r="E2439" t="s">
        <v>20</v>
      </c>
      <c r="F2439" t="s">
        <v>21</v>
      </c>
      <c r="G2439">
        <v>1</v>
      </c>
      <c r="H2439">
        <v>48824.17</v>
      </c>
      <c r="I2439">
        <v>4718.24</v>
      </c>
      <c r="J2439" t="s">
        <v>71</v>
      </c>
      <c r="K2439" t="s">
        <v>33</v>
      </c>
      <c r="L2439">
        <f t="shared" si="114"/>
        <v>2023</v>
      </c>
      <c r="M2439" t="str">
        <f t="shared" si="115"/>
        <v>Mar</v>
      </c>
      <c r="N2439" s="2">
        <f t="shared" si="116"/>
        <v>9.6637382673376737E-2</v>
      </c>
    </row>
    <row r="2440" spans="1:14" x14ac:dyDescent="0.45">
      <c r="A2440" t="s">
        <v>4632</v>
      </c>
      <c r="B2440" s="1">
        <v>44774</v>
      </c>
      <c r="C2440" t="s">
        <v>4064</v>
      </c>
      <c r="D2440" t="s">
        <v>26</v>
      </c>
      <c r="E2440" t="s">
        <v>20</v>
      </c>
      <c r="F2440" t="s">
        <v>43</v>
      </c>
      <c r="G2440">
        <v>2</v>
      </c>
      <c r="H2440">
        <v>26143.98</v>
      </c>
      <c r="I2440">
        <v>1324.42</v>
      </c>
      <c r="J2440" t="s">
        <v>22</v>
      </c>
      <c r="K2440" t="s">
        <v>17</v>
      </c>
      <c r="L2440">
        <f t="shared" si="114"/>
        <v>2022</v>
      </c>
      <c r="M2440" t="str">
        <f t="shared" si="115"/>
        <v>Aug</v>
      </c>
      <c r="N2440" s="2">
        <f t="shared" si="116"/>
        <v>5.0658698484316471E-2</v>
      </c>
    </row>
    <row r="2441" spans="1:14" x14ac:dyDescent="0.45">
      <c r="A2441" t="s">
        <v>4633</v>
      </c>
      <c r="B2441" s="1">
        <v>44641</v>
      </c>
      <c r="C2441" t="s">
        <v>4634</v>
      </c>
      <c r="D2441" t="s">
        <v>26</v>
      </c>
      <c r="E2441" t="s">
        <v>20</v>
      </c>
      <c r="F2441" t="s">
        <v>50</v>
      </c>
      <c r="G2441">
        <v>5</v>
      </c>
      <c r="H2441">
        <v>11826.51</v>
      </c>
      <c r="I2441">
        <v>840.87</v>
      </c>
      <c r="J2441" t="s">
        <v>71</v>
      </c>
      <c r="K2441" t="s">
        <v>29</v>
      </c>
      <c r="L2441">
        <f t="shared" si="114"/>
        <v>2022</v>
      </c>
      <c r="M2441" t="str">
        <f t="shared" si="115"/>
        <v>Mar</v>
      </c>
      <c r="N2441" s="2">
        <f t="shared" si="116"/>
        <v>7.1100434532249998E-2</v>
      </c>
    </row>
    <row r="2442" spans="1:14" x14ac:dyDescent="0.45">
      <c r="A2442" t="s">
        <v>4635</v>
      </c>
      <c r="B2442" s="1">
        <v>44709</v>
      </c>
      <c r="C2442" t="s">
        <v>2583</v>
      </c>
      <c r="D2442" t="s">
        <v>56</v>
      </c>
      <c r="E2442" t="s">
        <v>14</v>
      </c>
      <c r="F2442" t="s">
        <v>32</v>
      </c>
      <c r="G2442">
        <v>5</v>
      </c>
      <c r="H2442">
        <v>14246.31</v>
      </c>
      <c r="I2442">
        <v>1384.06</v>
      </c>
      <c r="J2442" t="s">
        <v>28</v>
      </c>
      <c r="K2442" t="s">
        <v>17</v>
      </c>
      <c r="L2442">
        <f t="shared" si="114"/>
        <v>2022</v>
      </c>
      <c r="M2442" t="str">
        <f t="shared" si="115"/>
        <v>May</v>
      </c>
      <c r="N2442" s="2">
        <f t="shared" si="116"/>
        <v>9.7152174843871855E-2</v>
      </c>
    </row>
    <row r="2443" spans="1:14" x14ac:dyDescent="0.45">
      <c r="A2443" t="s">
        <v>4636</v>
      </c>
      <c r="B2443" s="1">
        <v>44797</v>
      </c>
      <c r="C2443" t="s">
        <v>1886</v>
      </c>
      <c r="D2443" t="s">
        <v>13</v>
      </c>
      <c r="E2443" t="s">
        <v>20</v>
      </c>
      <c r="F2443" t="s">
        <v>21</v>
      </c>
      <c r="G2443">
        <v>4</v>
      </c>
      <c r="H2443">
        <v>47992.800000000003</v>
      </c>
      <c r="I2443">
        <v>6760.76</v>
      </c>
      <c r="J2443" t="s">
        <v>16</v>
      </c>
      <c r="K2443" t="s">
        <v>33</v>
      </c>
      <c r="L2443">
        <f t="shared" si="114"/>
        <v>2022</v>
      </c>
      <c r="M2443" t="str">
        <f t="shared" si="115"/>
        <v>Aug</v>
      </c>
      <c r="N2443" s="2">
        <f t="shared" si="116"/>
        <v>0.14087029721124836</v>
      </c>
    </row>
    <row r="2444" spans="1:14" x14ac:dyDescent="0.45">
      <c r="A2444" t="s">
        <v>4637</v>
      </c>
      <c r="B2444" s="1">
        <v>45431</v>
      </c>
      <c r="C2444" t="s">
        <v>4638</v>
      </c>
      <c r="D2444" t="s">
        <v>56</v>
      </c>
      <c r="E2444" t="s">
        <v>14</v>
      </c>
      <c r="F2444" t="s">
        <v>32</v>
      </c>
      <c r="G2444">
        <v>1</v>
      </c>
      <c r="H2444">
        <v>24384.31</v>
      </c>
      <c r="I2444">
        <v>2547.54</v>
      </c>
      <c r="J2444" t="s">
        <v>16</v>
      </c>
      <c r="K2444" t="s">
        <v>29</v>
      </c>
      <c r="L2444">
        <f t="shared" si="114"/>
        <v>2024</v>
      </c>
      <c r="M2444" t="str">
        <f t="shared" si="115"/>
        <v>May</v>
      </c>
      <c r="N2444" s="2">
        <f t="shared" si="116"/>
        <v>0.10447455761512217</v>
      </c>
    </row>
    <row r="2445" spans="1:14" x14ac:dyDescent="0.45">
      <c r="A2445" t="s">
        <v>4639</v>
      </c>
      <c r="B2445" s="1">
        <v>45418</v>
      </c>
      <c r="C2445" t="s">
        <v>4640</v>
      </c>
      <c r="D2445" t="s">
        <v>13</v>
      </c>
      <c r="E2445" t="s">
        <v>14</v>
      </c>
      <c r="F2445" t="s">
        <v>15</v>
      </c>
      <c r="G2445">
        <v>3</v>
      </c>
      <c r="H2445">
        <v>25862.2</v>
      </c>
      <c r="I2445">
        <v>5849.24</v>
      </c>
      <c r="J2445" t="s">
        <v>71</v>
      </c>
      <c r="K2445" t="s">
        <v>29</v>
      </c>
      <c r="L2445">
        <f t="shared" si="114"/>
        <v>2024</v>
      </c>
      <c r="M2445" t="str">
        <f t="shared" si="115"/>
        <v>May</v>
      </c>
      <c r="N2445" s="2">
        <f t="shared" si="116"/>
        <v>0.22616946740803179</v>
      </c>
    </row>
    <row r="2446" spans="1:14" x14ac:dyDescent="0.45">
      <c r="A2446" t="s">
        <v>4641</v>
      </c>
      <c r="B2446" s="1">
        <v>44579</v>
      </c>
      <c r="C2446" t="s">
        <v>4642</v>
      </c>
      <c r="D2446" t="s">
        <v>26</v>
      </c>
      <c r="E2446" t="s">
        <v>14</v>
      </c>
      <c r="F2446" t="s">
        <v>15</v>
      </c>
      <c r="G2446">
        <v>5</v>
      </c>
      <c r="H2446">
        <v>10856.9</v>
      </c>
      <c r="I2446">
        <v>1711.29</v>
      </c>
      <c r="J2446" t="s">
        <v>28</v>
      </c>
      <c r="K2446" t="s">
        <v>17</v>
      </c>
      <c r="L2446">
        <f t="shared" si="114"/>
        <v>2022</v>
      </c>
      <c r="M2446" t="str">
        <f t="shared" si="115"/>
        <v>Jan</v>
      </c>
      <c r="N2446" s="2">
        <f t="shared" si="116"/>
        <v>0.15762234155237684</v>
      </c>
    </row>
    <row r="2447" spans="1:14" x14ac:dyDescent="0.45">
      <c r="A2447" t="s">
        <v>4643</v>
      </c>
      <c r="B2447" s="1">
        <v>45209</v>
      </c>
      <c r="C2447" t="s">
        <v>4644</v>
      </c>
      <c r="D2447" t="s">
        <v>13</v>
      </c>
      <c r="E2447" t="s">
        <v>14</v>
      </c>
      <c r="F2447" t="s">
        <v>40</v>
      </c>
      <c r="G2447">
        <v>4</v>
      </c>
      <c r="H2447">
        <v>3080.09</v>
      </c>
      <c r="I2447">
        <v>699.26</v>
      </c>
      <c r="J2447" t="s">
        <v>71</v>
      </c>
      <c r="K2447" t="s">
        <v>29</v>
      </c>
      <c r="L2447">
        <f t="shared" si="114"/>
        <v>2023</v>
      </c>
      <c r="M2447" t="str">
        <f t="shared" si="115"/>
        <v>Oct</v>
      </c>
      <c r="N2447" s="2">
        <f t="shared" si="116"/>
        <v>0.2270258336607047</v>
      </c>
    </row>
    <row r="2448" spans="1:14" x14ac:dyDescent="0.45">
      <c r="A2448" t="s">
        <v>4645</v>
      </c>
      <c r="B2448" s="1">
        <v>45197</v>
      </c>
      <c r="C2448" t="s">
        <v>4646</v>
      </c>
      <c r="D2448" t="s">
        <v>13</v>
      </c>
      <c r="E2448" t="s">
        <v>14</v>
      </c>
      <c r="F2448" t="s">
        <v>40</v>
      </c>
      <c r="G2448">
        <v>4</v>
      </c>
      <c r="H2448">
        <v>43826.06</v>
      </c>
      <c r="I2448">
        <v>2611.54</v>
      </c>
      <c r="J2448" t="s">
        <v>47</v>
      </c>
      <c r="K2448" t="s">
        <v>17</v>
      </c>
      <c r="L2448">
        <f t="shared" si="114"/>
        <v>2023</v>
      </c>
      <c r="M2448" t="str">
        <f t="shared" si="115"/>
        <v>Sep</v>
      </c>
      <c r="N2448" s="2">
        <f t="shared" si="116"/>
        <v>5.9588746969268969E-2</v>
      </c>
    </row>
    <row r="2449" spans="1:14" x14ac:dyDescent="0.45">
      <c r="A2449" t="s">
        <v>4647</v>
      </c>
      <c r="B2449" s="1">
        <v>45388</v>
      </c>
      <c r="C2449" t="s">
        <v>4648</v>
      </c>
      <c r="D2449" t="s">
        <v>26</v>
      </c>
      <c r="E2449" t="s">
        <v>36</v>
      </c>
      <c r="F2449" t="s">
        <v>37</v>
      </c>
      <c r="G2449">
        <v>2</v>
      </c>
      <c r="H2449">
        <v>2235.87</v>
      </c>
      <c r="I2449">
        <v>479.32</v>
      </c>
      <c r="J2449" t="s">
        <v>47</v>
      </c>
      <c r="K2449" t="s">
        <v>33</v>
      </c>
      <c r="L2449">
        <f t="shared" si="114"/>
        <v>2024</v>
      </c>
      <c r="M2449" t="str">
        <f t="shared" si="115"/>
        <v>Apr</v>
      </c>
      <c r="N2449" s="2">
        <f t="shared" si="116"/>
        <v>0.21437740119058801</v>
      </c>
    </row>
    <row r="2450" spans="1:14" x14ac:dyDescent="0.45">
      <c r="A2450" t="s">
        <v>4649</v>
      </c>
      <c r="B2450" s="1">
        <v>44664</v>
      </c>
      <c r="C2450" t="s">
        <v>2652</v>
      </c>
      <c r="D2450" t="s">
        <v>26</v>
      </c>
      <c r="E2450" t="s">
        <v>36</v>
      </c>
      <c r="F2450" t="s">
        <v>37</v>
      </c>
      <c r="G2450">
        <v>2</v>
      </c>
      <c r="H2450">
        <v>1310.0999999999999</v>
      </c>
      <c r="I2450">
        <v>276.69</v>
      </c>
      <c r="J2450" t="s">
        <v>28</v>
      </c>
      <c r="K2450" t="s">
        <v>23</v>
      </c>
      <c r="L2450">
        <f t="shared" si="114"/>
        <v>2022</v>
      </c>
      <c r="M2450" t="str">
        <f t="shared" si="115"/>
        <v>Apr</v>
      </c>
      <c r="N2450" s="2">
        <f t="shared" si="116"/>
        <v>0.2111976185024044</v>
      </c>
    </row>
    <row r="2451" spans="1:14" x14ac:dyDescent="0.45">
      <c r="A2451" t="s">
        <v>4650</v>
      </c>
      <c r="B2451" s="1">
        <v>45037</v>
      </c>
      <c r="C2451" t="s">
        <v>4651</v>
      </c>
      <c r="D2451" t="s">
        <v>26</v>
      </c>
      <c r="E2451" t="s">
        <v>20</v>
      </c>
      <c r="F2451" t="s">
        <v>27</v>
      </c>
      <c r="G2451">
        <v>4</v>
      </c>
      <c r="H2451">
        <v>9193.3700000000008</v>
      </c>
      <c r="I2451">
        <v>1757.29</v>
      </c>
      <c r="J2451" t="s">
        <v>28</v>
      </c>
      <c r="K2451" t="s">
        <v>29</v>
      </c>
      <c r="L2451">
        <f t="shared" si="114"/>
        <v>2023</v>
      </c>
      <c r="M2451" t="str">
        <f t="shared" si="115"/>
        <v>Apr</v>
      </c>
      <c r="N2451" s="2">
        <f t="shared" si="116"/>
        <v>0.19114753349424637</v>
      </c>
    </row>
    <row r="2452" spans="1:14" x14ac:dyDescent="0.45">
      <c r="A2452" t="s">
        <v>4652</v>
      </c>
      <c r="B2452" s="1">
        <v>45564</v>
      </c>
      <c r="C2452" t="s">
        <v>4653</v>
      </c>
      <c r="D2452" t="s">
        <v>13</v>
      </c>
      <c r="E2452" t="s">
        <v>36</v>
      </c>
      <c r="F2452" t="s">
        <v>64</v>
      </c>
      <c r="G2452">
        <v>1</v>
      </c>
      <c r="H2452">
        <v>40350.97</v>
      </c>
      <c r="I2452">
        <v>7830.37</v>
      </c>
      <c r="J2452" t="s">
        <v>16</v>
      </c>
      <c r="K2452" t="s">
        <v>23</v>
      </c>
      <c r="L2452">
        <f t="shared" si="114"/>
        <v>2024</v>
      </c>
      <c r="M2452" t="str">
        <f t="shared" si="115"/>
        <v>Sep</v>
      </c>
      <c r="N2452" s="2">
        <f t="shared" si="116"/>
        <v>0.19405654932211047</v>
      </c>
    </row>
    <row r="2453" spans="1:14" x14ac:dyDescent="0.45">
      <c r="A2453" t="s">
        <v>4654</v>
      </c>
      <c r="B2453" s="1">
        <v>45103</v>
      </c>
      <c r="C2453" t="s">
        <v>303</v>
      </c>
      <c r="D2453" t="s">
        <v>26</v>
      </c>
      <c r="E2453" t="s">
        <v>36</v>
      </c>
      <c r="F2453" t="s">
        <v>46</v>
      </c>
      <c r="G2453">
        <v>2</v>
      </c>
      <c r="H2453">
        <v>36859.040000000001</v>
      </c>
      <c r="I2453">
        <v>8797.1200000000008</v>
      </c>
      <c r="J2453" t="s">
        <v>16</v>
      </c>
      <c r="K2453" t="s">
        <v>29</v>
      </c>
      <c r="L2453">
        <f t="shared" si="114"/>
        <v>2023</v>
      </c>
      <c r="M2453" t="str">
        <f t="shared" si="115"/>
        <v>Jun</v>
      </c>
      <c r="N2453" s="2">
        <f t="shared" si="116"/>
        <v>0.23866926539595174</v>
      </c>
    </row>
    <row r="2454" spans="1:14" x14ac:dyDescent="0.45">
      <c r="A2454" t="s">
        <v>4655</v>
      </c>
      <c r="B2454" s="1">
        <v>45651</v>
      </c>
      <c r="C2454" t="s">
        <v>1312</v>
      </c>
      <c r="D2454" t="s">
        <v>56</v>
      </c>
      <c r="E2454" t="s">
        <v>20</v>
      </c>
      <c r="F2454" t="s">
        <v>50</v>
      </c>
      <c r="G2454">
        <v>5</v>
      </c>
      <c r="H2454">
        <v>10261.57</v>
      </c>
      <c r="I2454">
        <v>1078.19</v>
      </c>
      <c r="J2454" t="s">
        <v>22</v>
      </c>
      <c r="K2454" t="s">
        <v>33</v>
      </c>
      <c r="L2454">
        <f t="shared" si="114"/>
        <v>2024</v>
      </c>
      <c r="M2454" t="str">
        <f t="shared" si="115"/>
        <v>Dec</v>
      </c>
      <c r="N2454" s="2">
        <f t="shared" si="116"/>
        <v>0.10507066657441308</v>
      </c>
    </row>
    <row r="2455" spans="1:14" x14ac:dyDescent="0.45">
      <c r="A2455" t="s">
        <v>4656</v>
      </c>
      <c r="B2455" s="1">
        <v>45604</v>
      </c>
      <c r="C2455" t="s">
        <v>4657</v>
      </c>
      <c r="D2455" t="s">
        <v>26</v>
      </c>
      <c r="E2455" t="s">
        <v>20</v>
      </c>
      <c r="F2455" t="s">
        <v>27</v>
      </c>
      <c r="G2455">
        <v>4</v>
      </c>
      <c r="H2455">
        <v>28372.73</v>
      </c>
      <c r="I2455">
        <v>1710.46</v>
      </c>
      <c r="J2455" t="s">
        <v>71</v>
      </c>
      <c r="K2455" t="s">
        <v>23</v>
      </c>
      <c r="L2455">
        <f t="shared" si="114"/>
        <v>2024</v>
      </c>
      <c r="M2455" t="str">
        <f t="shared" si="115"/>
        <v>Nov</v>
      </c>
      <c r="N2455" s="2">
        <f t="shared" si="116"/>
        <v>6.0285351462478237E-2</v>
      </c>
    </row>
    <row r="2456" spans="1:14" x14ac:dyDescent="0.45">
      <c r="A2456" t="s">
        <v>4658</v>
      </c>
      <c r="B2456" s="1">
        <v>45654</v>
      </c>
      <c r="C2456" t="s">
        <v>4659</v>
      </c>
      <c r="D2456" t="s">
        <v>56</v>
      </c>
      <c r="E2456" t="s">
        <v>36</v>
      </c>
      <c r="F2456" t="s">
        <v>53</v>
      </c>
      <c r="G2456">
        <v>2</v>
      </c>
      <c r="H2456">
        <v>29238.28</v>
      </c>
      <c r="I2456">
        <v>4321.13</v>
      </c>
      <c r="J2456" t="s">
        <v>28</v>
      </c>
      <c r="K2456" t="s">
        <v>23</v>
      </c>
      <c r="L2456">
        <f t="shared" si="114"/>
        <v>2024</v>
      </c>
      <c r="M2456" t="str">
        <f t="shared" si="115"/>
        <v>Dec</v>
      </c>
      <c r="N2456" s="2">
        <f t="shared" si="116"/>
        <v>0.14779015728695397</v>
      </c>
    </row>
    <row r="2457" spans="1:14" x14ac:dyDescent="0.45">
      <c r="A2457" t="s">
        <v>4660</v>
      </c>
      <c r="B2457" s="1">
        <v>45612</v>
      </c>
      <c r="C2457" t="s">
        <v>4661</v>
      </c>
      <c r="D2457" t="s">
        <v>26</v>
      </c>
      <c r="E2457" t="s">
        <v>20</v>
      </c>
      <c r="F2457" t="s">
        <v>21</v>
      </c>
      <c r="G2457">
        <v>3</v>
      </c>
      <c r="H2457">
        <v>28472.66</v>
      </c>
      <c r="I2457">
        <v>2726.93</v>
      </c>
      <c r="J2457" t="s">
        <v>16</v>
      </c>
      <c r="K2457" t="s">
        <v>23</v>
      </c>
      <c r="L2457">
        <f t="shared" si="114"/>
        <v>2024</v>
      </c>
      <c r="M2457" t="str">
        <f t="shared" si="115"/>
        <v>Nov</v>
      </c>
      <c r="N2457" s="2">
        <f t="shared" si="116"/>
        <v>9.5773629861066717E-2</v>
      </c>
    </row>
    <row r="2458" spans="1:14" x14ac:dyDescent="0.45">
      <c r="A2458" t="s">
        <v>4662</v>
      </c>
      <c r="B2458" s="1">
        <v>44668</v>
      </c>
      <c r="C2458" t="s">
        <v>4663</v>
      </c>
      <c r="D2458" t="s">
        <v>56</v>
      </c>
      <c r="E2458" t="s">
        <v>14</v>
      </c>
      <c r="F2458" t="s">
        <v>40</v>
      </c>
      <c r="G2458">
        <v>2</v>
      </c>
      <c r="H2458">
        <v>3366.52</v>
      </c>
      <c r="I2458">
        <v>270.33999999999997</v>
      </c>
      <c r="J2458" t="s">
        <v>28</v>
      </c>
      <c r="K2458" t="s">
        <v>29</v>
      </c>
      <c r="L2458">
        <f t="shared" si="114"/>
        <v>2022</v>
      </c>
      <c r="M2458" t="str">
        <f t="shared" si="115"/>
        <v>Apr</v>
      </c>
      <c r="N2458" s="2">
        <f t="shared" si="116"/>
        <v>8.0302508228081215E-2</v>
      </c>
    </row>
    <row r="2459" spans="1:14" x14ac:dyDescent="0.45">
      <c r="A2459" t="s">
        <v>4664</v>
      </c>
      <c r="B2459" s="1">
        <v>45453</v>
      </c>
      <c r="C2459" t="s">
        <v>4665</v>
      </c>
      <c r="D2459" t="s">
        <v>56</v>
      </c>
      <c r="E2459" t="s">
        <v>36</v>
      </c>
      <c r="F2459" t="s">
        <v>37</v>
      </c>
      <c r="G2459">
        <v>5</v>
      </c>
      <c r="H2459">
        <v>4621.41</v>
      </c>
      <c r="I2459">
        <v>420.86</v>
      </c>
      <c r="J2459" t="s">
        <v>16</v>
      </c>
      <c r="K2459" t="s">
        <v>17</v>
      </c>
      <c r="L2459">
        <f t="shared" si="114"/>
        <v>2024</v>
      </c>
      <c r="M2459" t="str">
        <f t="shared" si="115"/>
        <v>Jun</v>
      </c>
      <c r="N2459" s="2">
        <f t="shared" si="116"/>
        <v>9.1067444784167603E-2</v>
      </c>
    </row>
    <row r="2460" spans="1:14" x14ac:dyDescent="0.45">
      <c r="A2460" t="s">
        <v>4666</v>
      </c>
      <c r="B2460" s="1">
        <v>44572</v>
      </c>
      <c r="C2460" t="s">
        <v>4667</v>
      </c>
      <c r="D2460" t="s">
        <v>26</v>
      </c>
      <c r="E2460" t="s">
        <v>36</v>
      </c>
      <c r="F2460" t="s">
        <v>37</v>
      </c>
      <c r="G2460">
        <v>3</v>
      </c>
      <c r="H2460">
        <v>35294.19</v>
      </c>
      <c r="I2460">
        <v>8169.05</v>
      </c>
      <c r="J2460" t="s">
        <v>22</v>
      </c>
      <c r="K2460" t="s">
        <v>23</v>
      </c>
      <c r="L2460">
        <f t="shared" si="114"/>
        <v>2022</v>
      </c>
      <c r="M2460" t="str">
        <f t="shared" si="115"/>
        <v>Jan</v>
      </c>
      <c r="N2460" s="2">
        <f t="shared" si="116"/>
        <v>0.23145594218198517</v>
      </c>
    </row>
    <row r="2461" spans="1:14" x14ac:dyDescent="0.45">
      <c r="A2461" t="s">
        <v>4668</v>
      </c>
      <c r="B2461" s="1">
        <v>45515</v>
      </c>
      <c r="C2461" t="s">
        <v>4628</v>
      </c>
      <c r="D2461" t="s">
        <v>13</v>
      </c>
      <c r="E2461" t="s">
        <v>14</v>
      </c>
      <c r="F2461" t="s">
        <v>57</v>
      </c>
      <c r="G2461">
        <v>2</v>
      </c>
      <c r="H2461">
        <v>19213.98</v>
      </c>
      <c r="I2461">
        <v>4750.84</v>
      </c>
      <c r="J2461" t="s">
        <v>22</v>
      </c>
      <c r="K2461" t="s">
        <v>17</v>
      </c>
      <c r="L2461">
        <f t="shared" si="114"/>
        <v>2024</v>
      </c>
      <c r="M2461" t="str">
        <f t="shared" si="115"/>
        <v>Aug</v>
      </c>
      <c r="N2461" s="2">
        <f t="shared" si="116"/>
        <v>0.24725954747532788</v>
      </c>
    </row>
    <row r="2462" spans="1:14" x14ac:dyDescent="0.45">
      <c r="A2462" t="s">
        <v>4669</v>
      </c>
      <c r="B2462" s="1">
        <v>45282</v>
      </c>
      <c r="C2462" t="s">
        <v>2324</v>
      </c>
      <c r="D2462" t="s">
        <v>26</v>
      </c>
      <c r="E2462" t="s">
        <v>36</v>
      </c>
      <c r="F2462" t="s">
        <v>64</v>
      </c>
      <c r="G2462">
        <v>3</v>
      </c>
      <c r="H2462">
        <v>5238.6000000000004</v>
      </c>
      <c r="I2462">
        <v>666.68</v>
      </c>
      <c r="J2462" t="s">
        <v>71</v>
      </c>
      <c r="K2462" t="s">
        <v>23</v>
      </c>
      <c r="L2462">
        <f t="shared" si="114"/>
        <v>2023</v>
      </c>
      <c r="M2462" t="str">
        <f t="shared" si="115"/>
        <v>Dec</v>
      </c>
      <c r="N2462" s="2">
        <f t="shared" si="116"/>
        <v>0.12726300920093153</v>
      </c>
    </row>
    <row r="2463" spans="1:14" x14ac:dyDescent="0.45">
      <c r="A2463" t="s">
        <v>4670</v>
      </c>
      <c r="B2463" s="1">
        <v>45476</v>
      </c>
      <c r="C2463" t="s">
        <v>4671</v>
      </c>
      <c r="D2463" t="s">
        <v>26</v>
      </c>
      <c r="E2463" t="s">
        <v>20</v>
      </c>
      <c r="F2463" t="s">
        <v>27</v>
      </c>
      <c r="G2463">
        <v>4</v>
      </c>
      <c r="H2463">
        <v>23420.77</v>
      </c>
      <c r="I2463">
        <v>5615.63</v>
      </c>
      <c r="J2463" t="s">
        <v>71</v>
      </c>
      <c r="K2463" t="s">
        <v>23</v>
      </c>
      <c r="L2463">
        <f t="shared" si="114"/>
        <v>2024</v>
      </c>
      <c r="M2463" t="str">
        <f t="shared" si="115"/>
        <v>Jul</v>
      </c>
      <c r="N2463" s="2">
        <f t="shared" si="116"/>
        <v>0.23977136533085805</v>
      </c>
    </row>
    <row r="2464" spans="1:14" x14ac:dyDescent="0.45">
      <c r="A2464" t="s">
        <v>4672</v>
      </c>
      <c r="B2464" s="1">
        <v>44820</v>
      </c>
      <c r="C2464" t="s">
        <v>848</v>
      </c>
      <c r="D2464" t="s">
        <v>26</v>
      </c>
      <c r="E2464" t="s">
        <v>20</v>
      </c>
      <c r="F2464" t="s">
        <v>43</v>
      </c>
      <c r="G2464">
        <v>1</v>
      </c>
      <c r="H2464">
        <v>47551.51</v>
      </c>
      <c r="I2464">
        <v>9818.65</v>
      </c>
      <c r="J2464" t="s">
        <v>47</v>
      </c>
      <c r="K2464" t="s">
        <v>33</v>
      </c>
      <c r="L2464">
        <f t="shared" si="114"/>
        <v>2022</v>
      </c>
      <c r="M2464" t="str">
        <f t="shared" si="115"/>
        <v>Sep</v>
      </c>
      <c r="N2464" s="2">
        <f t="shared" si="116"/>
        <v>0.20648450490846662</v>
      </c>
    </row>
    <row r="2465" spans="1:14" x14ac:dyDescent="0.45">
      <c r="A2465" t="s">
        <v>4673</v>
      </c>
      <c r="B2465" s="1">
        <v>45011</v>
      </c>
      <c r="C2465" t="s">
        <v>2870</v>
      </c>
      <c r="D2465" t="s">
        <v>56</v>
      </c>
      <c r="E2465" t="s">
        <v>14</v>
      </c>
      <c r="F2465" t="s">
        <v>57</v>
      </c>
      <c r="G2465">
        <v>2</v>
      </c>
      <c r="H2465">
        <v>43569.07</v>
      </c>
      <c r="I2465">
        <v>7869.17</v>
      </c>
      <c r="J2465" t="s">
        <v>47</v>
      </c>
      <c r="K2465" t="s">
        <v>17</v>
      </c>
      <c r="L2465">
        <f t="shared" si="114"/>
        <v>2023</v>
      </c>
      <c r="M2465" t="str">
        <f t="shared" si="115"/>
        <v>Mar</v>
      </c>
      <c r="N2465" s="2">
        <f t="shared" si="116"/>
        <v>0.18061367846502119</v>
      </c>
    </row>
    <row r="2466" spans="1:14" x14ac:dyDescent="0.45">
      <c r="A2466" t="s">
        <v>4674</v>
      </c>
      <c r="B2466" s="1">
        <v>45586</v>
      </c>
      <c r="C2466" t="s">
        <v>4675</v>
      </c>
      <c r="D2466" t="s">
        <v>56</v>
      </c>
      <c r="E2466" t="s">
        <v>14</v>
      </c>
      <c r="F2466" t="s">
        <v>57</v>
      </c>
      <c r="G2466">
        <v>2</v>
      </c>
      <c r="H2466">
        <v>49694.38</v>
      </c>
      <c r="I2466">
        <v>8244.48</v>
      </c>
      <c r="J2466" t="s">
        <v>47</v>
      </c>
      <c r="K2466" t="s">
        <v>23</v>
      </c>
      <c r="L2466">
        <f t="shared" si="114"/>
        <v>2024</v>
      </c>
      <c r="M2466" t="str">
        <f t="shared" si="115"/>
        <v>Oct</v>
      </c>
      <c r="N2466" s="2">
        <f t="shared" si="116"/>
        <v>0.16590366959000194</v>
      </c>
    </row>
    <row r="2467" spans="1:14" x14ac:dyDescent="0.45">
      <c r="A2467" t="s">
        <v>4676</v>
      </c>
      <c r="B2467" s="1">
        <v>44626</v>
      </c>
      <c r="C2467" t="s">
        <v>3513</v>
      </c>
      <c r="D2467" t="s">
        <v>26</v>
      </c>
      <c r="E2467" t="s">
        <v>14</v>
      </c>
      <c r="F2467" t="s">
        <v>40</v>
      </c>
      <c r="G2467">
        <v>3</v>
      </c>
      <c r="H2467">
        <v>22333.65</v>
      </c>
      <c r="I2467">
        <v>4170.3</v>
      </c>
      <c r="J2467" t="s">
        <v>71</v>
      </c>
      <c r="K2467" t="s">
        <v>17</v>
      </c>
      <c r="L2467">
        <f t="shared" si="114"/>
        <v>2022</v>
      </c>
      <c r="M2467" t="str">
        <f t="shared" si="115"/>
        <v>Mar</v>
      </c>
      <c r="N2467" s="2">
        <f t="shared" si="116"/>
        <v>0.18672720312174679</v>
      </c>
    </row>
    <row r="2468" spans="1:14" x14ac:dyDescent="0.45">
      <c r="A2468" t="s">
        <v>4677</v>
      </c>
      <c r="B2468" s="1">
        <v>44991</v>
      </c>
      <c r="C2468" t="s">
        <v>3752</v>
      </c>
      <c r="D2468" t="s">
        <v>56</v>
      </c>
      <c r="E2468" t="s">
        <v>20</v>
      </c>
      <c r="F2468" t="s">
        <v>50</v>
      </c>
      <c r="G2468">
        <v>1</v>
      </c>
      <c r="H2468">
        <v>16680.29</v>
      </c>
      <c r="I2468">
        <v>1269.56</v>
      </c>
      <c r="J2468" t="s">
        <v>28</v>
      </c>
      <c r="K2468" t="s">
        <v>33</v>
      </c>
      <c r="L2468">
        <f t="shared" si="114"/>
        <v>2023</v>
      </c>
      <c r="M2468" t="str">
        <f t="shared" si="115"/>
        <v>Mar</v>
      </c>
      <c r="N2468" s="2">
        <f t="shared" si="116"/>
        <v>7.6111386552631874E-2</v>
      </c>
    </row>
    <row r="2469" spans="1:14" x14ac:dyDescent="0.45">
      <c r="A2469" t="s">
        <v>4678</v>
      </c>
      <c r="B2469" s="1">
        <v>45002</v>
      </c>
      <c r="C2469" t="s">
        <v>4679</v>
      </c>
      <c r="D2469" t="s">
        <v>26</v>
      </c>
      <c r="E2469" t="s">
        <v>20</v>
      </c>
      <c r="F2469" t="s">
        <v>27</v>
      </c>
      <c r="G2469">
        <v>5</v>
      </c>
      <c r="H2469">
        <v>8324.81</v>
      </c>
      <c r="I2469">
        <v>483.96</v>
      </c>
      <c r="J2469" t="s">
        <v>47</v>
      </c>
      <c r="K2469" t="s">
        <v>17</v>
      </c>
      <c r="L2469">
        <f t="shared" si="114"/>
        <v>2023</v>
      </c>
      <c r="M2469" t="str">
        <f t="shared" si="115"/>
        <v>Mar</v>
      </c>
      <c r="N2469" s="2">
        <f t="shared" si="116"/>
        <v>5.8134660130381356E-2</v>
      </c>
    </row>
    <row r="2470" spans="1:14" x14ac:dyDescent="0.45">
      <c r="A2470" t="s">
        <v>4680</v>
      </c>
      <c r="B2470" s="1">
        <v>44671</v>
      </c>
      <c r="C2470" t="s">
        <v>190</v>
      </c>
      <c r="D2470" t="s">
        <v>26</v>
      </c>
      <c r="E2470" t="s">
        <v>20</v>
      </c>
      <c r="F2470" t="s">
        <v>50</v>
      </c>
      <c r="G2470">
        <v>5</v>
      </c>
      <c r="H2470">
        <v>42144.45</v>
      </c>
      <c r="I2470">
        <v>4950.6499999999996</v>
      </c>
      <c r="J2470" t="s">
        <v>16</v>
      </c>
      <c r="K2470" t="s">
        <v>23</v>
      </c>
      <c r="L2470">
        <f t="shared" si="114"/>
        <v>2022</v>
      </c>
      <c r="M2470" t="str">
        <f t="shared" si="115"/>
        <v>Apr</v>
      </c>
      <c r="N2470" s="2">
        <f t="shared" si="116"/>
        <v>0.11746861093216307</v>
      </c>
    </row>
    <row r="2471" spans="1:14" x14ac:dyDescent="0.45">
      <c r="A2471" t="s">
        <v>4681</v>
      </c>
      <c r="B2471" s="1">
        <v>44698</v>
      </c>
      <c r="C2471" t="s">
        <v>4682</v>
      </c>
      <c r="D2471" t="s">
        <v>26</v>
      </c>
      <c r="E2471" t="s">
        <v>14</v>
      </c>
      <c r="F2471" t="s">
        <v>15</v>
      </c>
      <c r="G2471">
        <v>5</v>
      </c>
      <c r="H2471">
        <v>34709.480000000003</v>
      </c>
      <c r="I2471">
        <v>4561.32</v>
      </c>
      <c r="J2471" t="s">
        <v>22</v>
      </c>
      <c r="K2471" t="s">
        <v>29</v>
      </c>
      <c r="L2471">
        <f t="shared" si="114"/>
        <v>2022</v>
      </c>
      <c r="M2471" t="str">
        <f t="shared" si="115"/>
        <v>May</v>
      </c>
      <c r="N2471" s="2">
        <f t="shared" si="116"/>
        <v>0.13141424187282549</v>
      </c>
    </row>
    <row r="2472" spans="1:14" x14ac:dyDescent="0.45">
      <c r="A2472" t="s">
        <v>4683</v>
      </c>
      <c r="B2472" s="1">
        <v>44848</v>
      </c>
      <c r="C2472" t="s">
        <v>4684</v>
      </c>
      <c r="D2472" t="s">
        <v>56</v>
      </c>
      <c r="E2472" t="s">
        <v>20</v>
      </c>
      <c r="F2472" t="s">
        <v>27</v>
      </c>
      <c r="G2472">
        <v>4</v>
      </c>
      <c r="H2472">
        <v>18359.36</v>
      </c>
      <c r="I2472">
        <v>2891.51</v>
      </c>
      <c r="J2472" t="s">
        <v>16</v>
      </c>
      <c r="K2472" t="s">
        <v>17</v>
      </c>
      <c r="L2472">
        <f t="shared" si="114"/>
        <v>2022</v>
      </c>
      <c r="M2472" t="str">
        <f t="shared" si="115"/>
        <v>Oct</v>
      </c>
      <c r="N2472" s="2">
        <f t="shared" si="116"/>
        <v>0.15749514144283897</v>
      </c>
    </row>
    <row r="2473" spans="1:14" x14ac:dyDescent="0.45">
      <c r="A2473" t="s">
        <v>4685</v>
      </c>
      <c r="B2473" s="1">
        <v>45109</v>
      </c>
      <c r="C2473" t="s">
        <v>4686</v>
      </c>
      <c r="D2473" t="s">
        <v>26</v>
      </c>
      <c r="E2473" t="s">
        <v>20</v>
      </c>
      <c r="F2473" t="s">
        <v>50</v>
      </c>
      <c r="G2473">
        <v>4</v>
      </c>
      <c r="H2473">
        <v>16210.64</v>
      </c>
      <c r="I2473">
        <v>2919.76</v>
      </c>
      <c r="J2473" t="s">
        <v>71</v>
      </c>
      <c r="K2473" t="s">
        <v>29</v>
      </c>
      <c r="L2473">
        <f t="shared" si="114"/>
        <v>2023</v>
      </c>
      <c r="M2473" t="str">
        <f t="shared" si="115"/>
        <v>Jul</v>
      </c>
      <c r="N2473" s="2">
        <f t="shared" si="116"/>
        <v>0.18011380179931208</v>
      </c>
    </row>
    <row r="2474" spans="1:14" x14ac:dyDescent="0.45">
      <c r="A2474" t="s">
        <v>4687</v>
      </c>
      <c r="B2474" s="1">
        <v>45449</v>
      </c>
      <c r="C2474" t="s">
        <v>4688</v>
      </c>
      <c r="D2474" t="s">
        <v>13</v>
      </c>
      <c r="E2474" t="s">
        <v>20</v>
      </c>
      <c r="F2474" t="s">
        <v>50</v>
      </c>
      <c r="G2474">
        <v>4</v>
      </c>
      <c r="H2474">
        <v>36329.75</v>
      </c>
      <c r="I2474">
        <v>7027.56</v>
      </c>
      <c r="J2474" t="s">
        <v>28</v>
      </c>
      <c r="K2474" t="s">
        <v>23</v>
      </c>
      <c r="L2474">
        <f t="shared" si="114"/>
        <v>2024</v>
      </c>
      <c r="M2474" t="str">
        <f t="shared" si="115"/>
        <v>Jun</v>
      </c>
      <c r="N2474" s="2">
        <f t="shared" si="116"/>
        <v>0.1934381601855229</v>
      </c>
    </row>
    <row r="2475" spans="1:14" x14ac:dyDescent="0.45">
      <c r="A2475" t="s">
        <v>4689</v>
      </c>
      <c r="B2475" s="1">
        <v>45273</v>
      </c>
      <c r="C2475" t="s">
        <v>4690</v>
      </c>
      <c r="D2475" t="s">
        <v>13</v>
      </c>
      <c r="E2475" t="s">
        <v>36</v>
      </c>
      <c r="F2475" t="s">
        <v>37</v>
      </c>
      <c r="G2475">
        <v>2</v>
      </c>
      <c r="H2475">
        <v>33678.69</v>
      </c>
      <c r="I2475">
        <v>4177.3900000000003</v>
      </c>
      <c r="J2475" t="s">
        <v>22</v>
      </c>
      <c r="K2475" t="s">
        <v>17</v>
      </c>
      <c r="L2475">
        <f t="shared" si="114"/>
        <v>2023</v>
      </c>
      <c r="M2475" t="str">
        <f t="shared" si="115"/>
        <v>Dec</v>
      </c>
      <c r="N2475" s="2">
        <f t="shared" si="116"/>
        <v>0.12403659405992336</v>
      </c>
    </row>
    <row r="2476" spans="1:14" x14ac:dyDescent="0.45">
      <c r="A2476" t="s">
        <v>4691</v>
      </c>
      <c r="B2476" s="1">
        <v>45149</v>
      </c>
      <c r="C2476" t="s">
        <v>4692</v>
      </c>
      <c r="D2476" t="s">
        <v>26</v>
      </c>
      <c r="E2476" t="s">
        <v>14</v>
      </c>
      <c r="F2476" t="s">
        <v>40</v>
      </c>
      <c r="G2476">
        <v>3</v>
      </c>
      <c r="H2476">
        <v>40528.51</v>
      </c>
      <c r="I2476">
        <v>2801.21</v>
      </c>
      <c r="J2476" t="s">
        <v>16</v>
      </c>
      <c r="K2476" t="s">
        <v>33</v>
      </c>
      <c r="L2476">
        <f t="shared" si="114"/>
        <v>2023</v>
      </c>
      <c r="M2476" t="str">
        <f t="shared" si="115"/>
        <v>Aug</v>
      </c>
      <c r="N2476" s="2">
        <f t="shared" si="116"/>
        <v>6.9117024040607461E-2</v>
      </c>
    </row>
    <row r="2477" spans="1:14" x14ac:dyDescent="0.45">
      <c r="A2477" t="s">
        <v>4693</v>
      </c>
      <c r="B2477" s="1">
        <v>44763</v>
      </c>
      <c r="C2477" t="s">
        <v>4694</v>
      </c>
      <c r="D2477" t="s">
        <v>26</v>
      </c>
      <c r="E2477" t="s">
        <v>14</v>
      </c>
      <c r="F2477" t="s">
        <v>57</v>
      </c>
      <c r="G2477">
        <v>2</v>
      </c>
      <c r="H2477">
        <v>38910.080000000002</v>
      </c>
      <c r="I2477">
        <v>7122.69</v>
      </c>
      <c r="J2477" t="s">
        <v>47</v>
      </c>
      <c r="K2477" t="s">
        <v>29</v>
      </c>
      <c r="L2477">
        <f t="shared" si="114"/>
        <v>2022</v>
      </c>
      <c r="M2477" t="str">
        <f t="shared" si="115"/>
        <v>Jul</v>
      </c>
      <c r="N2477" s="2">
        <f t="shared" si="116"/>
        <v>0.18305513635541226</v>
      </c>
    </row>
    <row r="2478" spans="1:14" x14ac:dyDescent="0.45">
      <c r="A2478" t="s">
        <v>4695</v>
      </c>
      <c r="B2478" s="1">
        <v>45046</v>
      </c>
      <c r="C2478" t="s">
        <v>4696</v>
      </c>
      <c r="D2478" t="s">
        <v>13</v>
      </c>
      <c r="E2478" t="s">
        <v>14</v>
      </c>
      <c r="F2478" t="s">
        <v>57</v>
      </c>
      <c r="G2478">
        <v>3</v>
      </c>
      <c r="H2478">
        <v>25184.05</v>
      </c>
      <c r="I2478">
        <v>1553.16</v>
      </c>
      <c r="J2478" t="s">
        <v>71</v>
      </c>
      <c r="K2478" t="s">
        <v>23</v>
      </c>
      <c r="L2478">
        <f t="shared" si="114"/>
        <v>2023</v>
      </c>
      <c r="M2478" t="str">
        <f t="shared" si="115"/>
        <v>Apr</v>
      </c>
      <c r="N2478" s="2">
        <f t="shared" si="116"/>
        <v>6.1672368026588265E-2</v>
      </c>
    </row>
    <row r="2479" spans="1:14" x14ac:dyDescent="0.45">
      <c r="A2479" t="s">
        <v>4697</v>
      </c>
      <c r="B2479" s="1">
        <v>44622</v>
      </c>
      <c r="C2479" t="s">
        <v>4698</v>
      </c>
      <c r="D2479" t="s">
        <v>13</v>
      </c>
      <c r="E2479" t="s">
        <v>14</v>
      </c>
      <c r="F2479" t="s">
        <v>15</v>
      </c>
      <c r="G2479">
        <v>2</v>
      </c>
      <c r="H2479">
        <v>8095.5</v>
      </c>
      <c r="I2479">
        <v>1852.02</v>
      </c>
      <c r="J2479" t="s">
        <v>71</v>
      </c>
      <c r="K2479" t="s">
        <v>29</v>
      </c>
      <c r="L2479">
        <f t="shared" si="114"/>
        <v>2022</v>
      </c>
      <c r="M2479" t="str">
        <f t="shared" si="115"/>
        <v>Mar</v>
      </c>
      <c r="N2479" s="2">
        <f t="shared" si="116"/>
        <v>0.22877153974430239</v>
      </c>
    </row>
    <row r="2480" spans="1:14" x14ac:dyDescent="0.45">
      <c r="A2480" t="s">
        <v>4699</v>
      </c>
      <c r="B2480" s="1">
        <v>45403</v>
      </c>
      <c r="C2480" t="s">
        <v>4700</v>
      </c>
      <c r="D2480" t="s">
        <v>56</v>
      </c>
      <c r="E2480" t="s">
        <v>14</v>
      </c>
      <c r="F2480" t="s">
        <v>57</v>
      </c>
      <c r="G2480">
        <v>1</v>
      </c>
      <c r="H2480">
        <v>39063.910000000003</v>
      </c>
      <c r="I2480">
        <v>6528.44</v>
      </c>
      <c r="J2480" t="s">
        <v>47</v>
      </c>
      <c r="K2480" t="s">
        <v>29</v>
      </c>
      <c r="L2480">
        <f t="shared" si="114"/>
        <v>2024</v>
      </c>
      <c r="M2480" t="str">
        <f t="shared" si="115"/>
        <v>Apr</v>
      </c>
      <c r="N2480" s="2">
        <f t="shared" si="116"/>
        <v>0.16712203156314867</v>
      </c>
    </row>
    <row r="2481" spans="1:14" x14ac:dyDescent="0.45">
      <c r="A2481" t="s">
        <v>4701</v>
      </c>
      <c r="B2481" s="1">
        <v>45528</v>
      </c>
      <c r="C2481" t="s">
        <v>4702</v>
      </c>
      <c r="D2481" t="s">
        <v>13</v>
      </c>
      <c r="E2481" t="s">
        <v>36</v>
      </c>
      <c r="F2481" t="s">
        <v>37</v>
      </c>
      <c r="G2481">
        <v>3</v>
      </c>
      <c r="H2481">
        <v>32520.240000000002</v>
      </c>
      <c r="I2481">
        <v>7626.07</v>
      </c>
      <c r="J2481" t="s">
        <v>47</v>
      </c>
      <c r="K2481" t="s">
        <v>23</v>
      </c>
      <c r="L2481">
        <f t="shared" si="114"/>
        <v>2024</v>
      </c>
      <c r="M2481" t="str">
        <f t="shared" si="115"/>
        <v>Aug</v>
      </c>
      <c r="N2481" s="2">
        <f t="shared" si="116"/>
        <v>0.23450226689593925</v>
      </c>
    </row>
    <row r="2482" spans="1:14" x14ac:dyDescent="0.45">
      <c r="A2482" t="s">
        <v>4703</v>
      </c>
      <c r="B2482" s="1">
        <v>45362</v>
      </c>
      <c r="C2482" t="s">
        <v>4704</v>
      </c>
      <c r="D2482" t="s">
        <v>56</v>
      </c>
      <c r="E2482" t="s">
        <v>20</v>
      </c>
      <c r="F2482" t="s">
        <v>27</v>
      </c>
      <c r="G2482">
        <v>3</v>
      </c>
      <c r="H2482">
        <v>44801.01</v>
      </c>
      <c r="I2482">
        <v>10790.37</v>
      </c>
      <c r="J2482" t="s">
        <v>47</v>
      </c>
      <c r="K2482" t="s">
        <v>23</v>
      </c>
      <c r="L2482">
        <f t="shared" si="114"/>
        <v>2024</v>
      </c>
      <c r="M2482" t="str">
        <f t="shared" si="115"/>
        <v>Mar</v>
      </c>
      <c r="N2482" s="2">
        <f t="shared" si="116"/>
        <v>0.24085104331353244</v>
      </c>
    </row>
    <row r="2483" spans="1:14" x14ac:dyDescent="0.45">
      <c r="A2483" t="s">
        <v>4705</v>
      </c>
      <c r="B2483" s="1">
        <v>45433</v>
      </c>
      <c r="C2483" t="s">
        <v>4706</v>
      </c>
      <c r="D2483" t="s">
        <v>13</v>
      </c>
      <c r="E2483" t="s">
        <v>36</v>
      </c>
      <c r="F2483" t="s">
        <v>64</v>
      </c>
      <c r="G2483">
        <v>4</v>
      </c>
      <c r="H2483">
        <v>28877.72</v>
      </c>
      <c r="I2483">
        <v>6024.58</v>
      </c>
      <c r="J2483" t="s">
        <v>16</v>
      </c>
      <c r="K2483" t="s">
        <v>29</v>
      </c>
      <c r="L2483">
        <f t="shared" si="114"/>
        <v>2024</v>
      </c>
      <c r="M2483" t="str">
        <f t="shared" si="115"/>
        <v>May</v>
      </c>
      <c r="N2483" s="2">
        <f t="shared" si="116"/>
        <v>0.20862381102109168</v>
      </c>
    </row>
    <row r="2484" spans="1:14" x14ac:dyDescent="0.45">
      <c r="A2484" t="s">
        <v>4707</v>
      </c>
      <c r="B2484" s="1">
        <v>44567</v>
      </c>
      <c r="C2484" t="s">
        <v>4708</v>
      </c>
      <c r="D2484" t="s">
        <v>13</v>
      </c>
      <c r="E2484" t="s">
        <v>20</v>
      </c>
      <c r="F2484" t="s">
        <v>27</v>
      </c>
      <c r="G2484">
        <v>3</v>
      </c>
      <c r="H2484">
        <v>24499.16</v>
      </c>
      <c r="I2484">
        <v>6036.43</v>
      </c>
      <c r="J2484" t="s">
        <v>22</v>
      </c>
      <c r="K2484" t="s">
        <v>17</v>
      </c>
      <c r="L2484">
        <f t="shared" si="114"/>
        <v>2022</v>
      </c>
      <c r="M2484" t="str">
        <f t="shared" si="115"/>
        <v>Jan</v>
      </c>
      <c r="N2484" s="2">
        <f t="shared" si="116"/>
        <v>0.24639334573103733</v>
      </c>
    </row>
    <row r="2485" spans="1:14" x14ac:dyDescent="0.45">
      <c r="A2485" t="s">
        <v>4709</v>
      </c>
      <c r="B2485" s="1">
        <v>44944</v>
      </c>
      <c r="C2485" t="s">
        <v>4710</v>
      </c>
      <c r="D2485" t="s">
        <v>13</v>
      </c>
      <c r="E2485" t="s">
        <v>14</v>
      </c>
      <c r="F2485" t="s">
        <v>40</v>
      </c>
      <c r="G2485">
        <v>4</v>
      </c>
      <c r="H2485">
        <v>42686.14</v>
      </c>
      <c r="I2485">
        <v>2649.29</v>
      </c>
      <c r="J2485" t="s">
        <v>22</v>
      </c>
      <c r="K2485" t="s">
        <v>29</v>
      </c>
      <c r="L2485">
        <f t="shared" si="114"/>
        <v>2023</v>
      </c>
      <c r="M2485" t="str">
        <f t="shared" si="115"/>
        <v>Jan</v>
      </c>
      <c r="N2485" s="2">
        <f t="shared" si="116"/>
        <v>6.2064407791381462E-2</v>
      </c>
    </row>
    <row r="2486" spans="1:14" x14ac:dyDescent="0.45">
      <c r="A2486" t="s">
        <v>4711</v>
      </c>
      <c r="B2486" s="1">
        <v>45220</v>
      </c>
      <c r="C2486" t="s">
        <v>4712</v>
      </c>
      <c r="D2486" t="s">
        <v>26</v>
      </c>
      <c r="E2486" t="s">
        <v>36</v>
      </c>
      <c r="F2486" t="s">
        <v>37</v>
      </c>
      <c r="G2486">
        <v>1</v>
      </c>
      <c r="H2486">
        <v>22583.74</v>
      </c>
      <c r="I2486">
        <v>1311.78</v>
      </c>
      <c r="J2486" t="s">
        <v>71</v>
      </c>
      <c r="K2486" t="s">
        <v>29</v>
      </c>
      <c r="L2486">
        <f t="shared" si="114"/>
        <v>2023</v>
      </c>
      <c r="M2486" t="str">
        <f t="shared" si="115"/>
        <v>Oct</v>
      </c>
      <c r="N2486" s="2">
        <f t="shared" si="116"/>
        <v>5.8085153300560487E-2</v>
      </c>
    </row>
    <row r="2487" spans="1:14" x14ac:dyDescent="0.45">
      <c r="A2487" t="s">
        <v>4713</v>
      </c>
      <c r="B2487" s="1">
        <v>45499</v>
      </c>
      <c r="C2487" t="s">
        <v>4714</v>
      </c>
      <c r="D2487" t="s">
        <v>26</v>
      </c>
      <c r="E2487" t="s">
        <v>14</v>
      </c>
      <c r="F2487" t="s">
        <v>32</v>
      </c>
      <c r="G2487">
        <v>3</v>
      </c>
      <c r="H2487">
        <v>18038.509999999998</v>
      </c>
      <c r="I2487">
        <v>1821.32</v>
      </c>
      <c r="J2487" t="s">
        <v>22</v>
      </c>
      <c r="K2487" t="s">
        <v>23</v>
      </c>
      <c r="L2487">
        <f t="shared" si="114"/>
        <v>2024</v>
      </c>
      <c r="M2487" t="str">
        <f t="shared" si="115"/>
        <v>Jul</v>
      </c>
      <c r="N2487" s="2">
        <f t="shared" si="116"/>
        <v>0.1009684281018776</v>
      </c>
    </row>
    <row r="2488" spans="1:14" x14ac:dyDescent="0.45">
      <c r="A2488" t="s">
        <v>4715</v>
      </c>
      <c r="B2488" s="1">
        <v>44712</v>
      </c>
      <c r="C2488" t="s">
        <v>4716</v>
      </c>
      <c r="D2488" t="s">
        <v>56</v>
      </c>
      <c r="E2488" t="s">
        <v>36</v>
      </c>
      <c r="F2488" t="s">
        <v>46</v>
      </c>
      <c r="G2488">
        <v>2</v>
      </c>
      <c r="H2488">
        <v>47448.87</v>
      </c>
      <c r="I2488">
        <v>11174.24</v>
      </c>
      <c r="J2488" t="s">
        <v>16</v>
      </c>
      <c r="K2488" t="s">
        <v>29</v>
      </c>
      <c r="L2488">
        <f t="shared" si="114"/>
        <v>2022</v>
      </c>
      <c r="M2488" t="str">
        <f t="shared" si="115"/>
        <v>May</v>
      </c>
      <c r="N2488" s="2">
        <f t="shared" si="116"/>
        <v>0.23550065575850382</v>
      </c>
    </row>
    <row r="2489" spans="1:14" x14ac:dyDescent="0.45">
      <c r="A2489" t="s">
        <v>4717</v>
      </c>
      <c r="B2489" s="1">
        <v>44956</v>
      </c>
      <c r="C2489" t="s">
        <v>4718</v>
      </c>
      <c r="D2489" t="s">
        <v>56</v>
      </c>
      <c r="E2489" t="s">
        <v>20</v>
      </c>
      <c r="F2489" t="s">
        <v>27</v>
      </c>
      <c r="G2489">
        <v>4</v>
      </c>
      <c r="H2489">
        <v>49505.08</v>
      </c>
      <c r="I2489">
        <v>9225.24</v>
      </c>
      <c r="J2489" t="s">
        <v>22</v>
      </c>
      <c r="K2489" t="s">
        <v>33</v>
      </c>
      <c r="L2489">
        <f t="shared" si="114"/>
        <v>2023</v>
      </c>
      <c r="M2489" t="str">
        <f t="shared" si="115"/>
        <v>Jan</v>
      </c>
      <c r="N2489" s="2">
        <f t="shared" si="116"/>
        <v>0.18634936051007289</v>
      </c>
    </row>
    <row r="2490" spans="1:14" x14ac:dyDescent="0.45">
      <c r="A2490" t="s">
        <v>4719</v>
      </c>
      <c r="B2490" s="1">
        <v>44727</v>
      </c>
      <c r="C2490" t="s">
        <v>4720</v>
      </c>
      <c r="D2490" t="s">
        <v>56</v>
      </c>
      <c r="E2490" t="s">
        <v>20</v>
      </c>
      <c r="F2490" t="s">
        <v>50</v>
      </c>
      <c r="G2490">
        <v>2</v>
      </c>
      <c r="H2490">
        <v>22278.15</v>
      </c>
      <c r="I2490">
        <v>2110.5100000000002</v>
      </c>
      <c r="J2490" t="s">
        <v>71</v>
      </c>
      <c r="K2490" t="s">
        <v>29</v>
      </c>
      <c r="L2490">
        <f t="shared" si="114"/>
        <v>2022</v>
      </c>
      <c r="M2490" t="str">
        <f t="shared" si="115"/>
        <v>Jun</v>
      </c>
      <c r="N2490" s="2">
        <f t="shared" si="116"/>
        <v>9.4734526879476089E-2</v>
      </c>
    </row>
    <row r="2491" spans="1:14" x14ac:dyDescent="0.45">
      <c r="A2491" t="s">
        <v>4721</v>
      </c>
      <c r="B2491" s="1">
        <v>44743</v>
      </c>
      <c r="C2491" t="s">
        <v>4722</v>
      </c>
      <c r="D2491" t="s">
        <v>26</v>
      </c>
      <c r="E2491" t="s">
        <v>20</v>
      </c>
      <c r="F2491" t="s">
        <v>21</v>
      </c>
      <c r="G2491">
        <v>1</v>
      </c>
      <c r="H2491">
        <v>46319.76</v>
      </c>
      <c r="I2491">
        <v>10051.44</v>
      </c>
      <c r="J2491" t="s">
        <v>16</v>
      </c>
      <c r="K2491" t="s">
        <v>23</v>
      </c>
      <c r="L2491">
        <f t="shared" si="114"/>
        <v>2022</v>
      </c>
      <c r="M2491" t="str">
        <f t="shared" si="115"/>
        <v>Jul</v>
      </c>
      <c r="N2491" s="2">
        <f t="shared" si="116"/>
        <v>0.2170011243581573</v>
      </c>
    </row>
    <row r="2492" spans="1:14" x14ac:dyDescent="0.45">
      <c r="A2492" t="s">
        <v>4723</v>
      </c>
      <c r="B2492" s="1">
        <v>45462</v>
      </c>
      <c r="C2492" t="s">
        <v>4724</v>
      </c>
      <c r="D2492" t="s">
        <v>56</v>
      </c>
      <c r="E2492" t="s">
        <v>36</v>
      </c>
      <c r="F2492" t="s">
        <v>37</v>
      </c>
      <c r="G2492">
        <v>5</v>
      </c>
      <c r="H2492">
        <v>46235.199999999997</v>
      </c>
      <c r="I2492">
        <v>10557.21</v>
      </c>
      <c r="J2492" t="s">
        <v>28</v>
      </c>
      <c r="K2492" t="s">
        <v>33</v>
      </c>
      <c r="L2492">
        <f t="shared" si="114"/>
        <v>2024</v>
      </c>
      <c r="M2492" t="str">
        <f t="shared" si="115"/>
        <v>Jun</v>
      </c>
      <c r="N2492" s="2">
        <f t="shared" si="116"/>
        <v>0.22833706786171573</v>
      </c>
    </row>
    <row r="2493" spans="1:14" x14ac:dyDescent="0.45">
      <c r="A2493" t="s">
        <v>4725</v>
      </c>
      <c r="B2493" s="1">
        <v>44644</v>
      </c>
      <c r="C2493" t="s">
        <v>4726</v>
      </c>
      <c r="D2493" t="s">
        <v>26</v>
      </c>
      <c r="E2493" t="s">
        <v>20</v>
      </c>
      <c r="F2493" t="s">
        <v>50</v>
      </c>
      <c r="G2493">
        <v>1</v>
      </c>
      <c r="H2493">
        <v>30294.18</v>
      </c>
      <c r="I2493">
        <v>6709.12</v>
      </c>
      <c r="J2493" t="s">
        <v>47</v>
      </c>
      <c r="K2493" t="s">
        <v>17</v>
      </c>
      <c r="L2493">
        <f t="shared" si="114"/>
        <v>2022</v>
      </c>
      <c r="M2493" t="str">
        <f t="shared" si="115"/>
        <v>Mar</v>
      </c>
      <c r="N2493" s="2">
        <f t="shared" si="116"/>
        <v>0.22146564125518498</v>
      </c>
    </row>
    <row r="2494" spans="1:14" x14ac:dyDescent="0.45">
      <c r="A2494" t="s">
        <v>4727</v>
      </c>
      <c r="B2494" s="1">
        <v>44900</v>
      </c>
      <c r="C2494" t="s">
        <v>3174</v>
      </c>
      <c r="D2494" t="s">
        <v>26</v>
      </c>
      <c r="E2494" t="s">
        <v>20</v>
      </c>
      <c r="F2494" t="s">
        <v>50</v>
      </c>
      <c r="G2494">
        <v>3</v>
      </c>
      <c r="H2494">
        <v>22302.28</v>
      </c>
      <c r="I2494">
        <v>5462.2</v>
      </c>
      <c r="J2494" t="s">
        <v>28</v>
      </c>
      <c r="K2494" t="s">
        <v>29</v>
      </c>
      <c r="L2494">
        <f t="shared" si="114"/>
        <v>2022</v>
      </c>
      <c r="M2494" t="str">
        <f t="shared" si="115"/>
        <v>Dec</v>
      </c>
      <c r="N2494" s="2">
        <f t="shared" si="116"/>
        <v>0.24491666322905103</v>
      </c>
    </row>
    <row r="2495" spans="1:14" x14ac:dyDescent="0.45">
      <c r="A2495" t="s">
        <v>4728</v>
      </c>
      <c r="B2495" s="1">
        <v>44656</v>
      </c>
      <c r="C2495" t="s">
        <v>4729</v>
      </c>
      <c r="D2495" t="s">
        <v>13</v>
      </c>
      <c r="E2495" t="s">
        <v>36</v>
      </c>
      <c r="F2495" t="s">
        <v>53</v>
      </c>
      <c r="G2495">
        <v>1</v>
      </c>
      <c r="H2495">
        <v>6473.99</v>
      </c>
      <c r="I2495">
        <v>1616.88</v>
      </c>
      <c r="J2495" t="s">
        <v>47</v>
      </c>
      <c r="K2495" t="s">
        <v>17</v>
      </c>
      <c r="L2495">
        <f t="shared" si="114"/>
        <v>2022</v>
      </c>
      <c r="M2495" t="str">
        <f t="shared" si="115"/>
        <v>Apr</v>
      </c>
      <c r="N2495" s="2">
        <f t="shared" si="116"/>
        <v>0.24975015407808787</v>
      </c>
    </row>
    <row r="2496" spans="1:14" x14ac:dyDescent="0.45">
      <c r="A2496" t="s">
        <v>4730</v>
      </c>
      <c r="B2496" s="1">
        <v>45402</v>
      </c>
      <c r="C2496" t="s">
        <v>3141</v>
      </c>
      <c r="D2496" t="s">
        <v>26</v>
      </c>
      <c r="E2496" t="s">
        <v>14</v>
      </c>
      <c r="F2496" t="s">
        <v>32</v>
      </c>
      <c r="G2496">
        <v>2</v>
      </c>
      <c r="H2496">
        <v>3348.46</v>
      </c>
      <c r="I2496">
        <v>335.91</v>
      </c>
      <c r="J2496" t="s">
        <v>47</v>
      </c>
      <c r="K2496" t="s">
        <v>33</v>
      </c>
      <c r="L2496">
        <f t="shared" si="114"/>
        <v>2024</v>
      </c>
      <c r="M2496" t="str">
        <f t="shared" si="115"/>
        <v>Apr</v>
      </c>
      <c r="N2496" s="2">
        <f t="shared" si="116"/>
        <v>0.10031775801413187</v>
      </c>
    </row>
    <row r="2497" spans="1:14" x14ac:dyDescent="0.45">
      <c r="A2497" t="s">
        <v>4731</v>
      </c>
      <c r="B2497" s="1">
        <v>45391</v>
      </c>
      <c r="C2497" t="s">
        <v>4456</v>
      </c>
      <c r="D2497" t="s">
        <v>26</v>
      </c>
      <c r="E2497" t="s">
        <v>36</v>
      </c>
      <c r="F2497" t="s">
        <v>46</v>
      </c>
      <c r="G2497">
        <v>3</v>
      </c>
      <c r="H2497">
        <v>45516.5</v>
      </c>
      <c r="I2497">
        <v>4489.01</v>
      </c>
      <c r="J2497" t="s">
        <v>22</v>
      </c>
      <c r="K2497" t="s">
        <v>23</v>
      </c>
      <c r="L2497">
        <f t="shared" si="114"/>
        <v>2024</v>
      </c>
      <c r="M2497" t="str">
        <f t="shared" si="115"/>
        <v>Apr</v>
      </c>
      <c r="N2497" s="2">
        <f t="shared" si="116"/>
        <v>9.862379576637044E-2</v>
      </c>
    </row>
    <row r="2498" spans="1:14" x14ac:dyDescent="0.45">
      <c r="A2498" t="s">
        <v>4732</v>
      </c>
      <c r="B2498" s="1">
        <v>44831</v>
      </c>
      <c r="C2498" t="s">
        <v>4733</v>
      </c>
      <c r="D2498" t="s">
        <v>26</v>
      </c>
      <c r="E2498" t="s">
        <v>20</v>
      </c>
      <c r="F2498" t="s">
        <v>21</v>
      </c>
      <c r="G2498">
        <v>4</v>
      </c>
      <c r="H2498">
        <v>31390.18</v>
      </c>
      <c r="I2498">
        <v>3653.5</v>
      </c>
      <c r="J2498" t="s">
        <v>16</v>
      </c>
      <c r="K2498" t="s">
        <v>29</v>
      </c>
      <c r="L2498">
        <f t="shared" si="114"/>
        <v>2022</v>
      </c>
      <c r="M2498" t="str">
        <f t="shared" si="115"/>
        <v>Sep</v>
      </c>
      <c r="N2498" s="2">
        <f t="shared" si="116"/>
        <v>0.11638990282948361</v>
      </c>
    </row>
    <row r="2499" spans="1:14" x14ac:dyDescent="0.45">
      <c r="A2499" t="s">
        <v>4734</v>
      </c>
      <c r="B2499" s="1">
        <v>45055</v>
      </c>
      <c r="C2499" t="s">
        <v>4735</v>
      </c>
      <c r="D2499" t="s">
        <v>56</v>
      </c>
      <c r="E2499" t="s">
        <v>36</v>
      </c>
      <c r="F2499" t="s">
        <v>46</v>
      </c>
      <c r="G2499">
        <v>4</v>
      </c>
      <c r="H2499">
        <v>30304.42</v>
      </c>
      <c r="I2499">
        <v>6207.33</v>
      </c>
      <c r="J2499" t="s">
        <v>28</v>
      </c>
      <c r="K2499" t="s">
        <v>23</v>
      </c>
      <c r="L2499">
        <f t="shared" ref="L2499:L2562" si="117">YEAR(B2499 )</f>
        <v>2023</v>
      </c>
      <c r="M2499" t="str">
        <f t="shared" ref="M2499:M2562" si="118">TEXT(B2499,"MMM")</f>
        <v>May</v>
      </c>
      <c r="N2499" s="2">
        <f t="shared" ref="N2499:N2562" si="119">I2499 / H2499</f>
        <v>0.20483249638171594</v>
      </c>
    </row>
    <row r="2500" spans="1:14" x14ac:dyDescent="0.45">
      <c r="A2500" t="s">
        <v>4736</v>
      </c>
      <c r="B2500" s="1">
        <v>45597</v>
      </c>
      <c r="C2500" t="s">
        <v>4737</v>
      </c>
      <c r="D2500" t="s">
        <v>56</v>
      </c>
      <c r="E2500" t="s">
        <v>36</v>
      </c>
      <c r="F2500" t="s">
        <v>53</v>
      </c>
      <c r="G2500">
        <v>4</v>
      </c>
      <c r="H2500">
        <v>3266.32</v>
      </c>
      <c r="I2500">
        <v>417.94</v>
      </c>
      <c r="J2500" t="s">
        <v>71</v>
      </c>
      <c r="K2500" t="s">
        <v>23</v>
      </c>
      <c r="L2500">
        <f t="shared" si="117"/>
        <v>2024</v>
      </c>
      <c r="M2500" t="str">
        <f t="shared" si="118"/>
        <v>Nov</v>
      </c>
      <c r="N2500" s="2">
        <f t="shared" si="119"/>
        <v>0.12795439516030271</v>
      </c>
    </row>
    <row r="2501" spans="1:14" x14ac:dyDescent="0.45">
      <c r="A2501" t="s">
        <v>4738</v>
      </c>
      <c r="B2501" s="1">
        <v>44803</v>
      </c>
      <c r="C2501" t="s">
        <v>4739</v>
      </c>
      <c r="D2501" t="s">
        <v>56</v>
      </c>
      <c r="E2501" t="s">
        <v>14</v>
      </c>
      <c r="F2501" t="s">
        <v>57</v>
      </c>
      <c r="G2501">
        <v>1</v>
      </c>
      <c r="H2501">
        <v>3107.8</v>
      </c>
      <c r="I2501">
        <v>276.32</v>
      </c>
      <c r="J2501" t="s">
        <v>22</v>
      </c>
      <c r="K2501" t="s">
        <v>33</v>
      </c>
      <c r="L2501">
        <f t="shared" si="117"/>
        <v>2022</v>
      </c>
      <c r="M2501" t="str">
        <f t="shared" si="118"/>
        <v>Aug</v>
      </c>
      <c r="N2501" s="2">
        <f t="shared" si="119"/>
        <v>8.8911770384194594E-2</v>
      </c>
    </row>
    <row r="2502" spans="1:14" x14ac:dyDescent="0.45">
      <c r="A2502" t="s">
        <v>4740</v>
      </c>
      <c r="B2502" s="1">
        <v>45343</v>
      </c>
      <c r="C2502" t="s">
        <v>4741</v>
      </c>
      <c r="D2502" t="s">
        <v>26</v>
      </c>
      <c r="E2502" t="s">
        <v>14</v>
      </c>
      <c r="F2502" t="s">
        <v>40</v>
      </c>
      <c r="G2502">
        <v>3</v>
      </c>
      <c r="H2502">
        <v>38614.81</v>
      </c>
      <c r="I2502">
        <v>3489.27</v>
      </c>
      <c r="J2502" t="s">
        <v>16</v>
      </c>
      <c r="K2502" t="s">
        <v>23</v>
      </c>
      <c r="L2502">
        <f t="shared" si="117"/>
        <v>2024</v>
      </c>
      <c r="M2502" t="str">
        <f t="shared" si="118"/>
        <v>Feb</v>
      </c>
      <c r="N2502" s="2">
        <f t="shared" si="119"/>
        <v>9.0360926287090373E-2</v>
      </c>
    </row>
    <row r="2503" spans="1:14" x14ac:dyDescent="0.45">
      <c r="A2503" t="s">
        <v>4742</v>
      </c>
      <c r="B2503" s="1">
        <v>45558</v>
      </c>
      <c r="C2503" t="s">
        <v>4743</v>
      </c>
      <c r="D2503" t="s">
        <v>56</v>
      </c>
      <c r="E2503" t="s">
        <v>20</v>
      </c>
      <c r="F2503" t="s">
        <v>43</v>
      </c>
      <c r="G2503">
        <v>1</v>
      </c>
      <c r="H2503">
        <v>2913.61</v>
      </c>
      <c r="I2503">
        <v>376.46</v>
      </c>
      <c r="J2503" t="s">
        <v>28</v>
      </c>
      <c r="K2503" t="s">
        <v>23</v>
      </c>
      <c r="L2503">
        <f t="shared" si="117"/>
        <v>2024</v>
      </c>
      <c r="M2503" t="str">
        <f t="shared" si="118"/>
        <v>Sep</v>
      </c>
      <c r="N2503" s="2">
        <f t="shared" si="119"/>
        <v>0.12920740936501451</v>
      </c>
    </row>
    <row r="2504" spans="1:14" x14ac:dyDescent="0.45">
      <c r="A2504" t="s">
        <v>4744</v>
      </c>
      <c r="B2504" s="1">
        <v>44627</v>
      </c>
      <c r="C2504" t="s">
        <v>4745</v>
      </c>
      <c r="D2504" t="s">
        <v>56</v>
      </c>
      <c r="E2504" t="s">
        <v>14</v>
      </c>
      <c r="F2504" t="s">
        <v>32</v>
      </c>
      <c r="G2504">
        <v>3</v>
      </c>
      <c r="H2504">
        <v>14814.33</v>
      </c>
      <c r="I2504">
        <v>3663.15</v>
      </c>
      <c r="J2504" t="s">
        <v>28</v>
      </c>
      <c r="K2504" t="s">
        <v>29</v>
      </c>
      <c r="L2504">
        <f t="shared" si="117"/>
        <v>2022</v>
      </c>
      <c r="M2504" t="str">
        <f t="shared" si="118"/>
        <v>Mar</v>
      </c>
      <c r="N2504" s="2">
        <f t="shared" si="119"/>
        <v>0.24727071693421168</v>
      </c>
    </row>
    <row r="2505" spans="1:14" x14ac:dyDescent="0.45">
      <c r="A2505" t="s">
        <v>4746</v>
      </c>
      <c r="B2505" s="1">
        <v>45157</v>
      </c>
      <c r="C2505" t="s">
        <v>4747</v>
      </c>
      <c r="D2505" t="s">
        <v>26</v>
      </c>
      <c r="E2505" t="s">
        <v>20</v>
      </c>
      <c r="F2505" t="s">
        <v>21</v>
      </c>
      <c r="G2505">
        <v>3</v>
      </c>
      <c r="H2505">
        <v>49230.81</v>
      </c>
      <c r="I2505">
        <v>2683.84</v>
      </c>
      <c r="J2505" t="s">
        <v>47</v>
      </c>
      <c r="K2505" t="s">
        <v>17</v>
      </c>
      <c r="L2505">
        <f t="shared" si="117"/>
        <v>2023</v>
      </c>
      <c r="M2505" t="str">
        <f t="shared" si="118"/>
        <v>Aug</v>
      </c>
      <c r="N2505" s="2">
        <f t="shared" si="119"/>
        <v>5.4515454854388953E-2</v>
      </c>
    </row>
    <row r="2506" spans="1:14" x14ac:dyDescent="0.45">
      <c r="A2506" t="s">
        <v>4748</v>
      </c>
      <c r="B2506" s="1">
        <v>45485</v>
      </c>
      <c r="C2506" t="s">
        <v>4749</v>
      </c>
      <c r="D2506" t="s">
        <v>26</v>
      </c>
      <c r="E2506" t="s">
        <v>20</v>
      </c>
      <c r="F2506" t="s">
        <v>27</v>
      </c>
      <c r="G2506">
        <v>3</v>
      </c>
      <c r="H2506">
        <v>35011.25</v>
      </c>
      <c r="I2506">
        <v>8142.65</v>
      </c>
      <c r="J2506" t="s">
        <v>28</v>
      </c>
      <c r="K2506" t="s">
        <v>23</v>
      </c>
      <c r="L2506">
        <f t="shared" si="117"/>
        <v>2024</v>
      </c>
      <c r="M2506" t="str">
        <f t="shared" si="118"/>
        <v>Jul</v>
      </c>
      <c r="N2506" s="2">
        <f t="shared" si="119"/>
        <v>0.23257238744689207</v>
      </c>
    </row>
    <row r="2507" spans="1:14" x14ac:dyDescent="0.45">
      <c r="A2507" t="s">
        <v>4750</v>
      </c>
      <c r="B2507" s="1">
        <v>45495</v>
      </c>
      <c r="C2507" t="s">
        <v>4751</v>
      </c>
      <c r="D2507" t="s">
        <v>26</v>
      </c>
      <c r="E2507" t="s">
        <v>20</v>
      </c>
      <c r="F2507" t="s">
        <v>43</v>
      </c>
      <c r="G2507">
        <v>5</v>
      </c>
      <c r="H2507">
        <v>26265.11</v>
      </c>
      <c r="I2507">
        <v>2486.63</v>
      </c>
      <c r="J2507" t="s">
        <v>47</v>
      </c>
      <c r="K2507" t="s">
        <v>23</v>
      </c>
      <c r="L2507">
        <f t="shared" si="117"/>
        <v>2024</v>
      </c>
      <c r="M2507" t="str">
        <f t="shared" si="118"/>
        <v>Jul</v>
      </c>
      <c r="N2507" s="2">
        <f t="shared" si="119"/>
        <v>9.4674265594166557E-2</v>
      </c>
    </row>
    <row r="2508" spans="1:14" x14ac:dyDescent="0.45">
      <c r="A2508" t="s">
        <v>4752</v>
      </c>
      <c r="B2508" s="1">
        <v>45334</v>
      </c>
      <c r="C2508" t="s">
        <v>2445</v>
      </c>
      <c r="D2508" t="s">
        <v>13</v>
      </c>
      <c r="E2508" t="s">
        <v>20</v>
      </c>
      <c r="F2508" t="s">
        <v>21</v>
      </c>
      <c r="G2508">
        <v>2</v>
      </c>
      <c r="H2508">
        <v>32189.66</v>
      </c>
      <c r="I2508">
        <v>3144.07</v>
      </c>
      <c r="J2508" t="s">
        <v>28</v>
      </c>
      <c r="K2508" t="s">
        <v>17</v>
      </c>
      <c r="L2508">
        <f t="shared" si="117"/>
        <v>2024</v>
      </c>
      <c r="M2508" t="str">
        <f t="shared" si="118"/>
        <v>Feb</v>
      </c>
      <c r="N2508" s="2">
        <f t="shared" si="119"/>
        <v>9.7673290118628159E-2</v>
      </c>
    </row>
    <row r="2509" spans="1:14" x14ac:dyDescent="0.45">
      <c r="A2509" t="s">
        <v>4753</v>
      </c>
      <c r="B2509" s="1">
        <v>45282</v>
      </c>
      <c r="C2509" t="s">
        <v>4754</v>
      </c>
      <c r="D2509" t="s">
        <v>13</v>
      </c>
      <c r="E2509" t="s">
        <v>36</v>
      </c>
      <c r="F2509" t="s">
        <v>64</v>
      </c>
      <c r="G2509">
        <v>2</v>
      </c>
      <c r="H2509">
        <v>23805.72</v>
      </c>
      <c r="I2509">
        <v>3616.11</v>
      </c>
      <c r="J2509" t="s">
        <v>28</v>
      </c>
      <c r="K2509" t="s">
        <v>17</v>
      </c>
      <c r="L2509">
        <f t="shared" si="117"/>
        <v>2023</v>
      </c>
      <c r="M2509" t="str">
        <f t="shared" si="118"/>
        <v>Dec</v>
      </c>
      <c r="N2509" s="2">
        <f t="shared" si="119"/>
        <v>0.15190088768581669</v>
      </c>
    </row>
    <row r="2510" spans="1:14" x14ac:dyDescent="0.45">
      <c r="A2510" t="s">
        <v>4755</v>
      </c>
      <c r="B2510" s="1">
        <v>44744</v>
      </c>
      <c r="C2510" t="s">
        <v>4756</v>
      </c>
      <c r="D2510" t="s">
        <v>26</v>
      </c>
      <c r="E2510" t="s">
        <v>14</v>
      </c>
      <c r="F2510" t="s">
        <v>15</v>
      </c>
      <c r="G2510">
        <v>5</v>
      </c>
      <c r="H2510">
        <v>8920.68</v>
      </c>
      <c r="I2510">
        <v>1948.82</v>
      </c>
      <c r="J2510" t="s">
        <v>71</v>
      </c>
      <c r="K2510" t="s">
        <v>23</v>
      </c>
      <c r="L2510">
        <f t="shared" si="117"/>
        <v>2022</v>
      </c>
      <c r="M2510" t="str">
        <f t="shared" si="118"/>
        <v>Jul</v>
      </c>
      <c r="N2510" s="2">
        <f t="shared" si="119"/>
        <v>0.21846092450351318</v>
      </c>
    </row>
    <row r="2511" spans="1:14" x14ac:dyDescent="0.45">
      <c r="A2511" t="s">
        <v>4757</v>
      </c>
      <c r="B2511" s="1">
        <v>45378</v>
      </c>
      <c r="C2511" t="s">
        <v>2889</v>
      </c>
      <c r="D2511" t="s">
        <v>26</v>
      </c>
      <c r="E2511" t="s">
        <v>14</v>
      </c>
      <c r="F2511" t="s">
        <v>40</v>
      </c>
      <c r="G2511">
        <v>5</v>
      </c>
      <c r="H2511">
        <v>32095.63</v>
      </c>
      <c r="I2511">
        <v>5146.62</v>
      </c>
      <c r="J2511" t="s">
        <v>47</v>
      </c>
      <c r="K2511" t="s">
        <v>17</v>
      </c>
      <c r="L2511">
        <f t="shared" si="117"/>
        <v>2024</v>
      </c>
      <c r="M2511" t="str">
        <f t="shared" si="118"/>
        <v>Mar</v>
      </c>
      <c r="N2511" s="2">
        <f t="shared" si="119"/>
        <v>0.16035267106456547</v>
      </c>
    </row>
    <row r="2512" spans="1:14" x14ac:dyDescent="0.45">
      <c r="A2512" t="s">
        <v>4758</v>
      </c>
      <c r="B2512" s="1">
        <v>45417</v>
      </c>
      <c r="C2512" t="s">
        <v>4759</v>
      </c>
      <c r="D2512" t="s">
        <v>13</v>
      </c>
      <c r="E2512" t="s">
        <v>20</v>
      </c>
      <c r="F2512" t="s">
        <v>43</v>
      </c>
      <c r="G2512">
        <v>2</v>
      </c>
      <c r="H2512">
        <v>29158.37</v>
      </c>
      <c r="I2512">
        <v>6747.84</v>
      </c>
      <c r="J2512" t="s">
        <v>22</v>
      </c>
      <c r="K2512" t="s">
        <v>29</v>
      </c>
      <c r="L2512">
        <f t="shared" si="117"/>
        <v>2024</v>
      </c>
      <c r="M2512" t="str">
        <f t="shared" si="118"/>
        <v>May</v>
      </c>
      <c r="N2512" s="2">
        <f t="shared" si="119"/>
        <v>0.23142034345541265</v>
      </c>
    </row>
    <row r="2513" spans="1:14" x14ac:dyDescent="0.45">
      <c r="A2513" t="s">
        <v>4760</v>
      </c>
      <c r="B2513" s="1">
        <v>44850</v>
      </c>
      <c r="C2513" t="s">
        <v>4761</v>
      </c>
      <c r="D2513" t="s">
        <v>13</v>
      </c>
      <c r="E2513" t="s">
        <v>14</v>
      </c>
      <c r="F2513" t="s">
        <v>40</v>
      </c>
      <c r="G2513">
        <v>1</v>
      </c>
      <c r="H2513">
        <v>43331.49</v>
      </c>
      <c r="I2513">
        <v>9558.08</v>
      </c>
      <c r="J2513" t="s">
        <v>28</v>
      </c>
      <c r="K2513" t="s">
        <v>17</v>
      </c>
      <c r="L2513">
        <f t="shared" si="117"/>
        <v>2022</v>
      </c>
      <c r="M2513" t="str">
        <f t="shared" si="118"/>
        <v>Oct</v>
      </c>
      <c r="N2513" s="2">
        <f t="shared" si="119"/>
        <v>0.22058046007649404</v>
      </c>
    </row>
    <row r="2514" spans="1:14" x14ac:dyDescent="0.45">
      <c r="A2514" t="s">
        <v>4762</v>
      </c>
      <c r="B2514" s="1">
        <v>44576</v>
      </c>
      <c r="C2514" t="s">
        <v>4763</v>
      </c>
      <c r="D2514" t="s">
        <v>13</v>
      </c>
      <c r="E2514" t="s">
        <v>14</v>
      </c>
      <c r="F2514" t="s">
        <v>40</v>
      </c>
      <c r="G2514">
        <v>1</v>
      </c>
      <c r="H2514">
        <v>22676.01</v>
      </c>
      <c r="I2514">
        <v>1480.99</v>
      </c>
      <c r="J2514" t="s">
        <v>47</v>
      </c>
      <c r="K2514" t="s">
        <v>29</v>
      </c>
      <c r="L2514">
        <f t="shared" si="117"/>
        <v>2022</v>
      </c>
      <c r="M2514" t="str">
        <f t="shared" si="118"/>
        <v>Jan</v>
      </c>
      <c r="N2514" s="2">
        <f t="shared" si="119"/>
        <v>6.5310872591783128E-2</v>
      </c>
    </row>
    <row r="2515" spans="1:14" x14ac:dyDescent="0.45">
      <c r="A2515" t="s">
        <v>4764</v>
      </c>
      <c r="B2515" s="1">
        <v>45650</v>
      </c>
      <c r="C2515" t="s">
        <v>4765</v>
      </c>
      <c r="D2515" t="s">
        <v>26</v>
      </c>
      <c r="E2515" t="s">
        <v>14</v>
      </c>
      <c r="F2515" t="s">
        <v>57</v>
      </c>
      <c r="G2515">
        <v>3</v>
      </c>
      <c r="H2515">
        <v>24644.52</v>
      </c>
      <c r="I2515">
        <v>1917.88</v>
      </c>
      <c r="J2515" t="s">
        <v>22</v>
      </c>
      <c r="K2515" t="s">
        <v>33</v>
      </c>
      <c r="L2515">
        <f t="shared" si="117"/>
        <v>2024</v>
      </c>
      <c r="M2515" t="str">
        <f t="shared" si="118"/>
        <v>Dec</v>
      </c>
      <c r="N2515" s="2">
        <f t="shared" si="119"/>
        <v>7.7821763215514039E-2</v>
      </c>
    </row>
    <row r="2516" spans="1:14" x14ac:dyDescent="0.45">
      <c r="A2516" t="s">
        <v>4766</v>
      </c>
      <c r="B2516" s="1">
        <v>45371</v>
      </c>
      <c r="C2516" t="s">
        <v>4338</v>
      </c>
      <c r="D2516" t="s">
        <v>56</v>
      </c>
      <c r="E2516" t="s">
        <v>14</v>
      </c>
      <c r="F2516" t="s">
        <v>32</v>
      </c>
      <c r="G2516">
        <v>3</v>
      </c>
      <c r="H2516">
        <v>41886</v>
      </c>
      <c r="I2516">
        <v>2863.01</v>
      </c>
      <c r="J2516" t="s">
        <v>22</v>
      </c>
      <c r="K2516" t="s">
        <v>29</v>
      </c>
      <c r="L2516">
        <f t="shared" si="117"/>
        <v>2024</v>
      </c>
      <c r="M2516" t="str">
        <f t="shared" si="118"/>
        <v>Mar</v>
      </c>
      <c r="N2516" s="2">
        <f t="shared" si="119"/>
        <v>6.8352432793773579E-2</v>
      </c>
    </row>
    <row r="2517" spans="1:14" x14ac:dyDescent="0.45">
      <c r="A2517" t="s">
        <v>4767</v>
      </c>
      <c r="B2517" s="1">
        <v>45359</v>
      </c>
      <c r="C2517" t="s">
        <v>1428</v>
      </c>
      <c r="D2517" t="s">
        <v>26</v>
      </c>
      <c r="E2517" t="s">
        <v>20</v>
      </c>
      <c r="F2517" t="s">
        <v>21</v>
      </c>
      <c r="G2517">
        <v>2</v>
      </c>
      <c r="H2517">
        <v>41092.519999999997</v>
      </c>
      <c r="I2517">
        <v>5147.3100000000004</v>
      </c>
      <c r="J2517" t="s">
        <v>16</v>
      </c>
      <c r="K2517" t="s">
        <v>33</v>
      </c>
      <c r="L2517">
        <f t="shared" si="117"/>
        <v>2024</v>
      </c>
      <c r="M2517" t="str">
        <f t="shared" si="118"/>
        <v>Mar</v>
      </c>
      <c r="N2517" s="2">
        <f t="shared" si="119"/>
        <v>0.1252614831117683</v>
      </c>
    </row>
    <row r="2518" spans="1:14" x14ac:dyDescent="0.45">
      <c r="A2518" t="s">
        <v>4768</v>
      </c>
      <c r="B2518" s="1">
        <v>44883</v>
      </c>
      <c r="C2518" t="s">
        <v>4769</v>
      </c>
      <c r="D2518" t="s">
        <v>26</v>
      </c>
      <c r="E2518" t="s">
        <v>36</v>
      </c>
      <c r="F2518" t="s">
        <v>64</v>
      </c>
      <c r="G2518">
        <v>4</v>
      </c>
      <c r="H2518">
        <v>48033.51</v>
      </c>
      <c r="I2518">
        <v>5701.94</v>
      </c>
      <c r="J2518" t="s">
        <v>28</v>
      </c>
      <c r="K2518" t="s">
        <v>33</v>
      </c>
      <c r="L2518">
        <f t="shared" si="117"/>
        <v>2022</v>
      </c>
      <c r="M2518" t="str">
        <f t="shared" si="118"/>
        <v>Nov</v>
      </c>
      <c r="N2518" s="2">
        <f t="shared" si="119"/>
        <v>0.11870754396253781</v>
      </c>
    </row>
    <row r="2519" spans="1:14" x14ac:dyDescent="0.45">
      <c r="A2519" t="s">
        <v>4770</v>
      </c>
      <c r="B2519" s="1">
        <v>44903</v>
      </c>
      <c r="C2519" t="s">
        <v>4771</v>
      </c>
      <c r="D2519" t="s">
        <v>13</v>
      </c>
      <c r="E2519" t="s">
        <v>20</v>
      </c>
      <c r="F2519" t="s">
        <v>50</v>
      </c>
      <c r="G2519">
        <v>1</v>
      </c>
      <c r="H2519">
        <v>25092.89</v>
      </c>
      <c r="I2519">
        <v>1700.23</v>
      </c>
      <c r="J2519" t="s">
        <v>16</v>
      </c>
      <c r="K2519" t="s">
        <v>29</v>
      </c>
      <c r="L2519">
        <f t="shared" si="117"/>
        <v>2022</v>
      </c>
      <c r="M2519" t="str">
        <f t="shared" si="118"/>
        <v>Dec</v>
      </c>
      <c r="N2519" s="2">
        <f t="shared" si="119"/>
        <v>6.7757440454248197E-2</v>
      </c>
    </row>
    <row r="2520" spans="1:14" x14ac:dyDescent="0.45">
      <c r="A2520" t="s">
        <v>4772</v>
      </c>
      <c r="B2520" s="1">
        <v>44805</v>
      </c>
      <c r="C2520" t="s">
        <v>4132</v>
      </c>
      <c r="D2520" t="s">
        <v>13</v>
      </c>
      <c r="E2520" t="s">
        <v>20</v>
      </c>
      <c r="F2520" t="s">
        <v>21</v>
      </c>
      <c r="G2520">
        <v>2</v>
      </c>
      <c r="H2520">
        <v>26623.42</v>
      </c>
      <c r="I2520">
        <v>3675.16</v>
      </c>
      <c r="J2520" t="s">
        <v>71</v>
      </c>
      <c r="K2520" t="s">
        <v>29</v>
      </c>
      <c r="L2520">
        <f t="shared" si="117"/>
        <v>2022</v>
      </c>
      <c r="M2520" t="str">
        <f t="shared" si="118"/>
        <v>Sep</v>
      </c>
      <c r="N2520" s="2">
        <f t="shared" si="119"/>
        <v>0.1380423702138944</v>
      </c>
    </row>
    <row r="2521" spans="1:14" x14ac:dyDescent="0.45">
      <c r="A2521" t="s">
        <v>4773</v>
      </c>
      <c r="B2521" s="1">
        <v>44761</v>
      </c>
      <c r="C2521" t="s">
        <v>4774</v>
      </c>
      <c r="D2521" t="s">
        <v>56</v>
      </c>
      <c r="E2521" t="s">
        <v>20</v>
      </c>
      <c r="F2521" t="s">
        <v>27</v>
      </c>
      <c r="G2521">
        <v>5</v>
      </c>
      <c r="H2521">
        <v>44743.22</v>
      </c>
      <c r="I2521">
        <v>7053.8</v>
      </c>
      <c r="J2521" t="s">
        <v>22</v>
      </c>
      <c r="K2521" t="s">
        <v>23</v>
      </c>
      <c r="L2521">
        <f t="shared" si="117"/>
        <v>2022</v>
      </c>
      <c r="M2521" t="str">
        <f t="shared" si="118"/>
        <v>Jul</v>
      </c>
      <c r="N2521" s="2">
        <f t="shared" si="119"/>
        <v>0.15765070104476164</v>
      </c>
    </row>
    <row r="2522" spans="1:14" x14ac:dyDescent="0.45">
      <c r="A2522" t="s">
        <v>4775</v>
      </c>
      <c r="B2522" s="1">
        <v>45075</v>
      </c>
      <c r="C2522" t="s">
        <v>4046</v>
      </c>
      <c r="D2522" t="s">
        <v>26</v>
      </c>
      <c r="E2522" t="s">
        <v>20</v>
      </c>
      <c r="F2522" t="s">
        <v>27</v>
      </c>
      <c r="G2522">
        <v>4</v>
      </c>
      <c r="H2522">
        <v>40371.19</v>
      </c>
      <c r="I2522">
        <v>8972.44</v>
      </c>
      <c r="J2522" t="s">
        <v>16</v>
      </c>
      <c r="K2522" t="s">
        <v>29</v>
      </c>
      <c r="L2522">
        <f t="shared" si="117"/>
        <v>2023</v>
      </c>
      <c r="M2522" t="str">
        <f t="shared" si="118"/>
        <v>May</v>
      </c>
      <c r="N2522" s="2">
        <f t="shared" si="119"/>
        <v>0.22224858865938804</v>
      </c>
    </row>
    <row r="2523" spans="1:14" x14ac:dyDescent="0.45">
      <c r="A2523" t="s">
        <v>4776</v>
      </c>
      <c r="B2523" s="1">
        <v>44719</v>
      </c>
      <c r="C2523" t="s">
        <v>4777</v>
      </c>
      <c r="D2523" t="s">
        <v>26</v>
      </c>
      <c r="E2523" t="s">
        <v>14</v>
      </c>
      <c r="F2523" t="s">
        <v>32</v>
      </c>
      <c r="G2523">
        <v>4</v>
      </c>
      <c r="H2523">
        <v>26095.56</v>
      </c>
      <c r="I2523">
        <v>2544.06</v>
      </c>
      <c r="J2523" t="s">
        <v>47</v>
      </c>
      <c r="K2523" t="s">
        <v>29</v>
      </c>
      <c r="L2523">
        <f t="shared" si="117"/>
        <v>2022</v>
      </c>
      <c r="M2523" t="str">
        <f t="shared" si="118"/>
        <v>Jun</v>
      </c>
      <c r="N2523" s="2">
        <f t="shared" si="119"/>
        <v>9.7490147749272282E-2</v>
      </c>
    </row>
    <row r="2524" spans="1:14" x14ac:dyDescent="0.45">
      <c r="A2524" t="s">
        <v>4778</v>
      </c>
      <c r="B2524" s="1">
        <v>44857</v>
      </c>
      <c r="C2524" t="s">
        <v>4779</v>
      </c>
      <c r="D2524" t="s">
        <v>26</v>
      </c>
      <c r="E2524" t="s">
        <v>20</v>
      </c>
      <c r="F2524" t="s">
        <v>50</v>
      </c>
      <c r="G2524">
        <v>3</v>
      </c>
      <c r="H2524">
        <v>12754</v>
      </c>
      <c r="I2524">
        <v>2734.67</v>
      </c>
      <c r="J2524" t="s">
        <v>71</v>
      </c>
      <c r="K2524" t="s">
        <v>23</v>
      </c>
      <c r="L2524">
        <f t="shared" si="117"/>
        <v>2022</v>
      </c>
      <c r="M2524" t="str">
        <f t="shared" si="118"/>
        <v>Oct</v>
      </c>
      <c r="N2524" s="2">
        <f t="shared" si="119"/>
        <v>0.21441665359887094</v>
      </c>
    </row>
    <row r="2525" spans="1:14" x14ac:dyDescent="0.45">
      <c r="A2525" t="s">
        <v>4780</v>
      </c>
      <c r="B2525" s="1">
        <v>45621</v>
      </c>
      <c r="C2525" t="s">
        <v>4781</v>
      </c>
      <c r="D2525" t="s">
        <v>13</v>
      </c>
      <c r="E2525" t="s">
        <v>20</v>
      </c>
      <c r="F2525" t="s">
        <v>21</v>
      </c>
      <c r="G2525">
        <v>4</v>
      </c>
      <c r="H2525">
        <v>30093.119999999999</v>
      </c>
      <c r="I2525">
        <v>7092.68</v>
      </c>
      <c r="J2525" t="s">
        <v>28</v>
      </c>
      <c r="K2525" t="s">
        <v>33</v>
      </c>
      <c r="L2525">
        <f t="shared" si="117"/>
        <v>2024</v>
      </c>
      <c r="M2525" t="str">
        <f t="shared" si="118"/>
        <v>Nov</v>
      </c>
      <c r="N2525" s="2">
        <f t="shared" si="119"/>
        <v>0.23569108154953691</v>
      </c>
    </row>
    <row r="2526" spans="1:14" x14ac:dyDescent="0.45">
      <c r="A2526" t="s">
        <v>4782</v>
      </c>
      <c r="B2526" s="1">
        <v>44637</v>
      </c>
      <c r="C2526" t="s">
        <v>4783</v>
      </c>
      <c r="D2526" t="s">
        <v>13</v>
      </c>
      <c r="E2526" t="s">
        <v>14</v>
      </c>
      <c r="F2526" t="s">
        <v>15</v>
      </c>
      <c r="G2526">
        <v>5</v>
      </c>
      <c r="H2526">
        <v>38471.31</v>
      </c>
      <c r="I2526">
        <v>7221.17</v>
      </c>
      <c r="J2526" t="s">
        <v>22</v>
      </c>
      <c r="K2526" t="s">
        <v>23</v>
      </c>
      <c r="L2526">
        <f t="shared" si="117"/>
        <v>2022</v>
      </c>
      <c r="M2526" t="str">
        <f t="shared" si="118"/>
        <v>Mar</v>
      </c>
      <c r="N2526" s="2">
        <f t="shared" si="119"/>
        <v>0.18770273224384615</v>
      </c>
    </row>
    <row r="2527" spans="1:14" x14ac:dyDescent="0.45">
      <c r="A2527" t="s">
        <v>4784</v>
      </c>
      <c r="B2527" s="1">
        <v>45455</v>
      </c>
      <c r="C2527" t="s">
        <v>2085</v>
      </c>
      <c r="D2527" t="s">
        <v>56</v>
      </c>
      <c r="E2527" t="s">
        <v>36</v>
      </c>
      <c r="F2527" t="s">
        <v>46</v>
      </c>
      <c r="G2527">
        <v>5</v>
      </c>
      <c r="H2527">
        <v>30436.639999999999</v>
      </c>
      <c r="I2527">
        <v>2767.62</v>
      </c>
      <c r="J2527" t="s">
        <v>22</v>
      </c>
      <c r="K2527" t="s">
        <v>33</v>
      </c>
      <c r="L2527">
        <f t="shared" si="117"/>
        <v>2024</v>
      </c>
      <c r="M2527" t="str">
        <f t="shared" si="118"/>
        <v>Jun</v>
      </c>
      <c r="N2527" s="2">
        <f t="shared" si="119"/>
        <v>9.0930536353552818E-2</v>
      </c>
    </row>
    <row r="2528" spans="1:14" x14ac:dyDescent="0.45">
      <c r="A2528" t="s">
        <v>4785</v>
      </c>
      <c r="B2528" s="1">
        <v>45226</v>
      </c>
      <c r="C2528" t="s">
        <v>4786</v>
      </c>
      <c r="D2528" t="s">
        <v>13</v>
      </c>
      <c r="E2528" t="s">
        <v>14</v>
      </c>
      <c r="F2528" t="s">
        <v>15</v>
      </c>
      <c r="G2528">
        <v>5</v>
      </c>
      <c r="H2528">
        <v>30456.9</v>
      </c>
      <c r="I2528">
        <v>2912.33</v>
      </c>
      <c r="J2528" t="s">
        <v>47</v>
      </c>
      <c r="K2528" t="s">
        <v>29</v>
      </c>
      <c r="L2528">
        <f t="shared" si="117"/>
        <v>2023</v>
      </c>
      <c r="M2528" t="str">
        <f t="shared" si="118"/>
        <v>Oct</v>
      </c>
      <c r="N2528" s="2">
        <f t="shared" si="119"/>
        <v>9.56213534535688E-2</v>
      </c>
    </row>
    <row r="2529" spans="1:14" x14ac:dyDescent="0.45">
      <c r="A2529" t="s">
        <v>4787</v>
      </c>
      <c r="B2529" s="1">
        <v>44882</v>
      </c>
      <c r="C2529" t="s">
        <v>4788</v>
      </c>
      <c r="D2529" t="s">
        <v>56</v>
      </c>
      <c r="E2529" t="s">
        <v>36</v>
      </c>
      <c r="F2529" t="s">
        <v>46</v>
      </c>
      <c r="G2529">
        <v>5</v>
      </c>
      <c r="H2529">
        <v>19004.82</v>
      </c>
      <c r="I2529">
        <v>2431.61</v>
      </c>
      <c r="J2529" t="s">
        <v>22</v>
      </c>
      <c r="K2529" t="s">
        <v>23</v>
      </c>
      <c r="L2529">
        <f t="shared" si="117"/>
        <v>2022</v>
      </c>
      <c r="M2529" t="str">
        <f t="shared" si="118"/>
        <v>Nov</v>
      </c>
      <c r="N2529" s="2">
        <f t="shared" si="119"/>
        <v>0.12794701554658242</v>
      </c>
    </row>
    <row r="2530" spans="1:14" x14ac:dyDescent="0.45">
      <c r="A2530" t="s">
        <v>4789</v>
      </c>
      <c r="B2530" s="1">
        <v>45421</v>
      </c>
      <c r="C2530" t="s">
        <v>4790</v>
      </c>
      <c r="D2530" t="s">
        <v>13</v>
      </c>
      <c r="E2530" t="s">
        <v>36</v>
      </c>
      <c r="F2530" t="s">
        <v>46</v>
      </c>
      <c r="G2530">
        <v>1</v>
      </c>
      <c r="H2530">
        <v>4298.04</v>
      </c>
      <c r="I2530">
        <v>907.8</v>
      </c>
      <c r="J2530" t="s">
        <v>22</v>
      </c>
      <c r="K2530" t="s">
        <v>33</v>
      </c>
      <c r="L2530">
        <f t="shared" si="117"/>
        <v>2024</v>
      </c>
      <c r="M2530" t="str">
        <f t="shared" si="118"/>
        <v>May</v>
      </c>
      <c r="N2530" s="2">
        <f t="shared" si="119"/>
        <v>0.21121255269843928</v>
      </c>
    </row>
    <row r="2531" spans="1:14" x14ac:dyDescent="0.45">
      <c r="A2531" t="s">
        <v>4791</v>
      </c>
      <c r="B2531" s="1">
        <v>45148</v>
      </c>
      <c r="C2531" t="s">
        <v>4792</v>
      </c>
      <c r="D2531" t="s">
        <v>26</v>
      </c>
      <c r="E2531" t="s">
        <v>36</v>
      </c>
      <c r="F2531" t="s">
        <v>53</v>
      </c>
      <c r="G2531">
        <v>4</v>
      </c>
      <c r="H2531">
        <v>44731.33</v>
      </c>
      <c r="I2531">
        <v>8875.89</v>
      </c>
      <c r="J2531" t="s">
        <v>28</v>
      </c>
      <c r="K2531" t="s">
        <v>33</v>
      </c>
      <c r="L2531">
        <f t="shared" si="117"/>
        <v>2023</v>
      </c>
      <c r="M2531" t="str">
        <f t="shared" si="118"/>
        <v>Aug</v>
      </c>
      <c r="N2531" s="2">
        <f t="shared" si="119"/>
        <v>0.19842669556214848</v>
      </c>
    </row>
    <row r="2532" spans="1:14" x14ac:dyDescent="0.45">
      <c r="A2532" t="s">
        <v>4793</v>
      </c>
      <c r="B2532" s="1">
        <v>45542</v>
      </c>
      <c r="C2532" t="s">
        <v>4794</v>
      </c>
      <c r="D2532" t="s">
        <v>56</v>
      </c>
      <c r="E2532" t="s">
        <v>20</v>
      </c>
      <c r="F2532" t="s">
        <v>43</v>
      </c>
      <c r="G2532">
        <v>2</v>
      </c>
      <c r="H2532">
        <v>7441.57</v>
      </c>
      <c r="I2532">
        <v>411.41</v>
      </c>
      <c r="J2532" t="s">
        <v>28</v>
      </c>
      <c r="K2532" t="s">
        <v>23</v>
      </c>
      <c r="L2532">
        <f t="shared" si="117"/>
        <v>2024</v>
      </c>
      <c r="M2532" t="str">
        <f t="shared" si="118"/>
        <v>Sep</v>
      </c>
      <c r="N2532" s="2">
        <f t="shared" si="119"/>
        <v>5.5285376607355712E-2</v>
      </c>
    </row>
    <row r="2533" spans="1:14" x14ac:dyDescent="0.45">
      <c r="A2533" t="s">
        <v>4795</v>
      </c>
      <c r="B2533" s="1">
        <v>45130</v>
      </c>
      <c r="C2533" t="s">
        <v>4796</v>
      </c>
      <c r="D2533" t="s">
        <v>13</v>
      </c>
      <c r="E2533" t="s">
        <v>36</v>
      </c>
      <c r="F2533" t="s">
        <v>64</v>
      </c>
      <c r="G2533">
        <v>1</v>
      </c>
      <c r="H2533">
        <v>23725.86</v>
      </c>
      <c r="I2533">
        <v>5227.72</v>
      </c>
      <c r="J2533" t="s">
        <v>16</v>
      </c>
      <c r="K2533" t="s">
        <v>33</v>
      </c>
      <c r="L2533">
        <f t="shared" si="117"/>
        <v>2023</v>
      </c>
      <c r="M2533" t="str">
        <f t="shared" si="118"/>
        <v>Jul</v>
      </c>
      <c r="N2533" s="2">
        <f t="shared" si="119"/>
        <v>0.22033848298860401</v>
      </c>
    </row>
    <row r="2534" spans="1:14" x14ac:dyDescent="0.45">
      <c r="A2534" t="s">
        <v>4797</v>
      </c>
      <c r="B2534" s="1">
        <v>45056</v>
      </c>
      <c r="C2534" t="s">
        <v>369</v>
      </c>
      <c r="D2534" t="s">
        <v>13</v>
      </c>
      <c r="E2534" t="s">
        <v>20</v>
      </c>
      <c r="F2534" t="s">
        <v>27</v>
      </c>
      <c r="G2534">
        <v>3</v>
      </c>
      <c r="H2534">
        <v>32683.279999999999</v>
      </c>
      <c r="I2534">
        <v>5734.95</v>
      </c>
      <c r="J2534" t="s">
        <v>16</v>
      </c>
      <c r="K2534" t="s">
        <v>23</v>
      </c>
      <c r="L2534">
        <f t="shared" si="117"/>
        <v>2023</v>
      </c>
      <c r="M2534" t="str">
        <f t="shared" si="118"/>
        <v>May</v>
      </c>
      <c r="N2534" s="2">
        <f t="shared" si="119"/>
        <v>0.17547045461777397</v>
      </c>
    </row>
    <row r="2535" spans="1:14" x14ac:dyDescent="0.45">
      <c r="A2535" t="s">
        <v>4798</v>
      </c>
      <c r="B2535" s="1">
        <v>45345</v>
      </c>
      <c r="C2535" t="s">
        <v>4799</v>
      </c>
      <c r="D2535" t="s">
        <v>26</v>
      </c>
      <c r="E2535" t="s">
        <v>36</v>
      </c>
      <c r="F2535" t="s">
        <v>37</v>
      </c>
      <c r="G2535">
        <v>4</v>
      </c>
      <c r="H2535">
        <v>23799.16</v>
      </c>
      <c r="I2535">
        <v>5831.52</v>
      </c>
      <c r="J2535" t="s">
        <v>71</v>
      </c>
      <c r="K2535" t="s">
        <v>33</v>
      </c>
      <c r="L2535">
        <f t="shared" si="117"/>
        <v>2024</v>
      </c>
      <c r="M2535" t="str">
        <f t="shared" si="118"/>
        <v>Feb</v>
      </c>
      <c r="N2535" s="2">
        <f t="shared" si="119"/>
        <v>0.24503049687467962</v>
      </c>
    </row>
    <row r="2536" spans="1:14" x14ac:dyDescent="0.45">
      <c r="A2536" t="s">
        <v>4800</v>
      </c>
      <c r="B2536" s="1">
        <v>45040</v>
      </c>
      <c r="C2536" t="s">
        <v>4801</v>
      </c>
      <c r="D2536" t="s">
        <v>13</v>
      </c>
      <c r="E2536" t="s">
        <v>14</v>
      </c>
      <c r="F2536" t="s">
        <v>40</v>
      </c>
      <c r="G2536">
        <v>2</v>
      </c>
      <c r="H2536">
        <v>5291.84</v>
      </c>
      <c r="I2536">
        <v>1200.99</v>
      </c>
      <c r="J2536" t="s">
        <v>16</v>
      </c>
      <c r="K2536" t="s">
        <v>29</v>
      </c>
      <c r="L2536">
        <f t="shared" si="117"/>
        <v>2023</v>
      </c>
      <c r="M2536" t="str">
        <f t="shared" si="118"/>
        <v>Apr</v>
      </c>
      <c r="N2536" s="2">
        <f t="shared" si="119"/>
        <v>0.2269513061619399</v>
      </c>
    </row>
    <row r="2537" spans="1:14" x14ac:dyDescent="0.45">
      <c r="A2537" t="s">
        <v>4802</v>
      </c>
      <c r="B2537" s="1">
        <v>45411</v>
      </c>
      <c r="C2537" t="s">
        <v>4803</v>
      </c>
      <c r="D2537" t="s">
        <v>13</v>
      </c>
      <c r="E2537" t="s">
        <v>36</v>
      </c>
      <c r="F2537" t="s">
        <v>64</v>
      </c>
      <c r="G2537">
        <v>3</v>
      </c>
      <c r="H2537">
        <v>21216.03</v>
      </c>
      <c r="I2537">
        <v>3831.74</v>
      </c>
      <c r="J2537" t="s">
        <v>71</v>
      </c>
      <c r="K2537" t="s">
        <v>33</v>
      </c>
      <c r="L2537">
        <f t="shared" si="117"/>
        <v>2024</v>
      </c>
      <c r="M2537" t="str">
        <f t="shared" si="118"/>
        <v>Apr</v>
      </c>
      <c r="N2537" s="2">
        <f t="shared" si="119"/>
        <v>0.18060589092304263</v>
      </c>
    </row>
    <row r="2538" spans="1:14" x14ac:dyDescent="0.45">
      <c r="A2538" t="s">
        <v>4804</v>
      </c>
      <c r="B2538" s="1">
        <v>44667</v>
      </c>
      <c r="C2538" t="s">
        <v>4805</v>
      </c>
      <c r="D2538" t="s">
        <v>26</v>
      </c>
      <c r="E2538" t="s">
        <v>14</v>
      </c>
      <c r="F2538" t="s">
        <v>57</v>
      </c>
      <c r="G2538">
        <v>5</v>
      </c>
      <c r="H2538">
        <v>25511.95</v>
      </c>
      <c r="I2538">
        <v>4862.17</v>
      </c>
      <c r="J2538" t="s">
        <v>47</v>
      </c>
      <c r="K2538" t="s">
        <v>33</v>
      </c>
      <c r="L2538">
        <f t="shared" si="117"/>
        <v>2022</v>
      </c>
      <c r="M2538" t="str">
        <f t="shared" si="118"/>
        <v>Apr</v>
      </c>
      <c r="N2538" s="2">
        <f t="shared" si="119"/>
        <v>0.19058402042964179</v>
      </c>
    </row>
    <row r="2539" spans="1:14" x14ac:dyDescent="0.45">
      <c r="A2539" t="s">
        <v>4806</v>
      </c>
      <c r="B2539" s="1">
        <v>45299</v>
      </c>
      <c r="C2539" t="s">
        <v>4807</v>
      </c>
      <c r="D2539" t="s">
        <v>26</v>
      </c>
      <c r="E2539" t="s">
        <v>14</v>
      </c>
      <c r="F2539" t="s">
        <v>57</v>
      </c>
      <c r="G2539">
        <v>2</v>
      </c>
      <c r="H2539">
        <v>3987.75</v>
      </c>
      <c r="I2539">
        <v>467.32</v>
      </c>
      <c r="J2539" t="s">
        <v>22</v>
      </c>
      <c r="K2539" t="s">
        <v>23</v>
      </c>
      <c r="L2539">
        <f t="shared" si="117"/>
        <v>2024</v>
      </c>
      <c r="M2539" t="str">
        <f t="shared" si="118"/>
        <v>Jan</v>
      </c>
      <c r="N2539" s="2">
        <f t="shared" si="119"/>
        <v>0.11718889097862203</v>
      </c>
    </row>
    <row r="2540" spans="1:14" x14ac:dyDescent="0.45">
      <c r="A2540" t="s">
        <v>4808</v>
      </c>
      <c r="B2540" s="1">
        <v>45148</v>
      </c>
      <c r="C2540" t="s">
        <v>1159</v>
      </c>
      <c r="D2540" t="s">
        <v>13</v>
      </c>
      <c r="E2540" t="s">
        <v>14</v>
      </c>
      <c r="F2540" t="s">
        <v>57</v>
      </c>
      <c r="G2540">
        <v>1</v>
      </c>
      <c r="H2540">
        <v>41661.49</v>
      </c>
      <c r="I2540">
        <v>8749.9500000000007</v>
      </c>
      <c r="J2540" t="s">
        <v>22</v>
      </c>
      <c r="K2540" t="s">
        <v>33</v>
      </c>
      <c r="L2540">
        <f t="shared" si="117"/>
        <v>2023</v>
      </c>
      <c r="M2540" t="str">
        <f t="shared" si="118"/>
        <v>Aug</v>
      </c>
      <c r="N2540" s="2">
        <f t="shared" si="119"/>
        <v>0.21002489349276757</v>
      </c>
    </row>
    <row r="2541" spans="1:14" x14ac:dyDescent="0.45">
      <c r="A2541" t="s">
        <v>4809</v>
      </c>
      <c r="B2541" s="1">
        <v>45136</v>
      </c>
      <c r="C2541" t="s">
        <v>4810</v>
      </c>
      <c r="D2541" t="s">
        <v>26</v>
      </c>
      <c r="E2541" t="s">
        <v>36</v>
      </c>
      <c r="F2541" t="s">
        <v>64</v>
      </c>
      <c r="G2541">
        <v>5</v>
      </c>
      <c r="H2541">
        <v>8275.31</v>
      </c>
      <c r="I2541">
        <v>682.08</v>
      </c>
      <c r="J2541" t="s">
        <v>71</v>
      </c>
      <c r="K2541" t="s">
        <v>17</v>
      </c>
      <c r="L2541">
        <f t="shared" si="117"/>
        <v>2023</v>
      </c>
      <c r="M2541" t="str">
        <f t="shared" si="118"/>
        <v>Jul</v>
      </c>
      <c r="N2541" s="2">
        <f t="shared" si="119"/>
        <v>8.2423498334201387E-2</v>
      </c>
    </row>
    <row r="2542" spans="1:14" x14ac:dyDescent="0.45">
      <c r="A2542" t="s">
        <v>4811</v>
      </c>
      <c r="B2542" s="1">
        <v>45566</v>
      </c>
      <c r="C2542" t="s">
        <v>4812</v>
      </c>
      <c r="D2542" t="s">
        <v>56</v>
      </c>
      <c r="E2542" t="s">
        <v>14</v>
      </c>
      <c r="F2542" t="s">
        <v>15</v>
      </c>
      <c r="G2542">
        <v>4</v>
      </c>
      <c r="H2542">
        <v>29542.17</v>
      </c>
      <c r="I2542">
        <v>3652.38</v>
      </c>
      <c r="J2542" t="s">
        <v>22</v>
      </c>
      <c r="K2542" t="s">
        <v>33</v>
      </c>
      <c r="L2542">
        <f t="shared" si="117"/>
        <v>2024</v>
      </c>
      <c r="M2542" t="str">
        <f t="shared" si="118"/>
        <v>Oct</v>
      </c>
      <c r="N2542" s="2">
        <f t="shared" si="119"/>
        <v>0.12363275954339172</v>
      </c>
    </row>
    <row r="2543" spans="1:14" x14ac:dyDescent="0.45">
      <c r="A2543" t="s">
        <v>4813</v>
      </c>
      <c r="B2543" s="1">
        <v>44699</v>
      </c>
      <c r="C2543" t="s">
        <v>2328</v>
      </c>
      <c r="D2543" t="s">
        <v>13</v>
      </c>
      <c r="E2543" t="s">
        <v>14</v>
      </c>
      <c r="F2543" t="s">
        <v>32</v>
      </c>
      <c r="G2543">
        <v>5</v>
      </c>
      <c r="H2543">
        <v>43865.34</v>
      </c>
      <c r="I2543">
        <v>8258.2999999999993</v>
      </c>
      <c r="J2543" t="s">
        <v>71</v>
      </c>
      <c r="K2543" t="s">
        <v>29</v>
      </c>
      <c r="L2543">
        <f t="shared" si="117"/>
        <v>2022</v>
      </c>
      <c r="M2543" t="str">
        <f t="shared" si="118"/>
        <v>May</v>
      </c>
      <c r="N2543" s="2">
        <f t="shared" si="119"/>
        <v>0.18826481226407912</v>
      </c>
    </row>
    <row r="2544" spans="1:14" x14ac:dyDescent="0.45">
      <c r="A2544" t="s">
        <v>4814</v>
      </c>
      <c r="B2544" s="1">
        <v>44741</v>
      </c>
      <c r="C2544" t="s">
        <v>226</v>
      </c>
      <c r="D2544" t="s">
        <v>13</v>
      </c>
      <c r="E2544" t="s">
        <v>20</v>
      </c>
      <c r="F2544" t="s">
        <v>21</v>
      </c>
      <c r="G2544">
        <v>2</v>
      </c>
      <c r="H2544">
        <v>3548.85</v>
      </c>
      <c r="I2544">
        <v>480.31</v>
      </c>
      <c r="J2544" t="s">
        <v>28</v>
      </c>
      <c r="K2544" t="s">
        <v>29</v>
      </c>
      <c r="L2544">
        <f t="shared" si="117"/>
        <v>2022</v>
      </c>
      <c r="M2544" t="str">
        <f t="shared" si="118"/>
        <v>Jun</v>
      </c>
      <c r="N2544" s="2">
        <f t="shared" si="119"/>
        <v>0.1353424348732688</v>
      </c>
    </row>
    <row r="2545" spans="1:14" x14ac:dyDescent="0.45">
      <c r="A2545" t="s">
        <v>4815</v>
      </c>
      <c r="B2545" s="1">
        <v>45554</v>
      </c>
      <c r="C2545" t="s">
        <v>4816</v>
      </c>
      <c r="D2545" t="s">
        <v>56</v>
      </c>
      <c r="E2545" t="s">
        <v>20</v>
      </c>
      <c r="F2545" t="s">
        <v>50</v>
      </c>
      <c r="G2545">
        <v>3</v>
      </c>
      <c r="H2545">
        <v>45021.71</v>
      </c>
      <c r="I2545">
        <v>9980.6</v>
      </c>
      <c r="J2545" t="s">
        <v>47</v>
      </c>
      <c r="K2545" t="s">
        <v>23</v>
      </c>
      <c r="L2545">
        <f t="shared" si="117"/>
        <v>2024</v>
      </c>
      <c r="M2545" t="str">
        <f t="shared" si="118"/>
        <v>Sep</v>
      </c>
      <c r="N2545" s="2">
        <f t="shared" si="119"/>
        <v>0.22168416081930253</v>
      </c>
    </row>
    <row r="2546" spans="1:14" x14ac:dyDescent="0.45">
      <c r="A2546" t="s">
        <v>4817</v>
      </c>
      <c r="B2546" s="1">
        <v>45082</v>
      </c>
      <c r="C2546" t="s">
        <v>4818</v>
      </c>
      <c r="D2546" t="s">
        <v>13</v>
      </c>
      <c r="E2546" t="s">
        <v>20</v>
      </c>
      <c r="F2546" t="s">
        <v>21</v>
      </c>
      <c r="G2546">
        <v>1</v>
      </c>
      <c r="H2546">
        <v>2182.71</v>
      </c>
      <c r="I2546">
        <v>135.4</v>
      </c>
      <c r="J2546" t="s">
        <v>16</v>
      </c>
      <c r="K2546" t="s">
        <v>29</v>
      </c>
      <c r="L2546">
        <f t="shared" si="117"/>
        <v>2023</v>
      </c>
      <c r="M2546" t="str">
        <f t="shared" si="118"/>
        <v>Jun</v>
      </c>
      <c r="N2546" s="2">
        <f t="shared" si="119"/>
        <v>6.2032977353839953E-2</v>
      </c>
    </row>
    <row r="2547" spans="1:14" x14ac:dyDescent="0.45">
      <c r="A2547" t="s">
        <v>4819</v>
      </c>
      <c r="B2547" s="1">
        <v>45105</v>
      </c>
      <c r="C2547" t="s">
        <v>4820</v>
      </c>
      <c r="D2547" t="s">
        <v>56</v>
      </c>
      <c r="E2547" t="s">
        <v>36</v>
      </c>
      <c r="F2547" t="s">
        <v>46</v>
      </c>
      <c r="G2547">
        <v>2</v>
      </c>
      <c r="H2547">
        <v>48716.34</v>
      </c>
      <c r="I2547">
        <v>8159.72</v>
      </c>
      <c r="J2547" t="s">
        <v>16</v>
      </c>
      <c r="K2547" t="s">
        <v>23</v>
      </c>
      <c r="L2547">
        <f t="shared" si="117"/>
        <v>2023</v>
      </c>
      <c r="M2547" t="str">
        <f t="shared" si="118"/>
        <v>Jun</v>
      </c>
      <c r="N2547" s="2">
        <f t="shared" si="119"/>
        <v>0.16749452031905518</v>
      </c>
    </row>
    <row r="2548" spans="1:14" x14ac:dyDescent="0.45">
      <c r="A2548" t="s">
        <v>4821</v>
      </c>
      <c r="B2548" s="1">
        <v>45144</v>
      </c>
      <c r="C2548" t="s">
        <v>4822</v>
      </c>
      <c r="D2548" t="s">
        <v>13</v>
      </c>
      <c r="E2548" t="s">
        <v>20</v>
      </c>
      <c r="F2548" t="s">
        <v>50</v>
      </c>
      <c r="G2548">
        <v>1</v>
      </c>
      <c r="H2548">
        <v>36761.19</v>
      </c>
      <c r="I2548">
        <v>7312.41</v>
      </c>
      <c r="J2548" t="s">
        <v>28</v>
      </c>
      <c r="K2548" t="s">
        <v>17</v>
      </c>
      <c r="L2548">
        <f t="shared" si="117"/>
        <v>2023</v>
      </c>
      <c r="M2548" t="str">
        <f t="shared" si="118"/>
        <v>Aug</v>
      </c>
      <c r="N2548" s="2">
        <f t="shared" si="119"/>
        <v>0.19891657478988028</v>
      </c>
    </row>
    <row r="2549" spans="1:14" x14ac:dyDescent="0.45">
      <c r="A2549" t="s">
        <v>4823</v>
      </c>
      <c r="B2549" s="1">
        <v>45025</v>
      </c>
      <c r="C2549" t="s">
        <v>1758</v>
      </c>
      <c r="D2549" t="s">
        <v>56</v>
      </c>
      <c r="E2549" t="s">
        <v>36</v>
      </c>
      <c r="F2549" t="s">
        <v>46</v>
      </c>
      <c r="G2549">
        <v>1</v>
      </c>
      <c r="H2549">
        <v>29744.93</v>
      </c>
      <c r="I2549">
        <v>3094.21</v>
      </c>
      <c r="J2549" t="s">
        <v>28</v>
      </c>
      <c r="K2549" t="s">
        <v>23</v>
      </c>
      <c r="L2549">
        <f t="shared" si="117"/>
        <v>2023</v>
      </c>
      <c r="M2549" t="str">
        <f t="shared" si="118"/>
        <v>Apr</v>
      </c>
      <c r="N2549" s="2">
        <f t="shared" si="119"/>
        <v>0.10402478674516968</v>
      </c>
    </row>
    <row r="2550" spans="1:14" x14ac:dyDescent="0.45">
      <c r="A2550" t="s">
        <v>4824</v>
      </c>
      <c r="B2550" s="1">
        <v>44846</v>
      </c>
      <c r="C2550" t="s">
        <v>2748</v>
      </c>
      <c r="D2550" t="s">
        <v>56</v>
      </c>
      <c r="E2550" t="s">
        <v>36</v>
      </c>
      <c r="F2550" t="s">
        <v>46</v>
      </c>
      <c r="G2550">
        <v>5</v>
      </c>
      <c r="H2550">
        <v>6404.96</v>
      </c>
      <c r="I2550">
        <v>1070.25</v>
      </c>
      <c r="J2550" t="s">
        <v>22</v>
      </c>
      <c r="K2550" t="s">
        <v>33</v>
      </c>
      <c r="L2550">
        <f t="shared" si="117"/>
        <v>2022</v>
      </c>
      <c r="M2550" t="str">
        <f t="shared" si="118"/>
        <v>Oct</v>
      </c>
      <c r="N2550" s="2">
        <f t="shared" si="119"/>
        <v>0.16709706227673554</v>
      </c>
    </row>
    <row r="2551" spans="1:14" x14ac:dyDescent="0.45">
      <c r="A2551" t="s">
        <v>4825</v>
      </c>
      <c r="B2551" s="1">
        <v>45367</v>
      </c>
      <c r="C2551" t="s">
        <v>4826</v>
      </c>
      <c r="D2551" t="s">
        <v>26</v>
      </c>
      <c r="E2551" t="s">
        <v>36</v>
      </c>
      <c r="F2551" t="s">
        <v>46</v>
      </c>
      <c r="G2551">
        <v>5</v>
      </c>
      <c r="H2551">
        <v>19870.18</v>
      </c>
      <c r="I2551">
        <v>2339.5500000000002</v>
      </c>
      <c r="J2551" t="s">
        <v>28</v>
      </c>
      <c r="K2551" t="s">
        <v>23</v>
      </c>
      <c r="L2551">
        <f t="shared" si="117"/>
        <v>2024</v>
      </c>
      <c r="M2551" t="str">
        <f t="shared" si="118"/>
        <v>Mar</v>
      </c>
      <c r="N2551" s="2">
        <f t="shared" si="119"/>
        <v>0.11774176177568599</v>
      </c>
    </row>
    <row r="2552" spans="1:14" x14ac:dyDescent="0.45">
      <c r="A2552" t="s">
        <v>4827</v>
      </c>
      <c r="B2552" s="1">
        <v>44986</v>
      </c>
      <c r="C2552" t="s">
        <v>4828</v>
      </c>
      <c r="D2552" t="s">
        <v>26</v>
      </c>
      <c r="E2552" t="s">
        <v>20</v>
      </c>
      <c r="F2552" t="s">
        <v>21</v>
      </c>
      <c r="G2552">
        <v>1</v>
      </c>
      <c r="H2552">
        <v>2756.53</v>
      </c>
      <c r="I2552">
        <v>616.94000000000005</v>
      </c>
      <c r="J2552" t="s">
        <v>22</v>
      </c>
      <c r="K2552" t="s">
        <v>33</v>
      </c>
      <c r="L2552">
        <f t="shared" si="117"/>
        <v>2023</v>
      </c>
      <c r="M2552" t="str">
        <f t="shared" si="118"/>
        <v>Mar</v>
      </c>
      <c r="N2552" s="2">
        <f t="shared" si="119"/>
        <v>0.22381037028437928</v>
      </c>
    </row>
    <row r="2553" spans="1:14" x14ac:dyDescent="0.45">
      <c r="A2553" t="s">
        <v>4829</v>
      </c>
      <c r="B2553" s="1">
        <v>45278</v>
      </c>
      <c r="C2553" t="s">
        <v>4830</v>
      </c>
      <c r="D2553" t="s">
        <v>13</v>
      </c>
      <c r="E2553" t="s">
        <v>36</v>
      </c>
      <c r="F2553" t="s">
        <v>53</v>
      </c>
      <c r="G2553">
        <v>5</v>
      </c>
      <c r="H2553">
        <v>34549.15</v>
      </c>
      <c r="I2553">
        <v>7890.42</v>
      </c>
      <c r="J2553" t="s">
        <v>47</v>
      </c>
      <c r="K2553" t="s">
        <v>17</v>
      </c>
      <c r="L2553">
        <f t="shared" si="117"/>
        <v>2023</v>
      </c>
      <c r="M2553" t="str">
        <f t="shared" si="118"/>
        <v>Dec</v>
      </c>
      <c r="N2553" s="2">
        <f t="shared" si="119"/>
        <v>0.22838246382327784</v>
      </c>
    </row>
    <row r="2554" spans="1:14" x14ac:dyDescent="0.45">
      <c r="A2554" t="s">
        <v>4831</v>
      </c>
      <c r="B2554" s="1">
        <v>45646</v>
      </c>
      <c r="C2554" t="s">
        <v>4832</v>
      </c>
      <c r="D2554" t="s">
        <v>26</v>
      </c>
      <c r="E2554" t="s">
        <v>36</v>
      </c>
      <c r="F2554" t="s">
        <v>46</v>
      </c>
      <c r="G2554">
        <v>1</v>
      </c>
      <c r="H2554">
        <v>6022.92</v>
      </c>
      <c r="I2554">
        <v>1111.1300000000001</v>
      </c>
      <c r="J2554" t="s">
        <v>28</v>
      </c>
      <c r="K2554" t="s">
        <v>23</v>
      </c>
      <c r="L2554">
        <f t="shared" si="117"/>
        <v>2024</v>
      </c>
      <c r="M2554" t="str">
        <f t="shared" si="118"/>
        <v>Dec</v>
      </c>
      <c r="N2554" s="2">
        <f t="shared" si="119"/>
        <v>0.18448360595857161</v>
      </c>
    </row>
    <row r="2555" spans="1:14" x14ac:dyDescent="0.45">
      <c r="A2555" t="s">
        <v>4833</v>
      </c>
      <c r="B2555" s="1">
        <v>45007</v>
      </c>
      <c r="C2555" t="s">
        <v>4834</v>
      </c>
      <c r="D2555" t="s">
        <v>56</v>
      </c>
      <c r="E2555" t="s">
        <v>20</v>
      </c>
      <c r="F2555" t="s">
        <v>43</v>
      </c>
      <c r="G2555">
        <v>3</v>
      </c>
      <c r="H2555">
        <v>10269.52</v>
      </c>
      <c r="I2555">
        <v>1202.21</v>
      </c>
      <c r="J2555" t="s">
        <v>71</v>
      </c>
      <c r="K2555" t="s">
        <v>29</v>
      </c>
      <c r="L2555">
        <f t="shared" si="117"/>
        <v>2023</v>
      </c>
      <c r="M2555" t="str">
        <f t="shared" si="118"/>
        <v>Mar</v>
      </c>
      <c r="N2555" s="2">
        <f t="shared" si="119"/>
        <v>0.11706584144146952</v>
      </c>
    </row>
    <row r="2556" spans="1:14" x14ac:dyDescent="0.45">
      <c r="A2556" t="s">
        <v>4835</v>
      </c>
      <c r="B2556" s="1">
        <v>45527</v>
      </c>
      <c r="C2556" t="s">
        <v>4836</v>
      </c>
      <c r="D2556" t="s">
        <v>26</v>
      </c>
      <c r="E2556" t="s">
        <v>14</v>
      </c>
      <c r="F2556" t="s">
        <v>15</v>
      </c>
      <c r="G2556">
        <v>5</v>
      </c>
      <c r="H2556">
        <v>19118.68</v>
      </c>
      <c r="I2556">
        <v>4431.04</v>
      </c>
      <c r="J2556" t="s">
        <v>22</v>
      </c>
      <c r="K2556" t="s">
        <v>29</v>
      </c>
      <c r="L2556">
        <f t="shared" si="117"/>
        <v>2024</v>
      </c>
      <c r="M2556" t="str">
        <f t="shared" si="118"/>
        <v>Aug</v>
      </c>
      <c r="N2556" s="2">
        <f t="shared" si="119"/>
        <v>0.2317649544843054</v>
      </c>
    </row>
    <row r="2557" spans="1:14" x14ac:dyDescent="0.45">
      <c r="A2557" t="s">
        <v>4837</v>
      </c>
      <c r="B2557" s="1">
        <v>45625</v>
      </c>
      <c r="C2557" t="s">
        <v>4583</v>
      </c>
      <c r="D2557" t="s">
        <v>26</v>
      </c>
      <c r="E2557" t="s">
        <v>20</v>
      </c>
      <c r="F2557" t="s">
        <v>50</v>
      </c>
      <c r="G2557">
        <v>2</v>
      </c>
      <c r="H2557">
        <v>21390.35</v>
      </c>
      <c r="I2557">
        <v>3808.22</v>
      </c>
      <c r="J2557" t="s">
        <v>71</v>
      </c>
      <c r="K2557" t="s">
        <v>17</v>
      </c>
      <c r="L2557">
        <f t="shared" si="117"/>
        <v>2024</v>
      </c>
      <c r="M2557" t="str">
        <f t="shared" si="118"/>
        <v>Nov</v>
      </c>
      <c r="N2557" s="2">
        <f t="shared" si="119"/>
        <v>0.17803448751422954</v>
      </c>
    </row>
    <row r="2558" spans="1:14" x14ac:dyDescent="0.45">
      <c r="A2558" t="s">
        <v>4838</v>
      </c>
      <c r="B2558" s="1">
        <v>44919</v>
      </c>
      <c r="C2558" t="s">
        <v>4839</v>
      </c>
      <c r="D2558" t="s">
        <v>56</v>
      </c>
      <c r="E2558" t="s">
        <v>36</v>
      </c>
      <c r="F2558" t="s">
        <v>64</v>
      </c>
      <c r="G2558">
        <v>1</v>
      </c>
      <c r="H2558">
        <v>2839.76</v>
      </c>
      <c r="I2558">
        <v>271.86</v>
      </c>
      <c r="J2558" t="s">
        <v>16</v>
      </c>
      <c r="K2558" t="s">
        <v>33</v>
      </c>
      <c r="L2558">
        <f t="shared" si="117"/>
        <v>2022</v>
      </c>
      <c r="M2558" t="str">
        <f t="shared" si="118"/>
        <v>Dec</v>
      </c>
      <c r="N2558" s="2">
        <f t="shared" si="119"/>
        <v>9.5733442262726426E-2</v>
      </c>
    </row>
    <row r="2559" spans="1:14" x14ac:dyDescent="0.45">
      <c r="A2559" t="s">
        <v>4840</v>
      </c>
      <c r="B2559" s="1">
        <v>45436</v>
      </c>
      <c r="C2559" t="s">
        <v>4841</v>
      </c>
      <c r="D2559" t="s">
        <v>56</v>
      </c>
      <c r="E2559" t="s">
        <v>14</v>
      </c>
      <c r="F2559" t="s">
        <v>32</v>
      </c>
      <c r="G2559">
        <v>3</v>
      </c>
      <c r="H2559">
        <v>17675.45</v>
      </c>
      <c r="I2559">
        <v>3178.91</v>
      </c>
      <c r="J2559" t="s">
        <v>47</v>
      </c>
      <c r="K2559" t="s">
        <v>33</v>
      </c>
      <c r="L2559">
        <f t="shared" si="117"/>
        <v>2024</v>
      </c>
      <c r="M2559" t="str">
        <f t="shared" si="118"/>
        <v>May</v>
      </c>
      <c r="N2559" s="2">
        <f t="shared" si="119"/>
        <v>0.17984888644984992</v>
      </c>
    </row>
    <row r="2560" spans="1:14" x14ac:dyDescent="0.45">
      <c r="A2560" t="s">
        <v>4842</v>
      </c>
      <c r="B2560" s="1">
        <v>45631</v>
      </c>
      <c r="C2560" t="s">
        <v>1736</v>
      </c>
      <c r="D2560" t="s">
        <v>26</v>
      </c>
      <c r="E2560" t="s">
        <v>36</v>
      </c>
      <c r="F2560" t="s">
        <v>37</v>
      </c>
      <c r="G2560">
        <v>1</v>
      </c>
      <c r="H2560">
        <v>43863.75</v>
      </c>
      <c r="I2560">
        <v>7752.47</v>
      </c>
      <c r="J2560" t="s">
        <v>16</v>
      </c>
      <c r="K2560" t="s">
        <v>33</v>
      </c>
      <c r="L2560">
        <f t="shared" si="117"/>
        <v>2024</v>
      </c>
      <c r="M2560" t="str">
        <f t="shared" si="118"/>
        <v>Dec</v>
      </c>
      <c r="N2560" s="2">
        <f t="shared" si="119"/>
        <v>0.17673979082955743</v>
      </c>
    </row>
    <row r="2561" spans="1:14" x14ac:dyDescent="0.45">
      <c r="A2561" t="s">
        <v>4843</v>
      </c>
      <c r="B2561" s="1">
        <v>44633</v>
      </c>
      <c r="C2561" t="s">
        <v>4844</v>
      </c>
      <c r="D2561" t="s">
        <v>26</v>
      </c>
      <c r="E2561" t="s">
        <v>14</v>
      </c>
      <c r="F2561" t="s">
        <v>32</v>
      </c>
      <c r="G2561">
        <v>4</v>
      </c>
      <c r="H2561">
        <v>34490.28</v>
      </c>
      <c r="I2561">
        <v>6974.07</v>
      </c>
      <c r="J2561" t="s">
        <v>22</v>
      </c>
      <c r="K2561" t="s">
        <v>23</v>
      </c>
      <c r="L2561">
        <f t="shared" si="117"/>
        <v>2022</v>
      </c>
      <c r="M2561" t="str">
        <f t="shared" si="118"/>
        <v>Mar</v>
      </c>
      <c r="N2561" s="2">
        <f t="shared" si="119"/>
        <v>0.20220392527981795</v>
      </c>
    </row>
    <row r="2562" spans="1:14" x14ac:dyDescent="0.45">
      <c r="A2562" t="s">
        <v>4845</v>
      </c>
      <c r="B2562" s="1">
        <v>45426</v>
      </c>
      <c r="C2562" t="s">
        <v>4846</v>
      </c>
      <c r="D2562" t="s">
        <v>56</v>
      </c>
      <c r="E2562" t="s">
        <v>36</v>
      </c>
      <c r="F2562" t="s">
        <v>64</v>
      </c>
      <c r="G2562">
        <v>2</v>
      </c>
      <c r="H2562">
        <v>31372.38</v>
      </c>
      <c r="I2562">
        <v>6244.57</v>
      </c>
      <c r="J2562" t="s">
        <v>16</v>
      </c>
      <c r="K2562" t="s">
        <v>29</v>
      </c>
      <c r="L2562">
        <f t="shared" si="117"/>
        <v>2024</v>
      </c>
      <c r="M2562" t="str">
        <f t="shared" si="118"/>
        <v>May</v>
      </c>
      <c r="N2562" s="2">
        <f t="shared" si="119"/>
        <v>0.19904674111431775</v>
      </c>
    </row>
    <row r="2563" spans="1:14" x14ac:dyDescent="0.45">
      <c r="A2563" t="s">
        <v>4847</v>
      </c>
      <c r="B2563" s="1">
        <v>44705</v>
      </c>
      <c r="C2563" t="s">
        <v>2469</v>
      </c>
      <c r="D2563" t="s">
        <v>26</v>
      </c>
      <c r="E2563" t="s">
        <v>14</v>
      </c>
      <c r="F2563" t="s">
        <v>32</v>
      </c>
      <c r="G2563">
        <v>1</v>
      </c>
      <c r="H2563">
        <v>19212.88</v>
      </c>
      <c r="I2563">
        <v>1183.03</v>
      </c>
      <c r="J2563" t="s">
        <v>22</v>
      </c>
      <c r="K2563" t="s">
        <v>17</v>
      </c>
      <c r="L2563">
        <f t="shared" ref="L2563:L2626" si="120">YEAR(B2563 )</f>
        <v>2022</v>
      </c>
      <c r="M2563" t="str">
        <f t="shared" ref="M2563:M2626" si="121">TEXT(B2563,"MMM")</f>
        <v>May</v>
      </c>
      <c r="N2563" s="2">
        <f t="shared" ref="N2563:N2626" si="122">I2563 / H2563</f>
        <v>6.1574839378583532E-2</v>
      </c>
    </row>
    <row r="2564" spans="1:14" x14ac:dyDescent="0.45">
      <c r="A2564" t="s">
        <v>4848</v>
      </c>
      <c r="B2564" s="1">
        <v>45411</v>
      </c>
      <c r="C2564" t="s">
        <v>3623</v>
      </c>
      <c r="D2564" t="s">
        <v>13</v>
      </c>
      <c r="E2564" t="s">
        <v>36</v>
      </c>
      <c r="F2564" t="s">
        <v>46</v>
      </c>
      <c r="G2564">
        <v>3</v>
      </c>
      <c r="H2564">
        <v>48576.31</v>
      </c>
      <c r="I2564">
        <v>6780.47</v>
      </c>
      <c r="J2564" t="s">
        <v>16</v>
      </c>
      <c r="K2564" t="s">
        <v>17</v>
      </c>
      <c r="L2564">
        <f t="shared" si="120"/>
        <v>2024</v>
      </c>
      <c r="M2564" t="str">
        <f t="shared" si="121"/>
        <v>Apr</v>
      </c>
      <c r="N2564" s="2">
        <f t="shared" si="122"/>
        <v>0.13958388358440565</v>
      </c>
    </row>
    <row r="2565" spans="1:14" x14ac:dyDescent="0.45">
      <c r="A2565" t="s">
        <v>4849</v>
      </c>
      <c r="B2565" s="1">
        <v>44839</v>
      </c>
      <c r="C2565" t="s">
        <v>3306</v>
      </c>
      <c r="D2565" t="s">
        <v>26</v>
      </c>
      <c r="E2565" t="s">
        <v>20</v>
      </c>
      <c r="F2565" t="s">
        <v>50</v>
      </c>
      <c r="G2565">
        <v>4</v>
      </c>
      <c r="H2565">
        <v>41815.51</v>
      </c>
      <c r="I2565">
        <v>5770.21</v>
      </c>
      <c r="J2565" t="s">
        <v>71</v>
      </c>
      <c r="K2565" t="s">
        <v>17</v>
      </c>
      <c r="L2565">
        <f t="shared" si="120"/>
        <v>2022</v>
      </c>
      <c r="M2565" t="str">
        <f t="shared" si="121"/>
        <v>Oct</v>
      </c>
      <c r="N2565" s="2">
        <f t="shared" si="122"/>
        <v>0.13799209910389709</v>
      </c>
    </row>
    <row r="2566" spans="1:14" x14ac:dyDescent="0.45">
      <c r="A2566" t="s">
        <v>4850</v>
      </c>
      <c r="B2566" s="1">
        <v>45132</v>
      </c>
      <c r="C2566" t="s">
        <v>3668</v>
      </c>
      <c r="D2566" t="s">
        <v>56</v>
      </c>
      <c r="E2566" t="s">
        <v>20</v>
      </c>
      <c r="F2566" t="s">
        <v>21</v>
      </c>
      <c r="G2566">
        <v>5</v>
      </c>
      <c r="H2566">
        <v>43755.79</v>
      </c>
      <c r="I2566">
        <v>8055.78</v>
      </c>
      <c r="J2566" t="s">
        <v>47</v>
      </c>
      <c r="K2566" t="s">
        <v>33</v>
      </c>
      <c r="L2566">
        <f t="shared" si="120"/>
        <v>2023</v>
      </c>
      <c r="M2566" t="str">
        <f t="shared" si="121"/>
        <v>Jul</v>
      </c>
      <c r="N2566" s="2">
        <f t="shared" si="122"/>
        <v>0.18410774894019738</v>
      </c>
    </row>
    <row r="2567" spans="1:14" x14ac:dyDescent="0.45">
      <c r="A2567" t="s">
        <v>4851</v>
      </c>
      <c r="B2567" s="1">
        <v>44678</v>
      </c>
      <c r="C2567" t="s">
        <v>4852</v>
      </c>
      <c r="D2567" t="s">
        <v>26</v>
      </c>
      <c r="E2567" t="s">
        <v>36</v>
      </c>
      <c r="F2567" t="s">
        <v>64</v>
      </c>
      <c r="G2567">
        <v>3</v>
      </c>
      <c r="H2567">
        <v>35277.35</v>
      </c>
      <c r="I2567">
        <v>5791.39</v>
      </c>
      <c r="J2567" t="s">
        <v>28</v>
      </c>
      <c r="K2567" t="s">
        <v>29</v>
      </c>
      <c r="L2567">
        <f t="shared" si="120"/>
        <v>2022</v>
      </c>
      <c r="M2567" t="str">
        <f t="shared" si="121"/>
        <v>Apr</v>
      </c>
      <c r="N2567" s="2">
        <f t="shared" si="122"/>
        <v>0.16416737651779401</v>
      </c>
    </row>
    <row r="2568" spans="1:14" x14ac:dyDescent="0.45">
      <c r="A2568" t="s">
        <v>4853</v>
      </c>
      <c r="B2568" s="1">
        <v>45417</v>
      </c>
      <c r="C2568" t="s">
        <v>4044</v>
      </c>
      <c r="D2568" t="s">
        <v>26</v>
      </c>
      <c r="E2568" t="s">
        <v>36</v>
      </c>
      <c r="F2568" t="s">
        <v>53</v>
      </c>
      <c r="G2568">
        <v>1</v>
      </c>
      <c r="H2568">
        <v>13301.12</v>
      </c>
      <c r="I2568">
        <v>773.06</v>
      </c>
      <c r="J2568" t="s">
        <v>47</v>
      </c>
      <c r="K2568" t="s">
        <v>23</v>
      </c>
      <c r="L2568">
        <f t="shared" si="120"/>
        <v>2024</v>
      </c>
      <c r="M2568" t="str">
        <f t="shared" si="121"/>
        <v>May</v>
      </c>
      <c r="N2568" s="2">
        <f t="shared" si="122"/>
        <v>5.8119917721214449E-2</v>
      </c>
    </row>
    <row r="2569" spans="1:14" x14ac:dyDescent="0.45">
      <c r="A2569" t="s">
        <v>4854</v>
      </c>
      <c r="B2569" s="1">
        <v>44608</v>
      </c>
      <c r="C2569" t="s">
        <v>248</v>
      </c>
      <c r="D2569" t="s">
        <v>26</v>
      </c>
      <c r="E2569" t="s">
        <v>36</v>
      </c>
      <c r="F2569" t="s">
        <v>46</v>
      </c>
      <c r="G2569">
        <v>5</v>
      </c>
      <c r="H2569">
        <v>8319.7900000000009</v>
      </c>
      <c r="I2569">
        <v>1071.72</v>
      </c>
      <c r="J2569" t="s">
        <v>22</v>
      </c>
      <c r="K2569" t="s">
        <v>33</v>
      </c>
      <c r="L2569">
        <f t="shared" si="120"/>
        <v>2022</v>
      </c>
      <c r="M2569" t="str">
        <f t="shared" si="121"/>
        <v>Feb</v>
      </c>
      <c r="N2569" s="2">
        <f t="shared" si="122"/>
        <v>0.1288157513591088</v>
      </c>
    </row>
    <row r="2570" spans="1:14" x14ac:dyDescent="0.45">
      <c r="A2570" t="s">
        <v>4855</v>
      </c>
      <c r="B2570" s="1">
        <v>45006</v>
      </c>
      <c r="C2570" t="s">
        <v>2499</v>
      </c>
      <c r="D2570" t="s">
        <v>13</v>
      </c>
      <c r="E2570" t="s">
        <v>14</v>
      </c>
      <c r="F2570" t="s">
        <v>15</v>
      </c>
      <c r="G2570">
        <v>5</v>
      </c>
      <c r="H2570">
        <v>11277.59</v>
      </c>
      <c r="I2570">
        <v>2779.93</v>
      </c>
      <c r="J2570" t="s">
        <v>22</v>
      </c>
      <c r="K2570" t="s">
        <v>23</v>
      </c>
      <c r="L2570">
        <f t="shared" si="120"/>
        <v>2023</v>
      </c>
      <c r="M2570" t="str">
        <f t="shared" si="121"/>
        <v>Mar</v>
      </c>
      <c r="N2570" s="2">
        <f t="shared" si="122"/>
        <v>0.24650036044935131</v>
      </c>
    </row>
    <row r="2571" spans="1:14" x14ac:dyDescent="0.45">
      <c r="A2571" t="s">
        <v>4856</v>
      </c>
      <c r="B2571" s="1">
        <v>44977</v>
      </c>
      <c r="C2571" t="s">
        <v>4857</v>
      </c>
      <c r="D2571" t="s">
        <v>26</v>
      </c>
      <c r="E2571" t="s">
        <v>36</v>
      </c>
      <c r="F2571" t="s">
        <v>37</v>
      </c>
      <c r="G2571">
        <v>4</v>
      </c>
      <c r="H2571">
        <v>45073.52</v>
      </c>
      <c r="I2571">
        <v>8955.48</v>
      </c>
      <c r="J2571" t="s">
        <v>28</v>
      </c>
      <c r="K2571" t="s">
        <v>33</v>
      </c>
      <c r="L2571">
        <f t="shared" si="120"/>
        <v>2023</v>
      </c>
      <c r="M2571" t="str">
        <f t="shared" si="121"/>
        <v>Feb</v>
      </c>
      <c r="N2571" s="2">
        <f t="shared" si="122"/>
        <v>0.19868605780067766</v>
      </c>
    </row>
    <row r="2572" spans="1:14" x14ac:dyDescent="0.45">
      <c r="A2572" t="s">
        <v>4858</v>
      </c>
      <c r="B2572" s="1">
        <v>45242</v>
      </c>
      <c r="C2572" t="s">
        <v>4859</v>
      </c>
      <c r="D2572" t="s">
        <v>13</v>
      </c>
      <c r="E2572" t="s">
        <v>14</v>
      </c>
      <c r="F2572" t="s">
        <v>32</v>
      </c>
      <c r="G2572">
        <v>1</v>
      </c>
      <c r="H2572">
        <v>9782.58</v>
      </c>
      <c r="I2572">
        <v>601.59</v>
      </c>
      <c r="J2572" t="s">
        <v>47</v>
      </c>
      <c r="K2572" t="s">
        <v>29</v>
      </c>
      <c r="L2572">
        <f t="shared" si="120"/>
        <v>2023</v>
      </c>
      <c r="M2572" t="str">
        <f t="shared" si="121"/>
        <v>Nov</v>
      </c>
      <c r="N2572" s="2">
        <f t="shared" si="122"/>
        <v>6.1496047055071362E-2</v>
      </c>
    </row>
    <row r="2573" spans="1:14" x14ac:dyDescent="0.45">
      <c r="A2573" t="s">
        <v>4860</v>
      </c>
      <c r="B2573" s="1">
        <v>45628</v>
      </c>
      <c r="C2573" t="s">
        <v>4861</v>
      </c>
      <c r="D2573" t="s">
        <v>13</v>
      </c>
      <c r="E2573" t="s">
        <v>36</v>
      </c>
      <c r="F2573" t="s">
        <v>64</v>
      </c>
      <c r="G2573">
        <v>1</v>
      </c>
      <c r="H2573">
        <v>6852.29</v>
      </c>
      <c r="I2573">
        <v>940.12</v>
      </c>
      <c r="J2573" t="s">
        <v>71</v>
      </c>
      <c r="K2573" t="s">
        <v>17</v>
      </c>
      <c r="L2573">
        <f t="shared" si="120"/>
        <v>2024</v>
      </c>
      <c r="M2573" t="str">
        <f t="shared" si="121"/>
        <v>Dec</v>
      </c>
      <c r="N2573" s="2">
        <f t="shared" si="122"/>
        <v>0.13719792945132211</v>
      </c>
    </row>
    <row r="2574" spans="1:14" x14ac:dyDescent="0.45">
      <c r="A2574" t="s">
        <v>4862</v>
      </c>
      <c r="B2574" s="1">
        <v>44947</v>
      </c>
      <c r="C2574" t="s">
        <v>4863</v>
      </c>
      <c r="D2574" t="s">
        <v>26</v>
      </c>
      <c r="E2574" t="s">
        <v>14</v>
      </c>
      <c r="F2574" t="s">
        <v>15</v>
      </c>
      <c r="G2574">
        <v>1</v>
      </c>
      <c r="H2574">
        <v>37992.800000000003</v>
      </c>
      <c r="I2574">
        <v>2951.15</v>
      </c>
      <c r="J2574" t="s">
        <v>16</v>
      </c>
      <c r="K2574" t="s">
        <v>17</v>
      </c>
      <c r="L2574">
        <f t="shared" si="120"/>
        <v>2023</v>
      </c>
      <c r="M2574" t="str">
        <f t="shared" si="121"/>
        <v>Jan</v>
      </c>
      <c r="N2574" s="2">
        <f t="shared" si="122"/>
        <v>7.767655976921943E-2</v>
      </c>
    </row>
    <row r="2575" spans="1:14" x14ac:dyDescent="0.45">
      <c r="A2575" t="s">
        <v>4864</v>
      </c>
      <c r="B2575" s="1">
        <v>44679</v>
      </c>
      <c r="C2575" t="s">
        <v>4865</v>
      </c>
      <c r="D2575" t="s">
        <v>13</v>
      </c>
      <c r="E2575" t="s">
        <v>14</v>
      </c>
      <c r="F2575" t="s">
        <v>32</v>
      </c>
      <c r="G2575">
        <v>1</v>
      </c>
      <c r="H2575">
        <v>2108.36</v>
      </c>
      <c r="I2575">
        <v>323.77</v>
      </c>
      <c r="J2575" t="s">
        <v>28</v>
      </c>
      <c r="K2575" t="s">
        <v>29</v>
      </c>
      <c r="L2575">
        <f t="shared" si="120"/>
        <v>2022</v>
      </c>
      <c r="M2575" t="str">
        <f t="shared" si="121"/>
        <v>Apr</v>
      </c>
      <c r="N2575" s="2">
        <f t="shared" si="122"/>
        <v>0.15356485609668177</v>
      </c>
    </row>
    <row r="2576" spans="1:14" x14ac:dyDescent="0.45">
      <c r="A2576" t="s">
        <v>4866</v>
      </c>
      <c r="B2576" s="1">
        <v>45224</v>
      </c>
      <c r="C2576" t="s">
        <v>4867</v>
      </c>
      <c r="D2576" t="s">
        <v>56</v>
      </c>
      <c r="E2576" t="s">
        <v>36</v>
      </c>
      <c r="F2576" t="s">
        <v>64</v>
      </c>
      <c r="G2576">
        <v>2</v>
      </c>
      <c r="H2576">
        <v>37280.449999999997</v>
      </c>
      <c r="I2576">
        <v>6482.58</v>
      </c>
      <c r="J2576" t="s">
        <v>22</v>
      </c>
      <c r="K2576" t="s">
        <v>17</v>
      </c>
      <c r="L2576">
        <f t="shared" si="120"/>
        <v>2023</v>
      </c>
      <c r="M2576" t="str">
        <f t="shared" si="121"/>
        <v>Oct</v>
      </c>
      <c r="N2576" s="2">
        <f t="shared" si="122"/>
        <v>0.17388684954178399</v>
      </c>
    </row>
    <row r="2577" spans="1:14" x14ac:dyDescent="0.45">
      <c r="A2577" t="s">
        <v>4868</v>
      </c>
      <c r="B2577" s="1">
        <v>44807</v>
      </c>
      <c r="C2577" t="s">
        <v>4869</v>
      </c>
      <c r="D2577" t="s">
        <v>13</v>
      </c>
      <c r="E2577" t="s">
        <v>20</v>
      </c>
      <c r="F2577" t="s">
        <v>27</v>
      </c>
      <c r="G2577">
        <v>4</v>
      </c>
      <c r="H2577">
        <v>21687.88</v>
      </c>
      <c r="I2577">
        <v>3134.21</v>
      </c>
      <c r="J2577" t="s">
        <v>47</v>
      </c>
      <c r="K2577" t="s">
        <v>33</v>
      </c>
      <c r="L2577">
        <f t="shared" si="120"/>
        <v>2022</v>
      </c>
      <c r="M2577" t="str">
        <f t="shared" si="121"/>
        <v>Sep</v>
      </c>
      <c r="N2577" s="2">
        <f t="shared" si="122"/>
        <v>0.14451435548333907</v>
      </c>
    </row>
    <row r="2578" spans="1:14" x14ac:dyDescent="0.45">
      <c r="A2578" t="s">
        <v>4870</v>
      </c>
      <c r="B2578" s="1">
        <v>44740</v>
      </c>
      <c r="C2578" t="s">
        <v>4871</v>
      </c>
      <c r="D2578" t="s">
        <v>26</v>
      </c>
      <c r="E2578" t="s">
        <v>20</v>
      </c>
      <c r="F2578" t="s">
        <v>21</v>
      </c>
      <c r="G2578">
        <v>4</v>
      </c>
      <c r="H2578">
        <v>8287.86</v>
      </c>
      <c r="I2578">
        <v>960.69</v>
      </c>
      <c r="J2578" t="s">
        <v>22</v>
      </c>
      <c r="K2578" t="s">
        <v>17</v>
      </c>
      <c r="L2578">
        <f t="shared" si="120"/>
        <v>2022</v>
      </c>
      <c r="M2578" t="str">
        <f t="shared" si="121"/>
        <v>Jun</v>
      </c>
      <c r="N2578" s="2">
        <f t="shared" si="122"/>
        <v>0.11591532675503688</v>
      </c>
    </row>
    <row r="2579" spans="1:14" x14ac:dyDescent="0.45">
      <c r="A2579" t="s">
        <v>4872</v>
      </c>
      <c r="B2579" s="1">
        <v>44799</v>
      </c>
      <c r="C2579" t="s">
        <v>4873</v>
      </c>
      <c r="D2579" t="s">
        <v>56</v>
      </c>
      <c r="E2579" t="s">
        <v>14</v>
      </c>
      <c r="F2579" t="s">
        <v>40</v>
      </c>
      <c r="G2579">
        <v>4</v>
      </c>
      <c r="H2579">
        <v>42643.97</v>
      </c>
      <c r="I2579">
        <v>7080.31</v>
      </c>
      <c r="J2579" t="s">
        <v>47</v>
      </c>
      <c r="K2579" t="s">
        <v>17</v>
      </c>
      <c r="L2579">
        <f t="shared" si="120"/>
        <v>2022</v>
      </c>
      <c r="M2579" t="str">
        <f t="shared" si="121"/>
        <v>Aug</v>
      </c>
      <c r="N2579" s="2">
        <f t="shared" si="122"/>
        <v>0.16603308744471962</v>
      </c>
    </row>
    <row r="2580" spans="1:14" x14ac:dyDescent="0.45">
      <c r="A2580" t="s">
        <v>4874</v>
      </c>
      <c r="B2580" s="1">
        <v>45553</v>
      </c>
      <c r="C2580" t="s">
        <v>4875</v>
      </c>
      <c r="D2580" t="s">
        <v>26</v>
      </c>
      <c r="E2580" t="s">
        <v>14</v>
      </c>
      <c r="F2580" t="s">
        <v>15</v>
      </c>
      <c r="G2580">
        <v>4</v>
      </c>
      <c r="H2580">
        <v>12688.84</v>
      </c>
      <c r="I2580">
        <v>1232.93</v>
      </c>
      <c r="J2580" t="s">
        <v>16</v>
      </c>
      <c r="K2580" t="s">
        <v>29</v>
      </c>
      <c r="L2580">
        <f t="shared" si="120"/>
        <v>2024</v>
      </c>
      <c r="M2580" t="str">
        <f t="shared" si="121"/>
        <v>Sep</v>
      </c>
      <c r="N2580" s="2">
        <f t="shared" si="122"/>
        <v>9.7166486455814716E-2</v>
      </c>
    </row>
    <row r="2581" spans="1:14" x14ac:dyDescent="0.45">
      <c r="A2581" t="s">
        <v>4876</v>
      </c>
      <c r="B2581" s="1">
        <v>45352</v>
      </c>
      <c r="C2581" t="s">
        <v>4877</v>
      </c>
      <c r="D2581" t="s">
        <v>56</v>
      </c>
      <c r="E2581" t="s">
        <v>20</v>
      </c>
      <c r="F2581" t="s">
        <v>21</v>
      </c>
      <c r="G2581">
        <v>2</v>
      </c>
      <c r="H2581">
        <v>28511.72</v>
      </c>
      <c r="I2581">
        <v>2349.14</v>
      </c>
      <c r="J2581" t="s">
        <v>47</v>
      </c>
      <c r="K2581" t="s">
        <v>17</v>
      </c>
      <c r="L2581">
        <f t="shared" si="120"/>
        <v>2024</v>
      </c>
      <c r="M2581" t="str">
        <f t="shared" si="121"/>
        <v>Mar</v>
      </c>
      <c r="N2581" s="2">
        <f t="shared" si="122"/>
        <v>8.2392082975001155E-2</v>
      </c>
    </row>
    <row r="2582" spans="1:14" x14ac:dyDescent="0.45">
      <c r="A2582" t="s">
        <v>4878</v>
      </c>
      <c r="B2582" s="1">
        <v>45359</v>
      </c>
      <c r="C2582" t="s">
        <v>2771</v>
      </c>
      <c r="D2582" t="s">
        <v>26</v>
      </c>
      <c r="E2582" t="s">
        <v>20</v>
      </c>
      <c r="F2582" t="s">
        <v>21</v>
      </c>
      <c r="G2582">
        <v>5</v>
      </c>
      <c r="H2582">
        <v>4023.88</v>
      </c>
      <c r="I2582">
        <v>871.55</v>
      </c>
      <c r="J2582" t="s">
        <v>22</v>
      </c>
      <c r="K2582" t="s">
        <v>29</v>
      </c>
      <c r="L2582">
        <f t="shared" si="120"/>
        <v>2024</v>
      </c>
      <c r="M2582" t="str">
        <f t="shared" si="121"/>
        <v>Mar</v>
      </c>
      <c r="N2582" s="2">
        <f t="shared" si="122"/>
        <v>0.21659443124546457</v>
      </c>
    </row>
    <row r="2583" spans="1:14" x14ac:dyDescent="0.45">
      <c r="A2583" t="s">
        <v>4879</v>
      </c>
      <c r="B2583" s="1">
        <v>44962</v>
      </c>
      <c r="C2583" t="s">
        <v>4880</v>
      </c>
      <c r="D2583" t="s">
        <v>26</v>
      </c>
      <c r="E2583" t="s">
        <v>20</v>
      </c>
      <c r="F2583" t="s">
        <v>21</v>
      </c>
      <c r="G2583">
        <v>2</v>
      </c>
      <c r="H2583">
        <v>18998.22</v>
      </c>
      <c r="I2583">
        <v>4480.0200000000004</v>
      </c>
      <c r="J2583" t="s">
        <v>28</v>
      </c>
      <c r="K2583" t="s">
        <v>23</v>
      </c>
      <c r="L2583">
        <f t="shared" si="120"/>
        <v>2023</v>
      </c>
      <c r="M2583" t="str">
        <f t="shared" si="121"/>
        <v>Feb</v>
      </c>
      <c r="N2583" s="2">
        <f t="shared" si="122"/>
        <v>0.23581261823476096</v>
      </c>
    </row>
    <row r="2584" spans="1:14" x14ac:dyDescent="0.45">
      <c r="A2584" t="s">
        <v>4881</v>
      </c>
      <c r="B2584" s="1">
        <v>45235</v>
      </c>
      <c r="C2584" t="s">
        <v>4882</v>
      </c>
      <c r="D2584" t="s">
        <v>26</v>
      </c>
      <c r="E2584" t="s">
        <v>20</v>
      </c>
      <c r="F2584" t="s">
        <v>50</v>
      </c>
      <c r="G2584">
        <v>3</v>
      </c>
      <c r="H2584">
        <v>30476.54</v>
      </c>
      <c r="I2584">
        <v>7346.89</v>
      </c>
      <c r="J2584" t="s">
        <v>28</v>
      </c>
      <c r="K2584" t="s">
        <v>17</v>
      </c>
      <c r="L2584">
        <f t="shared" si="120"/>
        <v>2023</v>
      </c>
      <c r="M2584" t="str">
        <f t="shared" si="121"/>
        <v>Nov</v>
      </c>
      <c r="N2584" s="2">
        <f t="shared" si="122"/>
        <v>0.24106706338711678</v>
      </c>
    </row>
    <row r="2585" spans="1:14" x14ac:dyDescent="0.45">
      <c r="A2585" t="s">
        <v>4883</v>
      </c>
      <c r="B2585" s="1">
        <v>44625</v>
      </c>
      <c r="C2585" t="s">
        <v>4884</v>
      </c>
      <c r="D2585" t="s">
        <v>56</v>
      </c>
      <c r="E2585" t="s">
        <v>14</v>
      </c>
      <c r="F2585" t="s">
        <v>32</v>
      </c>
      <c r="G2585">
        <v>3</v>
      </c>
      <c r="H2585">
        <v>7714.82</v>
      </c>
      <c r="I2585">
        <v>1354.1</v>
      </c>
      <c r="J2585" t="s">
        <v>16</v>
      </c>
      <c r="K2585" t="s">
        <v>33</v>
      </c>
      <c r="L2585">
        <f t="shared" si="120"/>
        <v>2022</v>
      </c>
      <c r="M2585" t="str">
        <f t="shared" si="121"/>
        <v>Mar</v>
      </c>
      <c r="N2585" s="2">
        <f t="shared" si="122"/>
        <v>0.17551932514303639</v>
      </c>
    </row>
    <row r="2586" spans="1:14" x14ac:dyDescent="0.45">
      <c r="A2586" t="s">
        <v>4885</v>
      </c>
      <c r="B2586" s="1">
        <v>45131</v>
      </c>
      <c r="C2586" t="s">
        <v>4886</v>
      </c>
      <c r="D2586" t="s">
        <v>56</v>
      </c>
      <c r="E2586" t="s">
        <v>14</v>
      </c>
      <c r="F2586" t="s">
        <v>15</v>
      </c>
      <c r="G2586">
        <v>3</v>
      </c>
      <c r="H2586">
        <v>26452.25</v>
      </c>
      <c r="I2586">
        <v>5589.78</v>
      </c>
      <c r="J2586" t="s">
        <v>16</v>
      </c>
      <c r="K2586" t="s">
        <v>33</v>
      </c>
      <c r="L2586">
        <f t="shared" si="120"/>
        <v>2023</v>
      </c>
      <c r="M2586" t="str">
        <f t="shared" si="121"/>
        <v>Jul</v>
      </c>
      <c r="N2586" s="2">
        <f t="shared" si="122"/>
        <v>0.21131586159967489</v>
      </c>
    </row>
    <row r="2587" spans="1:14" x14ac:dyDescent="0.45">
      <c r="A2587" t="s">
        <v>4887</v>
      </c>
      <c r="B2587" s="1">
        <v>45607</v>
      </c>
      <c r="C2587" t="s">
        <v>4888</v>
      </c>
      <c r="D2587" t="s">
        <v>13</v>
      </c>
      <c r="E2587" t="s">
        <v>20</v>
      </c>
      <c r="F2587" t="s">
        <v>50</v>
      </c>
      <c r="G2587">
        <v>2</v>
      </c>
      <c r="H2587">
        <v>4784.2700000000004</v>
      </c>
      <c r="I2587">
        <v>467.24</v>
      </c>
      <c r="J2587" t="s">
        <v>22</v>
      </c>
      <c r="K2587" t="s">
        <v>33</v>
      </c>
      <c r="L2587">
        <f t="shared" si="120"/>
        <v>2024</v>
      </c>
      <c r="M2587" t="str">
        <f t="shared" si="121"/>
        <v>Nov</v>
      </c>
      <c r="N2587" s="2">
        <f t="shared" si="122"/>
        <v>9.7661712236140508E-2</v>
      </c>
    </row>
    <row r="2588" spans="1:14" x14ac:dyDescent="0.45">
      <c r="A2588" t="s">
        <v>4889</v>
      </c>
      <c r="B2588" s="1">
        <v>44837</v>
      </c>
      <c r="C2588" t="s">
        <v>4890</v>
      </c>
      <c r="D2588" t="s">
        <v>56</v>
      </c>
      <c r="E2588" t="s">
        <v>36</v>
      </c>
      <c r="F2588" t="s">
        <v>53</v>
      </c>
      <c r="G2588">
        <v>4</v>
      </c>
      <c r="H2588">
        <v>16872.14</v>
      </c>
      <c r="I2588">
        <v>4017.26</v>
      </c>
      <c r="J2588" t="s">
        <v>47</v>
      </c>
      <c r="K2588" t="s">
        <v>23</v>
      </c>
      <c r="L2588">
        <f t="shared" si="120"/>
        <v>2022</v>
      </c>
      <c r="M2588" t="str">
        <f t="shared" si="121"/>
        <v>Oct</v>
      </c>
      <c r="N2588" s="2">
        <f t="shared" si="122"/>
        <v>0.23810020542740876</v>
      </c>
    </row>
    <row r="2589" spans="1:14" x14ac:dyDescent="0.45">
      <c r="A2589" t="s">
        <v>4891</v>
      </c>
      <c r="B2589" s="1">
        <v>44696</v>
      </c>
      <c r="C2589" t="s">
        <v>4892</v>
      </c>
      <c r="D2589" t="s">
        <v>26</v>
      </c>
      <c r="E2589" t="s">
        <v>20</v>
      </c>
      <c r="F2589" t="s">
        <v>27</v>
      </c>
      <c r="G2589">
        <v>4</v>
      </c>
      <c r="H2589">
        <v>31407.23</v>
      </c>
      <c r="I2589">
        <v>7061.78</v>
      </c>
      <c r="J2589" t="s">
        <v>28</v>
      </c>
      <c r="K2589" t="s">
        <v>33</v>
      </c>
      <c r="L2589">
        <f t="shared" si="120"/>
        <v>2022</v>
      </c>
      <c r="M2589" t="str">
        <f t="shared" si="121"/>
        <v>May</v>
      </c>
      <c r="N2589" s="2">
        <f t="shared" si="122"/>
        <v>0.2248456804372751</v>
      </c>
    </row>
    <row r="2590" spans="1:14" x14ac:dyDescent="0.45">
      <c r="A2590" t="s">
        <v>4893</v>
      </c>
      <c r="B2590" s="1">
        <v>44765</v>
      </c>
      <c r="C2590" t="s">
        <v>4894</v>
      </c>
      <c r="D2590" t="s">
        <v>13</v>
      </c>
      <c r="E2590" t="s">
        <v>36</v>
      </c>
      <c r="F2590" t="s">
        <v>46</v>
      </c>
      <c r="G2590">
        <v>5</v>
      </c>
      <c r="H2590">
        <v>21040.79</v>
      </c>
      <c r="I2590">
        <v>2295.33</v>
      </c>
      <c r="J2590" t="s">
        <v>47</v>
      </c>
      <c r="K2590" t="s">
        <v>17</v>
      </c>
      <c r="L2590">
        <f t="shared" si="120"/>
        <v>2022</v>
      </c>
      <c r="M2590" t="str">
        <f t="shared" si="121"/>
        <v>Jul</v>
      </c>
      <c r="N2590" s="2">
        <f t="shared" si="122"/>
        <v>0.10908953513627577</v>
      </c>
    </row>
    <row r="2591" spans="1:14" x14ac:dyDescent="0.45">
      <c r="A2591" t="s">
        <v>4895</v>
      </c>
      <c r="B2591" s="1">
        <v>44708</v>
      </c>
      <c r="C2591" t="s">
        <v>4896</v>
      </c>
      <c r="D2591" t="s">
        <v>56</v>
      </c>
      <c r="E2591" t="s">
        <v>14</v>
      </c>
      <c r="F2591" t="s">
        <v>32</v>
      </c>
      <c r="G2591">
        <v>4</v>
      </c>
      <c r="H2591">
        <v>19383.509999999998</v>
      </c>
      <c r="I2591">
        <v>1653.1</v>
      </c>
      <c r="J2591" t="s">
        <v>16</v>
      </c>
      <c r="K2591" t="s">
        <v>23</v>
      </c>
      <c r="L2591">
        <f t="shared" si="120"/>
        <v>2022</v>
      </c>
      <c r="M2591" t="str">
        <f t="shared" si="121"/>
        <v>May</v>
      </c>
      <c r="N2591" s="2">
        <f t="shared" si="122"/>
        <v>8.5283831462929061E-2</v>
      </c>
    </row>
    <row r="2592" spans="1:14" x14ac:dyDescent="0.45">
      <c r="A2592" t="s">
        <v>4897</v>
      </c>
      <c r="B2592" s="1">
        <v>45437</v>
      </c>
      <c r="C2592" t="s">
        <v>818</v>
      </c>
      <c r="D2592" t="s">
        <v>26</v>
      </c>
      <c r="E2592" t="s">
        <v>20</v>
      </c>
      <c r="F2592" t="s">
        <v>21</v>
      </c>
      <c r="G2592">
        <v>5</v>
      </c>
      <c r="H2592">
        <v>30855.78</v>
      </c>
      <c r="I2592">
        <v>5497.69</v>
      </c>
      <c r="J2592" t="s">
        <v>28</v>
      </c>
      <c r="K2592" t="s">
        <v>17</v>
      </c>
      <c r="L2592">
        <f t="shared" si="120"/>
        <v>2024</v>
      </c>
      <c r="M2592" t="str">
        <f t="shared" si="121"/>
        <v>May</v>
      </c>
      <c r="N2592" s="2">
        <f t="shared" si="122"/>
        <v>0.17817374897020913</v>
      </c>
    </row>
    <row r="2593" spans="1:14" x14ac:dyDescent="0.45">
      <c r="A2593" t="s">
        <v>4898</v>
      </c>
      <c r="B2593" s="1">
        <v>44828</v>
      </c>
      <c r="C2593" t="s">
        <v>4591</v>
      </c>
      <c r="D2593" t="s">
        <v>26</v>
      </c>
      <c r="E2593" t="s">
        <v>14</v>
      </c>
      <c r="F2593" t="s">
        <v>15</v>
      </c>
      <c r="G2593">
        <v>5</v>
      </c>
      <c r="H2593">
        <v>26778.95</v>
      </c>
      <c r="I2593">
        <v>2528.19</v>
      </c>
      <c r="J2593" t="s">
        <v>47</v>
      </c>
      <c r="K2593" t="s">
        <v>29</v>
      </c>
      <c r="L2593">
        <f t="shared" si="120"/>
        <v>2022</v>
      </c>
      <c r="M2593" t="str">
        <f t="shared" si="121"/>
        <v>Sep</v>
      </c>
      <c r="N2593" s="2">
        <f t="shared" si="122"/>
        <v>9.4409601571383492E-2</v>
      </c>
    </row>
    <row r="2594" spans="1:14" x14ac:dyDescent="0.45">
      <c r="A2594" t="s">
        <v>4899</v>
      </c>
      <c r="B2594" s="1">
        <v>44769</v>
      </c>
      <c r="C2594" t="s">
        <v>4900</v>
      </c>
      <c r="D2594" t="s">
        <v>13</v>
      </c>
      <c r="E2594" t="s">
        <v>14</v>
      </c>
      <c r="F2594" t="s">
        <v>15</v>
      </c>
      <c r="G2594">
        <v>1</v>
      </c>
      <c r="H2594">
        <v>37274.949999999997</v>
      </c>
      <c r="I2594">
        <v>3024.13</v>
      </c>
      <c r="J2594" t="s">
        <v>71</v>
      </c>
      <c r="K2594" t="s">
        <v>17</v>
      </c>
      <c r="L2594">
        <f t="shared" si="120"/>
        <v>2022</v>
      </c>
      <c r="M2594" t="str">
        <f t="shared" si="121"/>
        <v>Jul</v>
      </c>
      <c r="N2594" s="2">
        <f t="shared" si="122"/>
        <v>8.1130356982370214E-2</v>
      </c>
    </row>
    <row r="2595" spans="1:14" x14ac:dyDescent="0.45">
      <c r="A2595" t="s">
        <v>4901</v>
      </c>
      <c r="B2595" s="1">
        <v>45351</v>
      </c>
      <c r="C2595" t="s">
        <v>4902</v>
      </c>
      <c r="D2595" t="s">
        <v>13</v>
      </c>
      <c r="E2595" t="s">
        <v>14</v>
      </c>
      <c r="F2595" t="s">
        <v>32</v>
      </c>
      <c r="G2595">
        <v>5</v>
      </c>
      <c r="H2595">
        <v>27223.84</v>
      </c>
      <c r="I2595">
        <v>2750.34</v>
      </c>
      <c r="J2595" t="s">
        <v>71</v>
      </c>
      <c r="K2595" t="s">
        <v>17</v>
      </c>
      <c r="L2595">
        <f t="shared" si="120"/>
        <v>2024</v>
      </c>
      <c r="M2595" t="str">
        <f t="shared" si="121"/>
        <v>Feb</v>
      </c>
      <c r="N2595" s="2">
        <f t="shared" si="122"/>
        <v>0.10102689407519293</v>
      </c>
    </row>
    <row r="2596" spans="1:14" x14ac:dyDescent="0.45">
      <c r="A2596" t="s">
        <v>4903</v>
      </c>
      <c r="B2596" s="1">
        <v>45431</v>
      </c>
      <c r="C2596" t="s">
        <v>2228</v>
      </c>
      <c r="D2596" t="s">
        <v>56</v>
      </c>
      <c r="E2596" t="s">
        <v>20</v>
      </c>
      <c r="F2596" t="s">
        <v>27</v>
      </c>
      <c r="G2596">
        <v>1</v>
      </c>
      <c r="H2596">
        <v>23771.77</v>
      </c>
      <c r="I2596">
        <v>1214.6300000000001</v>
      </c>
      <c r="J2596" t="s">
        <v>28</v>
      </c>
      <c r="K2596" t="s">
        <v>29</v>
      </c>
      <c r="L2596">
        <f t="shared" si="120"/>
        <v>2024</v>
      </c>
      <c r="M2596" t="str">
        <f t="shared" si="121"/>
        <v>May</v>
      </c>
      <c r="N2596" s="2">
        <f t="shared" si="122"/>
        <v>5.1095480058910216E-2</v>
      </c>
    </row>
    <row r="2597" spans="1:14" x14ac:dyDescent="0.45">
      <c r="A2597" t="s">
        <v>4904</v>
      </c>
      <c r="B2597" s="1">
        <v>45211</v>
      </c>
      <c r="C2597" t="s">
        <v>4905</v>
      </c>
      <c r="D2597" t="s">
        <v>56</v>
      </c>
      <c r="E2597" t="s">
        <v>36</v>
      </c>
      <c r="F2597" t="s">
        <v>37</v>
      </c>
      <c r="G2597">
        <v>3</v>
      </c>
      <c r="H2597">
        <v>32178.1</v>
      </c>
      <c r="I2597">
        <v>3168.08</v>
      </c>
      <c r="J2597" t="s">
        <v>71</v>
      </c>
      <c r="K2597" t="s">
        <v>23</v>
      </c>
      <c r="L2597">
        <f t="shared" si="120"/>
        <v>2023</v>
      </c>
      <c r="M2597" t="str">
        <f t="shared" si="121"/>
        <v>Oct</v>
      </c>
      <c r="N2597" s="2">
        <f t="shared" si="122"/>
        <v>9.8454538956619569E-2</v>
      </c>
    </row>
    <row r="2598" spans="1:14" x14ac:dyDescent="0.45">
      <c r="A2598" t="s">
        <v>4906</v>
      </c>
      <c r="B2598" s="1">
        <v>45577</v>
      </c>
      <c r="C2598" t="s">
        <v>466</v>
      </c>
      <c r="D2598" t="s">
        <v>56</v>
      </c>
      <c r="E2598" t="s">
        <v>14</v>
      </c>
      <c r="F2598" t="s">
        <v>57</v>
      </c>
      <c r="G2598">
        <v>3</v>
      </c>
      <c r="H2598">
        <v>27154.55</v>
      </c>
      <c r="I2598">
        <v>1668.36</v>
      </c>
      <c r="J2598" t="s">
        <v>47</v>
      </c>
      <c r="K2598" t="s">
        <v>23</v>
      </c>
      <c r="L2598">
        <f t="shared" si="120"/>
        <v>2024</v>
      </c>
      <c r="M2598" t="str">
        <f t="shared" si="121"/>
        <v>Oct</v>
      </c>
      <c r="N2598" s="2">
        <f t="shared" si="122"/>
        <v>6.1439427278301421E-2</v>
      </c>
    </row>
    <row r="2599" spans="1:14" x14ac:dyDescent="0.45">
      <c r="A2599" t="s">
        <v>4907</v>
      </c>
      <c r="B2599" s="1">
        <v>44822</v>
      </c>
      <c r="C2599" t="s">
        <v>4908</v>
      </c>
      <c r="D2599" t="s">
        <v>56</v>
      </c>
      <c r="E2599" t="s">
        <v>20</v>
      </c>
      <c r="F2599" t="s">
        <v>27</v>
      </c>
      <c r="G2599">
        <v>3</v>
      </c>
      <c r="H2599">
        <v>28270.3</v>
      </c>
      <c r="I2599">
        <v>3567.59</v>
      </c>
      <c r="J2599" t="s">
        <v>71</v>
      </c>
      <c r="K2599" t="s">
        <v>33</v>
      </c>
      <c r="L2599">
        <f t="shared" si="120"/>
        <v>2022</v>
      </c>
      <c r="M2599" t="str">
        <f t="shared" si="121"/>
        <v>Sep</v>
      </c>
      <c r="N2599" s="2">
        <f t="shared" si="122"/>
        <v>0.12619568946916021</v>
      </c>
    </row>
    <row r="2600" spans="1:14" x14ac:dyDescent="0.45">
      <c r="A2600" t="s">
        <v>4909</v>
      </c>
      <c r="B2600" s="1">
        <v>44699</v>
      </c>
      <c r="C2600" t="s">
        <v>4910</v>
      </c>
      <c r="D2600" t="s">
        <v>56</v>
      </c>
      <c r="E2600" t="s">
        <v>36</v>
      </c>
      <c r="F2600" t="s">
        <v>46</v>
      </c>
      <c r="G2600">
        <v>5</v>
      </c>
      <c r="H2600">
        <v>3750.8</v>
      </c>
      <c r="I2600">
        <v>608.57000000000005</v>
      </c>
      <c r="J2600" t="s">
        <v>47</v>
      </c>
      <c r="K2600" t="s">
        <v>33</v>
      </c>
      <c r="L2600">
        <f t="shared" si="120"/>
        <v>2022</v>
      </c>
      <c r="M2600" t="str">
        <f t="shared" si="121"/>
        <v>May</v>
      </c>
      <c r="N2600" s="2">
        <f t="shared" si="122"/>
        <v>0.16225071984643277</v>
      </c>
    </row>
    <row r="2601" spans="1:14" x14ac:dyDescent="0.45">
      <c r="A2601" t="s">
        <v>4911</v>
      </c>
      <c r="B2601" s="1">
        <v>45229</v>
      </c>
      <c r="C2601" t="s">
        <v>4912</v>
      </c>
      <c r="D2601" t="s">
        <v>26</v>
      </c>
      <c r="E2601" t="s">
        <v>14</v>
      </c>
      <c r="F2601" t="s">
        <v>40</v>
      </c>
      <c r="G2601">
        <v>1</v>
      </c>
      <c r="H2601">
        <v>22453.75</v>
      </c>
      <c r="I2601">
        <v>2563.1799999999998</v>
      </c>
      <c r="J2601" t="s">
        <v>47</v>
      </c>
      <c r="K2601" t="s">
        <v>29</v>
      </c>
      <c r="L2601">
        <f t="shared" si="120"/>
        <v>2023</v>
      </c>
      <c r="M2601" t="str">
        <f t="shared" si="121"/>
        <v>Oct</v>
      </c>
      <c r="N2601" s="2">
        <f t="shared" si="122"/>
        <v>0.11415376050771028</v>
      </c>
    </row>
    <row r="2602" spans="1:14" x14ac:dyDescent="0.45">
      <c r="A2602" t="s">
        <v>4913</v>
      </c>
      <c r="B2602" s="1">
        <v>45408</v>
      </c>
      <c r="C2602" t="s">
        <v>824</v>
      </c>
      <c r="D2602" t="s">
        <v>26</v>
      </c>
      <c r="E2602" t="s">
        <v>14</v>
      </c>
      <c r="F2602" t="s">
        <v>57</v>
      </c>
      <c r="G2602">
        <v>3</v>
      </c>
      <c r="H2602">
        <v>12596.71</v>
      </c>
      <c r="I2602">
        <v>3026.26</v>
      </c>
      <c r="J2602" t="s">
        <v>28</v>
      </c>
      <c r="K2602" t="s">
        <v>29</v>
      </c>
      <c r="L2602">
        <f t="shared" si="120"/>
        <v>2024</v>
      </c>
      <c r="M2602" t="str">
        <f t="shared" si="121"/>
        <v>Apr</v>
      </c>
      <c r="N2602" s="2">
        <f t="shared" si="122"/>
        <v>0.24024209495971571</v>
      </c>
    </row>
    <row r="2603" spans="1:14" x14ac:dyDescent="0.45">
      <c r="A2603" t="s">
        <v>4914</v>
      </c>
      <c r="B2603" s="1">
        <v>45016</v>
      </c>
      <c r="C2603" t="s">
        <v>3843</v>
      </c>
      <c r="D2603" t="s">
        <v>13</v>
      </c>
      <c r="E2603" t="s">
        <v>14</v>
      </c>
      <c r="F2603" t="s">
        <v>32</v>
      </c>
      <c r="G2603">
        <v>2</v>
      </c>
      <c r="H2603">
        <v>5196.95</v>
      </c>
      <c r="I2603">
        <v>518.30999999999995</v>
      </c>
      <c r="J2603" t="s">
        <v>71</v>
      </c>
      <c r="K2603" t="s">
        <v>33</v>
      </c>
      <c r="L2603">
        <f t="shared" si="120"/>
        <v>2023</v>
      </c>
      <c r="M2603" t="str">
        <f t="shared" si="121"/>
        <v>Mar</v>
      </c>
      <c r="N2603" s="2">
        <f t="shared" si="122"/>
        <v>9.973349753220638E-2</v>
      </c>
    </row>
    <row r="2604" spans="1:14" x14ac:dyDescent="0.45">
      <c r="A2604" t="s">
        <v>4915</v>
      </c>
      <c r="B2604" s="1">
        <v>45166</v>
      </c>
      <c r="C2604" t="s">
        <v>4916</v>
      </c>
      <c r="D2604" t="s">
        <v>13</v>
      </c>
      <c r="E2604" t="s">
        <v>20</v>
      </c>
      <c r="F2604" t="s">
        <v>27</v>
      </c>
      <c r="G2604">
        <v>1</v>
      </c>
      <c r="H2604">
        <v>18227.2</v>
      </c>
      <c r="I2604">
        <v>2685.5</v>
      </c>
      <c r="J2604" t="s">
        <v>22</v>
      </c>
      <c r="K2604" t="s">
        <v>33</v>
      </c>
      <c r="L2604">
        <f t="shared" si="120"/>
        <v>2023</v>
      </c>
      <c r="M2604" t="str">
        <f t="shared" si="121"/>
        <v>Aug</v>
      </c>
      <c r="N2604" s="2">
        <f t="shared" si="122"/>
        <v>0.14733475245786518</v>
      </c>
    </row>
    <row r="2605" spans="1:14" x14ac:dyDescent="0.45">
      <c r="A2605" t="s">
        <v>4917</v>
      </c>
      <c r="B2605" s="1">
        <v>44762</v>
      </c>
      <c r="C2605" t="s">
        <v>4918</v>
      </c>
      <c r="D2605" t="s">
        <v>13</v>
      </c>
      <c r="E2605" t="s">
        <v>20</v>
      </c>
      <c r="F2605" t="s">
        <v>21</v>
      </c>
      <c r="G2605">
        <v>4</v>
      </c>
      <c r="H2605">
        <v>4957.6400000000003</v>
      </c>
      <c r="I2605">
        <v>1175.27</v>
      </c>
      <c r="J2605" t="s">
        <v>71</v>
      </c>
      <c r="K2605" t="s">
        <v>23</v>
      </c>
      <c r="L2605">
        <f t="shared" si="120"/>
        <v>2022</v>
      </c>
      <c r="M2605" t="str">
        <f t="shared" si="121"/>
        <v>Jul</v>
      </c>
      <c r="N2605" s="2">
        <f t="shared" si="122"/>
        <v>0.23706239259002265</v>
      </c>
    </row>
    <row r="2606" spans="1:14" x14ac:dyDescent="0.45">
      <c r="A2606" t="s">
        <v>4919</v>
      </c>
      <c r="B2606" s="1">
        <v>44635</v>
      </c>
      <c r="C2606" t="s">
        <v>3754</v>
      </c>
      <c r="D2606" t="s">
        <v>13</v>
      </c>
      <c r="E2606" t="s">
        <v>36</v>
      </c>
      <c r="F2606" t="s">
        <v>46</v>
      </c>
      <c r="G2606">
        <v>5</v>
      </c>
      <c r="H2606">
        <v>44802.31</v>
      </c>
      <c r="I2606">
        <v>7296.14</v>
      </c>
      <c r="J2606" t="s">
        <v>71</v>
      </c>
      <c r="K2606" t="s">
        <v>17</v>
      </c>
      <c r="L2606">
        <f t="shared" si="120"/>
        <v>2022</v>
      </c>
      <c r="M2606" t="str">
        <f t="shared" si="121"/>
        <v>Mar</v>
      </c>
      <c r="N2606" s="2">
        <f t="shared" si="122"/>
        <v>0.16285187080755437</v>
      </c>
    </row>
    <row r="2607" spans="1:14" x14ac:dyDescent="0.45">
      <c r="A2607" t="s">
        <v>4920</v>
      </c>
      <c r="B2607" s="1">
        <v>45416</v>
      </c>
      <c r="C2607" t="s">
        <v>4921</v>
      </c>
      <c r="D2607" t="s">
        <v>13</v>
      </c>
      <c r="E2607" t="s">
        <v>14</v>
      </c>
      <c r="F2607" t="s">
        <v>40</v>
      </c>
      <c r="G2607">
        <v>5</v>
      </c>
      <c r="H2607">
        <v>23012.67</v>
      </c>
      <c r="I2607">
        <v>3301.88</v>
      </c>
      <c r="J2607" t="s">
        <v>28</v>
      </c>
      <c r="K2607" t="s">
        <v>23</v>
      </c>
      <c r="L2607">
        <f t="shared" si="120"/>
        <v>2024</v>
      </c>
      <c r="M2607" t="str">
        <f t="shared" si="121"/>
        <v>May</v>
      </c>
      <c r="N2607" s="2">
        <f t="shared" si="122"/>
        <v>0.14348096070555916</v>
      </c>
    </row>
    <row r="2608" spans="1:14" x14ac:dyDescent="0.45">
      <c r="A2608" t="s">
        <v>4922</v>
      </c>
      <c r="B2608" s="1">
        <v>45216</v>
      </c>
      <c r="C2608" t="s">
        <v>4923</v>
      </c>
      <c r="D2608" t="s">
        <v>56</v>
      </c>
      <c r="E2608" t="s">
        <v>36</v>
      </c>
      <c r="F2608" t="s">
        <v>46</v>
      </c>
      <c r="G2608">
        <v>3</v>
      </c>
      <c r="H2608">
        <v>17664.099999999999</v>
      </c>
      <c r="I2608">
        <v>2698.77</v>
      </c>
      <c r="J2608" t="s">
        <v>71</v>
      </c>
      <c r="K2608" t="s">
        <v>29</v>
      </c>
      <c r="L2608">
        <f t="shared" si="120"/>
        <v>2023</v>
      </c>
      <c r="M2608" t="str">
        <f t="shared" si="121"/>
        <v>Oct</v>
      </c>
      <c r="N2608" s="2">
        <f t="shared" si="122"/>
        <v>0.15278276277874334</v>
      </c>
    </row>
    <row r="2609" spans="1:14" x14ac:dyDescent="0.45">
      <c r="A2609" t="s">
        <v>4924</v>
      </c>
      <c r="B2609" s="1">
        <v>45018</v>
      </c>
      <c r="C2609" t="s">
        <v>2451</v>
      </c>
      <c r="D2609" t="s">
        <v>56</v>
      </c>
      <c r="E2609" t="s">
        <v>36</v>
      </c>
      <c r="F2609" t="s">
        <v>37</v>
      </c>
      <c r="G2609">
        <v>4</v>
      </c>
      <c r="H2609">
        <v>45590.94</v>
      </c>
      <c r="I2609">
        <v>11352.52</v>
      </c>
      <c r="J2609" t="s">
        <v>28</v>
      </c>
      <c r="K2609" t="s">
        <v>17</v>
      </c>
      <c r="L2609">
        <f t="shared" si="120"/>
        <v>2023</v>
      </c>
      <c r="M2609" t="str">
        <f t="shared" si="121"/>
        <v>Apr</v>
      </c>
      <c r="N2609" s="2">
        <f t="shared" si="122"/>
        <v>0.24900824593658302</v>
      </c>
    </row>
    <row r="2610" spans="1:14" x14ac:dyDescent="0.45">
      <c r="A2610" t="s">
        <v>4925</v>
      </c>
      <c r="B2610" s="1">
        <v>45528</v>
      </c>
      <c r="C2610" t="s">
        <v>4926</v>
      </c>
      <c r="D2610" t="s">
        <v>26</v>
      </c>
      <c r="E2610" t="s">
        <v>20</v>
      </c>
      <c r="F2610" t="s">
        <v>21</v>
      </c>
      <c r="G2610">
        <v>4</v>
      </c>
      <c r="H2610">
        <v>1683.16</v>
      </c>
      <c r="I2610">
        <v>115.87</v>
      </c>
      <c r="J2610" t="s">
        <v>16</v>
      </c>
      <c r="K2610" t="s">
        <v>23</v>
      </c>
      <c r="L2610">
        <f t="shared" si="120"/>
        <v>2024</v>
      </c>
      <c r="M2610" t="str">
        <f t="shared" si="121"/>
        <v>Aug</v>
      </c>
      <c r="N2610" s="2">
        <f t="shared" si="122"/>
        <v>6.8840751919009485E-2</v>
      </c>
    </row>
    <row r="2611" spans="1:14" x14ac:dyDescent="0.45">
      <c r="A2611" t="s">
        <v>4927</v>
      </c>
      <c r="B2611" s="1">
        <v>44862</v>
      </c>
      <c r="C2611" t="s">
        <v>4928</v>
      </c>
      <c r="D2611" t="s">
        <v>26</v>
      </c>
      <c r="E2611" t="s">
        <v>14</v>
      </c>
      <c r="F2611" t="s">
        <v>32</v>
      </c>
      <c r="G2611">
        <v>4</v>
      </c>
      <c r="H2611">
        <v>26392.82</v>
      </c>
      <c r="I2611">
        <v>4635.45</v>
      </c>
      <c r="J2611" t="s">
        <v>22</v>
      </c>
      <c r="K2611" t="s">
        <v>33</v>
      </c>
      <c r="L2611">
        <f t="shared" si="120"/>
        <v>2022</v>
      </c>
      <c r="M2611" t="str">
        <f t="shared" si="121"/>
        <v>Oct</v>
      </c>
      <c r="N2611" s="2">
        <f t="shared" si="122"/>
        <v>0.17563299412491731</v>
      </c>
    </row>
    <row r="2612" spans="1:14" x14ac:dyDescent="0.45">
      <c r="A2612" t="s">
        <v>4929</v>
      </c>
      <c r="B2612" s="1">
        <v>44666</v>
      </c>
      <c r="C2612" t="s">
        <v>1084</v>
      </c>
      <c r="D2612" t="s">
        <v>13</v>
      </c>
      <c r="E2612" t="s">
        <v>14</v>
      </c>
      <c r="F2612" t="s">
        <v>40</v>
      </c>
      <c r="G2612">
        <v>3</v>
      </c>
      <c r="H2612">
        <v>48743.65</v>
      </c>
      <c r="I2612">
        <v>6052.31</v>
      </c>
      <c r="J2612" t="s">
        <v>71</v>
      </c>
      <c r="K2612" t="s">
        <v>29</v>
      </c>
      <c r="L2612">
        <f t="shared" si="120"/>
        <v>2022</v>
      </c>
      <c r="M2612" t="str">
        <f t="shared" si="121"/>
        <v>Apr</v>
      </c>
      <c r="N2612" s="2">
        <f t="shared" si="122"/>
        <v>0.1241661221512956</v>
      </c>
    </row>
    <row r="2613" spans="1:14" x14ac:dyDescent="0.45">
      <c r="A2613" t="s">
        <v>4930</v>
      </c>
      <c r="B2613" s="1">
        <v>45218</v>
      </c>
      <c r="C2613" t="s">
        <v>3705</v>
      </c>
      <c r="D2613" t="s">
        <v>56</v>
      </c>
      <c r="E2613" t="s">
        <v>20</v>
      </c>
      <c r="F2613" t="s">
        <v>43</v>
      </c>
      <c r="G2613">
        <v>1</v>
      </c>
      <c r="H2613">
        <v>39948.53</v>
      </c>
      <c r="I2613">
        <v>4015.6</v>
      </c>
      <c r="J2613" t="s">
        <v>22</v>
      </c>
      <c r="K2613" t="s">
        <v>23</v>
      </c>
      <c r="L2613">
        <f t="shared" si="120"/>
        <v>2023</v>
      </c>
      <c r="M2613" t="str">
        <f t="shared" si="121"/>
        <v>Oct</v>
      </c>
      <c r="N2613" s="2">
        <f t="shared" si="122"/>
        <v>0.10051934326494617</v>
      </c>
    </row>
    <row r="2614" spans="1:14" x14ac:dyDescent="0.45">
      <c r="A2614" t="s">
        <v>4931</v>
      </c>
      <c r="B2614" s="1">
        <v>45500</v>
      </c>
      <c r="C2614" t="s">
        <v>4932</v>
      </c>
      <c r="D2614" t="s">
        <v>26</v>
      </c>
      <c r="E2614" t="s">
        <v>20</v>
      </c>
      <c r="F2614" t="s">
        <v>27</v>
      </c>
      <c r="G2614">
        <v>1</v>
      </c>
      <c r="H2614">
        <v>13479.68</v>
      </c>
      <c r="I2614">
        <v>2706.84</v>
      </c>
      <c r="J2614" t="s">
        <v>47</v>
      </c>
      <c r="K2614" t="s">
        <v>33</v>
      </c>
      <c r="L2614">
        <f t="shared" si="120"/>
        <v>2024</v>
      </c>
      <c r="M2614" t="str">
        <f t="shared" si="121"/>
        <v>Jul</v>
      </c>
      <c r="N2614" s="2">
        <f t="shared" si="122"/>
        <v>0.20080892128003039</v>
      </c>
    </row>
    <row r="2615" spans="1:14" x14ac:dyDescent="0.45">
      <c r="A2615" t="s">
        <v>4933</v>
      </c>
      <c r="B2615" s="1">
        <v>44694</v>
      </c>
      <c r="C2615" t="s">
        <v>3033</v>
      </c>
      <c r="D2615" t="s">
        <v>56</v>
      </c>
      <c r="E2615" t="s">
        <v>14</v>
      </c>
      <c r="F2615" t="s">
        <v>32</v>
      </c>
      <c r="G2615">
        <v>3</v>
      </c>
      <c r="H2615">
        <v>9377.73</v>
      </c>
      <c r="I2615">
        <v>2086.81</v>
      </c>
      <c r="J2615" t="s">
        <v>71</v>
      </c>
      <c r="K2615" t="s">
        <v>17</v>
      </c>
      <c r="L2615">
        <f t="shared" si="120"/>
        <v>2022</v>
      </c>
      <c r="M2615" t="str">
        <f t="shared" si="121"/>
        <v>May</v>
      </c>
      <c r="N2615" s="2">
        <f t="shared" si="122"/>
        <v>0.22252826643548065</v>
      </c>
    </row>
    <row r="2616" spans="1:14" x14ac:dyDescent="0.45">
      <c r="A2616" t="s">
        <v>4934</v>
      </c>
      <c r="B2616" s="1">
        <v>45430</v>
      </c>
      <c r="C2616" t="s">
        <v>1163</v>
      </c>
      <c r="D2616" t="s">
        <v>56</v>
      </c>
      <c r="E2616" t="s">
        <v>14</v>
      </c>
      <c r="F2616" t="s">
        <v>32</v>
      </c>
      <c r="G2616">
        <v>4</v>
      </c>
      <c r="H2616">
        <v>10854.15</v>
      </c>
      <c r="I2616">
        <v>2361.3000000000002</v>
      </c>
      <c r="J2616" t="s">
        <v>47</v>
      </c>
      <c r="K2616" t="s">
        <v>29</v>
      </c>
      <c r="L2616">
        <f t="shared" si="120"/>
        <v>2024</v>
      </c>
      <c r="M2616" t="str">
        <f t="shared" si="121"/>
        <v>May</v>
      </c>
      <c r="N2616" s="2">
        <f t="shared" si="122"/>
        <v>0.21754812675336163</v>
      </c>
    </row>
    <row r="2617" spans="1:14" x14ac:dyDescent="0.45">
      <c r="A2617" t="s">
        <v>4935</v>
      </c>
      <c r="B2617" s="1">
        <v>44957</v>
      </c>
      <c r="C2617" t="s">
        <v>4936</v>
      </c>
      <c r="D2617" t="s">
        <v>26</v>
      </c>
      <c r="E2617" t="s">
        <v>20</v>
      </c>
      <c r="F2617" t="s">
        <v>43</v>
      </c>
      <c r="G2617">
        <v>1</v>
      </c>
      <c r="H2617">
        <v>44450.97</v>
      </c>
      <c r="I2617">
        <v>4225.1899999999996</v>
      </c>
      <c r="J2617" t="s">
        <v>47</v>
      </c>
      <c r="K2617" t="s">
        <v>29</v>
      </c>
      <c r="L2617">
        <f t="shared" si="120"/>
        <v>2023</v>
      </c>
      <c r="M2617" t="str">
        <f t="shared" si="121"/>
        <v>Jan</v>
      </c>
      <c r="N2617" s="2">
        <f t="shared" si="122"/>
        <v>9.5052818869869424E-2</v>
      </c>
    </row>
    <row r="2618" spans="1:14" x14ac:dyDescent="0.45">
      <c r="A2618" t="s">
        <v>4937</v>
      </c>
      <c r="B2618" s="1">
        <v>44786</v>
      </c>
      <c r="C2618" t="s">
        <v>4938</v>
      </c>
      <c r="D2618" t="s">
        <v>26</v>
      </c>
      <c r="E2618" t="s">
        <v>14</v>
      </c>
      <c r="F2618" t="s">
        <v>40</v>
      </c>
      <c r="G2618">
        <v>1</v>
      </c>
      <c r="H2618">
        <v>40805.019999999997</v>
      </c>
      <c r="I2618">
        <v>2949.04</v>
      </c>
      <c r="J2618" t="s">
        <v>28</v>
      </c>
      <c r="K2618" t="s">
        <v>23</v>
      </c>
      <c r="L2618">
        <f t="shared" si="120"/>
        <v>2022</v>
      </c>
      <c r="M2618" t="str">
        <f t="shared" si="121"/>
        <v>Aug</v>
      </c>
      <c r="N2618" s="2">
        <f t="shared" si="122"/>
        <v>7.2271499928195121E-2</v>
      </c>
    </row>
    <row r="2619" spans="1:14" x14ac:dyDescent="0.45">
      <c r="A2619" t="s">
        <v>4939</v>
      </c>
      <c r="B2619" s="1">
        <v>45001</v>
      </c>
      <c r="C2619" t="s">
        <v>4940</v>
      </c>
      <c r="D2619" t="s">
        <v>56</v>
      </c>
      <c r="E2619" t="s">
        <v>36</v>
      </c>
      <c r="F2619" t="s">
        <v>46</v>
      </c>
      <c r="G2619">
        <v>3</v>
      </c>
      <c r="H2619">
        <v>29844.67</v>
      </c>
      <c r="I2619">
        <v>3787.02</v>
      </c>
      <c r="J2619" t="s">
        <v>28</v>
      </c>
      <c r="K2619" t="s">
        <v>29</v>
      </c>
      <c r="L2619">
        <f t="shared" si="120"/>
        <v>2023</v>
      </c>
      <c r="M2619" t="str">
        <f t="shared" si="121"/>
        <v>Mar</v>
      </c>
      <c r="N2619" s="2">
        <f t="shared" si="122"/>
        <v>0.12689099929736197</v>
      </c>
    </row>
    <row r="2620" spans="1:14" x14ac:dyDescent="0.45">
      <c r="A2620" t="s">
        <v>4941</v>
      </c>
      <c r="B2620" s="1">
        <v>44614</v>
      </c>
      <c r="C2620" t="s">
        <v>4942</v>
      </c>
      <c r="D2620" t="s">
        <v>13</v>
      </c>
      <c r="E2620" t="s">
        <v>20</v>
      </c>
      <c r="F2620" t="s">
        <v>50</v>
      </c>
      <c r="G2620">
        <v>5</v>
      </c>
      <c r="H2620">
        <v>45738.63</v>
      </c>
      <c r="I2620">
        <v>5698.65</v>
      </c>
      <c r="J2620" t="s">
        <v>16</v>
      </c>
      <c r="K2620" t="s">
        <v>17</v>
      </c>
      <c r="L2620">
        <f t="shared" si="120"/>
        <v>2022</v>
      </c>
      <c r="M2620" t="str">
        <f t="shared" si="121"/>
        <v>Feb</v>
      </c>
      <c r="N2620" s="2">
        <f t="shared" si="122"/>
        <v>0.12459161981895829</v>
      </c>
    </row>
    <row r="2621" spans="1:14" x14ac:dyDescent="0.45">
      <c r="A2621" t="s">
        <v>4943</v>
      </c>
      <c r="B2621" s="1">
        <v>44946</v>
      </c>
      <c r="C2621" t="s">
        <v>3104</v>
      </c>
      <c r="D2621" t="s">
        <v>26</v>
      </c>
      <c r="E2621" t="s">
        <v>14</v>
      </c>
      <c r="F2621" t="s">
        <v>15</v>
      </c>
      <c r="G2621">
        <v>1</v>
      </c>
      <c r="H2621">
        <v>28853.759999999998</v>
      </c>
      <c r="I2621">
        <v>5279.8</v>
      </c>
      <c r="J2621" t="s">
        <v>28</v>
      </c>
      <c r="K2621" t="s">
        <v>23</v>
      </c>
      <c r="L2621">
        <f t="shared" si="120"/>
        <v>2023</v>
      </c>
      <c r="M2621" t="str">
        <f t="shared" si="121"/>
        <v>Jan</v>
      </c>
      <c r="N2621" s="2">
        <f t="shared" si="122"/>
        <v>0.18298481723005947</v>
      </c>
    </row>
    <row r="2622" spans="1:14" x14ac:dyDescent="0.45">
      <c r="A2622" t="s">
        <v>4944</v>
      </c>
      <c r="B2622" s="1">
        <v>45233</v>
      </c>
      <c r="C2622" t="s">
        <v>4945</v>
      </c>
      <c r="D2622" t="s">
        <v>56</v>
      </c>
      <c r="E2622" t="s">
        <v>14</v>
      </c>
      <c r="F2622" t="s">
        <v>32</v>
      </c>
      <c r="G2622">
        <v>2</v>
      </c>
      <c r="H2622">
        <v>37789.67</v>
      </c>
      <c r="I2622">
        <v>2960.2</v>
      </c>
      <c r="J2622" t="s">
        <v>16</v>
      </c>
      <c r="K2622" t="s">
        <v>33</v>
      </c>
      <c r="L2622">
        <f t="shared" si="120"/>
        <v>2023</v>
      </c>
      <c r="M2622" t="str">
        <f t="shared" si="121"/>
        <v>Nov</v>
      </c>
      <c r="N2622" s="2">
        <f t="shared" si="122"/>
        <v>7.8333576345069961E-2</v>
      </c>
    </row>
    <row r="2623" spans="1:14" x14ac:dyDescent="0.45">
      <c r="A2623" t="s">
        <v>4946</v>
      </c>
      <c r="B2623" s="1">
        <v>44599</v>
      </c>
      <c r="C2623" t="s">
        <v>4947</v>
      </c>
      <c r="D2623" t="s">
        <v>26</v>
      </c>
      <c r="E2623" t="s">
        <v>20</v>
      </c>
      <c r="F2623" t="s">
        <v>21</v>
      </c>
      <c r="G2623">
        <v>3</v>
      </c>
      <c r="H2623">
        <v>7424.99</v>
      </c>
      <c r="I2623">
        <v>683.29</v>
      </c>
      <c r="J2623" t="s">
        <v>71</v>
      </c>
      <c r="K2623" t="s">
        <v>23</v>
      </c>
      <c r="L2623">
        <f t="shared" si="120"/>
        <v>2022</v>
      </c>
      <c r="M2623" t="str">
        <f t="shared" si="121"/>
        <v>Feb</v>
      </c>
      <c r="N2623" s="2">
        <f t="shared" si="122"/>
        <v>9.2025713165943657E-2</v>
      </c>
    </row>
    <row r="2624" spans="1:14" x14ac:dyDescent="0.45">
      <c r="A2624" t="s">
        <v>4948</v>
      </c>
      <c r="B2624" s="1">
        <v>45156</v>
      </c>
      <c r="C2624" t="s">
        <v>664</v>
      </c>
      <c r="D2624" t="s">
        <v>56</v>
      </c>
      <c r="E2624" t="s">
        <v>14</v>
      </c>
      <c r="F2624" t="s">
        <v>32</v>
      </c>
      <c r="G2624">
        <v>1</v>
      </c>
      <c r="H2624">
        <v>29917.87</v>
      </c>
      <c r="I2624">
        <v>1682.72</v>
      </c>
      <c r="J2624" t="s">
        <v>47</v>
      </c>
      <c r="K2624" t="s">
        <v>23</v>
      </c>
      <c r="L2624">
        <f t="shared" si="120"/>
        <v>2023</v>
      </c>
      <c r="M2624" t="str">
        <f t="shared" si="121"/>
        <v>Aug</v>
      </c>
      <c r="N2624" s="2">
        <f t="shared" si="122"/>
        <v>5.6244645758538298E-2</v>
      </c>
    </row>
    <row r="2625" spans="1:14" x14ac:dyDescent="0.45">
      <c r="A2625" t="s">
        <v>4949</v>
      </c>
      <c r="B2625" s="1">
        <v>44990</v>
      </c>
      <c r="C2625" t="s">
        <v>313</v>
      </c>
      <c r="D2625" t="s">
        <v>26</v>
      </c>
      <c r="E2625" t="s">
        <v>20</v>
      </c>
      <c r="F2625" t="s">
        <v>27</v>
      </c>
      <c r="G2625">
        <v>4</v>
      </c>
      <c r="H2625">
        <v>6484.36</v>
      </c>
      <c r="I2625">
        <v>580.52</v>
      </c>
      <c r="J2625" t="s">
        <v>16</v>
      </c>
      <c r="K2625" t="s">
        <v>33</v>
      </c>
      <c r="L2625">
        <f t="shared" si="120"/>
        <v>2023</v>
      </c>
      <c r="M2625" t="str">
        <f t="shared" si="121"/>
        <v>Mar</v>
      </c>
      <c r="N2625" s="2">
        <f t="shared" si="122"/>
        <v>8.9526183000326942E-2</v>
      </c>
    </row>
    <row r="2626" spans="1:14" x14ac:dyDescent="0.45">
      <c r="A2626" t="s">
        <v>4950</v>
      </c>
      <c r="B2626" s="1">
        <v>45556</v>
      </c>
      <c r="C2626" t="s">
        <v>4951</v>
      </c>
      <c r="D2626" t="s">
        <v>26</v>
      </c>
      <c r="E2626" t="s">
        <v>36</v>
      </c>
      <c r="F2626" t="s">
        <v>53</v>
      </c>
      <c r="G2626">
        <v>5</v>
      </c>
      <c r="H2626">
        <v>5915.58</v>
      </c>
      <c r="I2626">
        <v>910.27</v>
      </c>
      <c r="J2626" t="s">
        <v>16</v>
      </c>
      <c r="K2626" t="s">
        <v>23</v>
      </c>
      <c r="L2626">
        <f t="shared" si="120"/>
        <v>2024</v>
      </c>
      <c r="M2626" t="str">
        <f t="shared" si="121"/>
        <v>Sep</v>
      </c>
      <c r="N2626" s="2">
        <f t="shared" si="122"/>
        <v>0.15387671200457098</v>
      </c>
    </row>
    <row r="2627" spans="1:14" x14ac:dyDescent="0.45">
      <c r="A2627" t="s">
        <v>4952</v>
      </c>
      <c r="B2627" s="1">
        <v>45208</v>
      </c>
      <c r="C2627" t="s">
        <v>4953</v>
      </c>
      <c r="D2627" t="s">
        <v>56</v>
      </c>
      <c r="E2627" t="s">
        <v>20</v>
      </c>
      <c r="F2627" t="s">
        <v>43</v>
      </c>
      <c r="G2627">
        <v>2</v>
      </c>
      <c r="H2627">
        <v>21695</v>
      </c>
      <c r="I2627">
        <v>2297.84</v>
      </c>
      <c r="J2627" t="s">
        <v>28</v>
      </c>
      <c r="K2627" t="s">
        <v>23</v>
      </c>
      <c r="L2627">
        <f t="shared" ref="L2627:L2690" si="123">YEAR(B2627 )</f>
        <v>2023</v>
      </c>
      <c r="M2627" t="str">
        <f t="shared" ref="M2627:M2690" si="124">TEXT(B2627,"MMM")</f>
        <v>Oct</v>
      </c>
      <c r="N2627" s="2">
        <f t="shared" ref="N2627:N2690" si="125">I2627 / H2627</f>
        <v>0.10591564876699701</v>
      </c>
    </row>
    <row r="2628" spans="1:14" x14ac:dyDescent="0.45">
      <c r="A2628" t="s">
        <v>4954</v>
      </c>
      <c r="B2628" s="1">
        <v>44882</v>
      </c>
      <c r="C2628" t="s">
        <v>4579</v>
      </c>
      <c r="D2628" t="s">
        <v>26</v>
      </c>
      <c r="E2628" t="s">
        <v>20</v>
      </c>
      <c r="F2628" t="s">
        <v>50</v>
      </c>
      <c r="G2628">
        <v>2</v>
      </c>
      <c r="H2628">
        <v>45175.58</v>
      </c>
      <c r="I2628">
        <v>8120.05</v>
      </c>
      <c r="J2628" t="s">
        <v>47</v>
      </c>
      <c r="K2628" t="s">
        <v>23</v>
      </c>
      <c r="L2628">
        <f t="shared" si="123"/>
        <v>2022</v>
      </c>
      <c r="M2628" t="str">
        <f t="shared" si="124"/>
        <v>Nov</v>
      </c>
      <c r="N2628" s="2">
        <f t="shared" si="125"/>
        <v>0.17974423349960311</v>
      </c>
    </row>
    <row r="2629" spans="1:14" x14ac:dyDescent="0.45">
      <c r="A2629" t="s">
        <v>4955</v>
      </c>
      <c r="B2629" s="1">
        <v>44800</v>
      </c>
      <c r="C2629" t="s">
        <v>4956</v>
      </c>
      <c r="D2629" t="s">
        <v>26</v>
      </c>
      <c r="E2629" t="s">
        <v>14</v>
      </c>
      <c r="F2629" t="s">
        <v>40</v>
      </c>
      <c r="G2629">
        <v>2</v>
      </c>
      <c r="H2629">
        <v>15812.43</v>
      </c>
      <c r="I2629">
        <v>2074.25</v>
      </c>
      <c r="J2629" t="s">
        <v>22</v>
      </c>
      <c r="K2629" t="s">
        <v>33</v>
      </c>
      <c r="L2629">
        <f t="shared" si="123"/>
        <v>2022</v>
      </c>
      <c r="M2629" t="str">
        <f t="shared" si="124"/>
        <v>Aug</v>
      </c>
      <c r="N2629" s="2">
        <f t="shared" si="125"/>
        <v>0.13117844632355685</v>
      </c>
    </row>
    <row r="2630" spans="1:14" x14ac:dyDescent="0.45">
      <c r="A2630" t="s">
        <v>4957</v>
      </c>
      <c r="B2630" s="1">
        <v>45248</v>
      </c>
      <c r="C2630" t="s">
        <v>4958</v>
      </c>
      <c r="D2630" t="s">
        <v>26</v>
      </c>
      <c r="E2630" t="s">
        <v>20</v>
      </c>
      <c r="F2630" t="s">
        <v>27</v>
      </c>
      <c r="G2630">
        <v>5</v>
      </c>
      <c r="H2630">
        <v>44472.2</v>
      </c>
      <c r="I2630">
        <v>6317.91</v>
      </c>
      <c r="J2630" t="s">
        <v>71</v>
      </c>
      <c r="K2630" t="s">
        <v>33</v>
      </c>
      <c r="L2630">
        <f t="shared" si="123"/>
        <v>2023</v>
      </c>
      <c r="M2630" t="str">
        <f t="shared" si="124"/>
        <v>Nov</v>
      </c>
      <c r="N2630" s="2">
        <f t="shared" si="125"/>
        <v>0.14206425587220781</v>
      </c>
    </row>
    <row r="2631" spans="1:14" x14ac:dyDescent="0.45">
      <c r="A2631" t="s">
        <v>4959</v>
      </c>
      <c r="B2631" s="1">
        <v>45358</v>
      </c>
      <c r="C2631" t="s">
        <v>4960</v>
      </c>
      <c r="D2631" t="s">
        <v>13</v>
      </c>
      <c r="E2631" t="s">
        <v>14</v>
      </c>
      <c r="F2631" t="s">
        <v>57</v>
      </c>
      <c r="G2631">
        <v>4</v>
      </c>
      <c r="H2631">
        <v>10635.7</v>
      </c>
      <c r="I2631">
        <v>1549.91</v>
      </c>
      <c r="J2631" t="s">
        <v>16</v>
      </c>
      <c r="K2631" t="s">
        <v>17</v>
      </c>
      <c r="L2631">
        <f t="shared" si="123"/>
        <v>2024</v>
      </c>
      <c r="M2631" t="str">
        <f t="shared" si="124"/>
        <v>Mar</v>
      </c>
      <c r="N2631" s="2">
        <f t="shared" si="125"/>
        <v>0.145727126564307</v>
      </c>
    </row>
    <row r="2632" spans="1:14" x14ac:dyDescent="0.45">
      <c r="A2632" t="s">
        <v>4961</v>
      </c>
      <c r="B2632" s="1">
        <v>44620</v>
      </c>
      <c r="C2632" t="s">
        <v>4962</v>
      </c>
      <c r="D2632" t="s">
        <v>13</v>
      </c>
      <c r="E2632" t="s">
        <v>20</v>
      </c>
      <c r="F2632" t="s">
        <v>50</v>
      </c>
      <c r="G2632">
        <v>4</v>
      </c>
      <c r="H2632">
        <v>48291.59</v>
      </c>
      <c r="I2632">
        <v>7821.97</v>
      </c>
      <c r="J2632" t="s">
        <v>71</v>
      </c>
      <c r="K2632" t="s">
        <v>17</v>
      </c>
      <c r="L2632">
        <f t="shared" si="123"/>
        <v>2022</v>
      </c>
      <c r="M2632" t="str">
        <f t="shared" si="124"/>
        <v>Feb</v>
      </c>
      <c r="N2632" s="2">
        <f t="shared" si="125"/>
        <v>0.16197375153727597</v>
      </c>
    </row>
    <row r="2633" spans="1:14" x14ac:dyDescent="0.45">
      <c r="A2633" t="s">
        <v>4963</v>
      </c>
      <c r="B2633" s="1">
        <v>45094</v>
      </c>
      <c r="C2633" t="s">
        <v>2537</v>
      </c>
      <c r="D2633" t="s">
        <v>26</v>
      </c>
      <c r="E2633" t="s">
        <v>14</v>
      </c>
      <c r="F2633" t="s">
        <v>40</v>
      </c>
      <c r="G2633">
        <v>1</v>
      </c>
      <c r="H2633">
        <v>7687.08</v>
      </c>
      <c r="I2633">
        <v>909.41</v>
      </c>
      <c r="J2633" t="s">
        <v>47</v>
      </c>
      <c r="K2633" t="s">
        <v>33</v>
      </c>
      <c r="L2633">
        <f t="shared" si="123"/>
        <v>2023</v>
      </c>
      <c r="M2633" t="str">
        <f t="shared" si="124"/>
        <v>Jun</v>
      </c>
      <c r="N2633" s="2">
        <f t="shared" si="125"/>
        <v>0.11830369919397223</v>
      </c>
    </row>
    <row r="2634" spans="1:14" x14ac:dyDescent="0.45">
      <c r="A2634" t="s">
        <v>4964</v>
      </c>
      <c r="B2634" s="1">
        <v>44963</v>
      </c>
      <c r="C2634" t="s">
        <v>4965</v>
      </c>
      <c r="D2634" t="s">
        <v>26</v>
      </c>
      <c r="E2634" t="s">
        <v>20</v>
      </c>
      <c r="F2634" t="s">
        <v>50</v>
      </c>
      <c r="G2634">
        <v>5</v>
      </c>
      <c r="H2634">
        <v>13038.16</v>
      </c>
      <c r="I2634">
        <v>2323.08</v>
      </c>
      <c r="J2634" t="s">
        <v>71</v>
      </c>
      <c r="K2634" t="s">
        <v>29</v>
      </c>
      <c r="L2634">
        <f t="shared" si="123"/>
        <v>2023</v>
      </c>
      <c r="M2634" t="str">
        <f t="shared" si="124"/>
        <v>Feb</v>
      </c>
      <c r="N2634" s="2">
        <f t="shared" si="125"/>
        <v>0.17817544806935948</v>
      </c>
    </row>
    <row r="2635" spans="1:14" x14ac:dyDescent="0.45">
      <c r="A2635" t="s">
        <v>4966</v>
      </c>
      <c r="B2635" s="1">
        <v>45260</v>
      </c>
      <c r="C2635" t="s">
        <v>4763</v>
      </c>
      <c r="D2635" t="s">
        <v>26</v>
      </c>
      <c r="E2635" t="s">
        <v>36</v>
      </c>
      <c r="F2635" t="s">
        <v>64</v>
      </c>
      <c r="G2635">
        <v>1</v>
      </c>
      <c r="H2635">
        <v>11512.34</v>
      </c>
      <c r="I2635">
        <v>2121.1999999999998</v>
      </c>
      <c r="J2635" t="s">
        <v>16</v>
      </c>
      <c r="K2635" t="s">
        <v>23</v>
      </c>
      <c r="L2635">
        <f t="shared" si="123"/>
        <v>2023</v>
      </c>
      <c r="M2635" t="str">
        <f t="shared" si="124"/>
        <v>Nov</v>
      </c>
      <c r="N2635" s="2">
        <f t="shared" si="125"/>
        <v>0.18425446086547129</v>
      </c>
    </row>
    <row r="2636" spans="1:14" x14ac:dyDescent="0.45">
      <c r="A2636" t="s">
        <v>4967</v>
      </c>
      <c r="B2636" s="1">
        <v>45635</v>
      </c>
      <c r="C2636" t="s">
        <v>4968</v>
      </c>
      <c r="D2636" t="s">
        <v>56</v>
      </c>
      <c r="E2636" t="s">
        <v>14</v>
      </c>
      <c r="F2636" t="s">
        <v>40</v>
      </c>
      <c r="G2636">
        <v>1</v>
      </c>
      <c r="H2636">
        <v>48247.29</v>
      </c>
      <c r="I2636">
        <v>10509.26</v>
      </c>
      <c r="J2636" t="s">
        <v>16</v>
      </c>
      <c r="K2636" t="s">
        <v>33</v>
      </c>
      <c r="L2636">
        <f t="shared" si="123"/>
        <v>2024</v>
      </c>
      <c r="M2636" t="str">
        <f t="shared" si="124"/>
        <v>Dec</v>
      </c>
      <c r="N2636" s="2">
        <f t="shared" si="125"/>
        <v>0.21782073148564407</v>
      </c>
    </row>
    <row r="2637" spans="1:14" x14ac:dyDescent="0.45">
      <c r="A2637" t="s">
        <v>4969</v>
      </c>
      <c r="B2637" s="1">
        <v>44846</v>
      </c>
      <c r="C2637" t="s">
        <v>4970</v>
      </c>
      <c r="D2637" t="s">
        <v>56</v>
      </c>
      <c r="E2637" t="s">
        <v>36</v>
      </c>
      <c r="F2637" t="s">
        <v>64</v>
      </c>
      <c r="G2637">
        <v>4</v>
      </c>
      <c r="H2637">
        <v>3479.42</v>
      </c>
      <c r="I2637">
        <v>569.62</v>
      </c>
      <c r="J2637" t="s">
        <v>47</v>
      </c>
      <c r="K2637" t="s">
        <v>23</v>
      </c>
      <c r="L2637">
        <f t="shared" si="123"/>
        <v>2022</v>
      </c>
      <c r="M2637" t="str">
        <f t="shared" si="124"/>
        <v>Oct</v>
      </c>
      <c r="N2637" s="2">
        <f t="shared" si="125"/>
        <v>0.16371119324485114</v>
      </c>
    </row>
    <row r="2638" spans="1:14" x14ac:dyDescent="0.45">
      <c r="A2638" t="s">
        <v>4971</v>
      </c>
      <c r="B2638" s="1">
        <v>44773</v>
      </c>
      <c r="C2638" t="s">
        <v>4972</v>
      </c>
      <c r="D2638" t="s">
        <v>26</v>
      </c>
      <c r="E2638" t="s">
        <v>20</v>
      </c>
      <c r="F2638" t="s">
        <v>43</v>
      </c>
      <c r="G2638">
        <v>2</v>
      </c>
      <c r="H2638">
        <v>25838.55</v>
      </c>
      <c r="I2638">
        <v>5812.69</v>
      </c>
      <c r="J2638" t="s">
        <v>71</v>
      </c>
      <c r="K2638" t="s">
        <v>29</v>
      </c>
      <c r="L2638">
        <f t="shared" si="123"/>
        <v>2022</v>
      </c>
      <c r="M2638" t="str">
        <f t="shared" si="124"/>
        <v>Jul</v>
      </c>
      <c r="N2638" s="2">
        <f t="shared" si="125"/>
        <v>0.22496192704311968</v>
      </c>
    </row>
    <row r="2639" spans="1:14" x14ac:dyDescent="0.45">
      <c r="A2639" t="s">
        <v>4973</v>
      </c>
      <c r="B2639" s="1">
        <v>44873</v>
      </c>
      <c r="C2639" t="s">
        <v>4974</v>
      </c>
      <c r="D2639" t="s">
        <v>26</v>
      </c>
      <c r="E2639" t="s">
        <v>20</v>
      </c>
      <c r="F2639" t="s">
        <v>50</v>
      </c>
      <c r="G2639">
        <v>5</v>
      </c>
      <c r="H2639">
        <v>14441.96</v>
      </c>
      <c r="I2639">
        <v>1638.3</v>
      </c>
      <c r="J2639" t="s">
        <v>47</v>
      </c>
      <c r="K2639" t="s">
        <v>29</v>
      </c>
      <c r="L2639">
        <f t="shared" si="123"/>
        <v>2022</v>
      </c>
      <c r="M2639" t="str">
        <f t="shared" si="124"/>
        <v>Nov</v>
      </c>
      <c r="N2639" s="2">
        <f t="shared" si="125"/>
        <v>0.1134402809590942</v>
      </c>
    </row>
    <row r="2640" spans="1:14" x14ac:dyDescent="0.45">
      <c r="A2640" t="s">
        <v>4975</v>
      </c>
      <c r="B2640" s="1">
        <v>45055</v>
      </c>
      <c r="C2640" t="s">
        <v>4976</v>
      </c>
      <c r="D2640" t="s">
        <v>13</v>
      </c>
      <c r="E2640" t="s">
        <v>36</v>
      </c>
      <c r="F2640" t="s">
        <v>53</v>
      </c>
      <c r="G2640">
        <v>5</v>
      </c>
      <c r="H2640">
        <v>19916.18</v>
      </c>
      <c r="I2640">
        <v>4723.25</v>
      </c>
      <c r="J2640" t="s">
        <v>16</v>
      </c>
      <c r="K2640" t="s">
        <v>33</v>
      </c>
      <c r="L2640">
        <f t="shared" si="123"/>
        <v>2023</v>
      </c>
      <c r="M2640" t="str">
        <f t="shared" si="124"/>
        <v>May</v>
      </c>
      <c r="N2640" s="2">
        <f t="shared" si="125"/>
        <v>0.23715642256697819</v>
      </c>
    </row>
    <row r="2641" spans="1:14" x14ac:dyDescent="0.45">
      <c r="A2641" t="s">
        <v>4977</v>
      </c>
      <c r="B2641" s="1">
        <v>45075</v>
      </c>
      <c r="C2641" t="s">
        <v>4599</v>
      </c>
      <c r="D2641" t="s">
        <v>13</v>
      </c>
      <c r="E2641" t="s">
        <v>36</v>
      </c>
      <c r="F2641" t="s">
        <v>64</v>
      </c>
      <c r="G2641">
        <v>2</v>
      </c>
      <c r="H2641">
        <v>16341.99</v>
      </c>
      <c r="I2641">
        <v>2737.27</v>
      </c>
      <c r="J2641" t="s">
        <v>28</v>
      </c>
      <c r="K2641" t="s">
        <v>33</v>
      </c>
      <c r="L2641">
        <f t="shared" si="123"/>
        <v>2023</v>
      </c>
      <c r="M2641" t="str">
        <f t="shared" si="124"/>
        <v>May</v>
      </c>
      <c r="N2641" s="2">
        <f t="shared" si="125"/>
        <v>0.16749918461582708</v>
      </c>
    </row>
    <row r="2642" spans="1:14" x14ac:dyDescent="0.45">
      <c r="A2642" t="s">
        <v>4978</v>
      </c>
      <c r="B2642" s="1">
        <v>45349</v>
      </c>
      <c r="C2642" t="s">
        <v>4979</v>
      </c>
      <c r="D2642" t="s">
        <v>13</v>
      </c>
      <c r="E2642" t="s">
        <v>14</v>
      </c>
      <c r="F2642" t="s">
        <v>57</v>
      </c>
      <c r="G2642">
        <v>2</v>
      </c>
      <c r="H2642">
        <v>46800.32</v>
      </c>
      <c r="I2642">
        <v>3997.79</v>
      </c>
      <c r="J2642" t="s">
        <v>16</v>
      </c>
      <c r="K2642" t="s">
        <v>23</v>
      </c>
      <c r="L2642">
        <f t="shared" si="123"/>
        <v>2024</v>
      </c>
      <c r="M2642" t="str">
        <f t="shared" si="124"/>
        <v>Feb</v>
      </c>
      <c r="N2642" s="2">
        <f t="shared" si="125"/>
        <v>8.5422279163903159E-2</v>
      </c>
    </row>
    <row r="2643" spans="1:14" x14ac:dyDescent="0.45">
      <c r="A2643" t="s">
        <v>4980</v>
      </c>
      <c r="B2643" s="1">
        <v>45303</v>
      </c>
      <c r="C2643" t="s">
        <v>4981</v>
      </c>
      <c r="D2643" t="s">
        <v>26</v>
      </c>
      <c r="E2643" t="s">
        <v>20</v>
      </c>
      <c r="F2643" t="s">
        <v>21</v>
      </c>
      <c r="G2643">
        <v>1</v>
      </c>
      <c r="H2643">
        <v>12372.91</v>
      </c>
      <c r="I2643">
        <v>1791.85</v>
      </c>
      <c r="J2643" t="s">
        <v>16</v>
      </c>
      <c r="K2643" t="s">
        <v>29</v>
      </c>
      <c r="L2643">
        <f t="shared" si="123"/>
        <v>2024</v>
      </c>
      <c r="M2643" t="str">
        <f t="shared" si="124"/>
        <v>Jan</v>
      </c>
      <c r="N2643" s="2">
        <f t="shared" si="125"/>
        <v>0.14482041815547028</v>
      </c>
    </row>
    <row r="2644" spans="1:14" x14ac:dyDescent="0.45">
      <c r="A2644" t="s">
        <v>4982</v>
      </c>
      <c r="B2644" s="1">
        <v>44992</v>
      </c>
      <c r="C2644" t="s">
        <v>4983</v>
      </c>
      <c r="D2644" t="s">
        <v>56</v>
      </c>
      <c r="E2644" t="s">
        <v>20</v>
      </c>
      <c r="F2644" t="s">
        <v>27</v>
      </c>
      <c r="G2644">
        <v>3</v>
      </c>
      <c r="H2644">
        <v>34216.43</v>
      </c>
      <c r="I2644">
        <v>6997.28</v>
      </c>
      <c r="J2644" t="s">
        <v>47</v>
      </c>
      <c r="K2644" t="s">
        <v>33</v>
      </c>
      <c r="L2644">
        <f t="shared" si="123"/>
        <v>2023</v>
      </c>
      <c r="M2644" t="str">
        <f t="shared" si="124"/>
        <v>Mar</v>
      </c>
      <c r="N2644" s="2">
        <f t="shared" si="125"/>
        <v>0.20450058641418756</v>
      </c>
    </row>
    <row r="2645" spans="1:14" x14ac:dyDescent="0.45">
      <c r="A2645" t="s">
        <v>4984</v>
      </c>
      <c r="B2645" s="1">
        <v>45164</v>
      </c>
      <c r="C2645" t="s">
        <v>3102</v>
      </c>
      <c r="D2645" t="s">
        <v>26</v>
      </c>
      <c r="E2645" t="s">
        <v>14</v>
      </c>
      <c r="F2645" t="s">
        <v>40</v>
      </c>
      <c r="G2645">
        <v>1</v>
      </c>
      <c r="H2645">
        <v>1896.92</v>
      </c>
      <c r="I2645">
        <v>263.56</v>
      </c>
      <c r="J2645" t="s">
        <v>22</v>
      </c>
      <c r="K2645" t="s">
        <v>29</v>
      </c>
      <c r="L2645">
        <f t="shared" si="123"/>
        <v>2023</v>
      </c>
      <c r="M2645" t="str">
        <f t="shared" si="124"/>
        <v>Aug</v>
      </c>
      <c r="N2645" s="2">
        <f t="shared" si="125"/>
        <v>0.13894102018008139</v>
      </c>
    </row>
    <row r="2646" spans="1:14" x14ac:dyDescent="0.45">
      <c r="A2646" t="s">
        <v>4985</v>
      </c>
      <c r="B2646" s="1">
        <v>45034</v>
      </c>
      <c r="C2646" t="s">
        <v>4986</v>
      </c>
      <c r="D2646" t="s">
        <v>13</v>
      </c>
      <c r="E2646" t="s">
        <v>14</v>
      </c>
      <c r="F2646" t="s">
        <v>40</v>
      </c>
      <c r="G2646">
        <v>2</v>
      </c>
      <c r="H2646">
        <v>3273.51</v>
      </c>
      <c r="I2646">
        <v>595.33000000000004</v>
      </c>
      <c r="J2646" t="s">
        <v>16</v>
      </c>
      <c r="K2646" t="s">
        <v>33</v>
      </c>
      <c r="L2646">
        <f t="shared" si="123"/>
        <v>2023</v>
      </c>
      <c r="M2646" t="str">
        <f t="shared" si="124"/>
        <v>Apr</v>
      </c>
      <c r="N2646" s="2">
        <f t="shared" si="125"/>
        <v>0.18186289334689676</v>
      </c>
    </row>
    <row r="2647" spans="1:14" x14ac:dyDescent="0.45">
      <c r="A2647" t="s">
        <v>4987</v>
      </c>
      <c r="B2647" s="1">
        <v>45288</v>
      </c>
      <c r="C2647" t="s">
        <v>4988</v>
      </c>
      <c r="D2647" t="s">
        <v>26</v>
      </c>
      <c r="E2647" t="s">
        <v>36</v>
      </c>
      <c r="F2647" t="s">
        <v>46</v>
      </c>
      <c r="G2647">
        <v>3</v>
      </c>
      <c r="H2647">
        <v>13676.36</v>
      </c>
      <c r="I2647">
        <v>1262.06</v>
      </c>
      <c r="J2647" t="s">
        <v>71</v>
      </c>
      <c r="K2647" t="s">
        <v>23</v>
      </c>
      <c r="L2647">
        <f t="shared" si="123"/>
        <v>2023</v>
      </c>
      <c r="M2647" t="str">
        <f t="shared" si="124"/>
        <v>Dec</v>
      </c>
      <c r="N2647" s="2">
        <f t="shared" si="125"/>
        <v>9.2280402095294353E-2</v>
      </c>
    </row>
    <row r="2648" spans="1:14" x14ac:dyDescent="0.45">
      <c r="A2648" t="s">
        <v>4989</v>
      </c>
      <c r="B2648" s="1">
        <v>44731</v>
      </c>
      <c r="C2648" t="s">
        <v>4990</v>
      </c>
      <c r="D2648" t="s">
        <v>56</v>
      </c>
      <c r="E2648" t="s">
        <v>36</v>
      </c>
      <c r="F2648" t="s">
        <v>53</v>
      </c>
      <c r="G2648">
        <v>2</v>
      </c>
      <c r="H2648">
        <v>30818.75</v>
      </c>
      <c r="I2648">
        <v>4645.79</v>
      </c>
      <c r="J2648" t="s">
        <v>71</v>
      </c>
      <c r="K2648" t="s">
        <v>17</v>
      </c>
      <c r="L2648">
        <f t="shared" si="123"/>
        <v>2022</v>
      </c>
      <c r="M2648" t="str">
        <f t="shared" si="124"/>
        <v>Jun</v>
      </c>
      <c r="N2648" s="2">
        <f t="shared" si="125"/>
        <v>0.15074556885013182</v>
      </c>
    </row>
    <row r="2649" spans="1:14" x14ac:dyDescent="0.45">
      <c r="A2649" t="s">
        <v>4991</v>
      </c>
      <c r="B2649" s="1">
        <v>45084</v>
      </c>
      <c r="C2649" t="s">
        <v>4992</v>
      </c>
      <c r="D2649" t="s">
        <v>26</v>
      </c>
      <c r="E2649" t="s">
        <v>14</v>
      </c>
      <c r="F2649" t="s">
        <v>40</v>
      </c>
      <c r="G2649">
        <v>2</v>
      </c>
      <c r="H2649">
        <v>25987.58</v>
      </c>
      <c r="I2649">
        <v>6463.55</v>
      </c>
      <c r="J2649" t="s">
        <v>71</v>
      </c>
      <c r="K2649" t="s">
        <v>29</v>
      </c>
      <c r="L2649">
        <f t="shared" si="123"/>
        <v>2023</v>
      </c>
      <c r="M2649" t="str">
        <f t="shared" si="124"/>
        <v>Jun</v>
      </c>
      <c r="N2649" s="2">
        <f t="shared" si="125"/>
        <v>0.24871688706682191</v>
      </c>
    </row>
    <row r="2650" spans="1:14" x14ac:dyDescent="0.45">
      <c r="A2650" t="s">
        <v>4993</v>
      </c>
      <c r="B2650" s="1">
        <v>45500</v>
      </c>
      <c r="C2650" t="s">
        <v>4994</v>
      </c>
      <c r="D2650" t="s">
        <v>13</v>
      </c>
      <c r="E2650" t="s">
        <v>20</v>
      </c>
      <c r="F2650" t="s">
        <v>50</v>
      </c>
      <c r="G2650">
        <v>4</v>
      </c>
      <c r="H2650">
        <v>20870.68</v>
      </c>
      <c r="I2650">
        <v>3321.06</v>
      </c>
      <c r="J2650" t="s">
        <v>22</v>
      </c>
      <c r="K2650" t="s">
        <v>23</v>
      </c>
      <c r="L2650">
        <f t="shared" si="123"/>
        <v>2024</v>
      </c>
      <c r="M2650" t="str">
        <f t="shared" si="124"/>
        <v>Jul</v>
      </c>
      <c r="N2650" s="2">
        <f t="shared" si="125"/>
        <v>0.15912562503952912</v>
      </c>
    </row>
    <row r="2651" spans="1:14" x14ac:dyDescent="0.45">
      <c r="A2651" t="s">
        <v>4995</v>
      </c>
      <c r="B2651" s="1">
        <v>44629</v>
      </c>
      <c r="C2651" t="s">
        <v>4996</v>
      </c>
      <c r="D2651" t="s">
        <v>13</v>
      </c>
      <c r="E2651" t="s">
        <v>36</v>
      </c>
      <c r="F2651" t="s">
        <v>64</v>
      </c>
      <c r="G2651">
        <v>3</v>
      </c>
      <c r="H2651">
        <v>23756.33</v>
      </c>
      <c r="I2651">
        <v>4819.3100000000004</v>
      </c>
      <c r="J2651" t="s">
        <v>22</v>
      </c>
      <c r="K2651" t="s">
        <v>23</v>
      </c>
      <c r="L2651">
        <f t="shared" si="123"/>
        <v>2022</v>
      </c>
      <c r="M2651" t="str">
        <f t="shared" si="124"/>
        <v>Mar</v>
      </c>
      <c r="N2651" s="2">
        <f t="shared" si="125"/>
        <v>0.20286424712908097</v>
      </c>
    </row>
    <row r="2652" spans="1:14" x14ac:dyDescent="0.45">
      <c r="A2652" t="s">
        <v>4997</v>
      </c>
      <c r="B2652" s="1">
        <v>45185</v>
      </c>
      <c r="C2652" t="s">
        <v>4998</v>
      </c>
      <c r="D2652" t="s">
        <v>56</v>
      </c>
      <c r="E2652" t="s">
        <v>20</v>
      </c>
      <c r="F2652" t="s">
        <v>43</v>
      </c>
      <c r="G2652">
        <v>2</v>
      </c>
      <c r="H2652">
        <v>46232.66</v>
      </c>
      <c r="I2652">
        <v>8111.08</v>
      </c>
      <c r="J2652" t="s">
        <v>28</v>
      </c>
      <c r="K2652" t="s">
        <v>23</v>
      </c>
      <c r="L2652">
        <f t="shared" si="123"/>
        <v>2023</v>
      </c>
      <c r="M2652" t="str">
        <f t="shared" si="124"/>
        <v>Sep</v>
      </c>
      <c r="N2652" s="2">
        <f t="shared" si="125"/>
        <v>0.17544047865729551</v>
      </c>
    </row>
    <row r="2653" spans="1:14" x14ac:dyDescent="0.45">
      <c r="A2653" t="s">
        <v>4999</v>
      </c>
      <c r="B2653" s="1">
        <v>45512</v>
      </c>
      <c r="C2653" t="s">
        <v>5000</v>
      </c>
      <c r="D2653" t="s">
        <v>56</v>
      </c>
      <c r="E2653" t="s">
        <v>36</v>
      </c>
      <c r="F2653" t="s">
        <v>46</v>
      </c>
      <c r="G2653">
        <v>4</v>
      </c>
      <c r="H2653">
        <v>38450.019999999997</v>
      </c>
      <c r="I2653">
        <v>2093.54</v>
      </c>
      <c r="J2653" t="s">
        <v>16</v>
      </c>
      <c r="K2653" t="s">
        <v>23</v>
      </c>
      <c r="L2653">
        <f t="shared" si="123"/>
        <v>2024</v>
      </c>
      <c r="M2653" t="str">
        <f t="shared" si="124"/>
        <v>Aug</v>
      </c>
      <c r="N2653" s="2">
        <f t="shared" si="125"/>
        <v>5.4448346190717201E-2</v>
      </c>
    </row>
    <row r="2654" spans="1:14" x14ac:dyDescent="0.45">
      <c r="A2654" t="s">
        <v>5001</v>
      </c>
      <c r="B2654" s="1">
        <v>45542</v>
      </c>
      <c r="C2654" t="s">
        <v>5002</v>
      </c>
      <c r="D2654" t="s">
        <v>13</v>
      </c>
      <c r="E2654" t="s">
        <v>20</v>
      </c>
      <c r="F2654" t="s">
        <v>21</v>
      </c>
      <c r="G2654">
        <v>3</v>
      </c>
      <c r="H2654">
        <v>42761.89</v>
      </c>
      <c r="I2654">
        <v>3032.83</v>
      </c>
      <c r="J2654" t="s">
        <v>71</v>
      </c>
      <c r="K2654" t="s">
        <v>33</v>
      </c>
      <c r="L2654">
        <f t="shared" si="123"/>
        <v>2024</v>
      </c>
      <c r="M2654" t="str">
        <f t="shared" si="124"/>
        <v>Sep</v>
      </c>
      <c r="N2654" s="2">
        <f t="shared" si="125"/>
        <v>7.0923665909060615E-2</v>
      </c>
    </row>
    <row r="2655" spans="1:14" x14ac:dyDescent="0.45">
      <c r="A2655" t="s">
        <v>5003</v>
      </c>
      <c r="B2655" s="1">
        <v>44998</v>
      </c>
      <c r="C2655" t="s">
        <v>5004</v>
      </c>
      <c r="D2655" t="s">
        <v>56</v>
      </c>
      <c r="E2655" t="s">
        <v>14</v>
      </c>
      <c r="F2655" t="s">
        <v>32</v>
      </c>
      <c r="G2655">
        <v>4</v>
      </c>
      <c r="H2655">
        <v>27860.240000000002</v>
      </c>
      <c r="I2655">
        <v>1607.42</v>
      </c>
      <c r="J2655" t="s">
        <v>47</v>
      </c>
      <c r="K2655" t="s">
        <v>23</v>
      </c>
      <c r="L2655">
        <f t="shared" si="123"/>
        <v>2023</v>
      </c>
      <c r="M2655" t="str">
        <f t="shared" si="124"/>
        <v>Mar</v>
      </c>
      <c r="N2655" s="2">
        <f t="shared" si="125"/>
        <v>5.7695841816150902E-2</v>
      </c>
    </row>
    <row r="2656" spans="1:14" x14ac:dyDescent="0.45">
      <c r="A2656" t="s">
        <v>5005</v>
      </c>
      <c r="B2656" s="1">
        <v>45513</v>
      </c>
      <c r="C2656" t="s">
        <v>5006</v>
      </c>
      <c r="D2656" t="s">
        <v>56</v>
      </c>
      <c r="E2656" t="s">
        <v>14</v>
      </c>
      <c r="F2656" t="s">
        <v>32</v>
      </c>
      <c r="G2656">
        <v>4</v>
      </c>
      <c r="H2656">
        <v>11437.01</v>
      </c>
      <c r="I2656">
        <v>1578.1</v>
      </c>
      <c r="J2656" t="s">
        <v>71</v>
      </c>
      <c r="K2656" t="s">
        <v>33</v>
      </c>
      <c r="L2656">
        <f t="shared" si="123"/>
        <v>2024</v>
      </c>
      <c r="M2656" t="str">
        <f t="shared" si="124"/>
        <v>Aug</v>
      </c>
      <c r="N2656" s="2">
        <f t="shared" si="125"/>
        <v>0.13798186763848241</v>
      </c>
    </row>
    <row r="2657" spans="1:14" x14ac:dyDescent="0.45">
      <c r="A2657" t="s">
        <v>5007</v>
      </c>
      <c r="B2657" s="1">
        <v>45194</v>
      </c>
      <c r="C2657" t="s">
        <v>2627</v>
      </c>
      <c r="D2657" t="s">
        <v>13</v>
      </c>
      <c r="E2657" t="s">
        <v>14</v>
      </c>
      <c r="F2657" t="s">
        <v>15</v>
      </c>
      <c r="G2657">
        <v>3</v>
      </c>
      <c r="H2657">
        <v>42365.279999999999</v>
      </c>
      <c r="I2657">
        <v>9448.33</v>
      </c>
      <c r="J2657" t="s">
        <v>28</v>
      </c>
      <c r="K2657" t="s">
        <v>29</v>
      </c>
      <c r="L2657">
        <f t="shared" si="123"/>
        <v>2023</v>
      </c>
      <c r="M2657" t="str">
        <f t="shared" si="124"/>
        <v>Sep</v>
      </c>
      <c r="N2657" s="2">
        <f t="shared" si="125"/>
        <v>0.22302059611077751</v>
      </c>
    </row>
    <row r="2658" spans="1:14" x14ac:dyDescent="0.45">
      <c r="A2658" t="s">
        <v>5008</v>
      </c>
      <c r="B2658" s="1">
        <v>45014</v>
      </c>
      <c r="C2658" t="s">
        <v>1126</v>
      </c>
      <c r="D2658" t="s">
        <v>56</v>
      </c>
      <c r="E2658" t="s">
        <v>20</v>
      </c>
      <c r="F2658" t="s">
        <v>21</v>
      </c>
      <c r="G2658">
        <v>4</v>
      </c>
      <c r="H2658">
        <v>33885.49</v>
      </c>
      <c r="I2658">
        <v>7896.41</v>
      </c>
      <c r="J2658" t="s">
        <v>47</v>
      </c>
      <c r="K2658" t="s">
        <v>33</v>
      </c>
      <c r="L2658">
        <f t="shared" si="123"/>
        <v>2023</v>
      </c>
      <c r="M2658" t="str">
        <f t="shared" si="124"/>
        <v>Mar</v>
      </c>
      <c r="N2658" s="2">
        <f t="shared" si="125"/>
        <v>0.23303219165489419</v>
      </c>
    </row>
    <row r="2659" spans="1:14" x14ac:dyDescent="0.45">
      <c r="A2659" t="s">
        <v>5009</v>
      </c>
      <c r="B2659" s="1">
        <v>45430</v>
      </c>
      <c r="C2659" t="s">
        <v>5010</v>
      </c>
      <c r="D2659" t="s">
        <v>26</v>
      </c>
      <c r="E2659" t="s">
        <v>20</v>
      </c>
      <c r="F2659" t="s">
        <v>50</v>
      </c>
      <c r="G2659">
        <v>5</v>
      </c>
      <c r="H2659">
        <v>44996.25</v>
      </c>
      <c r="I2659">
        <v>4975.2299999999996</v>
      </c>
      <c r="J2659" t="s">
        <v>16</v>
      </c>
      <c r="K2659" t="s">
        <v>17</v>
      </c>
      <c r="L2659">
        <f t="shared" si="123"/>
        <v>2024</v>
      </c>
      <c r="M2659" t="str">
        <f t="shared" si="124"/>
        <v>May</v>
      </c>
      <c r="N2659" s="2">
        <f t="shared" si="125"/>
        <v>0.11056988082340194</v>
      </c>
    </row>
    <row r="2660" spans="1:14" x14ac:dyDescent="0.45">
      <c r="A2660" t="s">
        <v>5011</v>
      </c>
      <c r="B2660" s="1">
        <v>45401</v>
      </c>
      <c r="C2660" t="s">
        <v>5012</v>
      </c>
      <c r="D2660" t="s">
        <v>26</v>
      </c>
      <c r="E2660" t="s">
        <v>20</v>
      </c>
      <c r="F2660" t="s">
        <v>50</v>
      </c>
      <c r="G2660">
        <v>2</v>
      </c>
      <c r="H2660">
        <v>8453.2000000000007</v>
      </c>
      <c r="I2660">
        <v>813.79</v>
      </c>
      <c r="J2660" t="s">
        <v>71</v>
      </c>
      <c r="K2660" t="s">
        <v>17</v>
      </c>
      <c r="L2660">
        <f t="shared" si="123"/>
        <v>2024</v>
      </c>
      <c r="M2660" t="str">
        <f t="shared" si="124"/>
        <v>Apr</v>
      </c>
      <c r="N2660" s="2">
        <f t="shared" si="125"/>
        <v>9.6270051578100591E-2</v>
      </c>
    </row>
    <row r="2661" spans="1:14" x14ac:dyDescent="0.45">
      <c r="A2661" t="s">
        <v>5013</v>
      </c>
      <c r="B2661" s="1">
        <v>44769</v>
      </c>
      <c r="C2661" t="s">
        <v>2384</v>
      </c>
      <c r="D2661" t="s">
        <v>13</v>
      </c>
      <c r="E2661" t="s">
        <v>20</v>
      </c>
      <c r="F2661" t="s">
        <v>21</v>
      </c>
      <c r="G2661">
        <v>2</v>
      </c>
      <c r="H2661">
        <v>31561.19</v>
      </c>
      <c r="I2661">
        <v>2445.4299999999998</v>
      </c>
      <c r="J2661" t="s">
        <v>16</v>
      </c>
      <c r="K2661" t="s">
        <v>23</v>
      </c>
      <c r="L2661">
        <f t="shared" si="123"/>
        <v>2022</v>
      </c>
      <c r="M2661" t="str">
        <f t="shared" si="124"/>
        <v>Jul</v>
      </c>
      <c r="N2661" s="2">
        <f t="shared" si="125"/>
        <v>7.748218619133182E-2</v>
      </c>
    </row>
    <row r="2662" spans="1:14" x14ac:dyDescent="0.45">
      <c r="A2662" t="s">
        <v>5014</v>
      </c>
      <c r="B2662" s="1">
        <v>45483</v>
      </c>
      <c r="C2662" t="s">
        <v>5015</v>
      </c>
      <c r="D2662" t="s">
        <v>26</v>
      </c>
      <c r="E2662" t="s">
        <v>14</v>
      </c>
      <c r="F2662" t="s">
        <v>15</v>
      </c>
      <c r="G2662">
        <v>2</v>
      </c>
      <c r="H2662">
        <v>13431.05</v>
      </c>
      <c r="I2662">
        <v>3280.44</v>
      </c>
      <c r="J2662" t="s">
        <v>47</v>
      </c>
      <c r="K2662" t="s">
        <v>17</v>
      </c>
      <c r="L2662">
        <f t="shared" si="123"/>
        <v>2024</v>
      </c>
      <c r="M2662" t="str">
        <f t="shared" si="124"/>
        <v>Jul</v>
      </c>
      <c r="N2662" s="2">
        <f t="shared" si="125"/>
        <v>0.24424300408382071</v>
      </c>
    </row>
    <row r="2663" spans="1:14" x14ac:dyDescent="0.45">
      <c r="A2663" t="s">
        <v>5016</v>
      </c>
      <c r="B2663" s="1">
        <v>44596</v>
      </c>
      <c r="C2663" t="s">
        <v>5017</v>
      </c>
      <c r="D2663" t="s">
        <v>13</v>
      </c>
      <c r="E2663" t="s">
        <v>36</v>
      </c>
      <c r="F2663" t="s">
        <v>37</v>
      </c>
      <c r="G2663">
        <v>4</v>
      </c>
      <c r="H2663">
        <v>27852.87</v>
      </c>
      <c r="I2663">
        <v>4349.38</v>
      </c>
      <c r="J2663" t="s">
        <v>47</v>
      </c>
      <c r="K2663" t="s">
        <v>23</v>
      </c>
      <c r="L2663">
        <f t="shared" si="123"/>
        <v>2022</v>
      </c>
      <c r="M2663" t="str">
        <f t="shared" si="124"/>
        <v>Feb</v>
      </c>
      <c r="N2663" s="2">
        <f t="shared" si="125"/>
        <v>0.15615554160127845</v>
      </c>
    </row>
    <row r="2664" spans="1:14" x14ac:dyDescent="0.45">
      <c r="A2664" t="s">
        <v>5018</v>
      </c>
      <c r="B2664" s="1">
        <v>45631</v>
      </c>
      <c r="C2664" t="s">
        <v>1942</v>
      </c>
      <c r="D2664" t="s">
        <v>13</v>
      </c>
      <c r="E2664" t="s">
        <v>36</v>
      </c>
      <c r="F2664" t="s">
        <v>64</v>
      </c>
      <c r="G2664">
        <v>2</v>
      </c>
      <c r="H2664">
        <v>41192.699999999997</v>
      </c>
      <c r="I2664">
        <v>9280.74</v>
      </c>
      <c r="J2664" t="s">
        <v>28</v>
      </c>
      <c r="K2664" t="s">
        <v>33</v>
      </c>
      <c r="L2664">
        <f t="shared" si="123"/>
        <v>2024</v>
      </c>
      <c r="M2664" t="str">
        <f t="shared" si="124"/>
        <v>Dec</v>
      </c>
      <c r="N2664" s="2">
        <f t="shared" si="125"/>
        <v>0.22530059937804514</v>
      </c>
    </row>
    <row r="2665" spans="1:14" x14ac:dyDescent="0.45">
      <c r="A2665" t="s">
        <v>5019</v>
      </c>
      <c r="B2665" s="1">
        <v>45378</v>
      </c>
      <c r="C2665" t="s">
        <v>4279</v>
      </c>
      <c r="D2665" t="s">
        <v>26</v>
      </c>
      <c r="E2665" t="s">
        <v>14</v>
      </c>
      <c r="F2665" t="s">
        <v>32</v>
      </c>
      <c r="G2665">
        <v>4</v>
      </c>
      <c r="H2665">
        <v>3099.63</v>
      </c>
      <c r="I2665">
        <v>294.52</v>
      </c>
      <c r="J2665" t="s">
        <v>22</v>
      </c>
      <c r="K2665" t="s">
        <v>29</v>
      </c>
      <c r="L2665">
        <f t="shared" si="123"/>
        <v>2024</v>
      </c>
      <c r="M2665" t="str">
        <f t="shared" si="124"/>
        <v>Mar</v>
      </c>
      <c r="N2665" s="2">
        <f t="shared" si="125"/>
        <v>9.5017792446195182E-2</v>
      </c>
    </row>
    <row r="2666" spans="1:14" x14ac:dyDescent="0.45">
      <c r="A2666" t="s">
        <v>5020</v>
      </c>
      <c r="B2666" s="1">
        <v>44597</v>
      </c>
      <c r="C2666" t="s">
        <v>1096</v>
      </c>
      <c r="D2666" t="s">
        <v>26</v>
      </c>
      <c r="E2666" t="s">
        <v>14</v>
      </c>
      <c r="F2666" t="s">
        <v>32</v>
      </c>
      <c r="G2666">
        <v>5</v>
      </c>
      <c r="H2666">
        <v>19803.939999999999</v>
      </c>
      <c r="I2666">
        <v>2647.44</v>
      </c>
      <c r="J2666" t="s">
        <v>28</v>
      </c>
      <c r="K2666" t="s">
        <v>33</v>
      </c>
      <c r="L2666">
        <f t="shared" si="123"/>
        <v>2022</v>
      </c>
      <c r="M2666" t="str">
        <f t="shared" si="124"/>
        <v>Feb</v>
      </c>
      <c r="N2666" s="2">
        <f t="shared" si="125"/>
        <v>0.13368248944401973</v>
      </c>
    </row>
    <row r="2667" spans="1:14" x14ac:dyDescent="0.45">
      <c r="A2667" t="s">
        <v>5021</v>
      </c>
      <c r="B2667" s="1">
        <v>45059</v>
      </c>
      <c r="C2667" t="s">
        <v>5022</v>
      </c>
      <c r="D2667" t="s">
        <v>26</v>
      </c>
      <c r="E2667" t="s">
        <v>14</v>
      </c>
      <c r="F2667" t="s">
        <v>57</v>
      </c>
      <c r="G2667">
        <v>3</v>
      </c>
      <c r="H2667">
        <v>1318.29</v>
      </c>
      <c r="I2667">
        <v>208.53</v>
      </c>
      <c r="J2667" t="s">
        <v>71</v>
      </c>
      <c r="K2667" t="s">
        <v>33</v>
      </c>
      <c r="L2667">
        <f t="shared" si="123"/>
        <v>2023</v>
      </c>
      <c r="M2667" t="str">
        <f t="shared" si="124"/>
        <v>May</v>
      </c>
      <c r="N2667" s="2">
        <f t="shared" si="125"/>
        <v>0.15818219056505017</v>
      </c>
    </row>
    <row r="2668" spans="1:14" x14ac:dyDescent="0.45">
      <c r="A2668" t="s">
        <v>5023</v>
      </c>
      <c r="B2668" s="1">
        <v>45570</v>
      </c>
      <c r="C2668" t="s">
        <v>5024</v>
      </c>
      <c r="D2668" t="s">
        <v>26</v>
      </c>
      <c r="E2668" t="s">
        <v>14</v>
      </c>
      <c r="F2668" t="s">
        <v>32</v>
      </c>
      <c r="G2668">
        <v>3</v>
      </c>
      <c r="H2668">
        <v>12092.28</v>
      </c>
      <c r="I2668">
        <v>1940.11</v>
      </c>
      <c r="J2668" t="s">
        <v>22</v>
      </c>
      <c r="K2668" t="s">
        <v>33</v>
      </c>
      <c r="L2668">
        <f t="shared" si="123"/>
        <v>2024</v>
      </c>
      <c r="M2668" t="str">
        <f t="shared" si="124"/>
        <v>Oct</v>
      </c>
      <c r="N2668" s="2">
        <f t="shared" si="125"/>
        <v>0.16044203409117219</v>
      </c>
    </row>
    <row r="2669" spans="1:14" x14ac:dyDescent="0.45">
      <c r="A2669" t="s">
        <v>5025</v>
      </c>
      <c r="B2669" s="1">
        <v>45570</v>
      </c>
      <c r="C2669" t="s">
        <v>5026</v>
      </c>
      <c r="D2669" t="s">
        <v>56</v>
      </c>
      <c r="E2669" t="s">
        <v>20</v>
      </c>
      <c r="F2669" t="s">
        <v>50</v>
      </c>
      <c r="G2669">
        <v>1</v>
      </c>
      <c r="H2669">
        <v>39884.15</v>
      </c>
      <c r="I2669">
        <v>4572.82</v>
      </c>
      <c r="J2669" t="s">
        <v>28</v>
      </c>
      <c r="K2669" t="s">
        <v>17</v>
      </c>
      <c r="L2669">
        <f t="shared" si="123"/>
        <v>2024</v>
      </c>
      <c r="M2669" t="str">
        <f t="shared" si="124"/>
        <v>Oct</v>
      </c>
      <c r="N2669" s="2">
        <f t="shared" si="125"/>
        <v>0.11465256248409454</v>
      </c>
    </row>
    <row r="2670" spans="1:14" x14ac:dyDescent="0.45">
      <c r="A2670" t="s">
        <v>5027</v>
      </c>
      <c r="B2670" s="1">
        <v>45196</v>
      </c>
      <c r="C2670" t="s">
        <v>5028</v>
      </c>
      <c r="D2670" t="s">
        <v>13</v>
      </c>
      <c r="E2670" t="s">
        <v>20</v>
      </c>
      <c r="F2670" t="s">
        <v>43</v>
      </c>
      <c r="G2670">
        <v>4</v>
      </c>
      <c r="H2670">
        <v>7656.47</v>
      </c>
      <c r="I2670">
        <v>880.92</v>
      </c>
      <c r="J2670" t="s">
        <v>28</v>
      </c>
      <c r="K2670" t="s">
        <v>17</v>
      </c>
      <c r="L2670">
        <f t="shared" si="123"/>
        <v>2023</v>
      </c>
      <c r="M2670" t="str">
        <f t="shared" si="124"/>
        <v>Sep</v>
      </c>
      <c r="N2670" s="2">
        <f t="shared" si="125"/>
        <v>0.11505563268712604</v>
      </c>
    </row>
    <row r="2671" spans="1:14" x14ac:dyDescent="0.45">
      <c r="A2671" t="s">
        <v>5029</v>
      </c>
      <c r="B2671" s="1">
        <v>45422</v>
      </c>
      <c r="C2671" t="s">
        <v>5030</v>
      </c>
      <c r="D2671" t="s">
        <v>56</v>
      </c>
      <c r="E2671" t="s">
        <v>14</v>
      </c>
      <c r="F2671" t="s">
        <v>15</v>
      </c>
      <c r="G2671">
        <v>5</v>
      </c>
      <c r="H2671">
        <v>30136.98</v>
      </c>
      <c r="I2671">
        <v>3291.56</v>
      </c>
      <c r="J2671" t="s">
        <v>71</v>
      </c>
      <c r="K2671" t="s">
        <v>17</v>
      </c>
      <c r="L2671">
        <f t="shared" si="123"/>
        <v>2024</v>
      </c>
      <c r="M2671" t="str">
        <f t="shared" si="124"/>
        <v>May</v>
      </c>
      <c r="N2671" s="2">
        <f t="shared" si="125"/>
        <v>0.10921996829144792</v>
      </c>
    </row>
    <row r="2672" spans="1:14" x14ac:dyDescent="0.45">
      <c r="A2672" t="s">
        <v>5031</v>
      </c>
      <c r="B2672" s="1">
        <v>44901</v>
      </c>
      <c r="C2672" t="s">
        <v>3800</v>
      </c>
      <c r="D2672" t="s">
        <v>56</v>
      </c>
      <c r="E2672" t="s">
        <v>20</v>
      </c>
      <c r="F2672" t="s">
        <v>27</v>
      </c>
      <c r="G2672">
        <v>5</v>
      </c>
      <c r="H2672">
        <v>3008.78</v>
      </c>
      <c r="I2672">
        <v>743.63</v>
      </c>
      <c r="J2672" t="s">
        <v>71</v>
      </c>
      <c r="K2672" t="s">
        <v>17</v>
      </c>
      <c r="L2672">
        <f t="shared" si="123"/>
        <v>2022</v>
      </c>
      <c r="M2672" t="str">
        <f t="shared" si="124"/>
        <v>Dec</v>
      </c>
      <c r="N2672" s="2">
        <f t="shared" si="125"/>
        <v>0.24715333125054006</v>
      </c>
    </row>
    <row r="2673" spans="1:14" x14ac:dyDescent="0.45">
      <c r="A2673" t="s">
        <v>5032</v>
      </c>
      <c r="B2673" s="1">
        <v>45457</v>
      </c>
      <c r="C2673" t="s">
        <v>1681</v>
      </c>
      <c r="D2673" t="s">
        <v>13</v>
      </c>
      <c r="E2673" t="s">
        <v>14</v>
      </c>
      <c r="F2673" t="s">
        <v>57</v>
      </c>
      <c r="G2673">
        <v>5</v>
      </c>
      <c r="H2673">
        <v>46612.56</v>
      </c>
      <c r="I2673">
        <v>9747.77</v>
      </c>
      <c r="J2673" t="s">
        <v>28</v>
      </c>
      <c r="K2673" t="s">
        <v>33</v>
      </c>
      <c r="L2673">
        <f t="shared" si="123"/>
        <v>2024</v>
      </c>
      <c r="M2673" t="str">
        <f t="shared" si="124"/>
        <v>Jun</v>
      </c>
      <c r="N2673" s="2">
        <f t="shared" si="125"/>
        <v>0.20912324918434003</v>
      </c>
    </row>
    <row r="2674" spans="1:14" x14ac:dyDescent="0.45">
      <c r="A2674" t="s">
        <v>5033</v>
      </c>
      <c r="B2674" s="1">
        <v>45204</v>
      </c>
      <c r="C2674" t="s">
        <v>2593</v>
      </c>
      <c r="D2674" t="s">
        <v>56</v>
      </c>
      <c r="E2674" t="s">
        <v>36</v>
      </c>
      <c r="F2674" t="s">
        <v>64</v>
      </c>
      <c r="G2674">
        <v>5</v>
      </c>
      <c r="H2674">
        <v>14699.82</v>
      </c>
      <c r="I2674">
        <v>2990.08</v>
      </c>
      <c r="J2674" t="s">
        <v>22</v>
      </c>
      <c r="K2674" t="s">
        <v>33</v>
      </c>
      <c r="L2674">
        <f t="shared" si="123"/>
        <v>2023</v>
      </c>
      <c r="M2674" t="str">
        <f t="shared" si="124"/>
        <v>Oct</v>
      </c>
      <c r="N2674" s="2">
        <f t="shared" si="125"/>
        <v>0.20340929344713066</v>
      </c>
    </row>
    <row r="2675" spans="1:14" x14ac:dyDescent="0.45">
      <c r="A2675" t="s">
        <v>5034</v>
      </c>
      <c r="B2675" s="1">
        <v>45427</v>
      </c>
      <c r="C2675" t="s">
        <v>5035</v>
      </c>
      <c r="D2675" t="s">
        <v>56</v>
      </c>
      <c r="E2675" t="s">
        <v>36</v>
      </c>
      <c r="F2675" t="s">
        <v>46</v>
      </c>
      <c r="G2675">
        <v>2</v>
      </c>
      <c r="H2675">
        <v>40873.660000000003</v>
      </c>
      <c r="I2675">
        <v>2203.63</v>
      </c>
      <c r="J2675" t="s">
        <v>22</v>
      </c>
      <c r="K2675" t="s">
        <v>23</v>
      </c>
      <c r="L2675">
        <f t="shared" si="123"/>
        <v>2024</v>
      </c>
      <c r="M2675" t="str">
        <f t="shared" si="124"/>
        <v>May</v>
      </c>
      <c r="N2675" s="2">
        <f t="shared" si="125"/>
        <v>5.3913204738699691E-2</v>
      </c>
    </row>
    <row r="2676" spans="1:14" x14ac:dyDescent="0.45">
      <c r="A2676" t="s">
        <v>5036</v>
      </c>
      <c r="B2676" s="1">
        <v>44573</v>
      </c>
      <c r="C2676" t="s">
        <v>5037</v>
      </c>
      <c r="D2676" t="s">
        <v>56</v>
      </c>
      <c r="E2676" t="s">
        <v>20</v>
      </c>
      <c r="F2676" t="s">
        <v>50</v>
      </c>
      <c r="G2676">
        <v>1</v>
      </c>
      <c r="H2676">
        <v>16974.169999999998</v>
      </c>
      <c r="I2676">
        <v>1615.56</v>
      </c>
      <c r="J2676" t="s">
        <v>47</v>
      </c>
      <c r="K2676" t="s">
        <v>33</v>
      </c>
      <c r="L2676">
        <f t="shared" si="123"/>
        <v>2022</v>
      </c>
      <c r="M2676" t="str">
        <f t="shared" si="124"/>
        <v>Jan</v>
      </c>
      <c r="N2676" s="2">
        <f t="shared" si="125"/>
        <v>9.5177555073385031E-2</v>
      </c>
    </row>
    <row r="2677" spans="1:14" x14ac:dyDescent="0.45">
      <c r="A2677" t="s">
        <v>5038</v>
      </c>
      <c r="B2677" s="1">
        <v>44922</v>
      </c>
      <c r="C2677" t="s">
        <v>3792</v>
      </c>
      <c r="D2677" t="s">
        <v>26</v>
      </c>
      <c r="E2677" t="s">
        <v>20</v>
      </c>
      <c r="F2677" t="s">
        <v>50</v>
      </c>
      <c r="G2677">
        <v>4</v>
      </c>
      <c r="H2677">
        <v>32402.29</v>
      </c>
      <c r="I2677">
        <v>7523.95</v>
      </c>
      <c r="J2677" t="s">
        <v>47</v>
      </c>
      <c r="K2677" t="s">
        <v>17</v>
      </c>
      <c r="L2677">
        <f t="shared" si="123"/>
        <v>2022</v>
      </c>
      <c r="M2677" t="str">
        <f t="shared" si="124"/>
        <v>Dec</v>
      </c>
      <c r="N2677" s="2">
        <f t="shared" si="125"/>
        <v>0.23220426704408853</v>
      </c>
    </row>
    <row r="2678" spans="1:14" x14ac:dyDescent="0.45">
      <c r="A2678" t="s">
        <v>5039</v>
      </c>
      <c r="B2678" s="1">
        <v>45405</v>
      </c>
      <c r="C2678" t="s">
        <v>2049</v>
      </c>
      <c r="D2678" t="s">
        <v>56</v>
      </c>
      <c r="E2678" t="s">
        <v>20</v>
      </c>
      <c r="F2678" t="s">
        <v>50</v>
      </c>
      <c r="G2678">
        <v>4</v>
      </c>
      <c r="H2678">
        <v>10539.16</v>
      </c>
      <c r="I2678">
        <v>1586.95</v>
      </c>
      <c r="J2678" t="s">
        <v>47</v>
      </c>
      <c r="K2678" t="s">
        <v>17</v>
      </c>
      <c r="L2678">
        <f t="shared" si="123"/>
        <v>2024</v>
      </c>
      <c r="M2678" t="str">
        <f t="shared" si="124"/>
        <v>Apr</v>
      </c>
      <c r="N2678" s="2">
        <f t="shared" si="125"/>
        <v>0.15057651653452458</v>
      </c>
    </row>
    <row r="2679" spans="1:14" x14ac:dyDescent="0.45">
      <c r="A2679" t="s">
        <v>5040</v>
      </c>
      <c r="B2679" s="1">
        <v>45507</v>
      </c>
      <c r="C2679" t="s">
        <v>5041</v>
      </c>
      <c r="D2679" t="s">
        <v>13</v>
      </c>
      <c r="E2679" t="s">
        <v>36</v>
      </c>
      <c r="F2679" t="s">
        <v>46</v>
      </c>
      <c r="G2679">
        <v>4</v>
      </c>
      <c r="H2679">
        <v>11076.45</v>
      </c>
      <c r="I2679">
        <v>1568.43</v>
      </c>
      <c r="J2679" t="s">
        <v>22</v>
      </c>
      <c r="K2679" t="s">
        <v>29</v>
      </c>
      <c r="L2679">
        <f t="shared" si="123"/>
        <v>2024</v>
      </c>
      <c r="M2679" t="str">
        <f t="shared" si="124"/>
        <v>Aug</v>
      </c>
      <c r="N2679" s="2">
        <f t="shared" si="125"/>
        <v>0.14160042251804503</v>
      </c>
    </row>
    <row r="2680" spans="1:14" x14ac:dyDescent="0.45">
      <c r="A2680" t="s">
        <v>5042</v>
      </c>
      <c r="B2680" s="1">
        <v>45573</v>
      </c>
      <c r="C2680" t="s">
        <v>5043</v>
      </c>
      <c r="D2680" t="s">
        <v>26</v>
      </c>
      <c r="E2680" t="s">
        <v>20</v>
      </c>
      <c r="F2680" t="s">
        <v>50</v>
      </c>
      <c r="G2680">
        <v>3</v>
      </c>
      <c r="H2680">
        <v>17676.45</v>
      </c>
      <c r="I2680">
        <v>3948.36</v>
      </c>
      <c r="J2680" t="s">
        <v>47</v>
      </c>
      <c r="K2680" t="s">
        <v>29</v>
      </c>
      <c r="L2680">
        <f t="shared" si="123"/>
        <v>2024</v>
      </c>
      <c r="M2680" t="str">
        <f t="shared" si="124"/>
        <v>Oct</v>
      </c>
      <c r="N2680" s="2">
        <f t="shared" si="125"/>
        <v>0.22336837996317133</v>
      </c>
    </row>
    <row r="2681" spans="1:14" x14ac:dyDescent="0.45">
      <c r="A2681" t="s">
        <v>5044</v>
      </c>
      <c r="B2681" s="1">
        <v>45104</v>
      </c>
      <c r="C2681" t="s">
        <v>5045</v>
      </c>
      <c r="D2681" t="s">
        <v>13</v>
      </c>
      <c r="E2681" t="s">
        <v>36</v>
      </c>
      <c r="F2681" t="s">
        <v>46</v>
      </c>
      <c r="G2681">
        <v>4</v>
      </c>
      <c r="H2681">
        <v>30917.119999999999</v>
      </c>
      <c r="I2681">
        <v>5094.5200000000004</v>
      </c>
      <c r="J2681" t="s">
        <v>16</v>
      </c>
      <c r="K2681" t="s">
        <v>29</v>
      </c>
      <c r="L2681">
        <f t="shared" si="123"/>
        <v>2023</v>
      </c>
      <c r="M2681" t="str">
        <f t="shared" si="124"/>
        <v>Jun</v>
      </c>
      <c r="N2681" s="2">
        <f t="shared" si="125"/>
        <v>0.16477990187960589</v>
      </c>
    </row>
    <row r="2682" spans="1:14" x14ac:dyDescent="0.45">
      <c r="A2682" t="s">
        <v>5046</v>
      </c>
      <c r="B2682" s="1">
        <v>45071</v>
      </c>
      <c r="C2682" t="s">
        <v>5047</v>
      </c>
      <c r="D2682" t="s">
        <v>26</v>
      </c>
      <c r="E2682" t="s">
        <v>14</v>
      </c>
      <c r="F2682" t="s">
        <v>40</v>
      </c>
      <c r="G2682">
        <v>2</v>
      </c>
      <c r="H2682">
        <v>27717.69</v>
      </c>
      <c r="I2682">
        <v>5794.96</v>
      </c>
      <c r="J2682" t="s">
        <v>71</v>
      </c>
      <c r="K2682" t="s">
        <v>23</v>
      </c>
      <c r="L2682">
        <f t="shared" si="123"/>
        <v>2023</v>
      </c>
      <c r="M2682" t="str">
        <f t="shared" si="124"/>
        <v>May</v>
      </c>
      <c r="N2682" s="2">
        <f t="shared" si="125"/>
        <v>0.20907081362119284</v>
      </c>
    </row>
    <row r="2683" spans="1:14" x14ac:dyDescent="0.45">
      <c r="A2683" t="s">
        <v>5048</v>
      </c>
      <c r="B2683" s="1">
        <v>45224</v>
      </c>
      <c r="C2683" t="s">
        <v>5049</v>
      </c>
      <c r="D2683" t="s">
        <v>13</v>
      </c>
      <c r="E2683" t="s">
        <v>36</v>
      </c>
      <c r="F2683" t="s">
        <v>64</v>
      </c>
      <c r="G2683">
        <v>1</v>
      </c>
      <c r="H2683">
        <v>36904.46</v>
      </c>
      <c r="I2683">
        <v>5504.26</v>
      </c>
      <c r="J2683" t="s">
        <v>47</v>
      </c>
      <c r="K2683" t="s">
        <v>17</v>
      </c>
      <c r="L2683">
        <f t="shared" si="123"/>
        <v>2023</v>
      </c>
      <c r="M2683" t="str">
        <f t="shared" si="124"/>
        <v>Oct</v>
      </c>
      <c r="N2683" s="2">
        <f t="shared" si="125"/>
        <v>0.1491489104568933</v>
      </c>
    </row>
    <row r="2684" spans="1:14" x14ac:dyDescent="0.45">
      <c r="A2684" t="s">
        <v>5050</v>
      </c>
      <c r="B2684" s="1">
        <v>44617</v>
      </c>
      <c r="C2684" t="s">
        <v>5051</v>
      </c>
      <c r="D2684" t="s">
        <v>26</v>
      </c>
      <c r="E2684" t="s">
        <v>20</v>
      </c>
      <c r="F2684" t="s">
        <v>50</v>
      </c>
      <c r="G2684">
        <v>4</v>
      </c>
      <c r="H2684">
        <v>25163.4</v>
      </c>
      <c r="I2684">
        <v>1936.24</v>
      </c>
      <c r="J2684" t="s">
        <v>71</v>
      </c>
      <c r="K2684" t="s">
        <v>23</v>
      </c>
      <c r="L2684">
        <f t="shared" si="123"/>
        <v>2022</v>
      </c>
      <c r="M2684" t="str">
        <f t="shared" si="124"/>
        <v>Feb</v>
      </c>
      <c r="N2684" s="2">
        <f t="shared" si="125"/>
        <v>7.6946676522250568E-2</v>
      </c>
    </row>
    <row r="2685" spans="1:14" x14ac:dyDescent="0.45">
      <c r="A2685" t="s">
        <v>5052</v>
      </c>
      <c r="B2685" s="1">
        <v>45040</v>
      </c>
      <c r="C2685" t="s">
        <v>5053</v>
      </c>
      <c r="D2685" t="s">
        <v>26</v>
      </c>
      <c r="E2685" t="s">
        <v>20</v>
      </c>
      <c r="F2685" t="s">
        <v>50</v>
      </c>
      <c r="G2685">
        <v>4</v>
      </c>
      <c r="H2685">
        <v>46580.9</v>
      </c>
      <c r="I2685">
        <v>9320.51</v>
      </c>
      <c r="J2685" t="s">
        <v>71</v>
      </c>
      <c r="K2685" t="s">
        <v>29</v>
      </c>
      <c r="L2685">
        <f t="shared" si="123"/>
        <v>2023</v>
      </c>
      <c r="M2685" t="str">
        <f t="shared" si="124"/>
        <v>Apr</v>
      </c>
      <c r="N2685" s="2">
        <f t="shared" si="125"/>
        <v>0.20009295655515458</v>
      </c>
    </row>
    <row r="2686" spans="1:14" x14ac:dyDescent="0.45">
      <c r="A2686" t="s">
        <v>5054</v>
      </c>
      <c r="B2686" s="1">
        <v>45083</v>
      </c>
      <c r="C2686" t="s">
        <v>1048</v>
      </c>
      <c r="D2686" t="s">
        <v>13</v>
      </c>
      <c r="E2686" t="s">
        <v>14</v>
      </c>
      <c r="F2686" t="s">
        <v>32</v>
      </c>
      <c r="G2686">
        <v>1</v>
      </c>
      <c r="H2686">
        <v>3326.68</v>
      </c>
      <c r="I2686">
        <v>375.41</v>
      </c>
      <c r="J2686" t="s">
        <v>47</v>
      </c>
      <c r="K2686" t="s">
        <v>17</v>
      </c>
      <c r="L2686">
        <f t="shared" si="123"/>
        <v>2023</v>
      </c>
      <c r="M2686" t="str">
        <f t="shared" si="124"/>
        <v>Jun</v>
      </c>
      <c r="N2686" s="2">
        <f t="shared" si="125"/>
        <v>0.11284824509721406</v>
      </c>
    </row>
    <row r="2687" spans="1:14" x14ac:dyDescent="0.45">
      <c r="A2687" t="s">
        <v>5055</v>
      </c>
      <c r="B2687" s="1">
        <v>45105</v>
      </c>
      <c r="C2687" t="s">
        <v>5056</v>
      </c>
      <c r="D2687" t="s">
        <v>56</v>
      </c>
      <c r="E2687" t="s">
        <v>20</v>
      </c>
      <c r="F2687" t="s">
        <v>27</v>
      </c>
      <c r="G2687">
        <v>2</v>
      </c>
      <c r="H2687">
        <v>14465.59</v>
      </c>
      <c r="I2687">
        <v>2312.92</v>
      </c>
      <c r="J2687" t="s">
        <v>71</v>
      </c>
      <c r="K2687" t="s">
        <v>29</v>
      </c>
      <c r="L2687">
        <f t="shared" si="123"/>
        <v>2023</v>
      </c>
      <c r="M2687" t="str">
        <f t="shared" si="124"/>
        <v>Jun</v>
      </c>
      <c r="N2687" s="2">
        <f t="shared" si="125"/>
        <v>0.15989116240678741</v>
      </c>
    </row>
    <row r="2688" spans="1:14" x14ac:dyDescent="0.45">
      <c r="A2688" t="s">
        <v>5057</v>
      </c>
      <c r="B2688" s="1">
        <v>44865</v>
      </c>
      <c r="C2688" t="s">
        <v>5058</v>
      </c>
      <c r="D2688" t="s">
        <v>26</v>
      </c>
      <c r="E2688" t="s">
        <v>36</v>
      </c>
      <c r="F2688" t="s">
        <v>37</v>
      </c>
      <c r="G2688">
        <v>5</v>
      </c>
      <c r="H2688">
        <v>19635.28</v>
      </c>
      <c r="I2688">
        <v>2187.46</v>
      </c>
      <c r="J2688" t="s">
        <v>16</v>
      </c>
      <c r="K2688" t="s">
        <v>29</v>
      </c>
      <c r="L2688">
        <f t="shared" si="123"/>
        <v>2022</v>
      </c>
      <c r="M2688" t="str">
        <f t="shared" si="124"/>
        <v>Oct</v>
      </c>
      <c r="N2688" s="2">
        <f t="shared" si="125"/>
        <v>0.11140457380796201</v>
      </c>
    </row>
    <row r="2689" spans="1:14" x14ac:dyDescent="0.45">
      <c r="A2689" t="s">
        <v>5059</v>
      </c>
      <c r="B2689" s="1">
        <v>45048</v>
      </c>
      <c r="C2689" t="s">
        <v>5060</v>
      </c>
      <c r="D2689" t="s">
        <v>56</v>
      </c>
      <c r="E2689" t="s">
        <v>14</v>
      </c>
      <c r="F2689" t="s">
        <v>57</v>
      </c>
      <c r="G2689">
        <v>5</v>
      </c>
      <c r="H2689">
        <v>13386.11</v>
      </c>
      <c r="I2689">
        <v>2394.79</v>
      </c>
      <c r="J2689" t="s">
        <v>22</v>
      </c>
      <c r="K2689" t="s">
        <v>23</v>
      </c>
      <c r="L2689">
        <f t="shared" si="123"/>
        <v>2023</v>
      </c>
      <c r="M2689" t="str">
        <f t="shared" si="124"/>
        <v>May</v>
      </c>
      <c r="N2689" s="2">
        <f t="shared" si="125"/>
        <v>0.17890111466288564</v>
      </c>
    </row>
    <row r="2690" spans="1:14" x14ac:dyDescent="0.45">
      <c r="A2690" t="s">
        <v>5061</v>
      </c>
      <c r="B2690" s="1">
        <v>45648</v>
      </c>
      <c r="C2690" t="s">
        <v>5062</v>
      </c>
      <c r="D2690" t="s">
        <v>26</v>
      </c>
      <c r="E2690" t="s">
        <v>14</v>
      </c>
      <c r="F2690" t="s">
        <v>40</v>
      </c>
      <c r="G2690">
        <v>4</v>
      </c>
      <c r="H2690">
        <v>32827.269999999997</v>
      </c>
      <c r="I2690">
        <v>7644.33</v>
      </c>
      <c r="J2690" t="s">
        <v>47</v>
      </c>
      <c r="K2690" t="s">
        <v>23</v>
      </c>
      <c r="L2690">
        <f t="shared" si="123"/>
        <v>2024</v>
      </c>
      <c r="M2690" t="str">
        <f t="shared" si="124"/>
        <v>Dec</v>
      </c>
      <c r="N2690" s="2">
        <f t="shared" si="125"/>
        <v>0.23286523673762699</v>
      </c>
    </row>
    <row r="2691" spans="1:14" x14ac:dyDescent="0.45">
      <c r="A2691" t="s">
        <v>5063</v>
      </c>
      <c r="B2691" s="1">
        <v>45374</v>
      </c>
      <c r="C2691" t="s">
        <v>5064</v>
      </c>
      <c r="D2691" t="s">
        <v>26</v>
      </c>
      <c r="E2691" t="s">
        <v>36</v>
      </c>
      <c r="F2691" t="s">
        <v>64</v>
      </c>
      <c r="G2691">
        <v>2</v>
      </c>
      <c r="H2691">
        <v>41177.89</v>
      </c>
      <c r="I2691">
        <v>2767.28</v>
      </c>
      <c r="J2691" t="s">
        <v>16</v>
      </c>
      <c r="K2691" t="s">
        <v>17</v>
      </c>
      <c r="L2691">
        <f t="shared" ref="L2691:L2754" si="126">YEAR(B2691 )</f>
        <v>2024</v>
      </c>
      <c r="M2691" t="str">
        <f t="shared" ref="M2691:M2754" si="127">TEXT(B2691,"MMM")</f>
        <v>Mar</v>
      </c>
      <c r="N2691" s="2">
        <f t="shared" ref="N2691:N2754" si="128">I2691 / H2691</f>
        <v>6.7203054843266621E-2</v>
      </c>
    </row>
    <row r="2692" spans="1:14" x14ac:dyDescent="0.45">
      <c r="A2692" t="s">
        <v>5065</v>
      </c>
      <c r="B2692" s="1">
        <v>45428</v>
      </c>
      <c r="C2692" t="s">
        <v>5066</v>
      </c>
      <c r="D2692" t="s">
        <v>13</v>
      </c>
      <c r="E2692" t="s">
        <v>14</v>
      </c>
      <c r="F2692" t="s">
        <v>57</v>
      </c>
      <c r="G2692">
        <v>5</v>
      </c>
      <c r="H2692">
        <v>23623.01</v>
      </c>
      <c r="I2692">
        <v>1475.01</v>
      </c>
      <c r="J2692" t="s">
        <v>47</v>
      </c>
      <c r="K2692" t="s">
        <v>29</v>
      </c>
      <c r="L2692">
        <f t="shared" si="126"/>
        <v>2024</v>
      </c>
      <c r="M2692" t="str">
        <f t="shared" si="127"/>
        <v>May</v>
      </c>
      <c r="N2692" s="2">
        <f t="shared" si="128"/>
        <v>6.24395451722706E-2</v>
      </c>
    </row>
    <row r="2693" spans="1:14" x14ac:dyDescent="0.45">
      <c r="A2693" t="s">
        <v>5067</v>
      </c>
      <c r="B2693" s="1">
        <v>45088</v>
      </c>
      <c r="C2693" t="s">
        <v>4413</v>
      </c>
      <c r="D2693" t="s">
        <v>26</v>
      </c>
      <c r="E2693" t="s">
        <v>14</v>
      </c>
      <c r="F2693" t="s">
        <v>57</v>
      </c>
      <c r="G2693">
        <v>3</v>
      </c>
      <c r="H2693">
        <v>13894.11</v>
      </c>
      <c r="I2693">
        <v>1874.34</v>
      </c>
      <c r="J2693" t="s">
        <v>47</v>
      </c>
      <c r="K2693" t="s">
        <v>17</v>
      </c>
      <c r="L2693">
        <f t="shared" si="126"/>
        <v>2023</v>
      </c>
      <c r="M2693" t="str">
        <f t="shared" si="127"/>
        <v>Jun</v>
      </c>
      <c r="N2693" s="2">
        <f t="shared" si="128"/>
        <v>0.13490176772747586</v>
      </c>
    </row>
    <row r="2694" spans="1:14" x14ac:dyDescent="0.45">
      <c r="A2694" t="s">
        <v>5068</v>
      </c>
      <c r="B2694" s="1">
        <v>45569</v>
      </c>
      <c r="C2694" t="s">
        <v>5069</v>
      </c>
      <c r="D2694" t="s">
        <v>13</v>
      </c>
      <c r="E2694" t="s">
        <v>36</v>
      </c>
      <c r="F2694" t="s">
        <v>53</v>
      </c>
      <c r="G2694">
        <v>5</v>
      </c>
      <c r="H2694">
        <v>8416.23</v>
      </c>
      <c r="I2694">
        <v>1938.19</v>
      </c>
      <c r="J2694" t="s">
        <v>71</v>
      </c>
      <c r="K2694" t="s">
        <v>29</v>
      </c>
      <c r="L2694">
        <f t="shared" si="126"/>
        <v>2024</v>
      </c>
      <c r="M2694" t="str">
        <f t="shared" si="127"/>
        <v>Oct</v>
      </c>
      <c r="N2694" s="2">
        <f t="shared" si="128"/>
        <v>0.23029194781986712</v>
      </c>
    </row>
    <row r="2695" spans="1:14" x14ac:dyDescent="0.45">
      <c r="A2695" t="s">
        <v>5070</v>
      </c>
      <c r="B2695" s="1">
        <v>45489</v>
      </c>
      <c r="C2695" t="s">
        <v>5071</v>
      </c>
      <c r="D2695" t="s">
        <v>13</v>
      </c>
      <c r="E2695" t="s">
        <v>20</v>
      </c>
      <c r="F2695" t="s">
        <v>27</v>
      </c>
      <c r="G2695">
        <v>5</v>
      </c>
      <c r="H2695">
        <v>23144.51</v>
      </c>
      <c r="I2695">
        <v>2669.7</v>
      </c>
      <c r="J2695" t="s">
        <v>28</v>
      </c>
      <c r="K2695" t="s">
        <v>29</v>
      </c>
      <c r="L2695">
        <f t="shared" si="126"/>
        <v>2024</v>
      </c>
      <c r="M2695" t="str">
        <f t="shared" si="127"/>
        <v>Jul</v>
      </c>
      <c r="N2695" s="2">
        <f t="shared" si="128"/>
        <v>0.11534916919822455</v>
      </c>
    </row>
    <row r="2696" spans="1:14" x14ac:dyDescent="0.45">
      <c r="A2696" t="s">
        <v>5072</v>
      </c>
      <c r="B2696" s="1">
        <v>45203</v>
      </c>
      <c r="C2696" t="s">
        <v>5073</v>
      </c>
      <c r="D2696" t="s">
        <v>26</v>
      </c>
      <c r="E2696" t="s">
        <v>14</v>
      </c>
      <c r="F2696" t="s">
        <v>32</v>
      </c>
      <c r="G2696">
        <v>5</v>
      </c>
      <c r="H2696">
        <v>26158.3</v>
      </c>
      <c r="I2696">
        <v>5071.95</v>
      </c>
      <c r="J2696" t="s">
        <v>22</v>
      </c>
      <c r="K2696" t="s">
        <v>17</v>
      </c>
      <c r="L2696">
        <f t="shared" si="126"/>
        <v>2023</v>
      </c>
      <c r="M2696" t="str">
        <f t="shared" si="127"/>
        <v>Oct</v>
      </c>
      <c r="N2696" s="2">
        <f t="shared" si="128"/>
        <v>0.19389448091045672</v>
      </c>
    </row>
    <row r="2697" spans="1:14" x14ac:dyDescent="0.45">
      <c r="A2697" t="s">
        <v>5074</v>
      </c>
      <c r="B2697" s="1">
        <v>45456</v>
      </c>
      <c r="C2697" t="s">
        <v>261</v>
      </c>
      <c r="D2697" t="s">
        <v>26</v>
      </c>
      <c r="E2697" t="s">
        <v>20</v>
      </c>
      <c r="F2697" t="s">
        <v>27</v>
      </c>
      <c r="G2697">
        <v>2</v>
      </c>
      <c r="H2697">
        <v>23409.47</v>
      </c>
      <c r="I2697">
        <v>2814.85</v>
      </c>
      <c r="J2697" t="s">
        <v>47</v>
      </c>
      <c r="K2697" t="s">
        <v>29</v>
      </c>
      <c r="L2697">
        <f t="shared" si="126"/>
        <v>2024</v>
      </c>
      <c r="M2697" t="str">
        <f t="shared" si="127"/>
        <v>Jun</v>
      </c>
      <c r="N2697" s="2">
        <f t="shared" si="128"/>
        <v>0.12024407216395756</v>
      </c>
    </row>
    <row r="2698" spans="1:14" x14ac:dyDescent="0.45">
      <c r="A2698" t="s">
        <v>5075</v>
      </c>
      <c r="B2698" s="1">
        <v>44624</v>
      </c>
      <c r="C2698" t="s">
        <v>5076</v>
      </c>
      <c r="D2698" t="s">
        <v>26</v>
      </c>
      <c r="E2698" t="s">
        <v>20</v>
      </c>
      <c r="F2698" t="s">
        <v>21</v>
      </c>
      <c r="G2698">
        <v>1</v>
      </c>
      <c r="H2698">
        <v>33362.32</v>
      </c>
      <c r="I2698">
        <v>4685.28</v>
      </c>
      <c r="J2698" t="s">
        <v>16</v>
      </c>
      <c r="K2698" t="s">
        <v>33</v>
      </c>
      <c r="L2698">
        <f t="shared" si="126"/>
        <v>2022</v>
      </c>
      <c r="M2698" t="str">
        <f t="shared" si="127"/>
        <v>Mar</v>
      </c>
      <c r="N2698" s="2">
        <f t="shared" si="128"/>
        <v>0.14043627661385658</v>
      </c>
    </row>
    <row r="2699" spans="1:14" x14ac:dyDescent="0.45">
      <c r="A2699" t="s">
        <v>5077</v>
      </c>
      <c r="B2699" s="1">
        <v>45109</v>
      </c>
      <c r="C2699" t="s">
        <v>5078</v>
      </c>
      <c r="D2699" t="s">
        <v>56</v>
      </c>
      <c r="E2699" t="s">
        <v>14</v>
      </c>
      <c r="F2699" t="s">
        <v>15</v>
      </c>
      <c r="G2699">
        <v>4</v>
      </c>
      <c r="H2699">
        <v>42240.85</v>
      </c>
      <c r="I2699">
        <v>9828.98</v>
      </c>
      <c r="J2699" t="s">
        <v>16</v>
      </c>
      <c r="K2699" t="s">
        <v>23</v>
      </c>
      <c r="L2699">
        <f t="shared" si="126"/>
        <v>2023</v>
      </c>
      <c r="M2699" t="str">
        <f t="shared" si="127"/>
        <v>Jul</v>
      </c>
      <c r="N2699" s="2">
        <f t="shared" si="128"/>
        <v>0.23268897287814994</v>
      </c>
    </row>
    <row r="2700" spans="1:14" x14ac:dyDescent="0.45">
      <c r="A2700" t="s">
        <v>5079</v>
      </c>
      <c r="B2700" s="1">
        <v>44900</v>
      </c>
      <c r="C2700" t="s">
        <v>3442</v>
      </c>
      <c r="D2700" t="s">
        <v>56</v>
      </c>
      <c r="E2700" t="s">
        <v>20</v>
      </c>
      <c r="F2700" t="s">
        <v>21</v>
      </c>
      <c r="G2700">
        <v>2</v>
      </c>
      <c r="H2700">
        <v>37155.24</v>
      </c>
      <c r="I2700">
        <v>2375.7399999999998</v>
      </c>
      <c r="J2700" t="s">
        <v>22</v>
      </c>
      <c r="K2700" t="s">
        <v>23</v>
      </c>
      <c r="L2700">
        <f t="shared" si="126"/>
        <v>2022</v>
      </c>
      <c r="M2700" t="str">
        <f t="shared" si="127"/>
        <v>Dec</v>
      </c>
      <c r="N2700" s="2">
        <f t="shared" si="128"/>
        <v>6.3940913852258793E-2</v>
      </c>
    </row>
    <row r="2701" spans="1:14" x14ac:dyDescent="0.45">
      <c r="A2701" t="s">
        <v>5080</v>
      </c>
      <c r="B2701" s="1">
        <v>44675</v>
      </c>
      <c r="C2701" t="s">
        <v>1430</v>
      </c>
      <c r="D2701" t="s">
        <v>26</v>
      </c>
      <c r="E2701" t="s">
        <v>14</v>
      </c>
      <c r="F2701" t="s">
        <v>40</v>
      </c>
      <c r="G2701">
        <v>1</v>
      </c>
      <c r="H2701">
        <v>28481.58</v>
      </c>
      <c r="I2701">
        <v>2033.24</v>
      </c>
      <c r="J2701" t="s">
        <v>28</v>
      </c>
      <c r="K2701" t="s">
        <v>23</v>
      </c>
      <c r="L2701">
        <f t="shared" si="126"/>
        <v>2022</v>
      </c>
      <c r="M2701" t="str">
        <f t="shared" si="127"/>
        <v>Apr</v>
      </c>
      <c r="N2701" s="2">
        <f t="shared" si="128"/>
        <v>7.1387893508716854E-2</v>
      </c>
    </row>
    <row r="2702" spans="1:14" x14ac:dyDescent="0.45">
      <c r="A2702" t="s">
        <v>5081</v>
      </c>
      <c r="B2702" s="1">
        <v>45216</v>
      </c>
      <c r="C2702" t="s">
        <v>5082</v>
      </c>
      <c r="D2702" t="s">
        <v>26</v>
      </c>
      <c r="E2702" t="s">
        <v>14</v>
      </c>
      <c r="F2702" t="s">
        <v>32</v>
      </c>
      <c r="G2702">
        <v>3</v>
      </c>
      <c r="H2702">
        <v>22929.37</v>
      </c>
      <c r="I2702">
        <v>3072.35</v>
      </c>
      <c r="J2702" t="s">
        <v>47</v>
      </c>
      <c r="K2702" t="s">
        <v>33</v>
      </c>
      <c r="L2702">
        <f t="shared" si="126"/>
        <v>2023</v>
      </c>
      <c r="M2702" t="str">
        <f t="shared" si="127"/>
        <v>Oct</v>
      </c>
      <c r="N2702" s="2">
        <f t="shared" si="128"/>
        <v>0.1339919064501118</v>
      </c>
    </row>
    <row r="2703" spans="1:14" x14ac:dyDescent="0.45">
      <c r="A2703" t="s">
        <v>5083</v>
      </c>
      <c r="B2703" s="1">
        <v>44645</v>
      </c>
      <c r="C2703" t="s">
        <v>5084</v>
      </c>
      <c r="D2703" t="s">
        <v>56</v>
      </c>
      <c r="E2703" t="s">
        <v>36</v>
      </c>
      <c r="F2703" t="s">
        <v>53</v>
      </c>
      <c r="G2703">
        <v>5</v>
      </c>
      <c r="H2703">
        <v>33713.72</v>
      </c>
      <c r="I2703">
        <v>6971.53</v>
      </c>
      <c r="J2703" t="s">
        <v>71</v>
      </c>
      <c r="K2703" t="s">
        <v>33</v>
      </c>
      <c r="L2703">
        <f t="shared" si="126"/>
        <v>2022</v>
      </c>
      <c r="M2703" t="str">
        <f t="shared" si="127"/>
        <v>Mar</v>
      </c>
      <c r="N2703" s="2">
        <f t="shared" si="128"/>
        <v>0.20678613929284576</v>
      </c>
    </row>
    <row r="2704" spans="1:14" x14ac:dyDescent="0.45">
      <c r="A2704" t="s">
        <v>5085</v>
      </c>
      <c r="B2704" s="1">
        <v>45321</v>
      </c>
      <c r="C2704" t="s">
        <v>1975</v>
      </c>
      <c r="D2704" t="s">
        <v>26</v>
      </c>
      <c r="E2704" t="s">
        <v>14</v>
      </c>
      <c r="F2704" t="s">
        <v>40</v>
      </c>
      <c r="G2704">
        <v>2</v>
      </c>
      <c r="H2704">
        <v>43762.720000000001</v>
      </c>
      <c r="I2704">
        <v>3781.63</v>
      </c>
      <c r="J2704" t="s">
        <v>22</v>
      </c>
      <c r="K2704" t="s">
        <v>17</v>
      </c>
      <c r="L2704">
        <f t="shared" si="126"/>
        <v>2024</v>
      </c>
      <c r="M2704" t="str">
        <f t="shared" si="127"/>
        <v>Jan</v>
      </c>
      <c r="N2704" s="2">
        <f t="shared" si="128"/>
        <v>8.6412133432291233E-2</v>
      </c>
    </row>
    <row r="2705" spans="1:14" x14ac:dyDescent="0.45">
      <c r="A2705" t="s">
        <v>5086</v>
      </c>
      <c r="B2705" s="1">
        <v>45224</v>
      </c>
      <c r="C2705" t="s">
        <v>5087</v>
      </c>
      <c r="D2705" t="s">
        <v>56</v>
      </c>
      <c r="E2705" t="s">
        <v>20</v>
      </c>
      <c r="F2705" t="s">
        <v>21</v>
      </c>
      <c r="G2705">
        <v>2</v>
      </c>
      <c r="H2705">
        <v>29916.92</v>
      </c>
      <c r="I2705">
        <v>1566.88</v>
      </c>
      <c r="J2705" t="s">
        <v>28</v>
      </c>
      <c r="K2705" t="s">
        <v>17</v>
      </c>
      <c r="L2705">
        <f t="shared" si="126"/>
        <v>2023</v>
      </c>
      <c r="M2705" t="str">
        <f t="shared" si="127"/>
        <v>Oct</v>
      </c>
      <c r="N2705" s="2">
        <f t="shared" si="128"/>
        <v>5.2374375437043659E-2</v>
      </c>
    </row>
    <row r="2706" spans="1:14" x14ac:dyDescent="0.45">
      <c r="A2706" t="s">
        <v>5088</v>
      </c>
      <c r="B2706" s="1">
        <v>45610</v>
      </c>
      <c r="C2706" t="s">
        <v>3980</v>
      </c>
      <c r="D2706" t="s">
        <v>56</v>
      </c>
      <c r="E2706" t="s">
        <v>36</v>
      </c>
      <c r="F2706" t="s">
        <v>46</v>
      </c>
      <c r="G2706">
        <v>2</v>
      </c>
      <c r="H2706">
        <v>28660.880000000001</v>
      </c>
      <c r="I2706">
        <v>6905.01</v>
      </c>
      <c r="J2706" t="s">
        <v>47</v>
      </c>
      <c r="K2706" t="s">
        <v>29</v>
      </c>
      <c r="L2706">
        <f t="shared" si="126"/>
        <v>2024</v>
      </c>
      <c r="M2706" t="str">
        <f t="shared" si="127"/>
        <v>Nov</v>
      </c>
      <c r="N2706" s="2">
        <f t="shared" si="128"/>
        <v>0.24092107430057974</v>
      </c>
    </row>
    <row r="2707" spans="1:14" x14ac:dyDescent="0.45">
      <c r="A2707" t="s">
        <v>5089</v>
      </c>
      <c r="B2707" s="1">
        <v>45321</v>
      </c>
      <c r="C2707" t="s">
        <v>5090</v>
      </c>
      <c r="D2707" t="s">
        <v>56</v>
      </c>
      <c r="E2707" t="s">
        <v>36</v>
      </c>
      <c r="F2707" t="s">
        <v>37</v>
      </c>
      <c r="G2707">
        <v>5</v>
      </c>
      <c r="H2707">
        <v>20287.53</v>
      </c>
      <c r="I2707">
        <v>2189.59</v>
      </c>
      <c r="J2707" t="s">
        <v>28</v>
      </c>
      <c r="K2707" t="s">
        <v>29</v>
      </c>
      <c r="L2707">
        <f t="shared" si="126"/>
        <v>2024</v>
      </c>
      <c r="M2707" t="str">
        <f t="shared" si="127"/>
        <v>Jan</v>
      </c>
      <c r="N2707" s="2">
        <f t="shared" si="128"/>
        <v>0.10792787490640804</v>
      </c>
    </row>
    <row r="2708" spans="1:14" x14ac:dyDescent="0.45">
      <c r="A2708" t="s">
        <v>5091</v>
      </c>
      <c r="B2708" s="1">
        <v>45157</v>
      </c>
      <c r="C2708" t="s">
        <v>5092</v>
      </c>
      <c r="D2708" t="s">
        <v>13</v>
      </c>
      <c r="E2708" t="s">
        <v>14</v>
      </c>
      <c r="F2708" t="s">
        <v>40</v>
      </c>
      <c r="G2708">
        <v>2</v>
      </c>
      <c r="H2708">
        <v>18352.810000000001</v>
      </c>
      <c r="I2708">
        <v>2589.17</v>
      </c>
      <c r="J2708" t="s">
        <v>28</v>
      </c>
      <c r="K2708" t="s">
        <v>29</v>
      </c>
      <c r="L2708">
        <f t="shared" si="126"/>
        <v>2023</v>
      </c>
      <c r="M2708" t="str">
        <f t="shared" si="127"/>
        <v>Aug</v>
      </c>
      <c r="N2708" s="2">
        <f t="shared" si="128"/>
        <v>0.14107757885577193</v>
      </c>
    </row>
    <row r="2709" spans="1:14" x14ac:dyDescent="0.45">
      <c r="A2709" t="s">
        <v>5093</v>
      </c>
      <c r="B2709" s="1">
        <v>44901</v>
      </c>
      <c r="C2709" t="s">
        <v>5094</v>
      </c>
      <c r="D2709" t="s">
        <v>13</v>
      </c>
      <c r="E2709" t="s">
        <v>14</v>
      </c>
      <c r="F2709" t="s">
        <v>15</v>
      </c>
      <c r="G2709">
        <v>5</v>
      </c>
      <c r="H2709">
        <v>17438.73</v>
      </c>
      <c r="I2709">
        <v>1573.35</v>
      </c>
      <c r="J2709" t="s">
        <v>71</v>
      </c>
      <c r="K2709" t="s">
        <v>17</v>
      </c>
      <c r="L2709">
        <f t="shared" si="126"/>
        <v>2022</v>
      </c>
      <c r="M2709" t="str">
        <f t="shared" si="127"/>
        <v>Dec</v>
      </c>
      <c r="N2709" s="2">
        <f t="shared" si="128"/>
        <v>9.0221592971506517E-2</v>
      </c>
    </row>
    <row r="2710" spans="1:14" x14ac:dyDescent="0.45">
      <c r="A2710" t="s">
        <v>5095</v>
      </c>
      <c r="B2710" s="1">
        <v>45335</v>
      </c>
      <c r="C2710" t="s">
        <v>5096</v>
      </c>
      <c r="D2710" t="s">
        <v>56</v>
      </c>
      <c r="E2710" t="s">
        <v>20</v>
      </c>
      <c r="F2710" t="s">
        <v>43</v>
      </c>
      <c r="G2710">
        <v>2</v>
      </c>
      <c r="H2710">
        <v>43320.82</v>
      </c>
      <c r="I2710">
        <v>7520.1</v>
      </c>
      <c r="J2710" t="s">
        <v>71</v>
      </c>
      <c r="K2710" t="s">
        <v>29</v>
      </c>
      <c r="L2710">
        <f t="shared" si="126"/>
        <v>2024</v>
      </c>
      <c r="M2710" t="str">
        <f t="shared" si="127"/>
        <v>Feb</v>
      </c>
      <c r="N2710" s="2">
        <f t="shared" si="128"/>
        <v>0.1735908969405473</v>
      </c>
    </row>
    <row r="2711" spans="1:14" x14ac:dyDescent="0.45">
      <c r="A2711" t="s">
        <v>5097</v>
      </c>
      <c r="B2711" s="1">
        <v>45451</v>
      </c>
      <c r="C2711" t="s">
        <v>4468</v>
      </c>
      <c r="D2711" t="s">
        <v>26</v>
      </c>
      <c r="E2711" t="s">
        <v>36</v>
      </c>
      <c r="F2711" t="s">
        <v>64</v>
      </c>
      <c r="G2711">
        <v>3</v>
      </c>
      <c r="H2711">
        <v>26250.51</v>
      </c>
      <c r="I2711">
        <v>6267.2</v>
      </c>
      <c r="J2711" t="s">
        <v>28</v>
      </c>
      <c r="K2711" t="s">
        <v>23</v>
      </c>
      <c r="L2711">
        <f t="shared" si="126"/>
        <v>2024</v>
      </c>
      <c r="M2711" t="str">
        <f t="shared" si="127"/>
        <v>Jun</v>
      </c>
      <c r="N2711" s="2">
        <f t="shared" si="128"/>
        <v>0.23874583769991517</v>
      </c>
    </row>
    <row r="2712" spans="1:14" x14ac:dyDescent="0.45">
      <c r="A2712" t="s">
        <v>5098</v>
      </c>
      <c r="B2712" s="1">
        <v>45132</v>
      </c>
      <c r="C2712" t="s">
        <v>1308</v>
      </c>
      <c r="D2712" t="s">
        <v>56</v>
      </c>
      <c r="E2712" t="s">
        <v>14</v>
      </c>
      <c r="F2712" t="s">
        <v>57</v>
      </c>
      <c r="G2712">
        <v>1</v>
      </c>
      <c r="H2712">
        <v>26603.81</v>
      </c>
      <c r="I2712">
        <v>1969.82</v>
      </c>
      <c r="J2712" t="s">
        <v>28</v>
      </c>
      <c r="K2712" t="s">
        <v>17</v>
      </c>
      <c r="L2712">
        <f t="shared" si="126"/>
        <v>2023</v>
      </c>
      <c r="M2712" t="str">
        <f t="shared" si="127"/>
        <v>Jul</v>
      </c>
      <c r="N2712" s="2">
        <f t="shared" si="128"/>
        <v>7.4042778083289573E-2</v>
      </c>
    </row>
    <row r="2713" spans="1:14" x14ac:dyDescent="0.45">
      <c r="A2713" t="s">
        <v>5099</v>
      </c>
      <c r="B2713" s="1">
        <v>44810</v>
      </c>
      <c r="C2713" t="s">
        <v>5100</v>
      </c>
      <c r="D2713" t="s">
        <v>56</v>
      </c>
      <c r="E2713" t="s">
        <v>20</v>
      </c>
      <c r="F2713" t="s">
        <v>27</v>
      </c>
      <c r="G2713">
        <v>4</v>
      </c>
      <c r="H2713">
        <v>33008.92</v>
      </c>
      <c r="I2713">
        <v>7731.29</v>
      </c>
      <c r="J2713" t="s">
        <v>71</v>
      </c>
      <c r="K2713" t="s">
        <v>17</v>
      </c>
      <c r="L2713">
        <f t="shared" si="126"/>
        <v>2022</v>
      </c>
      <c r="M2713" t="str">
        <f t="shared" si="127"/>
        <v>Sep</v>
      </c>
      <c r="N2713" s="2">
        <f t="shared" si="128"/>
        <v>0.234218205260881</v>
      </c>
    </row>
    <row r="2714" spans="1:14" x14ac:dyDescent="0.45">
      <c r="A2714" t="s">
        <v>5101</v>
      </c>
      <c r="B2714" s="1">
        <v>45205</v>
      </c>
      <c r="C2714" t="s">
        <v>5102</v>
      </c>
      <c r="D2714" t="s">
        <v>56</v>
      </c>
      <c r="E2714" t="s">
        <v>20</v>
      </c>
      <c r="F2714" t="s">
        <v>27</v>
      </c>
      <c r="G2714">
        <v>1</v>
      </c>
      <c r="H2714">
        <v>17498.79</v>
      </c>
      <c r="I2714">
        <v>2427.88</v>
      </c>
      <c r="J2714" t="s">
        <v>47</v>
      </c>
      <c r="K2714" t="s">
        <v>17</v>
      </c>
      <c r="L2714">
        <f t="shared" si="126"/>
        <v>2023</v>
      </c>
      <c r="M2714" t="str">
        <f t="shared" si="127"/>
        <v>Oct</v>
      </c>
      <c r="N2714" s="2">
        <f t="shared" si="128"/>
        <v>0.13874559326673444</v>
      </c>
    </row>
    <row r="2715" spans="1:14" x14ac:dyDescent="0.45">
      <c r="A2715" t="s">
        <v>5103</v>
      </c>
      <c r="B2715" s="1">
        <v>45632</v>
      </c>
      <c r="C2715" t="s">
        <v>4530</v>
      </c>
      <c r="D2715" t="s">
        <v>13</v>
      </c>
      <c r="E2715" t="s">
        <v>14</v>
      </c>
      <c r="F2715" t="s">
        <v>32</v>
      </c>
      <c r="G2715">
        <v>2</v>
      </c>
      <c r="H2715">
        <v>26183.33</v>
      </c>
      <c r="I2715">
        <v>4790.97</v>
      </c>
      <c r="J2715" t="s">
        <v>71</v>
      </c>
      <c r="K2715" t="s">
        <v>23</v>
      </c>
      <c r="L2715">
        <f t="shared" si="126"/>
        <v>2024</v>
      </c>
      <c r="M2715" t="str">
        <f t="shared" si="127"/>
        <v>Dec</v>
      </c>
      <c r="N2715" s="2">
        <f t="shared" si="128"/>
        <v>0.1829778717985833</v>
      </c>
    </row>
    <row r="2716" spans="1:14" x14ac:dyDescent="0.45">
      <c r="A2716" t="s">
        <v>5104</v>
      </c>
      <c r="B2716" s="1">
        <v>45061</v>
      </c>
      <c r="C2716" t="s">
        <v>5105</v>
      </c>
      <c r="D2716" t="s">
        <v>56</v>
      </c>
      <c r="E2716" t="s">
        <v>20</v>
      </c>
      <c r="F2716" t="s">
        <v>50</v>
      </c>
      <c r="G2716">
        <v>1</v>
      </c>
      <c r="H2716">
        <v>7092.34</v>
      </c>
      <c r="I2716">
        <v>950.38</v>
      </c>
      <c r="J2716" t="s">
        <v>71</v>
      </c>
      <c r="K2716" t="s">
        <v>17</v>
      </c>
      <c r="L2716">
        <f t="shared" si="126"/>
        <v>2023</v>
      </c>
      <c r="M2716" t="str">
        <f t="shared" si="127"/>
        <v>May</v>
      </c>
      <c r="N2716" s="2">
        <f t="shared" si="128"/>
        <v>0.13400090802189404</v>
      </c>
    </row>
    <row r="2717" spans="1:14" x14ac:dyDescent="0.45">
      <c r="A2717" t="s">
        <v>5106</v>
      </c>
      <c r="B2717" s="1">
        <v>44605</v>
      </c>
      <c r="C2717" t="s">
        <v>3331</v>
      </c>
      <c r="D2717" t="s">
        <v>13</v>
      </c>
      <c r="E2717" t="s">
        <v>20</v>
      </c>
      <c r="F2717" t="s">
        <v>43</v>
      </c>
      <c r="G2717">
        <v>5</v>
      </c>
      <c r="H2717">
        <v>31050.49</v>
      </c>
      <c r="I2717">
        <v>4952.62</v>
      </c>
      <c r="J2717" t="s">
        <v>47</v>
      </c>
      <c r="K2717" t="s">
        <v>17</v>
      </c>
      <c r="L2717">
        <f t="shared" si="126"/>
        <v>2022</v>
      </c>
      <c r="M2717" t="str">
        <f t="shared" si="127"/>
        <v>Feb</v>
      </c>
      <c r="N2717" s="2">
        <f t="shared" si="128"/>
        <v>0.15950215278406232</v>
      </c>
    </row>
    <row r="2718" spans="1:14" x14ac:dyDescent="0.45">
      <c r="A2718" t="s">
        <v>5107</v>
      </c>
      <c r="B2718" s="1">
        <v>44990</v>
      </c>
      <c r="C2718" t="s">
        <v>5108</v>
      </c>
      <c r="D2718" t="s">
        <v>56</v>
      </c>
      <c r="E2718" t="s">
        <v>36</v>
      </c>
      <c r="F2718" t="s">
        <v>37</v>
      </c>
      <c r="G2718">
        <v>4</v>
      </c>
      <c r="H2718">
        <v>45806.51</v>
      </c>
      <c r="I2718">
        <v>2552.6999999999998</v>
      </c>
      <c r="J2718" t="s">
        <v>47</v>
      </c>
      <c r="K2718" t="s">
        <v>23</v>
      </c>
      <c r="L2718">
        <f t="shared" si="126"/>
        <v>2023</v>
      </c>
      <c r="M2718" t="str">
        <f t="shared" si="127"/>
        <v>Mar</v>
      </c>
      <c r="N2718" s="2">
        <f t="shared" si="128"/>
        <v>5.57278867130458E-2</v>
      </c>
    </row>
    <row r="2719" spans="1:14" x14ac:dyDescent="0.45">
      <c r="A2719" t="s">
        <v>5109</v>
      </c>
      <c r="B2719" s="1">
        <v>44593</v>
      </c>
      <c r="C2719" t="s">
        <v>425</v>
      </c>
      <c r="D2719" t="s">
        <v>13</v>
      </c>
      <c r="E2719" t="s">
        <v>36</v>
      </c>
      <c r="F2719" t="s">
        <v>46</v>
      </c>
      <c r="G2719">
        <v>3</v>
      </c>
      <c r="H2719">
        <v>37076.370000000003</v>
      </c>
      <c r="I2719">
        <v>5496.69</v>
      </c>
      <c r="J2719" t="s">
        <v>71</v>
      </c>
      <c r="K2719" t="s">
        <v>17</v>
      </c>
      <c r="L2719">
        <f t="shared" si="126"/>
        <v>2022</v>
      </c>
      <c r="M2719" t="str">
        <f t="shared" si="127"/>
        <v>Feb</v>
      </c>
      <c r="N2719" s="2">
        <f t="shared" si="128"/>
        <v>0.14825318659836439</v>
      </c>
    </row>
    <row r="2720" spans="1:14" x14ac:dyDescent="0.45">
      <c r="A2720" t="s">
        <v>5110</v>
      </c>
      <c r="B2720" s="1">
        <v>45261</v>
      </c>
      <c r="C2720" t="s">
        <v>2324</v>
      </c>
      <c r="D2720" t="s">
        <v>26</v>
      </c>
      <c r="E2720" t="s">
        <v>36</v>
      </c>
      <c r="F2720" t="s">
        <v>64</v>
      </c>
      <c r="G2720">
        <v>2</v>
      </c>
      <c r="H2720">
        <v>5715.28</v>
      </c>
      <c r="I2720">
        <v>1367.64</v>
      </c>
      <c r="J2720" t="s">
        <v>28</v>
      </c>
      <c r="K2720" t="s">
        <v>23</v>
      </c>
      <c r="L2720">
        <f t="shared" si="126"/>
        <v>2023</v>
      </c>
      <c r="M2720" t="str">
        <f t="shared" si="127"/>
        <v>Dec</v>
      </c>
      <c r="N2720" s="2">
        <f t="shared" si="128"/>
        <v>0.23929536260690643</v>
      </c>
    </row>
    <row r="2721" spans="1:14" x14ac:dyDescent="0.45">
      <c r="A2721" t="s">
        <v>5111</v>
      </c>
      <c r="B2721" s="1">
        <v>45604</v>
      </c>
      <c r="C2721" t="s">
        <v>4981</v>
      </c>
      <c r="D2721" t="s">
        <v>13</v>
      </c>
      <c r="E2721" t="s">
        <v>14</v>
      </c>
      <c r="F2721" t="s">
        <v>57</v>
      </c>
      <c r="G2721">
        <v>2</v>
      </c>
      <c r="H2721">
        <v>3666.55</v>
      </c>
      <c r="I2721">
        <v>465.4</v>
      </c>
      <c r="J2721" t="s">
        <v>16</v>
      </c>
      <c r="K2721" t="s">
        <v>23</v>
      </c>
      <c r="L2721">
        <f t="shared" si="126"/>
        <v>2024</v>
      </c>
      <c r="M2721" t="str">
        <f t="shared" si="127"/>
        <v>Nov</v>
      </c>
      <c r="N2721" s="2">
        <f t="shared" si="128"/>
        <v>0.12693131145081887</v>
      </c>
    </row>
    <row r="2722" spans="1:14" x14ac:dyDescent="0.45">
      <c r="A2722" t="s">
        <v>5112</v>
      </c>
      <c r="B2722" s="1">
        <v>44638</v>
      </c>
      <c r="C2722" t="s">
        <v>5113</v>
      </c>
      <c r="D2722" t="s">
        <v>26</v>
      </c>
      <c r="E2722" t="s">
        <v>20</v>
      </c>
      <c r="F2722" t="s">
        <v>27</v>
      </c>
      <c r="G2722">
        <v>2</v>
      </c>
      <c r="H2722">
        <v>46596.07</v>
      </c>
      <c r="I2722">
        <v>7928.88</v>
      </c>
      <c r="J2722" t="s">
        <v>71</v>
      </c>
      <c r="K2722" t="s">
        <v>17</v>
      </c>
      <c r="L2722">
        <f t="shared" si="126"/>
        <v>2022</v>
      </c>
      <c r="M2722" t="str">
        <f t="shared" si="127"/>
        <v>Mar</v>
      </c>
      <c r="N2722" s="2">
        <f t="shared" si="128"/>
        <v>0.17016199005624294</v>
      </c>
    </row>
    <row r="2723" spans="1:14" x14ac:dyDescent="0.45">
      <c r="A2723" t="s">
        <v>5114</v>
      </c>
      <c r="B2723" s="1">
        <v>45207</v>
      </c>
      <c r="C2723" t="s">
        <v>5115</v>
      </c>
      <c r="D2723" t="s">
        <v>13</v>
      </c>
      <c r="E2723" t="s">
        <v>14</v>
      </c>
      <c r="F2723" t="s">
        <v>32</v>
      </c>
      <c r="G2723">
        <v>2</v>
      </c>
      <c r="H2723">
        <v>35849.699999999997</v>
      </c>
      <c r="I2723">
        <v>2128.33</v>
      </c>
      <c r="J2723" t="s">
        <v>71</v>
      </c>
      <c r="K2723" t="s">
        <v>33</v>
      </c>
      <c r="L2723">
        <f t="shared" si="126"/>
        <v>2023</v>
      </c>
      <c r="M2723" t="str">
        <f t="shared" si="127"/>
        <v>Oct</v>
      </c>
      <c r="N2723" s="2">
        <f t="shared" si="128"/>
        <v>5.9368139761281129E-2</v>
      </c>
    </row>
    <row r="2724" spans="1:14" x14ac:dyDescent="0.45">
      <c r="A2724" t="s">
        <v>5116</v>
      </c>
      <c r="B2724" s="1">
        <v>45452</v>
      </c>
      <c r="C2724" t="s">
        <v>5117</v>
      </c>
      <c r="D2724" t="s">
        <v>56</v>
      </c>
      <c r="E2724" t="s">
        <v>14</v>
      </c>
      <c r="F2724" t="s">
        <v>40</v>
      </c>
      <c r="G2724">
        <v>3</v>
      </c>
      <c r="H2724">
        <v>10374.59</v>
      </c>
      <c r="I2724">
        <v>2581.2199999999998</v>
      </c>
      <c r="J2724" t="s">
        <v>16</v>
      </c>
      <c r="K2724" t="s">
        <v>23</v>
      </c>
      <c r="L2724">
        <f t="shared" si="126"/>
        <v>2024</v>
      </c>
      <c r="M2724" t="str">
        <f t="shared" si="127"/>
        <v>Jun</v>
      </c>
      <c r="N2724" s="2">
        <f t="shared" si="128"/>
        <v>0.24880212133684318</v>
      </c>
    </row>
    <row r="2725" spans="1:14" x14ac:dyDescent="0.45">
      <c r="A2725" t="s">
        <v>5118</v>
      </c>
      <c r="B2725" s="1">
        <v>45638</v>
      </c>
      <c r="C2725" t="s">
        <v>5119</v>
      </c>
      <c r="D2725" t="s">
        <v>13</v>
      </c>
      <c r="E2725" t="s">
        <v>36</v>
      </c>
      <c r="F2725" t="s">
        <v>53</v>
      </c>
      <c r="G2725">
        <v>2</v>
      </c>
      <c r="H2725">
        <v>40306.81</v>
      </c>
      <c r="I2725">
        <v>2745.71</v>
      </c>
      <c r="J2725" t="s">
        <v>71</v>
      </c>
      <c r="K2725" t="s">
        <v>29</v>
      </c>
      <c r="L2725">
        <f t="shared" si="126"/>
        <v>2024</v>
      </c>
      <c r="M2725" t="str">
        <f t="shared" si="127"/>
        <v>Dec</v>
      </c>
      <c r="N2725" s="2">
        <f t="shared" si="128"/>
        <v>6.8120250647471237E-2</v>
      </c>
    </row>
    <row r="2726" spans="1:14" x14ac:dyDescent="0.45">
      <c r="A2726" t="s">
        <v>5120</v>
      </c>
      <c r="B2726" s="1">
        <v>44719</v>
      </c>
      <c r="C2726" t="s">
        <v>5121</v>
      </c>
      <c r="D2726" t="s">
        <v>56</v>
      </c>
      <c r="E2726" t="s">
        <v>36</v>
      </c>
      <c r="F2726" t="s">
        <v>37</v>
      </c>
      <c r="G2726">
        <v>4</v>
      </c>
      <c r="H2726">
        <v>38321.42</v>
      </c>
      <c r="I2726">
        <v>3984</v>
      </c>
      <c r="J2726" t="s">
        <v>47</v>
      </c>
      <c r="K2726" t="s">
        <v>17</v>
      </c>
      <c r="L2726">
        <f t="shared" si="126"/>
        <v>2022</v>
      </c>
      <c r="M2726" t="str">
        <f t="shared" si="127"/>
        <v>Jun</v>
      </c>
      <c r="N2726" s="2">
        <f t="shared" si="128"/>
        <v>0.10396274459558127</v>
      </c>
    </row>
    <row r="2727" spans="1:14" x14ac:dyDescent="0.45">
      <c r="A2727" t="s">
        <v>5122</v>
      </c>
      <c r="B2727" s="1">
        <v>45518</v>
      </c>
      <c r="C2727" t="s">
        <v>5123</v>
      </c>
      <c r="D2727" t="s">
        <v>13</v>
      </c>
      <c r="E2727" t="s">
        <v>20</v>
      </c>
      <c r="F2727" t="s">
        <v>50</v>
      </c>
      <c r="G2727">
        <v>2</v>
      </c>
      <c r="H2727">
        <v>43336.14</v>
      </c>
      <c r="I2727">
        <v>7630.19</v>
      </c>
      <c r="J2727" t="s">
        <v>22</v>
      </c>
      <c r="K2727" t="s">
        <v>33</v>
      </c>
      <c r="L2727">
        <f t="shared" si="126"/>
        <v>2024</v>
      </c>
      <c r="M2727" t="str">
        <f t="shared" si="127"/>
        <v>Aug</v>
      </c>
      <c r="N2727" s="2">
        <f t="shared" si="128"/>
        <v>0.17606990378007822</v>
      </c>
    </row>
    <row r="2728" spans="1:14" x14ac:dyDescent="0.45">
      <c r="A2728" t="s">
        <v>5124</v>
      </c>
      <c r="B2728" s="1">
        <v>45635</v>
      </c>
      <c r="C2728" t="s">
        <v>5125</v>
      </c>
      <c r="D2728" t="s">
        <v>13</v>
      </c>
      <c r="E2728" t="s">
        <v>14</v>
      </c>
      <c r="F2728" t="s">
        <v>40</v>
      </c>
      <c r="G2728">
        <v>3</v>
      </c>
      <c r="H2728">
        <v>42588.57</v>
      </c>
      <c r="I2728">
        <v>8765.0400000000009</v>
      </c>
      <c r="J2728" t="s">
        <v>47</v>
      </c>
      <c r="K2728" t="s">
        <v>29</v>
      </c>
      <c r="L2728">
        <f t="shared" si="126"/>
        <v>2024</v>
      </c>
      <c r="M2728" t="str">
        <f t="shared" si="127"/>
        <v>Dec</v>
      </c>
      <c r="N2728" s="2">
        <f t="shared" si="128"/>
        <v>0.20580733281253635</v>
      </c>
    </row>
    <row r="2729" spans="1:14" x14ac:dyDescent="0.45">
      <c r="A2729" t="s">
        <v>5126</v>
      </c>
      <c r="B2729" s="1">
        <v>44569</v>
      </c>
      <c r="C2729" t="s">
        <v>5127</v>
      </c>
      <c r="D2729" t="s">
        <v>13</v>
      </c>
      <c r="E2729" t="s">
        <v>14</v>
      </c>
      <c r="F2729" t="s">
        <v>32</v>
      </c>
      <c r="G2729">
        <v>4</v>
      </c>
      <c r="H2729">
        <v>597.9</v>
      </c>
      <c r="I2729">
        <v>68.319999999999993</v>
      </c>
      <c r="J2729" t="s">
        <v>28</v>
      </c>
      <c r="K2729" t="s">
        <v>17</v>
      </c>
      <c r="L2729">
        <f t="shared" si="126"/>
        <v>2022</v>
      </c>
      <c r="M2729" t="str">
        <f t="shared" si="127"/>
        <v>Jan</v>
      </c>
      <c r="N2729" s="2">
        <f t="shared" si="128"/>
        <v>0.11426659976584712</v>
      </c>
    </row>
    <row r="2730" spans="1:14" x14ac:dyDescent="0.45">
      <c r="A2730" t="s">
        <v>5128</v>
      </c>
      <c r="B2730" s="1">
        <v>45249</v>
      </c>
      <c r="C2730" t="s">
        <v>5129</v>
      </c>
      <c r="D2730" t="s">
        <v>56</v>
      </c>
      <c r="E2730" t="s">
        <v>14</v>
      </c>
      <c r="F2730" t="s">
        <v>15</v>
      </c>
      <c r="G2730">
        <v>4</v>
      </c>
      <c r="H2730">
        <v>16831</v>
      </c>
      <c r="I2730">
        <v>4176.6400000000003</v>
      </c>
      <c r="J2730" t="s">
        <v>22</v>
      </c>
      <c r="K2730" t="s">
        <v>23</v>
      </c>
      <c r="L2730">
        <f t="shared" si="126"/>
        <v>2023</v>
      </c>
      <c r="M2730" t="str">
        <f t="shared" si="127"/>
        <v>Nov</v>
      </c>
      <c r="N2730" s="2">
        <f t="shared" si="128"/>
        <v>0.2481516249777197</v>
      </c>
    </row>
    <row r="2731" spans="1:14" x14ac:dyDescent="0.45">
      <c r="A2731" t="s">
        <v>5130</v>
      </c>
      <c r="B2731" s="1">
        <v>45385</v>
      </c>
      <c r="C2731" t="s">
        <v>3381</v>
      </c>
      <c r="D2731" t="s">
        <v>13</v>
      </c>
      <c r="E2731" t="s">
        <v>20</v>
      </c>
      <c r="F2731" t="s">
        <v>21</v>
      </c>
      <c r="G2731">
        <v>3</v>
      </c>
      <c r="H2731">
        <v>30449.82</v>
      </c>
      <c r="I2731">
        <v>5262.16</v>
      </c>
      <c r="J2731" t="s">
        <v>71</v>
      </c>
      <c r="K2731" t="s">
        <v>33</v>
      </c>
      <c r="L2731">
        <f t="shared" si="126"/>
        <v>2024</v>
      </c>
      <c r="M2731" t="str">
        <f t="shared" si="127"/>
        <v>Apr</v>
      </c>
      <c r="N2731" s="2">
        <f t="shared" si="128"/>
        <v>0.17281415785052259</v>
      </c>
    </row>
    <row r="2732" spans="1:14" x14ac:dyDescent="0.45">
      <c r="A2732" t="s">
        <v>5131</v>
      </c>
      <c r="B2732" s="1">
        <v>45164</v>
      </c>
      <c r="C2732" t="s">
        <v>5132</v>
      </c>
      <c r="D2732" t="s">
        <v>13</v>
      </c>
      <c r="E2732" t="s">
        <v>14</v>
      </c>
      <c r="F2732" t="s">
        <v>40</v>
      </c>
      <c r="G2732">
        <v>3</v>
      </c>
      <c r="H2732">
        <v>6665.48</v>
      </c>
      <c r="I2732">
        <v>1113.8900000000001</v>
      </c>
      <c r="J2732" t="s">
        <v>16</v>
      </c>
      <c r="K2732" t="s">
        <v>23</v>
      </c>
      <c r="L2732">
        <f t="shared" si="126"/>
        <v>2023</v>
      </c>
      <c r="M2732" t="str">
        <f t="shared" si="127"/>
        <v>Aug</v>
      </c>
      <c r="N2732" s="2">
        <f t="shared" si="128"/>
        <v>0.16711324615781611</v>
      </c>
    </row>
    <row r="2733" spans="1:14" x14ac:dyDescent="0.45">
      <c r="A2733" t="s">
        <v>5133</v>
      </c>
      <c r="B2733" s="1">
        <v>45015</v>
      </c>
      <c r="C2733" t="s">
        <v>5134</v>
      </c>
      <c r="D2733" t="s">
        <v>56</v>
      </c>
      <c r="E2733" t="s">
        <v>20</v>
      </c>
      <c r="F2733" t="s">
        <v>43</v>
      </c>
      <c r="G2733">
        <v>1</v>
      </c>
      <c r="H2733">
        <v>22784.77</v>
      </c>
      <c r="I2733">
        <v>3391.58</v>
      </c>
      <c r="J2733" t="s">
        <v>47</v>
      </c>
      <c r="K2733" t="s">
        <v>33</v>
      </c>
      <c r="L2733">
        <f t="shared" si="126"/>
        <v>2023</v>
      </c>
      <c r="M2733" t="str">
        <f t="shared" si="127"/>
        <v>Mar</v>
      </c>
      <c r="N2733" s="2">
        <f t="shared" si="128"/>
        <v>0.1488529399243442</v>
      </c>
    </row>
    <row r="2734" spans="1:14" x14ac:dyDescent="0.45">
      <c r="A2734" t="s">
        <v>5135</v>
      </c>
      <c r="B2734" s="1">
        <v>45439</v>
      </c>
      <c r="C2734" t="s">
        <v>5136</v>
      </c>
      <c r="D2734" t="s">
        <v>13</v>
      </c>
      <c r="E2734" t="s">
        <v>20</v>
      </c>
      <c r="F2734" t="s">
        <v>21</v>
      </c>
      <c r="G2734">
        <v>5</v>
      </c>
      <c r="H2734">
        <v>38296.089999999997</v>
      </c>
      <c r="I2734">
        <v>7191.53</v>
      </c>
      <c r="J2734" t="s">
        <v>28</v>
      </c>
      <c r="K2734" t="s">
        <v>17</v>
      </c>
      <c r="L2734">
        <f t="shared" si="126"/>
        <v>2024</v>
      </c>
      <c r="M2734" t="str">
        <f t="shared" si="127"/>
        <v>May</v>
      </c>
      <c r="N2734" s="2">
        <f t="shared" si="128"/>
        <v>0.18778757831413079</v>
      </c>
    </row>
    <row r="2735" spans="1:14" x14ac:dyDescent="0.45">
      <c r="A2735" t="s">
        <v>5137</v>
      </c>
      <c r="B2735" s="1">
        <v>45018</v>
      </c>
      <c r="C2735" t="s">
        <v>5138</v>
      </c>
      <c r="D2735" t="s">
        <v>56</v>
      </c>
      <c r="E2735" t="s">
        <v>14</v>
      </c>
      <c r="F2735" t="s">
        <v>57</v>
      </c>
      <c r="G2735">
        <v>2</v>
      </c>
      <c r="H2735">
        <v>43922.29</v>
      </c>
      <c r="I2735">
        <v>2674.23</v>
      </c>
      <c r="J2735" t="s">
        <v>28</v>
      </c>
      <c r="K2735" t="s">
        <v>33</v>
      </c>
      <c r="L2735">
        <f t="shared" si="126"/>
        <v>2023</v>
      </c>
      <c r="M2735" t="str">
        <f t="shared" si="127"/>
        <v>Apr</v>
      </c>
      <c r="N2735" s="2">
        <f t="shared" si="128"/>
        <v>6.0885486617387206E-2</v>
      </c>
    </row>
    <row r="2736" spans="1:14" x14ac:dyDescent="0.45">
      <c r="A2736" t="s">
        <v>5139</v>
      </c>
      <c r="B2736" s="1">
        <v>44591</v>
      </c>
      <c r="C2736" t="s">
        <v>664</v>
      </c>
      <c r="D2736" t="s">
        <v>56</v>
      </c>
      <c r="E2736" t="s">
        <v>14</v>
      </c>
      <c r="F2736" t="s">
        <v>40</v>
      </c>
      <c r="G2736">
        <v>3</v>
      </c>
      <c r="H2736">
        <v>21486.68</v>
      </c>
      <c r="I2736">
        <v>4857.79</v>
      </c>
      <c r="J2736" t="s">
        <v>16</v>
      </c>
      <c r="K2736" t="s">
        <v>17</v>
      </c>
      <c r="L2736">
        <f t="shared" si="126"/>
        <v>2022</v>
      </c>
      <c r="M2736" t="str">
        <f t="shared" si="127"/>
        <v>Jan</v>
      </c>
      <c r="N2736" s="2">
        <f t="shared" si="128"/>
        <v>0.22608378772337093</v>
      </c>
    </row>
    <row r="2737" spans="1:14" x14ac:dyDescent="0.45">
      <c r="A2737" t="s">
        <v>5140</v>
      </c>
      <c r="B2737" s="1">
        <v>45343</v>
      </c>
      <c r="C2737" t="s">
        <v>5141</v>
      </c>
      <c r="D2737" t="s">
        <v>13</v>
      </c>
      <c r="E2737" t="s">
        <v>36</v>
      </c>
      <c r="F2737" t="s">
        <v>53</v>
      </c>
      <c r="G2737">
        <v>1</v>
      </c>
      <c r="H2737">
        <v>31152.75</v>
      </c>
      <c r="I2737">
        <v>6618.59</v>
      </c>
      <c r="J2737" t="s">
        <v>28</v>
      </c>
      <c r="K2737" t="s">
        <v>33</v>
      </c>
      <c r="L2737">
        <f t="shared" si="126"/>
        <v>2024</v>
      </c>
      <c r="M2737" t="str">
        <f t="shared" si="127"/>
        <v>Feb</v>
      </c>
      <c r="N2737" s="2">
        <f t="shared" si="128"/>
        <v>0.2124560432064585</v>
      </c>
    </row>
    <row r="2738" spans="1:14" x14ac:dyDescent="0.45">
      <c r="A2738" t="s">
        <v>5142</v>
      </c>
      <c r="B2738" s="1">
        <v>45120</v>
      </c>
      <c r="C2738" t="s">
        <v>5143</v>
      </c>
      <c r="D2738" t="s">
        <v>56</v>
      </c>
      <c r="E2738" t="s">
        <v>20</v>
      </c>
      <c r="F2738" t="s">
        <v>27</v>
      </c>
      <c r="G2738">
        <v>2</v>
      </c>
      <c r="H2738">
        <v>40747.65</v>
      </c>
      <c r="I2738">
        <v>4881.93</v>
      </c>
      <c r="J2738" t="s">
        <v>47</v>
      </c>
      <c r="K2738" t="s">
        <v>33</v>
      </c>
      <c r="L2738">
        <f t="shared" si="126"/>
        <v>2023</v>
      </c>
      <c r="M2738" t="str">
        <f t="shared" si="127"/>
        <v>Jul</v>
      </c>
      <c r="N2738" s="2">
        <f t="shared" si="128"/>
        <v>0.11980887241350115</v>
      </c>
    </row>
    <row r="2739" spans="1:14" x14ac:dyDescent="0.45">
      <c r="A2739" t="s">
        <v>5144</v>
      </c>
      <c r="B2739" s="1">
        <v>45479</v>
      </c>
      <c r="C2739" t="s">
        <v>5145</v>
      </c>
      <c r="D2739" t="s">
        <v>56</v>
      </c>
      <c r="E2739" t="s">
        <v>20</v>
      </c>
      <c r="F2739" t="s">
        <v>50</v>
      </c>
      <c r="G2739">
        <v>1</v>
      </c>
      <c r="H2739">
        <v>39975.15</v>
      </c>
      <c r="I2739">
        <v>5034.68</v>
      </c>
      <c r="J2739" t="s">
        <v>16</v>
      </c>
      <c r="K2739" t="s">
        <v>23</v>
      </c>
      <c r="L2739">
        <f t="shared" si="126"/>
        <v>2024</v>
      </c>
      <c r="M2739" t="str">
        <f t="shared" si="127"/>
        <v>Jul</v>
      </c>
      <c r="N2739" s="2">
        <f t="shared" si="128"/>
        <v>0.12594524348251351</v>
      </c>
    </row>
    <row r="2740" spans="1:14" x14ac:dyDescent="0.45">
      <c r="A2740" t="s">
        <v>5146</v>
      </c>
      <c r="B2740" s="1">
        <v>45183</v>
      </c>
      <c r="C2740" t="s">
        <v>5147</v>
      </c>
      <c r="D2740" t="s">
        <v>26</v>
      </c>
      <c r="E2740" t="s">
        <v>36</v>
      </c>
      <c r="F2740" t="s">
        <v>53</v>
      </c>
      <c r="G2740">
        <v>4</v>
      </c>
      <c r="H2740">
        <v>48531.839999999997</v>
      </c>
      <c r="I2740">
        <v>7991.68</v>
      </c>
      <c r="J2740" t="s">
        <v>22</v>
      </c>
      <c r="K2740" t="s">
        <v>17</v>
      </c>
      <c r="L2740">
        <f t="shared" si="126"/>
        <v>2023</v>
      </c>
      <c r="M2740" t="str">
        <f t="shared" si="127"/>
        <v>Sep</v>
      </c>
      <c r="N2740" s="2">
        <f t="shared" si="128"/>
        <v>0.16466880299613618</v>
      </c>
    </row>
    <row r="2741" spans="1:14" x14ac:dyDescent="0.45">
      <c r="A2741" t="s">
        <v>5148</v>
      </c>
      <c r="B2741" s="1">
        <v>45537</v>
      </c>
      <c r="C2741" t="s">
        <v>5149</v>
      </c>
      <c r="D2741" t="s">
        <v>56</v>
      </c>
      <c r="E2741" t="s">
        <v>36</v>
      </c>
      <c r="F2741" t="s">
        <v>46</v>
      </c>
      <c r="G2741">
        <v>5</v>
      </c>
      <c r="H2741">
        <v>43727.33</v>
      </c>
      <c r="I2741">
        <v>7192.85</v>
      </c>
      <c r="J2741" t="s">
        <v>28</v>
      </c>
      <c r="K2741" t="s">
        <v>23</v>
      </c>
      <c r="L2741">
        <f t="shared" si="126"/>
        <v>2024</v>
      </c>
      <c r="M2741" t="str">
        <f t="shared" si="127"/>
        <v>Sep</v>
      </c>
      <c r="N2741" s="2">
        <f t="shared" si="128"/>
        <v>0.16449323569493038</v>
      </c>
    </row>
    <row r="2742" spans="1:14" x14ac:dyDescent="0.45">
      <c r="A2742" t="s">
        <v>5150</v>
      </c>
      <c r="B2742" s="1">
        <v>45051</v>
      </c>
      <c r="C2742" t="s">
        <v>5151</v>
      </c>
      <c r="D2742" t="s">
        <v>26</v>
      </c>
      <c r="E2742" t="s">
        <v>14</v>
      </c>
      <c r="F2742" t="s">
        <v>15</v>
      </c>
      <c r="G2742">
        <v>4</v>
      </c>
      <c r="H2742">
        <v>24373.06</v>
      </c>
      <c r="I2742">
        <v>3448.13</v>
      </c>
      <c r="J2742" t="s">
        <v>28</v>
      </c>
      <c r="K2742" t="s">
        <v>17</v>
      </c>
      <c r="L2742">
        <f t="shared" si="126"/>
        <v>2023</v>
      </c>
      <c r="M2742" t="str">
        <f t="shared" si="127"/>
        <v>May</v>
      </c>
      <c r="N2742" s="2">
        <f t="shared" si="128"/>
        <v>0.14147300338980826</v>
      </c>
    </row>
    <row r="2743" spans="1:14" x14ac:dyDescent="0.45">
      <c r="A2743" t="s">
        <v>5152</v>
      </c>
      <c r="B2743" s="1">
        <v>45300</v>
      </c>
      <c r="C2743" t="s">
        <v>1915</v>
      </c>
      <c r="D2743" t="s">
        <v>26</v>
      </c>
      <c r="E2743" t="s">
        <v>14</v>
      </c>
      <c r="F2743" t="s">
        <v>15</v>
      </c>
      <c r="G2743">
        <v>5</v>
      </c>
      <c r="H2743">
        <v>25996.240000000002</v>
      </c>
      <c r="I2743">
        <v>4948.5</v>
      </c>
      <c r="J2743" t="s">
        <v>47</v>
      </c>
      <c r="K2743" t="s">
        <v>33</v>
      </c>
      <c r="L2743">
        <f t="shared" si="126"/>
        <v>2024</v>
      </c>
      <c r="M2743" t="str">
        <f t="shared" si="127"/>
        <v>Jan</v>
      </c>
      <c r="N2743" s="2">
        <f t="shared" si="128"/>
        <v>0.19035445125910516</v>
      </c>
    </row>
    <row r="2744" spans="1:14" x14ac:dyDescent="0.45">
      <c r="A2744" t="s">
        <v>5153</v>
      </c>
      <c r="B2744" s="1">
        <v>44983</v>
      </c>
      <c r="C2744" t="s">
        <v>5154</v>
      </c>
      <c r="D2744" t="s">
        <v>26</v>
      </c>
      <c r="E2744" t="s">
        <v>20</v>
      </c>
      <c r="F2744" t="s">
        <v>43</v>
      </c>
      <c r="G2744">
        <v>2</v>
      </c>
      <c r="H2744">
        <v>31785.69</v>
      </c>
      <c r="I2744">
        <v>1708.91</v>
      </c>
      <c r="J2744" t="s">
        <v>28</v>
      </c>
      <c r="K2744" t="s">
        <v>23</v>
      </c>
      <c r="L2744">
        <f t="shared" si="126"/>
        <v>2023</v>
      </c>
      <c r="M2744" t="str">
        <f t="shared" si="127"/>
        <v>Feb</v>
      </c>
      <c r="N2744" s="2">
        <f t="shared" si="128"/>
        <v>5.3763501751888987E-2</v>
      </c>
    </row>
    <row r="2745" spans="1:14" x14ac:dyDescent="0.45">
      <c r="A2745" t="s">
        <v>5155</v>
      </c>
      <c r="B2745" s="1">
        <v>44778</v>
      </c>
      <c r="C2745" t="s">
        <v>3434</v>
      </c>
      <c r="D2745" t="s">
        <v>26</v>
      </c>
      <c r="E2745" t="s">
        <v>14</v>
      </c>
      <c r="F2745" t="s">
        <v>57</v>
      </c>
      <c r="G2745">
        <v>5</v>
      </c>
      <c r="H2745">
        <v>6370.83</v>
      </c>
      <c r="I2745">
        <v>776.77</v>
      </c>
      <c r="J2745" t="s">
        <v>47</v>
      </c>
      <c r="K2745" t="s">
        <v>29</v>
      </c>
      <c r="L2745">
        <f t="shared" si="126"/>
        <v>2022</v>
      </c>
      <c r="M2745" t="str">
        <f t="shared" si="127"/>
        <v>Aug</v>
      </c>
      <c r="N2745" s="2">
        <f t="shared" si="128"/>
        <v>0.12192602847666631</v>
      </c>
    </row>
    <row r="2746" spans="1:14" x14ac:dyDescent="0.45">
      <c r="A2746" t="s">
        <v>5156</v>
      </c>
      <c r="B2746" s="1">
        <v>45353</v>
      </c>
      <c r="C2746" t="s">
        <v>1015</v>
      </c>
      <c r="D2746" t="s">
        <v>13</v>
      </c>
      <c r="E2746" t="s">
        <v>36</v>
      </c>
      <c r="F2746" t="s">
        <v>64</v>
      </c>
      <c r="G2746">
        <v>4</v>
      </c>
      <c r="H2746">
        <v>28729.73</v>
      </c>
      <c r="I2746">
        <v>2250.42</v>
      </c>
      <c r="J2746" t="s">
        <v>47</v>
      </c>
      <c r="K2746" t="s">
        <v>17</v>
      </c>
      <c r="L2746">
        <f t="shared" si="126"/>
        <v>2024</v>
      </c>
      <c r="M2746" t="str">
        <f t="shared" si="127"/>
        <v>Mar</v>
      </c>
      <c r="N2746" s="2">
        <f t="shared" si="128"/>
        <v>7.8330704813445867E-2</v>
      </c>
    </row>
    <row r="2747" spans="1:14" x14ac:dyDescent="0.45">
      <c r="A2747" t="s">
        <v>5157</v>
      </c>
      <c r="B2747" s="1">
        <v>45650</v>
      </c>
      <c r="C2747" t="s">
        <v>5158</v>
      </c>
      <c r="D2747" t="s">
        <v>26</v>
      </c>
      <c r="E2747" t="s">
        <v>36</v>
      </c>
      <c r="F2747" t="s">
        <v>53</v>
      </c>
      <c r="G2747">
        <v>1</v>
      </c>
      <c r="H2747">
        <v>40833.870000000003</v>
      </c>
      <c r="I2747">
        <v>9092.11</v>
      </c>
      <c r="J2747" t="s">
        <v>28</v>
      </c>
      <c r="K2747" t="s">
        <v>17</v>
      </c>
      <c r="L2747">
        <f t="shared" si="126"/>
        <v>2024</v>
      </c>
      <c r="M2747" t="str">
        <f t="shared" si="127"/>
        <v>Dec</v>
      </c>
      <c r="N2747" s="2">
        <f t="shared" si="128"/>
        <v>0.22266099196573824</v>
      </c>
    </row>
    <row r="2748" spans="1:14" x14ac:dyDescent="0.45">
      <c r="A2748" t="s">
        <v>5159</v>
      </c>
      <c r="B2748" s="1">
        <v>45203</v>
      </c>
      <c r="C2748" t="s">
        <v>1270</v>
      </c>
      <c r="D2748" t="s">
        <v>26</v>
      </c>
      <c r="E2748" t="s">
        <v>20</v>
      </c>
      <c r="F2748" t="s">
        <v>21</v>
      </c>
      <c r="G2748">
        <v>2</v>
      </c>
      <c r="H2748">
        <v>45125.43</v>
      </c>
      <c r="I2748">
        <v>7190.66</v>
      </c>
      <c r="J2748" t="s">
        <v>28</v>
      </c>
      <c r="K2748" t="s">
        <v>33</v>
      </c>
      <c r="L2748">
        <f t="shared" si="126"/>
        <v>2023</v>
      </c>
      <c r="M2748" t="str">
        <f t="shared" si="127"/>
        <v>Oct</v>
      </c>
      <c r="N2748" s="2">
        <f t="shared" si="128"/>
        <v>0.15934828765066614</v>
      </c>
    </row>
    <row r="2749" spans="1:14" x14ac:dyDescent="0.45">
      <c r="A2749" t="s">
        <v>5160</v>
      </c>
      <c r="B2749" s="1">
        <v>44901</v>
      </c>
      <c r="C2749" t="s">
        <v>5161</v>
      </c>
      <c r="D2749" t="s">
        <v>26</v>
      </c>
      <c r="E2749" t="s">
        <v>36</v>
      </c>
      <c r="F2749" t="s">
        <v>37</v>
      </c>
      <c r="G2749">
        <v>2</v>
      </c>
      <c r="H2749">
        <v>43863.24</v>
      </c>
      <c r="I2749">
        <v>3192.74</v>
      </c>
      <c r="J2749" t="s">
        <v>22</v>
      </c>
      <c r="K2749" t="s">
        <v>29</v>
      </c>
      <c r="L2749">
        <f t="shared" si="126"/>
        <v>2022</v>
      </c>
      <c r="M2749" t="str">
        <f t="shared" si="127"/>
        <v>Dec</v>
      </c>
      <c r="N2749" s="2">
        <f t="shared" si="128"/>
        <v>7.2788512658891594E-2</v>
      </c>
    </row>
    <row r="2750" spans="1:14" x14ac:dyDescent="0.45">
      <c r="A2750" t="s">
        <v>5162</v>
      </c>
      <c r="B2750" s="1">
        <v>45145</v>
      </c>
      <c r="C2750" t="s">
        <v>5163</v>
      </c>
      <c r="D2750" t="s">
        <v>13</v>
      </c>
      <c r="E2750" t="s">
        <v>14</v>
      </c>
      <c r="F2750" t="s">
        <v>32</v>
      </c>
      <c r="G2750">
        <v>3</v>
      </c>
      <c r="H2750">
        <v>42562.15</v>
      </c>
      <c r="I2750">
        <v>4550.1899999999996</v>
      </c>
      <c r="J2750" t="s">
        <v>16</v>
      </c>
      <c r="K2750" t="s">
        <v>17</v>
      </c>
      <c r="L2750">
        <f t="shared" si="126"/>
        <v>2023</v>
      </c>
      <c r="M2750" t="str">
        <f t="shared" si="127"/>
        <v>Aug</v>
      </c>
      <c r="N2750" s="2">
        <f t="shared" si="128"/>
        <v>0.10690695841258017</v>
      </c>
    </row>
    <row r="2751" spans="1:14" x14ac:dyDescent="0.45">
      <c r="A2751" t="s">
        <v>5164</v>
      </c>
      <c r="B2751" s="1">
        <v>44862</v>
      </c>
      <c r="C2751" t="s">
        <v>716</v>
      </c>
      <c r="D2751" t="s">
        <v>56</v>
      </c>
      <c r="E2751" t="s">
        <v>20</v>
      </c>
      <c r="F2751" t="s">
        <v>43</v>
      </c>
      <c r="G2751">
        <v>2</v>
      </c>
      <c r="H2751">
        <v>35208.35</v>
      </c>
      <c r="I2751">
        <v>1924.01</v>
      </c>
      <c r="J2751" t="s">
        <v>71</v>
      </c>
      <c r="K2751" t="s">
        <v>17</v>
      </c>
      <c r="L2751">
        <f t="shared" si="126"/>
        <v>2022</v>
      </c>
      <c r="M2751" t="str">
        <f t="shared" si="127"/>
        <v>Oct</v>
      </c>
      <c r="N2751" s="2">
        <f t="shared" si="128"/>
        <v>5.4646412001698466E-2</v>
      </c>
    </row>
    <row r="2752" spans="1:14" x14ac:dyDescent="0.45">
      <c r="A2752" t="s">
        <v>5165</v>
      </c>
      <c r="B2752" s="1">
        <v>44842</v>
      </c>
      <c r="C2752" t="s">
        <v>5166</v>
      </c>
      <c r="D2752" t="s">
        <v>26</v>
      </c>
      <c r="E2752" t="s">
        <v>20</v>
      </c>
      <c r="F2752" t="s">
        <v>43</v>
      </c>
      <c r="G2752">
        <v>4</v>
      </c>
      <c r="H2752">
        <v>1754.44</v>
      </c>
      <c r="I2752">
        <v>216.7</v>
      </c>
      <c r="J2752" t="s">
        <v>22</v>
      </c>
      <c r="K2752" t="s">
        <v>33</v>
      </c>
      <c r="L2752">
        <f t="shared" si="126"/>
        <v>2022</v>
      </c>
      <c r="M2752" t="str">
        <f t="shared" si="127"/>
        <v>Oct</v>
      </c>
      <c r="N2752" s="2">
        <f t="shared" si="128"/>
        <v>0.12351519573197145</v>
      </c>
    </row>
    <row r="2753" spans="1:14" x14ac:dyDescent="0.45">
      <c r="A2753" t="s">
        <v>5167</v>
      </c>
      <c r="B2753" s="1">
        <v>45579</v>
      </c>
      <c r="C2753" t="s">
        <v>5168</v>
      </c>
      <c r="D2753" t="s">
        <v>56</v>
      </c>
      <c r="E2753" t="s">
        <v>14</v>
      </c>
      <c r="F2753" t="s">
        <v>40</v>
      </c>
      <c r="G2753">
        <v>2</v>
      </c>
      <c r="H2753">
        <v>21328.12</v>
      </c>
      <c r="I2753">
        <v>2522.31</v>
      </c>
      <c r="J2753" t="s">
        <v>28</v>
      </c>
      <c r="K2753" t="s">
        <v>17</v>
      </c>
      <c r="L2753">
        <f t="shared" si="126"/>
        <v>2024</v>
      </c>
      <c r="M2753" t="str">
        <f t="shared" si="127"/>
        <v>Oct</v>
      </c>
      <c r="N2753" s="2">
        <f t="shared" si="128"/>
        <v>0.11826218157062132</v>
      </c>
    </row>
    <row r="2754" spans="1:14" x14ac:dyDescent="0.45">
      <c r="A2754" t="s">
        <v>5169</v>
      </c>
      <c r="B2754" s="1">
        <v>44948</v>
      </c>
      <c r="C2754" t="s">
        <v>5170</v>
      </c>
      <c r="D2754" t="s">
        <v>56</v>
      </c>
      <c r="E2754" t="s">
        <v>36</v>
      </c>
      <c r="F2754" t="s">
        <v>46</v>
      </c>
      <c r="G2754">
        <v>5</v>
      </c>
      <c r="H2754">
        <v>16789.759999999998</v>
      </c>
      <c r="I2754">
        <v>1617.69</v>
      </c>
      <c r="J2754" t="s">
        <v>22</v>
      </c>
      <c r="K2754" t="s">
        <v>23</v>
      </c>
      <c r="L2754">
        <f t="shared" si="126"/>
        <v>2023</v>
      </c>
      <c r="M2754" t="str">
        <f t="shared" si="127"/>
        <v>Jan</v>
      </c>
      <c r="N2754" s="2">
        <f t="shared" si="128"/>
        <v>9.6349798925059099E-2</v>
      </c>
    </row>
    <row r="2755" spans="1:14" x14ac:dyDescent="0.45">
      <c r="A2755" t="s">
        <v>5171</v>
      </c>
      <c r="B2755" s="1">
        <v>44792</v>
      </c>
      <c r="C2755" t="s">
        <v>5172</v>
      </c>
      <c r="D2755" t="s">
        <v>56</v>
      </c>
      <c r="E2755" t="s">
        <v>14</v>
      </c>
      <c r="F2755" t="s">
        <v>15</v>
      </c>
      <c r="G2755">
        <v>5</v>
      </c>
      <c r="H2755">
        <v>3107.72</v>
      </c>
      <c r="I2755">
        <v>173.22</v>
      </c>
      <c r="J2755" t="s">
        <v>22</v>
      </c>
      <c r="K2755" t="s">
        <v>33</v>
      </c>
      <c r="L2755">
        <f t="shared" ref="L2755:L2818" si="129">YEAR(B2755 )</f>
        <v>2022</v>
      </c>
      <c r="M2755" t="str">
        <f t="shared" ref="M2755:M2818" si="130">TEXT(B2755,"MMM")</f>
        <v>Aug</v>
      </c>
      <c r="N2755" s="2">
        <f t="shared" ref="N2755:N2818" si="131">I2755 / H2755</f>
        <v>5.5738612230188049E-2</v>
      </c>
    </row>
    <row r="2756" spans="1:14" x14ac:dyDescent="0.45">
      <c r="A2756" t="s">
        <v>5173</v>
      </c>
      <c r="B2756" s="1">
        <v>44576</v>
      </c>
      <c r="C2756" t="s">
        <v>5174</v>
      </c>
      <c r="D2756" t="s">
        <v>56</v>
      </c>
      <c r="E2756" t="s">
        <v>20</v>
      </c>
      <c r="F2756" t="s">
        <v>50</v>
      </c>
      <c r="G2756">
        <v>2</v>
      </c>
      <c r="H2756">
        <v>29454.73</v>
      </c>
      <c r="I2756">
        <v>5567.71</v>
      </c>
      <c r="J2756" t="s">
        <v>16</v>
      </c>
      <c r="K2756" t="s">
        <v>17</v>
      </c>
      <c r="L2756">
        <f t="shared" si="129"/>
        <v>2022</v>
      </c>
      <c r="M2756" t="str">
        <f t="shared" si="130"/>
        <v>Jan</v>
      </c>
      <c r="N2756" s="2">
        <f t="shared" si="131"/>
        <v>0.18902600702841277</v>
      </c>
    </row>
    <row r="2757" spans="1:14" x14ac:dyDescent="0.45">
      <c r="A2757" t="s">
        <v>5175</v>
      </c>
      <c r="B2757" s="1">
        <v>44810</v>
      </c>
      <c r="C2757" t="s">
        <v>5176</v>
      </c>
      <c r="D2757" t="s">
        <v>13</v>
      </c>
      <c r="E2757" t="s">
        <v>36</v>
      </c>
      <c r="F2757" t="s">
        <v>37</v>
      </c>
      <c r="G2757">
        <v>4</v>
      </c>
      <c r="H2757">
        <v>768.19</v>
      </c>
      <c r="I2757">
        <v>130.94999999999999</v>
      </c>
      <c r="J2757" t="s">
        <v>22</v>
      </c>
      <c r="K2757" t="s">
        <v>23</v>
      </c>
      <c r="L2757">
        <f t="shared" si="129"/>
        <v>2022</v>
      </c>
      <c r="M2757" t="str">
        <f t="shared" si="130"/>
        <v>Sep</v>
      </c>
      <c r="N2757" s="2">
        <f t="shared" si="131"/>
        <v>0.17046564001093475</v>
      </c>
    </row>
    <row r="2758" spans="1:14" x14ac:dyDescent="0.45">
      <c r="A2758" t="s">
        <v>5177</v>
      </c>
      <c r="B2758" s="1">
        <v>44901</v>
      </c>
      <c r="C2758" t="s">
        <v>5178</v>
      </c>
      <c r="D2758" t="s">
        <v>56</v>
      </c>
      <c r="E2758" t="s">
        <v>36</v>
      </c>
      <c r="F2758" t="s">
        <v>46</v>
      </c>
      <c r="G2758">
        <v>5</v>
      </c>
      <c r="H2758">
        <v>45550.91</v>
      </c>
      <c r="I2758">
        <v>2891.3</v>
      </c>
      <c r="J2758" t="s">
        <v>16</v>
      </c>
      <c r="K2758" t="s">
        <v>29</v>
      </c>
      <c r="L2758">
        <f t="shared" si="129"/>
        <v>2022</v>
      </c>
      <c r="M2758" t="str">
        <f t="shared" si="130"/>
        <v>Dec</v>
      </c>
      <c r="N2758" s="2">
        <f t="shared" si="131"/>
        <v>6.3474033778908034E-2</v>
      </c>
    </row>
    <row r="2759" spans="1:14" x14ac:dyDescent="0.45">
      <c r="A2759" t="s">
        <v>5179</v>
      </c>
      <c r="B2759" s="1">
        <v>44816</v>
      </c>
      <c r="C2759" t="s">
        <v>5180</v>
      </c>
      <c r="D2759" t="s">
        <v>13</v>
      </c>
      <c r="E2759" t="s">
        <v>36</v>
      </c>
      <c r="F2759" t="s">
        <v>46</v>
      </c>
      <c r="G2759">
        <v>1</v>
      </c>
      <c r="H2759">
        <v>29915.07</v>
      </c>
      <c r="I2759">
        <v>3460.46</v>
      </c>
      <c r="J2759" t="s">
        <v>28</v>
      </c>
      <c r="K2759" t="s">
        <v>23</v>
      </c>
      <c r="L2759">
        <f t="shared" si="129"/>
        <v>2022</v>
      </c>
      <c r="M2759" t="str">
        <f t="shared" si="130"/>
        <v>Sep</v>
      </c>
      <c r="N2759" s="2">
        <f t="shared" si="131"/>
        <v>0.11567614583552704</v>
      </c>
    </row>
    <row r="2760" spans="1:14" x14ac:dyDescent="0.45">
      <c r="A2760" t="s">
        <v>5181</v>
      </c>
      <c r="B2760" s="1">
        <v>44583</v>
      </c>
      <c r="C2760" t="s">
        <v>5182</v>
      </c>
      <c r="D2760" t="s">
        <v>26</v>
      </c>
      <c r="E2760" t="s">
        <v>36</v>
      </c>
      <c r="F2760" t="s">
        <v>53</v>
      </c>
      <c r="G2760">
        <v>2</v>
      </c>
      <c r="H2760">
        <v>32789.93</v>
      </c>
      <c r="I2760">
        <v>3150.71</v>
      </c>
      <c r="J2760" t="s">
        <v>16</v>
      </c>
      <c r="K2760" t="s">
        <v>17</v>
      </c>
      <c r="L2760">
        <f t="shared" si="129"/>
        <v>2022</v>
      </c>
      <c r="M2760" t="str">
        <f t="shared" si="130"/>
        <v>Jan</v>
      </c>
      <c r="N2760" s="2">
        <f t="shared" si="131"/>
        <v>9.608773181278521E-2</v>
      </c>
    </row>
    <row r="2761" spans="1:14" x14ac:dyDescent="0.45">
      <c r="A2761" t="s">
        <v>5183</v>
      </c>
      <c r="B2761" s="1">
        <v>45418</v>
      </c>
      <c r="C2761" t="s">
        <v>624</v>
      </c>
      <c r="D2761" t="s">
        <v>56</v>
      </c>
      <c r="E2761" t="s">
        <v>20</v>
      </c>
      <c r="F2761" t="s">
        <v>43</v>
      </c>
      <c r="G2761">
        <v>2</v>
      </c>
      <c r="H2761">
        <v>2287.79</v>
      </c>
      <c r="I2761">
        <v>468.63</v>
      </c>
      <c r="J2761" t="s">
        <v>71</v>
      </c>
      <c r="K2761" t="s">
        <v>29</v>
      </c>
      <c r="L2761">
        <f t="shared" si="129"/>
        <v>2024</v>
      </c>
      <c r="M2761" t="str">
        <f t="shared" si="130"/>
        <v>May</v>
      </c>
      <c r="N2761" s="2">
        <f t="shared" si="131"/>
        <v>0.20483960503367879</v>
      </c>
    </row>
    <row r="2762" spans="1:14" x14ac:dyDescent="0.45">
      <c r="A2762" t="s">
        <v>5184</v>
      </c>
      <c r="B2762" s="1">
        <v>44580</v>
      </c>
      <c r="C2762" t="s">
        <v>5185</v>
      </c>
      <c r="D2762" t="s">
        <v>26</v>
      </c>
      <c r="E2762" t="s">
        <v>36</v>
      </c>
      <c r="F2762" t="s">
        <v>53</v>
      </c>
      <c r="G2762">
        <v>2</v>
      </c>
      <c r="H2762">
        <v>34300.559999999998</v>
      </c>
      <c r="I2762">
        <v>3327.48</v>
      </c>
      <c r="J2762" t="s">
        <v>28</v>
      </c>
      <c r="K2762" t="s">
        <v>33</v>
      </c>
      <c r="L2762">
        <f t="shared" si="129"/>
        <v>2022</v>
      </c>
      <c r="M2762" t="str">
        <f t="shared" si="130"/>
        <v>Jan</v>
      </c>
      <c r="N2762" s="2">
        <f t="shared" si="131"/>
        <v>9.7009494888713188E-2</v>
      </c>
    </row>
    <row r="2763" spans="1:14" x14ac:dyDescent="0.45">
      <c r="A2763" t="s">
        <v>5186</v>
      </c>
      <c r="B2763" s="1">
        <v>44788</v>
      </c>
      <c r="C2763" t="s">
        <v>5187</v>
      </c>
      <c r="D2763" t="s">
        <v>56</v>
      </c>
      <c r="E2763" t="s">
        <v>36</v>
      </c>
      <c r="F2763" t="s">
        <v>64</v>
      </c>
      <c r="G2763">
        <v>1</v>
      </c>
      <c r="H2763">
        <v>7096.14</v>
      </c>
      <c r="I2763">
        <v>1037.8900000000001</v>
      </c>
      <c r="J2763" t="s">
        <v>28</v>
      </c>
      <c r="K2763" t="s">
        <v>33</v>
      </c>
      <c r="L2763">
        <f t="shared" si="129"/>
        <v>2022</v>
      </c>
      <c r="M2763" t="str">
        <f t="shared" si="130"/>
        <v>Aug</v>
      </c>
      <c r="N2763" s="2">
        <f t="shared" si="131"/>
        <v>0.14626120679693469</v>
      </c>
    </row>
    <row r="2764" spans="1:14" x14ac:dyDescent="0.45">
      <c r="A2764" t="s">
        <v>5188</v>
      </c>
      <c r="B2764" s="1">
        <v>45070</v>
      </c>
      <c r="C2764" t="s">
        <v>568</v>
      </c>
      <c r="D2764" t="s">
        <v>26</v>
      </c>
      <c r="E2764" t="s">
        <v>20</v>
      </c>
      <c r="F2764" t="s">
        <v>21</v>
      </c>
      <c r="G2764">
        <v>1</v>
      </c>
      <c r="H2764">
        <v>5576.89</v>
      </c>
      <c r="I2764">
        <v>829.65</v>
      </c>
      <c r="J2764" t="s">
        <v>47</v>
      </c>
      <c r="K2764" t="s">
        <v>29</v>
      </c>
      <c r="L2764">
        <f t="shared" si="129"/>
        <v>2023</v>
      </c>
      <c r="M2764" t="str">
        <f t="shared" si="130"/>
        <v>May</v>
      </c>
      <c r="N2764" s="2">
        <f t="shared" si="131"/>
        <v>0.14876570992076227</v>
      </c>
    </row>
    <row r="2765" spans="1:14" x14ac:dyDescent="0.45">
      <c r="A2765" t="s">
        <v>5189</v>
      </c>
      <c r="B2765" s="1">
        <v>44645</v>
      </c>
      <c r="C2765" t="s">
        <v>5190</v>
      </c>
      <c r="D2765" t="s">
        <v>26</v>
      </c>
      <c r="E2765" t="s">
        <v>20</v>
      </c>
      <c r="F2765" t="s">
        <v>50</v>
      </c>
      <c r="G2765">
        <v>4</v>
      </c>
      <c r="H2765">
        <v>38468.550000000003</v>
      </c>
      <c r="I2765">
        <v>3920.04</v>
      </c>
      <c r="J2765" t="s">
        <v>47</v>
      </c>
      <c r="K2765" t="s">
        <v>29</v>
      </c>
      <c r="L2765">
        <f t="shared" si="129"/>
        <v>2022</v>
      </c>
      <c r="M2765" t="str">
        <f t="shared" si="130"/>
        <v>Mar</v>
      </c>
      <c r="N2765" s="2">
        <f t="shared" si="131"/>
        <v>0.10190246318096211</v>
      </c>
    </row>
    <row r="2766" spans="1:14" x14ac:dyDescent="0.45">
      <c r="A2766" t="s">
        <v>5191</v>
      </c>
      <c r="B2766" s="1">
        <v>44750</v>
      </c>
      <c r="C2766" t="s">
        <v>5192</v>
      </c>
      <c r="D2766" t="s">
        <v>26</v>
      </c>
      <c r="E2766" t="s">
        <v>14</v>
      </c>
      <c r="F2766" t="s">
        <v>15</v>
      </c>
      <c r="G2766">
        <v>2</v>
      </c>
      <c r="H2766">
        <v>34783.69</v>
      </c>
      <c r="I2766">
        <v>1927.8</v>
      </c>
      <c r="J2766" t="s">
        <v>47</v>
      </c>
      <c r="K2766" t="s">
        <v>29</v>
      </c>
      <c r="L2766">
        <f t="shared" si="129"/>
        <v>2022</v>
      </c>
      <c r="M2766" t="str">
        <f t="shared" si="130"/>
        <v>Jul</v>
      </c>
      <c r="N2766" s="2">
        <f t="shared" si="131"/>
        <v>5.5422527052190258E-2</v>
      </c>
    </row>
    <row r="2767" spans="1:14" x14ac:dyDescent="0.45">
      <c r="A2767" t="s">
        <v>5193</v>
      </c>
      <c r="B2767" s="1">
        <v>45613</v>
      </c>
      <c r="C2767" t="s">
        <v>5194</v>
      </c>
      <c r="D2767" t="s">
        <v>26</v>
      </c>
      <c r="E2767" t="s">
        <v>36</v>
      </c>
      <c r="F2767" t="s">
        <v>46</v>
      </c>
      <c r="G2767">
        <v>1</v>
      </c>
      <c r="H2767">
        <v>26797.43</v>
      </c>
      <c r="I2767">
        <v>5961.27</v>
      </c>
      <c r="J2767" t="s">
        <v>28</v>
      </c>
      <c r="K2767" t="s">
        <v>33</v>
      </c>
      <c r="L2767">
        <f t="shared" si="129"/>
        <v>2024</v>
      </c>
      <c r="M2767" t="str">
        <f t="shared" si="130"/>
        <v>Nov</v>
      </c>
      <c r="N2767" s="2">
        <f t="shared" si="131"/>
        <v>0.22245678037035643</v>
      </c>
    </row>
    <row r="2768" spans="1:14" x14ac:dyDescent="0.45">
      <c r="A2768" t="s">
        <v>5195</v>
      </c>
      <c r="B2768" s="1">
        <v>44813</v>
      </c>
      <c r="C2768" t="s">
        <v>5196</v>
      </c>
      <c r="D2768" t="s">
        <v>13</v>
      </c>
      <c r="E2768" t="s">
        <v>14</v>
      </c>
      <c r="F2768" t="s">
        <v>15</v>
      </c>
      <c r="G2768">
        <v>1</v>
      </c>
      <c r="H2768">
        <v>16957.009999999998</v>
      </c>
      <c r="I2768">
        <v>1417.34</v>
      </c>
      <c r="J2768" t="s">
        <v>28</v>
      </c>
      <c r="K2768" t="s">
        <v>33</v>
      </c>
      <c r="L2768">
        <f t="shared" si="129"/>
        <v>2022</v>
      </c>
      <c r="M2768" t="str">
        <f t="shared" si="130"/>
        <v>Sep</v>
      </c>
      <c r="N2768" s="2">
        <f t="shared" si="131"/>
        <v>8.3584311149194346E-2</v>
      </c>
    </row>
    <row r="2769" spans="1:14" x14ac:dyDescent="0.45">
      <c r="A2769" t="s">
        <v>5197</v>
      </c>
      <c r="B2769" s="1">
        <v>45479</v>
      </c>
      <c r="C2769" t="s">
        <v>5198</v>
      </c>
      <c r="D2769" t="s">
        <v>56</v>
      </c>
      <c r="E2769" t="s">
        <v>20</v>
      </c>
      <c r="F2769" t="s">
        <v>50</v>
      </c>
      <c r="G2769">
        <v>3</v>
      </c>
      <c r="H2769">
        <v>32016.74</v>
      </c>
      <c r="I2769">
        <v>5099.3599999999997</v>
      </c>
      <c r="J2769" t="s">
        <v>28</v>
      </c>
      <c r="K2769" t="s">
        <v>33</v>
      </c>
      <c r="L2769">
        <f t="shared" si="129"/>
        <v>2024</v>
      </c>
      <c r="M2769" t="str">
        <f t="shared" si="130"/>
        <v>Jul</v>
      </c>
      <c r="N2769" s="2">
        <f t="shared" si="131"/>
        <v>0.15927168100187589</v>
      </c>
    </row>
    <row r="2770" spans="1:14" x14ac:dyDescent="0.45">
      <c r="A2770" t="s">
        <v>5199</v>
      </c>
      <c r="B2770" s="1">
        <v>45332</v>
      </c>
      <c r="C2770" t="s">
        <v>4597</v>
      </c>
      <c r="D2770" t="s">
        <v>56</v>
      </c>
      <c r="E2770" t="s">
        <v>20</v>
      </c>
      <c r="F2770" t="s">
        <v>43</v>
      </c>
      <c r="G2770">
        <v>1</v>
      </c>
      <c r="H2770">
        <v>47488.49</v>
      </c>
      <c r="I2770">
        <v>10208.65</v>
      </c>
      <c r="J2770" t="s">
        <v>22</v>
      </c>
      <c r="K2770" t="s">
        <v>23</v>
      </c>
      <c r="L2770">
        <f t="shared" si="129"/>
        <v>2024</v>
      </c>
      <c r="M2770" t="str">
        <f t="shared" si="130"/>
        <v>Feb</v>
      </c>
      <c r="N2770" s="2">
        <f t="shared" si="131"/>
        <v>0.21497103824526742</v>
      </c>
    </row>
    <row r="2771" spans="1:14" x14ac:dyDescent="0.45">
      <c r="A2771" t="s">
        <v>5200</v>
      </c>
      <c r="B2771" s="1">
        <v>44930</v>
      </c>
      <c r="C2771" t="s">
        <v>5201</v>
      </c>
      <c r="D2771" t="s">
        <v>26</v>
      </c>
      <c r="E2771" t="s">
        <v>14</v>
      </c>
      <c r="F2771" t="s">
        <v>15</v>
      </c>
      <c r="G2771">
        <v>2</v>
      </c>
      <c r="H2771">
        <v>34928.54</v>
      </c>
      <c r="I2771">
        <v>5504.72</v>
      </c>
      <c r="J2771" t="s">
        <v>16</v>
      </c>
      <c r="K2771" t="s">
        <v>29</v>
      </c>
      <c r="L2771">
        <f t="shared" si="129"/>
        <v>2023</v>
      </c>
      <c r="M2771" t="str">
        <f t="shared" si="130"/>
        <v>Jan</v>
      </c>
      <c r="N2771" s="2">
        <f t="shared" si="131"/>
        <v>0.15759948741058172</v>
      </c>
    </row>
    <row r="2772" spans="1:14" x14ac:dyDescent="0.45">
      <c r="A2772" t="s">
        <v>5202</v>
      </c>
      <c r="B2772" s="1">
        <v>44808</v>
      </c>
      <c r="C2772" t="s">
        <v>5203</v>
      </c>
      <c r="D2772" t="s">
        <v>13</v>
      </c>
      <c r="E2772" t="s">
        <v>36</v>
      </c>
      <c r="F2772" t="s">
        <v>64</v>
      </c>
      <c r="G2772">
        <v>5</v>
      </c>
      <c r="H2772">
        <v>13647.89</v>
      </c>
      <c r="I2772">
        <v>2754.75</v>
      </c>
      <c r="J2772" t="s">
        <v>28</v>
      </c>
      <c r="K2772" t="s">
        <v>17</v>
      </c>
      <c r="L2772">
        <f t="shared" si="129"/>
        <v>2022</v>
      </c>
      <c r="M2772" t="str">
        <f t="shared" si="130"/>
        <v>Sep</v>
      </c>
      <c r="N2772" s="2">
        <f t="shared" si="131"/>
        <v>0.20184438766725113</v>
      </c>
    </row>
    <row r="2773" spans="1:14" x14ac:dyDescent="0.45">
      <c r="A2773" t="s">
        <v>5204</v>
      </c>
      <c r="B2773" s="1">
        <v>45427</v>
      </c>
      <c r="C2773" t="s">
        <v>5205</v>
      </c>
      <c r="D2773" t="s">
        <v>56</v>
      </c>
      <c r="E2773" t="s">
        <v>36</v>
      </c>
      <c r="F2773" t="s">
        <v>53</v>
      </c>
      <c r="G2773">
        <v>2</v>
      </c>
      <c r="H2773">
        <v>4295.1499999999996</v>
      </c>
      <c r="I2773">
        <v>551.64</v>
      </c>
      <c r="J2773" t="s">
        <v>47</v>
      </c>
      <c r="K2773" t="s">
        <v>33</v>
      </c>
      <c r="L2773">
        <f t="shared" si="129"/>
        <v>2024</v>
      </c>
      <c r="M2773" t="str">
        <f t="shared" si="130"/>
        <v>May</v>
      </c>
      <c r="N2773" s="2">
        <f t="shared" si="131"/>
        <v>0.12843323283238073</v>
      </c>
    </row>
    <row r="2774" spans="1:14" x14ac:dyDescent="0.45">
      <c r="A2774" t="s">
        <v>5206</v>
      </c>
      <c r="B2774" s="1">
        <v>44647</v>
      </c>
      <c r="C2774" t="s">
        <v>5207</v>
      </c>
      <c r="D2774" t="s">
        <v>26</v>
      </c>
      <c r="E2774" t="s">
        <v>20</v>
      </c>
      <c r="F2774" t="s">
        <v>50</v>
      </c>
      <c r="G2774">
        <v>5</v>
      </c>
      <c r="H2774">
        <v>5730.26</v>
      </c>
      <c r="I2774">
        <v>914.05</v>
      </c>
      <c r="J2774" t="s">
        <v>47</v>
      </c>
      <c r="K2774" t="s">
        <v>29</v>
      </c>
      <c r="L2774">
        <f t="shared" si="129"/>
        <v>2022</v>
      </c>
      <c r="M2774" t="str">
        <f t="shared" si="130"/>
        <v>Mar</v>
      </c>
      <c r="N2774" s="2">
        <f t="shared" si="131"/>
        <v>0.1595128318784837</v>
      </c>
    </row>
    <row r="2775" spans="1:14" x14ac:dyDescent="0.45">
      <c r="A2775" t="s">
        <v>5208</v>
      </c>
      <c r="B2775" s="1">
        <v>45019</v>
      </c>
      <c r="C2775" t="s">
        <v>5209</v>
      </c>
      <c r="D2775" t="s">
        <v>56</v>
      </c>
      <c r="E2775" t="s">
        <v>14</v>
      </c>
      <c r="F2775" t="s">
        <v>57</v>
      </c>
      <c r="G2775">
        <v>5</v>
      </c>
      <c r="H2775">
        <v>35096.01</v>
      </c>
      <c r="I2775">
        <v>8320.7900000000009</v>
      </c>
      <c r="J2775" t="s">
        <v>16</v>
      </c>
      <c r="K2775" t="s">
        <v>17</v>
      </c>
      <c r="L2775">
        <f t="shared" si="129"/>
        <v>2023</v>
      </c>
      <c r="M2775" t="str">
        <f t="shared" si="130"/>
        <v>Apr</v>
      </c>
      <c r="N2775" s="2">
        <f t="shared" si="131"/>
        <v>0.2370864950175248</v>
      </c>
    </row>
    <row r="2776" spans="1:14" x14ac:dyDescent="0.45">
      <c r="A2776" t="s">
        <v>5210</v>
      </c>
      <c r="B2776" s="1">
        <v>45238</v>
      </c>
      <c r="C2776" t="s">
        <v>2659</v>
      </c>
      <c r="D2776" t="s">
        <v>26</v>
      </c>
      <c r="E2776" t="s">
        <v>36</v>
      </c>
      <c r="F2776" t="s">
        <v>37</v>
      </c>
      <c r="G2776">
        <v>5</v>
      </c>
      <c r="H2776">
        <v>9101.91</v>
      </c>
      <c r="I2776">
        <v>626.53</v>
      </c>
      <c r="J2776" t="s">
        <v>16</v>
      </c>
      <c r="K2776" t="s">
        <v>17</v>
      </c>
      <c r="L2776">
        <f t="shared" si="129"/>
        <v>2023</v>
      </c>
      <c r="M2776" t="str">
        <f t="shared" si="130"/>
        <v>Nov</v>
      </c>
      <c r="N2776" s="2">
        <f t="shared" si="131"/>
        <v>6.8835002763156308E-2</v>
      </c>
    </row>
    <row r="2777" spans="1:14" x14ac:dyDescent="0.45">
      <c r="A2777" t="s">
        <v>5211</v>
      </c>
      <c r="B2777" s="1">
        <v>44901</v>
      </c>
      <c r="C2777" t="s">
        <v>724</v>
      </c>
      <c r="D2777" t="s">
        <v>56</v>
      </c>
      <c r="E2777" t="s">
        <v>14</v>
      </c>
      <c r="F2777" t="s">
        <v>15</v>
      </c>
      <c r="G2777">
        <v>5</v>
      </c>
      <c r="H2777">
        <v>43600.54</v>
      </c>
      <c r="I2777">
        <v>3044.45</v>
      </c>
      <c r="J2777" t="s">
        <v>16</v>
      </c>
      <c r="K2777" t="s">
        <v>33</v>
      </c>
      <c r="L2777">
        <f t="shared" si="129"/>
        <v>2022</v>
      </c>
      <c r="M2777" t="str">
        <f t="shared" si="130"/>
        <v>Dec</v>
      </c>
      <c r="N2777" s="2">
        <f t="shared" si="131"/>
        <v>6.982597004532512E-2</v>
      </c>
    </row>
    <row r="2778" spans="1:14" x14ac:dyDescent="0.45">
      <c r="A2778" t="s">
        <v>5212</v>
      </c>
      <c r="B2778" s="1">
        <v>44862</v>
      </c>
      <c r="C2778" t="s">
        <v>5213</v>
      </c>
      <c r="D2778" t="s">
        <v>26</v>
      </c>
      <c r="E2778" t="s">
        <v>14</v>
      </c>
      <c r="F2778" t="s">
        <v>32</v>
      </c>
      <c r="G2778">
        <v>1</v>
      </c>
      <c r="H2778">
        <v>49955.86</v>
      </c>
      <c r="I2778">
        <v>4743.3500000000004</v>
      </c>
      <c r="J2778" t="s">
        <v>28</v>
      </c>
      <c r="K2778" t="s">
        <v>23</v>
      </c>
      <c r="L2778">
        <f t="shared" si="129"/>
        <v>2022</v>
      </c>
      <c r="M2778" t="str">
        <f t="shared" si="130"/>
        <v>Oct</v>
      </c>
      <c r="N2778" s="2">
        <f t="shared" si="131"/>
        <v>9.4950822586179082E-2</v>
      </c>
    </row>
    <row r="2779" spans="1:14" x14ac:dyDescent="0.45">
      <c r="A2779" t="s">
        <v>5214</v>
      </c>
      <c r="B2779" s="1">
        <v>44614</v>
      </c>
      <c r="C2779" t="s">
        <v>1806</v>
      </c>
      <c r="D2779" t="s">
        <v>13</v>
      </c>
      <c r="E2779" t="s">
        <v>14</v>
      </c>
      <c r="F2779" t="s">
        <v>32</v>
      </c>
      <c r="G2779">
        <v>4</v>
      </c>
      <c r="H2779">
        <v>6734.01</v>
      </c>
      <c r="I2779">
        <v>652.48</v>
      </c>
      <c r="J2779" t="s">
        <v>28</v>
      </c>
      <c r="K2779" t="s">
        <v>17</v>
      </c>
      <c r="L2779">
        <f t="shared" si="129"/>
        <v>2022</v>
      </c>
      <c r="M2779" t="str">
        <f t="shared" si="130"/>
        <v>Feb</v>
      </c>
      <c r="N2779" s="2">
        <f t="shared" si="131"/>
        <v>9.6893233006781987E-2</v>
      </c>
    </row>
    <row r="2780" spans="1:14" x14ac:dyDescent="0.45">
      <c r="A2780" t="s">
        <v>5215</v>
      </c>
      <c r="B2780" s="1">
        <v>45445</v>
      </c>
      <c r="C2780" t="s">
        <v>5216</v>
      </c>
      <c r="D2780" t="s">
        <v>56</v>
      </c>
      <c r="E2780" t="s">
        <v>20</v>
      </c>
      <c r="F2780" t="s">
        <v>27</v>
      </c>
      <c r="G2780">
        <v>3</v>
      </c>
      <c r="H2780">
        <v>45883.77</v>
      </c>
      <c r="I2780">
        <v>7277.16</v>
      </c>
      <c r="J2780" t="s">
        <v>16</v>
      </c>
      <c r="K2780" t="s">
        <v>33</v>
      </c>
      <c r="L2780">
        <f t="shared" si="129"/>
        <v>2024</v>
      </c>
      <c r="M2780" t="str">
        <f t="shared" si="130"/>
        <v>Jun</v>
      </c>
      <c r="N2780" s="2">
        <f t="shared" si="131"/>
        <v>0.15859987093475536</v>
      </c>
    </row>
    <row r="2781" spans="1:14" x14ac:dyDescent="0.45">
      <c r="A2781" t="s">
        <v>5217</v>
      </c>
      <c r="B2781" s="1">
        <v>45545</v>
      </c>
      <c r="C2781" t="s">
        <v>5218</v>
      </c>
      <c r="D2781" t="s">
        <v>56</v>
      </c>
      <c r="E2781" t="s">
        <v>20</v>
      </c>
      <c r="F2781" t="s">
        <v>27</v>
      </c>
      <c r="G2781">
        <v>5</v>
      </c>
      <c r="H2781">
        <v>13192.36</v>
      </c>
      <c r="I2781">
        <v>1926.81</v>
      </c>
      <c r="J2781" t="s">
        <v>22</v>
      </c>
      <c r="K2781" t="s">
        <v>17</v>
      </c>
      <c r="L2781">
        <f t="shared" si="129"/>
        <v>2024</v>
      </c>
      <c r="M2781" t="str">
        <f t="shared" si="130"/>
        <v>Sep</v>
      </c>
      <c r="N2781" s="2">
        <f t="shared" si="131"/>
        <v>0.14605498940295747</v>
      </c>
    </row>
    <row r="2782" spans="1:14" x14ac:dyDescent="0.45">
      <c r="A2782" t="s">
        <v>5219</v>
      </c>
      <c r="B2782" s="1">
        <v>45467</v>
      </c>
      <c r="C2782" t="s">
        <v>5220</v>
      </c>
      <c r="D2782" t="s">
        <v>13</v>
      </c>
      <c r="E2782" t="s">
        <v>14</v>
      </c>
      <c r="F2782" t="s">
        <v>32</v>
      </c>
      <c r="G2782">
        <v>4</v>
      </c>
      <c r="H2782">
        <v>39745.870000000003</v>
      </c>
      <c r="I2782">
        <v>8156.32</v>
      </c>
      <c r="J2782" t="s">
        <v>22</v>
      </c>
      <c r="K2782" t="s">
        <v>29</v>
      </c>
      <c r="L2782">
        <f t="shared" si="129"/>
        <v>2024</v>
      </c>
      <c r="M2782" t="str">
        <f t="shared" si="130"/>
        <v>Jun</v>
      </c>
      <c r="N2782" s="2">
        <f t="shared" si="131"/>
        <v>0.20521176162454111</v>
      </c>
    </row>
    <row r="2783" spans="1:14" x14ac:dyDescent="0.45">
      <c r="A2783" t="s">
        <v>5221</v>
      </c>
      <c r="B2783" s="1">
        <v>45139</v>
      </c>
      <c r="C2783" t="s">
        <v>5222</v>
      </c>
      <c r="D2783" t="s">
        <v>56</v>
      </c>
      <c r="E2783" t="s">
        <v>14</v>
      </c>
      <c r="F2783" t="s">
        <v>32</v>
      </c>
      <c r="G2783">
        <v>2</v>
      </c>
      <c r="H2783">
        <v>17525.27</v>
      </c>
      <c r="I2783">
        <v>2560.0300000000002</v>
      </c>
      <c r="J2783" t="s">
        <v>22</v>
      </c>
      <c r="K2783" t="s">
        <v>33</v>
      </c>
      <c r="L2783">
        <f t="shared" si="129"/>
        <v>2023</v>
      </c>
      <c r="M2783" t="str">
        <f t="shared" si="130"/>
        <v>Aug</v>
      </c>
      <c r="N2783" s="2">
        <f t="shared" si="131"/>
        <v>0.14607649411392806</v>
      </c>
    </row>
    <row r="2784" spans="1:14" x14ac:dyDescent="0.45">
      <c r="A2784" t="s">
        <v>5223</v>
      </c>
      <c r="B2784" s="1">
        <v>44974</v>
      </c>
      <c r="C2784" t="s">
        <v>5224</v>
      </c>
      <c r="D2784" t="s">
        <v>56</v>
      </c>
      <c r="E2784" t="s">
        <v>20</v>
      </c>
      <c r="F2784" t="s">
        <v>43</v>
      </c>
      <c r="G2784">
        <v>3</v>
      </c>
      <c r="H2784">
        <v>30143.48</v>
      </c>
      <c r="I2784">
        <v>7358.45</v>
      </c>
      <c r="J2784" t="s">
        <v>28</v>
      </c>
      <c r="K2784" t="s">
        <v>23</v>
      </c>
      <c r="L2784">
        <f t="shared" si="129"/>
        <v>2023</v>
      </c>
      <c r="M2784" t="str">
        <f t="shared" si="130"/>
        <v>Feb</v>
      </c>
      <c r="N2784" s="2">
        <f t="shared" si="131"/>
        <v>0.24411415005832107</v>
      </c>
    </row>
    <row r="2785" spans="1:14" x14ac:dyDescent="0.45">
      <c r="A2785" t="s">
        <v>5225</v>
      </c>
      <c r="B2785" s="1">
        <v>44788</v>
      </c>
      <c r="C2785" t="s">
        <v>5226</v>
      </c>
      <c r="D2785" t="s">
        <v>26</v>
      </c>
      <c r="E2785" t="s">
        <v>20</v>
      </c>
      <c r="F2785" t="s">
        <v>50</v>
      </c>
      <c r="G2785">
        <v>4</v>
      </c>
      <c r="H2785">
        <v>4207.9399999999996</v>
      </c>
      <c r="I2785">
        <v>583.16999999999996</v>
      </c>
      <c r="J2785" t="s">
        <v>22</v>
      </c>
      <c r="K2785" t="s">
        <v>17</v>
      </c>
      <c r="L2785">
        <f t="shared" si="129"/>
        <v>2022</v>
      </c>
      <c r="M2785" t="str">
        <f t="shared" si="130"/>
        <v>Aug</v>
      </c>
      <c r="N2785" s="2">
        <f t="shared" si="131"/>
        <v>0.13858800268064658</v>
      </c>
    </row>
    <row r="2786" spans="1:14" x14ac:dyDescent="0.45">
      <c r="A2786" t="s">
        <v>5227</v>
      </c>
      <c r="B2786" s="1">
        <v>45366</v>
      </c>
      <c r="C2786" t="s">
        <v>5228</v>
      </c>
      <c r="D2786" t="s">
        <v>56</v>
      </c>
      <c r="E2786" t="s">
        <v>20</v>
      </c>
      <c r="F2786" t="s">
        <v>27</v>
      </c>
      <c r="G2786">
        <v>5</v>
      </c>
      <c r="H2786">
        <v>20310.02</v>
      </c>
      <c r="I2786">
        <v>4610.07</v>
      </c>
      <c r="J2786" t="s">
        <v>28</v>
      </c>
      <c r="K2786" t="s">
        <v>29</v>
      </c>
      <c r="L2786">
        <f t="shared" si="129"/>
        <v>2024</v>
      </c>
      <c r="M2786" t="str">
        <f t="shared" si="130"/>
        <v>Mar</v>
      </c>
      <c r="N2786" s="2">
        <f t="shared" si="131"/>
        <v>0.2269850054308169</v>
      </c>
    </row>
    <row r="2787" spans="1:14" x14ac:dyDescent="0.45">
      <c r="A2787" t="s">
        <v>5229</v>
      </c>
      <c r="B2787" s="1">
        <v>45333</v>
      </c>
      <c r="C2787" t="s">
        <v>5230</v>
      </c>
      <c r="D2787" t="s">
        <v>56</v>
      </c>
      <c r="E2787" t="s">
        <v>14</v>
      </c>
      <c r="F2787" t="s">
        <v>57</v>
      </c>
      <c r="G2787">
        <v>4</v>
      </c>
      <c r="H2787">
        <v>19315.52</v>
      </c>
      <c r="I2787">
        <v>4762.07</v>
      </c>
      <c r="J2787" t="s">
        <v>16</v>
      </c>
      <c r="K2787" t="s">
        <v>23</v>
      </c>
      <c r="L2787">
        <f t="shared" si="129"/>
        <v>2024</v>
      </c>
      <c r="M2787" t="str">
        <f t="shared" si="130"/>
        <v>Feb</v>
      </c>
      <c r="N2787" s="2">
        <f t="shared" si="131"/>
        <v>0.2465411234074982</v>
      </c>
    </row>
    <row r="2788" spans="1:14" x14ac:dyDescent="0.45">
      <c r="A2788" t="s">
        <v>5231</v>
      </c>
      <c r="B2788" s="1">
        <v>45295</v>
      </c>
      <c r="C2788" t="s">
        <v>3434</v>
      </c>
      <c r="D2788" t="s">
        <v>56</v>
      </c>
      <c r="E2788" t="s">
        <v>36</v>
      </c>
      <c r="F2788" t="s">
        <v>37</v>
      </c>
      <c r="G2788">
        <v>4</v>
      </c>
      <c r="H2788">
        <v>37199.83</v>
      </c>
      <c r="I2788">
        <v>4969.1899999999996</v>
      </c>
      <c r="J2788" t="s">
        <v>28</v>
      </c>
      <c r="K2788" t="s">
        <v>33</v>
      </c>
      <c r="L2788">
        <f t="shared" si="129"/>
        <v>2024</v>
      </c>
      <c r="M2788" t="str">
        <f t="shared" si="130"/>
        <v>Jan</v>
      </c>
      <c r="N2788" s="2">
        <f t="shared" si="131"/>
        <v>0.1335809867948321</v>
      </c>
    </row>
    <row r="2789" spans="1:14" x14ac:dyDescent="0.45">
      <c r="A2789" t="s">
        <v>5232</v>
      </c>
      <c r="B2789" s="1">
        <v>45386</v>
      </c>
      <c r="C2789" t="s">
        <v>5233</v>
      </c>
      <c r="D2789" t="s">
        <v>13</v>
      </c>
      <c r="E2789" t="s">
        <v>36</v>
      </c>
      <c r="F2789" t="s">
        <v>64</v>
      </c>
      <c r="G2789">
        <v>3</v>
      </c>
      <c r="H2789">
        <v>39130.1</v>
      </c>
      <c r="I2789">
        <v>8993.19</v>
      </c>
      <c r="J2789" t="s">
        <v>47</v>
      </c>
      <c r="K2789" t="s">
        <v>23</v>
      </c>
      <c r="L2789">
        <f t="shared" si="129"/>
        <v>2024</v>
      </c>
      <c r="M2789" t="str">
        <f t="shared" si="130"/>
        <v>Apr</v>
      </c>
      <c r="N2789" s="2">
        <f t="shared" si="131"/>
        <v>0.22982793297231546</v>
      </c>
    </row>
    <row r="2790" spans="1:14" x14ac:dyDescent="0.45">
      <c r="A2790" t="s">
        <v>5234</v>
      </c>
      <c r="B2790" s="1">
        <v>44694</v>
      </c>
      <c r="C2790" t="s">
        <v>5235</v>
      </c>
      <c r="D2790" t="s">
        <v>56</v>
      </c>
      <c r="E2790" t="s">
        <v>20</v>
      </c>
      <c r="F2790" t="s">
        <v>21</v>
      </c>
      <c r="G2790">
        <v>3</v>
      </c>
      <c r="H2790">
        <v>12215.24</v>
      </c>
      <c r="I2790">
        <v>1154.82</v>
      </c>
      <c r="J2790" t="s">
        <v>71</v>
      </c>
      <c r="K2790" t="s">
        <v>23</v>
      </c>
      <c r="L2790">
        <f t="shared" si="129"/>
        <v>2022</v>
      </c>
      <c r="M2790" t="str">
        <f t="shared" si="130"/>
        <v>May</v>
      </c>
      <c r="N2790" s="2">
        <f t="shared" si="131"/>
        <v>9.4539280439843998E-2</v>
      </c>
    </row>
    <row r="2791" spans="1:14" x14ac:dyDescent="0.45">
      <c r="A2791" t="s">
        <v>5236</v>
      </c>
      <c r="B2791" s="1">
        <v>44706</v>
      </c>
      <c r="C2791" t="s">
        <v>5237</v>
      </c>
      <c r="D2791" t="s">
        <v>56</v>
      </c>
      <c r="E2791" t="s">
        <v>14</v>
      </c>
      <c r="F2791" t="s">
        <v>32</v>
      </c>
      <c r="G2791">
        <v>2</v>
      </c>
      <c r="H2791">
        <v>24886.01</v>
      </c>
      <c r="I2791">
        <v>3681.03</v>
      </c>
      <c r="J2791" t="s">
        <v>22</v>
      </c>
      <c r="K2791" t="s">
        <v>33</v>
      </c>
      <c r="L2791">
        <f t="shared" si="129"/>
        <v>2022</v>
      </c>
      <c r="M2791" t="str">
        <f t="shared" si="130"/>
        <v>May</v>
      </c>
      <c r="N2791" s="2">
        <f t="shared" si="131"/>
        <v>0.14791563613451897</v>
      </c>
    </row>
    <row r="2792" spans="1:14" x14ac:dyDescent="0.45">
      <c r="A2792" t="s">
        <v>5238</v>
      </c>
      <c r="B2792" s="1">
        <v>45261</v>
      </c>
      <c r="C2792" t="s">
        <v>5239</v>
      </c>
      <c r="D2792" t="s">
        <v>13</v>
      </c>
      <c r="E2792" t="s">
        <v>14</v>
      </c>
      <c r="F2792" t="s">
        <v>15</v>
      </c>
      <c r="G2792">
        <v>4</v>
      </c>
      <c r="H2792">
        <v>24599.63</v>
      </c>
      <c r="I2792">
        <v>3284.23</v>
      </c>
      <c r="J2792" t="s">
        <v>47</v>
      </c>
      <c r="K2792" t="s">
        <v>17</v>
      </c>
      <c r="L2792">
        <f t="shared" si="129"/>
        <v>2023</v>
      </c>
      <c r="M2792" t="str">
        <f t="shared" si="130"/>
        <v>Dec</v>
      </c>
      <c r="N2792" s="2">
        <f t="shared" si="131"/>
        <v>0.13350729258936009</v>
      </c>
    </row>
    <row r="2793" spans="1:14" x14ac:dyDescent="0.45">
      <c r="A2793" t="s">
        <v>5240</v>
      </c>
      <c r="B2793" s="1">
        <v>44709</v>
      </c>
      <c r="C2793" t="s">
        <v>5241</v>
      </c>
      <c r="D2793" t="s">
        <v>13</v>
      </c>
      <c r="E2793" t="s">
        <v>36</v>
      </c>
      <c r="F2793" t="s">
        <v>53</v>
      </c>
      <c r="G2793">
        <v>1</v>
      </c>
      <c r="H2793">
        <v>42632.09</v>
      </c>
      <c r="I2793">
        <v>10074.43</v>
      </c>
      <c r="J2793" t="s">
        <v>28</v>
      </c>
      <c r="K2793" t="s">
        <v>29</v>
      </c>
      <c r="L2793">
        <f t="shared" si="129"/>
        <v>2022</v>
      </c>
      <c r="M2793" t="str">
        <f t="shared" si="130"/>
        <v>May</v>
      </c>
      <c r="N2793" s="2">
        <f t="shared" si="131"/>
        <v>0.23631095730938834</v>
      </c>
    </row>
    <row r="2794" spans="1:14" x14ac:dyDescent="0.45">
      <c r="A2794" t="s">
        <v>5242</v>
      </c>
      <c r="B2794" s="1">
        <v>45236</v>
      </c>
      <c r="C2794" t="s">
        <v>397</v>
      </c>
      <c r="D2794" t="s">
        <v>56</v>
      </c>
      <c r="E2794" t="s">
        <v>36</v>
      </c>
      <c r="F2794" t="s">
        <v>53</v>
      </c>
      <c r="G2794">
        <v>3</v>
      </c>
      <c r="H2794">
        <v>3097.95</v>
      </c>
      <c r="I2794">
        <v>271.42</v>
      </c>
      <c r="J2794" t="s">
        <v>28</v>
      </c>
      <c r="K2794" t="s">
        <v>33</v>
      </c>
      <c r="L2794">
        <f t="shared" si="129"/>
        <v>2023</v>
      </c>
      <c r="M2794" t="str">
        <f t="shared" si="130"/>
        <v>Nov</v>
      </c>
      <c r="N2794" s="2">
        <f t="shared" si="131"/>
        <v>8.7612776190706773E-2</v>
      </c>
    </row>
    <row r="2795" spans="1:14" x14ac:dyDescent="0.45">
      <c r="A2795" t="s">
        <v>5243</v>
      </c>
      <c r="B2795" s="1">
        <v>45098</v>
      </c>
      <c r="C2795" t="s">
        <v>5244</v>
      </c>
      <c r="D2795" t="s">
        <v>13</v>
      </c>
      <c r="E2795" t="s">
        <v>14</v>
      </c>
      <c r="F2795" t="s">
        <v>40</v>
      </c>
      <c r="G2795">
        <v>3</v>
      </c>
      <c r="H2795">
        <v>32009.32</v>
      </c>
      <c r="I2795">
        <v>7913.57</v>
      </c>
      <c r="J2795" t="s">
        <v>47</v>
      </c>
      <c r="K2795" t="s">
        <v>29</v>
      </c>
      <c r="L2795">
        <f t="shared" si="129"/>
        <v>2023</v>
      </c>
      <c r="M2795" t="str">
        <f t="shared" si="130"/>
        <v>Jun</v>
      </c>
      <c r="N2795" s="2">
        <f t="shared" si="131"/>
        <v>0.24722705761946831</v>
      </c>
    </row>
    <row r="2796" spans="1:14" x14ac:dyDescent="0.45">
      <c r="A2796" t="s">
        <v>5245</v>
      </c>
      <c r="B2796" s="1">
        <v>45105</v>
      </c>
      <c r="C2796" t="s">
        <v>5246</v>
      </c>
      <c r="D2796" t="s">
        <v>26</v>
      </c>
      <c r="E2796" t="s">
        <v>14</v>
      </c>
      <c r="F2796" t="s">
        <v>57</v>
      </c>
      <c r="G2796">
        <v>1</v>
      </c>
      <c r="H2796">
        <v>11272.32</v>
      </c>
      <c r="I2796">
        <v>1813.97</v>
      </c>
      <c r="J2796" t="s">
        <v>47</v>
      </c>
      <c r="K2796" t="s">
        <v>17</v>
      </c>
      <c r="L2796">
        <f t="shared" si="129"/>
        <v>2023</v>
      </c>
      <c r="M2796" t="str">
        <f t="shared" si="130"/>
        <v>Jun</v>
      </c>
      <c r="N2796" s="2">
        <f t="shared" si="131"/>
        <v>0.16092250752285245</v>
      </c>
    </row>
    <row r="2797" spans="1:14" x14ac:dyDescent="0.45">
      <c r="A2797" t="s">
        <v>5247</v>
      </c>
      <c r="B2797" s="1">
        <v>44793</v>
      </c>
      <c r="C2797" t="s">
        <v>5248</v>
      </c>
      <c r="D2797" t="s">
        <v>26</v>
      </c>
      <c r="E2797" t="s">
        <v>14</v>
      </c>
      <c r="F2797" t="s">
        <v>15</v>
      </c>
      <c r="G2797">
        <v>2</v>
      </c>
      <c r="H2797">
        <v>21055.32</v>
      </c>
      <c r="I2797">
        <v>1589.92</v>
      </c>
      <c r="J2797" t="s">
        <v>71</v>
      </c>
      <c r="K2797" t="s">
        <v>33</v>
      </c>
      <c r="L2797">
        <f t="shared" si="129"/>
        <v>2022</v>
      </c>
      <c r="M2797" t="str">
        <f t="shared" si="130"/>
        <v>Aug</v>
      </c>
      <c r="N2797" s="2">
        <f t="shared" si="131"/>
        <v>7.5511557174148869E-2</v>
      </c>
    </row>
    <row r="2798" spans="1:14" x14ac:dyDescent="0.45">
      <c r="A2798" t="s">
        <v>5249</v>
      </c>
      <c r="B2798" s="1">
        <v>45279</v>
      </c>
      <c r="C2798" t="s">
        <v>5250</v>
      </c>
      <c r="D2798" t="s">
        <v>56</v>
      </c>
      <c r="E2798" t="s">
        <v>36</v>
      </c>
      <c r="F2798" t="s">
        <v>64</v>
      </c>
      <c r="G2798">
        <v>1</v>
      </c>
      <c r="H2798">
        <v>47993.74</v>
      </c>
      <c r="I2798">
        <v>8076.12</v>
      </c>
      <c r="J2798" t="s">
        <v>71</v>
      </c>
      <c r="K2798" t="s">
        <v>17</v>
      </c>
      <c r="L2798">
        <f t="shared" si="129"/>
        <v>2023</v>
      </c>
      <c r="M2798" t="str">
        <f t="shared" si="130"/>
        <v>Dec</v>
      </c>
      <c r="N2798" s="2">
        <f t="shared" si="131"/>
        <v>0.16827444579230541</v>
      </c>
    </row>
    <row r="2799" spans="1:14" x14ac:dyDescent="0.45">
      <c r="A2799" t="s">
        <v>5251</v>
      </c>
      <c r="B2799" s="1">
        <v>44953</v>
      </c>
      <c r="C2799" t="s">
        <v>5252</v>
      </c>
      <c r="D2799" t="s">
        <v>13</v>
      </c>
      <c r="E2799" t="s">
        <v>20</v>
      </c>
      <c r="F2799" t="s">
        <v>27</v>
      </c>
      <c r="G2799">
        <v>5</v>
      </c>
      <c r="H2799">
        <v>2064.02</v>
      </c>
      <c r="I2799">
        <v>373.85</v>
      </c>
      <c r="J2799" t="s">
        <v>16</v>
      </c>
      <c r="K2799" t="s">
        <v>23</v>
      </c>
      <c r="L2799">
        <f t="shared" si="129"/>
        <v>2023</v>
      </c>
      <c r="M2799" t="str">
        <f t="shared" si="130"/>
        <v>Jan</v>
      </c>
      <c r="N2799" s="2">
        <f t="shared" si="131"/>
        <v>0.18112712086123198</v>
      </c>
    </row>
    <row r="2800" spans="1:14" x14ac:dyDescent="0.45">
      <c r="A2800" t="s">
        <v>5253</v>
      </c>
      <c r="B2800" s="1">
        <v>45107</v>
      </c>
      <c r="C2800" t="s">
        <v>5254</v>
      </c>
      <c r="D2800" t="s">
        <v>26</v>
      </c>
      <c r="E2800" t="s">
        <v>20</v>
      </c>
      <c r="F2800" t="s">
        <v>27</v>
      </c>
      <c r="G2800">
        <v>1</v>
      </c>
      <c r="H2800">
        <v>4072.55</v>
      </c>
      <c r="I2800">
        <v>876.43</v>
      </c>
      <c r="J2800" t="s">
        <v>22</v>
      </c>
      <c r="K2800" t="s">
        <v>29</v>
      </c>
      <c r="L2800">
        <f t="shared" si="129"/>
        <v>2023</v>
      </c>
      <c r="M2800" t="str">
        <f t="shared" si="130"/>
        <v>Jun</v>
      </c>
      <c r="N2800" s="2">
        <f t="shared" si="131"/>
        <v>0.21520423321997273</v>
      </c>
    </row>
    <row r="2801" spans="1:14" x14ac:dyDescent="0.45">
      <c r="A2801" t="s">
        <v>5255</v>
      </c>
      <c r="B2801" s="1">
        <v>45120</v>
      </c>
      <c r="C2801" t="s">
        <v>5256</v>
      </c>
      <c r="D2801" t="s">
        <v>13</v>
      </c>
      <c r="E2801" t="s">
        <v>20</v>
      </c>
      <c r="F2801" t="s">
        <v>43</v>
      </c>
      <c r="G2801">
        <v>4</v>
      </c>
      <c r="H2801">
        <v>38557.46</v>
      </c>
      <c r="I2801">
        <v>6078.52</v>
      </c>
      <c r="J2801" t="s">
        <v>47</v>
      </c>
      <c r="K2801" t="s">
        <v>29</v>
      </c>
      <c r="L2801">
        <f t="shared" si="129"/>
        <v>2023</v>
      </c>
      <c r="M2801" t="str">
        <f t="shared" si="130"/>
        <v>Jul</v>
      </c>
      <c r="N2801" s="2">
        <f t="shared" si="131"/>
        <v>0.1576483513177476</v>
      </c>
    </row>
    <row r="2802" spans="1:14" x14ac:dyDescent="0.45">
      <c r="A2802" t="s">
        <v>5257</v>
      </c>
      <c r="B2802" s="1">
        <v>44753</v>
      </c>
      <c r="C2802" t="s">
        <v>5258</v>
      </c>
      <c r="D2802" t="s">
        <v>26</v>
      </c>
      <c r="E2802" t="s">
        <v>14</v>
      </c>
      <c r="F2802" t="s">
        <v>57</v>
      </c>
      <c r="G2802">
        <v>2</v>
      </c>
      <c r="H2802">
        <v>33000.080000000002</v>
      </c>
      <c r="I2802">
        <v>4369.38</v>
      </c>
      <c r="J2802" t="s">
        <v>71</v>
      </c>
      <c r="K2802" t="s">
        <v>29</v>
      </c>
      <c r="L2802">
        <f t="shared" si="129"/>
        <v>2022</v>
      </c>
      <c r="M2802" t="str">
        <f t="shared" si="130"/>
        <v>Jul</v>
      </c>
      <c r="N2802" s="2">
        <f t="shared" si="131"/>
        <v>0.13240513356331257</v>
      </c>
    </row>
    <row r="2803" spans="1:14" x14ac:dyDescent="0.45">
      <c r="A2803" t="s">
        <v>5259</v>
      </c>
      <c r="B2803" s="1">
        <v>45206</v>
      </c>
      <c r="C2803" t="s">
        <v>5260</v>
      </c>
      <c r="D2803" t="s">
        <v>56</v>
      </c>
      <c r="E2803" t="s">
        <v>36</v>
      </c>
      <c r="F2803" t="s">
        <v>64</v>
      </c>
      <c r="G2803">
        <v>4</v>
      </c>
      <c r="H2803">
        <v>39175.800000000003</v>
      </c>
      <c r="I2803">
        <v>9688.67</v>
      </c>
      <c r="J2803" t="s">
        <v>28</v>
      </c>
      <c r="K2803" t="s">
        <v>23</v>
      </c>
      <c r="L2803">
        <f t="shared" si="129"/>
        <v>2023</v>
      </c>
      <c r="M2803" t="str">
        <f t="shared" si="130"/>
        <v>Oct</v>
      </c>
      <c r="N2803" s="2">
        <f t="shared" si="131"/>
        <v>0.24731262667258869</v>
      </c>
    </row>
    <row r="2804" spans="1:14" x14ac:dyDescent="0.45">
      <c r="A2804" t="s">
        <v>5261</v>
      </c>
      <c r="B2804" s="1">
        <v>44771</v>
      </c>
      <c r="C2804" t="s">
        <v>5262</v>
      </c>
      <c r="D2804" t="s">
        <v>13</v>
      </c>
      <c r="E2804" t="s">
        <v>20</v>
      </c>
      <c r="F2804" t="s">
        <v>50</v>
      </c>
      <c r="G2804">
        <v>5</v>
      </c>
      <c r="H2804">
        <v>5057.97</v>
      </c>
      <c r="I2804">
        <v>1016.15</v>
      </c>
      <c r="J2804" t="s">
        <v>71</v>
      </c>
      <c r="K2804" t="s">
        <v>29</v>
      </c>
      <c r="L2804">
        <f t="shared" si="129"/>
        <v>2022</v>
      </c>
      <c r="M2804" t="str">
        <f t="shared" si="130"/>
        <v>Jul</v>
      </c>
      <c r="N2804" s="2">
        <f t="shared" si="131"/>
        <v>0.20090075662765891</v>
      </c>
    </row>
    <row r="2805" spans="1:14" x14ac:dyDescent="0.45">
      <c r="A2805" t="s">
        <v>5263</v>
      </c>
      <c r="B2805" s="1">
        <v>44701</v>
      </c>
      <c r="C2805" t="s">
        <v>4198</v>
      </c>
      <c r="D2805" t="s">
        <v>13</v>
      </c>
      <c r="E2805" t="s">
        <v>36</v>
      </c>
      <c r="F2805" t="s">
        <v>46</v>
      </c>
      <c r="G2805">
        <v>4</v>
      </c>
      <c r="H2805">
        <v>34788.86</v>
      </c>
      <c r="I2805">
        <v>6236.49</v>
      </c>
      <c r="J2805" t="s">
        <v>22</v>
      </c>
      <c r="K2805" t="s">
        <v>23</v>
      </c>
      <c r="L2805">
        <f t="shared" si="129"/>
        <v>2022</v>
      </c>
      <c r="M2805" t="str">
        <f t="shared" si="130"/>
        <v>May</v>
      </c>
      <c r="N2805" s="2">
        <f t="shared" si="131"/>
        <v>0.17926686876201173</v>
      </c>
    </row>
    <row r="2806" spans="1:14" x14ac:dyDescent="0.45">
      <c r="A2806" t="s">
        <v>5264</v>
      </c>
      <c r="B2806" s="1">
        <v>44781</v>
      </c>
      <c r="C2806" t="s">
        <v>257</v>
      </c>
      <c r="D2806" t="s">
        <v>13</v>
      </c>
      <c r="E2806" t="s">
        <v>36</v>
      </c>
      <c r="F2806" t="s">
        <v>53</v>
      </c>
      <c r="G2806">
        <v>3</v>
      </c>
      <c r="H2806">
        <v>48044.78</v>
      </c>
      <c r="I2806">
        <v>5547.73</v>
      </c>
      <c r="J2806" t="s">
        <v>22</v>
      </c>
      <c r="K2806" t="s">
        <v>23</v>
      </c>
      <c r="L2806">
        <f t="shared" si="129"/>
        <v>2022</v>
      </c>
      <c r="M2806" t="str">
        <f t="shared" si="130"/>
        <v>Aug</v>
      </c>
      <c r="N2806" s="2">
        <f t="shared" si="131"/>
        <v>0.11546998446033055</v>
      </c>
    </row>
    <row r="2807" spans="1:14" x14ac:dyDescent="0.45">
      <c r="A2807" t="s">
        <v>5265</v>
      </c>
      <c r="B2807" s="1">
        <v>44721</v>
      </c>
      <c r="C2807" t="s">
        <v>5266</v>
      </c>
      <c r="D2807" t="s">
        <v>56</v>
      </c>
      <c r="E2807" t="s">
        <v>14</v>
      </c>
      <c r="F2807" t="s">
        <v>40</v>
      </c>
      <c r="G2807">
        <v>5</v>
      </c>
      <c r="H2807">
        <v>11193.53</v>
      </c>
      <c r="I2807">
        <v>1524.51</v>
      </c>
      <c r="J2807" t="s">
        <v>16</v>
      </c>
      <c r="K2807" t="s">
        <v>23</v>
      </c>
      <c r="L2807">
        <f t="shared" si="129"/>
        <v>2022</v>
      </c>
      <c r="M2807" t="str">
        <f t="shared" si="130"/>
        <v>Jun</v>
      </c>
      <c r="N2807" s="2">
        <f t="shared" si="131"/>
        <v>0.13619564158938244</v>
      </c>
    </row>
    <row r="2808" spans="1:14" x14ac:dyDescent="0.45">
      <c r="A2808" t="s">
        <v>5267</v>
      </c>
      <c r="B2808" s="1">
        <v>44992</v>
      </c>
      <c r="C2808" t="s">
        <v>5268</v>
      </c>
      <c r="D2808" t="s">
        <v>26</v>
      </c>
      <c r="E2808" t="s">
        <v>14</v>
      </c>
      <c r="F2808" t="s">
        <v>32</v>
      </c>
      <c r="G2808">
        <v>2</v>
      </c>
      <c r="H2808">
        <v>33677.24</v>
      </c>
      <c r="I2808">
        <v>4085.43</v>
      </c>
      <c r="J2808" t="s">
        <v>28</v>
      </c>
      <c r="K2808" t="s">
        <v>29</v>
      </c>
      <c r="L2808">
        <f t="shared" si="129"/>
        <v>2023</v>
      </c>
      <c r="M2808" t="str">
        <f t="shared" si="130"/>
        <v>Mar</v>
      </c>
      <c r="N2808" s="2">
        <f t="shared" si="131"/>
        <v>0.12131130698358891</v>
      </c>
    </row>
    <row r="2809" spans="1:14" x14ac:dyDescent="0.45">
      <c r="A2809" t="s">
        <v>5269</v>
      </c>
      <c r="B2809" s="1">
        <v>45269</v>
      </c>
      <c r="C2809" t="s">
        <v>5270</v>
      </c>
      <c r="D2809" t="s">
        <v>56</v>
      </c>
      <c r="E2809" t="s">
        <v>36</v>
      </c>
      <c r="F2809" t="s">
        <v>64</v>
      </c>
      <c r="G2809">
        <v>5</v>
      </c>
      <c r="H2809">
        <v>39999.879999999997</v>
      </c>
      <c r="I2809">
        <v>9676.33</v>
      </c>
      <c r="J2809" t="s">
        <v>71</v>
      </c>
      <c r="K2809" t="s">
        <v>33</v>
      </c>
      <c r="L2809">
        <f t="shared" si="129"/>
        <v>2023</v>
      </c>
      <c r="M2809" t="str">
        <f t="shared" si="130"/>
        <v>Dec</v>
      </c>
      <c r="N2809" s="2">
        <f t="shared" si="131"/>
        <v>0.24190897572692718</v>
      </c>
    </row>
    <row r="2810" spans="1:14" x14ac:dyDescent="0.45">
      <c r="A2810" t="s">
        <v>5271</v>
      </c>
      <c r="B2810" s="1">
        <v>45138</v>
      </c>
      <c r="C2810" t="s">
        <v>5272</v>
      </c>
      <c r="D2810" t="s">
        <v>13</v>
      </c>
      <c r="E2810" t="s">
        <v>36</v>
      </c>
      <c r="F2810" t="s">
        <v>37</v>
      </c>
      <c r="G2810">
        <v>2</v>
      </c>
      <c r="H2810">
        <v>47733.68</v>
      </c>
      <c r="I2810">
        <v>6777.59</v>
      </c>
      <c r="J2810" t="s">
        <v>47</v>
      </c>
      <c r="K2810" t="s">
        <v>23</v>
      </c>
      <c r="L2810">
        <f t="shared" si="129"/>
        <v>2023</v>
      </c>
      <c r="M2810" t="str">
        <f t="shared" si="130"/>
        <v>Jul</v>
      </c>
      <c r="N2810" s="2">
        <f t="shared" si="131"/>
        <v>0.14198758612367621</v>
      </c>
    </row>
    <row r="2811" spans="1:14" x14ac:dyDescent="0.45">
      <c r="A2811" t="s">
        <v>5273</v>
      </c>
      <c r="B2811" s="1">
        <v>45389</v>
      </c>
      <c r="C2811" t="s">
        <v>5274</v>
      </c>
      <c r="D2811" t="s">
        <v>56</v>
      </c>
      <c r="E2811" t="s">
        <v>36</v>
      </c>
      <c r="F2811" t="s">
        <v>64</v>
      </c>
      <c r="G2811">
        <v>4</v>
      </c>
      <c r="H2811">
        <v>31166.43</v>
      </c>
      <c r="I2811">
        <v>3905.84</v>
      </c>
      <c r="J2811" t="s">
        <v>16</v>
      </c>
      <c r="K2811" t="s">
        <v>29</v>
      </c>
      <c r="L2811">
        <f t="shared" si="129"/>
        <v>2024</v>
      </c>
      <c r="M2811" t="str">
        <f t="shared" si="130"/>
        <v>Apr</v>
      </c>
      <c r="N2811" s="2">
        <f t="shared" si="131"/>
        <v>0.12532202116187194</v>
      </c>
    </row>
    <row r="2812" spans="1:14" x14ac:dyDescent="0.45">
      <c r="A2812" t="s">
        <v>5275</v>
      </c>
      <c r="B2812" s="1">
        <v>45408</v>
      </c>
      <c r="C2812" t="s">
        <v>5276</v>
      </c>
      <c r="D2812" t="s">
        <v>26</v>
      </c>
      <c r="E2812" t="s">
        <v>14</v>
      </c>
      <c r="F2812" t="s">
        <v>57</v>
      </c>
      <c r="G2812">
        <v>1</v>
      </c>
      <c r="H2812">
        <v>2129.3000000000002</v>
      </c>
      <c r="I2812">
        <v>399.36</v>
      </c>
      <c r="J2812" t="s">
        <v>16</v>
      </c>
      <c r="K2812" t="s">
        <v>33</v>
      </c>
      <c r="L2812">
        <f t="shared" si="129"/>
        <v>2024</v>
      </c>
      <c r="M2812" t="str">
        <f t="shared" si="130"/>
        <v>Apr</v>
      </c>
      <c r="N2812" s="2">
        <f t="shared" si="131"/>
        <v>0.18755459540694125</v>
      </c>
    </row>
    <row r="2813" spans="1:14" x14ac:dyDescent="0.45">
      <c r="A2813" t="s">
        <v>5277</v>
      </c>
      <c r="B2813" s="1">
        <v>45509</v>
      </c>
      <c r="C2813" t="s">
        <v>5278</v>
      </c>
      <c r="D2813" t="s">
        <v>13</v>
      </c>
      <c r="E2813" t="s">
        <v>14</v>
      </c>
      <c r="F2813" t="s">
        <v>15</v>
      </c>
      <c r="G2813">
        <v>3</v>
      </c>
      <c r="H2813">
        <v>9029.58</v>
      </c>
      <c r="I2813">
        <v>760.82</v>
      </c>
      <c r="J2813" t="s">
        <v>16</v>
      </c>
      <c r="K2813" t="s">
        <v>33</v>
      </c>
      <c r="L2813">
        <f t="shared" si="129"/>
        <v>2024</v>
      </c>
      <c r="M2813" t="str">
        <f t="shared" si="130"/>
        <v>Aug</v>
      </c>
      <c r="N2813" s="2">
        <f t="shared" si="131"/>
        <v>8.4258625539615356E-2</v>
      </c>
    </row>
    <row r="2814" spans="1:14" x14ac:dyDescent="0.45">
      <c r="A2814" t="s">
        <v>5279</v>
      </c>
      <c r="B2814" s="1">
        <v>45287</v>
      </c>
      <c r="C2814" t="s">
        <v>5280</v>
      </c>
      <c r="D2814" t="s">
        <v>26</v>
      </c>
      <c r="E2814" t="s">
        <v>14</v>
      </c>
      <c r="F2814" t="s">
        <v>57</v>
      </c>
      <c r="G2814">
        <v>4</v>
      </c>
      <c r="H2814">
        <v>48045.23</v>
      </c>
      <c r="I2814">
        <v>10425.5</v>
      </c>
      <c r="J2814" t="s">
        <v>16</v>
      </c>
      <c r="K2814" t="s">
        <v>23</v>
      </c>
      <c r="L2814">
        <f t="shared" si="129"/>
        <v>2023</v>
      </c>
      <c r="M2814" t="str">
        <f t="shared" si="130"/>
        <v>Dec</v>
      </c>
      <c r="N2814" s="2">
        <f t="shared" si="131"/>
        <v>0.21699344555120248</v>
      </c>
    </row>
    <row r="2815" spans="1:14" x14ac:dyDescent="0.45">
      <c r="A2815" t="s">
        <v>5281</v>
      </c>
      <c r="B2815" s="1">
        <v>45052</v>
      </c>
      <c r="C2815" t="s">
        <v>5282</v>
      </c>
      <c r="D2815" t="s">
        <v>26</v>
      </c>
      <c r="E2815" t="s">
        <v>14</v>
      </c>
      <c r="F2815" t="s">
        <v>15</v>
      </c>
      <c r="G2815">
        <v>5</v>
      </c>
      <c r="H2815">
        <v>8950.17</v>
      </c>
      <c r="I2815">
        <v>2058.6799999999998</v>
      </c>
      <c r="J2815" t="s">
        <v>47</v>
      </c>
      <c r="K2815" t="s">
        <v>23</v>
      </c>
      <c r="L2815">
        <f t="shared" si="129"/>
        <v>2023</v>
      </c>
      <c r="M2815" t="str">
        <f t="shared" si="130"/>
        <v>May</v>
      </c>
      <c r="N2815" s="2">
        <f t="shared" si="131"/>
        <v>0.23001574271773606</v>
      </c>
    </row>
    <row r="2816" spans="1:14" x14ac:dyDescent="0.45">
      <c r="A2816" t="s">
        <v>5283</v>
      </c>
      <c r="B2816" s="1">
        <v>45517</v>
      </c>
      <c r="C2816" t="s">
        <v>5284</v>
      </c>
      <c r="D2816" t="s">
        <v>26</v>
      </c>
      <c r="E2816" t="s">
        <v>20</v>
      </c>
      <c r="F2816" t="s">
        <v>27</v>
      </c>
      <c r="G2816">
        <v>1</v>
      </c>
      <c r="H2816">
        <v>2027.06</v>
      </c>
      <c r="I2816">
        <v>285.07</v>
      </c>
      <c r="J2816" t="s">
        <v>22</v>
      </c>
      <c r="K2816" t="s">
        <v>23</v>
      </c>
      <c r="L2816">
        <f t="shared" si="129"/>
        <v>2024</v>
      </c>
      <c r="M2816" t="str">
        <f t="shared" si="130"/>
        <v>Aug</v>
      </c>
      <c r="N2816" s="2">
        <f t="shared" si="131"/>
        <v>0.1406322457154697</v>
      </c>
    </row>
    <row r="2817" spans="1:14" x14ac:dyDescent="0.45">
      <c r="A2817" t="s">
        <v>5285</v>
      </c>
      <c r="B2817" s="1">
        <v>45536</v>
      </c>
      <c r="C2817" t="s">
        <v>5286</v>
      </c>
      <c r="D2817" t="s">
        <v>56</v>
      </c>
      <c r="E2817" t="s">
        <v>20</v>
      </c>
      <c r="F2817" t="s">
        <v>27</v>
      </c>
      <c r="G2817">
        <v>3</v>
      </c>
      <c r="H2817">
        <v>43883.48</v>
      </c>
      <c r="I2817">
        <v>3254.02</v>
      </c>
      <c r="J2817" t="s">
        <v>16</v>
      </c>
      <c r="K2817" t="s">
        <v>29</v>
      </c>
      <c r="L2817">
        <f t="shared" si="129"/>
        <v>2024</v>
      </c>
      <c r="M2817" t="str">
        <f t="shared" si="130"/>
        <v>Sep</v>
      </c>
      <c r="N2817" s="2">
        <f t="shared" si="131"/>
        <v>7.4151366300029067E-2</v>
      </c>
    </row>
    <row r="2818" spans="1:14" x14ac:dyDescent="0.45">
      <c r="A2818" t="s">
        <v>5287</v>
      </c>
      <c r="B2818" s="1">
        <v>45060</v>
      </c>
      <c r="C2818" t="s">
        <v>3383</v>
      </c>
      <c r="D2818" t="s">
        <v>13</v>
      </c>
      <c r="E2818" t="s">
        <v>20</v>
      </c>
      <c r="F2818" t="s">
        <v>43</v>
      </c>
      <c r="G2818">
        <v>2</v>
      </c>
      <c r="H2818">
        <v>11405.86</v>
      </c>
      <c r="I2818">
        <v>1885.98</v>
      </c>
      <c r="J2818" t="s">
        <v>22</v>
      </c>
      <c r="K2818" t="s">
        <v>33</v>
      </c>
      <c r="L2818">
        <f t="shared" si="129"/>
        <v>2023</v>
      </c>
      <c r="M2818" t="str">
        <f t="shared" si="130"/>
        <v>May</v>
      </c>
      <c r="N2818" s="2">
        <f t="shared" si="131"/>
        <v>0.16535184545488021</v>
      </c>
    </row>
    <row r="2819" spans="1:14" x14ac:dyDescent="0.45">
      <c r="A2819" t="s">
        <v>5288</v>
      </c>
      <c r="B2819" s="1">
        <v>45223</v>
      </c>
      <c r="C2819" t="s">
        <v>1050</v>
      </c>
      <c r="D2819" t="s">
        <v>56</v>
      </c>
      <c r="E2819" t="s">
        <v>20</v>
      </c>
      <c r="F2819" t="s">
        <v>50</v>
      </c>
      <c r="G2819">
        <v>1</v>
      </c>
      <c r="H2819">
        <v>30675.38</v>
      </c>
      <c r="I2819">
        <v>5751.68</v>
      </c>
      <c r="J2819" t="s">
        <v>28</v>
      </c>
      <c r="K2819" t="s">
        <v>33</v>
      </c>
      <c r="L2819">
        <f t="shared" ref="L2819:L2882" si="132">YEAR(B2819 )</f>
        <v>2023</v>
      </c>
      <c r="M2819" t="str">
        <f t="shared" ref="M2819:M2882" si="133">TEXT(B2819,"MMM")</f>
        <v>Oct</v>
      </c>
      <c r="N2819" s="2">
        <f t="shared" ref="N2819:N2882" si="134">I2819 / H2819</f>
        <v>0.18750150772378371</v>
      </c>
    </row>
    <row r="2820" spans="1:14" x14ac:dyDescent="0.45">
      <c r="A2820" t="s">
        <v>5289</v>
      </c>
      <c r="B2820" s="1">
        <v>45509</v>
      </c>
      <c r="C2820" t="s">
        <v>5290</v>
      </c>
      <c r="D2820" t="s">
        <v>56</v>
      </c>
      <c r="E2820" t="s">
        <v>36</v>
      </c>
      <c r="F2820" t="s">
        <v>53</v>
      </c>
      <c r="G2820">
        <v>2</v>
      </c>
      <c r="H2820">
        <v>1687.01</v>
      </c>
      <c r="I2820">
        <v>100.4</v>
      </c>
      <c r="J2820" t="s">
        <v>28</v>
      </c>
      <c r="K2820" t="s">
        <v>23</v>
      </c>
      <c r="L2820">
        <f t="shared" si="132"/>
        <v>2024</v>
      </c>
      <c r="M2820" t="str">
        <f t="shared" si="133"/>
        <v>Aug</v>
      </c>
      <c r="N2820" s="2">
        <f t="shared" si="134"/>
        <v>5.9513577275771931E-2</v>
      </c>
    </row>
    <row r="2821" spans="1:14" x14ac:dyDescent="0.45">
      <c r="A2821" t="s">
        <v>5291</v>
      </c>
      <c r="B2821" s="1">
        <v>45032</v>
      </c>
      <c r="C2821" t="s">
        <v>5292</v>
      </c>
      <c r="D2821" t="s">
        <v>56</v>
      </c>
      <c r="E2821" t="s">
        <v>36</v>
      </c>
      <c r="F2821" t="s">
        <v>37</v>
      </c>
      <c r="G2821">
        <v>2</v>
      </c>
      <c r="H2821">
        <v>3716.15</v>
      </c>
      <c r="I2821">
        <v>726.27</v>
      </c>
      <c r="J2821" t="s">
        <v>28</v>
      </c>
      <c r="K2821" t="s">
        <v>23</v>
      </c>
      <c r="L2821">
        <f t="shared" si="132"/>
        <v>2023</v>
      </c>
      <c r="M2821" t="str">
        <f t="shared" si="133"/>
        <v>Apr</v>
      </c>
      <c r="N2821" s="2">
        <f t="shared" si="134"/>
        <v>0.19543613686207498</v>
      </c>
    </row>
    <row r="2822" spans="1:14" x14ac:dyDescent="0.45">
      <c r="A2822" t="s">
        <v>5293</v>
      </c>
      <c r="B2822" s="1">
        <v>45516</v>
      </c>
      <c r="C2822" t="s">
        <v>5294</v>
      </c>
      <c r="D2822" t="s">
        <v>13</v>
      </c>
      <c r="E2822" t="s">
        <v>36</v>
      </c>
      <c r="F2822" t="s">
        <v>46</v>
      </c>
      <c r="G2822">
        <v>1</v>
      </c>
      <c r="H2822">
        <v>22796.68</v>
      </c>
      <c r="I2822">
        <v>2071.89</v>
      </c>
      <c r="J2822" t="s">
        <v>71</v>
      </c>
      <c r="K2822" t="s">
        <v>33</v>
      </c>
      <c r="L2822">
        <f t="shared" si="132"/>
        <v>2024</v>
      </c>
      <c r="M2822" t="str">
        <f t="shared" si="133"/>
        <v>Aug</v>
      </c>
      <c r="N2822" s="2">
        <f t="shared" si="134"/>
        <v>9.0885602640384464E-2</v>
      </c>
    </row>
    <row r="2823" spans="1:14" x14ac:dyDescent="0.45">
      <c r="A2823" t="s">
        <v>5295</v>
      </c>
      <c r="B2823" s="1">
        <v>45054</v>
      </c>
      <c r="C2823" t="s">
        <v>3530</v>
      </c>
      <c r="D2823" t="s">
        <v>26</v>
      </c>
      <c r="E2823" t="s">
        <v>14</v>
      </c>
      <c r="F2823" t="s">
        <v>57</v>
      </c>
      <c r="G2823">
        <v>5</v>
      </c>
      <c r="H2823">
        <v>12712.69</v>
      </c>
      <c r="I2823">
        <v>1093.49</v>
      </c>
      <c r="J2823" t="s">
        <v>28</v>
      </c>
      <c r="K2823" t="s">
        <v>29</v>
      </c>
      <c r="L2823">
        <f t="shared" si="132"/>
        <v>2023</v>
      </c>
      <c r="M2823" t="str">
        <f t="shared" si="133"/>
        <v>May</v>
      </c>
      <c r="N2823" s="2">
        <f t="shared" si="134"/>
        <v>8.6015626905084602E-2</v>
      </c>
    </row>
    <row r="2824" spans="1:14" x14ac:dyDescent="0.45">
      <c r="A2824" t="s">
        <v>5296</v>
      </c>
      <c r="B2824" s="1">
        <v>44956</v>
      </c>
      <c r="C2824" t="s">
        <v>5297</v>
      </c>
      <c r="D2824" t="s">
        <v>56</v>
      </c>
      <c r="E2824" t="s">
        <v>20</v>
      </c>
      <c r="F2824" t="s">
        <v>43</v>
      </c>
      <c r="G2824">
        <v>3</v>
      </c>
      <c r="H2824">
        <v>12705.28</v>
      </c>
      <c r="I2824">
        <v>1922.78</v>
      </c>
      <c r="J2824" t="s">
        <v>16</v>
      </c>
      <c r="K2824" t="s">
        <v>29</v>
      </c>
      <c r="L2824">
        <f t="shared" si="132"/>
        <v>2023</v>
      </c>
      <c r="M2824" t="str">
        <f t="shared" si="133"/>
        <v>Jan</v>
      </c>
      <c r="N2824" s="2">
        <f t="shared" si="134"/>
        <v>0.15133708190610518</v>
      </c>
    </row>
    <row r="2825" spans="1:14" x14ac:dyDescent="0.45">
      <c r="A2825" t="s">
        <v>5298</v>
      </c>
      <c r="B2825" s="1">
        <v>44623</v>
      </c>
      <c r="C2825" t="s">
        <v>3277</v>
      </c>
      <c r="D2825" t="s">
        <v>26</v>
      </c>
      <c r="E2825" t="s">
        <v>14</v>
      </c>
      <c r="F2825" t="s">
        <v>32</v>
      </c>
      <c r="G2825">
        <v>2</v>
      </c>
      <c r="H2825">
        <v>38158.07</v>
      </c>
      <c r="I2825">
        <v>3506.42</v>
      </c>
      <c r="J2825" t="s">
        <v>71</v>
      </c>
      <c r="K2825" t="s">
        <v>17</v>
      </c>
      <c r="L2825">
        <f t="shared" si="132"/>
        <v>2022</v>
      </c>
      <c r="M2825" t="str">
        <f t="shared" si="133"/>
        <v>Mar</v>
      </c>
      <c r="N2825" s="2">
        <f t="shared" si="134"/>
        <v>9.1891964137599202E-2</v>
      </c>
    </row>
    <row r="2826" spans="1:14" x14ac:dyDescent="0.45">
      <c r="A2826" t="s">
        <v>5299</v>
      </c>
      <c r="B2826" s="1">
        <v>45101</v>
      </c>
      <c r="C2826" t="s">
        <v>5300</v>
      </c>
      <c r="D2826" t="s">
        <v>26</v>
      </c>
      <c r="E2826" t="s">
        <v>36</v>
      </c>
      <c r="F2826" t="s">
        <v>46</v>
      </c>
      <c r="G2826">
        <v>1</v>
      </c>
      <c r="H2826">
        <v>25901.46</v>
      </c>
      <c r="I2826">
        <v>3999.1</v>
      </c>
      <c r="J2826" t="s">
        <v>47</v>
      </c>
      <c r="K2826" t="s">
        <v>33</v>
      </c>
      <c r="L2826">
        <f t="shared" si="132"/>
        <v>2023</v>
      </c>
      <c r="M2826" t="str">
        <f t="shared" si="133"/>
        <v>Jun</v>
      </c>
      <c r="N2826" s="2">
        <f t="shared" si="134"/>
        <v>0.15439670196197436</v>
      </c>
    </row>
    <row r="2827" spans="1:14" x14ac:dyDescent="0.45">
      <c r="A2827" t="s">
        <v>5301</v>
      </c>
      <c r="B2827" s="1">
        <v>45113</v>
      </c>
      <c r="C2827" t="s">
        <v>5302</v>
      </c>
      <c r="D2827" t="s">
        <v>13</v>
      </c>
      <c r="E2827" t="s">
        <v>14</v>
      </c>
      <c r="F2827" t="s">
        <v>57</v>
      </c>
      <c r="G2827">
        <v>4</v>
      </c>
      <c r="H2827">
        <v>36368.129999999997</v>
      </c>
      <c r="I2827">
        <v>8691.7999999999993</v>
      </c>
      <c r="J2827" t="s">
        <v>22</v>
      </c>
      <c r="K2827" t="s">
        <v>17</v>
      </c>
      <c r="L2827">
        <f t="shared" si="132"/>
        <v>2023</v>
      </c>
      <c r="M2827" t="str">
        <f t="shared" si="133"/>
        <v>Jul</v>
      </c>
      <c r="N2827" s="2">
        <f t="shared" si="134"/>
        <v>0.23899496619705218</v>
      </c>
    </row>
    <row r="2828" spans="1:14" x14ac:dyDescent="0.45">
      <c r="A2828" t="s">
        <v>5303</v>
      </c>
      <c r="B2828" s="1">
        <v>44804</v>
      </c>
      <c r="C2828" t="s">
        <v>3819</v>
      </c>
      <c r="D2828" t="s">
        <v>13</v>
      </c>
      <c r="E2828" t="s">
        <v>36</v>
      </c>
      <c r="F2828" t="s">
        <v>46</v>
      </c>
      <c r="G2828">
        <v>1</v>
      </c>
      <c r="H2828">
        <v>43304.03</v>
      </c>
      <c r="I2828">
        <v>3479.24</v>
      </c>
      <c r="J2828" t="s">
        <v>28</v>
      </c>
      <c r="K2828" t="s">
        <v>33</v>
      </c>
      <c r="L2828">
        <f t="shared" si="132"/>
        <v>2022</v>
      </c>
      <c r="M2828" t="str">
        <f t="shared" si="133"/>
        <v>Aug</v>
      </c>
      <c r="N2828" s="2">
        <f t="shared" si="134"/>
        <v>8.0344485259224135E-2</v>
      </c>
    </row>
    <row r="2829" spans="1:14" x14ac:dyDescent="0.45">
      <c r="A2829" t="s">
        <v>5304</v>
      </c>
      <c r="B2829" s="1">
        <v>45648</v>
      </c>
      <c r="C2829" t="s">
        <v>5305</v>
      </c>
      <c r="D2829" t="s">
        <v>26</v>
      </c>
      <c r="E2829" t="s">
        <v>14</v>
      </c>
      <c r="F2829" t="s">
        <v>15</v>
      </c>
      <c r="G2829">
        <v>2</v>
      </c>
      <c r="H2829">
        <v>42632</v>
      </c>
      <c r="I2829">
        <v>8374.4599999999991</v>
      </c>
      <c r="J2829" t="s">
        <v>47</v>
      </c>
      <c r="K2829" t="s">
        <v>17</v>
      </c>
      <c r="L2829">
        <f t="shared" si="132"/>
        <v>2024</v>
      </c>
      <c r="M2829" t="str">
        <f t="shared" si="133"/>
        <v>Dec</v>
      </c>
      <c r="N2829" s="2">
        <f t="shared" si="134"/>
        <v>0.19643601050853818</v>
      </c>
    </row>
    <row r="2830" spans="1:14" x14ac:dyDescent="0.45">
      <c r="A2830" t="s">
        <v>5306</v>
      </c>
      <c r="B2830" s="1">
        <v>45291</v>
      </c>
      <c r="C2830" t="s">
        <v>5307</v>
      </c>
      <c r="D2830" t="s">
        <v>13</v>
      </c>
      <c r="E2830" t="s">
        <v>36</v>
      </c>
      <c r="F2830" t="s">
        <v>46</v>
      </c>
      <c r="G2830">
        <v>4</v>
      </c>
      <c r="H2830">
        <v>14553.91</v>
      </c>
      <c r="I2830">
        <v>3189.61</v>
      </c>
      <c r="J2830" t="s">
        <v>22</v>
      </c>
      <c r="K2830" t="s">
        <v>17</v>
      </c>
      <c r="L2830">
        <f t="shared" si="132"/>
        <v>2023</v>
      </c>
      <c r="M2830" t="str">
        <f t="shared" si="133"/>
        <v>Dec</v>
      </c>
      <c r="N2830" s="2">
        <f t="shared" si="134"/>
        <v>0.21915828804767928</v>
      </c>
    </row>
    <row r="2831" spans="1:14" x14ac:dyDescent="0.45">
      <c r="A2831" t="s">
        <v>5308</v>
      </c>
      <c r="B2831" s="1">
        <v>45096</v>
      </c>
      <c r="C2831" t="s">
        <v>2148</v>
      </c>
      <c r="D2831" t="s">
        <v>13</v>
      </c>
      <c r="E2831" t="s">
        <v>20</v>
      </c>
      <c r="F2831" t="s">
        <v>21</v>
      </c>
      <c r="G2831">
        <v>1</v>
      </c>
      <c r="H2831">
        <v>15750.45</v>
      </c>
      <c r="I2831">
        <v>2324.11</v>
      </c>
      <c r="J2831" t="s">
        <v>47</v>
      </c>
      <c r="K2831" t="s">
        <v>17</v>
      </c>
      <c r="L2831">
        <f t="shared" si="132"/>
        <v>2023</v>
      </c>
      <c r="M2831" t="str">
        <f t="shared" si="133"/>
        <v>Jun</v>
      </c>
      <c r="N2831" s="2">
        <f t="shared" si="134"/>
        <v>0.14755832373043309</v>
      </c>
    </row>
    <row r="2832" spans="1:14" x14ac:dyDescent="0.45">
      <c r="A2832" t="s">
        <v>5309</v>
      </c>
      <c r="B2832" s="1">
        <v>45529</v>
      </c>
      <c r="C2832" t="s">
        <v>5310</v>
      </c>
      <c r="D2832" t="s">
        <v>26</v>
      </c>
      <c r="E2832" t="s">
        <v>36</v>
      </c>
      <c r="F2832" t="s">
        <v>53</v>
      </c>
      <c r="G2832">
        <v>4</v>
      </c>
      <c r="H2832">
        <v>14637.92</v>
      </c>
      <c r="I2832">
        <v>1324.98</v>
      </c>
      <c r="J2832" t="s">
        <v>16</v>
      </c>
      <c r="K2832" t="s">
        <v>29</v>
      </c>
      <c r="L2832">
        <f t="shared" si="132"/>
        <v>2024</v>
      </c>
      <c r="M2832" t="str">
        <f t="shared" si="133"/>
        <v>Aug</v>
      </c>
      <c r="N2832" s="2">
        <f t="shared" si="134"/>
        <v>9.0516958693584879E-2</v>
      </c>
    </row>
    <row r="2833" spans="1:14" x14ac:dyDescent="0.45">
      <c r="A2833" t="s">
        <v>5311</v>
      </c>
      <c r="B2833" s="1">
        <v>45398</v>
      </c>
      <c r="C2833" t="s">
        <v>5312</v>
      </c>
      <c r="D2833" t="s">
        <v>13</v>
      </c>
      <c r="E2833" t="s">
        <v>36</v>
      </c>
      <c r="F2833" t="s">
        <v>53</v>
      </c>
      <c r="G2833">
        <v>5</v>
      </c>
      <c r="H2833">
        <v>20216.03</v>
      </c>
      <c r="I2833">
        <v>1652.99</v>
      </c>
      <c r="J2833" t="s">
        <v>22</v>
      </c>
      <c r="K2833" t="s">
        <v>17</v>
      </c>
      <c r="L2833">
        <f t="shared" si="132"/>
        <v>2024</v>
      </c>
      <c r="M2833" t="str">
        <f t="shared" si="133"/>
        <v>Apr</v>
      </c>
      <c r="N2833" s="2">
        <f t="shared" si="134"/>
        <v>8.1766301296545371E-2</v>
      </c>
    </row>
    <row r="2834" spans="1:14" x14ac:dyDescent="0.45">
      <c r="A2834" t="s">
        <v>5313</v>
      </c>
      <c r="B2834" s="1">
        <v>45534</v>
      </c>
      <c r="C2834" t="s">
        <v>3080</v>
      </c>
      <c r="D2834" t="s">
        <v>26</v>
      </c>
      <c r="E2834" t="s">
        <v>20</v>
      </c>
      <c r="F2834" t="s">
        <v>50</v>
      </c>
      <c r="G2834">
        <v>3</v>
      </c>
      <c r="H2834">
        <v>27879.95</v>
      </c>
      <c r="I2834">
        <v>2173.36</v>
      </c>
      <c r="J2834" t="s">
        <v>28</v>
      </c>
      <c r="K2834" t="s">
        <v>23</v>
      </c>
      <c r="L2834">
        <f t="shared" si="132"/>
        <v>2024</v>
      </c>
      <c r="M2834" t="str">
        <f t="shared" si="133"/>
        <v>Aug</v>
      </c>
      <c r="N2834" s="2">
        <f t="shared" si="134"/>
        <v>7.7954228755790458E-2</v>
      </c>
    </row>
    <row r="2835" spans="1:14" x14ac:dyDescent="0.45">
      <c r="A2835" t="s">
        <v>5314</v>
      </c>
      <c r="B2835" s="1">
        <v>45407</v>
      </c>
      <c r="C2835" t="s">
        <v>5315</v>
      </c>
      <c r="D2835" t="s">
        <v>13</v>
      </c>
      <c r="E2835" t="s">
        <v>14</v>
      </c>
      <c r="F2835" t="s">
        <v>15</v>
      </c>
      <c r="G2835">
        <v>1</v>
      </c>
      <c r="H2835">
        <v>44524</v>
      </c>
      <c r="I2835">
        <v>3040.41</v>
      </c>
      <c r="J2835" t="s">
        <v>22</v>
      </c>
      <c r="K2835" t="s">
        <v>23</v>
      </c>
      <c r="L2835">
        <f t="shared" si="132"/>
        <v>2024</v>
      </c>
      <c r="M2835" t="str">
        <f t="shared" si="133"/>
        <v>Apr</v>
      </c>
      <c r="N2835" s="2">
        <f t="shared" si="134"/>
        <v>6.8286991285598772E-2</v>
      </c>
    </row>
    <row r="2836" spans="1:14" x14ac:dyDescent="0.45">
      <c r="A2836" t="s">
        <v>5316</v>
      </c>
      <c r="B2836" s="1">
        <v>44623</v>
      </c>
      <c r="C2836" t="s">
        <v>5317</v>
      </c>
      <c r="D2836" t="s">
        <v>26</v>
      </c>
      <c r="E2836" t="s">
        <v>36</v>
      </c>
      <c r="F2836" t="s">
        <v>53</v>
      </c>
      <c r="G2836">
        <v>1</v>
      </c>
      <c r="H2836">
        <v>49278.6</v>
      </c>
      <c r="I2836">
        <v>3752.7</v>
      </c>
      <c r="J2836" t="s">
        <v>16</v>
      </c>
      <c r="K2836" t="s">
        <v>17</v>
      </c>
      <c r="L2836">
        <f t="shared" si="132"/>
        <v>2022</v>
      </c>
      <c r="M2836" t="str">
        <f t="shared" si="133"/>
        <v>Mar</v>
      </c>
      <c r="N2836" s="2">
        <f t="shared" si="134"/>
        <v>7.6152731611693517E-2</v>
      </c>
    </row>
    <row r="2837" spans="1:14" x14ac:dyDescent="0.45">
      <c r="A2837" t="s">
        <v>5318</v>
      </c>
      <c r="B2837" s="1">
        <v>44857</v>
      </c>
      <c r="C2837" t="s">
        <v>5319</v>
      </c>
      <c r="D2837" t="s">
        <v>26</v>
      </c>
      <c r="E2837" t="s">
        <v>20</v>
      </c>
      <c r="F2837" t="s">
        <v>50</v>
      </c>
      <c r="G2837">
        <v>5</v>
      </c>
      <c r="H2837">
        <v>19281.8</v>
      </c>
      <c r="I2837">
        <v>4370.96</v>
      </c>
      <c r="J2837" t="s">
        <v>22</v>
      </c>
      <c r="K2837" t="s">
        <v>23</v>
      </c>
      <c r="L2837">
        <f t="shared" si="132"/>
        <v>2022</v>
      </c>
      <c r="M2837" t="str">
        <f t="shared" si="133"/>
        <v>Oct</v>
      </c>
      <c r="N2837" s="2">
        <f t="shared" si="134"/>
        <v>0.22668837971558672</v>
      </c>
    </row>
    <row r="2838" spans="1:14" x14ac:dyDescent="0.45">
      <c r="A2838" t="s">
        <v>5320</v>
      </c>
      <c r="B2838" s="1">
        <v>44984</v>
      </c>
      <c r="C2838" t="s">
        <v>2461</v>
      </c>
      <c r="D2838" t="s">
        <v>56</v>
      </c>
      <c r="E2838" t="s">
        <v>20</v>
      </c>
      <c r="F2838" t="s">
        <v>21</v>
      </c>
      <c r="G2838">
        <v>1</v>
      </c>
      <c r="H2838">
        <v>48301.69</v>
      </c>
      <c r="I2838">
        <v>8845.5400000000009</v>
      </c>
      <c r="J2838" t="s">
        <v>71</v>
      </c>
      <c r="K2838" t="s">
        <v>29</v>
      </c>
      <c r="L2838">
        <f t="shared" si="132"/>
        <v>2023</v>
      </c>
      <c r="M2838" t="str">
        <f t="shared" si="133"/>
        <v>Feb</v>
      </c>
      <c r="N2838" s="2">
        <f t="shared" si="134"/>
        <v>0.18313106642852456</v>
      </c>
    </row>
    <row r="2839" spans="1:14" x14ac:dyDescent="0.45">
      <c r="A2839" t="s">
        <v>5321</v>
      </c>
      <c r="B2839" s="1">
        <v>44719</v>
      </c>
      <c r="C2839" t="s">
        <v>468</v>
      </c>
      <c r="D2839" t="s">
        <v>26</v>
      </c>
      <c r="E2839" t="s">
        <v>36</v>
      </c>
      <c r="F2839" t="s">
        <v>46</v>
      </c>
      <c r="G2839">
        <v>3</v>
      </c>
      <c r="H2839">
        <v>16282.01</v>
      </c>
      <c r="I2839">
        <v>1814.9</v>
      </c>
      <c r="J2839" t="s">
        <v>71</v>
      </c>
      <c r="K2839" t="s">
        <v>17</v>
      </c>
      <c r="L2839">
        <f t="shared" si="132"/>
        <v>2022</v>
      </c>
      <c r="M2839" t="str">
        <f t="shared" si="133"/>
        <v>Jun</v>
      </c>
      <c r="N2839" s="2">
        <f t="shared" si="134"/>
        <v>0.11146658182865629</v>
      </c>
    </row>
    <row r="2840" spans="1:14" x14ac:dyDescent="0.45">
      <c r="A2840" t="s">
        <v>5322</v>
      </c>
      <c r="B2840" s="1">
        <v>45292</v>
      </c>
      <c r="C2840" t="s">
        <v>5323</v>
      </c>
      <c r="D2840" t="s">
        <v>13</v>
      </c>
      <c r="E2840" t="s">
        <v>20</v>
      </c>
      <c r="F2840" t="s">
        <v>43</v>
      </c>
      <c r="G2840">
        <v>5</v>
      </c>
      <c r="H2840">
        <v>6863.32</v>
      </c>
      <c r="I2840">
        <v>540.4</v>
      </c>
      <c r="J2840" t="s">
        <v>71</v>
      </c>
      <c r="K2840" t="s">
        <v>17</v>
      </c>
      <c r="L2840">
        <f t="shared" si="132"/>
        <v>2024</v>
      </c>
      <c r="M2840" t="str">
        <f t="shared" si="133"/>
        <v>Jan</v>
      </c>
      <c r="N2840" s="2">
        <f t="shared" si="134"/>
        <v>7.8737404055180288E-2</v>
      </c>
    </row>
    <row r="2841" spans="1:14" x14ac:dyDescent="0.45">
      <c r="A2841" t="s">
        <v>5324</v>
      </c>
      <c r="B2841" s="1">
        <v>44784</v>
      </c>
      <c r="C2841" t="s">
        <v>1430</v>
      </c>
      <c r="D2841" t="s">
        <v>56</v>
      </c>
      <c r="E2841" t="s">
        <v>20</v>
      </c>
      <c r="F2841" t="s">
        <v>21</v>
      </c>
      <c r="G2841">
        <v>5</v>
      </c>
      <c r="H2841">
        <v>12758.03</v>
      </c>
      <c r="I2841">
        <v>2694.67</v>
      </c>
      <c r="J2841" t="s">
        <v>71</v>
      </c>
      <c r="K2841" t="s">
        <v>33</v>
      </c>
      <c r="L2841">
        <f t="shared" si="132"/>
        <v>2022</v>
      </c>
      <c r="M2841" t="str">
        <f t="shared" si="133"/>
        <v>Aug</v>
      </c>
      <c r="N2841" s="2">
        <f t="shared" si="134"/>
        <v>0.21121364348571056</v>
      </c>
    </row>
    <row r="2842" spans="1:14" x14ac:dyDescent="0.45">
      <c r="A2842" t="s">
        <v>5325</v>
      </c>
      <c r="B2842" s="1">
        <v>45153</v>
      </c>
      <c r="C2842" t="s">
        <v>4976</v>
      </c>
      <c r="D2842" t="s">
        <v>56</v>
      </c>
      <c r="E2842" t="s">
        <v>14</v>
      </c>
      <c r="F2842" t="s">
        <v>15</v>
      </c>
      <c r="G2842">
        <v>2</v>
      </c>
      <c r="H2842">
        <v>48692.31</v>
      </c>
      <c r="I2842">
        <v>6578.79</v>
      </c>
      <c r="J2842" t="s">
        <v>71</v>
      </c>
      <c r="K2842" t="s">
        <v>33</v>
      </c>
      <c r="L2842">
        <f t="shared" si="132"/>
        <v>2023</v>
      </c>
      <c r="M2842" t="str">
        <f t="shared" si="133"/>
        <v>Aug</v>
      </c>
      <c r="N2842" s="2">
        <f t="shared" si="134"/>
        <v>0.13510942487633057</v>
      </c>
    </row>
    <row r="2843" spans="1:14" x14ac:dyDescent="0.45">
      <c r="A2843" t="s">
        <v>5326</v>
      </c>
      <c r="B2843" s="1">
        <v>45332</v>
      </c>
      <c r="C2843" t="s">
        <v>5327</v>
      </c>
      <c r="D2843" t="s">
        <v>26</v>
      </c>
      <c r="E2843" t="s">
        <v>20</v>
      </c>
      <c r="F2843" t="s">
        <v>27</v>
      </c>
      <c r="G2843">
        <v>3</v>
      </c>
      <c r="H2843">
        <v>3331.74</v>
      </c>
      <c r="I2843">
        <v>304.06</v>
      </c>
      <c r="J2843" t="s">
        <v>47</v>
      </c>
      <c r="K2843" t="s">
        <v>17</v>
      </c>
      <c r="L2843">
        <f t="shared" si="132"/>
        <v>2024</v>
      </c>
      <c r="M2843" t="str">
        <f t="shared" si="133"/>
        <v>Feb</v>
      </c>
      <c r="N2843" s="2">
        <f t="shared" si="134"/>
        <v>9.1261623055820695E-2</v>
      </c>
    </row>
    <row r="2844" spans="1:14" x14ac:dyDescent="0.45">
      <c r="A2844" t="s">
        <v>5328</v>
      </c>
      <c r="B2844" s="1">
        <v>45113</v>
      </c>
      <c r="C2844" t="s">
        <v>5213</v>
      </c>
      <c r="D2844" t="s">
        <v>56</v>
      </c>
      <c r="E2844" t="s">
        <v>20</v>
      </c>
      <c r="F2844" t="s">
        <v>43</v>
      </c>
      <c r="G2844">
        <v>1</v>
      </c>
      <c r="H2844">
        <v>45453.82</v>
      </c>
      <c r="I2844">
        <v>3695.63</v>
      </c>
      <c r="J2844" t="s">
        <v>22</v>
      </c>
      <c r="K2844" t="s">
        <v>17</v>
      </c>
      <c r="L2844">
        <f t="shared" si="132"/>
        <v>2023</v>
      </c>
      <c r="M2844" t="str">
        <f t="shared" si="133"/>
        <v>Jul</v>
      </c>
      <c r="N2844" s="2">
        <f t="shared" si="134"/>
        <v>8.1305157630315789E-2</v>
      </c>
    </row>
    <row r="2845" spans="1:14" x14ac:dyDescent="0.45">
      <c r="A2845" t="s">
        <v>5329</v>
      </c>
      <c r="B2845" s="1">
        <v>45597</v>
      </c>
      <c r="C2845" t="s">
        <v>1524</v>
      </c>
      <c r="D2845" t="s">
        <v>26</v>
      </c>
      <c r="E2845" t="s">
        <v>14</v>
      </c>
      <c r="F2845" t="s">
        <v>15</v>
      </c>
      <c r="G2845">
        <v>3</v>
      </c>
      <c r="H2845">
        <v>6045.91</v>
      </c>
      <c r="I2845">
        <v>1490.72</v>
      </c>
      <c r="J2845" t="s">
        <v>22</v>
      </c>
      <c r="K2845" t="s">
        <v>33</v>
      </c>
      <c r="L2845">
        <f t="shared" si="132"/>
        <v>2024</v>
      </c>
      <c r="M2845" t="str">
        <f t="shared" si="133"/>
        <v>Nov</v>
      </c>
      <c r="N2845" s="2">
        <f t="shared" si="134"/>
        <v>0.24656668723153338</v>
      </c>
    </row>
    <row r="2846" spans="1:14" x14ac:dyDescent="0.45">
      <c r="A2846" t="s">
        <v>5330</v>
      </c>
      <c r="B2846" s="1">
        <v>45495</v>
      </c>
      <c r="C2846" t="s">
        <v>2242</v>
      </c>
      <c r="D2846" t="s">
        <v>56</v>
      </c>
      <c r="E2846" t="s">
        <v>14</v>
      </c>
      <c r="F2846" t="s">
        <v>32</v>
      </c>
      <c r="G2846">
        <v>5</v>
      </c>
      <c r="H2846">
        <v>11804.03</v>
      </c>
      <c r="I2846">
        <v>1727.69</v>
      </c>
      <c r="J2846" t="s">
        <v>16</v>
      </c>
      <c r="K2846" t="s">
        <v>17</v>
      </c>
      <c r="L2846">
        <f t="shared" si="132"/>
        <v>2024</v>
      </c>
      <c r="M2846" t="str">
        <f t="shared" si="133"/>
        <v>Jul</v>
      </c>
      <c r="N2846" s="2">
        <f t="shared" si="134"/>
        <v>0.14636441960923516</v>
      </c>
    </row>
    <row r="2847" spans="1:14" x14ac:dyDescent="0.45">
      <c r="A2847" t="s">
        <v>5331</v>
      </c>
      <c r="B2847" s="1">
        <v>44909</v>
      </c>
      <c r="C2847" t="s">
        <v>5332</v>
      </c>
      <c r="D2847" t="s">
        <v>26</v>
      </c>
      <c r="E2847" t="s">
        <v>20</v>
      </c>
      <c r="F2847" t="s">
        <v>21</v>
      </c>
      <c r="G2847">
        <v>2</v>
      </c>
      <c r="H2847">
        <v>30908.83</v>
      </c>
      <c r="I2847">
        <v>5890</v>
      </c>
      <c r="J2847" t="s">
        <v>28</v>
      </c>
      <c r="K2847" t="s">
        <v>33</v>
      </c>
      <c r="L2847">
        <f t="shared" si="132"/>
        <v>2022</v>
      </c>
      <c r="M2847" t="str">
        <f t="shared" si="133"/>
        <v>Dec</v>
      </c>
      <c r="N2847" s="2">
        <f t="shared" si="134"/>
        <v>0.19056043208364729</v>
      </c>
    </row>
    <row r="2848" spans="1:14" x14ac:dyDescent="0.45">
      <c r="A2848" t="s">
        <v>5333</v>
      </c>
      <c r="B2848" s="1">
        <v>44583</v>
      </c>
      <c r="C2848" t="s">
        <v>5334</v>
      </c>
      <c r="D2848" t="s">
        <v>13</v>
      </c>
      <c r="E2848" t="s">
        <v>20</v>
      </c>
      <c r="F2848" t="s">
        <v>50</v>
      </c>
      <c r="G2848">
        <v>5</v>
      </c>
      <c r="H2848">
        <v>699.79</v>
      </c>
      <c r="I2848">
        <v>79.84</v>
      </c>
      <c r="J2848" t="s">
        <v>47</v>
      </c>
      <c r="K2848" t="s">
        <v>29</v>
      </c>
      <c r="L2848">
        <f t="shared" si="132"/>
        <v>2022</v>
      </c>
      <c r="M2848" t="str">
        <f t="shared" si="133"/>
        <v>Jan</v>
      </c>
      <c r="N2848" s="2">
        <f t="shared" si="134"/>
        <v>0.11409137026822333</v>
      </c>
    </row>
    <row r="2849" spans="1:14" x14ac:dyDescent="0.45">
      <c r="A2849" t="s">
        <v>5335</v>
      </c>
      <c r="B2849" s="1">
        <v>45130</v>
      </c>
      <c r="C2849" t="s">
        <v>5336</v>
      </c>
      <c r="D2849" t="s">
        <v>13</v>
      </c>
      <c r="E2849" t="s">
        <v>36</v>
      </c>
      <c r="F2849" t="s">
        <v>53</v>
      </c>
      <c r="G2849">
        <v>2</v>
      </c>
      <c r="H2849">
        <v>48787.040000000001</v>
      </c>
      <c r="I2849">
        <v>7604.68</v>
      </c>
      <c r="J2849" t="s">
        <v>47</v>
      </c>
      <c r="K2849" t="s">
        <v>23</v>
      </c>
      <c r="L2849">
        <f t="shared" si="132"/>
        <v>2023</v>
      </c>
      <c r="M2849" t="str">
        <f t="shared" si="133"/>
        <v>Jul</v>
      </c>
      <c r="N2849" s="2">
        <f t="shared" si="134"/>
        <v>0.15587500286961456</v>
      </c>
    </row>
    <row r="2850" spans="1:14" x14ac:dyDescent="0.45">
      <c r="A2850" t="s">
        <v>5337</v>
      </c>
      <c r="B2850" s="1">
        <v>45425</v>
      </c>
      <c r="C2850" t="s">
        <v>5119</v>
      </c>
      <c r="D2850" t="s">
        <v>26</v>
      </c>
      <c r="E2850" t="s">
        <v>36</v>
      </c>
      <c r="F2850" t="s">
        <v>37</v>
      </c>
      <c r="G2850">
        <v>3</v>
      </c>
      <c r="H2850">
        <v>6880.97</v>
      </c>
      <c r="I2850">
        <v>1630.88</v>
      </c>
      <c r="J2850" t="s">
        <v>71</v>
      </c>
      <c r="K2850" t="s">
        <v>29</v>
      </c>
      <c r="L2850">
        <f t="shared" si="132"/>
        <v>2024</v>
      </c>
      <c r="M2850" t="str">
        <f t="shared" si="133"/>
        <v>May</v>
      </c>
      <c r="N2850" s="2">
        <f t="shared" si="134"/>
        <v>0.23701309553740244</v>
      </c>
    </row>
    <row r="2851" spans="1:14" x14ac:dyDescent="0.45">
      <c r="A2851" t="s">
        <v>5338</v>
      </c>
      <c r="B2851" s="1">
        <v>44883</v>
      </c>
      <c r="C2851" t="s">
        <v>146</v>
      </c>
      <c r="D2851" t="s">
        <v>26</v>
      </c>
      <c r="E2851" t="s">
        <v>20</v>
      </c>
      <c r="F2851" t="s">
        <v>21</v>
      </c>
      <c r="G2851">
        <v>1</v>
      </c>
      <c r="H2851">
        <v>49824.21</v>
      </c>
      <c r="I2851">
        <v>6055.49</v>
      </c>
      <c r="J2851" t="s">
        <v>47</v>
      </c>
      <c r="K2851" t="s">
        <v>23</v>
      </c>
      <c r="L2851">
        <f t="shared" si="132"/>
        <v>2022</v>
      </c>
      <c r="M2851" t="str">
        <f t="shared" si="133"/>
        <v>Nov</v>
      </c>
      <c r="N2851" s="2">
        <f t="shared" si="134"/>
        <v>0.12153710013666047</v>
      </c>
    </row>
    <row r="2852" spans="1:14" x14ac:dyDescent="0.45">
      <c r="A2852" t="s">
        <v>5339</v>
      </c>
      <c r="B2852" s="1">
        <v>44783</v>
      </c>
      <c r="C2852" t="s">
        <v>5340</v>
      </c>
      <c r="D2852" t="s">
        <v>26</v>
      </c>
      <c r="E2852" t="s">
        <v>36</v>
      </c>
      <c r="F2852" t="s">
        <v>37</v>
      </c>
      <c r="G2852">
        <v>2</v>
      </c>
      <c r="H2852">
        <v>35131.599999999999</v>
      </c>
      <c r="I2852">
        <v>4847.5600000000004</v>
      </c>
      <c r="J2852" t="s">
        <v>47</v>
      </c>
      <c r="K2852" t="s">
        <v>23</v>
      </c>
      <c r="L2852">
        <f t="shared" si="132"/>
        <v>2022</v>
      </c>
      <c r="M2852" t="str">
        <f t="shared" si="133"/>
        <v>Aug</v>
      </c>
      <c r="N2852" s="2">
        <f t="shared" si="134"/>
        <v>0.13798289858702709</v>
      </c>
    </row>
    <row r="2853" spans="1:14" x14ac:dyDescent="0.45">
      <c r="A2853" t="s">
        <v>5341</v>
      </c>
      <c r="B2853" s="1">
        <v>45414</v>
      </c>
      <c r="C2853" t="s">
        <v>5342</v>
      </c>
      <c r="D2853" t="s">
        <v>13</v>
      </c>
      <c r="E2853" t="s">
        <v>36</v>
      </c>
      <c r="F2853" t="s">
        <v>37</v>
      </c>
      <c r="G2853">
        <v>5</v>
      </c>
      <c r="H2853">
        <v>19647.759999999998</v>
      </c>
      <c r="I2853">
        <v>2653.36</v>
      </c>
      <c r="J2853" t="s">
        <v>47</v>
      </c>
      <c r="K2853" t="s">
        <v>29</v>
      </c>
      <c r="L2853">
        <f t="shared" si="132"/>
        <v>2024</v>
      </c>
      <c r="M2853" t="str">
        <f t="shared" si="133"/>
        <v>May</v>
      </c>
      <c r="N2853" s="2">
        <f t="shared" si="134"/>
        <v>0.13504643786365469</v>
      </c>
    </row>
    <row r="2854" spans="1:14" x14ac:dyDescent="0.45">
      <c r="A2854" t="s">
        <v>5343</v>
      </c>
      <c r="B2854" s="1">
        <v>44658</v>
      </c>
      <c r="C2854" t="s">
        <v>5344</v>
      </c>
      <c r="D2854" t="s">
        <v>13</v>
      </c>
      <c r="E2854" t="s">
        <v>14</v>
      </c>
      <c r="F2854" t="s">
        <v>40</v>
      </c>
      <c r="G2854">
        <v>5</v>
      </c>
      <c r="H2854">
        <v>35797.440000000002</v>
      </c>
      <c r="I2854">
        <v>4403.05</v>
      </c>
      <c r="J2854" t="s">
        <v>71</v>
      </c>
      <c r="K2854" t="s">
        <v>23</v>
      </c>
      <c r="L2854">
        <f t="shared" si="132"/>
        <v>2022</v>
      </c>
      <c r="M2854" t="str">
        <f t="shared" si="133"/>
        <v>Apr</v>
      </c>
      <c r="N2854" s="2">
        <f t="shared" si="134"/>
        <v>0.12299901892425827</v>
      </c>
    </row>
    <row r="2855" spans="1:14" x14ac:dyDescent="0.45">
      <c r="A2855" t="s">
        <v>5345</v>
      </c>
      <c r="B2855" s="1">
        <v>44572</v>
      </c>
      <c r="C2855" t="s">
        <v>618</v>
      </c>
      <c r="D2855" t="s">
        <v>26</v>
      </c>
      <c r="E2855" t="s">
        <v>20</v>
      </c>
      <c r="F2855" t="s">
        <v>50</v>
      </c>
      <c r="G2855">
        <v>4</v>
      </c>
      <c r="H2855">
        <v>34866.51</v>
      </c>
      <c r="I2855">
        <v>4204.05</v>
      </c>
      <c r="J2855" t="s">
        <v>71</v>
      </c>
      <c r="K2855" t="s">
        <v>23</v>
      </c>
      <c r="L2855">
        <f t="shared" si="132"/>
        <v>2022</v>
      </c>
      <c r="M2855" t="str">
        <f t="shared" si="133"/>
        <v>Jan</v>
      </c>
      <c r="N2855" s="2">
        <f t="shared" si="134"/>
        <v>0.12057558958438915</v>
      </c>
    </row>
    <row r="2856" spans="1:14" x14ac:dyDescent="0.45">
      <c r="A2856" t="s">
        <v>5346</v>
      </c>
      <c r="B2856" s="1">
        <v>45182</v>
      </c>
      <c r="C2856" t="s">
        <v>2403</v>
      </c>
      <c r="D2856" t="s">
        <v>13</v>
      </c>
      <c r="E2856" t="s">
        <v>20</v>
      </c>
      <c r="F2856" t="s">
        <v>27</v>
      </c>
      <c r="G2856">
        <v>1</v>
      </c>
      <c r="H2856">
        <v>1588.76</v>
      </c>
      <c r="I2856">
        <v>358.49</v>
      </c>
      <c r="J2856" t="s">
        <v>16</v>
      </c>
      <c r="K2856" t="s">
        <v>23</v>
      </c>
      <c r="L2856">
        <f t="shared" si="132"/>
        <v>2023</v>
      </c>
      <c r="M2856" t="str">
        <f t="shared" si="133"/>
        <v>Sep</v>
      </c>
      <c r="N2856" s="2">
        <f t="shared" si="134"/>
        <v>0.22564138069941339</v>
      </c>
    </row>
    <row r="2857" spans="1:14" x14ac:dyDescent="0.45">
      <c r="A2857" t="s">
        <v>5347</v>
      </c>
      <c r="B2857" s="1">
        <v>45110</v>
      </c>
      <c r="C2857" t="s">
        <v>5348</v>
      </c>
      <c r="D2857" t="s">
        <v>13</v>
      </c>
      <c r="E2857" t="s">
        <v>20</v>
      </c>
      <c r="F2857" t="s">
        <v>43</v>
      </c>
      <c r="G2857">
        <v>1</v>
      </c>
      <c r="H2857">
        <v>20217.7</v>
      </c>
      <c r="I2857">
        <v>4708.45</v>
      </c>
      <c r="J2857" t="s">
        <v>71</v>
      </c>
      <c r="K2857" t="s">
        <v>33</v>
      </c>
      <c r="L2857">
        <f t="shared" si="132"/>
        <v>2023</v>
      </c>
      <c r="M2857" t="str">
        <f t="shared" si="133"/>
        <v>Jul</v>
      </c>
      <c r="N2857" s="2">
        <f t="shared" si="134"/>
        <v>0.23288751935185503</v>
      </c>
    </row>
    <row r="2858" spans="1:14" x14ac:dyDescent="0.45">
      <c r="A2858" t="s">
        <v>5349</v>
      </c>
      <c r="B2858" s="1">
        <v>45149</v>
      </c>
      <c r="C2858" t="s">
        <v>452</v>
      </c>
      <c r="D2858" t="s">
        <v>13</v>
      </c>
      <c r="E2858" t="s">
        <v>36</v>
      </c>
      <c r="F2858" t="s">
        <v>46</v>
      </c>
      <c r="G2858">
        <v>5</v>
      </c>
      <c r="H2858">
        <v>20951.73</v>
      </c>
      <c r="I2858">
        <v>4748.71</v>
      </c>
      <c r="J2858" t="s">
        <v>71</v>
      </c>
      <c r="K2858" t="s">
        <v>23</v>
      </c>
      <c r="L2858">
        <f t="shared" si="132"/>
        <v>2023</v>
      </c>
      <c r="M2858" t="str">
        <f t="shared" si="133"/>
        <v>Aug</v>
      </c>
      <c r="N2858" s="2">
        <f t="shared" si="134"/>
        <v>0.22665001887672284</v>
      </c>
    </row>
    <row r="2859" spans="1:14" x14ac:dyDescent="0.45">
      <c r="A2859" t="s">
        <v>5350</v>
      </c>
      <c r="B2859" s="1">
        <v>45104</v>
      </c>
      <c r="C2859" t="s">
        <v>5351</v>
      </c>
      <c r="D2859" t="s">
        <v>56</v>
      </c>
      <c r="E2859" t="s">
        <v>36</v>
      </c>
      <c r="F2859" t="s">
        <v>37</v>
      </c>
      <c r="G2859">
        <v>2</v>
      </c>
      <c r="H2859">
        <v>23964.17</v>
      </c>
      <c r="I2859">
        <v>3084.81</v>
      </c>
      <c r="J2859" t="s">
        <v>22</v>
      </c>
      <c r="K2859" t="s">
        <v>17</v>
      </c>
      <c r="L2859">
        <f t="shared" si="132"/>
        <v>2023</v>
      </c>
      <c r="M2859" t="str">
        <f t="shared" si="133"/>
        <v>Jun</v>
      </c>
      <c r="N2859" s="2">
        <f t="shared" si="134"/>
        <v>0.12872592708197281</v>
      </c>
    </row>
    <row r="2860" spans="1:14" x14ac:dyDescent="0.45">
      <c r="A2860" t="s">
        <v>5352</v>
      </c>
      <c r="B2860" s="1">
        <v>45005</v>
      </c>
      <c r="C2860" t="s">
        <v>359</v>
      </c>
      <c r="D2860" t="s">
        <v>56</v>
      </c>
      <c r="E2860" t="s">
        <v>36</v>
      </c>
      <c r="F2860" t="s">
        <v>53</v>
      </c>
      <c r="G2860">
        <v>3</v>
      </c>
      <c r="H2860">
        <v>22587.49</v>
      </c>
      <c r="I2860">
        <v>4377.72</v>
      </c>
      <c r="J2860" t="s">
        <v>71</v>
      </c>
      <c r="K2860" t="s">
        <v>33</v>
      </c>
      <c r="L2860">
        <f t="shared" si="132"/>
        <v>2023</v>
      </c>
      <c r="M2860" t="str">
        <f t="shared" si="133"/>
        <v>Mar</v>
      </c>
      <c r="N2860" s="2">
        <f t="shared" si="134"/>
        <v>0.19381170727690417</v>
      </c>
    </row>
    <row r="2861" spans="1:14" x14ac:dyDescent="0.45">
      <c r="A2861" t="s">
        <v>5353</v>
      </c>
      <c r="B2861" s="1">
        <v>44880</v>
      </c>
      <c r="C2861" t="s">
        <v>5354</v>
      </c>
      <c r="D2861" t="s">
        <v>13</v>
      </c>
      <c r="E2861" t="s">
        <v>20</v>
      </c>
      <c r="F2861" t="s">
        <v>27</v>
      </c>
      <c r="G2861">
        <v>4</v>
      </c>
      <c r="H2861">
        <v>8296.7000000000007</v>
      </c>
      <c r="I2861">
        <v>1933.49</v>
      </c>
      <c r="J2861" t="s">
        <v>22</v>
      </c>
      <c r="K2861" t="s">
        <v>33</v>
      </c>
      <c r="L2861">
        <f t="shared" si="132"/>
        <v>2022</v>
      </c>
      <c r="M2861" t="str">
        <f t="shared" si="133"/>
        <v>Nov</v>
      </c>
      <c r="N2861" s="2">
        <f t="shared" si="134"/>
        <v>0.23304325816288401</v>
      </c>
    </row>
    <row r="2862" spans="1:14" x14ac:dyDescent="0.45">
      <c r="A2862" t="s">
        <v>5355</v>
      </c>
      <c r="B2862" s="1">
        <v>45314</v>
      </c>
      <c r="C2862" t="s">
        <v>1133</v>
      </c>
      <c r="D2862" t="s">
        <v>26</v>
      </c>
      <c r="E2862" t="s">
        <v>36</v>
      </c>
      <c r="F2862" t="s">
        <v>46</v>
      </c>
      <c r="G2862">
        <v>3</v>
      </c>
      <c r="H2862">
        <v>12633.09</v>
      </c>
      <c r="I2862">
        <v>1159.77</v>
      </c>
      <c r="J2862" t="s">
        <v>28</v>
      </c>
      <c r="K2862" t="s">
        <v>23</v>
      </c>
      <c r="L2862">
        <f t="shared" si="132"/>
        <v>2024</v>
      </c>
      <c r="M2862" t="str">
        <f t="shared" si="133"/>
        <v>Jan</v>
      </c>
      <c r="N2862" s="2">
        <f t="shared" si="134"/>
        <v>9.1804142929402074E-2</v>
      </c>
    </row>
    <row r="2863" spans="1:14" x14ac:dyDescent="0.45">
      <c r="A2863" t="s">
        <v>5356</v>
      </c>
      <c r="B2863" s="1">
        <v>45285</v>
      </c>
      <c r="C2863" t="s">
        <v>3158</v>
      </c>
      <c r="D2863" t="s">
        <v>13</v>
      </c>
      <c r="E2863" t="s">
        <v>14</v>
      </c>
      <c r="F2863" t="s">
        <v>15</v>
      </c>
      <c r="G2863">
        <v>4</v>
      </c>
      <c r="H2863">
        <v>2779.99</v>
      </c>
      <c r="I2863">
        <v>387.79</v>
      </c>
      <c r="J2863" t="s">
        <v>28</v>
      </c>
      <c r="K2863" t="s">
        <v>17</v>
      </c>
      <c r="L2863">
        <f t="shared" si="132"/>
        <v>2023</v>
      </c>
      <c r="M2863" t="str">
        <f t="shared" si="133"/>
        <v>Dec</v>
      </c>
      <c r="N2863" s="2">
        <f t="shared" si="134"/>
        <v>0.13949330752988323</v>
      </c>
    </row>
    <row r="2864" spans="1:14" x14ac:dyDescent="0.45">
      <c r="A2864" t="s">
        <v>5357</v>
      </c>
      <c r="B2864" s="1">
        <v>45519</v>
      </c>
      <c r="C2864" t="s">
        <v>1898</v>
      </c>
      <c r="D2864" t="s">
        <v>26</v>
      </c>
      <c r="E2864" t="s">
        <v>14</v>
      </c>
      <c r="F2864" t="s">
        <v>15</v>
      </c>
      <c r="G2864">
        <v>4</v>
      </c>
      <c r="H2864">
        <v>40843.440000000002</v>
      </c>
      <c r="I2864">
        <v>3503.13</v>
      </c>
      <c r="J2864" t="s">
        <v>22</v>
      </c>
      <c r="K2864" t="s">
        <v>17</v>
      </c>
      <c r="L2864">
        <f t="shared" si="132"/>
        <v>2024</v>
      </c>
      <c r="M2864" t="str">
        <f t="shared" si="133"/>
        <v>Aug</v>
      </c>
      <c r="N2864" s="2">
        <f t="shared" si="134"/>
        <v>8.5769709897109539E-2</v>
      </c>
    </row>
    <row r="2865" spans="1:14" x14ac:dyDescent="0.45">
      <c r="A2865" t="s">
        <v>5358</v>
      </c>
      <c r="B2865" s="1">
        <v>45487</v>
      </c>
      <c r="C2865" t="s">
        <v>5359</v>
      </c>
      <c r="D2865" t="s">
        <v>56</v>
      </c>
      <c r="E2865" t="s">
        <v>14</v>
      </c>
      <c r="F2865" t="s">
        <v>57</v>
      </c>
      <c r="G2865">
        <v>5</v>
      </c>
      <c r="H2865">
        <v>25896.48</v>
      </c>
      <c r="I2865">
        <v>2629.31</v>
      </c>
      <c r="J2865" t="s">
        <v>71</v>
      </c>
      <c r="K2865" t="s">
        <v>23</v>
      </c>
      <c r="L2865">
        <f t="shared" si="132"/>
        <v>2024</v>
      </c>
      <c r="M2865" t="str">
        <f t="shared" si="133"/>
        <v>Jul</v>
      </c>
      <c r="N2865" s="2">
        <f t="shared" si="134"/>
        <v>0.10153155950152298</v>
      </c>
    </row>
    <row r="2866" spans="1:14" x14ac:dyDescent="0.45">
      <c r="A2866" t="s">
        <v>5360</v>
      </c>
      <c r="B2866" s="1">
        <v>45290</v>
      </c>
      <c r="C2866" t="s">
        <v>5361</v>
      </c>
      <c r="D2866" t="s">
        <v>13</v>
      </c>
      <c r="E2866" t="s">
        <v>14</v>
      </c>
      <c r="F2866" t="s">
        <v>57</v>
      </c>
      <c r="G2866">
        <v>1</v>
      </c>
      <c r="H2866">
        <v>48310.37</v>
      </c>
      <c r="I2866">
        <v>11393.6</v>
      </c>
      <c r="J2866" t="s">
        <v>47</v>
      </c>
      <c r="K2866" t="s">
        <v>17</v>
      </c>
      <c r="L2866">
        <f t="shared" si="132"/>
        <v>2023</v>
      </c>
      <c r="M2866" t="str">
        <f t="shared" si="133"/>
        <v>Dec</v>
      </c>
      <c r="N2866" s="2">
        <f t="shared" si="134"/>
        <v>0.23584170437941171</v>
      </c>
    </row>
    <row r="2867" spans="1:14" x14ac:dyDescent="0.45">
      <c r="A2867" t="s">
        <v>5362</v>
      </c>
      <c r="B2867" s="1">
        <v>44718</v>
      </c>
      <c r="C2867" t="s">
        <v>5363</v>
      </c>
      <c r="D2867" t="s">
        <v>56</v>
      </c>
      <c r="E2867" t="s">
        <v>14</v>
      </c>
      <c r="F2867" t="s">
        <v>15</v>
      </c>
      <c r="G2867">
        <v>5</v>
      </c>
      <c r="H2867">
        <v>21885.88</v>
      </c>
      <c r="I2867">
        <v>2865.93</v>
      </c>
      <c r="J2867" t="s">
        <v>47</v>
      </c>
      <c r="K2867" t="s">
        <v>23</v>
      </c>
      <c r="L2867">
        <f t="shared" si="132"/>
        <v>2022</v>
      </c>
      <c r="M2867" t="str">
        <f t="shared" si="133"/>
        <v>Jun</v>
      </c>
      <c r="N2867" s="2">
        <f t="shared" si="134"/>
        <v>0.13094881265912084</v>
      </c>
    </row>
    <row r="2868" spans="1:14" x14ac:dyDescent="0.45">
      <c r="A2868" t="s">
        <v>5364</v>
      </c>
      <c r="B2868" s="1">
        <v>44911</v>
      </c>
      <c r="C2868" t="s">
        <v>5365</v>
      </c>
      <c r="D2868" t="s">
        <v>26</v>
      </c>
      <c r="E2868" t="s">
        <v>14</v>
      </c>
      <c r="F2868" t="s">
        <v>15</v>
      </c>
      <c r="G2868">
        <v>5</v>
      </c>
      <c r="H2868">
        <v>14054.1</v>
      </c>
      <c r="I2868">
        <v>3314.72</v>
      </c>
      <c r="J2868" t="s">
        <v>28</v>
      </c>
      <c r="K2868" t="s">
        <v>17</v>
      </c>
      <c r="L2868">
        <f t="shared" si="132"/>
        <v>2022</v>
      </c>
      <c r="M2868" t="str">
        <f t="shared" si="133"/>
        <v>Dec</v>
      </c>
      <c r="N2868" s="2">
        <f t="shared" si="134"/>
        <v>0.23585430586092312</v>
      </c>
    </row>
    <row r="2869" spans="1:14" x14ac:dyDescent="0.45">
      <c r="A2869" t="s">
        <v>5366</v>
      </c>
      <c r="B2869" s="1">
        <v>45403</v>
      </c>
      <c r="C2869" t="s">
        <v>5367</v>
      </c>
      <c r="D2869" t="s">
        <v>13</v>
      </c>
      <c r="E2869" t="s">
        <v>20</v>
      </c>
      <c r="F2869" t="s">
        <v>27</v>
      </c>
      <c r="G2869">
        <v>1</v>
      </c>
      <c r="H2869">
        <v>44248.43</v>
      </c>
      <c r="I2869">
        <v>9018.2999999999993</v>
      </c>
      <c r="J2869" t="s">
        <v>28</v>
      </c>
      <c r="K2869" t="s">
        <v>33</v>
      </c>
      <c r="L2869">
        <f t="shared" si="132"/>
        <v>2024</v>
      </c>
      <c r="M2869" t="str">
        <f t="shared" si="133"/>
        <v>Apr</v>
      </c>
      <c r="N2869" s="2">
        <f t="shared" si="134"/>
        <v>0.20381062107740319</v>
      </c>
    </row>
    <row r="2870" spans="1:14" x14ac:dyDescent="0.45">
      <c r="A2870" t="s">
        <v>5368</v>
      </c>
      <c r="B2870" s="1">
        <v>45456</v>
      </c>
      <c r="C2870" t="s">
        <v>2366</v>
      </c>
      <c r="D2870" t="s">
        <v>56</v>
      </c>
      <c r="E2870" t="s">
        <v>20</v>
      </c>
      <c r="F2870" t="s">
        <v>50</v>
      </c>
      <c r="G2870">
        <v>3</v>
      </c>
      <c r="H2870">
        <v>12402.42</v>
      </c>
      <c r="I2870">
        <v>2099.9</v>
      </c>
      <c r="J2870" t="s">
        <v>47</v>
      </c>
      <c r="K2870" t="s">
        <v>17</v>
      </c>
      <c r="L2870">
        <f t="shared" si="132"/>
        <v>2024</v>
      </c>
      <c r="M2870" t="str">
        <f t="shared" si="133"/>
        <v>Jun</v>
      </c>
      <c r="N2870" s="2">
        <f t="shared" si="134"/>
        <v>0.16931373070739422</v>
      </c>
    </row>
    <row r="2871" spans="1:14" x14ac:dyDescent="0.45">
      <c r="A2871" t="s">
        <v>5369</v>
      </c>
      <c r="B2871" s="1">
        <v>45211</v>
      </c>
      <c r="C2871" t="s">
        <v>5370</v>
      </c>
      <c r="D2871" t="s">
        <v>26</v>
      </c>
      <c r="E2871" t="s">
        <v>20</v>
      </c>
      <c r="F2871" t="s">
        <v>50</v>
      </c>
      <c r="G2871">
        <v>5</v>
      </c>
      <c r="H2871">
        <v>41903.01</v>
      </c>
      <c r="I2871">
        <v>2702.3</v>
      </c>
      <c r="J2871" t="s">
        <v>28</v>
      </c>
      <c r="K2871" t="s">
        <v>29</v>
      </c>
      <c r="L2871">
        <f t="shared" si="132"/>
        <v>2023</v>
      </c>
      <c r="M2871" t="str">
        <f t="shared" si="133"/>
        <v>Oct</v>
      </c>
      <c r="N2871" s="2">
        <f t="shared" si="134"/>
        <v>6.4489400642101846E-2</v>
      </c>
    </row>
    <row r="2872" spans="1:14" x14ac:dyDescent="0.45">
      <c r="A2872" t="s">
        <v>5371</v>
      </c>
      <c r="B2872" s="1">
        <v>45210</v>
      </c>
      <c r="C2872" t="s">
        <v>5372</v>
      </c>
      <c r="D2872" t="s">
        <v>13</v>
      </c>
      <c r="E2872" t="s">
        <v>14</v>
      </c>
      <c r="F2872" t="s">
        <v>57</v>
      </c>
      <c r="G2872">
        <v>4</v>
      </c>
      <c r="H2872">
        <v>23053.55</v>
      </c>
      <c r="I2872">
        <v>2842.98</v>
      </c>
      <c r="J2872" t="s">
        <v>16</v>
      </c>
      <c r="K2872" t="s">
        <v>17</v>
      </c>
      <c r="L2872">
        <f t="shared" si="132"/>
        <v>2023</v>
      </c>
      <c r="M2872" t="str">
        <f t="shared" si="133"/>
        <v>Oct</v>
      </c>
      <c r="N2872" s="2">
        <f t="shared" si="134"/>
        <v>0.12332070331901161</v>
      </c>
    </row>
    <row r="2873" spans="1:14" x14ac:dyDescent="0.45">
      <c r="A2873" t="s">
        <v>5373</v>
      </c>
      <c r="B2873" s="1">
        <v>44813</v>
      </c>
      <c r="C2873" t="s">
        <v>5374</v>
      </c>
      <c r="D2873" t="s">
        <v>13</v>
      </c>
      <c r="E2873" t="s">
        <v>20</v>
      </c>
      <c r="F2873" t="s">
        <v>43</v>
      </c>
      <c r="G2873">
        <v>3</v>
      </c>
      <c r="H2873">
        <v>18278.68</v>
      </c>
      <c r="I2873">
        <v>2152.98</v>
      </c>
      <c r="J2873" t="s">
        <v>28</v>
      </c>
      <c r="K2873" t="s">
        <v>33</v>
      </c>
      <c r="L2873">
        <f t="shared" si="132"/>
        <v>2022</v>
      </c>
      <c r="M2873" t="str">
        <f t="shared" si="133"/>
        <v>Sep</v>
      </c>
      <c r="N2873" s="2">
        <f t="shared" si="134"/>
        <v>0.11778640470756094</v>
      </c>
    </row>
    <row r="2874" spans="1:14" x14ac:dyDescent="0.45">
      <c r="A2874" t="s">
        <v>5375</v>
      </c>
      <c r="B2874" s="1">
        <v>44884</v>
      </c>
      <c r="C2874" t="s">
        <v>5376</v>
      </c>
      <c r="D2874" t="s">
        <v>26</v>
      </c>
      <c r="E2874" t="s">
        <v>20</v>
      </c>
      <c r="F2874" t="s">
        <v>50</v>
      </c>
      <c r="G2874">
        <v>5</v>
      </c>
      <c r="H2874">
        <v>22628.720000000001</v>
      </c>
      <c r="I2874">
        <v>1450.18</v>
      </c>
      <c r="J2874" t="s">
        <v>28</v>
      </c>
      <c r="K2874" t="s">
        <v>17</v>
      </c>
      <c r="L2874">
        <f t="shared" si="132"/>
        <v>2022</v>
      </c>
      <c r="M2874" t="str">
        <f t="shared" si="133"/>
        <v>Nov</v>
      </c>
      <c r="N2874" s="2">
        <f t="shared" si="134"/>
        <v>6.4085816608274795E-2</v>
      </c>
    </row>
    <row r="2875" spans="1:14" x14ac:dyDescent="0.45">
      <c r="A2875" t="s">
        <v>5377</v>
      </c>
      <c r="B2875" s="1">
        <v>45380</v>
      </c>
      <c r="C2875" t="s">
        <v>5378</v>
      </c>
      <c r="D2875" t="s">
        <v>56</v>
      </c>
      <c r="E2875" t="s">
        <v>20</v>
      </c>
      <c r="F2875" t="s">
        <v>27</v>
      </c>
      <c r="G2875">
        <v>1</v>
      </c>
      <c r="H2875">
        <v>8809.93</v>
      </c>
      <c r="I2875">
        <v>955.46</v>
      </c>
      <c r="J2875" t="s">
        <v>16</v>
      </c>
      <c r="K2875" t="s">
        <v>23</v>
      </c>
      <c r="L2875">
        <f t="shared" si="132"/>
        <v>2024</v>
      </c>
      <c r="M2875" t="str">
        <f t="shared" si="133"/>
        <v>Mar</v>
      </c>
      <c r="N2875" s="2">
        <f t="shared" si="134"/>
        <v>0.10845262107644442</v>
      </c>
    </row>
    <row r="2876" spans="1:14" x14ac:dyDescent="0.45">
      <c r="A2876" t="s">
        <v>5379</v>
      </c>
      <c r="B2876" s="1">
        <v>44918</v>
      </c>
      <c r="C2876" t="s">
        <v>4863</v>
      </c>
      <c r="D2876" t="s">
        <v>56</v>
      </c>
      <c r="E2876" t="s">
        <v>14</v>
      </c>
      <c r="F2876" t="s">
        <v>57</v>
      </c>
      <c r="G2876">
        <v>2</v>
      </c>
      <c r="H2876">
        <v>37791.4</v>
      </c>
      <c r="I2876">
        <v>4763.25</v>
      </c>
      <c r="J2876" t="s">
        <v>47</v>
      </c>
      <c r="K2876" t="s">
        <v>17</v>
      </c>
      <c r="L2876">
        <f t="shared" si="132"/>
        <v>2022</v>
      </c>
      <c r="M2876" t="str">
        <f t="shared" si="133"/>
        <v>Dec</v>
      </c>
      <c r="N2876" s="2">
        <f t="shared" si="134"/>
        <v>0.12604058066120863</v>
      </c>
    </row>
    <row r="2877" spans="1:14" x14ac:dyDescent="0.45">
      <c r="A2877" t="s">
        <v>5380</v>
      </c>
      <c r="B2877" s="1">
        <v>45151</v>
      </c>
      <c r="C2877" t="s">
        <v>2665</v>
      </c>
      <c r="D2877" t="s">
        <v>26</v>
      </c>
      <c r="E2877" t="s">
        <v>14</v>
      </c>
      <c r="F2877" t="s">
        <v>15</v>
      </c>
      <c r="G2877">
        <v>4</v>
      </c>
      <c r="H2877">
        <v>13849.57</v>
      </c>
      <c r="I2877">
        <v>2980.27</v>
      </c>
      <c r="J2877" t="s">
        <v>22</v>
      </c>
      <c r="K2877" t="s">
        <v>33</v>
      </c>
      <c r="L2877">
        <f t="shared" si="132"/>
        <v>2023</v>
      </c>
      <c r="M2877" t="str">
        <f t="shared" si="133"/>
        <v>Aug</v>
      </c>
      <c r="N2877" s="2">
        <f t="shared" si="134"/>
        <v>0.21518863040513173</v>
      </c>
    </row>
    <row r="2878" spans="1:14" x14ac:dyDescent="0.45">
      <c r="A2878" t="s">
        <v>5381</v>
      </c>
      <c r="B2878" s="1">
        <v>44933</v>
      </c>
      <c r="C2878" t="s">
        <v>984</v>
      </c>
      <c r="D2878" t="s">
        <v>13</v>
      </c>
      <c r="E2878" t="s">
        <v>14</v>
      </c>
      <c r="F2878" t="s">
        <v>57</v>
      </c>
      <c r="G2878">
        <v>4</v>
      </c>
      <c r="H2878">
        <v>3237.84</v>
      </c>
      <c r="I2878">
        <v>297.39</v>
      </c>
      <c r="J2878" t="s">
        <v>22</v>
      </c>
      <c r="K2878" t="s">
        <v>17</v>
      </c>
      <c r="L2878">
        <f t="shared" si="132"/>
        <v>2023</v>
      </c>
      <c r="M2878" t="str">
        <f t="shared" si="133"/>
        <v>Jan</v>
      </c>
      <c r="N2878" s="2">
        <f t="shared" si="134"/>
        <v>9.1848269216514705E-2</v>
      </c>
    </row>
    <row r="2879" spans="1:14" x14ac:dyDescent="0.45">
      <c r="A2879" t="s">
        <v>5382</v>
      </c>
      <c r="B2879" s="1">
        <v>44833</v>
      </c>
      <c r="C2879" t="s">
        <v>5383</v>
      </c>
      <c r="D2879" t="s">
        <v>13</v>
      </c>
      <c r="E2879" t="s">
        <v>14</v>
      </c>
      <c r="F2879" t="s">
        <v>15</v>
      </c>
      <c r="G2879">
        <v>1</v>
      </c>
      <c r="H2879">
        <v>25761.07</v>
      </c>
      <c r="I2879">
        <v>5397.91</v>
      </c>
      <c r="J2879" t="s">
        <v>22</v>
      </c>
      <c r="K2879" t="s">
        <v>29</v>
      </c>
      <c r="L2879">
        <f t="shared" si="132"/>
        <v>2022</v>
      </c>
      <c r="M2879" t="str">
        <f t="shared" si="133"/>
        <v>Sep</v>
      </c>
      <c r="N2879" s="2">
        <f t="shared" si="134"/>
        <v>0.20953749203740371</v>
      </c>
    </row>
    <row r="2880" spans="1:14" x14ac:dyDescent="0.45">
      <c r="A2880" t="s">
        <v>5384</v>
      </c>
      <c r="B2880" s="1">
        <v>44676</v>
      </c>
      <c r="C2880" t="s">
        <v>1898</v>
      </c>
      <c r="D2880" t="s">
        <v>13</v>
      </c>
      <c r="E2880" t="s">
        <v>36</v>
      </c>
      <c r="F2880" t="s">
        <v>53</v>
      </c>
      <c r="G2880">
        <v>1</v>
      </c>
      <c r="H2880">
        <v>39270.9</v>
      </c>
      <c r="I2880">
        <v>6390.85</v>
      </c>
      <c r="J2880" t="s">
        <v>71</v>
      </c>
      <c r="K2880" t="s">
        <v>23</v>
      </c>
      <c r="L2880">
        <f t="shared" si="132"/>
        <v>2022</v>
      </c>
      <c r="M2880" t="str">
        <f t="shared" si="133"/>
        <v>Apr</v>
      </c>
      <c r="N2880" s="2">
        <f t="shared" si="134"/>
        <v>0.16273754866835238</v>
      </c>
    </row>
    <row r="2881" spans="1:14" x14ac:dyDescent="0.45">
      <c r="A2881" t="s">
        <v>5385</v>
      </c>
      <c r="B2881" s="1">
        <v>44660</v>
      </c>
      <c r="C2881" t="s">
        <v>5386</v>
      </c>
      <c r="D2881" t="s">
        <v>56</v>
      </c>
      <c r="E2881" t="s">
        <v>36</v>
      </c>
      <c r="F2881" t="s">
        <v>46</v>
      </c>
      <c r="G2881">
        <v>1</v>
      </c>
      <c r="H2881">
        <v>36529.07</v>
      </c>
      <c r="I2881">
        <v>2657.55</v>
      </c>
      <c r="J2881" t="s">
        <v>16</v>
      </c>
      <c r="K2881" t="s">
        <v>29</v>
      </c>
      <c r="L2881">
        <f t="shared" si="132"/>
        <v>2022</v>
      </c>
      <c r="M2881" t="str">
        <f t="shared" si="133"/>
        <v>Apr</v>
      </c>
      <c r="N2881" s="2">
        <f t="shared" si="134"/>
        <v>7.2751646839079129E-2</v>
      </c>
    </row>
    <row r="2882" spans="1:14" x14ac:dyDescent="0.45">
      <c r="A2882" t="s">
        <v>5387</v>
      </c>
      <c r="B2882" s="1">
        <v>44742</v>
      </c>
      <c r="C2882" t="s">
        <v>3277</v>
      </c>
      <c r="D2882" t="s">
        <v>13</v>
      </c>
      <c r="E2882" t="s">
        <v>20</v>
      </c>
      <c r="F2882" t="s">
        <v>50</v>
      </c>
      <c r="G2882">
        <v>5</v>
      </c>
      <c r="H2882">
        <v>47806.68</v>
      </c>
      <c r="I2882">
        <v>7257.58</v>
      </c>
      <c r="J2882" t="s">
        <v>16</v>
      </c>
      <c r="K2882" t="s">
        <v>33</v>
      </c>
      <c r="L2882">
        <f t="shared" si="132"/>
        <v>2022</v>
      </c>
      <c r="M2882" t="str">
        <f t="shared" si="133"/>
        <v>Jun</v>
      </c>
      <c r="N2882" s="2">
        <f t="shared" si="134"/>
        <v>0.15181100214447019</v>
      </c>
    </row>
    <row r="2883" spans="1:14" x14ac:dyDescent="0.45">
      <c r="A2883" t="s">
        <v>5388</v>
      </c>
      <c r="B2883" s="1">
        <v>45492</v>
      </c>
      <c r="C2883" t="s">
        <v>5389</v>
      </c>
      <c r="D2883" t="s">
        <v>26</v>
      </c>
      <c r="E2883" t="s">
        <v>20</v>
      </c>
      <c r="F2883" t="s">
        <v>21</v>
      </c>
      <c r="G2883">
        <v>2</v>
      </c>
      <c r="H2883">
        <v>1781.93</v>
      </c>
      <c r="I2883">
        <v>333.39</v>
      </c>
      <c r="J2883" t="s">
        <v>22</v>
      </c>
      <c r="K2883" t="s">
        <v>23</v>
      </c>
      <c r="L2883">
        <f t="shared" ref="L2883:L2946" si="135">YEAR(B2883 )</f>
        <v>2024</v>
      </c>
      <c r="M2883" t="str">
        <f t="shared" ref="M2883:M2946" si="136">TEXT(B2883,"MMM")</f>
        <v>Jul</v>
      </c>
      <c r="N2883" s="2">
        <f t="shared" ref="N2883:N2946" si="137">I2883 / H2883</f>
        <v>0.18709489149405417</v>
      </c>
    </row>
    <row r="2884" spans="1:14" x14ac:dyDescent="0.45">
      <c r="A2884" t="s">
        <v>5390</v>
      </c>
      <c r="B2884" s="1">
        <v>45155</v>
      </c>
      <c r="C2884" t="s">
        <v>5391</v>
      </c>
      <c r="D2884" t="s">
        <v>13</v>
      </c>
      <c r="E2884" t="s">
        <v>14</v>
      </c>
      <c r="F2884" t="s">
        <v>32</v>
      </c>
      <c r="G2884">
        <v>2</v>
      </c>
      <c r="H2884">
        <v>45900.959999999999</v>
      </c>
      <c r="I2884">
        <v>10815.97</v>
      </c>
      <c r="J2884" t="s">
        <v>47</v>
      </c>
      <c r="K2884" t="s">
        <v>33</v>
      </c>
      <c r="L2884">
        <f t="shared" si="135"/>
        <v>2023</v>
      </c>
      <c r="M2884" t="str">
        <f t="shared" si="136"/>
        <v>Aug</v>
      </c>
      <c r="N2884" s="2">
        <f t="shared" si="137"/>
        <v>0.2356371195722268</v>
      </c>
    </row>
    <row r="2885" spans="1:14" x14ac:dyDescent="0.45">
      <c r="A2885" t="s">
        <v>5392</v>
      </c>
      <c r="B2885" s="1">
        <v>45342</v>
      </c>
      <c r="C2885" t="s">
        <v>5393</v>
      </c>
      <c r="D2885" t="s">
        <v>26</v>
      </c>
      <c r="E2885" t="s">
        <v>20</v>
      </c>
      <c r="F2885" t="s">
        <v>21</v>
      </c>
      <c r="G2885">
        <v>3</v>
      </c>
      <c r="H2885">
        <v>36938.94</v>
      </c>
      <c r="I2885">
        <v>5343.76</v>
      </c>
      <c r="J2885" t="s">
        <v>47</v>
      </c>
      <c r="K2885" t="s">
        <v>29</v>
      </c>
      <c r="L2885">
        <f t="shared" si="135"/>
        <v>2024</v>
      </c>
      <c r="M2885" t="str">
        <f t="shared" si="136"/>
        <v>Feb</v>
      </c>
      <c r="N2885" s="2">
        <f t="shared" si="137"/>
        <v>0.14466468176942815</v>
      </c>
    </row>
    <row r="2886" spans="1:14" x14ac:dyDescent="0.45">
      <c r="A2886" t="s">
        <v>5394</v>
      </c>
      <c r="B2886" s="1">
        <v>44862</v>
      </c>
      <c r="C2886" t="s">
        <v>5395</v>
      </c>
      <c r="D2886" t="s">
        <v>26</v>
      </c>
      <c r="E2886" t="s">
        <v>20</v>
      </c>
      <c r="F2886" t="s">
        <v>27</v>
      </c>
      <c r="G2886">
        <v>4</v>
      </c>
      <c r="H2886">
        <v>24327.63</v>
      </c>
      <c r="I2886">
        <v>3508.68</v>
      </c>
      <c r="J2886" t="s">
        <v>28</v>
      </c>
      <c r="K2886" t="s">
        <v>23</v>
      </c>
      <c r="L2886">
        <f t="shared" si="135"/>
        <v>2022</v>
      </c>
      <c r="M2886" t="str">
        <f t="shared" si="136"/>
        <v>Oct</v>
      </c>
      <c r="N2886" s="2">
        <f t="shared" si="137"/>
        <v>0.14422613300185838</v>
      </c>
    </row>
    <row r="2887" spans="1:14" x14ac:dyDescent="0.45">
      <c r="A2887" t="s">
        <v>5396</v>
      </c>
      <c r="B2887" s="1">
        <v>44938</v>
      </c>
      <c r="C2887" t="s">
        <v>5397</v>
      </c>
      <c r="D2887" t="s">
        <v>13</v>
      </c>
      <c r="E2887" t="s">
        <v>36</v>
      </c>
      <c r="F2887" t="s">
        <v>37</v>
      </c>
      <c r="G2887">
        <v>5</v>
      </c>
      <c r="H2887">
        <v>42633.38</v>
      </c>
      <c r="I2887">
        <v>9828.15</v>
      </c>
      <c r="J2887" t="s">
        <v>16</v>
      </c>
      <c r="K2887" t="s">
        <v>29</v>
      </c>
      <c r="L2887">
        <f t="shared" si="135"/>
        <v>2023</v>
      </c>
      <c r="M2887" t="str">
        <f t="shared" si="136"/>
        <v>Jan</v>
      </c>
      <c r="N2887" s="2">
        <f t="shared" si="137"/>
        <v>0.2305271127928398</v>
      </c>
    </row>
    <row r="2888" spans="1:14" x14ac:dyDescent="0.45">
      <c r="A2888" t="s">
        <v>5398</v>
      </c>
      <c r="B2888" s="1">
        <v>45050</v>
      </c>
      <c r="C2888" t="s">
        <v>948</v>
      </c>
      <c r="D2888" t="s">
        <v>13</v>
      </c>
      <c r="E2888" t="s">
        <v>20</v>
      </c>
      <c r="F2888" t="s">
        <v>21</v>
      </c>
      <c r="G2888">
        <v>1</v>
      </c>
      <c r="H2888">
        <v>33578.120000000003</v>
      </c>
      <c r="I2888">
        <v>3968.69</v>
      </c>
      <c r="J2888" t="s">
        <v>16</v>
      </c>
      <c r="K2888" t="s">
        <v>29</v>
      </c>
      <c r="L2888">
        <f t="shared" si="135"/>
        <v>2023</v>
      </c>
      <c r="M2888" t="str">
        <f t="shared" si="136"/>
        <v>May</v>
      </c>
      <c r="N2888" s="2">
        <f t="shared" si="137"/>
        <v>0.11819273979603384</v>
      </c>
    </row>
    <row r="2889" spans="1:14" x14ac:dyDescent="0.45">
      <c r="A2889" t="s">
        <v>5399</v>
      </c>
      <c r="B2889" s="1">
        <v>45125</v>
      </c>
      <c r="C2889" t="s">
        <v>5400</v>
      </c>
      <c r="D2889" t="s">
        <v>56</v>
      </c>
      <c r="E2889" t="s">
        <v>14</v>
      </c>
      <c r="F2889" t="s">
        <v>40</v>
      </c>
      <c r="G2889">
        <v>1</v>
      </c>
      <c r="H2889">
        <v>4694.72</v>
      </c>
      <c r="I2889">
        <v>335.66</v>
      </c>
      <c r="J2889" t="s">
        <v>22</v>
      </c>
      <c r="K2889" t="s">
        <v>29</v>
      </c>
      <c r="L2889">
        <f t="shared" si="135"/>
        <v>2023</v>
      </c>
      <c r="M2889" t="str">
        <f t="shared" si="136"/>
        <v>Jul</v>
      </c>
      <c r="N2889" s="2">
        <f t="shared" si="137"/>
        <v>7.1497341694499353E-2</v>
      </c>
    </row>
    <row r="2890" spans="1:14" x14ac:dyDescent="0.45">
      <c r="A2890" t="s">
        <v>5401</v>
      </c>
      <c r="B2890" s="1">
        <v>45611</v>
      </c>
      <c r="C2890" t="s">
        <v>5402</v>
      </c>
      <c r="D2890" t="s">
        <v>26</v>
      </c>
      <c r="E2890" t="s">
        <v>20</v>
      </c>
      <c r="F2890" t="s">
        <v>21</v>
      </c>
      <c r="G2890">
        <v>1</v>
      </c>
      <c r="H2890">
        <v>19001.37</v>
      </c>
      <c r="I2890">
        <v>4015.42</v>
      </c>
      <c r="J2890" t="s">
        <v>71</v>
      </c>
      <c r="K2890" t="s">
        <v>33</v>
      </c>
      <c r="L2890">
        <f t="shared" si="135"/>
        <v>2024</v>
      </c>
      <c r="M2890" t="str">
        <f t="shared" si="136"/>
        <v>Nov</v>
      </c>
      <c r="N2890" s="2">
        <f t="shared" si="137"/>
        <v>0.21132265726102908</v>
      </c>
    </row>
    <row r="2891" spans="1:14" x14ac:dyDescent="0.45">
      <c r="A2891" t="s">
        <v>5403</v>
      </c>
      <c r="B2891" s="1">
        <v>44726</v>
      </c>
      <c r="C2891" t="s">
        <v>5404</v>
      </c>
      <c r="D2891" t="s">
        <v>56</v>
      </c>
      <c r="E2891" t="s">
        <v>20</v>
      </c>
      <c r="F2891" t="s">
        <v>43</v>
      </c>
      <c r="G2891">
        <v>4</v>
      </c>
      <c r="H2891">
        <v>29266.26</v>
      </c>
      <c r="I2891">
        <v>5155.54</v>
      </c>
      <c r="J2891" t="s">
        <v>16</v>
      </c>
      <c r="K2891" t="s">
        <v>29</v>
      </c>
      <c r="L2891">
        <f t="shared" si="135"/>
        <v>2022</v>
      </c>
      <c r="M2891" t="str">
        <f t="shared" si="136"/>
        <v>Jun</v>
      </c>
      <c r="N2891" s="2">
        <f t="shared" si="137"/>
        <v>0.17615985096831643</v>
      </c>
    </row>
    <row r="2892" spans="1:14" x14ac:dyDescent="0.45">
      <c r="A2892" t="s">
        <v>5405</v>
      </c>
      <c r="B2892" s="1">
        <v>45297</v>
      </c>
      <c r="C2892" t="s">
        <v>5406</v>
      </c>
      <c r="D2892" t="s">
        <v>13</v>
      </c>
      <c r="E2892" t="s">
        <v>14</v>
      </c>
      <c r="F2892" t="s">
        <v>32</v>
      </c>
      <c r="G2892">
        <v>3</v>
      </c>
      <c r="H2892">
        <v>13295.15</v>
      </c>
      <c r="I2892">
        <v>1247.82</v>
      </c>
      <c r="J2892" t="s">
        <v>16</v>
      </c>
      <c r="K2892" t="s">
        <v>29</v>
      </c>
      <c r="L2892">
        <f t="shared" si="135"/>
        <v>2024</v>
      </c>
      <c r="M2892" t="str">
        <f t="shared" si="136"/>
        <v>Jan</v>
      </c>
      <c r="N2892" s="2">
        <f t="shared" si="137"/>
        <v>9.3855278052522917E-2</v>
      </c>
    </row>
    <row r="2893" spans="1:14" x14ac:dyDescent="0.45">
      <c r="A2893" t="s">
        <v>5407</v>
      </c>
      <c r="B2893" s="1">
        <v>44879</v>
      </c>
      <c r="C2893" t="s">
        <v>5408</v>
      </c>
      <c r="D2893" t="s">
        <v>13</v>
      </c>
      <c r="E2893" t="s">
        <v>20</v>
      </c>
      <c r="F2893" t="s">
        <v>21</v>
      </c>
      <c r="G2893">
        <v>3</v>
      </c>
      <c r="H2893">
        <v>45659.3</v>
      </c>
      <c r="I2893">
        <v>9197.4699999999993</v>
      </c>
      <c r="J2893" t="s">
        <v>28</v>
      </c>
      <c r="K2893" t="s">
        <v>23</v>
      </c>
      <c r="L2893">
        <f t="shared" si="135"/>
        <v>2022</v>
      </c>
      <c r="M2893" t="str">
        <f t="shared" si="136"/>
        <v>Nov</v>
      </c>
      <c r="N2893" s="2">
        <f t="shared" si="137"/>
        <v>0.20143694712796734</v>
      </c>
    </row>
    <row r="2894" spans="1:14" x14ac:dyDescent="0.45">
      <c r="A2894" t="s">
        <v>5409</v>
      </c>
      <c r="B2894" s="1">
        <v>44790</v>
      </c>
      <c r="C2894" t="s">
        <v>1208</v>
      </c>
      <c r="D2894" t="s">
        <v>56</v>
      </c>
      <c r="E2894" t="s">
        <v>36</v>
      </c>
      <c r="F2894" t="s">
        <v>53</v>
      </c>
      <c r="G2894">
        <v>1</v>
      </c>
      <c r="H2894">
        <v>9121.0300000000007</v>
      </c>
      <c r="I2894">
        <v>2053.17</v>
      </c>
      <c r="J2894" t="s">
        <v>16</v>
      </c>
      <c r="K2894" t="s">
        <v>23</v>
      </c>
      <c r="L2894">
        <f t="shared" si="135"/>
        <v>2022</v>
      </c>
      <c r="M2894" t="str">
        <f t="shared" si="136"/>
        <v>Aug</v>
      </c>
      <c r="N2894" s="2">
        <f t="shared" si="137"/>
        <v>0.22510286667185614</v>
      </c>
    </row>
    <row r="2895" spans="1:14" x14ac:dyDescent="0.45">
      <c r="A2895" t="s">
        <v>5410</v>
      </c>
      <c r="B2895" s="1">
        <v>45174</v>
      </c>
      <c r="C2895" t="s">
        <v>5411</v>
      </c>
      <c r="D2895" t="s">
        <v>26</v>
      </c>
      <c r="E2895" t="s">
        <v>14</v>
      </c>
      <c r="F2895" t="s">
        <v>15</v>
      </c>
      <c r="G2895">
        <v>4</v>
      </c>
      <c r="H2895">
        <v>3356.96</v>
      </c>
      <c r="I2895">
        <v>414.91</v>
      </c>
      <c r="J2895" t="s">
        <v>28</v>
      </c>
      <c r="K2895" t="s">
        <v>29</v>
      </c>
      <c r="L2895">
        <f t="shared" si="135"/>
        <v>2023</v>
      </c>
      <c r="M2895" t="str">
        <f t="shared" si="136"/>
        <v>Sep</v>
      </c>
      <c r="N2895" s="2">
        <f t="shared" si="137"/>
        <v>0.12359694485486869</v>
      </c>
    </row>
    <row r="2896" spans="1:14" x14ac:dyDescent="0.45">
      <c r="A2896" t="s">
        <v>5412</v>
      </c>
      <c r="B2896" s="1">
        <v>45291</v>
      </c>
      <c r="C2896" t="s">
        <v>2619</v>
      </c>
      <c r="D2896" t="s">
        <v>26</v>
      </c>
      <c r="E2896" t="s">
        <v>36</v>
      </c>
      <c r="F2896" t="s">
        <v>53</v>
      </c>
      <c r="G2896">
        <v>4</v>
      </c>
      <c r="H2896">
        <v>43357.87</v>
      </c>
      <c r="I2896">
        <v>3226.69</v>
      </c>
      <c r="J2896" t="s">
        <v>71</v>
      </c>
      <c r="K2896" t="s">
        <v>23</v>
      </c>
      <c r="L2896">
        <f t="shared" si="135"/>
        <v>2023</v>
      </c>
      <c r="M2896" t="str">
        <f t="shared" si="136"/>
        <v>Dec</v>
      </c>
      <c r="N2896" s="2">
        <f t="shared" si="137"/>
        <v>7.4419938064300667E-2</v>
      </c>
    </row>
    <row r="2897" spans="1:14" x14ac:dyDescent="0.45">
      <c r="A2897" t="s">
        <v>5413</v>
      </c>
      <c r="B2897" s="1">
        <v>45413</v>
      </c>
      <c r="C2897" t="s">
        <v>5414</v>
      </c>
      <c r="D2897" t="s">
        <v>13</v>
      </c>
      <c r="E2897" t="s">
        <v>36</v>
      </c>
      <c r="F2897" t="s">
        <v>64</v>
      </c>
      <c r="G2897">
        <v>5</v>
      </c>
      <c r="H2897">
        <v>4740.9399999999996</v>
      </c>
      <c r="I2897">
        <v>1162.7</v>
      </c>
      <c r="J2897" t="s">
        <v>47</v>
      </c>
      <c r="K2897" t="s">
        <v>29</v>
      </c>
      <c r="L2897">
        <f t="shared" si="135"/>
        <v>2024</v>
      </c>
      <c r="M2897" t="str">
        <f t="shared" si="136"/>
        <v>May</v>
      </c>
      <c r="N2897" s="2">
        <f t="shared" si="137"/>
        <v>0.24524672322366453</v>
      </c>
    </row>
    <row r="2898" spans="1:14" x14ac:dyDescent="0.45">
      <c r="A2898" t="s">
        <v>5415</v>
      </c>
      <c r="B2898" s="1">
        <v>44795</v>
      </c>
      <c r="C2898" t="s">
        <v>5416</v>
      </c>
      <c r="D2898" t="s">
        <v>13</v>
      </c>
      <c r="E2898" t="s">
        <v>20</v>
      </c>
      <c r="F2898" t="s">
        <v>43</v>
      </c>
      <c r="G2898">
        <v>3</v>
      </c>
      <c r="H2898">
        <v>21214.240000000002</v>
      </c>
      <c r="I2898">
        <v>3837.09</v>
      </c>
      <c r="J2898" t="s">
        <v>22</v>
      </c>
      <c r="K2898" t="s">
        <v>33</v>
      </c>
      <c r="L2898">
        <f t="shared" si="135"/>
        <v>2022</v>
      </c>
      <c r="M2898" t="str">
        <f t="shared" si="136"/>
        <v>Aug</v>
      </c>
      <c r="N2898" s="2">
        <f t="shared" si="137"/>
        <v>0.18087331905361681</v>
      </c>
    </row>
    <row r="2899" spans="1:14" x14ac:dyDescent="0.45">
      <c r="A2899" t="s">
        <v>5417</v>
      </c>
      <c r="B2899" s="1">
        <v>45554</v>
      </c>
      <c r="C2899" t="s">
        <v>5418</v>
      </c>
      <c r="D2899" t="s">
        <v>26</v>
      </c>
      <c r="E2899" t="s">
        <v>36</v>
      </c>
      <c r="F2899" t="s">
        <v>53</v>
      </c>
      <c r="G2899">
        <v>4</v>
      </c>
      <c r="H2899">
        <v>20994.78</v>
      </c>
      <c r="I2899">
        <v>4726.95</v>
      </c>
      <c r="J2899" t="s">
        <v>71</v>
      </c>
      <c r="K2899" t="s">
        <v>29</v>
      </c>
      <c r="L2899">
        <f t="shared" si="135"/>
        <v>2024</v>
      </c>
      <c r="M2899" t="str">
        <f t="shared" si="136"/>
        <v>Sep</v>
      </c>
      <c r="N2899" s="2">
        <f t="shared" si="137"/>
        <v>0.2251488227073587</v>
      </c>
    </row>
    <row r="2900" spans="1:14" x14ac:dyDescent="0.45">
      <c r="A2900" t="s">
        <v>5419</v>
      </c>
      <c r="B2900" s="1">
        <v>44803</v>
      </c>
      <c r="C2900" t="s">
        <v>5043</v>
      </c>
      <c r="D2900" t="s">
        <v>56</v>
      </c>
      <c r="E2900" t="s">
        <v>36</v>
      </c>
      <c r="F2900" t="s">
        <v>53</v>
      </c>
      <c r="G2900">
        <v>3</v>
      </c>
      <c r="H2900">
        <v>16022.74</v>
      </c>
      <c r="I2900">
        <v>3494.97</v>
      </c>
      <c r="J2900" t="s">
        <v>47</v>
      </c>
      <c r="K2900" t="s">
        <v>29</v>
      </c>
      <c r="L2900">
        <f t="shared" si="135"/>
        <v>2022</v>
      </c>
      <c r="M2900" t="str">
        <f t="shared" si="136"/>
        <v>Aug</v>
      </c>
      <c r="N2900" s="2">
        <f t="shared" si="137"/>
        <v>0.21812561397114349</v>
      </c>
    </row>
    <row r="2901" spans="1:14" x14ac:dyDescent="0.45">
      <c r="A2901" t="s">
        <v>5420</v>
      </c>
      <c r="B2901" s="1">
        <v>44669</v>
      </c>
      <c r="C2901" t="s">
        <v>3267</v>
      </c>
      <c r="D2901" t="s">
        <v>13</v>
      </c>
      <c r="E2901" t="s">
        <v>20</v>
      </c>
      <c r="F2901" t="s">
        <v>27</v>
      </c>
      <c r="G2901">
        <v>4</v>
      </c>
      <c r="H2901">
        <v>13741.37</v>
      </c>
      <c r="I2901">
        <v>1301.25</v>
      </c>
      <c r="J2901" t="s">
        <v>47</v>
      </c>
      <c r="K2901" t="s">
        <v>29</v>
      </c>
      <c r="L2901">
        <f t="shared" si="135"/>
        <v>2022</v>
      </c>
      <c r="M2901" t="str">
        <f t="shared" si="136"/>
        <v>Apr</v>
      </c>
      <c r="N2901" s="2">
        <f t="shared" si="137"/>
        <v>9.4695798162774153E-2</v>
      </c>
    </row>
    <row r="2902" spans="1:14" x14ac:dyDescent="0.45">
      <c r="A2902" t="s">
        <v>5421</v>
      </c>
      <c r="B2902" s="1">
        <v>45406</v>
      </c>
      <c r="C2902" t="s">
        <v>5422</v>
      </c>
      <c r="D2902" t="s">
        <v>13</v>
      </c>
      <c r="E2902" t="s">
        <v>36</v>
      </c>
      <c r="F2902" t="s">
        <v>46</v>
      </c>
      <c r="G2902">
        <v>4</v>
      </c>
      <c r="H2902">
        <v>1392.4</v>
      </c>
      <c r="I2902">
        <v>114.02</v>
      </c>
      <c r="J2902" t="s">
        <v>16</v>
      </c>
      <c r="K2902" t="s">
        <v>17</v>
      </c>
      <c r="L2902">
        <f t="shared" si="135"/>
        <v>2024</v>
      </c>
      <c r="M2902" t="str">
        <f t="shared" si="136"/>
        <v>Apr</v>
      </c>
      <c r="N2902" s="2">
        <f t="shared" si="137"/>
        <v>8.1887388681413376E-2</v>
      </c>
    </row>
    <row r="2903" spans="1:14" x14ac:dyDescent="0.45">
      <c r="A2903" t="s">
        <v>5423</v>
      </c>
      <c r="B2903" s="1">
        <v>45604</v>
      </c>
      <c r="C2903" t="s">
        <v>5424</v>
      </c>
      <c r="D2903" t="s">
        <v>13</v>
      </c>
      <c r="E2903" t="s">
        <v>14</v>
      </c>
      <c r="F2903" t="s">
        <v>40</v>
      </c>
      <c r="G2903">
        <v>2</v>
      </c>
      <c r="H2903">
        <v>21182.48</v>
      </c>
      <c r="I2903">
        <v>5180.62</v>
      </c>
      <c r="J2903" t="s">
        <v>22</v>
      </c>
      <c r="K2903" t="s">
        <v>29</v>
      </c>
      <c r="L2903">
        <f t="shared" si="135"/>
        <v>2024</v>
      </c>
      <c r="M2903" t="str">
        <f t="shared" si="136"/>
        <v>Nov</v>
      </c>
      <c r="N2903" s="2">
        <f t="shared" si="137"/>
        <v>0.24457098507823447</v>
      </c>
    </row>
    <row r="2904" spans="1:14" x14ac:dyDescent="0.45">
      <c r="A2904" t="s">
        <v>5425</v>
      </c>
      <c r="B2904" s="1">
        <v>45520</v>
      </c>
      <c r="C2904" t="s">
        <v>5426</v>
      </c>
      <c r="D2904" t="s">
        <v>13</v>
      </c>
      <c r="E2904" t="s">
        <v>14</v>
      </c>
      <c r="F2904" t="s">
        <v>40</v>
      </c>
      <c r="G2904">
        <v>5</v>
      </c>
      <c r="H2904">
        <v>48070.21</v>
      </c>
      <c r="I2904">
        <v>3960.73</v>
      </c>
      <c r="J2904" t="s">
        <v>71</v>
      </c>
      <c r="K2904" t="s">
        <v>33</v>
      </c>
      <c r="L2904">
        <f t="shared" si="135"/>
        <v>2024</v>
      </c>
      <c r="M2904" t="str">
        <f t="shared" si="136"/>
        <v>Aug</v>
      </c>
      <c r="N2904" s="2">
        <f t="shared" si="137"/>
        <v>8.2394688935205407E-2</v>
      </c>
    </row>
    <row r="2905" spans="1:14" x14ac:dyDescent="0.45">
      <c r="A2905" t="s">
        <v>5427</v>
      </c>
      <c r="B2905" s="1">
        <v>45325</v>
      </c>
      <c r="C2905" t="s">
        <v>5428</v>
      </c>
      <c r="D2905" t="s">
        <v>13</v>
      </c>
      <c r="E2905" t="s">
        <v>36</v>
      </c>
      <c r="F2905" t="s">
        <v>37</v>
      </c>
      <c r="G2905">
        <v>4</v>
      </c>
      <c r="H2905">
        <v>8237.94</v>
      </c>
      <c r="I2905">
        <v>740.37</v>
      </c>
      <c r="J2905" t="s">
        <v>16</v>
      </c>
      <c r="K2905" t="s">
        <v>29</v>
      </c>
      <c r="L2905">
        <f t="shared" si="135"/>
        <v>2024</v>
      </c>
      <c r="M2905" t="str">
        <f t="shared" si="136"/>
        <v>Feb</v>
      </c>
      <c r="N2905" s="2">
        <f t="shared" si="137"/>
        <v>8.9873196454453408E-2</v>
      </c>
    </row>
    <row r="2906" spans="1:14" x14ac:dyDescent="0.45">
      <c r="A2906" t="s">
        <v>5429</v>
      </c>
      <c r="B2906" s="1">
        <v>45578</v>
      </c>
      <c r="C2906" t="s">
        <v>5430</v>
      </c>
      <c r="D2906" t="s">
        <v>56</v>
      </c>
      <c r="E2906" t="s">
        <v>14</v>
      </c>
      <c r="F2906" t="s">
        <v>40</v>
      </c>
      <c r="G2906">
        <v>3</v>
      </c>
      <c r="H2906">
        <v>27864.61</v>
      </c>
      <c r="I2906">
        <v>3604.85</v>
      </c>
      <c r="J2906" t="s">
        <v>47</v>
      </c>
      <c r="K2906" t="s">
        <v>23</v>
      </c>
      <c r="L2906">
        <f t="shared" si="135"/>
        <v>2024</v>
      </c>
      <c r="M2906" t="str">
        <f t="shared" si="136"/>
        <v>Oct</v>
      </c>
      <c r="N2906" s="2">
        <f t="shared" si="137"/>
        <v>0.12937019394852467</v>
      </c>
    </row>
    <row r="2907" spans="1:14" x14ac:dyDescent="0.45">
      <c r="A2907" t="s">
        <v>5431</v>
      </c>
      <c r="B2907" s="1">
        <v>44860</v>
      </c>
      <c r="C2907" t="s">
        <v>2376</v>
      </c>
      <c r="D2907" t="s">
        <v>26</v>
      </c>
      <c r="E2907" t="s">
        <v>14</v>
      </c>
      <c r="F2907" t="s">
        <v>32</v>
      </c>
      <c r="G2907">
        <v>1</v>
      </c>
      <c r="H2907">
        <v>6077.81</v>
      </c>
      <c r="I2907">
        <v>1498.61</v>
      </c>
      <c r="J2907" t="s">
        <v>22</v>
      </c>
      <c r="K2907" t="s">
        <v>17</v>
      </c>
      <c r="L2907">
        <f t="shared" si="135"/>
        <v>2022</v>
      </c>
      <c r="M2907" t="str">
        <f t="shared" si="136"/>
        <v>Oct</v>
      </c>
      <c r="N2907" s="2">
        <f t="shared" si="137"/>
        <v>0.24657072201993807</v>
      </c>
    </row>
    <row r="2908" spans="1:14" x14ac:dyDescent="0.45">
      <c r="A2908" t="s">
        <v>5432</v>
      </c>
      <c r="B2908" s="1">
        <v>45590</v>
      </c>
      <c r="C2908" t="s">
        <v>5433</v>
      </c>
      <c r="D2908" t="s">
        <v>13</v>
      </c>
      <c r="E2908" t="s">
        <v>20</v>
      </c>
      <c r="F2908" t="s">
        <v>43</v>
      </c>
      <c r="G2908">
        <v>5</v>
      </c>
      <c r="H2908">
        <v>42890.04</v>
      </c>
      <c r="I2908">
        <v>5790.98</v>
      </c>
      <c r="J2908" t="s">
        <v>28</v>
      </c>
      <c r="K2908" t="s">
        <v>17</v>
      </c>
      <c r="L2908">
        <f t="shared" si="135"/>
        <v>2024</v>
      </c>
      <c r="M2908" t="str">
        <f t="shared" si="136"/>
        <v>Oct</v>
      </c>
      <c r="N2908" s="2">
        <f t="shared" si="137"/>
        <v>0.13501922590885901</v>
      </c>
    </row>
    <row r="2909" spans="1:14" x14ac:dyDescent="0.45">
      <c r="A2909" t="s">
        <v>5434</v>
      </c>
      <c r="B2909" s="1">
        <v>44831</v>
      </c>
      <c r="C2909" t="s">
        <v>1380</v>
      </c>
      <c r="D2909" t="s">
        <v>56</v>
      </c>
      <c r="E2909" t="s">
        <v>20</v>
      </c>
      <c r="F2909" t="s">
        <v>21</v>
      </c>
      <c r="G2909">
        <v>4</v>
      </c>
      <c r="H2909">
        <v>22674.02</v>
      </c>
      <c r="I2909">
        <v>3679.55</v>
      </c>
      <c r="J2909" t="s">
        <v>16</v>
      </c>
      <c r="K2909" t="s">
        <v>33</v>
      </c>
      <c r="L2909">
        <f t="shared" si="135"/>
        <v>2022</v>
      </c>
      <c r="M2909" t="str">
        <f t="shared" si="136"/>
        <v>Sep</v>
      </c>
      <c r="N2909" s="2">
        <f t="shared" si="137"/>
        <v>0.16228044255054905</v>
      </c>
    </row>
    <row r="2910" spans="1:14" x14ac:dyDescent="0.45">
      <c r="A2910" t="s">
        <v>5435</v>
      </c>
      <c r="B2910" s="1">
        <v>44636</v>
      </c>
      <c r="C2910" t="s">
        <v>5062</v>
      </c>
      <c r="D2910" t="s">
        <v>56</v>
      </c>
      <c r="E2910" t="s">
        <v>36</v>
      </c>
      <c r="F2910" t="s">
        <v>53</v>
      </c>
      <c r="G2910">
        <v>2</v>
      </c>
      <c r="H2910">
        <v>43865.58</v>
      </c>
      <c r="I2910">
        <v>2559.16</v>
      </c>
      <c r="J2910" t="s">
        <v>16</v>
      </c>
      <c r="K2910" t="s">
        <v>17</v>
      </c>
      <c r="L2910">
        <f t="shared" si="135"/>
        <v>2022</v>
      </c>
      <c r="M2910" t="str">
        <f t="shared" si="136"/>
        <v>Mar</v>
      </c>
      <c r="N2910" s="2">
        <f t="shared" si="137"/>
        <v>5.8340958902173404E-2</v>
      </c>
    </row>
    <row r="2911" spans="1:14" x14ac:dyDescent="0.45">
      <c r="A2911" t="s">
        <v>5436</v>
      </c>
      <c r="B2911" s="1">
        <v>45098</v>
      </c>
      <c r="C2911" t="s">
        <v>5437</v>
      </c>
      <c r="D2911" t="s">
        <v>56</v>
      </c>
      <c r="E2911" t="s">
        <v>20</v>
      </c>
      <c r="F2911" t="s">
        <v>43</v>
      </c>
      <c r="G2911">
        <v>5</v>
      </c>
      <c r="H2911">
        <v>19911.84</v>
      </c>
      <c r="I2911">
        <v>3580.1</v>
      </c>
      <c r="J2911" t="s">
        <v>16</v>
      </c>
      <c r="K2911" t="s">
        <v>29</v>
      </c>
      <c r="L2911">
        <f t="shared" si="135"/>
        <v>2023</v>
      </c>
      <c r="M2911" t="str">
        <f t="shared" si="136"/>
        <v>Jun</v>
      </c>
      <c r="N2911" s="2">
        <f t="shared" si="137"/>
        <v>0.17979754758977573</v>
      </c>
    </row>
    <row r="2912" spans="1:14" x14ac:dyDescent="0.45">
      <c r="A2912" t="s">
        <v>5438</v>
      </c>
      <c r="B2912" s="1">
        <v>45242</v>
      </c>
      <c r="C2912" t="s">
        <v>5439</v>
      </c>
      <c r="D2912" t="s">
        <v>56</v>
      </c>
      <c r="E2912" t="s">
        <v>36</v>
      </c>
      <c r="F2912" t="s">
        <v>37</v>
      </c>
      <c r="G2912">
        <v>1</v>
      </c>
      <c r="H2912">
        <v>5675.14</v>
      </c>
      <c r="I2912">
        <v>841.15</v>
      </c>
      <c r="J2912" t="s">
        <v>71</v>
      </c>
      <c r="K2912" t="s">
        <v>23</v>
      </c>
      <c r="L2912">
        <f t="shared" si="135"/>
        <v>2023</v>
      </c>
      <c r="M2912" t="str">
        <f t="shared" si="136"/>
        <v>Nov</v>
      </c>
      <c r="N2912" s="2">
        <f t="shared" si="137"/>
        <v>0.14821660787222868</v>
      </c>
    </row>
    <row r="2913" spans="1:14" x14ac:dyDescent="0.45">
      <c r="A2913" t="s">
        <v>5440</v>
      </c>
      <c r="B2913" s="1">
        <v>45264</v>
      </c>
      <c r="C2913" t="s">
        <v>3528</v>
      </c>
      <c r="D2913" t="s">
        <v>26</v>
      </c>
      <c r="E2913" t="s">
        <v>20</v>
      </c>
      <c r="F2913" t="s">
        <v>21</v>
      </c>
      <c r="G2913">
        <v>3</v>
      </c>
      <c r="H2913">
        <v>21535.87</v>
      </c>
      <c r="I2913">
        <v>3429.63</v>
      </c>
      <c r="J2913" t="s">
        <v>22</v>
      </c>
      <c r="K2913" t="s">
        <v>29</v>
      </c>
      <c r="L2913">
        <f t="shared" si="135"/>
        <v>2023</v>
      </c>
      <c r="M2913" t="str">
        <f t="shared" si="136"/>
        <v>Dec</v>
      </c>
      <c r="N2913" s="2">
        <f t="shared" si="137"/>
        <v>0.15925198285465134</v>
      </c>
    </row>
    <row r="2914" spans="1:14" x14ac:dyDescent="0.45">
      <c r="A2914" t="s">
        <v>5441</v>
      </c>
      <c r="B2914" s="1">
        <v>45226</v>
      </c>
      <c r="C2914" t="s">
        <v>5442</v>
      </c>
      <c r="D2914" t="s">
        <v>26</v>
      </c>
      <c r="E2914" t="s">
        <v>36</v>
      </c>
      <c r="F2914" t="s">
        <v>53</v>
      </c>
      <c r="G2914">
        <v>2</v>
      </c>
      <c r="H2914">
        <v>35839.64</v>
      </c>
      <c r="I2914">
        <v>3538.82</v>
      </c>
      <c r="J2914" t="s">
        <v>47</v>
      </c>
      <c r="K2914" t="s">
        <v>17</v>
      </c>
      <c r="L2914">
        <f t="shared" si="135"/>
        <v>2023</v>
      </c>
      <c r="M2914" t="str">
        <f t="shared" si="136"/>
        <v>Oct</v>
      </c>
      <c r="N2914" s="2">
        <f t="shared" si="137"/>
        <v>9.8740389133372991E-2</v>
      </c>
    </row>
    <row r="2915" spans="1:14" x14ac:dyDescent="0.45">
      <c r="A2915" t="s">
        <v>5443</v>
      </c>
      <c r="B2915" s="1">
        <v>44565</v>
      </c>
      <c r="C2915" t="s">
        <v>5444</v>
      </c>
      <c r="D2915" t="s">
        <v>56</v>
      </c>
      <c r="E2915" t="s">
        <v>14</v>
      </c>
      <c r="F2915" t="s">
        <v>32</v>
      </c>
      <c r="G2915">
        <v>3</v>
      </c>
      <c r="H2915">
        <v>37879.339999999997</v>
      </c>
      <c r="I2915">
        <v>2234.19</v>
      </c>
      <c r="J2915" t="s">
        <v>16</v>
      </c>
      <c r="K2915" t="s">
        <v>33</v>
      </c>
      <c r="L2915">
        <f t="shared" si="135"/>
        <v>2022</v>
      </c>
      <c r="M2915" t="str">
        <f t="shared" si="136"/>
        <v>Jan</v>
      </c>
      <c r="N2915" s="2">
        <f t="shared" si="137"/>
        <v>5.8981756281920442E-2</v>
      </c>
    </row>
    <row r="2916" spans="1:14" x14ac:dyDescent="0.45">
      <c r="A2916" t="s">
        <v>5445</v>
      </c>
      <c r="B2916" s="1">
        <v>45254</v>
      </c>
      <c r="C2916" t="s">
        <v>4869</v>
      </c>
      <c r="D2916" t="s">
        <v>26</v>
      </c>
      <c r="E2916" t="s">
        <v>20</v>
      </c>
      <c r="F2916" t="s">
        <v>27</v>
      </c>
      <c r="G2916">
        <v>5</v>
      </c>
      <c r="H2916">
        <v>7456.1</v>
      </c>
      <c r="I2916">
        <v>563.79999999999995</v>
      </c>
      <c r="J2916" t="s">
        <v>28</v>
      </c>
      <c r="K2916" t="s">
        <v>17</v>
      </c>
      <c r="L2916">
        <f t="shared" si="135"/>
        <v>2023</v>
      </c>
      <c r="M2916" t="str">
        <f t="shared" si="136"/>
        <v>Nov</v>
      </c>
      <c r="N2916" s="2">
        <f t="shared" si="137"/>
        <v>7.5615938627432558E-2</v>
      </c>
    </row>
    <row r="2917" spans="1:14" x14ac:dyDescent="0.45">
      <c r="A2917" t="s">
        <v>5446</v>
      </c>
      <c r="B2917" s="1">
        <v>45303</v>
      </c>
      <c r="C2917" t="s">
        <v>5447</v>
      </c>
      <c r="D2917" t="s">
        <v>26</v>
      </c>
      <c r="E2917" t="s">
        <v>14</v>
      </c>
      <c r="F2917" t="s">
        <v>40</v>
      </c>
      <c r="G2917">
        <v>2</v>
      </c>
      <c r="H2917">
        <v>45775.03</v>
      </c>
      <c r="I2917">
        <v>4365.59</v>
      </c>
      <c r="J2917" t="s">
        <v>47</v>
      </c>
      <c r="K2917" t="s">
        <v>29</v>
      </c>
      <c r="L2917">
        <f t="shared" si="135"/>
        <v>2024</v>
      </c>
      <c r="M2917" t="str">
        <f t="shared" si="136"/>
        <v>Jan</v>
      </c>
      <c r="N2917" s="2">
        <f t="shared" si="137"/>
        <v>9.5370554645185387E-2</v>
      </c>
    </row>
    <row r="2918" spans="1:14" x14ac:dyDescent="0.45">
      <c r="A2918" t="s">
        <v>5448</v>
      </c>
      <c r="B2918" s="1">
        <v>45451</v>
      </c>
      <c r="C2918" t="s">
        <v>5449</v>
      </c>
      <c r="D2918" t="s">
        <v>26</v>
      </c>
      <c r="E2918" t="s">
        <v>20</v>
      </c>
      <c r="F2918" t="s">
        <v>43</v>
      </c>
      <c r="G2918">
        <v>5</v>
      </c>
      <c r="H2918">
        <v>26822.02</v>
      </c>
      <c r="I2918">
        <v>4560.79</v>
      </c>
      <c r="J2918" t="s">
        <v>22</v>
      </c>
      <c r="K2918" t="s">
        <v>29</v>
      </c>
      <c r="L2918">
        <f t="shared" si="135"/>
        <v>2024</v>
      </c>
      <c r="M2918" t="str">
        <f t="shared" si="136"/>
        <v>Jun</v>
      </c>
      <c r="N2918" s="2">
        <f t="shared" si="137"/>
        <v>0.17003902017819686</v>
      </c>
    </row>
    <row r="2919" spans="1:14" x14ac:dyDescent="0.45">
      <c r="A2919" t="s">
        <v>5450</v>
      </c>
      <c r="B2919" s="1">
        <v>44961</v>
      </c>
      <c r="C2919" t="s">
        <v>5451</v>
      </c>
      <c r="D2919" t="s">
        <v>26</v>
      </c>
      <c r="E2919" t="s">
        <v>36</v>
      </c>
      <c r="F2919" t="s">
        <v>46</v>
      </c>
      <c r="G2919">
        <v>2</v>
      </c>
      <c r="H2919">
        <v>46616.6</v>
      </c>
      <c r="I2919">
        <v>3751.6</v>
      </c>
      <c r="J2919" t="s">
        <v>28</v>
      </c>
      <c r="K2919" t="s">
        <v>29</v>
      </c>
      <c r="L2919">
        <f t="shared" si="135"/>
        <v>2023</v>
      </c>
      <c r="M2919" t="str">
        <f t="shared" si="136"/>
        <v>Feb</v>
      </c>
      <c r="N2919" s="2">
        <f t="shared" si="137"/>
        <v>8.0477769721515519E-2</v>
      </c>
    </row>
    <row r="2920" spans="1:14" x14ac:dyDescent="0.45">
      <c r="A2920" t="s">
        <v>5452</v>
      </c>
      <c r="B2920" s="1">
        <v>45555</v>
      </c>
      <c r="C2920" t="s">
        <v>299</v>
      </c>
      <c r="D2920" t="s">
        <v>56</v>
      </c>
      <c r="E2920" t="s">
        <v>36</v>
      </c>
      <c r="F2920" t="s">
        <v>64</v>
      </c>
      <c r="G2920">
        <v>2</v>
      </c>
      <c r="H2920">
        <v>46960.14</v>
      </c>
      <c r="I2920">
        <v>7886.74</v>
      </c>
      <c r="J2920" t="s">
        <v>22</v>
      </c>
      <c r="K2920" t="s">
        <v>17</v>
      </c>
      <c r="L2920">
        <f t="shared" si="135"/>
        <v>2024</v>
      </c>
      <c r="M2920" t="str">
        <f t="shared" si="136"/>
        <v>Sep</v>
      </c>
      <c r="N2920" s="2">
        <f t="shared" si="137"/>
        <v>0.16794541072492544</v>
      </c>
    </row>
    <row r="2921" spans="1:14" x14ac:dyDescent="0.45">
      <c r="A2921" t="s">
        <v>5453</v>
      </c>
      <c r="B2921" s="1">
        <v>44862</v>
      </c>
      <c r="C2921" t="s">
        <v>1581</v>
      </c>
      <c r="D2921" t="s">
        <v>13</v>
      </c>
      <c r="E2921" t="s">
        <v>14</v>
      </c>
      <c r="F2921" t="s">
        <v>57</v>
      </c>
      <c r="G2921">
        <v>4</v>
      </c>
      <c r="H2921">
        <v>35832.559999999998</v>
      </c>
      <c r="I2921">
        <v>3852.45</v>
      </c>
      <c r="J2921" t="s">
        <v>16</v>
      </c>
      <c r="K2921" t="s">
        <v>29</v>
      </c>
      <c r="L2921">
        <f t="shared" si="135"/>
        <v>2022</v>
      </c>
      <c r="M2921" t="str">
        <f t="shared" si="136"/>
        <v>Oct</v>
      </c>
      <c r="N2921" s="2">
        <f t="shared" si="137"/>
        <v>0.10751255282904711</v>
      </c>
    </row>
    <row r="2922" spans="1:14" x14ac:dyDescent="0.45">
      <c r="A2922" t="s">
        <v>5454</v>
      </c>
      <c r="B2922" s="1">
        <v>45288</v>
      </c>
      <c r="C2922" t="s">
        <v>5455</v>
      </c>
      <c r="D2922" t="s">
        <v>13</v>
      </c>
      <c r="E2922" t="s">
        <v>14</v>
      </c>
      <c r="F2922" t="s">
        <v>15</v>
      </c>
      <c r="G2922">
        <v>2</v>
      </c>
      <c r="H2922">
        <v>47511.44</v>
      </c>
      <c r="I2922">
        <v>5031.3</v>
      </c>
      <c r="J2922" t="s">
        <v>22</v>
      </c>
      <c r="K2922" t="s">
        <v>29</v>
      </c>
      <c r="L2922">
        <f t="shared" si="135"/>
        <v>2023</v>
      </c>
      <c r="M2922" t="str">
        <f t="shared" si="136"/>
        <v>Dec</v>
      </c>
      <c r="N2922" s="2">
        <f t="shared" si="137"/>
        <v>0.10589660090285624</v>
      </c>
    </row>
    <row r="2923" spans="1:14" x14ac:dyDescent="0.45">
      <c r="A2923" t="s">
        <v>5456</v>
      </c>
      <c r="B2923" s="1">
        <v>45124</v>
      </c>
      <c r="C2923" t="s">
        <v>5457</v>
      </c>
      <c r="D2923" t="s">
        <v>13</v>
      </c>
      <c r="E2923" t="s">
        <v>14</v>
      </c>
      <c r="F2923" t="s">
        <v>15</v>
      </c>
      <c r="G2923">
        <v>5</v>
      </c>
      <c r="H2923">
        <v>21627.52</v>
      </c>
      <c r="I2923">
        <v>3586.69</v>
      </c>
      <c r="J2923" t="s">
        <v>22</v>
      </c>
      <c r="K2923" t="s">
        <v>23</v>
      </c>
      <c r="L2923">
        <f t="shared" si="135"/>
        <v>2023</v>
      </c>
      <c r="M2923" t="str">
        <f t="shared" si="136"/>
        <v>Jul</v>
      </c>
      <c r="N2923" s="2">
        <f t="shared" si="137"/>
        <v>0.16583917157399461</v>
      </c>
    </row>
    <row r="2924" spans="1:14" x14ac:dyDescent="0.45">
      <c r="A2924" t="s">
        <v>5458</v>
      </c>
      <c r="B2924" s="1">
        <v>45600</v>
      </c>
      <c r="C2924" t="s">
        <v>5459</v>
      </c>
      <c r="D2924" t="s">
        <v>13</v>
      </c>
      <c r="E2924" t="s">
        <v>36</v>
      </c>
      <c r="F2924" t="s">
        <v>53</v>
      </c>
      <c r="G2924">
        <v>5</v>
      </c>
      <c r="H2924">
        <v>16214.51</v>
      </c>
      <c r="I2924">
        <v>1579.25</v>
      </c>
      <c r="J2924" t="s">
        <v>28</v>
      </c>
      <c r="K2924" t="s">
        <v>23</v>
      </c>
      <c r="L2924">
        <f t="shared" si="135"/>
        <v>2024</v>
      </c>
      <c r="M2924" t="str">
        <f t="shared" si="136"/>
        <v>Nov</v>
      </c>
      <c r="N2924" s="2">
        <f t="shared" si="137"/>
        <v>9.7397331155859787E-2</v>
      </c>
    </row>
    <row r="2925" spans="1:14" x14ac:dyDescent="0.45">
      <c r="A2925" t="s">
        <v>5460</v>
      </c>
      <c r="B2925" s="1">
        <v>45470</v>
      </c>
      <c r="C2925" t="s">
        <v>3829</v>
      </c>
      <c r="D2925" t="s">
        <v>56</v>
      </c>
      <c r="E2925" t="s">
        <v>36</v>
      </c>
      <c r="F2925" t="s">
        <v>37</v>
      </c>
      <c r="G2925">
        <v>3</v>
      </c>
      <c r="H2925">
        <v>35018.58</v>
      </c>
      <c r="I2925">
        <v>6286.74</v>
      </c>
      <c r="J2925" t="s">
        <v>28</v>
      </c>
      <c r="K2925" t="s">
        <v>17</v>
      </c>
      <c r="L2925">
        <f t="shared" si="135"/>
        <v>2024</v>
      </c>
      <c r="M2925" t="str">
        <f t="shared" si="136"/>
        <v>Jun</v>
      </c>
      <c r="N2925" s="2">
        <f t="shared" si="137"/>
        <v>0.17952584028250146</v>
      </c>
    </row>
    <row r="2926" spans="1:14" x14ac:dyDescent="0.45">
      <c r="A2926" t="s">
        <v>5461</v>
      </c>
      <c r="B2926" s="1">
        <v>45611</v>
      </c>
      <c r="C2926" t="s">
        <v>5462</v>
      </c>
      <c r="D2926" t="s">
        <v>26</v>
      </c>
      <c r="E2926" t="s">
        <v>20</v>
      </c>
      <c r="F2926" t="s">
        <v>21</v>
      </c>
      <c r="G2926">
        <v>5</v>
      </c>
      <c r="H2926">
        <v>7950.43</v>
      </c>
      <c r="I2926">
        <v>503.78</v>
      </c>
      <c r="J2926" t="s">
        <v>28</v>
      </c>
      <c r="K2926" t="s">
        <v>17</v>
      </c>
      <c r="L2926">
        <f t="shared" si="135"/>
        <v>2024</v>
      </c>
      <c r="M2926" t="str">
        <f t="shared" si="136"/>
        <v>Nov</v>
      </c>
      <c r="N2926" s="2">
        <f t="shared" si="137"/>
        <v>6.3365126162987409E-2</v>
      </c>
    </row>
    <row r="2927" spans="1:14" x14ac:dyDescent="0.45">
      <c r="A2927" t="s">
        <v>5463</v>
      </c>
      <c r="B2927" s="1">
        <v>44977</v>
      </c>
      <c r="C2927" t="s">
        <v>5464</v>
      </c>
      <c r="D2927" t="s">
        <v>56</v>
      </c>
      <c r="E2927" t="s">
        <v>20</v>
      </c>
      <c r="F2927" t="s">
        <v>27</v>
      </c>
      <c r="G2927">
        <v>2</v>
      </c>
      <c r="H2927">
        <v>18105.689999999999</v>
      </c>
      <c r="I2927">
        <v>3799.4</v>
      </c>
      <c r="J2927" t="s">
        <v>71</v>
      </c>
      <c r="K2927" t="s">
        <v>17</v>
      </c>
      <c r="L2927">
        <f t="shared" si="135"/>
        <v>2023</v>
      </c>
      <c r="M2927" t="str">
        <f t="shared" si="136"/>
        <v>Feb</v>
      </c>
      <c r="N2927" s="2">
        <f t="shared" si="137"/>
        <v>0.20984563416252019</v>
      </c>
    </row>
    <row r="2928" spans="1:14" x14ac:dyDescent="0.45">
      <c r="A2928" t="s">
        <v>5465</v>
      </c>
      <c r="B2928" s="1">
        <v>45226</v>
      </c>
      <c r="C2928" t="s">
        <v>5466</v>
      </c>
      <c r="D2928" t="s">
        <v>56</v>
      </c>
      <c r="E2928" t="s">
        <v>20</v>
      </c>
      <c r="F2928" t="s">
        <v>21</v>
      </c>
      <c r="G2928">
        <v>3</v>
      </c>
      <c r="H2928">
        <v>33849.910000000003</v>
      </c>
      <c r="I2928">
        <v>7603.33</v>
      </c>
      <c r="J2928" t="s">
        <v>71</v>
      </c>
      <c r="K2928" t="s">
        <v>17</v>
      </c>
      <c r="L2928">
        <f t="shared" si="135"/>
        <v>2023</v>
      </c>
      <c r="M2928" t="str">
        <f t="shared" si="136"/>
        <v>Oct</v>
      </c>
      <c r="N2928" s="2">
        <f t="shared" si="137"/>
        <v>0.22461891331468825</v>
      </c>
    </row>
    <row r="2929" spans="1:14" x14ac:dyDescent="0.45">
      <c r="A2929" t="s">
        <v>5467</v>
      </c>
      <c r="B2929" s="1">
        <v>44574</v>
      </c>
      <c r="C2929" t="s">
        <v>5002</v>
      </c>
      <c r="D2929" t="s">
        <v>56</v>
      </c>
      <c r="E2929" t="s">
        <v>14</v>
      </c>
      <c r="F2929" t="s">
        <v>40</v>
      </c>
      <c r="G2929">
        <v>5</v>
      </c>
      <c r="H2929">
        <v>9541.61</v>
      </c>
      <c r="I2929">
        <v>1495.5</v>
      </c>
      <c r="J2929" t="s">
        <v>28</v>
      </c>
      <c r="K2929" t="s">
        <v>33</v>
      </c>
      <c r="L2929">
        <f t="shared" si="135"/>
        <v>2022</v>
      </c>
      <c r="M2929" t="str">
        <f t="shared" si="136"/>
        <v>Jan</v>
      </c>
      <c r="N2929" s="2">
        <f t="shared" si="137"/>
        <v>0.15673455527945493</v>
      </c>
    </row>
    <row r="2930" spans="1:14" x14ac:dyDescent="0.45">
      <c r="A2930" t="s">
        <v>5468</v>
      </c>
      <c r="B2930" s="1">
        <v>45509</v>
      </c>
      <c r="C2930" t="s">
        <v>5469</v>
      </c>
      <c r="D2930" t="s">
        <v>56</v>
      </c>
      <c r="E2930" t="s">
        <v>36</v>
      </c>
      <c r="F2930" t="s">
        <v>64</v>
      </c>
      <c r="G2930">
        <v>4</v>
      </c>
      <c r="H2930">
        <v>14990.55</v>
      </c>
      <c r="I2930">
        <v>952</v>
      </c>
      <c r="J2930" t="s">
        <v>47</v>
      </c>
      <c r="K2930" t="s">
        <v>33</v>
      </c>
      <c r="L2930">
        <f t="shared" si="135"/>
        <v>2024</v>
      </c>
      <c r="M2930" t="str">
        <f t="shared" si="136"/>
        <v>Aug</v>
      </c>
      <c r="N2930" s="2">
        <f t="shared" si="137"/>
        <v>6.350667587246632E-2</v>
      </c>
    </row>
    <row r="2931" spans="1:14" x14ac:dyDescent="0.45">
      <c r="A2931" t="s">
        <v>5470</v>
      </c>
      <c r="B2931" s="1">
        <v>45482</v>
      </c>
      <c r="C2931" t="s">
        <v>5471</v>
      </c>
      <c r="D2931" t="s">
        <v>13</v>
      </c>
      <c r="E2931" t="s">
        <v>20</v>
      </c>
      <c r="F2931" t="s">
        <v>21</v>
      </c>
      <c r="G2931">
        <v>3</v>
      </c>
      <c r="H2931">
        <v>22813.34</v>
      </c>
      <c r="I2931">
        <v>1589.35</v>
      </c>
      <c r="J2931" t="s">
        <v>47</v>
      </c>
      <c r="K2931" t="s">
        <v>17</v>
      </c>
      <c r="L2931">
        <f t="shared" si="135"/>
        <v>2024</v>
      </c>
      <c r="M2931" t="str">
        <f t="shared" si="136"/>
        <v>Jul</v>
      </c>
      <c r="N2931" s="2">
        <f t="shared" si="137"/>
        <v>6.9667571692702601E-2</v>
      </c>
    </row>
    <row r="2932" spans="1:14" x14ac:dyDescent="0.45">
      <c r="A2932" t="s">
        <v>5472</v>
      </c>
      <c r="B2932" s="1">
        <v>44785</v>
      </c>
      <c r="C2932" t="s">
        <v>5473</v>
      </c>
      <c r="D2932" t="s">
        <v>13</v>
      </c>
      <c r="E2932" t="s">
        <v>20</v>
      </c>
      <c r="F2932" t="s">
        <v>50</v>
      </c>
      <c r="G2932">
        <v>1</v>
      </c>
      <c r="H2932">
        <v>11614.98</v>
      </c>
      <c r="I2932">
        <v>1878.96</v>
      </c>
      <c r="J2932" t="s">
        <v>22</v>
      </c>
      <c r="K2932" t="s">
        <v>17</v>
      </c>
      <c r="L2932">
        <f t="shared" si="135"/>
        <v>2022</v>
      </c>
      <c r="M2932" t="str">
        <f t="shared" si="136"/>
        <v>Aug</v>
      </c>
      <c r="N2932" s="2">
        <f t="shared" si="137"/>
        <v>0.16177040339285992</v>
      </c>
    </row>
    <row r="2933" spans="1:14" x14ac:dyDescent="0.45">
      <c r="A2933" t="s">
        <v>5474</v>
      </c>
      <c r="B2933" s="1">
        <v>44803</v>
      </c>
      <c r="C2933" t="s">
        <v>1331</v>
      </c>
      <c r="D2933" t="s">
        <v>13</v>
      </c>
      <c r="E2933" t="s">
        <v>20</v>
      </c>
      <c r="F2933" t="s">
        <v>43</v>
      </c>
      <c r="G2933">
        <v>5</v>
      </c>
      <c r="H2933">
        <v>8403.07</v>
      </c>
      <c r="I2933">
        <v>1803.7</v>
      </c>
      <c r="J2933" t="s">
        <v>22</v>
      </c>
      <c r="K2933" t="s">
        <v>17</v>
      </c>
      <c r="L2933">
        <f t="shared" si="135"/>
        <v>2022</v>
      </c>
      <c r="M2933" t="str">
        <f t="shared" si="136"/>
        <v>Aug</v>
      </c>
      <c r="N2933" s="2">
        <f t="shared" si="137"/>
        <v>0.2146477418372095</v>
      </c>
    </row>
    <row r="2934" spans="1:14" x14ac:dyDescent="0.45">
      <c r="A2934" t="s">
        <v>5475</v>
      </c>
      <c r="B2934" s="1">
        <v>44782</v>
      </c>
      <c r="C2934" t="s">
        <v>5476</v>
      </c>
      <c r="D2934" t="s">
        <v>13</v>
      </c>
      <c r="E2934" t="s">
        <v>20</v>
      </c>
      <c r="F2934" t="s">
        <v>21</v>
      </c>
      <c r="G2934">
        <v>2</v>
      </c>
      <c r="H2934">
        <v>7385.15</v>
      </c>
      <c r="I2934">
        <v>1414.62</v>
      </c>
      <c r="J2934" t="s">
        <v>28</v>
      </c>
      <c r="K2934" t="s">
        <v>29</v>
      </c>
      <c r="L2934">
        <f t="shared" si="135"/>
        <v>2022</v>
      </c>
      <c r="M2934" t="str">
        <f t="shared" si="136"/>
        <v>Aug</v>
      </c>
      <c r="N2934" s="2">
        <f t="shared" si="137"/>
        <v>0.19154925763186936</v>
      </c>
    </row>
    <row r="2935" spans="1:14" x14ac:dyDescent="0.45">
      <c r="A2935" t="s">
        <v>5477</v>
      </c>
      <c r="B2935" s="1">
        <v>45090</v>
      </c>
      <c r="C2935" t="s">
        <v>3035</v>
      </c>
      <c r="D2935" t="s">
        <v>56</v>
      </c>
      <c r="E2935" t="s">
        <v>36</v>
      </c>
      <c r="F2935" t="s">
        <v>53</v>
      </c>
      <c r="G2935">
        <v>1</v>
      </c>
      <c r="H2935">
        <v>28522.959999999999</v>
      </c>
      <c r="I2935">
        <v>5207.9399999999996</v>
      </c>
      <c r="J2935" t="s">
        <v>22</v>
      </c>
      <c r="K2935" t="s">
        <v>29</v>
      </c>
      <c r="L2935">
        <f t="shared" si="135"/>
        <v>2023</v>
      </c>
      <c r="M2935" t="str">
        <f t="shared" si="136"/>
        <v>Jun</v>
      </c>
      <c r="N2935" s="2">
        <f t="shared" si="137"/>
        <v>0.18258764167533803</v>
      </c>
    </row>
    <row r="2936" spans="1:14" x14ac:dyDescent="0.45">
      <c r="A2936" t="s">
        <v>5478</v>
      </c>
      <c r="B2936" s="1">
        <v>45339</v>
      </c>
      <c r="C2936" t="s">
        <v>5479</v>
      </c>
      <c r="D2936" t="s">
        <v>13</v>
      </c>
      <c r="E2936" t="s">
        <v>36</v>
      </c>
      <c r="F2936" t="s">
        <v>37</v>
      </c>
      <c r="G2936">
        <v>3</v>
      </c>
      <c r="H2936">
        <v>43347.41</v>
      </c>
      <c r="I2936">
        <v>3205.91</v>
      </c>
      <c r="J2936" t="s">
        <v>71</v>
      </c>
      <c r="K2936" t="s">
        <v>33</v>
      </c>
      <c r="L2936">
        <f t="shared" si="135"/>
        <v>2024</v>
      </c>
      <c r="M2936" t="str">
        <f t="shared" si="136"/>
        <v>Feb</v>
      </c>
      <c r="N2936" s="2">
        <f t="shared" si="137"/>
        <v>7.3958513322941316E-2</v>
      </c>
    </row>
    <row r="2937" spans="1:14" x14ac:dyDescent="0.45">
      <c r="A2937" t="s">
        <v>5480</v>
      </c>
      <c r="B2937" s="1">
        <v>45618</v>
      </c>
      <c r="C2937" t="s">
        <v>5481</v>
      </c>
      <c r="D2937" t="s">
        <v>56</v>
      </c>
      <c r="E2937" t="s">
        <v>14</v>
      </c>
      <c r="F2937" t="s">
        <v>15</v>
      </c>
      <c r="G2937">
        <v>3</v>
      </c>
      <c r="H2937">
        <v>45010.17</v>
      </c>
      <c r="I2937">
        <v>7293.96</v>
      </c>
      <c r="J2937" t="s">
        <v>16</v>
      </c>
      <c r="K2937" t="s">
        <v>23</v>
      </c>
      <c r="L2937">
        <f t="shared" si="135"/>
        <v>2024</v>
      </c>
      <c r="M2937" t="str">
        <f t="shared" si="136"/>
        <v>Nov</v>
      </c>
      <c r="N2937" s="2">
        <f t="shared" si="137"/>
        <v>0.1620513763889361</v>
      </c>
    </row>
    <row r="2938" spans="1:14" x14ac:dyDescent="0.45">
      <c r="A2938" t="s">
        <v>5482</v>
      </c>
      <c r="B2938" s="1">
        <v>45210</v>
      </c>
      <c r="C2938" t="s">
        <v>5483</v>
      </c>
      <c r="D2938" t="s">
        <v>13</v>
      </c>
      <c r="E2938" t="s">
        <v>14</v>
      </c>
      <c r="F2938" t="s">
        <v>32</v>
      </c>
      <c r="G2938">
        <v>3</v>
      </c>
      <c r="H2938">
        <v>18806.189999999999</v>
      </c>
      <c r="I2938">
        <v>2782</v>
      </c>
      <c r="J2938" t="s">
        <v>47</v>
      </c>
      <c r="K2938" t="s">
        <v>23</v>
      </c>
      <c r="L2938">
        <f t="shared" si="135"/>
        <v>2023</v>
      </c>
      <c r="M2938" t="str">
        <f t="shared" si="136"/>
        <v>Oct</v>
      </c>
      <c r="N2938" s="2">
        <f t="shared" si="137"/>
        <v>0.14793001665940844</v>
      </c>
    </row>
    <row r="2939" spans="1:14" x14ac:dyDescent="0.45">
      <c r="A2939" t="s">
        <v>5484</v>
      </c>
      <c r="B2939" s="1">
        <v>45289</v>
      </c>
      <c r="C2939" t="s">
        <v>3031</v>
      </c>
      <c r="D2939" t="s">
        <v>26</v>
      </c>
      <c r="E2939" t="s">
        <v>14</v>
      </c>
      <c r="F2939" t="s">
        <v>15</v>
      </c>
      <c r="G2939">
        <v>2</v>
      </c>
      <c r="H2939">
        <v>31242.89</v>
      </c>
      <c r="I2939">
        <v>4516.75</v>
      </c>
      <c r="J2939" t="s">
        <v>22</v>
      </c>
      <c r="K2939" t="s">
        <v>17</v>
      </c>
      <c r="L2939">
        <f t="shared" si="135"/>
        <v>2023</v>
      </c>
      <c r="M2939" t="str">
        <f t="shared" si="136"/>
        <v>Dec</v>
      </c>
      <c r="N2939" s="2">
        <f t="shared" si="137"/>
        <v>0.14456889231437936</v>
      </c>
    </row>
    <row r="2940" spans="1:14" x14ac:dyDescent="0.45">
      <c r="A2940" t="s">
        <v>5485</v>
      </c>
      <c r="B2940" s="1">
        <v>44700</v>
      </c>
      <c r="C2940" t="s">
        <v>5486</v>
      </c>
      <c r="D2940" t="s">
        <v>26</v>
      </c>
      <c r="E2940" t="s">
        <v>14</v>
      </c>
      <c r="F2940" t="s">
        <v>57</v>
      </c>
      <c r="G2940">
        <v>1</v>
      </c>
      <c r="H2940">
        <v>43455.06</v>
      </c>
      <c r="I2940">
        <v>8902.35</v>
      </c>
      <c r="J2940" t="s">
        <v>16</v>
      </c>
      <c r="K2940" t="s">
        <v>23</v>
      </c>
      <c r="L2940">
        <f t="shared" si="135"/>
        <v>2022</v>
      </c>
      <c r="M2940" t="str">
        <f t="shared" si="136"/>
        <v>May</v>
      </c>
      <c r="N2940" s="2">
        <f t="shared" si="137"/>
        <v>0.20486336919106776</v>
      </c>
    </row>
    <row r="2941" spans="1:14" x14ac:dyDescent="0.45">
      <c r="A2941" t="s">
        <v>5487</v>
      </c>
      <c r="B2941" s="1">
        <v>44834</v>
      </c>
      <c r="C2941" t="s">
        <v>1846</v>
      </c>
      <c r="D2941" t="s">
        <v>56</v>
      </c>
      <c r="E2941" t="s">
        <v>14</v>
      </c>
      <c r="F2941" t="s">
        <v>15</v>
      </c>
      <c r="G2941">
        <v>5</v>
      </c>
      <c r="H2941">
        <v>9390.61</v>
      </c>
      <c r="I2941">
        <v>2325.67</v>
      </c>
      <c r="J2941" t="s">
        <v>47</v>
      </c>
      <c r="K2941" t="s">
        <v>29</v>
      </c>
      <c r="L2941">
        <f t="shared" si="135"/>
        <v>2022</v>
      </c>
      <c r="M2941" t="str">
        <f t="shared" si="136"/>
        <v>Sep</v>
      </c>
      <c r="N2941" s="2">
        <f t="shared" si="137"/>
        <v>0.24765909775829259</v>
      </c>
    </row>
    <row r="2942" spans="1:14" x14ac:dyDescent="0.45">
      <c r="A2942" t="s">
        <v>5488</v>
      </c>
      <c r="B2942" s="1">
        <v>45386</v>
      </c>
      <c r="C2942" t="s">
        <v>5489</v>
      </c>
      <c r="D2942" t="s">
        <v>13</v>
      </c>
      <c r="E2942" t="s">
        <v>36</v>
      </c>
      <c r="F2942" t="s">
        <v>64</v>
      </c>
      <c r="G2942">
        <v>5</v>
      </c>
      <c r="H2942">
        <v>27842.26</v>
      </c>
      <c r="I2942">
        <v>4723.7</v>
      </c>
      <c r="J2942" t="s">
        <v>22</v>
      </c>
      <c r="K2942" t="s">
        <v>29</v>
      </c>
      <c r="L2942">
        <f t="shared" si="135"/>
        <v>2024</v>
      </c>
      <c r="M2942" t="str">
        <f t="shared" si="136"/>
        <v>Apr</v>
      </c>
      <c r="N2942" s="2">
        <f t="shared" si="137"/>
        <v>0.16965935954911707</v>
      </c>
    </row>
    <row r="2943" spans="1:14" x14ac:dyDescent="0.45">
      <c r="A2943" t="s">
        <v>5490</v>
      </c>
      <c r="B2943" s="1">
        <v>45150</v>
      </c>
      <c r="C2943" t="s">
        <v>115</v>
      </c>
      <c r="D2943" t="s">
        <v>13</v>
      </c>
      <c r="E2943" t="s">
        <v>14</v>
      </c>
      <c r="F2943" t="s">
        <v>32</v>
      </c>
      <c r="G2943">
        <v>3</v>
      </c>
      <c r="H2943">
        <v>19175.27</v>
      </c>
      <c r="I2943">
        <v>3330.15</v>
      </c>
      <c r="J2943" t="s">
        <v>16</v>
      </c>
      <c r="K2943" t="s">
        <v>17</v>
      </c>
      <c r="L2943">
        <f t="shared" si="135"/>
        <v>2023</v>
      </c>
      <c r="M2943" t="str">
        <f t="shared" si="136"/>
        <v>Aug</v>
      </c>
      <c r="N2943" s="2">
        <f t="shared" si="137"/>
        <v>0.17366900179241282</v>
      </c>
    </row>
    <row r="2944" spans="1:14" x14ac:dyDescent="0.45">
      <c r="A2944" t="s">
        <v>5491</v>
      </c>
      <c r="B2944" s="1">
        <v>44741</v>
      </c>
      <c r="C2944" t="s">
        <v>5492</v>
      </c>
      <c r="D2944" t="s">
        <v>26</v>
      </c>
      <c r="E2944" t="s">
        <v>20</v>
      </c>
      <c r="F2944" t="s">
        <v>21</v>
      </c>
      <c r="G2944">
        <v>2</v>
      </c>
      <c r="H2944">
        <v>40661.480000000003</v>
      </c>
      <c r="I2944">
        <v>7194.93</v>
      </c>
      <c r="J2944" t="s">
        <v>28</v>
      </c>
      <c r="K2944" t="s">
        <v>33</v>
      </c>
      <c r="L2944">
        <f t="shared" si="135"/>
        <v>2022</v>
      </c>
      <c r="M2944" t="str">
        <f t="shared" si="136"/>
        <v>Jun</v>
      </c>
      <c r="N2944" s="2">
        <f t="shared" si="137"/>
        <v>0.17694707620086628</v>
      </c>
    </row>
    <row r="2945" spans="1:14" x14ac:dyDescent="0.45">
      <c r="A2945" t="s">
        <v>5493</v>
      </c>
      <c r="B2945" s="1">
        <v>45070</v>
      </c>
      <c r="C2945" t="s">
        <v>5494</v>
      </c>
      <c r="D2945" t="s">
        <v>13</v>
      </c>
      <c r="E2945" t="s">
        <v>14</v>
      </c>
      <c r="F2945" t="s">
        <v>57</v>
      </c>
      <c r="G2945">
        <v>1</v>
      </c>
      <c r="H2945">
        <v>2432.5300000000002</v>
      </c>
      <c r="I2945">
        <v>511.14</v>
      </c>
      <c r="J2945" t="s">
        <v>47</v>
      </c>
      <c r="K2945" t="s">
        <v>29</v>
      </c>
      <c r="L2945">
        <f t="shared" si="135"/>
        <v>2023</v>
      </c>
      <c r="M2945" t="str">
        <f t="shared" si="136"/>
        <v>May</v>
      </c>
      <c r="N2945" s="2">
        <f t="shared" si="137"/>
        <v>0.21012690490970304</v>
      </c>
    </row>
    <row r="2946" spans="1:14" x14ac:dyDescent="0.45">
      <c r="A2946" t="s">
        <v>5495</v>
      </c>
      <c r="B2946" s="1">
        <v>44608</v>
      </c>
      <c r="C2946" t="s">
        <v>5496</v>
      </c>
      <c r="D2946" t="s">
        <v>26</v>
      </c>
      <c r="E2946" t="s">
        <v>14</v>
      </c>
      <c r="F2946" t="s">
        <v>32</v>
      </c>
      <c r="G2946">
        <v>5</v>
      </c>
      <c r="H2946">
        <v>6082.38</v>
      </c>
      <c r="I2946">
        <v>952.36</v>
      </c>
      <c r="J2946" t="s">
        <v>71</v>
      </c>
      <c r="K2946" t="s">
        <v>29</v>
      </c>
      <c r="L2946">
        <f t="shared" si="135"/>
        <v>2022</v>
      </c>
      <c r="M2946" t="str">
        <f t="shared" si="136"/>
        <v>Feb</v>
      </c>
      <c r="N2946" s="2">
        <f t="shared" si="137"/>
        <v>0.15657686629247103</v>
      </c>
    </row>
    <row r="2947" spans="1:14" x14ac:dyDescent="0.45">
      <c r="A2947" t="s">
        <v>5497</v>
      </c>
      <c r="B2947" s="1">
        <v>45063</v>
      </c>
      <c r="C2947" t="s">
        <v>5498</v>
      </c>
      <c r="D2947" t="s">
        <v>56</v>
      </c>
      <c r="E2947" t="s">
        <v>14</v>
      </c>
      <c r="F2947" t="s">
        <v>15</v>
      </c>
      <c r="G2947">
        <v>1</v>
      </c>
      <c r="H2947">
        <v>29987.94</v>
      </c>
      <c r="I2947">
        <v>6257.95</v>
      </c>
      <c r="J2947" t="s">
        <v>28</v>
      </c>
      <c r="K2947" t="s">
        <v>17</v>
      </c>
      <c r="L2947">
        <f t="shared" ref="L2947:L3010" si="138">YEAR(B2947 )</f>
        <v>2023</v>
      </c>
      <c r="M2947" t="str">
        <f t="shared" ref="M2947:M3010" si="139">TEXT(B2947,"MMM")</f>
        <v>May</v>
      </c>
      <c r="N2947" s="2">
        <f t="shared" ref="N2947:N3010" si="140">I2947 / H2947</f>
        <v>0.20868222358721539</v>
      </c>
    </row>
    <row r="2948" spans="1:14" x14ac:dyDescent="0.45">
      <c r="A2948" t="s">
        <v>5499</v>
      </c>
      <c r="B2948" s="1">
        <v>44566</v>
      </c>
      <c r="C2948" t="s">
        <v>4336</v>
      </c>
      <c r="D2948" t="s">
        <v>13</v>
      </c>
      <c r="E2948" t="s">
        <v>20</v>
      </c>
      <c r="F2948" t="s">
        <v>43</v>
      </c>
      <c r="G2948">
        <v>2</v>
      </c>
      <c r="H2948">
        <v>28481.66</v>
      </c>
      <c r="I2948">
        <v>2030.83</v>
      </c>
      <c r="J2948" t="s">
        <v>16</v>
      </c>
      <c r="K2948" t="s">
        <v>33</v>
      </c>
      <c r="L2948">
        <f t="shared" si="138"/>
        <v>2022</v>
      </c>
      <c r="M2948" t="str">
        <f t="shared" si="139"/>
        <v>Jan</v>
      </c>
      <c r="N2948" s="2">
        <f t="shared" si="140"/>
        <v>7.130307713806007E-2</v>
      </c>
    </row>
    <row r="2949" spans="1:14" x14ac:dyDescent="0.45">
      <c r="A2949" t="s">
        <v>5500</v>
      </c>
      <c r="B2949" s="1">
        <v>45122</v>
      </c>
      <c r="C2949" t="s">
        <v>4348</v>
      </c>
      <c r="D2949" t="s">
        <v>13</v>
      </c>
      <c r="E2949" t="s">
        <v>14</v>
      </c>
      <c r="F2949" t="s">
        <v>15</v>
      </c>
      <c r="G2949">
        <v>5</v>
      </c>
      <c r="H2949">
        <v>39007.440000000002</v>
      </c>
      <c r="I2949">
        <v>7331.14</v>
      </c>
      <c r="J2949" t="s">
        <v>71</v>
      </c>
      <c r="K2949" t="s">
        <v>33</v>
      </c>
      <c r="L2949">
        <f t="shared" si="138"/>
        <v>2023</v>
      </c>
      <c r="M2949" t="str">
        <f t="shared" si="139"/>
        <v>Jul</v>
      </c>
      <c r="N2949" s="2">
        <f t="shared" si="140"/>
        <v>0.18794209514902799</v>
      </c>
    </row>
    <row r="2950" spans="1:14" x14ac:dyDescent="0.45">
      <c r="A2950" t="s">
        <v>5501</v>
      </c>
      <c r="B2950" s="1">
        <v>44785</v>
      </c>
      <c r="C2950" t="s">
        <v>158</v>
      </c>
      <c r="D2950" t="s">
        <v>26</v>
      </c>
      <c r="E2950" t="s">
        <v>14</v>
      </c>
      <c r="F2950" t="s">
        <v>32</v>
      </c>
      <c r="G2950">
        <v>3</v>
      </c>
      <c r="H2950">
        <v>5470.04</v>
      </c>
      <c r="I2950">
        <v>881.1</v>
      </c>
      <c r="J2950" t="s">
        <v>47</v>
      </c>
      <c r="K2950" t="s">
        <v>23</v>
      </c>
      <c r="L2950">
        <f t="shared" si="138"/>
        <v>2022</v>
      </c>
      <c r="M2950" t="str">
        <f t="shared" si="139"/>
        <v>Aug</v>
      </c>
      <c r="N2950" s="2">
        <f t="shared" si="140"/>
        <v>0.16107743270615937</v>
      </c>
    </row>
    <row r="2951" spans="1:14" x14ac:dyDescent="0.45">
      <c r="A2951" t="s">
        <v>5502</v>
      </c>
      <c r="B2951" s="1">
        <v>44835</v>
      </c>
      <c r="C2951" t="s">
        <v>5503</v>
      </c>
      <c r="D2951" t="s">
        <v>26</v>
      </c>
      <c r="E2951" t="s">
        <v>20</v>
      </c>
      <c r="F2951" t="s">
        <v>43</v>
      </c>
      <c r="G2951">
        <v>5</v>
      </c>
      <c r="H2951">
        <v>36113.56</v>
      </c>
      <c r="I2951">
        <v>3404.59</v>
      </c>
      <c r="J2951" t="s">
        <v>16</v>
      </c>
      <c r="K2951" t="s">
        <v>23</v>
      </c>
      <c r="L2951">
        <f t="shared" si="138"/>
        <v>2022</v>
      </c>
      <c r="M2951" t="str">
        <f t="shared" si="139"/>
        <v>Oct</v>
      </c>
      <c r="N2951" s="2">
        <f t="shared" si="140"/>
        <v>9.4274560580568642E-2</v>
      </c>
    </row>
    <row r="2952" spans="1:14" x14ac:dyDescent="0.45">
      <c r="A2952" t="s">
        <v>5504</v>
      </c>
      <c r="B2952" s="1">
        <v>45236</v>
      </c>
      <c r="C2952" t="s">
        <v>257</v>
      </c>
      <c r="D2952" t="s">
        <v>26</v>
      </c>
      <c r="E2952" t="s">
        <v>36</v>
      </c>
      <c r="F2952" t="s">
        <v>64</v>
      </c>
      <c r="G2952">
        <v>1</v>
      </c>
      <c r="H2952">
        <v>34883.760000000002</v>
      </c>
      <c r="I2952">
        <v>6012.72</v>
      </c>
      <c r="J2952" t="s">
        <v>71</v>
      </c>
      <c r="K2952" t="s">
        <v>29</v>
      </c>
      <c r="L2952">
        <f t="shared" si="138"/>
        <v>2023</v>
      </c>
      <c r="M2952" t="str">
        <f t="shared" si="139"/>
        <v>Nov</v>
      </c>
      <c r="N2952" s="2">
        <f t="shared" si="140"/>
        <v>0.17236444695181941</v>
      </c>
    </row>
    <row r="2953" spans="1:14" x14ac:dyDescent="0.45">
      <c r="A2953" t="s">
        <v>5505</v>
      </c>
      <c r="B2953" s="1">
        <v>45060</v>
      </c>
      <c r="C2953" t="s">
        <v>5506</v>
      </c>
      <c r="D2953" t="s">
        <v>13</v>
      </c>
      <c r="E2953" t="s">
        <v>14</v>
      </c>
      <c r="F2953" t="s">
        <v>40</v>
      </c>
      <c r="G2953">
        <v>1</v>
      </c>
      <c r="H2953">
        <v>41646.71</v>
      </c>
      <c r="I2953">
        <v>3860.96</v>
      </c>
      <c r="J2953" t="s">
        <v>47</v>
      </c>
      <c r="K2953" t="s">
        <v>33</v>
      </c>
      <c r="L2953">
        <f t="shared" si="138"/>
        <v>2023</v>
      </c>
      <c r="M2953" t="str">
        <f t="shared" si="139"/>
        <v>May</v>
      </c>
      <c r="N2953" s="2">
        <f t="shared" si="140"/>
        <v>9.2707443156974462E-2</v>
      </c>
    </row>
    <row r="2954" spans="1:14" x14ac:dyDescent="0.45">
      <c r="A2954" t="s">
        <v>5507</v>
      </c>
      <c r="B2954" s="1">
        <v>45185</v>
      </c>
      <c r="C2954" t="s">
        <v>4134</v>
      </c>
      <c r="D2954" t="s">
        <v>26</v>
      </c>
      <c r="E2954" t="s">
        <v>20</v>
      </c>
      <c r="F2954" t="s">
        <v>43</v>
      </c>
      <c r="G2954">
        <v>1</v>
      </c>
      <c r="H2954">
        <v>21104.86</v>
      </c>
      <c r="I2954">
        <v>2554.6999999999998</v>
      </c>
      <c r="J2954" t="s">
        <v>47</v>
      </c>
      <c r="K2954" t="s">
        <v>33</v>
      </c>
      <c r="L2954">
        <f t="shared" si="138"/>
        <v>2023</v>
      </c>
      <c r="M2954" t="str">
        <f t="shared" si="139"/>
        <v>Sep</v>
      </c>
      <c r="N2954" s="2">
        <f t="shared" si="140"/>
        <v>0.1210479481977137</v>
      </c>
    </row>
    <row r="2955" spans="1:14" x14ac:dyDescent="0.45">
      <c r="A2955" t="s">
        <v>5508</v>
      </c>
      <c r="B2955" s="1">
        <v>44703</v>
      </c>
      <c r="C2955" t="s">
        <v>5509</v>
      </c>
      <c r="D2955" t="s">
        <v>56</v>
      </c>
      <c r="E2955" t="s">
        <v>36</v>
      </c>
      <c r="F2955" t="s">
        <v>53</v>
      </c>
      <c r="G2955">
        <v>4</v>
      </c>
      <c r="H2955">
        <v>25222.76</v>
      </c>
      <c r="I2955">
        <v>1461.03</v>
      </c>
      <c r="J2955" t="s">
        <v>71</v>
      </c>
      <c r="K2955" t="s">
        <v>23</v>
      </c>
      <c r="L2955">
        <f t="shared" si="138"/>
        <v>2022</v>
      </c>
      <c r="M2955" t="str">
        <f t="shared" si="139"/>
        <v>May</v>
      </c>
      <c r="N2955" s="2">
        <f t="shared" si="140"/>
        <v>5.7925064505232576E-2</v>
      </c>
    </row>
    <row r="2956" spans="1:14" x14ac:dyDescent="0.45">
      <c r="A2956" t="s">
        <v>5510</v>
      </c>
      <c r="B2956" s="1">
        <v>45573</v>
      </c>
      <c r="C2956" t="s">
        <v>5312</v>
      </c>
      <c r="D2956" t="s">
        <v>56</v>
      </c>
      <c r="E2956" t="s">
        <v>20</v>
      </c>
      <c r="F2956" t="s">
        <v>50</v>
      </c>
      <c r="G2956">
        <v>1</v>
      </c>
      <c r="H2956">
        <v>27707.48</v>
      </c>
      <c r="I2956">
        <v>6349.16</v>
      </c>
      <c r="J2956" t="s">
        <v>22</v>
      </c>
      <c r="K2956" t="s">
        <v>17</v>
      </c>
      <c r="L2956">
        <f t="shared" si="138"/>
        <v>2024</v>
      </c>
      <c r="M2956" t="str">
        <f t="shared" si="139"/>
        <v>Oct</v>
      </c>
      <c r="N2956" s="2">
        <f t="shared" si="140"/>
        <v>0.22914967366213024</v>
      </c>
    </row>
    <row r="2957" spans="1:14" x14ac:dyDescent="0.45">
      <c r="A2957" t="s">
        <v>5511</v>
      </c>
      <c r="B2957" s="1">
        <v>45059</v>
      </c>
      <c r="C2957" t="s">
        <v>5512</v>
      </c>
      <c r="D2957" t="s">
        <v>56</v>
      </c>
      <c r="E2957" t="s">
        <v>36</v>
      </c>
      <c r="F2957" t="s">
        <v>46</v>
      </c>
      <c r="G2957">
        <v>2</v>
      </c>
      <c r="H2957">
        <v>36159.21</v>
      </c>
      <c r="I2957">
        <v>5091.78</v>
      </c>
      <c r="J2957" t="s">
        <v>71</v>
      </c>
      <c r="K2957" t="s">
        <v>17</v>
      </c>
      <c r="L2957">
        <f t="shared" si="138"/>
        <v>2023</v>
      </c>
      <c r="M2957" t="str">
        <f t="shared" si="139"/>
        <v>May</v>
      </c>
      <c r="N2957" s="2">
        <f t="shared" si="140"/>
        <v>0.1408155764464987</v>
      </c>
    </row>
    <row r="2958" spans="1:14" x14ac:dyDescent="0.45">
      <c r="A2958" t="s">
        <v>5513</v>
      </c>
      <c r="B2958" s="1">
        <v>44764</v>
      </c>
      <c r="C2958" t="s">
        <v>5514</v>
      </c>
      <c r="D2958" t="s">
        <v>26</v>
      </c>
      <c r="E2958" t="s">
        <v>14</v>
      </c>
      <c r="F2958" t="s">
        <v>15</v>
      </c>
      <c r="G2958">
        <v>5</v>
      </c>
      <c r="H2958">
        <v>44867.73</v>
      </c>
      <c r="I2958">
        <v>10564.51</v>
      </c>
      <c r="J2958" t="s">
        <v>16</v>
      </c>
      <c r="K2958" t="s">
        <v>33</v>
      </c>
      <c r="L2958">
        <f t="shared" si="138"/>
        <v>2022</v>
      </c>
      <c r="M2958" t="str">
        <f t="shared" si="139"/>
        <v>Jul</v>
      </c>
      <c r="N2958" s="2">
        <f t="shared" si="140"/>
        <v>0.23545898132131934</v>
      </c>
    </row>
    <row r="2959" spans="1:14" x14ac:dyDescent="0.45">
      <c r="A2959" t="s">
        <v>5515</v>
      </c>
      <c r="B2959" s="1">
        <v>44600</v>
      </c>
      <c r="C2959" t="s">
        <v>5516</v>
      </c>
      <c r="D2959" t="s">
        <v>13</v>
      </c>
      <c r="E2959" t="s">
        <v>20</v>
      </c>
      <c r="F2959" t="s">
        <v>27</v>
      </c>
      <c r="G2959">
        <v>5</v>
      </c>
      <c r="H2959">
        <v>42863.519999999997</v>
      </c>
      <c r="I2959">
        <v>5133.07</v>
      </c>
      <c r="J2959" t="s">
        <v>47</v>
      </c>
      <c r="K2959" t="s">
        <v>17</v>
      </c>
      <c r="L2959">
        <f t="shared" si="138"/>
        <v>2022</v>
      </c>
      <c r="M2959" t="str">
        <f t="shared" si="139"/>
        <v>Feb</v>
      </c>
      <c r="N2959" s="2">
        <f t="shared" si="140"/>
        <v>0.11975381396581522</v>
      </c>
    </row>
    <row r="2960" spans="1:14" x14ac:dyDescent="0.45">
      <c r="A2960" t="s">
        <v>5517</v>
      </c>
      <c r="B2960" s="1">
        <v>44764</v>
      </c>
      <c r="C2960" t="s">
        <v>5518</v>
      </c>
      <c r="D2960" t="s">
        <v>56</v>
      </c>
      <c r="E2960" t="s">
        <v>36</v>
      </c>
      <c r="F2960" t="s">
        <v>46</v>
      </c>
      <c r="G2960">
        <v>2</v>
      </c>
      <c r="H2960">
        <v>10203.120000000001</v>
      </c>
      <c r="I2960">
        <v>1143.19</v>
      </c>
      <c r="J2960" t="s">
        <v>71</v>
      </c>
      <c r="K2960" t="s">
        <v>17</v>
      </c>
      <c r="L2960">
        <f t="shared" si="138"/>
        <v>2022</v>
      </c>
      <c r="M2960" t="str">
        <f t="shared" si="139"/>
        <v>Jul</v>
      </c>
      <c r="N2960" s="2">
        <f t="shared" si="140"/>
        <v>0.11204317894918417</v>
      </c>
    </row>
    <row r="2961" spans="1:14" x14ac:dyDescent="0.45">
      <c r="A2961" t="s">
        <v>5519</v>
      </c>
      <c r="B2961" s="1">
        <v>45508</v>
      </c>
      <c r="C2961" t="s">
        <v>1392</v>
      </c>
      <c r="D2961" t="s">
        <v>26</v>
      </c>
      <c r="E2961" t="s">
        <v>36</v>
      </c>
      <c r="F2961" t="s">
        <v>37</v>
      </c>
      <c r="G2961">
        <v>2</v>
      </c>
      <c r="H2961">
        <v>1200.72</v>
      </c>
      <c r="I2961">
        <v>74.84</v>
      </c>
      <c r="J2961" t="s">
        <v>22</v>
      </c>
      <c r="K2961" t="s">
        <v>29</v>
      </c>
      <c r="L2961">
        <f t="shared" si="138"/>
        <v>2024</v>
      </c>
      <c r="M2961" t="str">
        <f t="shared" si="139"/>
        <v>Aug</v>
      </c>
      <c r="N2961" s="2">
        <f t="shared" si="140"/>
        <v>6.2329269105203547E-2</v>
      </c>
    </row>
    <row r="2962" spans="1:14" x14ac:dyDescent="0.45">
      <c r="A2962" t="s">
        <v>5520</v>
      </c>
      <c r="B2962" s="1">
        <v>45251</v>
      </c>
      <c r="C2962" t="s">
        <v>2001</v>
      </c>
      <c r="D2962" t="s">
        <v>56</v>
      </c>
      <c r="E2962" t="s">
        <v>14</v>
      </c>
      <c r="F2962" t="s">
        <v>57</v>
      </c>
      <c r="G2962">
        <v>1</v>
      </c>
      <c r="H2962">
        <v>33402.910000000003</v>
      </c>
      <c r="I2962">
        <v>5272.22</v>
      </c>
      <c r="J2962" t="s">
        <v>22</v>
      </c>
      <c r="K2962" t="s">
        <v>17</v>
      </c>
      <c r="L2962">
        <f t="shared" si="138"/>
        <v>2023</v>
      </c>
      <c r="M2962" t="str">
        <f t="shared" si="139"/>
        <v>Nov</v>
      </c>
      <c r="N2962" s="2">
        <f t="shared" si="140"/>
        <v>0.15783714652406031</v>
      </c>
    </row>
    <row r="2963" spans="1:14" x14ac:dyDescent="0.45">
      <c r="A2963" t="s">
        <v>5521</v>
      </c>
      <c r="B2963" s="1">
        <v>45575</v>
      </c>
      <c r="C2963" t="s">
        <v>5522</v>
      </c>
      <c r="D2963" t="s">
        <v>56</v>
      </c>
      <c r="E2963" t="s">
        <v>20</v>
      </c>
      <c r="F2963" t="s">
        <v>43</v>
      </c>
      <c r="G2963">
        <v>3</v>
      </c>
      <c r="H2963">
        <v>20540.48</v>
      </c>
      <c r="I2963">
        <v>5116.8500000000004</v>
      </c>
      <c r="J2963" t="s">
        <v>71</v>
      </c>
      <c r="K2963" t="s">
        <v>29</v>
      </c>
      <c r="L2963">
        <f t="shared" si="138"/>
        <v>2024</v>
      </c>
      <c r="M2963" t="str">
        <f t="shared" si="139"/>
        <v>Oct</v>
      </c>
      <c r="N2963" s="2">
        <f t="shared" si="140"/>
        <v>0.24911053685210863</v>
      </c>
    </row>
    <row r="2964" spans="1:14" x14ac:dyDescent="0.45">
      <c r="A2964" t="s">
        <v>5523</v>
      </c>
      <c r="B2964" s="1">
        <v>45586</v>
      </c>
      <c r="C2964" t="s">
        <v>5524</v>
      </c>
      <c r="D2964" t="s">
        <v>56</v>
      </c>
      <c r="E2964" t="s">
        <v>14</v>
      </c>
      <c r="F2964" t="s">
        <v>57</v>
      </c>
      <c r="G2964">
        <v>3</v>
      </c>
      <c r="H2964">
        <v>18081.79</v>
      </c>
      <c r="I2964">
        <v>3071.11</v>
      </c>
      <c r="J2964" t="s">
        <v>28</v>
      </c>
      <c r="K2964" t="s">
        <v>23</v>
      </c>
      <c r="L2964">
        <f t="shared" si="138"/>
        <v>2024</v>
      </c>
      <c r="M2964" t="str">
        <f t="shared" si="139"/>
        <v>Oct</v>
      </c>
      <c r="N2964" s="2">
        <f t="shared" si="140"/>
        <v>0.16984546330866579</v>
      </c>
    </row>
    <row r="2965" spans="1:14" x14ac:dyDescent="0.45">
      <c r="A2965" t="s">
        <v>5525</v>
      </c>
      <c r="B2965" s="1">
        <v>44867</v>
      </c>
      <c r="C2965" t="s">
        <v>5526</v>
      </c>
      <c r="D2965" t="s">
        <v>26</v>
      </c>
      <c r="E2965" t="s">
        <v>20</v>
      </c>
      <c r="F2965" t="s">
        <v>50</v>
      </c>
      <c r="G2965">
        <v>2</v>
      </c>
      <c r="H2965">
        <v>7064.62</v>
      </c>
      <c r="I2965">
        <v>1620.21</v>
      </c>
      <c r="J2965" t="s">
        <v>71</v>
      </c>
      <c r="K2965" t="s">
        <v>29</v>
      </c>
      <c r="L2965">
        <f t="shared" si="138"/>
        <v>2022</v>
      </c>
      <c r="M2965" t="str">
        <f t="shared" si="139"/>
        <v>Nov</v>
      </c>
      <c r="N2965" s="2">
        <f t="shared" si="140"/>
        <v>0.22934142246858288</v>
      </c>
    </row>
    <row r="2966" spans="1:14" x14ac:dyDescent="0.45">
      <c r="A2966" t="s">
        <v>5527</v>
      </c>
      <c r="B2966" s="1">
        <v>45644</v>
      </c>
      <c r="C2966" t="s">
        <v>5528</v>
      </c>
      <c r="D2966" t="s">
        <v>56</v>
      </c>
      <c r="E2966" t="s">
        <v>14</v>
      </c>
      <c r="F2966" t="s">
        <v>15</v>
      </c>
      <c r="G2966">
        <v>5</v>
      </c>
      <c r="H2966">
        <v>45190.99</v>
      </c>
      <c r="I2966">
        <v>2331.23</v>
      </c>
      <c r="J2966" t="s">
        <v>47</v>
      </c>
      <c r="K2966" t="s">
        <v>23</v>
      </c>
      <c r="L2966">
        <f t="shared" si="138"/>
        <v>2024</v>
      </c>
      <c r="M2966" t="str">
        <f t="shared" si="139"/>
        <v>Dec</v>
      </c>
      <c r="N2966" s="2">
        <f t="shared" si="140"/>
        <v>5.1586167950735312E-2</v>
      </c>
    </row>
    <row r="2967" spans="1:14" x14ac:dyDescent="0.45">
      <c r="A2967" t="s">
        <v>5529</v>
      </c>
      <c r="B2967" s="1">
        <v>45433</v>
      </c>
      <c r="C2967" t="s">
        <v>5530</v>
      </c>
      <c r="D2967" t="s">
        <v>26</v>
      </c>
      <c r="E2967" t="s">
        <v>14</v>
      </c>
      <c r="F2967" t="s">
        <v>40</v>
      </c>
      <c r="G2967">
        <v>4</v>
      </c>
      <c r="H2967">
        <v>44981.91</v>
      </c>
      <c r="I2967">
        <v>8788.91</v>
      </c>
      <c r="J2967" t="s">
        <v>22</v>
      </c>
      <c r="K2967" t="s">
        <v>23</v>
      </c>
      <c r="L2967">
        <f t="shared" si="138"/>
        <v>2024</v>
      </c>
      <c r="M2967" t="str">
        <f t="shared" si="139"/>
        <v>May</v>
      </c>
      <c r="N2967" s="2">
        <f t="shared" si="140"/>
        <v>0.19538765694920468</v>
      </c>
    </row>
    <row r="2968" spans="1:14" x14ac:dyDescent="0.45">
      <c r="A2968" t="s">
        <v>5531</v>
      </c>
      <c r="B2968" s="1">
        <v>44907</v>
      </c>
      <c r="C2968" t="s">
        <v>5532</v>
      </c>
      <c r="D2968" t="s">
        <v>13</v>
      </c>
      <c r="E2968" t="s">
        <v>20</v>
      </c>
      <c r="F2968" t="s">
        <v>50</v>
      </c>
      <c r="G2968">
        <v>4</v>
      </c>
      <c r="H2968">
        <v>22355.7</v>
      </c>
      <c r="I2968">
        <v>1733.5</v>
      </c>
      <c r="J2968" t="s">
        <v>71</v>
      </c>
      <c r="K2968" t="s">
        <v>17</v>
      </c>
      <c r="L2968">
        <f t="shared" si="138"/>
        <v>2022</v>
      </c>
      <c r="M2968" t="str">
        <f t="shared" si="139"/>
        <v>Dec</v>
      </c>
      <c r="N2968" s="2">
        <f t="shared" si="140"/>
        <v>7.7541745505620485E-2</v>
      </c>
    </row>
    <row r="2969" spans="1:14" x14ac:dyDescent="0.45">
      <c r="A2969" t="s">
        <v>5533</v>
      </c>
      <c r="B2969" s="1">
        <v>45123</v>
      </c>
      <c r="C2969" t="s">
        <v>1724</v>
      </c>
      <c r="D2969" t="s">
        <v>13</v>
      </c>
      <c r="E2969" t="s">
        <v>20</v>
      </c>
      <c r="F2969" t="s">
        <v>21</v>
      </c>
      <c r="G2969">
        <v>1</v>
      </c>
      <c r="H2969">
        <v>5871.44</v>
      </c>
      <c r="I2969">
        <v>1310.9</v>
      </c>
      <c r="J2969" t="s">
        <v>22</v>
      </c>
      <c r="K2969" t="s">
        <v>17</v>
      </c>
      <c r="L2969">
        <f t="shared" si="138"/>
        <v>2023</v>
      </c>
      <c r="M2969" t="str">
        <f t="shared" si="139"/>
        <v>Jul</v>
      </c>
      <c r="N2969" s="2">
        <f t="shared" si="140"/>
        <v>0.22326720531930841</v>
      </c>
    </row>
    <row r="2970" spans="1:14" x14ac:dyDescent="0.45">
      <c r="A2970" t="s">
        <v>5534</v>
      </c>
      <c r="B2970" s="1">
        <v>45520</v>
      </c>
      <c r="C2970" t="s">
        <v>5535</v>
      </c>
      <c r="D2970" t="s">
        <v>26</v>
      </c>
      <c r="E2970" t="s">
        <v>36</v>
      </c>
      <c r="F2970" t="s">
        <v>46</v>
      </c>
      <c r="G2970">
        <v>1</v>
      </c>
      <c r="H2970">
        <v>33056.639999999999</v>
      </c>
      <c r="I2970">
        <v>3772.07</v>
      </c>
      <c r="J2970" t="s">
        <v>47</v>
      </c>
      <c r="K2970" t="s">
        <v>29</v>
      </c>
      <c r="L2970">
        <f t="shared" si="138"/>
        <v>2024</v>
      </c>
      <c r="M2970" t="str">
        <f t="shared" si="139"/>
        <v>Aug</v>
      </c>
      <c r="N2970" s="2">
        <f t="shared" si="140"/>
        <v>0.11410929846469575</v>
      </c>
    </row>
    <row r="2971" spans="1:14" x14ac:dyDescent="0.45">
      <c r="A2971" t="s">
        <v>5536</v>
      </c>
      <c r="B2971" s="1">
        <v>44961</v>
      </c>
      <c r="C2971" t="s">
        <v>996</v>
      </c>
      <c r="D2971" t="s">
        <v>56</v>
      </c>
      <c r="E2971" t="s">
        <v>14</v>
      </c>
      <c r="F2971" t="s">
        <v>32</v>
      </c>
      <c r="G2971">
        <v>5</v>
      </c>
      <c r="H2971">
        <v>20222.52</v>
      </c>
      <c r="I2971">
        <v>3958.79</v>
      </c>
      <c r="J2971" t="s">
        <v>16</v>
      </c>
      <c r="K2971" t="s">
        <v>17</v>
      </c>
      <c r="L2971">
        <f t="shared" si="138"/>
        <v>2023</v>
      </c>
      <c r="M2971" t="str">
        <f t="shared" si="139"/>
        <v>Feb</v>
      </c>
      <c r="N2971" s="2">
        <f t="shared" si="140"/>
        <v>0.19576145801809072</v>
      </c>
    </row>
    <row r="2972" spans="1:14" x14ac:dyDescent="0.45">
      <c r="A2972" t="s">
        <v>5537</v>
      </c>
      <c r="B2972" s="1">
        <v>45189</v>
      </c>
      <c r="C2972" t="s">
        <v>5538</v>
      </c>
      <c r="D2972" t="s">
        <v>26</v>
      </c>
      <c r="E2972" t="s">
        <v>14</v>
      </c>
      <c r="F2972" t="s">
        <v>40</v>
      </c>
      <c r="G2972">
        <v>2</v>
      </c>
      <c r="H2972">
        <v>44549.75</v>
      </c>
      <c r="I2972">
        <v>7587.82</v>
      </c>
      <c r="J2972" t="s">
        <v>22</v>
      </c>
      <c r="K2972" t="s">
        <v>23</v>
      </c>
      <c r="L2972">
        <f t="shared" si="138"/>
        <v>2023</v>
      </c>
      <c r="M2972" t="str">
        <f t="shared" si="139"/>
        <v>Sep</v>
      </c>
      <c r="N2972" s="2">
        <f t="shared" si="140"/>
        <v>0.17032239238155095</v>
      </c>
    </row>
    <row r="2973" spans="1:14" x14ac:dyDescent="0.45">
      <c r="A2973" t="s">
        <v>5539</v>
      </c>
      <c r="B2973" s="1">
        <v>44721</v>
      </c>
      <c r="C2973" t="s">
        <v>3668</v>
      </c>
      <c r="D2973" t="s">
        <v>13</v>
      </c>
      <c r="E2973" t="s">
        <v>14</v>
      </c>
      <c r="F2973" t="s">
        <v>15</v>
      </c>
      <c r="G2973">
        <v>4</v>
      </c>
      <c r="H2973">
        <v>31334.9</v>
      </c>
      <c r="I2973">
        <v>5312.03</v>
      </c>
      <c r="J2973" t="s">
        <v>28</v>
      </c>
      <c r="K2973" t="s">
        <v>17</v>
      </c>
      <c r="L2973">
        <f t="shared" si="138"/>
        <v>2022</v>
      </c>
      <c r="M2973" t="str">
        <f t="shared" si="139"/>
        <v>Jun</v>
      </c>
      <c r="N2973" s="2">
        <f t="shared" si="140"/>
        <v>0.16952439612061948</v>
      </c>
    </row>
    <row r="2974" spans="1:14" x14ac:dyDescent="0.45">
      <c r="A2974" t="s">
        <v>5540</v>
      </c>
      <c r="B2974" s="1">
        <v>45036</v>
      </c>
      <c r="C2974" t="s">
        <v>1880</v>
      </c>
      <c r="D2974" t="s">
        <v>26</v>
      </c>
      <c r="E2974" t="s">
        <v>14</v>
      </c>
      <c r="F2974" t="s">
        <v>32</v>
      </c>
      <c r="G2974">
        <v>1</v>
      </c>
      <c r="H2974">
        <v>2508.61</v>
      </c>
      <c r="I2974">
        <v>497.33</v>
      </c>
      <c r="J2974" t="s">
        <v>16</v>
      </c>
      <c r="K2974" t="s">
        <v>29</v>
      </c>
      <c r="L2974">
        <f t="shared" si="138"/>
        <v>2023</v>
      </c>
      <c r="M2974" t="str">
        <f t="shared" si="139"/>
        <v>Apr</v>
      </c>
      <c r="N2974" s="2">
        <f t="shared" si="140"/>
        <v>0.19824922965307479</v>
      </c>
    </row>
    <row r="2975" spans="1:14" x14ac:dyDescent="0.45">
      <c r="A2975" t="s">
        <v>5541</v>
      </c>
      <c r="B2975" s="1">
        <v>45101</v>
      </c>
      <c r="C2975" t="s">
        <v>791</v>
      </c>
      <c r="D2975" t="s">
        <v>26</v>
      </c>
      <c r="E2975" t="s">
        <v>36</v>
      </c>
      <c r="F2975" t="s">
        <v>37</v>
      </c>
      <c r="G2975">
        <v>3</v>
      </c>
      <c r="H2975">
        <v>43402.8</v>
      </c>
      <c r="I2975">
        <v>2632.19</v>
      </c>
      <c r="J2975" t="s">
        <v>28</v>
      </c>
      <c r="K2975" t="s">
        <v>23</v>
      </c>
      <c r="L2975">
        <f t="shared" si="138"/>
        <v>2023</v>
      </c>
      <c r="M2975" t="str">
        <f t="shared" si="139"/>
        <v>Jun</v>
      </c>
      <c r="N2975" s="2">
        <f t="shared" si="140"/>
        <v>6.0645626549439204E-2</v>
      </c>
    </row>
    <row r="2976" spans="1:14" x14ac:dyDescent="0.45">
      <c r="A2976" t="s">
        <v>5542</v>
      </c>
      <c r="B2976" s="1">
        <v>45515</v>
      </c>
      <c r="C2976" t="s">
        <v>2284</v>
      </c>
      <c r="D2976" t="s">
        <v>56</v>
      </c>
      <c r="E2976" t="s">
        <v>14</v>
      </c>
      <c r="F2976" t="s">
        <v>15</v>
      </c>
      <c r="G2976">
        <v>1</v>
      </c>
      <c r="H2976">
        <v>20871.86</v>
      </c>
      <c r="I2976">
        <v>3643.14</v>
      </c>
      <c r="J2976" t="s">
        <v>71</v>
      </c>
      <c r="K2976" t="s">
        <v>29</v>
      </c>
      <c r="L2976">
        <f t="shared" si="138"/>
        <v>2024</v>
      </c>
      <c r="M2976" t="str">
        <f t="shared" si="139"/>
        <v>Aug</v>
      </c>
      <c r="N2976" s="2">
        <f t="shared" si="140"/>
        <v>0.17454793200031046</v>
      </c>
    </row>
    <row r="2977" spans="1:14" x14ac:dyDescent="0.45">
      <c r="A2977" t="s">
        <v>5543</v>
      </c>
      <c r="B2977" s="1">
        <v>45210</v>
      </c>
      <c r="C2977" t="s">
        <v>5544</v>
      </c>
      <c r="D2977" t="s">
        <v>56</v>
      </c>
      <c r="E2977" t="s">
        <v>14</v>
      </c>
      <c r="F2977" t="s">
        <v>32</v>
      </c>
      <c r="G2977">
        <v>3</v>
      </c>
      <c r="H2977">
        <v>27400.080000000002</v>
      </c>
      <c r="I2977">
        <v>6488.78</v>
      </c>
      <c r="J2977" t="s">
        <v>47</v>
      </c>
      <c r="K2977" t="s">
        <v>17</v>
      </c>
      <c r="L2977">
        <f t="shared" si="138"/>
        <v>2023</v>
      </c>
      <c r="M2977" t="str">
        <f t="shared" si="139"/>
        <v>Oct</v>
      </c>
      <c r="N2977" s="2">
        <f t="shared" si="140"/>
        <v>0.23681609688730834</v>
      </c>
    </row>
    <row r="2978" spans="1:14" x14ac:dyDescent="0.45">
      <c r="A2978" t="s">
        <v>5545</v>
      </c>
      <c r="B2978" s="1">
        <v>44750</v>
      </c>
      <c r="C2978" t="s">
        <v>5546</v>
      </c>
      <c r="D2978" t="s">
        <v>26</v>
      </c>
      <c r="E2978" t="s">
        <v>20</v>
      </c>
      <c r="F2978" t="s">
        <v>21</v>
      </c>
      <c r="G2978">
        <v>4</v>
      </c>
      <c r="H2978">
        <v>33730.9</v>
      </c>
      <c r="I2978">
        <v>6616.49</v>
      </c>
      <c r="J2978" t="s">
        <v>22</v>
      </c>
      <c r="K2978" t="s">
        <v>17</v>
      </c>
      <c r="L2978">
        <f t="shared" si="138"/>
        <v>2022</v>
      </c>
      <c r="M2978" t="str">
        <f t="shared" si="139"/>
        <v>Jul</v>
      </c>
      <c r="N2978" s="2">
        <f t="shared" si="140"/>
        <v>0.19615515743724596</v>
      </c>
    </row>
    <row r="2979" spans="1:14" x14ac:dyDescent="0.45">
      <c r="A2979" t="s">
        <v>5547</v>
      </c>
      <c r="B2979" s="1">
        <v>45109</v>
      </c>
      <c r="C2979" t="s">
        <v>5141</v>
      </c>
      <c r="D2979" t="s">
        <v>13</v>
      </c>
      <c r="E2979" t="s">
        <v>36</v>
      </c>
      <c r="F2979" t="s">
        <v>46</v>
      </c>
      <c r="G2979">
        <v>2</v>
      </c>
      <c r="H2979">
        <v>38954.47</v>
      </c>
      <c r="I2979">
        <v>4657.13</v>
      </c>
      <c r="J2979" t="s">
        <v>16</v>
      </c>
      <c r="K2979" t="s">
        <v>17</v>
      </c>
      <c r="L2979">
        <f t="shared" si="138"/>
        <v>2023</v>
      </c>
      <c r="M2979" t="str">
        <f t="shared" si="139"/>
        <v>Jul</v>
      </c>
      <c r="N2979" s="2">
        <f t="shared" si="140"/>
        <v>0.11955316039468641</v>
      </c>
    </row>
    <row r="2980" spans="1:14" x14ac:dyDescent="0.45">
      <c r="A2980" t="s">
        <v>5548</v>
      </c>
      <c r="B2980" s="1">
        <v>44727</v>
      </c>
      <c r="C2980" t="s">
        <v>3263</v>
      </c>
      <c r="D2980" t="s">
        <v>13</v>
      </c>
      <c r="E2980" t="s">
        <v>14</v>
      </c>
      <c r="F2980" t="s">
        <v>57</v>
      </c>
      <c r="G2980">
        <v>2</v>
      </c>
      <c r="H2980">
        <v>17391.96</v>
      </c>
      <c r="I2980">
        <v>1616.09</v>
      </c>
      <c r="J2980" t="s">
        <v>22</v>
      </c>
      <c r="K2980" t="s">
        <v>23</v>
      </c>
      <c r="L2980">
        <f t="shared" si="138"/>
        <v>2022</v>
      </c>
      <c r="M2980" t="str">
        <f t="shared" si="139"/>
        <v>Jun</v>
      </c>
      <c r="N2980" s="2">
        <f t="shared" si="140"/>
        <v>9.2921671852971149E-2</v>
      </c>
    </row>
    <row r="2981" spans="1:14" x14ac:dyDescent="0.45">
      <c r="A2981" t="s">
        <v>5549</v>
      </c>
      <c r="B2981" s="1">
        <v>44623</v>
      </c>
      <c r="C2981" t="s">
        <v>5550</v>
      </c>
      <c r="D2981" t="s">
        <v>56</v>
      </c>
      <c r="E2981" t="s">
        <v>14</v>
      </c>
      <c r="F2981" t="s">
        <v>15</v>
      </c>
      <c r="G2981">
        <v>3</v>
      </c>
      <c r="H2981">
        <v>26808.97</v>
      </c>
      <c r="I2981">
        <v>3489.11</v>
      </c>
      <c r="J2981" t="s">
        <v>28</v>
      </c>
      <c r="K2981" t="s">
        <v>17</v>
      </c>
      <c r="L2981">
        <f t="shared" si="138"/>
        <v>2022</v>
      </c>
      <c r="M2981" t="str">
        <f t="shared" si="139"/>
        <v>Mar</v>
      </c>
      <c r="N2981" s="2">
        <f t="shared" si="140"/>
        <v>0.13014711120941982</v>
      </c>
    </row>
    <row r="2982" spans="1:14" x14ac:dyDescent="0.45">
      <c r="A2982" t="s">
        <v>5551</v>
      </c>
      <c r="B2982" s="1">
        <v>44574</v>
      </c>
      <c r="C2982" t="s">
        <v>5552</v>
      </c>
      <c r="D2982" t="s">
        <v>26</v>
      </c>
      <c r="E2982" t="s">
        <v>20</v>
      </c>
      <c r="F2982" t="s">
        <v>50</v>
      </c>
      <c r="G2982">
        <v>1</v>
      </c>
      <c r="H2982">
        <v>31549.78</v>
      </c>
      <c r="I2982">
        <v>2703.93</v>
      </c>
      <c r="J2982" t="s">
        <v>16</v>
      </c>
      <c r="K2982" t="s">
        <v>17</v>
      </c>
      <c r="L2982">
        <f t="shared" si="138"/>
        <v>2022</v>
      </c>
      <c r="M2982" t="str">
        <f t="shared" si="139"/>
        <v>Jan</v>
      </c>
      <c r="N2982" s="2">
        <f t="shared" si="140"/>
        <v>8.5703608709791324E-2</v>
      </c>
    </row>
    <row r="2983" spans="1:14" x14ac:dyDescent="0.45">
      <c r="A2983" t="s">
        <v>5553</v>
      </c>
      <c r="B2983" s="1">
        <v>44844</v>
      </c>
      <c r="C2983" t="s">
        <v>4085</v>
      </c>
      <c r="D2983" t="s">
        <v>26</v>
      </c>
      <c r="E2983" t="s">
        <v>14</v>
      </c>
      <c r="F2983" t="s">
        <v>57</v>
      </c>
      <c r="G2983">
        <v>2</v>
      </c>
      <c r="H2983">
        <v>40217.14</v>
      </c>
      <c r="I2983">
        <v>3310.22</v>
      </c>
      <c r="J2983" t="s">
        <v>47</v>
      </c>
      <c r="K2983" t="s">
        <v>33</v>
      </c>
      <c r="L2983">
        <f t="shared" si="138"/>
        <v>2022</v>
      </c>
      <c r="M2983" t="str">
        <f t="shared" si="139"/>
        <v>Oct</v>
      </c>
      <c r="N2983" s="2">
        <f t="shared" si="140"/>
        <v>8.2308687291040586E-2</v>
      </c>
    </row>
    <row r="2984" spans="1:14" x14ac:dyDescent="0.45">
      <c r="A2984" t="s">
        <v>5554</v>
      </c>
      <c r="B2984" s="1">
        <v>45429</v>
      </c>
      <c r="C2984" t="s">
        <v>787</v>
      </c>
      <c r="D2984" t="s">
        <v>13</v>
      </c>
      <c r="E2984" t="s">
        <v>36</v>
      </c>
      <c r="F2984" t="s">
        <v>53</v>
      </c>
      <c r="G2984">
        <v>3</v>
      </c>
      <c r="H2984">
        <v>28594.78</v>
      </c>
      <c r="I2984">
        <v>2800.02</v>
      </c>
      <c r="J2984" t="s">
        <v>28</v>
      </c>
      <c r="K2984" t="s">
        <v>23</v>
      </c>
      <c r="L2984">
        <f t="shared" si="138"/>
        <v>2024</v>
      </c>
      <c r="M2984" t="str">
        <f t="shared" si="139"/>
        <v>May</v>
      </c>
      <c r="N2984" s="2">
        <f t="shared" si="140"/>
        <v>9.7920669436869251E-2</v>
      </c>
    </row>
    <row r="2985" spans="1:14" x14ac:dyDescent="0.45">
      <c r="A2985" t="s">
        <v>5555</v>
      </c>
      <c r="B2985" s="1">
        <v>44995</v>
      </c>
      <c r="C2985" t="s">
        <v>5556</v>
      </c>
      <c r="D2985" t="s">
        <v>56</v>
      </c>
      <c r="E2985" t="s">
        <v>20</v>
      </c>
      <c r="F2985" t="s">
        <v>43</v>
      </c>
      <c r="G2985">
        <v>1</v>
      </c>
      <c r="H2985">
        <v>42571.85</v>
      </c>
      <c r="I2985">
        <v>7497.28</v>
      </c>
      <c r="J2985" t="s">
        <v>47</v>
      </c>
      <c r="K2985" t="s">
        <v>29</v>
      </c>
      <c r="L2985">
        <f t="shared" si="138"/>
        <v>2023</v>
      </c>
      <c r="M2985" t="str">
        <f t="shared" si="139"/>
        <v>Mar</v>
      </c>
      <c r="N2985" s="2">
        <f t="shared" si="140"/>
        <v>0.1761088606673189</v>
      </c>
    </row>
    <row r="2986" spans="1:14" x14ac:dyDescent="0.45">
      <c r="A2986" t="s">
        <v>5557</v>
      </c>
      <c r="B2986" s="1">
        <v>45263</v>
      </c>
      <c r="C2986" t="s">
        <v>5558</v>
      </c>
      <c r="D2986" t="s">
        <v>13</v>
      </c>
      <c r="E2986" t="s">
        <v>20</v>
      </c>
      <c r="F2986" t="s">
        <v>27</v>
      </c>
      <c r="G2986">
        <v>2</v>
      </c>
      <c r="H2986">
        <v>47730.14</v>
      </c>
      <c r="I2986">
        <v>8793.85</v>
      </c>
      <c r="J2986" t="s">
        <v>71</v>
      </c>
      <c r="K2986" t="s">
        <v>23</v>
      </c>
      <c r="L2986">
        <f t="shared" si="138"/>
        <v>2023</v>
      </c>
      <c r="M2986" t="str">
        <f t="shared" si="139"/>
        <v>Dec</v>
      </c>
      <c r="N2986" s="2">
        <f t="shared" si="140"/>
        <v>0.18424102673907936</v>
      </c>
    </row>
    <row r="2987" spans="1:14" x14ac:dyDescent="0.45">
      <c r="A2987" t="s">
        <v>5559</v>
      </c>
      <c r="B2987" s="1">
        <v>44680</v>
      </c>
      <c r="C2987" t="s">
        <v>1512</v>
      </c>
      <c r="D2987" t="s">
        <v>26</v>
      </c>
      <c r="E2987" t="s">
        <v>14</v>
      </c>
      <c r="F2987" t="s">
        <v>57</v>
      </c>
      <c r="G2987">
        <v>5</v>
      </c>
      <c r="H2987">
        <v>27073.82</v>
      </c>
      <c r="I2987">
        <v>5982.21</v>
      </c>
      <c r="J2987" t="s">
        <v>22</v>
      </c>
      <c r="K2987" t="s">
        <v>17</v>
      </c>
      <c r="L2987">
        <f t="shared" si="138"/>
        <v>2022</v>
      </c>
      <c r="M2987" t="str">
        <f t="shared" si="139"/>
        <v>Apr</v>
      </c>
      <c r="N2987" s="2">
        <f t="shared" si="140"/>
        <v>0.22095921447361325</v>
      </c>
    </row>
    <row r="2988" spans="1:14" x14ac:dyDescent="0.45">
      <c r="A2988" t="s">
        <v>5560</v>
      </c>
      <c r="B2988" s="1">
        <v>45047</v>
      </c>
      <c r="C2988" t="s">
        <v>5444</v>
      </c>
      <c r="D2988" t="s">
        <v>13</v>
      </c>
      <c r="E2988" t="s">
        <v>14</v>
      </c>
      <c r="F2988" t="s">
        <v>15</v>
      </c>
      <c r="G2988">
        <v>5</v>
      </c>
      <c r="H2988">
        <v>45108.2</v>
      </c>
      <c r="I2988">
        <v>3624.59</v>
      </c>
      <c r="J2988" t="s">
        <v>47</v>
      </c>
      <c r="K2988" t="s">
        <v>23</v>
      </c>
      <c r="L2988">
        <f t="shared" si="138"/>
        <v>2023</v>
      </c>
      <c r="M2988" t="str">
        <f t="shared" si="139"/>
        <v>May</v>
      </c>
      <c r="N2988" s="2">
        <f t="shared" si="140"/>
        <v>8.0353239544029703E-2</v>
      </c>
    </row>
    <row r="2989" spans="1:14" x14ac:dyDescent="0.45">
      <c r="A2989" t="s">
        <v>5561</v>
      </c>
      <c r="B2989" s="1">
        <v>44806</v>
      </c>
      <c r="C2989" t="s">
        <v>5562</v>
      </c>
      <c r="D2989" t="s">
        <v>13</v>
      </c>
      <c r="E2989" t="s">
        <v>20</v>
      </c>
      <c r="F2989" t="s">
        <v>27</v>
      </c>
      <c r="G2989">
        <v>2</v>
      </c>
      <c r="H2989">
        <v>7472.67</v>
      </c>
      <c r="I2989">
        <v>523.91999999999996</v>
      </c>
      <c r="J2989" t="s">
        <v>22</v>
      </c>
      <c r="K2989" t="s">
        <v>17</v>
      </c>
      <c r="L2989">
        <f t="shared" si="138"/>
        <v>2022</v>
      </c>
      <c r="M2989" t="str">
        <f t="shared" si="139"/>
        <v>Sep</v>
      </c>
      <c r="N2989" s="2">
        <f t="shared" si="140"/>
        <v>7.0111486255916552E-2</v>
      </c>
    </row>
    <row r="2990" spans="1:14" x14ac:dyDescent="0.45">
      <c r="A2990" t="s">
        <v>5563</v>
      </c>
      <c r="B2990" s="1">
        <v>45426</v>
      </c>
      <c r="C2990" t="s">
        <v>1553</v>
      </c>
      <c r="D2990" t="s">
        <v>13</v>
      </c>
      <c r="E2990" t="s">
        <v>20</v>
      </c>
      <c r="F2990" t="s">
        <v>21</v>
      </c>
      <c r="G2990">
        <v>4</v>
      </c>
      <c r="H2990">
        <v>14294.31</v>
      </c>
      <c r="I2990">
        <v>1008.33</v>
      </c>
      <c r="J2990" t="s">
        <v>71</v>
      </c>
      <c r="K2990" t="s">
        <v>17</v>
      </c>
      <c r="L2990">
        <f t="shared" si="138"/>
        <v>2024</v>
      </c>
      <c r="M2990" t="str">
        <f t="shared" si="139"/>
        <v>May</v>
      </c>
      <c r="N2990" s="2">
        <f t="shared" si="140"/>
        <v>7.054065568747285E-2</v>
      </c>
    </row>
    <row r="2991" spans="1:14" x14ac:dyDescent="0.45">
      <c r="A2991" t="s">
        <v>5564</v>
      </c>
      <c r="B2991" s="1">
        <v>45467</v>
      </c>
      <c r="C2991" t="s">
        <v>5565</v>
      </c>
      <c r="D2991" t="s">
        <v>13</v>
      </c>
      <c r="E2991" t="s">
        <v>14</v>
      </c>
      <c r="F2991" t="s">
        <v>40</v>
      </c>
      <c r="G2991">
        <v>2</v>
      </c>
      <c r="H2991">
        <v>12519.68</v>
      </c>
      <c r="I2991">
        <v>1620.25</v>
      </c>
      <c r="J2991" t="s">
        <v>16</v>
      </c>
      <c r="K2991" t="s">
        <v>33</v>
      </c>
      <c r="L2991">
        <f t="shared" si="138"/>
        <v>2024</v>
      </c>
      <c r="M2991" t="str">
        <f t="shared" si="139"/>
        <v>Jun</v>
      </c>
      <c r="N2991" s="2">
        <f t="shared" si="140"/>
        <v>0.12941624706062774</v>
      </c>
    </row>
    <row r="2992" spans="1:14" x14ac:dyDescent="0.45">
      <c r="A2992" t="s">
        <v>5566</v>
      </c>
      <c r="B2992" s="1">
        <v>45372</v>
      </c>
      <c r="C2992" t="s">
        <v>4252</v>
      </c>
      <c r="D2992" t="s">
        <v>13</v>
      </c>
      <c r="E2992" t="s">
        <v>14</v>
      </c>
      <c r="F2992" t="s">
        <v>57</v>
      </c>
      <c r="G2992">
        <v>2</v>
      </c>
      <c r="H2992">
        <v>45427.5</v>
      </c>
      <c r="I2992">
        <v>9355.27</v>
      </c>
      <c r="J2992" t="s">
        <v>22</v>
      </c>
      <c r="K2992" t="s">
        <v>23</v>
      </c>
      <c r="L2992">
        <f t="shared" si="138"/>
        <v>2024</v>
      </c>
      <c r="M2992" t="str">
        <f t="shared" si="139"/>
        <v>Mar</v>
      </c>
      <c r="N2992" s="2">
        <f t="shared" si="140"/>
        <v>0.20593847339166804</v>
      </c>
    </row>
    <row r="2993" spans="1:14" x14ac:dyDescent="0.45">
      <c r="A2993" t="s">
        <v>5567</v>
      </c>
      <c r="B2993" s="1">
        <v>45421</v>
      </c>
      <c r="C2993" t="s">
        <v>4970</v>
      </c>
      <c r="D2993" t="s">
        <v>56</v>
      </c>
      <c r="E2993" t="s">
        <v>14</v>
      </c>
      <c r="F2993" t="s">
        <v>57</v>
      </c>
      <c r="G2993">
        <v>5</v>
      </c>
      <c r="H2993">
        <v>36576.089999999997</v>
      </c>
      <c r="I2993">
        <v>2689.09</v>
      </c>
      <c r="J2993" t="s">
        <v>47</v>
      </c>
      <c r="K2993" t="s">
        <v>33</v>
      </c>
      <c r="L2993">
        <f t="shared" si="138"/>
        <v>2024</v>
      </c>
      <c r="M2993" t="str">
        <f t="shared" si="139"/>
        <v>May</v>
      </c>
      <c r="N2993" s="2">
        <f t="shared" si="140"/>
        <v>7.3520433704094681E-2</v>
      </c>
    </row>
    <row r="2994" spans="1:14" x14ac:dyDescent="0.45">
      <c r="A2994" t="s">
        <v>5568</v>
      </c>
      <c r="B2994" s="1">
        <v>45338</v>
      </c>
      <c r="C2994" t="s">
        <v>4496</v>
      </c>
      <c r="D2994" t="s">
        <v>26</v>
      </c>
      <c r="E2994" t="s">
        <v>14</v>
      </c>
      <c r="F2994" t="s">
        <v>32</v>
      </c>
      <c r="G2994">
        <v>5</v>
      </c>
      <c r="H2994">
        <v>15444.54</v>
      </c>
      <c r="I2994">
        <v>3425.34</v>
      </c>
      <c r="J2994" t="s">
        <v>71</v>
      </c>
      <c r="K2994" t="s">
        <v>33</v>
      </c>
      <c r="L2994">
        <f t="shared" si="138"/>
        <v>2024</v>
      </c>
      <c r="M2994" t="str">
        <f t="shared" si="139"/>
        <v>Feb</v>
      </c>
      <c r="N2994" s="2">
        <f t="shared" si="140"/>
        <v>0.2217832321325206</v>
      </c>
    </row>
    <row r="2995" spans="1:14" x14ac:dyDescent="0.45">
      <c r="A2995" t="s">
        <v>5569</v>
      </c>
      <c r="B2995" s="1">
        <v>45628</v>
      </c>
      <c r="C2995" t="s">
        <v>5570</v>
      </c>
      <c r="D2995" t="s">
        <v>13</v>
      </c>
      <c r="E2995" t="s">
        <v>14</v>
      </c>
      <c r="F2995" t="s">
        <v>15</v>
      </c>
      <c r="G2995">
        <v>1</v>
      </c>
      <c r="H2995">
        <v>15545.58</v>
      </c>
      <c r="I2995">
        <v>1959.67</v>
      </c>
      <c r="J2995" t="s">
        <v>28</v>
      </c>
      <c r="K2995" t="s">
        <v>33</v>
      </c>
      <c r="L2995">
        <f t="shared" si="138"/>
        <v>2024</v>
      </c>
      <c r="M2995" t="str">
        <f t="shared" si="139"/>
        <v>Dec</v>
      </c>
      <c r="N2995" s="2">
        <f t="shared" si="140"/>
        <v>0.12605962595155665</v>
      </c>
    </row>
    <row r="2996" spans="1:14" x14ac:dyDescent="0.45">
      <c r="A2996" t="s">
        <v>5571</v>
      </c>
      <c r="B2996" s="1">
        <v>45141</v>
      </c>
      <c r="C2996" t="s">
        <v>5572</v>
      </c>
      <c r="D2996" t="s">
        <v>56</v>
      </c>
      <c r="E2996" t="s">
        <v>14</v>
      </c>
      <c r="F2996" t="s">
        <v>40</v>
      </c>
      <c r="G2996">
        <v>1</v>
      </c>
      <c r="H2996">
        <v>11564.87</v>
      </c>
      <c r="I2996">
        <v>941.92</v>
      </c>
      <c r="J2996" t="s">
        <v>28</v>
      </c>
      <c r="K2996" t="s">
        <v>33</v>
      </c>
      <c r="L2996">
        <f t="shared" si="138"/>
        <v>2023</v>
      </c>
      <c r="M2996" t="str">
        <f t="shared" si="139"/>
        <v>Aug</v>
      </c>
      <c r="N2996" s="2">
        <f t="shared" si="140"/>
        <v>8.1446656987929814E-2</v>
      </c>
    </row>
    <row r="2997" spans="1:14" x14ac:dyDescent="0.45">
      <c r="A2997" t="s">
        <v>5573</v>
      </c>
      <c r="B2997" s="1">
        <v>45321</v>
      </c>
      <c r="C2997" t="s">
        <v>5574</v>
      </c>
      <c r="D2997" t="s">
        <v>26</v>
      </c>
      <c r="E2997" t="s">
        <v>20</v>
      </c>
      <c r="F2997" t="s">
        <v>43</v>
      </c>
      <c r="G2997">
        <v>3</v>
      </c>
      <c r="H2997">
        <v>34759.47</v>
      </c>
      <c r="I2997">
        <v>1931.21</v>
      </c>
      <c r="J2997" t="s">
        <v>22</v>
      </c>
      <c r="K2997" t="s">
        <v>17</v>
      </c>
      <c r="L2997">
        <f t="shared" si="138"/>
        <v>2024</v>
      </c>
      <c r="M2997" t="str">
        <f t="shared" si="139"/>
        <v>Jan</v>
      </c>
      <c r="N2997" s="2">
        <f t="shared" si="140"/>
        <v>5.555924759497196E-2</v>
      </c>
    </row>
    <row r="2998" spans="1:14" x14ac:dyDescent="0.45">
      <c r="A2998" t="s">
        <v>5575</v>
      </c>
      <c r="B2998" s="1">
        <v>45342</v>
      </c>
      <c r="C2998" t="s">
        <v>5576</v>
      </c>
      <c r="D2998" t="s">
        <v>26</v>
      </c>
      <c r="E2998" t="s">
        <v>36</v>
      </c>
      <c r="F2998" t="s">
        <v>53</v>
      </c>
      <c r="G2998">
        <v>3</v>
      </c>
      <c r="H2998">
        <v>25520.66</v>
      </c>
      <c r="I2998">
        <v>2414.06</v>
      </c>
      <c r="J2998" t="s">
        <v>47</v>
      </c>
      <c r="K2998" t="s">
        <v>29</v>
      </c>
      <c r="L2998">
        <f t="shared" si="138"/>
        <v>2024</v>
      </c>
      <c r="M2998" t="str">
        <f t="shared" si="139"/>
        <v>Feb</v>
      </c>
      <c r="N2998" s="2">
        <f t="shared" si="140"/>
        <v>9.4592381231519876E-2</v>
      </c>
    </row>
    <row r="2999" spans="1:14" x14ac:dyDescent="0.45">
      <c r="A2999" t="s">
        <v>5577</v>
      </c>
      <c r="B2999" s="1">
        <v>45515</v>
      </c>
      <c r="C2999" t="s">
        <v>5408</v>
      </c>
      <c r="D2999" t="s">
        <v>56</v>
      </c>
      <c r="E2999" t="s">
        <v>20</v>
      </c>
      <c r="F2999" t="s">
        <v>27</v>
      </c>
      <c r="G2999">
        <v>4</v>
      </c>
      <c r="H2999">
        <v>34596.269999999997</v>
      </c>
      <c r="I2999">
        <v>5993.18</v>
      </c>
      <c r="J2999" t="s">
        <v>71</v>
      </c>
      <c r="K2999" t="s">
        <v>29</v>
      </c>
      <c r="L2999">
        <f t="shared" si="138"/>
        <v>2024</v>
      </c>
      <c r="M2999" t="str">
        <f t="shared" si="139"/>
        <v>Aug</v>
      </c>
      <c r="N2999" s="2">
        <f t="shared" si="140"/>
        <v>0.17323196980483738</v>
      </c>
    </row>
    <row r="3000" spans="1:14" x14ac:dyDescent="0.45">
      <c r="A3000" t="s">
        <v>5578</v>
      </c>
      <c r="B3000" s="1">
        <v>44648</v>
      </c>
      <c r="C3000" t="s">
        <v>5579</v>
      </c>
      <c r="D3000" t="s">
        <v>26</v>
      </c>
      <c r="E3000" t="s">
        <v>20</v>
      </c>
      <c r="F3000" t="s">
        <v>43</v>
      </c>
      <c r="G3000">
        <v>1</v>
      </c>
      <c r="H3000">
        <v>2254.3200000000002</v>
      </c>
      <c r="I3000">
        <v>485.65</v>
      </c>
      <c r="J3000" t="s">
        <v>28</v>
      </c>
      <c r="K3000" t="s">
        <v>23</v>
      </c>
      <c r="L3000">
        <f t="shared" si="138"/>
        <v>2022</v>
      </c>
      <c r="M3000" t="str">
        <f t="shared" si="139"/>
        <v>Mar</v>
      </c>
      <c r="N3000" s="2">
        <f t="shared" si="140"/>
        <v>0.21543081727527588</v>
      </c>
    </row>
    <row r="3001" spans="1:14" x14ac:dyDescent="0.45">
      <c r="A3001" t="s">
        <v>5580</v>
      </c>
      <c r="B3001" s="1">
        <v>45160</v>
      </c>
      <c r="C3001" t="s">
        <v>5581</v>
      </c>
      <c r="D3001" t="s">
        <v>13</v>
      </c>
      <c r="E3001" t="s">
        <v>20</v>
      </c>
      <c r="F3001" t="s">
        <v>43</v>
      </c>
      <c r="G3001">
        <v>3</v>
      </c>
      <c r="H3001">
        <v>15543.72</v>
      </c>
      <c r="I3001">
        <v>1217.33</v>
      </c>
      <c r="J3001" t="s">
        <v>71</v>
      </c>
      <c r="K3001" t="s">
        <v>33</v>
      </c>
      <c r="L3001">
        <f t="shared" si="138"/>
        <v>2023</v>
      </c>
      <c r="M3001" t="str">
        <f t="shared" si="139"/>
        <v>Aug</v>
      </c>
      <c r="N3001" s="2">
        <f t="shared" si="140"/>
        <v>7.8316516252222759E-2</v>
      </c>
    </row>
    <row r="3002" spans="1:14" x14ac:dyDescent="0.45">
      <c r="A3002" t="s">
        <v>5582</v>
      </c>
      <c r="B3002" s="1">
        <v>45466</v>
      </c>
      <c r="C3002" t="s">
        <v>5583</v>
      </c>
      <c r="D3002" t="s">
        <v>13</v>
      </c>
      <c r="E3002" t="s">
        <v>14</v>
      </c>
      <c r="F3002" t="s">
        <v>32</v>
      </c>
      <c r="G3002">
        <v>1</v>
      </c>
      <c r="H3002">
        <v>13284.08</v>
      </c>
      <c r="I3002">
        <v>1662.92</v>
      </c>
      <c r="J3002" t="s">
        <v>16</v>
      </c>
      <c r="K3002" t="s">
        <v>29</v>
      </c>
      <c r="L3002">
        <f t="shared" si="138"/>
        <v>2024</v>
      </c>
      <c r="M3002" t="str">
        <f t="shared" si="139"/>
        <v>Jun</v>
      </c>
      <c r="N3002" s="2">
        <f t="shared" si="140"/>
        <v>0.12518142016609354</v>
      </c>
    </row>
    <row r="3003" spans="1:14" x14ac:dyDescent="0.45">
      <c r="A3003" t="s">
        <v>5584</v>
      </c>
      <c r="B3003" s="1">
        <v>44896</v>
      </c>
      <c r="C3003" t="s">
        <v>5585</v>
      </c>
      <c r="D3003" t="s">
        <v>56</v>
      </c>
      <c r="E3003" t="s">
        <v>20</v>
      </c>
      <c r="F3003" t="s">
        <v>21</v>
      </c>
      <c r="G3003">
        <v>4</v>
      </c>
      <c r="H3003">
        <v>35074.269999999997</v>
      </c>
      <c r="I3003">
        <v>5744.01</v>
      </c>
      <c r="J3003" t="s">
        <v>16</v>
      </c>
      <c r="K3003" t="s">
        <v>29</v>
      </c>
      <c r="L3003">
        <f t="shared" si="138"/>
        <v>2022</v>
      </c>
      <c r="M3003" t="str">
        <f t="shared" si="139"/>
        <v>Dec</v>
      </c>
      <c r="N3003" s="2">
        <f t="shared" si="140"/>
        <v>0.16376705773206401</v>
      </c>
    </row>
    <row r="3004" spans="1:14" x14ac:dyDescent="0.45">
      <c r="A3004" t="s">
        <v>5586</v>
      </c>
      <c r="B3004" s="1">
        <v>44761</v>
      </c>
      <c r="C3004" t="s">
        <v>5587</v>
      </c>
      <c r="D3004" t="s">
        <v>56</v>
      </c>
      <c r="E3004" t="s">
        <v>14</v>
      </c>
      <c r="F3004" t="s">
        <v>15</v>
      </c>
      <c r="G3004">
        <v>4</v>
      </c>
      <c r="H3004">
        <v>49381.36</v>
      </c>
      <c r="I3004">
        <v>8467.0499999999993</v>
      </c>
      <c r="J3004" t="s">
        <v>71</v>
      </c>
      <c r="K3004" t="s">
        <v>29</v>
      </c>
      <c r="L3004">
        <f t="shared" si="138"/>
        <v>2022</v>
      </c>
      <c r="M3004" t="str">
        <f t="shared" si="139"/>
        <v>Jul</v>
      </c>
      <c r="N3004" s="2">
        <f t="shared" si="140"/>
        <v>0.17146247085944979</v>
      </c>
    </row>
    <row r="3005" spans="1:14" x14ac:dyDescent="0.45">
      <c r="A3005" t="s">
        <v>5588</v>
      </c>
      <c r="B3005" s="1">
        <v>44868</v>
      </c>
      <c r="C3005" t="s">
        <v>5589</v>
      </c>
      <c r="D3005" t="s">
        <v>13</v>
      </c>
      <c r="E3005" t="s">
        <v>36</v>
      </c>
      <c r="F3005" t="s">
        <v>46</v>
      </c>
      <c r="G3005">
        <v>3</v>
      </c>
      <c r="H3005">
        <v>7870.44</v>
      </c>
      <c r="I3005">
        <v>1870.85</v>
      </c>
      <c r="J3005" t="s">
        <v>47</v>
      </c>
      <c r="K3005" t="s">
        <v>29</v>
      </c>
      <c r="L3005">
        <f t="shared" si="138"/>
        <v>2022</v>
      </c>
      <c r="M3005" t="str">
        <f t="shared" si="139"/>
        <v>Nov</v>
      </c>
      <c r="N3005" s="2">
        <f t="shared" si="140"/>
        <v>0.23770589700194653</v>
      </c>
    </row>
    <row r="3006" spans="1:14" x14ac:dyDescent="0.45">
      <c r="A3006" t="s">
        <v>5590</v>
      </c>
      <c r="B3006" s="1">
        <v>45443</v>
      </c>
      <c r="C3006" t="s">
        <v>5591</v>
      </c>
      <c r="D3006" t="s">
        <v>13</v>
      </c>
      <c r="E3006" t="s">
        <v>14</v>
      </c>
      <c r="F3006" t="s">
        <v>57</v>
      </c>
      <c r="G3006">
        <v>5</v>
      </c>
      <c r="H3006">
        <v>49519.82</v>
      </c>
      <c r="I3006">
        <v>11207.47</v>
      </c>
      <c r="J3006" t="s">
        <v>28</v>
      </c>
      <c r="K3006" t="s">
        <v>17</v>
      </c>
      <c r="L3006">
        <f t="shared" si="138"/>
        <v>2024</v>
      </c>
      <c r="M3006" t="str">
        <f t="shared" si="139"/>
        <v>May</v>
      </c>
      <c r="N3006" s="2">
        <f t="shared" si="140"/>
        <v>0.22632291474403582</v>
      </c>
    </row>
    <row r="3007" spans="1:14" x14ac:dyDescent="0.45">
      <c r="A3007" t="s">
        <v>5592</v>
      </c>
      <c r="B3007" s="1">
        <v>45044</v>
      </c>
      <c r="C3007" t="s">
        <v>4208</v>
      </c>
      <c r="D3007" t="s">
        <v>13</v>
      </c>
      <c r="E3007" t="s">
        <v>14</v>
      </c>
      <c r="F3007" t="s">
        <v>15</v>
      </c>
      <c r="G3007">
        <v>3</v>
      </c>
      <c r="H3007">
        <v>41070.730000000003</v>
      </c>
      <c r="I3007">
        <v>7688.15</v>
      </c>
      <c r="J3007" t="s">
        <v>28</v>
      </c>
      <c r="K3007" t="s">
        <v>23</v>
      </c>
      <c r="L3007">
        <f t="shared" si="138"/>
        <v>2023</v>
      </c>
      <c r="M3007" t="str">
        <f t="shared" si="139"/>
        <v>Apr</v>
      </c>
      <c r="N3007" s="2">
        <f t="shared" si="140"/>
        <v>0.18719292303789095</v>
      </c>
    </row>
    <row r="3008" spans="1:14" x14ac:dyDescent="0.45">
      <c r="A3008" t="s">
        <v>5593</v>
      </c>
      <c r="B3008" s="1">
        <v>44633</v>
      </c>
      <c r="C3008" t="s">
        <v>5594</v>
      </c>
      <c r="D3008" t="s">
        <v>26</v>
      </c>
      <c r="E3008" t="s">
        <v>36</v>
      </c>
      <c r="F3008" t="s">
        <v>53</v>
      </c>
      <c r="G3008">
        <v>2</v>
      </c>
      <c r="H3008">
        <v>32180.29</v>
      </c>
      <c r="I3008">
        <v>5810.09</v>
      </c>
      <c r="J3008" t="s">
        <v>22</v>
      </c>
      <c r="K3008" t="s">
        <v>23</v>
      </c>
      <c r="L3008">
        <f t="shared" si="138"/>
        <v>2022</v>
      </c>
      <c r="M3008" t="str">
        <f t="shared" si="139"/>
        <v>Mar</v>
      </c>
      <c r="N3008" s="2">
        <f t="shared" si="140"/>
        <v>0.18054809325832677</v>
      </c>
    </row>
    <row r="3009" spans="1:14" x14ac:dyDescent="0.45">
      <c r="A3009" t="s">
        <v>5595</v>
      </c>
      <c r="B3009" s="1">
        <v>44708</v>
      </c>
      <c r="C3009" t="s">
        <v>5596</v>
      </c>
      <c r="D3009" t="s">
        <v>13</v>
      </c>
      <c r="E3009" t="s">
        <v>20</v>
      </c>
      <c r="F3009" t="s">
        <v>21</v>
      </c>
      <c r="G3009">
        <v>3</v>
      </c>
      <c r="H3009">
        <v>39848.82</v>
      </c>
      <c r="I3009">
        <v>4985.93</v>
      </c>
      <c r="J3009" t="s">
        <v>47</v>
      </c>
      <c r="K3009" t="s">
        <v>33</v>
      </c>
      <c r="L3009">
        <f t="shared" si="138"/>
        <v>2022</v>
      </c>
      <c r="M3009" t="str">
        <f t="shared" si="139"/>
        <v>May</v>
      </c>
      <c r="N3009" s="2">
        <f t="shared" si="140"/>
        <v>0.12512114536892185</v>
      </c>
    </row>
    <row r="3010" spans="1:14" x14ac:dyDescent="0.45">
      <c r="A3010" t="s">
        <v>5597</v>
      </c>
      <c r="B3010" s="1">
        <v>45646</v>
      </c>
      <c r="C3010" t="s">
        <v>5598</v>
      </c>
      <c r="D3010" t="s">
        <v>26</v>
      </c>
      <c r="E3010" t="s">
        <v>14</v>
      </c>
      <c r="F3010" t="s">
        <v>32</v>
      </c>
      <c r="G3010">
        <v>2</v>
      </c>
      <c r="H3010">
        <v>35977.86</v>
      </c>
      <c r="I3010">
        <v>6867.48</v>
      </c>
      <c r="J3010" t="s">
        <v>16</v>
      </c>
      <c r="K3010" t="s">
        <v>33</v>
      </c>
      <c r="L3010">
        <f t="shared" si="138"/>
        <v>2024</v>
      </c>
      <c r="M3010" t="str">
        <f t="shared" si="139"/>
        <v>Dec</v>
      </c>
      <c r="N3010" s="2">
        <f t="shared" si="140"/>
        <v>0.19088072497919553</v>
      </c>
    </row>
    <row r="3011" spans="1:14" x14ac:dyDescent="0.45">
      <c r="A3011" t="s">
        <v>5599</v>
      </c>
      <c r="B3011" s="1">
        <v>45437</v>
      </c>
      <c r="C3011" t="s">
        <v>1593</v>
      </c>
      <c r="D3011" t="s">
        <v>56</v>
      </c>
      <c r="E3011" t="s">
        <v>20</v>
      </c>
      <c r="F3011" t="s">
        <v>21</v>
      </c>
      <c r="G3011">
        <v>2</v>
      </c>
      <c r="H3011">
        <v>13825</v>
      </c>
      <c r="I3011">
        <v>2682.98</v>
      </c>
      <c r="J3011" t="s">
        <v>22</v>
      </c>
      <c r="K3011" t="s">
        <v>29</v>
      </c>
      <c r="L3011">
        <f t="shared" ref="L3011:L3074" si="141">YEAR(B3011 )</f>
        <v>2024</v>
      </c>
      <c r="M3011" t="str">
        <f t="shared" ref="M3011:M3074" si="142">TEXT(B3011,"MMM")</f>
        <v>May</v>
      </c>
      <c r="N3011" s="2">
        <f t="shared" ref="N3011:N3074" si="143">I3011 / H3011</f>
        <v>0.19406726943942135</v>
      </c>
    </row>
    <row r="3012" spans="1:14" x14ac:dyDescent="0.45">
      <c r="A3012" t="s">
        <v>5600</v>
      </c>
      <c r="B3012" s="1">
        <v>44716</v>
      </c>
      <c r="C3012" t="s">
        <v>5601</v>
      </c>
      <c r="D3012" t="s">
        <v>13</v>
      </c>
      <c r="E3012" t="s">
        <v>36</v>
      </c>
      <c r="F3012" t="s">
        <v>46</v>
      </c>
      <c r="G3012">
        <v>1</v>
      </c>
      <c r="H3012">
        <v>15698.7</v>
      </c>
      <c r="I3012">
        <v>1878.08</v>
      </c>
      <c r="J3012" t="s">
        <v>16</v>
      </c>
      <c r="K3012" t="s">
        <v>33</v>
      </c>
      <c r="L3012">
        <f t="shared" si="141"/>
        <v>2022</v>
      </c>
      <c r="M3012" t="str">
        <f t="shared" si="142"/>
        <v>Jun</v>
      </c>
      <c r="N3012" s="2">
        <f t="shared" si="143"/>
        <v>0.1196328358399103</v>
      </c>
    </row>
    <row r="3013" spans="1:14" x14ac:dyDescent="0.45">
      <c r="A3013" t="s">
        <v>5602</v>
      </c>
      <c r="B3013" s="1">
        <v>45270</v>
      </c>
      <c r="C3013" t="s">
        <v>3611</v>
      </c>
      <c r="D3013" t="s">
        <v>13</v>
      </c>
      <c r="E3013" t="s">
        <v>20</v>
      </c>
      <c r="F3013" t="s">
        <v>43</v>
      </c>
      <c r="G3013">
        <v>5</v>
      </c>
      <c r="H3013">
        <v>6156.67</v>
      </c>
      <c r="I3013">
        <v>488.04</v>
      </c>
      <c r="J3013" t="s">
        <v>71</v>
      </c>
      <c r="K3013" t="s">
        <v>33</v>
      </c>
      <c r="L3013">
        <f t="shared" si="141"/>
        <v>2023</v>
      </c>
      <c r="M3013" t="str">
        <f t="shared" si="142"/>
        <v>Dec</v>
      </c>
      <c r="N3013" s="2">
        <f t="shared" si="143"/>
        <v>7.9270124921426682E-2</v>
      </c>
    </row>
    <row r="3014" spans="1:14" x14ac:dyDescent="0.45">
      <c r="A3014" t="s">
        <v>5603</v>
      </c>
      <c r="B3014" s="1">
        <v>44924</v>
      </c>
      <c r="C3014" t="s">
        <v>5604</v>
      </c>
      <c r="D3014" t="s">
        <v>26</v>
      </c>
      <c r="E3014" t="s">
        <v>20</v>
      </c>
      <c r="F3014" t="s">
        <v>50</v>
      </c>
      <c r="G3014">
        <v>4</v>
      </c>
      <c r="H3014">
        <v>9059.56</v>
      </c>
      <c r="I3014">
        <v>648.24</v>
      </c>
      <c r="J3014" t="s">
        <v>28</v>
      </c>
      <c r="K3014" t="s">
        <v>17</v>
      </c>
      <c r="L3014">
        <f t="shared" si="141"/>
        <v>2022</v>
      </c>
      <c r="M3014" t="str">
        <f t="shared" si="142"/>
        <v>Dec</v>
      </c>
      <c r="N3014" s="2">
        <f t="shared" si="143"/>
        <v>7.1553143861291288E-2</v>
      </c>
    </row>
    <row r="3015" spans="1:14" x14ac:dyDescent="0.45">
      <c r="A3015" t="s">
        <v>5605</v>
      </c>
      <c r="B3015" s="1">
        <v>44988</v>
      </c>
      <c r="C3015" t="s">
        <v>5606</v>
      </c>
      <c r="D3015" t="s">
        <v>13</v>
      </c>
      <c r="E3015" t="s">
        <v>36</v>
      </c>
      <c r="F3015" t="s">
        <v>37</v>
      </c>
      <c r="G3015">
        <v>4</v>
      </c>
      <c r="H3015">
        <v>42756.74</v>
      </c>
      <c r="I3015">
        <v>9337.68</v>
      </c>
      <c r="J3015" t="s">
        <v>16</v>
      </c>
      <c r="K3015" t="s">
        <v>29</v>
      </c>
      <c r="L3015">
        <f t="shared" si="141"/>
        <v>2023</v>
      </c>
      <c r="M3015" t="str">
        <f t="shared" si="142"/>
        <v>Mar</v>
      </c>
      <c r="N3015" s="2">
        <f t="shared" si="143"/>
        <v>0.21839083148060401</v>
      </c>
    </row>
    <row r="3016" spans="1:14" x14ac:dyDescent="0.45">
      <c r="A3016" t="s">
        <v>5607</v>
      </c>
      <c r="B3016" s="1">
        <v>44946</v>
      </c>
      <c r="C3016" t="s">
        <v>5608</v>
      </c>
      <c r="D3016" t="s">
        <v>26</v>
      </c>
      <c r="E3016" t="s">
        <v>20</v>
      </c>
      <c r="F3016" t="s">
        <v>27</v>
      </c>
      <c r="G3016">
        <v>3</v>
      </c>
      <c r="H3016">
        <v>28964.71</v>
      </c>
      <c r="I3016">
        <v>4582.08</v>
      </c>
      <c r="J3016" t="s">
        <v>16</v>
      </c>
      <c r="K3016" t="s">
        <v>17</v>
      </c>
      <c r="L3016">
        <f t="shared" si="141"/>
        <v>2023</v>
      </c>
      <c r="M3016" t="str">
        <f t="shared" si="142"/>
        <v>Jan</v>
      </c>
      <c r="N3016" s="2">
        <f t="shared" si="143"/>
        <v>0.15819526589425545</v>
      </c>
    </row>
    <row r="3017" spans="1:14" x14ac:dyDescent="0.45">
      <c r="A3017" t="s">
        <v>5609</v>
      </c>
      <c r="B3017" s="1">
        <v>45611</v>
      </c>
      <c r="C3017" t="s">
        <v>5610</v>
      </c>
      <c r="D3017" t="s">
        <v>26</v>
      </c>
      <c r="E3017" t="s">
        <v>20</v>
      </c>
      <c r="F3017" t="s">
        <v>21</v>
      </c>
      <c r="G3017">
        <v>5</v>
      </c>
      <c r="H3017">
        <v>31670.73</v>
      </c>
      <c r="I3017">
        <v>5388.4</v>
      </c>
      <c r="J3017" t="s">
        <v>28</v>
      </c>
      <c r="K3017" t="s">
        <v>17</v>
      </c>
      <c r="L3017">
        <f t="shared" si="141"/>
        <v>2024</v>
      </c>
      <c r="M3017" t="str">
        <f t="shared" si="142"/>
        <v>Nov</v>
      </c>
      <c r="N3017" s="2">
        <f t="shared" si="143"/>
        <v>0.17013816858657821</v>
      </c>
    </row>
    <row r="3018" spans="1:14" x14ac:dyDescent="0.45">
      <c r="A3018" t="s">
        <v>5611</v>
      </c>
      <c r="B3018" s="1">
        <v>45149</v>
      </c>
      <c r="C3018" t="s">
        <v>5612</v>
      </c>
      <c r="D3018" t="s">
        <v>13</v>
      </c>
      <c r="E3018" t="s">
        <v>36</v>
      </c>
      <c r="F3018" t="s">
        <v>53</v>
      </c>
      <c r="G3018">
        <v>5</v>
      </c>
      <c r="H3018">
        <v>26970.67</v>
      </c>
      <c r="I3018">
        <v>2808.05</v>
      </c>
      <c r="J3018" t="s">
        <v>16</v>
      </c>
      <c r="K3018" t="s">
        <v>29</v>
      </c>
      <c r="L3018">
        <f t="shared" si="141"/>
        <v>2023</v>
      </c>
      <c r="M3018" t="str">
        <f t="shared" si="142"/>
        <v>Aug</v>
      </c>
      <c r="N3018" s="2">
        <f t="shared" si="143"/>
        <v>0.10411495153809677</v>
      </c>
    </row>
    <row r="3019" spans="1:14" x14ac:dyDescent="0.45">
      <c r="A3019" t="s">
        <v>5613</v>
      </c>
      <c r="B3019" s="1">
        <v>44762</v>
      </c>
      <c r="C3019" t="s">
        <v>5614</v>
      </c>
      <c r="D3019" t="s">
        <v>13</v>
      </c>
      <c r="E3019" t="s">
        <v>36</v>
      </c>
      <c r="F3019" t="s">
        <v>37</v>
      </c>
      <c r="G3019">
        <v>5</v>
      </c>
      <c r="H3019">
        <v>11558.55</v>
      </c>
      <c r="I3019">
        <v>2724.27</v>
      </c>
      <c r="J3019" t="s">
        <v>47</v>
      </c>
      <c r="K3019" t="s">
        <v>23</v>
      </c>
      <c r="L3019">
        <f t="shared" si="141"/>
        <v>2022</v>
      </c>
      <c r="M3019" t="str">
        <f t="shared" si="142"/>
        <v>Jul</v>
      </c>
      <c r="N3019" s="2">
        <f t="shared" si="143"/>
        <v>0.23569305838535112</v>
      </c>
    </row>
    <row r="3020" spans="1:14" x14ac:dyDescent="0.45">
      <c r="A3020" t="s">
        <v>5615</v>
      </c>
      <c r="B3020" s="1">
        <v>45072</v>
      </c>
      <c r="C3020" t="s">
        <v>5616</v>
      </c>
      <c r="D3020" t="s">
        <v>26</v>
      </c>
      <c r="E3020" t="s">
        <v>36</v>
      </c>
      <c r="F3020" t="s">
        <v>53</v>
      </c>
      <c r="G3020">
        <v>3</v>
      </c>
      <c r="H3020">
        <v>33818.43</v>
      </c>
      <c r="I3020">
        <v>2523.64</v>
      </c>
      <c r="J3020" t="s">
        <v>16</v>
      </c>
      <c r="K3020" t="s">
        <v>33</v>
      </c>
      <c r="L3020">
        <f t="shared" si="141"/>
        <v>2023</v>
      </c>
      <c r="M3020" t="str">
        <f t="shared" si="142"/>
        <v>May</v>
      </c>
      <c r="N3020" s="2">
        <f t="shared" si="143"/>
        <v>7.4623215802744239E-2</v>
      </c>
    </row>
    <row r="3021" spans="1:14" x14ac:dyDescent="0.45">
      <c r="A3021" t="s">
        <v>5617</v>
      </c>
      <c r="B3021" s="1">
        <v>45565</v>
      </c>
      <c r="C3021" t="s">
        <v>3804</v>
      </c>
      <c r="D3021" t="s">
        <v>13</v>
      </c>
      <c r="E3021" t="s">
        <v>36</v>
      </c>
      <c r="F3021" t="s">
        <v>37</v>
      </c>
      <c r="G3021">
        <v>2</v>
      </c>
      <c r="H3021">
        <v>42214.33</v>
      </c>
      <c r="I3021">
        <v>4177.9399999999996</v>
      </c>
      <c r="J3021" t="s">
        <v>28</v>
      </c>
      <c r="K3021" t="s">
        <v>29</v>
      </c>
      <c r="L3021">
        <f t="shared" si="141"/>
        <v>2024</v>
      </c>
      <c r="M3021" t="str">
        <f t="shared" si="142"/>
        <v>Sep</v>
      </c>
      <c r="N3021" s="2">
        <f t="shared" si="143"/>
        <v>9.8969710048696716E-2</v>
      </c>
    </row>
    <row r="3022" spans="1:14" x14ac:dyDescent="0.45">
      <c r="A3022" t="s">
        <v>5618</v>
      </c>
      <c r="B3022" s="1">
        <v>45647</v>
      </c>
      <c r="C3022" t="s">
        <v>2081</v>
      </c>
      <c r="D3022" t="s">
        <v>56</v>
      </c>
      <c r="E3022" t="s">
        <v>36</v>
      </c>
      <c r="F3022" t="s">
        <v>64</v>
      </c>
      <c r="G3022">
        <v>1</v>
      </c>
      <c r="H3022">
        <v>8587.9</v>
      </c>
      <c r="I3022">
        <v>1630.33</v>
      </c>
      <c r="J3022" t="s">
        <v>28</v>
      </c>
      <c r="K3022" t="s">
        <v>23</v>
      </c>
      <c r="L3022">
        <f t="shared" si="141"/>
        <v>2024</v>
      </c>
      <c r="M3022" t="str">
        <f t="shared" si="142"/>
        <v>Dec</v>
      </c>
      <c r="N3022" s="2">
        <f t="shared" si="143"/>
        <v>0.18984035678105241</v>
      </c>
    </row>
    <row r="3023" spans="1:14" x14ac:dyDescent="0.45">
      <c r="A3023" t="s">
        <v>5619</v>
      </c>
      <c r="B3023" s="1">
        <v>45421</v>
      </c>
      <c r="C3023" t="s">
        <v>5620</v>
      </c>
      <c r="D3023" t="s">
        <v>26</v>
      </c>
      <c r="E3023" t="s">
        <v>36</v>
      </c>
      <c r="F3023" t="s">
        <v>64</v>
      </c>
      <c r="G3023">
        <v>3</v>
      </c>
      <c r="H3023">
        <v>33806.93</v>
      </c>
      <c r="I3023">
        <v>2430.98</v>
      </c>
      <c r="J3023" t="s">
        <v>16</v>
      </c>
      <c r="K3023" t="s">
        <v>33</v>
      </c>
      <c r="L3023">
        <f t="shared" si="141"/>
        <v>2024</v>
      </c>
      <c r="M3023" t="str">
        <f t="shared" si="142"/>
        <v>May</v>
      </c>
      <c r="N3023" s="2">
        <f t="shared" si="143"/>
        <v>7.1907741992544127E-2</v>
      </c>
    </row>
    <row r="3024" spans="1:14" x14ac:dyDescent="0.45">
      <c r="A3024" t="s">
        <v>5621</v>
      </c>
      <c r="B3024" s="1">
        <v>44621</v>
      </c>
      <c r="C3024" t="s">
        <v>5622</v>
      </c>
      <c r="D3024" t="s">
        <v>56</v>
      </c>
      <c r="E3024" t="s">
        <v>20</v>
      </c>
      <c r="F3024" t="s">
        <v>27</v>
      </c>
      <c r="G3024">
        <v>3</v>
      </c>
      <c r="H3024">
        <v>45625.99</v>
      </c>
      <c r="I3024">
        <v>4079.74</v>
      </c>
      <c r="J3024" t="s">
        <v>28</v>
      </c>
      <c r="K3024" t="s">
        <v>17</v>
      </c>
      <c r="L3024">
        <f t="shared" si="141"/>
        <v>2022</v>
      </c>
      <c r="M3024" t="str">
        <f t="shared" si="142"/>
        <v>Mar</v>
      </c>
      <c r="N3024" s="2">
        <f t="shared" si="143"/>
        <v>8.9417018677293361E-2</v>
      </c>
    </row>
    <row r="3025" spans="1:14" x14ac:dyDescent="0.45">
      <c r="A3025" t="s">
        <v>5623</v>
      </c>
      <c r="B3025" s="1">
        <v>45046</v>
      </c>
      <c r="C3025" t="s">
        <v>1151</v>
      </c>
      <c r="D3025" t="s">
        <v>13</v>
      </c>
      <c r="E3025" t="s">
        <v>36</v>
      </c>
      <c r="F3025" t="s">
        <v>53</v>
      </c>
      <c r="G3025">
        <v>4</v>
      </c>
      <c r="H3025">
        <v>4241.75</v>
      </c>
      <c r="I3025">
        <v>884.24</v>
      </c>
      <c r="J3025" t="s">
        <v>71</v>
      </c>
      <c r="K3025" t="s">
        <v>29</v>
      </c>
      <c r="L3025">
        <f t="shared" si="141"/>
        <v>2023</v>
      </c>
      <c r="M3025" t="str">
        <f t="shared" si="142"/>
        <v>Apr</v>
      </c>
      <c r="N3025" s="2">
        <f t="shared" si="143"/>
        <v>0.20846113042965758</v>
      </c>
    </row>
    <row r="3026" spans="1:14" x14ac:dyDescent="0.45">
      <c r="A3026" t="s">
        <v>5624</v>
      </c>
      <c r="B3026" s="1">
        <v>45460</v>
      </c>
      <c r="C3026" t="s">
        <v>63</v>
      </c>
      <c r="D3026" t="s">
        <v>56</v>
      </c>
      <c r="E3026" t="s">
        <v>14</v>
      </c>
      <c r="F3026" t="s">
        <v>57</v>
      </c>
      <c r="G3026">
        <v>2</v>
      </c>
      <c r="H3026">
        <v>41340.22</v>
      </c>
      <c r="I3026">
        <v>3916.35</v>
      </c>
      <c r="J3026" t="s">
        <v>22</v>
      </c>
      <c r="K3026" t="s">
        <v>33</v>
      </c>
      <c r="L3026">
        <f t="shared" si="141"/>
        <v>2024</v>
      </c>
      <c r="M3026" t="str">
        <f t="shared" si="142"/>
        <v>Jun</v>
      </c>
      <c r="N3026" s="2">
        <f t="shared" si="143"/>
        <v>9.4734619215862903E-2</v>
      </c>
    </row>
    <row r="3027" spans="1:14" x14ac:dyDescent="0.45">
      <c r="A3027" t="s">
        <v>5625</v>
      </c>
      <c r="B3027" s="1">
        <v>45096</v>
      </c>
      <c r="C3027" t="s">
        <v>5626</v>
      </c>
      <c r="D3027" t="s">
        <v>26</v>
      </c>
      <c r="E3027" t="s">
        <v>36</v>
      </c>
      <c r="F3027" t="s">
        <v>37</v>
      </c>
      <c r="G3027">
        <v>2</v>
      </c>
      <c r="H3027">
        <v>30354.44</v>
      </c>
      <c r="I3027">
        <v>3773.74</v>
      </c>
      <c r="J3027" t="s">
        <v>47</v>
      </c>
      <c r="K3027" t="s">
        <v>29</v>
      </c>
      <c r="L3027">
        <f t="shared" si="141"/>
        <v>2023</v>
      </c>
      <c r="M3027" t="str">
        <f t="shared" si="142"/>
        <v>Jun</v>
      </c>
      <c r="N3027" s="2">
        <f t="shared" si="143"/>
        <v>0.12432250438486099</v>
      </c>
    </row>
    <row r="3028" spans="1:14" x14ac:dyDescent="0.45">
      <c r="A3028" t="s">
        <v>5627</v>
      </c>
      <c r="B3028" s="1">
        <v>44845</v>
      </c>
      <c r="C3028" t="s">
        <v>5628</v>
      </c>
      <c r="D3028" t="s">
        <v>26</v>
      </c>
      <c r="E3028" t="s">
        <v>36</v>
      </c>
      <c r="F3028" t="s">
        <v>53</v>
      </c>
      <c r="G3028">
        <v>4</v>
      </c>
      <c r="H3028">
        <v>15117.2</v>
      </c>
      <c r="I3028">
        <v>1559.8</v>
      </c>
      <c r="J3028" t="s">
        <v>71</v>
      </c>
      <c r="K3028" t="s">
        <v>33</v>
      </c>
      <c r="L3028">
        <f t="shared" si="141"/>
        <v>2022</v>
      </c>
      <c r="M3028" t="str">
        <f t="shared" si="142"/>
        <v>Oct</v>
      </c>
      <c r="N3028" s="2">
        <f t="shared" si="143"/>
        <v>0.10318048315825681</v>
      </c>
    </row>
    <row r="3029" spans="1:14" x14ac:dyDescent="0.45">
      <c r="A3029" t="s">
        <v>5629</v>
      </c>
      <c r="B3029" s="1">
        <v>45210</v>
      </c>
      <c r="C3029" t="s">
        <v>5630</v>
      </c>
      <c r="D3029" t="s">
        <v>13</v>
      </c>
      <c r="E3029" t="s">
        <v>20</v>
      </c>
      <c r="F3029" t="s">
        <v>50</v>
      </c>
      <c r="G3029">
        <v>5</v>
      </c>
      <c r="H3029">
        <v>44961.56</v>
      </c>
      <c r="I3029">
        <v>8702.18</v>
      </c>
      <c r="J3029" t="s">
        <v>71</v>
      </c>
      <c r="K3029" t="s">
        <v>33</v>
      </c>
      <c r="L3029">
        <f t="shared" si="141"/>
        <v>2023</v>
      </c>
      <c r="M3029" t="str">
        <f t="shared" si="142"/>
        <v>Oct</v>
      </c>
      <c r="N3029" s="2">
        <f t="shared" si="143"/>
        <v>0.19354711002020394</v>
      </c>
    </row>
    <row r="3030" spans="1:14" x14ac:dyDescent="0.45">
      <c r="A3030" t="s">
        <v>5631</v>
      </c>
      <c r="B3030" s="1">
        <v>45315</v>
      </c>
      <c r="C3030" t="s">
        <v>5632</v>
      </c>
      <c r="D3030" t="s">
        <v>26</v>
      </c>
      <c r="E3030" t="s">
        <v>36</v>
      </c>
      <c r="F3030" t="s">
        <v>64</v>
      </c>
      <c r="G3030">
        <v>2</v>
      </c>
      <c r="H3030">
        <v>44979.46</v>
      </c>
      <c r="I3030">
        <v>7389.43</v>
      </c>
      <c r="J3030" t="s">
        <v>16</v>
      </c>
      <c r="K3030" t="s">
        <v>17</v>
      </c>
      <c r="L3030">
        <f t="shared" si="141"/>
        <v>2024</v>
      </c>
      <c r="M3030" t="str">
        <f t="shared" si="142"/>
        <v>Jan</v>
      </c>
      <c r="N3030" s="2">
        <f t="shared" si="143"/>
        <v>0.16428454232220663</v>
      </c>
    </row>
    <row r="3031" spans="1:14" x14ac:dyDescent="0.45">
      <c r="A3031" t="s">
        <v>5633</v>
      </c>
      <c r="B3031" s="1">
        <v>44811</v>
      </c>
      <c r="C3031" t="s">
        <v>5634</v>
      </c>
      <c r="D3031" t="s">
        <v>26</v>
      </c>
      <c r="E3031" t="s">
        <v>14</v>
      </c>
      <c r="F3031" t="s">
        <v>40</v>
      </c>
      <c r="G3031">
        <v>3</v>
      </c>
      <c r="H3031">
        <v>19598.490000000002</v>
      </c>
      <c r="I3031">
        <v>1717.23</v>
      </c>
      <c r="J3031" t="s">
        <v>22</v>
      </c>
      <c r="K3031" t="s">
        <v>33</v>
      </c>
      <c r="L3031">
        <f t="shared" si="141"/>
        <v>2022</v>
      </c>
      <c r="M3031" t="str">
        <f t="shared" si="142"/>
        <v>Sep</v>
      </c>
      <c r="N3031" s="2">
        <f t="shared" si="143"/>
        <v>8.762052586704383E-2</v>
      </c>
    </row>
    <row r="3032" spans="1:14" x14ac:dyDescent="0.45">
      <c r="A3032" t="s">
        <v>5635</v>
      </c>
      <c r="B3032" s="1">
        <v>45541</v>
      </c>
      <c r="C3032" t="s">
        <v>1758</v>
      </c>
      <c r="D3032" t="s">
        <v>56</v>
      </c>
      <c r="E3032" t="s">
        <v>36</v>
      </c>
      <c r="F3032" t="s">
        <v>37</v>
      </c>
      <c r="G3032">
        <v>5</v>
      </c>
      <c r="H3032">
        <v>2562.08</v>
      </c>
      <c r="I3032">
        <v>430.32</v>
      </c>
      <c r="J3032" t="s">
        <v>47</v>
      </c>
      <c r="K3032" t="s">
        <v>17</v>
      </c>
      <c r="L3032">
        <f t="shared" si="141"/>
        <v>2024</v>
      </c>
      <c r="M3032" t="str">
        <f t="shared" si="142"/>
        <v>Sep</v>
      </c>
      <c r="N3032" s="2">
        <f t="shared" si="143"/>
        <v>0.16795728470617624</v>
      </c>
    </row>
    <row r="3033" spans="1:14" x14ac:dyDescent="0.45">
      <c r="A3033" t="s">
        <v>5636</v>
      </c>
      <c r="B3033" s="1">
        <v>45465</v>
      </c>
      <c r="C3033" t="s">
        <v>5637</v>
      </c>
      <c r="D3033" t="s">
        <v>13</v>
      </c>
      <c r="E3033" t="s">
        <v>36</v>
      </c>
      <c r="F3033" t="s">
        <v>64</v>
      </c>
      <c r="G3033">
        <v>1</v>
      </c>
      <c r="H3033">
        <v>48280.43</v>
      </c>
      <c r="I3033">
        <v>9932.27</v>
      </c>
      <c r="J3033" t="s">
        <v>47</v>
      </c>
      <c r="K3033" t="s">
        <v>29</v>
      </c>
      <c r="L3033">
        <f t="shared" si="141"/>
        <v>2024</v>
      </c>
      <c r="M3033" t="str">
        <f t="shared" si="142"/>
        <v>Jun</v>
      </c>
      <c r="N3033" s="2">
        <f t="shared" si="143"/>
        <v>0.20572041301206306</v>
      </c>
    </row>
    <row r="3034" spans="1:14" x14ac:dyDescent="0.45">
      <c r="A3034" t="s">
        <v>5638</v>
      </c>
      <c r="B3034" s="1">
        <v>45551</v>
      </c>
      <c r="C3034" t="s">
        <v>5639</v>
      </c>
      <c r="D3034" t="s">
        <v>26</v>
      </c>
      <c r="E3034" t="s">
        <v>20</v>
      </c>
      <c r="F3034" t="s">
        <v>43</v>
      </c>
      <c r="G3034">
        <v>1</v>
      </c>
      <c r="H3034">
        <v>10255.15</v>
      </c>
      <c r="I3034">
        <v>2232.14</v>
      </c>
      <c r="J3034" t="s">
        <v>22</v>
      </c>
      <c r="K3034" t="s">
        <v>17</v>
      </c>
      <c r="L3034">
        <f t="shared" si="141"/>
        <v>2024</v>
      </c>
      <c r="M3034" t="str">
        <f t="shared" si="142"/>
        <v>Sep</v>
      </c>
      <c r="N3034" s="2">
        <f t="shared" si="143"/>
        <v>0.21766039502103821</v>
      </c>
    </row>
    <row r="3035" spans="1:14" x14ac:dyDescent="0.45">
      <c r="A3035" t="s">
        <v>5640</v>
      </c>
      <c r="B3035" s="1">
        <v>44629</v>
      </c>
      <c r="C3035" t="s">
        <v>5641</v>
      </c>
      <c r="D3035" t="s">
        <v>13</v>
      </c>
      <c r="E3035" t="s">
        <v>20</v>
      </c>
      <c r="F3035" t="s">
        <v>50</v>
      </c>
      <c r="G3035">
        <v>2</v>
      </c>
      <c r="H3035">
        <v>16730.580000000002</v>
      </c>
      <c r="I3035">
        <v>2622.65</v>
      </c>
      <c r="J3035" t="s">
        <v>28</v>
      </c>
      <c r="K3035" t="s">
        <v>29</v>
      </c>
      <c r="L3035">
        <f t="shared" si="141"/>
        <v>2022</v>
      </c>
      <c r="M3035" t="str">
        <f t="shared" si="142"/>
        <v>Mar</v>
      </c>
      <c r="N3035" s="2">
        <f t="shared" si="143"/>
        <v>0.15675786493952987</v>
      </c>
    </row>
    <row r="3036" spans="1:14" x14ac:dyDescent="0.45">
      <c r="A3036" t="s">
        <v>5642</v>
      </c>
      <c r="B3036" s="1">
        <v>44581</v>
      </c>
      <c r="C3036" t="s">
        <v>5643</v>
      </c>
      <c r="D3036" t="s">
        <v>56</v>
      </c>
      <c r="E3036" t="s">
        <v>36</v>
      </c>
      <c r="F3036" t="s">
        <v>46</v>
      </c>
      <c r="G3036">
        <v>3</v>
      </c>
      <c r="H3036">
        <v>44808.22</v>
      </c>
      <c r="I3036">
        <v>10434.16</v>
      </c>
      <c r="J3036" t="s">
        <v>47</v>
      </c>
      <c r="K3036" t="s">
        <v>33</v>
      </c>
      <c r="L3036">
        <f t="shared" si="141"/>
        <v>2022</v>
      </c>
      <c r="M3036" t="str">
        <f t="shared" si="142"/>
        <v>Jan</v>
      </c>
      <c r="N3036" s="2">
        <f t="shared" si="143"/>
        <v>0.23286263100832838</v>
      </c>
    </row>
    <row r="3037" spans="1:14" x14ac:dyDescent="0.45">
      <c r="A3037" t="s">
        <v>5644</v>
      </c>
      <c r="B3037" s="1">
        <v>45329</v>
      </c>
      <c r="C3037" t="s">
        <v>337</v>
      </c>
      <c r="D3037" t="s">
        <v>56</v>
      </c>
      <c r="E3037" t="s">
        <v>36</v>
      </c>
      <c r="F3037" t="s">
        <v>64</v>
      </c>
      <c r="G3037">
        <v>2</v>
      </c>
      <c r="H3037">
        <v>17455.46</v>
      </c>
      <c r="I3037">
        <v>4332.75</v>
      </c>
      <c r="J3037" t="s">
        <v>47</v>
      </c>
      <c r="K3037" t="s">
        <v>17</v>
      </c>
      <c r="L3037">
        <f t="shared" si="141"/>
        <v>2024</v>
      </c>
      <c r="M3037" t="str">
        <f t="shared" si="142"/>
        <v>Feb</v>
      </c>
      <c r="N3037" s="2">
        <f t="shared" si="143"/>
        <v>0.24821746318916832</v>
      </c>
    </row>
    <row r="3038" spans="1:14" x14ac:dyDescent="0.45">
      <c r="A3038" t="s">
        <v>5645</v>
      </c>
      <c r="B3038" s="1">
        <v>45586</v>
      </c>
      <c r="C3038" t="s">
        <v>5646</v>
      </c>
      <c r="D3038" t="s">
        <v>26</v>
      </c>
      <c r="E3038" t="s">
        <v>36</v>
      </c>
      <c r="F3038" t="s">
        <v>37</v>
      </c>
      <c r="G3038">
        <v>4</v>
      </c>
      <c r="H3038">
        <v>3708.08</v>
      </c>
      <c r="I3038">
        <v>424</v>
      </c>
      <c r="J3038" t="s">
        <v>22</v>
      </c>
      <c r="K3038" t="s">
        <v>17</v>
      </c>
      <c r="L3038">
        <f t="shared" si="141"/>
        <v>2024</v>
      </c>
      <c r="M3038" t="str">
        <f t="shared" si="142"/>
        <v>Oct</v>
      </c>
      <c r="N3038" s="2">
        <f t="shared" si="143"/>
        <v>0.11434489007788397</v>
      </c>
    </row>
    <row r="3039" spans="1:14" x14ac:dyDescent="0.45">
      <c r="A3039" t="s">
        <v>5647</v>
      </c>
      <c r="B3039" s="1">
        <v>44638</v>
      </c>
      <c r="C3039" t="s">
        <v>4464</v>
      </c>
      <c r="D3039" t="s">
        <v>13</v>
      </c>
      <c r="E3039" t="s">
        <v>36</v>
      </c>
      <c r="F3039" t="s">
        <v>64</v>
      </c>
      <c r="G3039">
        <v>1</v>
      </c>
      <c r="H3039">
        <v>11126.63</v>
      </c>
      <c r="I3039">
        <v>845.96</v>
      </c>
      <c r="J3039" t="s">
        <v>71</v>
      </c>
      <c r="K3039" t="s">
        <v>17</v>
      </c>
      <c r="L3039">
        <f t="shared" si="141"/>
        <v>2022</v>
      </c>
      <c r="M3039" t="str">
        <f t="shared" si="142"/>
        <v>Mar</v>
      </c>
      <c r="N3039" s="2">
        <f t="shared" si="143"/>
        <v>7.603020860763772E-2</v>
      </c>
    </row>
    <row r="3040" spans="1:14" x14ac:dyDescent="0.45">
      <c r="A3040" t="s">
        <v>5648</v>
      </c>
      <c r="B3040" s="1">
        <v>44675</v>
      </c>
      <c r="C3040" t="s">
        <v>5649</v>
      </c>
      <c r="D3040" t="s">
        <v>56</v>
      </c>
      <c r="E3040" t="s">
        <v>20</v>
      </c>
      <c r="F3040" t="s">
        <v>43</v>
      </c>
      <c r="G3040">
        <v>5</v>
      </c>
      <c r="H3040">
        <v>12222.62</v>
      </c>
      <c r="I3040">
        <v>1617.93</v>
      </c>
      <c r="J3040" t="s">
        <v>22</v>
      </c>
      <c r="K3040" t="s">
        <v>33</v>
      </c>
      <c r="L3040">
        <f t="shared" si="141"/>
        <v>2022</v>
      </c>
      <c r="M3040" t="str">
        <f t="shared" si="142"/>
        <v>Apr</v>
      </c>
      <c r="N3040" s="2">
        <f t="shared" si="143"/>
        <v>0.13237178280925038</v>
      </c>
    </row>
    <row r="3041" spans="1:14" x14ac:dyDescent="0.45">
      <c r="A3041" t="s">
        <v>5650</v>
      </c>
      <c r="B3041" s="1">
        <v>45496</v>
      </c>
      <c r="C3041" t="s">
        <v>4183</v>
      </c>
      <c r="D3041" t="s">
        <v>56</v>
      </c>
      <c r="E3041" t="s">
        <v>14</v>
      </c>
      <c r="F3041" t="s">
        <v>40</v>
      </c>
      <c r="G3041">
        <v>5</v>
      </c>
      <c r="H3041">
        <v>33814.89</v>
      </c>
      <c r="I3041">
        <v>8413.17</v>
      </c>
      <c r="J3041" t="s">
        <v>28</v>
      </c>
      <c r="K3041" t="s">
        <v>23</v>
      </c>
      <c r="L3041">
        <f t="shared" si="141"/>
        <v>2024</v>
      </c>
      <c r="M3041" t="str">
        <f t="shared" si="142"/>
        <v>Jul</v>
      </c>
      <c r="N3041" s="2">
        <f t="shared" si="143"/>
        <v>0.24880075020205597</v>
      </c>
    </row>
    <row r="3042" spans="1:14" x14ac:dyDescent="0.45">
      <c r="A3042" t="s">
        <v>5651</v>
      </c>
      <c r="B3042" s="1">
        <v>44894</v>
      </c>
      <c r="C3042" t="s">
        <v>5652</v>
      </c>
      <c r="D3042" t="s">
        <v>13</v>
      </c>
      <c r="E3042" t="s">
        <v>36</v>
      </c>
      <c r="F3042" t="s">
        <v>46</v>
      </c>
      <c r="G3042">
        <v>3</v>
      </c>
      <c r="H3042">
        <v>49650.7</v>
      </c>
      <c r="I3042">
        <v>11692.36</v>
      </c>
      <c r="J3042" t="s">
        <v>28</v>
      </c>
      <c r="K3042" t="s">
        <v>23</v>
      </c>
      <c r="L3042">
        <f t="shared" si="141"/>
        <v>2022</v>
      </c>
      <c r="M3042" t="str">
        <f t="shared" si="142"/>
        <v>Nov</v>
      </c>
      <c r="N3042" s="2">
        <f t="shared" si="143"/>
        <v>0.23549234955398415</v>
      </c>
    </row>
    <row r="3043" spans="1:14" x14ac:dyDescent="0.45">
      <c r="A3043" t="s">
        <v>5653</v>
      </c>
      <c r="B3043" s="1">
        <v>45068</v>
      </c>
      <c r="C3043" t="s">
        <v>5654</v>
      </c>
      <c r="D3043" t="s">
        <v>56</v>
      </c>
      <c r="E3043" t="s">
        <v>20</v>
      </c>
      <c r="F3043" t="s">
        <v>27</v>
      </c>
      <c r="G3043">
        <v>1</v>
      </c>
      <c r="H3043">
        <v>35308</v>
      </c>
      <c r="I3043">
        <v>8343.9</v>
      </c>
      <c r="J3043" t="s">
        <v>71</v>
      </c>
      <c r="K3043" t="s">
        <v>33</v>
      </c>
      <c r="L3043">
        <f t="shared" si="141"/>
        <v>2023</v>
      </c>
      <c r="M3043" t="str">
        <f t="shared" si="142"/>
        <v>May</v>
      </c>
      <c r="N3043" s="2">
        <f t="shared" si="143"/>
        <v>0.23631754843095049</v>
      </c>
    </row>
    <row r="3044" spans="1:14" x14ac:dyDescent="0.45">
      <c r="A3044" t="s">
        <v>5655</v>
      </c>
      <c r="B3044" s="1">
        <v>45405</v>
      </c>
      <c r="C3044" t="s">
        <v>5656</v>
      </c>
      <c r="D3044" t="s">
        <v>13</v>
      </c>
      <c r="E3044" t="s">
        <v>14</v>
      </c>
      <c r="F3044" t="s">
        <v>15</v>
      </c>
      <c r="G3044">
        <v>3</v>
      </c>
      <c r="H3044">
        <v>39736.29</v>
      </c>
      <c r="I3044">
        <v>4484.3999999999996</v>
      </c>
      <c r="J3044" t="s">
        <v>47</v>
      </c>
      <c r="K3044" t="s">
        <v>29</v>
      </c>
      <c r="L3044">
        <f t="shared" si="141"/>
        <v>2024</v>
      </c>
      <c r="M3044" t="str">
        <f t="shared" si="142"/>
        <v>Apr</v>
      </c>
      <c r="N3044" s="2">
        <f t="shared" si="143"/>
        <v>0.11285401832934075</v>
      </c>
    </row>
    <row r="3045" spans="1:14" x14ac:dyDescent="0.45">
      <c r="A3045" t="s">
        <v>5657</v>
      </c>
      <c r="B3045" s="1">
        <v>45175</v>
      </c>
      <c r="C3045" t="s">
        <v>5658</v>
      </c>
      <c r="D3045" t="s">
        <v>56</v>
      </c>
      <c r="E3045" t="s">
        <v>14</v>
      </c>
      <c r="F3045" t="s">
        <v>40</v>
      </c>
      <c r="G3045">
        <v>4</v>
      </c>
      <c r="H3045">
        <v>27171.8</v>
      </c>
      <c r="I3045">
        <v>3702.18</v>
      </c>
      <c r="J3045" t="s">
        <v>47</v>
      </c>
      <c r="K3045" t="s">
        <v>29</v>
      </c>
      <c r="L3045">
        <f t="shared" si="141"/>
        <v>2023</v>
      </c>
      <c r="M3045" t="str">
        <f t="shared" si="142"/>
        <v>Sep</v>
      </c>
      <c r="N3045" s="2">
        <f t="shared" si="143"/>
        <v>0.13625081886367485</v>
      </c>
    </row>
    <row r="3046" spans="1:14" x14ac:dyDescent="0.45">
      <c r="A3046" t="s">
        <v>5659</v>
      </c>
      <c r="B3046" s="1">
        <v>44819</v>
      </c>
      <c r="C3046" t="s">
        <v>5660</v>
      </c>
      <c r="D3046" t="s">
        <v>13</v>
      </c>
      <c r="E3046" t="s">
        <v>20</v>
      </c>
      <c r="F3046" t="s">
        <v>21</v>
      </c>
      <c r="G3046">
        <v>4</v>
      </c>
      <c r="H3046">
        <v>47351.71</v>
      </c>
      <c r="I3046">
        <v>8397.33</v>
      </c>
      <c r="J3046" t="s">
        <v>71</v>
      </c>
      <c r="K3046" t="s">
        <v>33</v>
      </c>
      <c r="L3046">
        <f t="shared" si="141"/>
        <v>2022</v>
      </c>
      <c r="M3046" t="str">
        <f t="shared" si="142"/>
        <v>Sep</v>
      </c>
      <c r="N3046" s="2">
        <f t="shared" si="143"/>
        <v>0.17733953008244052</v>
      </c>
    </row>
    <row r="3047" spans="1:14" x14ac:dyDescent="0.45">
      <c r="A3047" t="s">
        <v>5661</v>
      </c>
      <c r="B3047" s="1">
        <v>45314</v>
      </c>
      <c r="C3047" t="s">
        <v>5451</v>
      </c>
      <c r="D3047" t="s">
        <v>56</v>
      </c>
      <c r="E3047" t="s">
        <v>36</v>
      </c>
      <c r="F3047" t="s">
        <v>64</v>
      </c>
      <c r="G3047">
        <v>1</v>
      </c>
      <c r="H3047">
        <v>4975.03</v>
      </c>
      <c r="I3047">
        <v>347.08</v>
      </c>
      <c r="J3047" t="s">
        <v>47</v>
      </c>
      <c r="K3047" t="s">
        <v>23</v>
      </c>
      <c r="L3047">
        <f t="shared" si="141"/>
        <v>2024</v>
      </c>
      <c r="M3047" t="str">
        <f t="shared" si="142"/>
        <v>Jan</v>
      </c>
      <c r="N3047" s="2">
        <f t="shared" si="143"/>
        <v>6.9764403430733077E-2</v>
      </c>
    </row>
    <row r="3048" spans="1:14" x14ac:dyDescent="0.45">
      <c r="A3048" t="s">
        <v>5662</v>
      </c>
      <c r="B3048" s="1">
        <v>45168</v>
      </c>
      <c r="C3048" t="s">
        <v>5663</v>
      </c>
      <c r="D3048" t="s">
        <v>13</v>
      </c>
      <c r="E3048" t="s">
        <v>20</v>
      </c>
      <c r="F3048" t="s">
        <v>27</v>
      </c>
      <c r="G3048">
        <v>5</v>
      </c>
      <c r="H3048">
        <v>14334.72</v>
      </c>
      <c r="I3048">
        <v>1033.28</v>
      </c>
      <c r="J3048" t="s">
        <v>71</v>
      </c>
      <c r="K3048" t="s">
        <v>17</v>
      </c>
      <c r="L3048">
        <f t="shared" si="141"/>
        <v>2023</v>
      </c>
      <c r="M3048" t="str">
        <f t="shared" si="142"/>
        <v>Aug</v>
      </c>
      <c r="N3048" s="2">
        <f t="shared" si="143"/>
        <v>7.2082328779355304E-2</v>
      </c>
    </row>
    <row r="3049" spans="1:14" x14ac:dyDescent="0.45">
      <c r="A3049" t="s">
        <v>5664</v>
      </c>
      <c r="B3049" s="1">
        <v>45218</v>
      </c>
      <c r="C3049" t="s">
        <v>929</v>
      </c>
      <c r="D3049" t="s">
        <v>26</v>
      </c>
      <c r="E3049" t="s">
        <v>20</v>
      </c>
      <c r="F3049" t="s">
        <v>43</v>
      </c>
      <c r="G3049">
        <v>4</v>
      </c>
      <c r="H3049">
        <v>33610.120000000003</v>
      </c>
      <c r="I3049">
        <v>7492.98</v>
      </c>
      <c r="J3049" t="s">
        <v>71</v>
      </c>
      <c r="K3049" t="s">
        <v>17</v>
      </c>
      <c r="L3049">
        <f t="shared" si="141"/>
        <v>2023</v>
      </c>
      <c r="M3049" t="str">
        <f t="shared" si="142"/>
        <v>Oct</v>
      </c>
      <c r="N3049" s="2">
        <f t="shared" si="143"/>
        <v>0.2229382102771427</v>
      </c>
    </row>
    <row r="3050" spans="1:14" x14ac:dyDescent="0.45">
      <c r="A3050" t="s">
        <v>5665</v>
      </c>
      <c r="B3050" s="1">
        <v>44757</v>
      </c>
      <c r="C3050" t="s">
        <v>3825</v>
      </c>
      <c r="D3050" t="s">
        <v>56</v>
      </c>
      <c r="E3050" t="s">
        <v>36</v>
      </c>
      <c r="F3050" t="s">
        <v>46</v>
      </c>
      <c r="G3050">
        <v>3</v>
      </c>
      <c r="H3050">
        <v>17928.91</v>
      </c>
      <c r="I3050">
        <v>1722.12</v>
      </c>
      <c r="J3050" t="s">
        <v>71</v>
      </c>
      <c r="K3050" t="s">
        <v>23</v>
      </c>
      <c r="L3050">
        <f t="shared" si="141"/>
        <v>2022</v>
      </c>
      <c r="M3050" t="str">
        <f t="shared" si="142"/>
        <v>Jul</v>
      </c>
      <c r="N3050" s="2">
        <f t="shared" si="143"/>
        <v>9.6052688088679117E-2</v>
      </c>
    </row>
    <row r="3051" spans="1:14" x14ac:dyDescent="0.45">
      <c r="A3051" t="s">
        <v>5666</v>
      </c>
      <c r="B3051" s="1">
        <v>44724</v>
      </c>
      <c r="C3051" t="s">
        <v>5667</v>
      </c>
      <c r="D3051" t="s">
        <v>56</v>
      </c>
      <c r="E3051" t="s">
        <v>14</v>
      </c>
      <c r="F3051" t="s">
        <v>32</v>
      </c>
      <c r="G3051">
        <v>1</v>
      </c>
      <c r="H3051">
        <v>48379.63</v>
      </c>
      <c r="I3051">
        <v>4753.72</v>
      </c>
      <c r="J3051" t="s">
        <v>47</v>
      </c>
      <c r="K3051" t="s">
        <v>23</v>
      </c>
      <c r="L3051">
        <f t="shared" si="141"/>
        <v>2022</v>
      </c>
      <c r="M3051" t="str">
        <f t="shared" si="142"/>
        <v>Jun</v>
      </c>
      <c r="N3051" s="2">
        <f t="shared" si="143"/>
        <v>9.825870929562712E-2</v>
      </c>
    </row>
    <row r="3052" spans="1:14" x14ac:dyDescent="0.45">
      <c r="A3052" t="s">
        <v>5668</v>
      </c>
      <c r="B3052" s="1">
        <v>45197</v>
      </c>
      <c r="C3052" t="s">
        <v>5669</v>
      </c>
      <c r="D3052" t="s">
        <v>13</v>
      </c>
      <c r="E3052" t="s">
        <v>14</v>
      </c>
      <c r="F3052" t="s">
        <v>32</v>
      </c>
      <c r="G3052">
        <v>4</v>
      </c>
      <c r="H3052">
        <v>22082.32</v>
      </c>
      <c r="I3052">
        <v>2595.48</v>
      </c>
      <c r="J3052" t="s">
        <v>71</v>
      </c>
      <c r="K3052" t="s">
        <v>23</v>
      </c>
      <c r="L3052">
        <f t="shared" si="141"/>
        <v>2023</v>
      </c>
      <c r="M3052" t="str">
        <f t="shared" si="142"/>
        <v>Sep</v>
      </c>
      <c r="N3052" s="2">
        <f t="shared" si="143"/>
        <v>0.11753656318720135</v>
      </c>
    </row>
    <row r="3053" spans="1:14" x14ac:dyDescent="0.45">
      <c r="A3053" t="s">
        <v>5670</v>
      </c>
      <c r="B3053" s="1">
        <v>45147</v>
      </c>
      <c r="C3053" t="s">
        <v>5671</v>
      </c>
      <c r="D3053" t="s">
        <v>13</v>
      </c>
      <c r="E3053" t="s">
        <v>14</v>
      </c>
      <c r="F3053" t="s">
        <v>57</v>
      </c>
      <c r="G3053">
        <v>4</v>
      </c>
      <c r="H3053">
        <v>29023.15</v>
      </c>
      <c r="I3053">
        <v>4973.03</v>
      </c>
      <c r="J3053" t="s">
        <v>22</v>
      </c>
      <c r="K3053" t="s">
        <v>29</v>
      </c>
      <c r="L3053">
        <f t="shared" si="141"/>
        <v>2023</v>
      </c>
      <c r="M3053" t="str">
        <f t="shared" si="142"/>
        <v>Aug</v>
      </c>
      <c r="N3053" s="2">
        <f t="shared" si="143"/>
        <v>0.17134701092059268</v>
      </c>
    </row>
    <row r="3054" spans="1:14" x14ac:dyDescent="0.45">
      <c r="A3054" t="s">
        <v>5672</v>
      </c>
      <c r="B3054" s="1">
        <v>44663</v>
      </c>
      <c r="C3054" t="s">
        <v>3240</v>
      </c>
      <c r="D3054" t="s">
        <v>56</v>
      </c>
      <c r="E3054" t="s">
        <v>14</v>
      </c>
      <c r="F3054" t="s">
        <v>32</v>
      </c>
      <c r="G3054">
        <v>2</v>
      </c>
      <c r="H3054">
        <v>35699.22</v>
      </c>
      <c r="I3054">
        <v>2024.14</v>
      </c>
      <c r="J3054" t="s">
        <v>28</v>
      </c>
      <c r="K3054" t="s">
        <v>33</v>
      </c>
      <c r="L3054">
        <f t="shared" si="141"/>
        <v>2022</v>
      </c>
      <c r="M3054" t="str">
        <f t="shared" si="142"/>
        <v>Apr</v>
      </c>
      <c r="N3054" s="2">
        <f t="shared" si="143"/>
        <v>5.6699838259771505E-2</v>
      </c>
    </row>
    <row r="3055" spans="1:14" x14ac:dyDescent="0.45">
      <c r="A3055" t="s">
        <v>5673</v>
      </c>
      <c r="B3055" s="1">
        <v>44864</v>
      </c>
      <c r="C3055" t="s">
        <v>5674</v>
      </c>
      <c r="D3055" t="s">
        <v>13</v>
      </c>
      <c r="E3055" t="s">
        <v>36</v>
      </c>
      <c r="F3055" t="s">
        <v>64</v>
      </c>
      <c r="G3055">
        <v>1</v>
      </c>
      <c r="H3055">
        <v>36926.83</v>
      </c>
      <c r="I3055">
        <v>4222.95</v>
      </c>
      <c r="J3055" t="s">
        <v>22</v>
      </c>
      <c r="K3055" t="s">
        <v>17</v>
      </c>
      <c r="L3055">
        <f t="shared" si="141"/>
        <v>2022</v>
      </c>
      <c r="M3055" t="str">
        <f t="shared" si="142"/>
        <v>Oct</v>
      </c>
      <c r="N3055" s="2">
        <f t="shared" si="143"/>
        <v>0.11435993828877268</v>
      </c>
    </row>
    <row r="3056" spans="1:14" x14ac:dyDescent="0.45">
      <c r="A3056" t="s">
        <v>5675</v>
      </c>
      <c r="B3056" s="1">
        <v>45228</v>
      </c>
      <c r="C3056" t="s">
        <v>5348</v>
      </c>
      <c r="D3056" t="s">
        <v>26</v>
      </c>
      <c r="E3056" t="s">
        <v>36</v>
      </c>
      <c r="F3056" t="s">
        <v>46</v>
      </c>
      <c r="G3056">
        <v>5</v>
      </c>
      <c r="H3056">
        <v>6779.34</v>
      </c>
      <c r="I3056">
        <v>1213.5999999999999</v>
      </c>
      <c r="J3056" t="s">
        <v>22</v>
      </c>
      <c r="K3056" t="s">
        <v>17</v>
      </c>
      <c r="L3056">
        <f t="shared" si="141"/>
        <v>2023</v>
      </c>
      <c r="M3056" t="str">
        <f t="shared" si="142"/>
        <v>Oct</v>
      </c>
      <c r="N3056" s="2">
        <f t="shared" si="143"/>
        <v>0.17901447633545448</v>
      </c>
    </row>
    <row r="3057" spans="1:14" x14ac:dyDescent="0.45">
      <c r="A3057" t="s">
        <v>5676</v>
      </c>
      <c r="B3057" s="1">
        <v>45611</v>
      </c>
      <c r="C3057" t="s">
        <v>1587</v>
      </c>
      <c r="D3057" t="s">
        <v>26</v>
      </c>
      <c r="E3057" t="s">
        <v>36</v>
      </c>
      <c r="F3057" t="s">
        <v>37</v>
      </c>
      <c r="G3057">
        <v>3</v>
      </c>
      <c r="H3057">
        <v>34946.410000000003</v>
      </c>
      <c r="I3057">
        <v>6568.12</v>
      </c>
      <c r="J3057" t="s">
        <v>22</v>
      </c>
      <c r="K3057" t="s">
        <v>17</v>
      </c>
      <c r="L3057">
        <f t="shared" si="141"/>
        <v>2024</v>
      </c>
      <c r="M3057" t="str">
        <f t="shared" si="142"/>
        <v>Nov</v>
      </c>
      <c r="N3057" s="2">
        <f t="shared" si="143"/>
        <v>0.18794834719789527</v>
      </c>
    </row>
    <row r="3058" spans="1:14" x14ac:dyDescent="0.45">
      <c r="A3058" t="s">
        <v>5677</v>
      </c>
      <c r="B3058" s="1">
        <v>44723</v>
      </c>
      <c r="C3058" t="s">
        <v>5678</v>
      </c>
      <c r="D3058" t="s">
        <v>56</v>
      </c>
      <c r="E3058" t="s">
        <v>20</v>
      </c>
      <c r="F3058" t="s">
        <v>50</v>
      </c>
      <c r="G3058">
        <v>3</v>
      </c>
      <c r="H3058">
        <v>39066.14</v>
      </c>
      <c r="I3058">
        <v>6475.61</v>
      </c>
      <c r="J3058" t="s">
        <v>47</v>
      </c>
      <c r="K3058" t="s">
        <v>17</v>
      </c>
      <c r="L3058">
        <f t="shared" si="141"/>
        <v>2022</v>
      </c>
      <c r="M3058" t="str">
        <f t="shared" si="142"/>
        <v>Jun</v>
      </c>
      <c r="N3058" s="2">
        <f t="shared" si="143"/>
        <v>0.16576016980433694</v>
      </c>
    </row>
    <row r="3059" spans="1:14" x14ac:dyDescent="0.45">
      <c r="A3059" t="s">
        <v>5679</v>
      </c>
      <c r="B3059" s="1">
        <v>44784</v>
      </c>
      <c r="C3059" t="s">
        <v>5680</v>
      </c>
      <c r="D3059" t="s">
        <v>13</v>
      </c>
      <c r="E3059" t="s">
        <v>20</v>
      </c>
      <c r="F3059" t="s">
        <v>50</v>
      </c>
      <c r="G3059">
        <v>3</v>
      </c>
      <c r="H3059">
        <v>7936.03</v>
      </c>
      <c r="I3059">
        <v>1617.45</v>
      </c>
      <c r="J3059" t="s">
        <v>16</v>
      </c>
      <c r="K3059" t="s">
        <v>23</v>
      </c>
      <c r="L3059">
        <f t="shared" si="141"/>
        <v>2022</v>
      </c>
      <c r="M3059" t="str">
        <f t="shared" si="142"/>
        <v>Aug</v>
      </c>
      <c r="N3059" s="2">
        <f t="shared" si="143"/>
        <v>0.20381097349682398</v>
      </c>
    </row>
    <row r="3060" spans="1:14" x14ac:dyDescent="0.45">
      <c r="A3060" t="s">
        <v>5681</v>
      </c>
      <c r="B3060" s="1">
        <v>45410</v>
      </c>
      <c r="C3060" t="s">
        <v>5682</v>
      </c>
      <c r="D3060" t="s">
        <v>56</v>
      </c>
      <c r="E3060" t="s">
        <v>36</v>
      </c>
      <c r="F3060" t="s">
        <v>37</v>
      </c>
      <c r="G3060">
        <v>1</v>
      </c>
      <c r="H3060">
        <v>23057.27</v>
      </c>
      <c r="I3060">
        <v>3496.92</v>
      </c>
      <c r="J3060" t="s">
        <v>28</v>
      </c>
      <c r="K3060" t="s">
        <v>17</v>
      </c>
      <c r="L3060">
        <f t="shared" si="141"/>
        <v>2024</v>
      </c>
      <c r="M3060" t="str">
        <f t="shared" si="142"/>
        <v>Apr</v>
      </c>
      <c r="N3060" s="2">
        <f t="shared" si="143"/>
        <v>0.15166236072180272</v>
      </c>
    </row>
    <row r="3061" spans="1:14" x14ac:dyDescent="0.45">
      <c r="A3061" t="s">
        <v>5683</v>
      </c>
      <c r="B3061" s="1">
        <v>45076</v>
      </c>
      <c r="C3061" t="s">
        <v>5684</v>
      </c>
      <c r="D3061" t="s">
        <v>56</v>
      </c>
      <c r="E3061" t="s">
        <v>20</v>
      </c>
      <c r="F3061" t="s">
        <v>43</v>
      </c>
      <c r="G3061">
        <v>5</v>
      </c>
      <c r="H3061">
        <v>14637.1</v>
      </c>
      <c r="I3061">
        <v>3495.07</v>
      </c>
      <c r="J3061" t="s">
        <v>47</v>
      </c>
      <c r="K3061" t="s">
        <v>29</v>
      </c>
      <c r="L3061">
        <f t="shared" si="141"/>
        <v>2023</v>
      </c>
      <c r="M3061" t="str">
        <f t="shared" si="142"/>
        <v>May</v>
      </c>
      <c r="N3061" s="2">
        <f t="shared" si="143"/>
        <v>0.23878158924923654</v>
      </c>
    </row>
    <row r="3062" spans="1:14" x14ac:dyDescent="0.45">
      <c r="A3062" t="s">
        <v>5685</v>
      </c>
      <c r="B3062" s="1">
        <v>45567</v>
      </c>
      <c r="C3062" t="s">
        <v>5686</v>
      </c>
      <c r="D3062" t="s">
        <v>26</v>
      </c>
      <c r="E3062" t="s">
        <v>36</v>
      </c>
      <c r="F3062" t="s">
        <v>37</v>
      </c>
      <c r="G3062">
        <v>5</v>
      </c>
      <c r="H3062">
        <v>2881.64</v>
      </c>
      <c r="I3062">
        <v>561</v>
      </c>
      <c r="J3062" t="s">
        <v>71</v>
      </c>
      <c r="K3062" t="s">
        <v>23</v>
      </c>
      <c r="L3062">
        <f t="shared" si="141"/>
        <v>2024</v>
      </c>
      <c r="M3062" t="str">
        <f t="shared" si="142"/>
        <v>Oct</v>
      </c>
      <c r="N3062" s="2">
        <f t="shared" si="143"/>
        <v>0.19468080676281563</v>
      </c>
    </row>
    <row r="3063" spans="1:14" x14ac:dyDescent="0.45">
      <c r="A3063" t="s">
        <v>5687</v>
      </c>
      <c r="B3063" s="1">
        <v>45114</v>
      </c>
      <c r="C3063" t="s">
        <v>5688</v>
      </c>
      <c r="D3063" t="s">
        <v>13</v>
      </c>
      <c r="E3063" t="s">
        <v>36</v>
      </c>
      <c r="F3063" t="s">
        <v>37</v>
      </c>
      <c r="G3063">
        <v>5</v>
      </c>
      <c r="H3063">
        <v>37559.89</v>
      </c>
      <c r="I3063">
        <v>7983.37</v>
      </c>
      <c r="J3063" t="s">
        <v>71</v>
      </c>
      <c r="K3063" t="s">
        <v>17</v>
      </c>
      <c r="L3063">
        <f t="shared" si="141"/>
        <v>2023</v>
      </c>
      <c r="M3063" t="str">
        <f t="shared" si="142"/>
        <v>Jul</v>
      </c>
      <c r="N3063" s="2">
        <f t="shared" si="143"/>
        <v>0.21255040949267956</v>
      </c>
    </row>
    <row r="3064" spans="1:14" x14ac:dyDescent="0.45">
      <c r="A3064" t="s">
        <v>5689</v>
      </c>
      <c r="B3064" s="1">
        <v>45212</v>
      </c>
      <c r="C3064" t="s">
        <v>5690</v>
      </c>
      <c r="D3064" t="s">
        <v>26</v>
      </c>
      <c r="E3064" t="s">
        <v>36</v>
      </c>
      <c r="F3064" t="s">
        <v>46</v>
      </c>
      <c r="G3064">
        <v>4</v>
      </c>
      <c r="H3064">
        <v>12560.52</v>
      </c>
      <c r="I3064">
        <v>2860.57</v>
      </c>
      <c r="J3064" t="s">
        <v>16</v>
      </c>
      <c r="K3064" t="s">
        <v>29</v>
      </c>
      <c r="L3064">
        <f t="shared" si="141"/>
        <v>2023</v>
      </c>
      <c r="M3064" t="str">
        <f t="shared" si="142"/>
        <v>Oct</v>
      </c>
      <c r="N3064" s="2">
        <f t="shared" si="143"/>
        <v>0.22774295968638242</v>
      </c>
    </row>
    <row r="3065" spans="1:14" x14ac:dyDescent="0.45">
      <c r="A3065" t="s">
        <v>5691</v>
      </c>
      <c r="B3065" s="1">
        <v>44841</v>
      </c>
      <c r="C3065" t="s">
        <v>4625</v>
      </c>
      <c r="D3065" t="s">
        <v>56</v>
      </c>
      <c r="E3065" t="s">
        <v>20</v>
      </c>
      <c r="F3065" t="s">
        <v>43</v>
      </c>
      <c r="G3065">
        <v>1</v>
      </c>
      <c r="H3065">
        <v>47073.79</v>
      </c>
      <c r="I3065">
        <v>6139.27</v>
      </c>
      <c r="J3065" t="s">
        <v>47</v>
      </c>
      <c r="K3065" t="s">
        <v>17</v>
      </c>
      <c r="L3065">
        <f t="shared" si="141"/>
        <v>2022</v>
      </c>
      <c r="M3065" t="str">
        <f t="shared" si="142"/>
        <v>Oct</v>
      </c>
      <c r="N3065" s="2">
        <f t="shared" si="143"/>
        <v>0.13041800968224568</v>
      </c>
    </row>
    <row r="3066" spans="1:14" x14ac:dyDescent="0.45">
      <c r="A3066" t="s">
        <v>5692</v>
      </c>
      <c r="B3066" s="1">
        <v>44993</v>
      </c>
      <c r="C3066" t="s">
        <v>5693</v>
      </c>
      <c r="D3066" t="s">
        <v>13</v>
      </c>
      <c r="E3066" t="s">
        <v>36</v>
      </c>
      <c r="F3066" t="s">
        <v>37</v>
      </c>
      <c r="G3066">
        <v>5</v>
      </c>
      <c r="H3066">
        <v>31591.63</v>
      </c>
      <c r="I3066">
        <v>5076.83</v>
      </c>
      <c r="J3066" t="s">
        <v>71</v>
      </c>
      <c r="K3066" t="s">
        <v>29</v>
      </c>
      <c r="L3066">
        <f t="shared" si="141"/>
        <v>2023</v>
      </c>
      <c r="M3066" t="str">
        <f t="shared" si="142"/>
        <v>Mar</v>
      </c>
      <c r="N3066" s="2">
        <f t="shared" si="143"/>
        <v>0.1607017428350484</v>
      </c>
    </row>
    <row r="3067" spans="1:14" x14ac:dyDescent="0.45">
      <c r="A3067" t="s">
        <v>5694</v>
      </c>
      <c r="B3067" s="1">
        <v>45597</v>
      </c>
      <c r="C3067" t="s">
        <v>5695</v>
      </c>
      <c r="D3067" t="s">
        <v>56</v>
      </c>
      <c r="E3067" t="s">
        <v>14</v>
      </c>
      <c r="F3067" t="s">
        <v>57</v>
      </c>
      <c r="G3067">
        <v>1</v>
      </c>
      <c r="H3067">
        <v>979.94</v>
      </c>
      <c r="I3067">
        <v>111.61</v>
      </c>
      <c r="J3067" t="s">
        <v>22</v>
      </c>
      <c r="K3067" t="s">
        <v>17</v>
      </c>
      <c r="L3067">
        <f t="shared" si="141"/>
        <v>2024</v>
      </c>
      <c r="M3067" t="str">
        <f t="shared" si="142"/>
        <v>Nov</v>
      </c>
      <c r="N3067" s="2">
        <f t="shared" si="143"/>
        <v>0.11389472824866828</v>
      </c>
    </row>
    <row r="3068" spans="1:14" x14ac:dyDescent="0.45">
      <c r="A3068" t="s">
        <v>5696</v>
      </c>
      <c r="B3068" s="1">
        <v>44984</v>
      </c>
      <c r="C3068" t="s">
        <v>5697</v>
      </c>
      <c r="D3068" t="s">
        <v>26</v>
      </c>
      <c r="E3068" t="s">
        <v>36</v>
      </c>
      <c r="F3068" t="s">
        <v>46</v>
      </c>
      <c r="G3068">
        <v>1</v>
      </c>
      <c r="H3068">
        <v>4688.7299999999996</v>
      </c>
      <c r="I3068">
        <v>826.63</v>
      </c>
      <c r="J3068" t="s">
        <v>71</v>
      </c>
      <c r="K3068" t="s">
        <v>33</v>
      </c>
      <c r="L3068">
        <f t="shared" si="141"/>
        <v>2023</v>
      </c>
      <c r="M3068" t="str">
        <f t="shared" si="142"/>
        <v>Feb</v>
      </c>
      <c r="N3068" s="2">
        <f t="shared" si="143"/>
        <v>0.17630147182712591</v>
      </c>
    </row>
    <row r="3069" spans="1:14" x14ac:dyDescent="0.45">
      <c r="A3069" t="s">
        <v>5698</v>
      </c>
      <c r="B3069" s="1">
        <v>44566</v>
      </c>
      <c r="C3069" t="s">
        <v>5699</v>
      </c>
      <c r="D3069" t="s">
        <v>26</v>
      </c>
      <c r="E3069" t="s">
        <v>14</v>
      </c>
      <c r="F3069" t="s">
        <v>57</v>
      </c>
      <c r="G3069">
        <v>3</v>
      </c>
      <c r="H3069">
        <v>17593</v>
      </c>
      <c r="I3069">
        <v>2125.86</v>
      </c>
      <c r="J3069" t="s">
        <v>16</v>
      </c>
      <c r="K3069" t="s">
        <v>17</v>
      </c>
      <c r="L3069">
        <f t="shared" si="141"/>
        <v>2022</v>
      </c>
      <c r="M3069" t="str">
        <f t="shared" si="142"/>
        <v>Jan</v>
      </c>
      <c r="N3069" s="2">
        <f t="shared" si="143"/>
        <v>0.12083555959756723</v>
      </c>
    </row>
    <row r="3070" spans="1:14" x14ac:dyDescent="0.45">
      <c r="A3070" t="s">
        <v>5700</v>
      </c>
      <c r="B3070" s="1">
        <v>45292</v>
      </c>
      <c r="C3070" t="s">
        <v>5701</v>
      </c>
      <c r="D3070" t="s">
        <v>26</v>
      </c>
      <c r="E3070" t="s">
        <v>14</v>
      </c>
      <c r="F3070" t="s">
        <v>57</v>
      </c>
      <c r="G3070">
        <v>5</v>
      </c>
      <c r="H3070">
        <v>19167.47</v>
      </c>
      <c r="I3070">
        <v>1985.05</v>
      </c>
      <c r="J3070" t="s">
        <v>16</v>
      </c>
      <c r="K3070" t="s">
        <v>23</v>
      </c>
      <c r="L3070">
        <f t="shared" si="141"/>
        <v>2024</v>
      </c>
      <c r="M3070" t="str">
        <f t="shared" si="142"/>
        <v>Jan</v>
      </c>
      <c r="N3070" s="2">
        <f t="shared" si="143"/>
        <v>0.10356348542608909</v>
      </c>
    </row>
    <row r="3071" spans="1:14" x14ac:dyDescent="0.45">
      <c r="A3071" t="s">
        <v>5702</v>
      </c>
      <c r="B3071" s="1">
        <v>45552</v>
      </c>
      <c r="C3071" t="s">
        <v>5703</v>
      </c>
      <c r="D3071" t="s">
        <v>13</v>
      </c>
      <c r="E3071" t="s">
        <v>14</v>
      </c>
      <c r="F3071" t="s">
        <v>57</v>
      </c>
      <c r="G3071">
        <v>3</v>
      </c>
      <c r="H3071">
        <v>47016.43</v>
      </c>
      <c r="I3071">
        <v>3920.52</v>
      </c>
      <c r="J3071" t="s">
        <v>28</v>
      </c>
      <c r="K3071" t="s">
        <v>33</v>
      </c>
      <c r="L3071">
        <f t="shared" si="141"/>
        <v>2024</v>
      </c>
      <c r="M3071" t="str">
        <f t="shared" si="142"/>
        <v>Sep</v>
      </c>
      <c r="N3071" s="2">
        <f t="shared" si="143"/>
        <v>8.338616947309696E-2</v>
      </c>
    </row>
    <row r="3072" spans="1:14" x14ac:dyDescent="0.45">
      <c r="A3072" t="s">
        <v>5704</v>
      </c>
      <c r="B3072" s="1">
        <v>44712</v>
      </c>
      <c r="C3072" t="s">
        <v>5705</v>
      </c>
      <c r="D3072" t="s">
        <v>13</v>
      </c>
      <c r="E3072" t="s">
        <v>14</v>
      </c>
      <c r="F3072" t="s">
        <v>40</v>
      </c>
      <c r="G3072">
        <v>4</v>
      </c>
      <c r="H3072">
        <v>22316.11</v>
      </c>
      <c r="I3072">
        <v>4912.8599999999997</v>
      </c>
      <c r="J3072" t="s">
        <v>22</v>
      </c>
      <c r="K3072" t="s">
        <v>33</v>
      </c>
      <c r="L3072">
        <f t="shared" si="141"/>
        <v>2022</v>
      </c>
      <c r="M3072" t="str">
        <f t="shared" si="142"/>
        <v>May</v>
      </c>
      <c r="N3072" s="2">
        <f t="shared" si="143"/>
        <v>0.2201485832432265</v>
      </c>
    </row>
    <row r="3073" spans="1:14" x14ac:dyDescent="0.45">
      <c r="A3073" t="s">
        <v>5706</v>
      </c>
      <c r="B3073" s="1">
        <v>44990</v>
      </c>
      <c r="C3073" t="s">
        <v>2795</v>
      </c>
      <c r="D3073" t="s">
        <v>26</v>
      </c>
      <c r="E3073" t="s">
        <v>36</v>
      </c>
      <c r="F3073" t="s">
        <v>46</v>
      </c>
      <c r="G3073">
        <v>1</v>
      </c>
      <c r="H3073">
        <v>4557.8500000000004</v>
      </c>
      <c r="I3073">
        <v>259.75</v>
      </c>
      <c r="J3073" t="s">
        <v>47</v>
      </c>
      <c r="K3073" t="s">
        <v>23</v>
      </c>
      <c r="L3073">
        <f t="shared" si="141"/>
        <v>2023</v>
      </c>
      <c r="M3073" t="str">
        <f t="shared" si="142"/>
        <v>Mar</v>
      </c>
      <c r="N3073" s="2">
        <f t="shared" si="143"/>
        <v>5.698958938973419E-2</v>
      </c>
    </row>
    <row r="3074" spans="1:14" x14ac:dyDescent="0.45">
      <c r="A3074" t="s">
        <v>5707</v>
      </c>
      <c r="B3074" s="1">
        <v>45630</v>
      </c>
      <c r="C3074" t="s">
        <v>3517</v>
      </c>
      <c r="D3074" t="s">
        <v>56</v>
      </c>
      <c r="E3074" t="s">
        <v>36</v>
      </c>
      <c r="F3074" t="s">
        <v>64</v>
      </c>
      <c r="G3074">
        <v>1</v>
      </c>
      <c r="H3074">
        <v>6843.49</v>
      </c>
      <c r="I3074">
        <v>1684.32</v>
      </c>
      <c r="J3074" t="s">
        <v>16</v>
      </c>
      <c r="K3074" t="s">
        <v>17</v>
      </c>
      <c r="L3074">
        <f t="shared" si="141"/>
        <v>2024</v>
      </c>
      <c r="M3074" t="str">
        <f t="shared" si="142"/>
        <v>Dec</v>
      </c>
      <c r="N3074" s="2">
        <f t="shared" si="143"/>
        <v>0.24612003524517462</v>
      </c>
    </row>
    <row r="3075" spans="1:14" x14ac:dyDescent="0.45">
      <c r="A3075" t="s">
        <v>5708</v>
      </c>
      <c r="B3075" s="1">
        <v>45656</v>
      </c>
      <c r="C3075" t="s">
        <v>5709</v>
      </c>
      <c r="D3075" t="s">
        <v>26</v>
      </c>
      <c r="E3075" t="s">
        <v>36</v>
      </c>
      <c r="F3075" t="s">
        <v>37</v>
      </c>
      <c r="G3075">
        <v>4</v>
      </c>
      <c r="H3075">
        <v>21665.73</v>
      </c>
      <c r="I3075">
        <v>1933.28</v>
      </c>
      <c r="J3075" t="s">
        <v>22</v>
      </c>
      <c r="K3075" t="s">
        <v>17</v>
      </c>
      <c r="L3075">
        <f t="shared" ref="L3075:L3138" si="144">YEAR(B3075 )</f>
        <v>2024</v>
      </c>
      <c r="M3075" t="str">
        <f t="shared" ref="M3075:M3138" si="145">TEXT(B3075,"MMM")</f>
        <v>Dec</v>
      </c>
      <c r="N3075" s="2">
        <f t="shared" ref="N3075:N3138" si="146">I3075 / H3075</f>
        <v>8.9232165267452326E-2</v>
      </c>
    </row>
    <row r="3076" spans="1:14" x14ac:dyDescent="0.45">
      <c r="A3076" t="s">
        <v>5710</v>
      </c>
      <c r="B3076" s="1">
        <v>45005</v>
      </c>
      <c r="C3076" t="s">
        <v>966</v>
      </c>
      <c r="D3076" t="s">
        <v>26</v>
      </c>
      <c r="E3076" t="s">
        <v>36</v>
      </c>
      <c r="F3076" t="s">
        <v>46</v>
      </c>
      <c r="G3076">
        <v>3</v>
      </c>
      <c r="H3076">
        <v>28990.32</v>
      </c>
      <c r="I3076">
        <v>2266.9899999999998</v>
      </c>
      <c r="J3076" t="s">
        <v>16</v>
      </c>
      <c r="K3076" t="s">
        <v>29</v>
      </c>
      <c r="L3076">
        <f t="shared" si="144"/>
        <v>2023</v>
      </c>
      <c r="M3076" t="str">
        <f t="shared" si="145"/>
        <v>Mar</v>
      </c>
      <c r="N3076" s="2">
        <f t="shared" si="146"/>
        <v>7.8198170975691192E-2</v>
      </c>
    </row>
    <row r="3077" spans="1:14" x14ac:dyDescent="0.45">
      <c r="A3077" t="s">
        <v>5711</v>
      </c>
      <c r="B3077" s="1">
        <v>45334</v>
      </c>
      <c r="C3077" t="s">
        <v>5712</v>
      </c>
      <c r="D3077" t="s">
        <v>56</v>
      </c>
      <c r="E3077" t="s">
        <v>14</v>
      </c>
      <c r="F3077" t="s">
        <v>57</v>
      </c>
      <c r="G3077">
        <v>1</v>
      </c>
      <c r="H3077">
        <v>47030.54</v>
      </c>
      <c r="I3077">
        <v>4267.96</v>
      </c>
      <c r="J3077" t="s">
        <v>71</v>
      </c>
      <c r="K3077" t="s">
        <v>17</v>
      </c>
      <c r="L3077">
        <f t="shared" si="144"/>
        <v>2024</v>
      </c>
      <c r="M3077" t="str">
        <f t="shared" si="145"/>
        <v>Feb</v>
      </c>
      <c r="N3077" s="2">
        <f t="shared" si="146"/>
        <v>9.0748692232749187E-2</v>
      </c>
    </row>
    <row r="3078" spans="1:14" x14ac:dyDescent="0.45">
      <c r="A3078" t="s">
        <v>5713</v>
      </c>
      <c r="B3078" s="1">
        <v>45093</v>
      </c>
      <c r="C3078" t="s">
        <v>5714</v>
      </c>
      <c r="D3078" t="s">
        <v>56</v>
      </c>
      <c r="E3078" t="s">
        <v>20</v>
      </c>
      <c r="F3078" t="s">
        <v>50</v>
      </c>
      <c r="G3078">
        <v>1</v>
      </c>
      <c r="H3078">
        <v>38949.33</v>
      </c>
      <c r="I3078">
        <v>7310.71</v>
      </c>
      <c r="J3078" t="s">
        <v>47</v>
      </c>
      <c r="K3078" t="s">
        <v>23</v>
      </c>
      <c r="L3078">
        <f t="shared" si="144"/>
        <v>2023</v>
      </c>
      <c r="M3078" t="str">
        <f t="shared" si="145"/>
        <v>Jun</v>
      </c>
      <c r="N3078" s="2">
        <f t="shared" si="146"/>
        <v>0.18769796553624926</v>
      </c>
    </row>
    <row r="3079" spans="1:14" x14ac:dyDescent="0.45">
      <c r="A3079" t="s">
        <v>5715</v>
      </c>
      <c r="B3079" s="1">
        <v>44700</v>
      </c>
      <c r="C3079" t="s">
        <v>3261</v>
      </c>
      <c r="D3079" t="s">
        <v>26</v>
      </c>
      <c r="E3079" t="s">
        <v>36</v>
      </c>
      <c r="F3079" t="s">
        <v>37</v>
      </c>
      <c r="G3079">
        <v>1</v>
      </c>
      <c r="H3079">
        <v>47550.12</v>
      </c>
      <c r="I3079">
        <v>7337.78</v>
      </c>
      <c r="J3079" t="s">
        <v>47</v>
      </c>
      <c r="K3079" t="s">
        <v>33</v>
      </c>
      <c r="L3079">
        <f t="shared" si="144"/>
        <v>2022</v>
      </c>
      <c r="M3079" t="str">
        <f t="shared" si="145"/>
        <v>May</v>
      </c>
      <c r="N3079" s="2">
        <f t="shared" si="146"/>
        <v>0.1543167504098833</v>
      </c>
    </row>
    <row r="3080" spans="1:14" x14ac:dyDescent="0.45">
      <c r="A3080" t="s">
        <v>5716</v>
      </c>
      <c r="B3080" s="1">
        <v>44750</v>
      </c>
      <c r="C3080" t="s">
        <v>5151</v>
      </c>
      <c r="D3080" t="s">
        <v>26</v>
      </c>
      <c r="E3080" t="s">
        <v>20</v>
      </c>
      <c r="F3080" t="s">
        <v>27</v>
      </c>
      <c r="G3080">
        <v>1</v>
      </c>
      <c r="H3080">
        <v>36588.089999999997</v>
      </c>
      <c r="I3080">
        <v>6144.33</v>
      </c>
      <c r="J3080" t="s">
        <v>47</v>
      </c>
      <c r="K3080" t="s">
        <v>17</v>
      </c>
      <c r="L3080">
        <f t="shared" si="144"/>
        <v>2022</v>
      </c>
      <c r="M3080" t="str">
        <f t="shared" si="145"/>
        <v>Jul</v>
      </c>
      <c r="N3080" s="2">
        <f t="shared" si="146"/>
        <v>0.16793251574487766</v>
      </c>
    </row>
    <row r="3081" spans="1:14" x14ac:dyDescent="0.45">
      <c r="A3081" t="s">
        <v>5717</v>
      </c>
      <c r="B3081" s="1">
        <v>45002</v>
      </c>
      <c r="C3081" t="s">
        <v>996</v>
      </c>
      <c r="D3081" t="s">
        <v>56</v>
      </c>
      <c r="E3081" t="s">
        <v>14</v>
      </c>
      <c r="F3081" t="s">
        <v>57</v>
      </c>
      <c r="G3081">
        <v>5</v>
      </c>
      <c r="H3081">
        <v>37705.120000000003</v>
      </c>
      <c r="I3081">
        <v>9086.2199999999993</v>
      </c>
      <c r="J3081" t="s">
        <v>28</v>
      </c>
      <c r="K3081" t="s">
        <v>29</v>
      </c>
      <c r="L3081">
        <f t="shared" si="144"/>
        <v>2023</v>
      </c>
      <c r="M3081" t="str">
        <f t="shared" si="145"/>
        <v>Mar</v>
      </c>
      <c r="N3081" s="2">
        <f t="shared" si="146"/>
        <v>0.24098106570142194</v>
      </c>
    </row>
    <row r="3082" spans="1:14" x14ac:dyDescent="0.45">
      <c r="A3082" t="s">
        <v>5718</v>
      </c>
      <c r="B3082" s="1">
        <v>45151</v>
      </c>
      <c r="C3082" t="s">
        <v>5719</v>
      </c>
      <c r="D3082" t="s">
        <v>56</v>
      </c>
      <c r="E3082" t="s">
        <v>14</v>
      </c>
      <c r="F3082" t="s">
        <v>40</v>
      </c>
      <c r="G3082">
        <v>5</v>
      </c>
      <c r="H3082">
        <v>16594.990000000002</v>
      </c>
      <c r="I3082">
        <v>1121.46</v>
      </c>
      <c r="J3082" t="s">
        <v>47</v>
      </c>
      <c r="K3082" t="s">
        <v>29</v>
      </c>
      <c r="L3082">
        <f t="shared" si="144"/>
        <v>2023</v>
      </c>
      <c r="M3082" t="str">
        <f t="shared" si="145"/>
        <v>Aug</v>
      </c>
      <c r="N3082" s="2">
        <f t="shared" si="146"/>
        <v>6.757822692270378E-2</v>
      </c>
    </row>
    <row r="3083" spans="1:14" x14ac:dyDescent="0.45">
      <c r="A3083" t="s">
        <v>5720</v>
      </c>
      <c r="B3083" s="1">
        <v>45654</v>
      </c>
      <c r="C3083" t="s">
        <v>5721</v>
      </c>
      <c r="D3083" t="s">
        <v>26</v>
      </c>
      <c r="E3083" t="s">
        <v>14</v>
      </c>
      <c r="F3083" t="s">
        <v>57</v>
      </c>
      <c r="G3083">
        <v>5</v>
      </c>
      <c r="H3083">
        <v>14395.23</v>
      </c>
      <c r="I3083">
        <v>1640.03</v>
      </c>
      <c r="J3083" t="s">
        <v>22</v>
      </c>
      <c r="K3083" t="s">
        <v>23</v>
      </c>
      <c r="L3083">
        <f t="shared" si="144"/>
        <v>2024</v>
      </c>
      <c r="M3083" t="str">
        <f t="shared" si="145"/>
        <v>Dec</v>
      </c>
      <c r="N3083" s="2">
        <f t="shared" si="146"/>
        <v>0.11392871110777668</v>
      </c>
    </row>
    <row r="3084" spans="1:14" x14ac:dyDescent="0.45">
      <c r="A3084" t="s">
        <v>5722</v>
      </c>
      <c r="B3084" s="1">
        <v>45403</v>
      </c>
      <c r="C3084" t="s">
        <v>5723</v>
      </c>
      <c r="D3084" t="s">
        <v>56</v>
      </c>
      <c r="E3084" t="s">
        <v>20</v>
      </c>
      <c r="F3084" t="s">
        <v>27</v>
      </c>
      <c r="G3084">
        <v>3</v>
      </c>
      <c r="H3084">
        <v>18812.66</v>
      </c>
      <c r="I3084">
        <v>4332.59</v>
      </c>
      <c r="J3084" t="s">
        <v>71</v>
      </c>
      <c r="K3084" t="s">
        <v>29</v>
      </c>
      <c r="L3084">
        <f t="shared" si="144"/>
        <v>2024</v>
      </c>
      <c r="M3084" t="str">
        <f t="shared" si="145"/>
        <v>Apr</v>
      </c>
      <c r="N3084" s="2">
        <f t="shared" si="146"/>
        <v>0.23030182866218812</v>
      </c>
    </row>
    <row r="3085" spans="1:14" x14ac:dyDescent="0.45">
      <c r="A3085" t="s">
        <v>5724</v>
      </c>
      <c r="B3085" s="1">
        <v>44843</v>
      </c>
      <c r="C3085" t="s">
        <v>5725</v>
      </c>
      <c r="D3085" t="s">
        <v>13</v>
      </c>
      <c r="E3085" t="s">
        <v>20</v>
      </c>
      <c r="F3085" t="s">
        <v>43</v>
      </c>
      <c r="G3085">
        <v>5</v>
      </c>
      <c r="H3085">
        <v>35252.74</v>
      </c>
      <c r="I3085">
        <v>6895.35</v>
      </c>
      <c r="J3085" t="s">
        <v>28</v>
      </c>
      <c r="K3085" t="s">
        <v>29</v>
      </c>
      <c r="L3085">
        <f t="shared" si="144"/>
        <v>2022</v>
      </c>
      <c r="M3085" t="str">
        <f t="shared" si="145"/>
        <v>Oct</v>
      </c>
      <c r="N3085" s="2">
        <f t="shared" si="146"/>
        <v>0.19559756206184259</v>
      </c>
    </row>
    <row r="3086" spans="1:14" x14ac:dyDescent="0.45">
      <c r="A3086" t="s">
        <v>5726</v>
      </c>
      <c r="B3086" s="1">
        <v>45586</v>
      </c>
      <c r="C3086" t="s">
        <v>3920</v>
      </c>
      <c r="D3086" t="s">
        <v>56</v>
      </c>
      <c r="E3086" t="s">
        <v>20</v>
      </c>
      <c r="F3086" t="s">
        <v>50</v>
      </c>
      <c r="G3086">
        <v>4</v>
      </c>
      <c r="H3086">
        <v>5385.48</v>
      </c>
      <c r="I3086">
        <v>1221.3599999999999</v>
      </c>
      <c r="J3086" t="s">
        <v>47</v>
      </c>
      <c r="K3086" t="s">
        <v>33</v>
      </c>
      <c r="L3086">
        <f t="shared" si="144"/>
        <v>2024</v>
      </c>
      <c r="M3086" t="str">
        <f t="shared" si="145"/>
        <v>Oct</v>
      </c>
      <c r="N3086" s="2">
        <f t="shared" si="146"/>
        <v>0.22678758439359165</v>
      </c>
    </row>
    <row r="3087" spans="1:14" x14ac:dyDescent="0.45">
      <c r="A3087" t="s">
        <v>5727</v>
      </c>
      <c r="B3087" s="1">
        <v>44778</v>
      </c>
      <c r="C3087" t="s">
        <v>3623</v>
      </c>
      <c r="D3087" t="s">
        <v>26</v>
      </c>
      <c r="E3087" t="s">
        <v>14</v>
      </c>
      <c r="F3087" t="s">
        <v>57</v>
      </c>
      <c r="G3087">
        <v>3</v>
      </c>
      <c r="H3087">
        <v>40525.050000000003</v>
      </c>
      <c r="I3087">
        <v>9429.19</v>
      </c>
      <c r="J3087" t="s">
        <v>28</v>
      </c>
      <c r="K3087" t="s">
        <v>33</v>
      </c>
      <c r="L3087">
        <f t="shared" si="144"/>
        <v>2022</v>
      </c>
      <c r="M3087" t="str">
        <f t="shared" si="145"/>
        <v>Aug</v>
      </c>
      <c r="N3087" s="2">
        <f t="shared" si="146"/>
        <v>0.23267559201037383</v>
      </c>
    </row>
    <row r="3088" spans="1:14" x14ac:dyDescent="0.45">
      <c r="A3088" t="s">
        <v>5728</v>
      </c>
      <c r="B3088" s="1">
        <v>44875</v>
      </c>
      <c r="C3088" t="s">
        <v>5729</v>
      </c>
      <c r="D3088" t="s">
        <v>13</v>
      </c>
      <c r="E3088" t="s">
        <v>36</v>
      </c>
      <c r="F3088" t="s">
        <v>46</v>
      </c>
      <c r="G3088">
        <v>2</v>
      </c>
      <c r="H3088">
        <v>49957.04</v>
      </c>
      <c r="I3088">
        <v>10884.37</v>
      </c>
      <c r="J3088" t="s">
        <v>47</v>
      </c>
      <c r="K3088" t="s">
        <v>23</v>
      </c>
      <c r="L3088">
        <f t="shared" si="144"/>
        <v>2022</v>
      </c>
      <c r="M3088" t="str">
        <f t="shared" si="145"/>
        <v>Nov</v>
      </c>
      <c r="N3088" s="2">
        <f t="shared" si="146"/>
        <v>0.21787459785447658</v>
      </c>
    </row>
    <row r="3089" spans="1:14" x14ac:dyDescent="0.45">
      <c r="A3089" t="s">
        <v>5730</v>
      </c>
      <c r="B3089" s="1">
        <v>45232</v>
      </c>
      <c r="C3089" t="s">
        <v>5731</v>
      </c>
      <c r="D3089" t="s">
        <v>13</v>
      </c>
      <c r="E3089" t="s">
        <v>36</v>
      </c>
      <c r="F3089" t="s">
        <v>53</v>
      </c>
      <c r="G3089">
        <v>1</v>
      </c>
      <c r="H3089">
        <v>8939.02</v>
      </c>
      <c r="I3089">
        <v>648.37</v>
      </c>
      <c r="J3089" t="s">
        <v>47</v>
      </c>
      <c r="K3089" t="s">
        <v>23</v>
      </c>
      <c r="L3089">
        <f t="shared" si="144"/>
        <v>2023</v>
      </c>
      <c r="M3089" t="str">
        <f t="shared" si="145"/>
        <v>Nov</v>
      </c>
      <c r="N3089" s="2">
        <f t="shared" si="146"/>
        <v>7.2532559497573562E-2</v>
      </c>
    </row>
    <row r="3090" spans="1:14" x14ac:dyDescent="0.45">
      <c r="A3090" t="s">
        <v>5732</v>
      </c>
      <c r="B3090" s="1">
        <v>45054</v>
      </c>
      <c r="C3090" t="s">
        <v>5733</v>
      </c>
      <c r="D3090" t="s">
        <v>13</v>
      </c>
      <c r="E3090" t="s">
        <v>20</v>
      </c>
      <c r="F3090" t="s">
        <v>21</v>
      </c>
      <c r="G3090">
        <v>5</v>
      </c>
      <c r="H3090">
        <v>4037.09</v>
      </c>
      <c r="I3090">
        <v>284.26</v>
      </c>
      <c r="J3090" t="s">
        <v>28</v>
      </c>
      <c r="K3090" t="s">
        <v>33</v>
      </c>
      <c r="L3090">
        <f t="shared" si="144"/>
        <v>2023</v>
      </c>
      <c r="M3090" t="str">
        <f t="shared" si="145"/>
        <v>May</v>
      </c>
      <c r="N3090" s="2">
        <f t="shared" si="146"/>
        <v>7.0412103767812956E-2</v>
      </c>
    </row>
    <row r="3091" spans="1:14" x14ac:dyDescent="0.45">
      <c r="A3091" t="s">
        <v>5734</v>
      </c>
      <c r="B3091" s="1">
        <v>45065</v>
      </c>
      <c r="C3091" t="s">
        <v>5735</v>
      </c>
      <c r="D3091" t="s">
        <v>13</v>
      </c>
      <c r="E3091" t="s">
        <v>14</v>
      </c>
      <c r="F3091" t="s">
        <v>40</v>
      </c>
      <c r="G3091">
        <v>4</v>
      </c>
      <c r="H3091">
        <v>9106.41</v>
      </c>
      <c r="I3091">
        <v>1911.81</v>
      </c>
      <c r="J3091" t="s">
        <v>16</v>
      </c>
      <c r="K3091" t="s">
        <v>29</v>
      </c>
      <c r="L3091">
        <f t="shared" si="144"/>
        <v>2023</v>
      </c>
      <c r="M3091" t="str">
        <f t="shared" si="145"/>
        <v>May</v>
      </c>
      <c r="N3091" s="2">
        <f t="shared" si="146"/>
        <v>0.20994112938029366</v>
      </c>
    </row>
    <row r="3092" spans="1:14" x14ac:dyDescent="0.45">
      <c r="A3092" t="s">
        <v>5736</v>
      </c>
      <c r="B3092" s="1">
        <v>44796</v>
      </c>
      <c r="C3092" t="s">
        <v>5254</v>
      </c>
      <c r="D3092" t="s">
        <v>26</v>
      </c>
      <c r="E3092" t="s">
        <v>20</v>
      </c>
      <c r="F3092" t="s">
        <v>27</v>
      </c>
      <c r="G3092">
        <v>2</v>
      </c>
      <c r="H3092">
        <v>31603.41</v>
      </c>
      <c r="I3092">
        <v>5266.24</v>
      </c>
      <c r="J3092" t="s">
        <v>47</v>
      </c>
      <c r="K3092" t="s">
        <v>23</v>
      </c>
      <c r="L3092">
        <f t="shared" si="144"/>
        <v>2022</v>
      </c>
      <c r="M3092" t="str">
        <f t="shared" si="145"/>
        <v>Aug</v>
      </c>
      <c r="N3092" s="2">
        <f t="shared" si="146"/>
        <v>0.16663518272237077</v>
      </c>
    </row>
    <row r="3093" spans="1:14" x14ac:dyDescent="0.45">
      <c r="A3093" t="s">
        <v>5737</v>
      </c>
      <c r="B3093" s="1">
        <v>45310</v>
      </c>
      <c r="C3093" t="s">
        <v>5738</v>
      </c>
      <c r="D3093" t="s">
        <v>56</v>
      </c>
      <c r="E3093" t="s">
        <v>36</v>
      </c>
      <c r="F3093" t="s">
        <v>53</v>
      </c>
      <c r="G3093">
        <v>4</v>
      </c>
      <c r="H3093">
        <v>1053.93</v>
      </c>
      <c r="I3093">
        <v>57.96</v>
      </c>
      <c r="J3093" t="s">
        <v>16</v>
      </c>
      <c r="K3093" t="s">
        <v>29</v>
      </c>
      <c r="L3093">
        <f t="shared" si="144"/>
        <v>2024</v>
      </c>
      <c r="M3093" t="str">
        <f t="shared" si="145"/>
        <v>Jan</v>
      </c>
      <c r="N3093" s="2">
        <f t="shared" si="146"/>
        <v>5.4994164697845203E-2</v>
      </c>
    </row>
    <row r="3094" spans="1:14" x14ac:dyDescent="0.45">
      <c r="A3094" t="s">
        <v>5739</v>
      </c>
      <c r="B3094" s="1">
        <v>44855</v>
      </c>
      <c r="C3094" t="s">
        <v>5740</v>
      </c>
      <c r="D3094" t="s">
        <v>13</v>
      </c>
      <c r="E3094" t="s">
        <v>14</v>
      </c>
      <c r="F3094" t="s">
        <v>40</v>
      </c>
      <c r="G3094">
        <v>3</v>
      </c>
      <c r="H3094">
        <v>10352.74</v>
      </c>
      <c r="I3094">
        <v>1588.04</v>
      </c>
      <c r="J3094" t="s">
        <v>16</v>
      </c>
      <c r="K3094" t="s">
        <v>23</v>
      </c>
      <c r="L3094">
        <f t="shared" si="144"/>
        <v>2022</v>
      </c>
      <c r="M3094" t="str">
        <f t="shared" si="145"/>
        <v>Oct</v>
      </c>
      <c r="N3094" s="2">
        <f t="shared" si="146"/>
        <v>0.15339320798165509</v>
      </c>
    </row>
    <row r="3095" spans="1:14" x14ac:dyDescent="0.45">
      <c r="A3095" t="s">
        <v>5741</v>
      </c>
      <c r="B3095" s="1">
        <v>45548</v>
      </c>
      <c r="C3095" t="s">
        <v>5742</v>
      </c>
      <c r="D3095" t="s">
        <v>26</v>
      </c>
      <c r="E3095" t="s">
        <v>36</v>
      </c>
      <c r="F3095" t="s">
        <v>37</v>
      </c>
      <c r="G3095">
        <v>3</v>
      </c>
      <c r="H3095">
        <v>37934.99</v>
      </c>
      <c r="I3095">
        <v>6124.44</v>
      </c>
      <c r="J3095" t="s">
        <v>22</v>
      </c>
      <c r="K3095" t="s">
        <v>17</v>
      </c>
      <c r="L3095">
        <f t="shared" si="144"/>
        <v>2024</v>
      </c>
      <c r="M3095" t="str">
        <f t="shared" si="145"/>
        <v>Sep</v>
      </c>
      <c r="N3095" s="2">
        <f t="shared" si="146"/>
        <v>0.16144567324256576</v>
      </c>
    </row>
    <row r="3096" spans="1:14" x14ac:dyDescent="0.45">
      <c r="A3096" t="s">
        <v>5743</v>
      </c>
      <c r="B3096" s="1">
        <v>44740</v>
      </c>
      <c r="C3096" t="s">
        <v>5744</v>
      </c>
      <c r="D3096" t="s">
        <v>56</v>
      </c>
      <c r="E3096" t="s">
        <v>20</v>
      </c>
      <c r="F3096" t="s">
        <v>43</v>
      </c>
      <c r="G3096">
        <v>3</v>
      </c>
      <c r="H3096">
        <v>2143.87</v>
      </c>
      <c r="I3096">
        <v>306.98</v>
      </c>
      <c r="J3096" t="s">
        <v>47</v>
      </c>
      <c r="K3096" t="s">
        <v>33</v>
      </c>
      <c r="L3096">
        <f t="shared" si="144"/>
        <v>2022</v>
      </c>
      <c r="M3096" t="str">
        <f t="shared" si="145"/>
        <v>Jun</v>
      </c>
      <c r="N3096" s="2">
        <f t="shared" si="146"/>
        <v>0.1431896523576523</v>
      </c>
    </row>
    <row r="3097" spans="1:14" x14ac:dyDescent="0.45">
      <c r="A3097" t="s">
        <v>5745</v>
      </c>
      <c r="B3097" s="1">
        <v>44709</v>
      </c>
      <c r="C3097" t="s">
        <v>5746</v>
      </c>
      <c r="D3097" t="s">
        <v>56</v>
      </c>
      <c r="E3097" t="s">
        <v>20</v>
      </c>
      <c r="F3097" t="s">
        <v>50</v>
      </c>
      <c r="G3097">
        <v>4</v>
      </c>
      <c r="H3097">
        <v>16969.55</v>
      </c>
      <c r="I3097">
        <v>1119.18</v>
      </c>
      <c r="J3097" t="s">
        <v>28</v>
      </c>
      <c r="K3097" t="s">
        <v>17</v>
      </c>
      <c r="L3097">
        <f t="shared" si="144"/>
        <v>2022</v>
      </c>
      <c r="M3097" t="str">
        <f t="shared" si="145"/>
        <v>May</v>
      </c>
      <c r="N3097" s="2">
        <f t="shared" si="146"/>
        <v>6.5952249765020288E-2</v>
      </c>
    </row>
    <row r="3098" spans="1:14" x14ac:dyDescent="0.45">
      <c r="A3098" t="s">
        <v>5747</v>
      </c>
      <c r="B3098" s="1">
        <v>45159</v>
      </c>
      <c r="C3098" t="s">
        <v>5201</v>
      </c>
      <c r="D3098" t="s">
        <v>56</v>
      </c>
      <c r="E3098" t="s">
        <v>20</v>
      </c>
      <c r="F3098" t="s">
        <v>43</v>
      </c>
      <c r="G3098">
        <v>5</v>
      </c>
      <c r="H3098">
        <v>35532.910000000003</v>
      </c>
      <c r="I3098">
        <v>3064.53</v>
      </c>
      <c r="J3098" t="s">
        <v>47</v>
      </c>
      <c r="K3098" t="s">
        <v>33</v>
      </c>
      <c r="L3098">
        <f t="shared" si="144"/>
        <v>2023</v>
      </c>
      <c r="M3098" t="str">
        <f t="shared" si="145"/>
        <v>Aug</v>
      </c>
      <c r="N3098" s="2">
        <f t="shared" si="146"/>
        <v>8.6244836125158333E-2</v>
      </c>
    </row>
    <row r="3099" spans="1:14" x14ac:dyDescent="0.45">
      <c r="A3099" t="s">
        <v>5748</v>
      </c>
      <c r="B3099" s="1">
        <v>45237</v>
      </c>
      <c r="C3099" t="s">
        <v>5749</v>
      </c>
      <c r="D3099" t="s">
        <v>13</v>
      </c>
      <c r="E3099" t="s">
        <v>20</v>
      </c>
      <c r="F3099" t="s">
        <v>43</v>
      </c>
      <c r="G3099">
        <v>4</v>
      </c>
      <c r="H3099">
        <v>2088.69</v>
      </c>
      <c r="I3099">
        <v>315.20999999999998</v>
      </c>
      <c r="J3099" t="s">
        <v>71</v>
      </c>
      <c r="K3099" t="s">
        <v>33</v>
      </c>
      <c r="L3099">
        <f t="shared" si="144"/>
        <v>2023</v>
      </c>
      <c r="M3099" t="str">
        <f t="shared" si="145"/>
        <v>Nov</v>
      </c>
      <c r="N3099" s="2">
        <f t="shared" si="146"/>
        <v>0.15091277307786219</v>
      </c>
    </row>
    <row r="3100" spans="1:14" x14ac:dyDescent="0.45">
      <c r="A3100" t="s">
        <v>5750</v>
      </c>
      <c r="B3100" s="1">
        <v>45654</v>
      </c>
      <c r="C3100" t="s">
        <v>5612</v>
      </c>
      <c r="D3100" t="s">
        <v>13</v>
      </c>
      <c r="E3100" t="s">
        <v>14</v>
      </c>
      <c r="F3100" t="s">
        <v>57</v>
      </c>
      <c r="G3100">
        <v>5</v>
      </c>
      <c r="H3100">
        <v>948.97</v>
      </c>
      <c r="I3100">
        <v>100.04</v>
      </c>
      <c r="J3100" t="s">
        <v>71</v>
      </c>
      <c r="K3100" t="s">
        <v>29</v>
      </c>
      <c r="L3100">
        <f t="shared" si="144"/>
        <v>2024</v>
      </c>
      <c r="M3100" t="str">
        <f t="shared" si="145"/>
        <v>Dec</v>
      </c>
      <c r="N3100" s="2">
        <f t="shared" si="146"/>
        <v>0.10541956015469404</v>
      </c>
    </row>
    <row r="3101" spans="1:14" x14ac:dyDescent="0.45">
      <c r="A3101" t="s">
        <v>5751</v>
      </c>
      <c r="B3101" s="1">
        <v>44850</v>
      </c>
      <c r="C3101" t="s">
        <v>2338</v>
      </c>
      <c r="D3101" t="s">
        <v>26</v>
      </c>
      <c r="E3101" t="s">
        <v>36</v>
      </c>
      <c r="F3101" t="s">
        <v>46</v>
      </c>
      <c r="G3101">
        <v>2</v>
      </c>
      <c r="H3101">
        <v>7816.68</v>
      </c>
      <c r="I3101">
        <v>1609.15</v>
      </c>
      <c r="J3101" t="s">
        <v>22</v>
      </c>
      <c r="K3101" t="s">
        <v>23</v>
      </c>
      <c r="L3101">
        <f t="shared" si="144"/>
        <v>2022</v>
      </c>
      <c r="M3101" t="str">
        <f t="shared" si="145"/>
        <v>Oct</v>
      </c>
      <c r="N3101" s="2">
        <f t="shared" si="146"/>
        <v>0.20586105610054398</v>
      </c>
    </row>
    <row r="3102" spans="1:14" x14ac:dyDescent="0.45">
      <c r="A3102" t="s">
        <v>5752</v>
      </c>
      <c r="B3102" s="1">
        <v>44828</v>
      </c>
      <c r="C3102" t="s">
        <v>5047</v>
      </c>
      <c r="D3102" t="s">
        <v>26</v>
      </c>
      <c r="E3102" t="s">
        <v>14</v>
      </c>
      <c r="F3102" t="s">
        <v>40</v>
      </c>
      <c r="G3102">
        <v>2</v>
      </c>
      <c r="H3102">
        <v>10675.37</v>
      </c>
      <c r="I3102">
        <v>1098.48</v>
      </c>
      <c r="J3102" t="s">
        <v>28</v>
      </c>
      <c r="K3102" t="s">
        <v>33</v>
      </c>
      <c r="L3102">
        <f t="shared" si="144"/>
        <v>2022</v>
      </c>
      <c r="M3102" t="str">
        <f t="shared" si="145"/>
        <v>Sep</v>
      </c>
      <c r="N3102" s="2">
        <f t="shared" si="146"/>
        <v>0.10289854122152206</v>
      </c>
    </row>
    <row r="3103" spans="1:14" x14ac:dyDescent="0.45">
      <c r="A3103" t="s">
        <v>5753</v>
      </c>
      <c r="B3103" s="1">
        <v>45260</v>
      </c>
      <c r="C3103" t="s">
        <v>5754</v>
      </c>
      <c r="D3103" t="s">
        <v>26</v>
      </c>
      <c r="E3103" t="s">
        <v>20</v>
      </c>
      <c r="F3103" t="s">
        <v>27</v>
      </c>
      <c r="G3103">
        <v>3</v>
      </c>
      <c r="H3103">
        <v>2674.18</v>
      </c>
      <c r="I3103">
        <v>648.01</v>
      </c>
      <c r="J3103" t="s">
        <v>47</v>
      </c>
      <c r="K3103" t="s">
        <v>29</v>
      </c>
      <c r="L3103">
        <f t="shared" si="144"/>
        <v>2023</v>
      </c>
      <c r="M3103" t="str">
        <f t="shared" si="145"/>
        <v>Nov</v>
      </c>
      <c r="N3103" s="2">
        <f t="shared" si="146"/>
        <v>0.24232101055276759</v>
      </c>
    </row>
    <row r="3104" spans="1:14" x14ac:dyDescent="0.45">
      <c r="A3104" t="s">
        <v>5755</v>
      </c>
      <c r="B3104" s="1">
        <v>44562</v>
      </c>
      <c r="C3104" t="s">
        <v>4301</v>
      </c>
      <c r="D3104" t="s">
        <v>56</v>
      </c>
      <c r="E3104" t="s">
        <v>20</v>
      </c>
      <c r="F3104" t="s">
        <v>43</v>
      </c>
      <c r="G3104">
        <v>2</v>
      </c>
      <c r="H3104">
        <v>38829.1</v>
      </c>
      <c r="I3104">
        <v>7592.02</v>
      </c>
      <c r="J3104" t="s">
        <v>47</v>
      </c>
      <c r="K3104" t="s">
        <v>33</v>
      </c>
      <c r="L3104">
        <f t="shared" si="144"/>
        <v>2022</v>
      </c>
      <c r="M3104" t="str">
        <f t="shared" si="145"/>
        <v>Jan</v>
      </c>
      <c r="N3104" s="2">
        <f t="shared" si="146"/>
        <v>0.1955239755750198</v>
      </c>
    </row>
    <row r="3105" spans="1:14" x14ac:dyDescent="0.45">
      <c r="A3105" t="s">
        <v>5756</v>
      </c>
      <c r="B3105" s="1">
        <v>44863</v>
      </c>
      <c r="C3105" t="s">
        <v>5757</v>
      </c>
      <c r="D3105" t="s">
        <v>26</v>
      </c>
      <c r="E3105" t="s">
        <v>20</v>
      </c>
      <c r="F3105" t="s">
        <v>27</v>
      </c>
      <c r="G3105">
        <v>5</v>
      </c>
      <c r="H3105">
        <v>13101.32</v>
      </c>
      <c r="I3105">
        <v>3207.69</v>
      </c>
      <c r="J3105" t="s">
        <v>47</v>
      </c>
      <c r="K3105" t="s">
        <v>29</v>
      </c>
      <c r="L3105">
        <f t="shared" si="144"/>
        <v>2022</v>
      </c>
      <c r="M3105" t="str">
        <f t="shared" si="145"/>
        <v>Oct</v>
      </c>
      <c r="N3105" s="2">
        <f t="shared" si="146"/>
        <v>0.24483716144632756</v>
      </c>
    </row>
    <row r="3106" spans="1:14" x14ac:dyDescent="0.45">
      <c r="A3106" t="s">
        <v>5758</v>
      </c>
      <c r="B3106" s="1">
        <v>44612</v>
      </c>
      <c r="C3106" t="s">
        <v>5759</v>
      </c>
      <c r="D3106" t="s">
        <v>13</v>
      </c>
      <c r="E3106" t="s">
        <v>14</v>
      </c>
      <c r="F3106" t="s">
        <v>32</v>
      </c>
      <c r="G3106">
        <v>2</v>
      </c>
      <c r="H3106">
        <v>33616.629999999997</v>
      </c>
      <c r="I3106">
        <v>3184.18</v>
      </c>
      <c r="J3106" t="s">
        <v>16</v>
      </c>
      <c r="K3106" t="s">
        <v>29</v>
      </c>
      <c r="L3106">
        <f t="shared" si="144"/>
        <v>2022</v>
      </c>
      <c r="M3106" t="str">
        <f t="shared" si="145"/>
        <v>Feb</v>
      </c>
      <c r="N3106" s="2">
        <f t="shared" si="146"/>
        <v>9.4720380954307445E-2</v>
      </c>
    </row>
    <row r="3107" spans="1:14" x14ac:dyDescent="0.45">
      <c r="A3107" t="s">
        <v>5760</v>
      </c>
      <c r="B3107" s="1">
        <v>44706</v>
      </c>
      <c r="C3107" t="s">
        <v>2197</v>
      </c>
      <c r="D3107" t="s">
        <v>26</v>
      </c>
      <c r="E3107" t="s">
        <v>20</v>
      </c>
      <c r="F3107" t="s">
        <v>50</v>
      </c>
      <c r="G3107">
        <v>2</v>
      </c>
      <c r="H3107">
        <v>43052.2</v>
      </c>
      <c r="I3107">
        <v>8999.1200000000008</v>
      </c>
      <c r="J3107" t="s">
        <v>47</v>
      </c>
      <c r="K3107" t="s">
        <v>33</v>
      </c>
      <c r="L3107">
        <f t="shared" si="144"/>
        <v>2022</v>
      </c>
      <c r="M3107" t="str">
        <f t="shared" si="145"/>
        <v>May</v>
      </c>
      <c r="N3107" s="2">
        <f t="shared" si="146"/>
        <v>0.20902811006173905</v>
      </c>
    </row>
    <row r="3108" spans="1:14" x14ac:dyDescent="0.45">
      <c r="A3108" t="s">
        <v>5761</v>
      </c>
      <c r="B3108" s="1">
        <v>45206</v>
      </c>
      <c r="C3108" t="s">
        <v>5762</v>
      </c>
      <c r="D3108" t="s">
        <v>56</v>
      </c>
      <c r="E3108" t="s">
        <v>14</v>
      </c>
      <c r="F3108" t="s">
        <v>15</v>
      </c>
      <c r="G3108">
        <v>4</v>
      </c>
      <c r="H3108">
        <v>21320.53</v>
      </c>
      <c r="I3108">
        <v>1404.41</v>
      </c>
      <c r="J3108" t="s">
        <v>47</v>
      </c>
      <c r="K3108" t="s">
        <v>23</v>
      </c>
      <c r="L3108">
        <f t="shared" si="144"/>
        <v>2023</v>
      </c>
      <c r="M3108" t="str">
        <f t="shared" si="145"/>
        <v>Oct</v>
      </c>
      <c r="N3108" s="2">
        <f t="shared" si="146"/>
        <v>6.5871251793459179E-2</v>
      </c>
    </row>
    <row r="3109" spans="1:14" x14ac:dyDescent="0.45">
      <c r="A3109" t="s">
        <v>5763</v>
      </c>
      <c r="B3109" s="1">
        <v>45506</v>
      </c>
      <c r="C3109" t="s">
        <v>5764</v>
      </c>
      <c r="D3109" t="s">
        <v>26</v>
      </c>
      <c r="E3109" t="s">
        <v>14</v>
      </c>
      <c r="F3109" t="s">
        <v>15</v>
      </c>
      <c r="G3109">
        <v>5</v>
      </c>
      <c r="H3109">
        <v>14469.45</v>
      </c>
      <c r="I3109">
        <v>1874.82</v>
      </c>
      <c r="J3109" t="s">
        <v>47</v>
      </c>
      <c r="K3109" t="s">
        <v>33</v>
      </c>
      <c r="L3109">
        <f t="shared" si="144"/>
        <v>2024</v>
      </c>
      <c r="M3109" t="str">
        <f t="shared" si="145"/>
        <v>Aug</v>
      </c>
      <c r="N3109" s="2">
        <f t="shared" si="146"/>
        <v>0.12957092356654881</v>
      </c>
    </row>
    <row r="3110" spans="1:14" x14ac:dyDescent="0.45">
      <c r="A3110" t="s">
        <v>5765</v>
      </c>
      <c r="B3110" s="1">
        <v>44620</v>
      </c>
      <c r="C3110" t="s">
        <v>5336</v>
      </c>
      <c r="D3110" t="s">
        <v>56</v>
      </c>
      <c r="E3110" t="s">
        <v>14</v>
      </c>
      <c r="F3110" t="s">
        <v>57</v>
      </c>
      <c r="G3110">
        <v>2</v>
      </c>
      <c r="H3110">
        <v>26007.15</v>
      </c>
      <c r="I3110">
        <v>4221.42</v>
      </c>
      <c r="J3110" t="s">
        <v>47</v>
      </c>
      <c r="K3110" t="s">
        <v>23</v>
      </c>
      <c r="L3110">
        <f t="shared" si="144"/>
        <v>2022</v>
      </c>
      <c r="M3110" t="str">
        <f t="shared" si="145"/>
        <v>Feb</v>
      </c>
      <c r="N3110" s="2">
        <f t="shared" si="146"/>
        <v>0.16231767033296612</v>
      </c>
    </row>
    <row r="3111" spans="1:14" x14ac:dyDescent="0.45">
      <c r="A3111" t="s">
        <v>5766</v>
      </c>
      <c r="B3111" s="1">
        <v>44884</v>
      </c>
      <c r="C3111" t="s">
        <v>1196</v>
      </c>
      <c r="D3111" t="s">
        <v>56</v>
      </c>
      <c r="E3111" t="s">
        <v>20</v>
      </c>
      <c r="F3111" t="s">
        <v>43</v>
      </c>
      <c r="G3111">
        <v>5</v>
      </c>
      <c r="H3111">
        <v>6547.19</v>
      </c>
      <c r="I3111">
        <v>1465.96</v>
      </c>
      <c r="J3111" t="s">
        <v>28</v>
      </c>
      <c r="K3111" t="s">
        <v>23</v>
      </c>
      <c r="L3111">
        <f t="shared" si="144"/>
        <v>2022</v>
      </c>
      <c r="M3111" t="str">
        <f t="shared" si="145"/>
        <v>Nov</v>
      </c>
      <c r="N3111" s="2">
        <f t="shared" si="146"/>
        <v>0.22390674472559985</v>
      </c>
    </row>
    <row r="3112" spans="1:14" x14ac:dyDescent="0.45">
      <c r="A3112" t="s">
        <v>5767</v>
      </c>
      <c r="B3112" s="1">
        <v>45250</v>
      </c>
      <c r="C3112" t="s">
        <v>5768</v>
      </c>
      <c r="D3112" t="s">
        <v>56</v>
      </c>
      <c r="E3112" t="s">
        <v>14</v>
      </c>
      <c r="F3112" t="s">
        <v>57</v>
      </c>
      <c r="G3112">
        <v>4</v>
      </c>
      <c r="H3112">
        <v>24405.1</v>
      </c>
      <c r="I3112">
        <v>5062.17</v>
      </c>
      <c r="J3112" t="s">
        <v>47</v>
      </c>
      <c r="K3112" t="s">
        <v>33</v>
      </c>
      <c r="L3112">
        <f t="shared" si="144"/>
        <v>2023</v>
      </c>
      <c r="M3112" t="str">
        <f t="shared" si="145"/>
        <v>Nov</v>
      </c>
      <c r="N3112" s="2">
        <f t="shared" si="146"/>
        <v>0.2074226288767512</v>
      </c>
    </row>
    <row r="3113" spans="1:14" x14ac:dyDescent="0.45">
      <c r="A3113" t="s">
        <v>5769</v>
      </c>
      <c r="B3113" s="1">
        <v>45211</v>
      </c>
      <c r="C3113" t="s">
        <v>5770</v>
      </c>
      <c r="D3113" t="s">
        <v>13</v>
      </c>
      <c r="E3113" t="s">
        <v>20</v>
      </c>
      <c r="F3113" t="s">
        <v>21</v>
      </c>
      <c r="G3113">
        <v>2</v>
      </c>
      <c r="H3113">
        <v>27186.13</v>
      </c>
      <c r="I3113">
        <v>2305.5300000000002</v>
      </c>
      <c r="J3113" t="s">
        <v>16</v>
      </c>
      <c r="K3113" t="s">
        <v>17</v>
      </c>
      <c r="L3113">
        <f t="shared" si="144"/>
        <v>2023</v>
      </c>
      <c r="M3113" t="str">
        <f t="shared" si="145"/>
        <v>Oct</v>
      </c>
      <c r="N3113" s="2">
        <f t="shared" si="146"/>
        <v>8.4805376859450027E-2</v>
      </c>
    </row>
    <row r="3114" spans="1:14" x14ac:dyDescent="0.45">
      <c r="A3114" t="s">
        <v>5771</v>
      </c>
      <c r="B3114" s="1">
        <v>45644</v>
      </c>
      <c r="C3114" t="s">
        <v>5772</v>
      </c>
      <c r="D3114" t="s">
        <v>13</v>
      </c>
      <c r="E3114" t="s">
        <v>14</v>
      </c>
      <c r="F3114" t="s">
        <v>15</v>
      </c>
      <c r="G3114">
        <v>2</v>
      </c>
      <c r="H3114">
        <v>16939.759999999998</v>
      </c>
      <c r="I3114">
        <v>1971</v>
      </c>
      <c r="J3114" t="s">
        <v>71</v>
      </c>
      <c r="K3114" t="s">
        <v>23</v>
      </c>
      <c r="L3114">
        <f t="shared" si="144"/>
        <v>2024</v>
      </c>
      <c r="M3114" t="str">
        <f t="shared" si="145"/>
        <v>Dec</v>
      </c>
      <c r="N3114" s="2">
        <f t="shared" si="146"/>
        <v>0.11635347844361432</v>
      </c>
    </row>
    <row r="3115" spans="1:14" x14ac:dyDescent="0.45">
      <c r="A3115" t="s">
        <v>5773</v>
      </c>
      <c r="B3115" s="1">
        <v>45230</v>
      </c>
      <c r="C3115" t="s">
        <v>5168</v>
      </c>
      <c r="D3115" t="s">
        <v>56</v>
      </c>
      <c r="E3115" t="s">
        <v>36</v>
      </c>
      <c r="F3115" t="s">
        <v>64</v>
      </c>
      <c r="G3115">
        <v>1</v>
      </c>
      <c r="H3115">
        <v>39228.699999999997</v>
      </c>
      <c r="I3115">
        <v>5921.14</v>
      </c>
      <c r="J3115" t="s">
        <v>28</v>
      </c>
      <c r="K3115" t="s">
        <v>23</v>
      </c>
      <c r="L3115">
        <f t="shared" si="144"/>
        <v>2023</v>
      </c>
      <c r="M3115" t="str">
        <f t="shared" si="145"/>
        <v>Oct</v>
      </c>
      <c r="N3115" s="2">
        <f t="shared" si="146"/>
        <v>0.15093898089918861</v>
      </c>
    </row>
    <row r="3116" spans="1:14" x14ac:dyDescent="0.45">
      <c r="A3116" t="s">
        <v>5774</v>
      </c>
      <c r="B3116" s="1">
        <v>45128</v>
      </c>
      <c r="C3116" t="s">
        <v>5684</v>
      </c>
      <c r="D3116" t="s">
        <v>13</v>
      </c>
      <c r="E3116" t="s">
        <v>20</v>
      </c>
      <c r="F3116" t="s">
        <v>50</v>
      </c>
      <c r="G3116">
        <v>5</v>
      </c>
      <c r="H3116">
        <v>30661.65</v>
      </c>
      <c r="I3116">
        <v>4881.8900000000003</v>
      </c>
      <c r="J3116" t="s">
        <v>28</v>
      </c>
      <c r="K3116" t="s">
        <v>33</v>
      </c>
      <c r="L3116">
        <f t="shared" si="144"/>
        <v>2023</v>
      </c>
      <c r="M3116" t="str">
        <f t="shared" si="145"/>
        <v>Jul</v>
      </c>
      <c r="N3116" s="2">
        <f t="shared" si="146"/>
        <v>0.15921811122362953</v>
      </c>
    </row>
    <row r="3117" spans="1:14" x14ac:dyDescent="0.45">
      <c r="A3117" t="s">
        <v>5775</v>
      </c>
      <c r="B3117" s="1">
        <v>44888</v>
      </c>
      <c r="C3117" t="s">
        <v>5776</v>
      </c>
      <c r="D3117" t="s">
        <v>13</v>
      </c>
      <c r="E3117" t="s">
        <v>20</v>
      </c>
      <c r="F3117" t="s">
        <v>27</v>
      </c>
      <c r="G3117">
        <v>1</v>
      </c>
      <c r="H3117">
        <v>24740.23</v>
      </c>
      <c r="I3117">
        <v>2010.48</v>
      </c>
      <c r="J3117" t="s">
        <v>28</v>
      </c>
      <c r="K3117" t="s">
        <v>29</v>
      </c>
      <c r="L3117">
        <f t="shared" si="144"/>
        <v>2022</v>
      </c>
      <c r="M3117" t="str">
        <f t="shared" si="145"/>
        <v>Nov</v>
      </c>
      <c r="N3117" s="2">
        <f t="shared" si="146"/>
        <v>8.1263593749936844E-2</v>
      </c>
    </row>
    <row r="3118" spans="1:14" x14ac:dyDescent="0.45">
      <c r="A3118" t="s">
        <v>5777</v>
      </c>
      <c r="B3118" s="1">
        <v>44763</v>
      </c>
      <c r="C3118" t="s">
        <v>267</v>
      </c>
      <c r="D3118" t="s">
        <v>56</v>
      </c>
      <c r="E3118" t="s">
        <v>36</v>
      </c>
      <c r="F3118" t="s">
        <v>37</v>
      </c>
      <c r="G3118">
        <v>2</v>
      </c>
      <c r="H3118">
        <v>23465.360000000001</v>
      </c>
      <c r="I3118">
        <v>5797.52</v>
      </c>
      <c r="J3118" t="s">
        <v>28</v>
      </c>
      <c r="K3118" t="s">
        <v>17</v>
      </c>
      <c r="L3118">
        <f t="shared" si="144"/>
        <v>2022</v>
      </c>
      <c r="M3118" t="str">
        <f t="shared" si="145"/>
        <v>Jul</v>
      </c>
      <c r="N3118" s="2">
        <f t="shared" si="146"/>
        <v>0.24706716623993838</v>
      </c>
    </row>
    <row r="3119" spans="1:14" x14ac:dyDescent="0.45">
      <c r="A3119" t="s">
        <v>5778</v>
      </c>
      <c r="B3119" s="1">
        <v>45476</v>
      </c>
      <c r="C3119" t="s">
        <v>5779</v>
      </c>
      <c r="D3119" t="s">
        <v>56</v>
      </c>
      <c r="E3119" t="s">
        <v>36</v>
      </c>
      <c r="F3119" t="s">
        <v>37</v>
      </c>
      <c r="G3119">
        <v>1</v>
      </c>
      <c r="H3119">
        <v>27672.52</v>
      </c>
      <c r="I3119">
        <v>5368.37</v>
      </c>
      <c r="J3119" t="s">
        <v>16</v>
      </c>
      <c r="K3119" t="s">
        <v>23</v>
      </c>
      <c r="L3119">
        <f t="shared" si="144"/>
        <v>2024</v>
      </c>
      <c r="M3119" t="str">
        <f t="shared" si="145"/>
        <v>Jul</v>
      </c>
      <c r="N3119" s="2">
        <f t="shared" si="146"/>
        <v>0.19399642678006918</v>
      </c>
    </row>
    <row r="3120" spans="1:14" x14ac:dyDescent="0.45">
      <c r="A3120" t="s">
        <v>5780</v>
      </c>
      <c r="B3120" s="1">
        <v>44870</v>
      </c>
      <c r="C3120" t="s">
        <v>5781</v>
      </c>
      <c r="D3120" t="s">
        <v>56</v>
      </c>
      <c r="E3120" t="s">
        <v>36</v>
      </c>
      <c r="F3120" t="s">
        <v>64</v>
      </c>
      <c r="G3120">
        <v>3</v>
      </c>
      <c r="H3120">
        <v>33518.43</v>
      </c>
      <c r="I3120">
        <v>4858.79</v>
      </c>
      <c r="J3120" t="s">
        <v>71</v>
      </c>
      <c r="K3120" t="s">
        <v>29</v>
      </c>
      <c r="L3120">
        <f t="shared" si="144"/>
        <v>2022</v>
      </c>
      <c r="M3120" t="str">
        <f t="shared" si="145"/>
        <v>Nov</v>
      </c>
      <c r="N3120" s="2">
        <f t="shared" si="146"/>
        <v>0.14495875850987053</v>
      </c>
    </row>
    <row r="3121" spans="1:14" x14ac:dyDescent="0.45">
      <c r="A3121" t="s">
        <v>5782</v>
      </c>
      <c r="B3121" s="1">
        <v>44963</v>
      </c>
      <c r="C3121" t="s">
        <v>367</v>
      </c>
      <c r="D3121" t="s">
        <v>26</v>
      </c>
      <c r="E3121" t="s">
        <v>20</v>
      </c>
      <c r="F3121" t="s">
        <v>27</v>
      </c>
      <c r="G3121">
        <v>2</v>
      </c>
      <c r="H3121">
        <v>44971.48</v>
      </c>
      <c r="I3121">
        <v>10161.959999999999</v>
      </c>
      <c r="J3121" t="s">
        <v>28</v>
      </c>
      <c r="K3121" t="s">
        <v>29</v>
      </c>
      <c r="L3121">
        <f t="shared" si="144"/>
        <v>2023</v>
      </c>
      <c r="M3121" t="str">
        <f t="shared" si="145"/>
        <v>Feb</v>
      </c>
      <c r="N3121" s="2">
        <f t="shared" si="146"/>
        <v>0.225964544640292</v>
      </c>
    </row>
    <row r="3122" spans="1:14" x14ac:dyDescent="0.45">
      <c r="A3122" t="s">
        <v>5783</v>
      </c>
      <c r="B3122" s="1">
        <v>45599</v>
      </c>
      <c r="C3122" t="s">
        <v>5784</v>
      </c>
      <c r="D3122" t="s">
        <v>26</v>
      </c>
      <c r="E3122" t="s">
        <v>14</v>
      </c>
      <c r="F3122" t="s">
        <v>40</v>
      </c>
      <c r="G3122">
        <v>2</v>
      </c>
      <c r="H3122">
        <v>30931.599999999999</v>
      </c>
      <c r="I3122">
        <v>7254.77</v>
      </c>
      <c r="J3122" t="s">
        <v>28</v>
      </c>
      <c r="K3122" t="s">
        <v>29</v>
      </c>
      <c r="L3122">
        <f t="shared" si="144"/>
        <v>2024</v>
      </c>
      <c r="M3122" t="str">
        <f t="shared" si="145"/>
        <v>Nov</v>
      </c>
      <c r="N3122" s="2">
        <f t="shared" si="146"/>
        <v>0.23454234504519653</v>
      </c>
    </row>
    <row r="3123" spans="1:14" x14ac:dyDescent="0.45">
      <c r="A3123" t="s">
        <v>5785</v>
      </c>
      <c r="B3123" s="1">
        <v>45583</v>
      </c>
      <c r="C3123" t="s">
        <v>5786</v>
      </c>
      <c r="D3123" t="s">
        <v>13</v>
      </c>
      <c r="E3123" t="s">
        <v>36</v>
      </c>
      <c r="F3123" t="s">
        <v>64</v>
      </c>
      <c r="G3123">
        <v>1</v>
      </c>
      <c r="H3123">
        <v>30424.71</v>
      </c>
      <c r="I3123">
        <v>5959.32</v>
      </c>
      <c r="J3123" t="s">
        <v>28</v>
      </c>
      <c r="K3123" t="s">
        <v>33</v>
      </c>
      <c r="L3123">
        <f t="shared" si="144"/>
        <v>2024</v>
      </c>
      <c r="M3123" t="str">
        <f t="shared" si="145"/>
        <v>Oct</v>
      </c>
      <c r="N3123" s="2">
        <f t="shared" si="146"/>
        <v>0.19587105349566192</v>
      </c>
    </row>
    <row r="3124" spans="1:14" x14ac:dyDescent="0.45">
      <c r="A3124" t="s">
        <v>5787</v>
      </c>
      <c r="B3124" s="1">
        <v>45326</v>
      </c>
      <c r="C3124" t="s">
        <v>4940</v>
      </c>
      <c r="D3124" t="s">
        <v>26</v>
      </c>
      <c r="E3124" t="s">
        <v>20</v>
      </c>
      <c r="F3124" t="s">
        <v>27</v>
      </c>
      <c r="G3124">
        <v>4</v>
      </c>
      <c r="H3124">
        <v>34463.07</v>
      </c>
      <c r="I3124">
        <v>5120.47</v>
      </c>
      <c r="J3124" t="s">
        <v>28</v>
      </c>
      <c r="K3124" t="s">
        <v>29</v>
      </c>
      <c r="L3124">
        <f t="shared" si="144"/>
        <v>2024</v>
      </c>
      <c r="M3124" t="str">
        <f t="shared" si="145"/>
        <v>Feb</v>
      </c>
      <c r="N3124" s="2">
        <f t="shared" si="146"/>
        <v>0.14857846384550188</v>
      </c>
    </row>
    <row r="3125" spans="1:14" x14ac:dyDescent="0.45">
      <c r="A3125" t="s">
        <v>5788</v>
      </c>
      <c r="B3125" s="1">
        <v>44597</v>
      </c>
      <c r="C3125" t="s">
        <v>5789</v>
      </c>
      <c r="D3125" t="s">
        <v>26</v>
      </c>
      <c r="E3125" t="s">
        <v>20</v>
      </c>
      <c r="F3125" t="s">
        <v>21</v>
      </c>
      <c r="G3125">
        <v>3</v>
      </c>
      <c r="H3125">
        <v>41744.519999999997</v>
      </c>
      <c r="I3125">
        <v>7241.14</v>
      </c>
      <c r="J3125" t="s">
        <v>47</v>
      </c>
      <c r="K3125" t="s">
        <v>29</v>
      </c>
      <c r="L3125">
        <f t="shared" si="144"/>
        <v>2022</v>
      </c>
      <c r="M3125" t="str">
        <f t="shared" si="145"/>
        <v>Feb</v>
      </c>
      <c r="N3125" s="2">
        <f t="shared" si="146"/>
        <v>0.17346324739151392</v>
      </c>
    </row>
    <row r="3126" spans="1:14" x14ac:dyDescent="0.45">
      <c r="A3126" t="s">
        <v>5790</v>
      </c>
      <c r="B3126" s="1">
        <v>45572</v>
      </c>
      <c r="C3126" t="s">
        <v>3052</v>
      </c>
      <c r="D3126" t="s">
        <v>13</v>
      </c>
      <c r="E3126" t="s">
        <v>14</v>
      </c>
      <c r="F3126" t="s">
        <v>15</v>
      </c>
      <c r="G3126">
        <v>1</v>
      </c>
      <c r="H3126">
        <v>44957.09</v>
      </c>
      <c r="I3126">
        <v>6658.17</v>
      </c>
      <c r="J3126" t="s">
        <v>22</v>
      </c>
      <c r="K3126" t="s">
        <v>29</v>
      </c>
      <c r="L3126">
        <f t="shared" si="144"/>
        <v>2024</v>
      </c>
      <c r="M3126" t="str">
        <f t="shared" si="145"/>
        <v>Oct</v>
      </c>
      <c r="N3126" s="2">
        <f t="shared" si="146"/>
        <v>0.14810055544075473</v>
      </c>
    </row>
    <row r="3127" spans="1:14" x14ac:dyDescent="0.45">
      <c r="A3127" t="s">
        <v>5791</v>
      </c>
      <c r="B3127" s="1">
        <v>44738</v>
      </c>
      <c r="C3127" t="s">
        <v>5792</v>
      </c>
      <c r="D3127" t="s">
        <v>26</v>
      </c>
      <c r="E3127" t="s">
        <v>20</v>
      </c>
      <c r="F3127" t="s">
        <v>21</v>
      </c>
      <c r="G3127">
        <v>4</v>
      </c>
      <c r="H3127">
        <v>41403.65</v>
      </c>
      <c r="I3127">
        <v>9067.16</v>
      </c>
      <c r="J3127" t="s">
        <v>22</v>
      </c>
      <c r="K3127" t="s">
        <v>17</v>
      </c>
      <c r="L3127">
        <f t="shared" si="144"/>
        <v>2022</v>
      </c>
      <c r="M3127" t="str">
        <f t="shared" si="145"/>
        <v>Jun</v>
      </c>
      <c r="N3127" s="2">
        <f t="shared" si="146"/>
        <v>0.21899421910870176</v>
      </c>
    </row>
    <row r="3128" spans="1:14" x14ac:dyDescent="0.45">
      <c r="A3128" t="s">
        <v>5793</v>
      </c>
      <c r="B3128" s="1">
        <v>45630</v>
      </c>
      <c r="C3128" t="s">
        <v>5794</v>
      </c>
      <c r="D3128" t="s">
        <v>26</v>
      </c>
      <c r="E3128" t="s">
        <v>14</v>
      </c>
      <c r="F3128" t="s">
        <v>32</v>
      </c>
      <c r="G3128">
        <v>2</v>
      </c>
      <c r="H3128">
        <v>35899.53</v>
      </c>
      <c r="I3128">
        <v>6921.89</v>
      </c>
      <c r="J3128" t="s">
        <v>22</v>
      </c>
      <c r="K3128" t="s">
        <v>17</v>
      </c>
      <c r="L3128">
        <f t="shared" si="144"/>
        <v>2024</v>
      </c>
      <c r="M3128" t="str">
        <f t="shared" si="145"/>
        <v>Dec</v>
      </c>
      <c r="N3128" s="2">
        <f t="shared" si="146"/>
        <v>0.19281283069722641</v>
      </c>
    </row>
    <row r="3129" spans="1:14" x14ac:dyDescent="0.45">
      <c r="A3129" t="s">
        <v>5795</v>
      </c>
      <c r="B3129" s="1">
        <v>45453</v>
      </c>
      <c r="C3129" t="s">
        <v>5796</v>
      </c>
      <c r="D3129" t="s">
        <v>13</v>
      </c>
      <c r="E3129" t="s">
        <v>20</v>
      </c>
      <c r="F3129" t="s">
        <v>43</v>
      </c>
      <c r="G3129">
        <v>3</v>
      </c>
      <c r="H3129">
        <v>42837.440000000002</v>
      </c>
      <c r="I3129">
        <v>3395.63</v>
      </c>
      <c r="J3129" t="s">
        <v>22</v>
      </c>
      <c r="K3129" t="s">
        <v>23</v>
      </c>
      <c r="L3129">
        <f t="shared" si="144"/>
        <v>2024</v>
      </c>
      <c r="M3129" t="str">
        <f t="shared" si="145"/>
        <v>Jun</v>
      </c>
      <c r="N3129" s="2">
        <f t="shared" si="146"/>
        <v>7.9267808720595814E-2</v>
      </c>
    </row>
    <row r="3130" spans="1:14" x14ac:dyDescent="0.45">
      <c r="A3130" t="s">
        <v>5797</v>
      </c>
      <c r="B3130" s="1">
        <v>44889</v>
      </c>
      <c r="C3130" t="s">
        <v>5798</v>
      </c>
      <c r="D3130" t="s">
        <v>26</v>
      </c>
      <c r="E3130" t="s">
        <v>14</v>
      </c>
      <c r="F3130" t="s">
        <v>57</v>
      </c>
      <c r="G3130">
        <v>4</v>
      </c>
      <c r="H3130">
        <v>18594.439999999999</v>
      </c>
      <c r="I3130">
        <v>952.55</v>
      </c>
      <c r="J3130" t="s">
        <v>22</v>
      </c>
      <c r="K3130" t="s">
        <v>33</v>
      </c>
      <c r="L3130">
        <f t="shared" si="144"/>
        <v>2022</v>
      </c>
      <c r="M3130" t="str">
        <f t="shared" si="145"/>
        <v>Nov</v>
      </c>
      <c r="N3130" s="2">
        <f t="shared" si="146"/>
        <v>5.1227678811515701E-2</v>
      </c>
    </row>
    <row r="3131" spans="1:14" x14ac:dyDescent="0.45">
      <c r="A3131" t="s">
        <v>5799</v>
      </c>
      <c r="B3131" s="1">
        <v>44993</v>
      </c>
      <c r="C3131" t="s">
        <v>5800</v>
      </c>
      <c r="D3131" t="s">
        <v>56</v>
      </c>
      <c r="E3131" t="s">
        <v>36</v>
      </c>
      <c r="F3131" t="s">
        <v>53</v>
      </c>
      <c r="G3131">
        <v>5</v>
      </c>
      <c r="H3131">
        <v>16635.59</v>
      </c>
      <c r="I3131">
        <v>1971.14</v>
      </c>
      <c r="J3131" t="s">
        <v>47</v>
      </c>
      <c r="K3131" t="s">
        <v>17</v>
      </c>
      <c r="L3131">
        <f t="shared" si="144"/>
        <v>2023</v>
      </c>
      <c r="M3131" t="str">
        <f t="shared" si="145"/>
        <v>Mar</v>
      </c>
      <c r="N3131" s="2">
        <f t="shared" si="146"/>
        <v>0.11848933521444086</v>
      </c>
    </row>
    <row r="3132" spans="1:14" x14ac:dyDescent="0.45">
      <c r="A3132" t="s">
        <v>5801</v>
      </c>
      <c r="B3132" s="1">
        <v>45524</v>
      </c>
      <c r="C3132" t="s">
        <v>5802</v>
      </c>
      <c r="D3132" t="s">
        <v>26</v>
      </c>
      <c r="E3132" t="s">
        <v>36</v>
      </c>
      <c r="F3132" t="s">
        <v>37</v>
      </c>
      <c r="G3132">
        <v>1</v>
      </c>
      <c r="H3132">
        <v>1973.71</v>
      </c>
      <c r="I3132">
        <v>109.86</v>
      </c>
      <c r="J3132" t="s">
        <v>16</v>
      </c>
      <c r="K3132" t="s">
        <v>17</v>
      </c>
      <c r="L3132">
        <f t="shared" si="144"/>
        <v>2024</v>
      </c>
      <c r="M3132" t="str">
        <f t="shared" si="145"/>
        <v>Aug</v>
      </c>
      <c r="N3132" s="2">
        <f t="shared" si="146"/>
        <v>5.5661672687476883E-2</v>
      </c>
    </row>
    <row r="3133" spans="1:14" x14ac:dyDescent="0.45">
      <c r="A3133" t="s">
        <v>5803</v>
      </c>
      <c r="B3133" s="1">
        <v>45378</v>
      </c>
      <c r="C3133" t="s">
        <v>5804</v>
      </c>
      <c r="D3133" t="s">
        <v>26</v>
      </c>
      <c r="E3133" t="s">
        <v>14</v>
      </c>
      <c r="F3133" t="s">
        <v>40</v>
      </c>
      <c r="G3133">
        <v>3</v>
      </c>
      <c r="H3133">
        <v>28189.49</v>
      </c>
      <c r="I3133">
        <v>5851.23</v>
      </c>
      <c r="J3133" t="s">
        <v>22</v>
      </c>
      <c r="K3133" t="s">
        <v>29</v>
      </c>
      <c r="L3133">
        <f t="shared" si="144"/>
        <v>2024</v>
      </c>
      <c r="M3133" t="str">
        <f t="shared" si="145"/>
        <v>Mar</v>
      </c>
      <c r="N3133" s="2">
        <f t="shared" si="146"/>
        <v>0.20756778501491155</v>
      </c>
    </row>
    <row r="3134" spans="1:14" x14ac:dyDescent="0.45">
      <c r="A3134" t="s">
        <v>5805</v>
      </c>
      <c r="B3134" s="1">
        <v>44879</v>
      </c>
      <c r="C3134" t="s">
        <v>5806</v>
      </c>
      <c r="D3134" t="s">
        <v>26</v>
      </c>
      <c r="E3134" t="s">
        <v>20</v>
      </c>
      <c r="F3134" t="s">
        <v>50</v>
      </c>
      <c r="G3134">
        <v>1</v>
      </c>
      <c r="H3134">
        <v>29444.03</v>
      </c>
      <c r="I3134">
        <v>4509.8</v>
      </c>
      <c r="J3134" t="s">
        <v>22</v>
      </c>
      <c r="K3134" t="s">
        <v>17</v>
      </c>
      <c r="L3134">
        <f t="shared" si="144"/>
        <v>2022</v>
      </c>
      <c r="M3134" t="str">
        <f t="shared" si="145"/>
        <v>Nov</v>
      </c>
      <c r="N3134" s="2">
        <f t="shared" si="146"/>
        <v>0.15316517474000674</v>
      </c>
    </row>
    <row r="3135" spans="1:14" x14ac:dyDescent="0.45">
      <c r="A3135" t="s">
        <v>5807</v>
      </c>
      <c r="B3135" s="1">
        <v>45272</v>
      </c>
      <c r="C3135" t="s">
        <v>5808</v>
      </c>
      <c r="D3135" t="s">
        <v>56</v>
      </c>
      <c r="E3135" t="s">
        <v>14</v>
      </c>
      <c r="F3135" t="s">
        <v>32</v>
      </c>
      <c r="G3135">
        <v>4</v>
      </c>
      <c r="H3135">
        <v>44802.93</v>
      </c>
      <c r="I3135">
        <v>5366.7</v>
      </c>
      <c r="J3135" t="s">
        <v>16</v>
      </c>
      <c r="K3135" t="s">
        <v>33</v>
      </c>
      <c r="L3135">
        <f t="shared" si="144"/>
        <v>2023</v>
      </c>
      <c r="M3135" t="str">
        <f t="shared" si="145"/>
        <v>Dec</v>
      </c>
      <c r="N3135" s="2">
        <f t="shared" si="146"/>
        <v>0.11978457658907575</v>
      </c>
    </row>
    <row r="3136" spans="1:14" x14ac:dyDescent="0.45">
      <c r="A3136" t="s">
        <v>5809</v>
      </c>
      <c r="B3136" s="1">
        <v>44670</v>
      </c>
      <c r="C3136" t="s">
        <v>4198</v>
      </c>
      <c r="D3136" t="s">
        <v>13</v>
      </c>
      <c r="E3136" t="s">
        <v>36</v>
      </c>
      <c r="F3136" t="s">
        <v>46</v>
      </c>
      <c r="G3136">
        <v>1</v>
      </c>
      <c r="H3136">
        <v>4951.1400000000003</v>
      </c>
      <c r="I3136">
        <v>409.49</v>
      </c>
      <c r="J3136" t="s">
        <v>71</v>
      </c>
      <c r="K3136" t="s">
        <v>23</v>
      </c>
      <c r="L3136">
        <f t="shared" si="144"/>
        <v>2022</v>
      </c>
      <c r="M3136" t="str">
        <f t="shared" si="145"/>
        <v>Apr</v>
      </c>
      <c r="N3136" s="2">
        <f t="shared" si="146"/>
        <v>8.2706205035607952E-2</v>
      </c>
    </row>
    <row r="3137" spans="1:14" x14ac:dyDescent="0.45">
      <c r="A3137" t="s">
        <v>5810</v>
      </c>
      <c r="B3137" s="1">
        <v>44620</v>
      </c>
      <c r="C3137" t="s">
        <v>5811</v>
      </c>
      <c r="D3137" t="s">
        <v>56</v>
      </c>
      <c r="E3137" t="s">
        <v>20</v>
      </c>
      <c r="F3137" t="s">
        <v>21</v>
      </c>
      <c r="G3137">
        <v>2</v>
      </c>
      <c r="H3137">
        <v>25492.65</v>
      </c>
      <c r="I3137">
        <v>1807.98</v>
      </c>
      <c r="J3137" t="s">
        <v>71</v>
      </c>
      <c r="K3137" t="s">
        <v>29</v>
      </c>
      <c r="L3137">
        <f t="shared" si="144"/>
        <v>2022</v>
      </c>
      <c r="M3137" t="str">
        <f t="shared" si="145"/>
        <v>Feb</v>
      </c>
      <c r="N3137" s="2">
        <f t="shared" si="146"/>
        <v>7.0921618584180141E-2</v>
      </c>
    </row>
    <row r="3138" spans="1:14" x14ac:dyDescent="0.45">
      <c r="A3138" t="s">
        <v>5812</v>
      </c>
      <c r="B3138" s="1">
        <v>44699</v>
      </c>
      <c r="C3138" t="s">
        <v>5129</v>
      </c>
      <c r="D3138" t="s">
        <v>56</v>
      </c>
      <c r="E3138" t="s">
        <v>36</v>
      </c>
      <c r="F3138" t="s">
        <v>53</v>
      </c>
      <c r="G3138">
        <v>5</v>
      </c>
      <c r="H3138">
        <v>14402.33</v>
      </c>
      <c r="I3138">
        <v>2128.9699999999998</v>
      </c>
      <c r="J3138" t="s">
        <v>28</v>
      </c>
      <c r="K3138" t="s">
        <v>23</v>
      </c>
      <c r="L3138">
        <f t="shared" si="144"/>
        <v>2022</v>
      </c>
      <c r="M3138" t="str">
        <f t="shared" si="145"/>
        <v>May</v>
      </c>
      <c r="N3138" s="2">
        <f t="shared" si="146"/>
        <v>0.14782122059416775</v>
      </c>
    </row>
    <row r="3139" spans="1:14" x14ac:dyDescent="0.45">
      <c r="A3139" t="s">
        <v>5813</v>
      </c>
      <c r="B3139" s="1">
        <v>44927</v>
      </c>
      <c r="C3139" t="s">
        <v>5814</v>
      </c>
      <c r="D3139" t="s">
        <v>13</v>
      </c>
      <c r="E3139" t="s">
        <v>20</v>
      </c>
      <c r="F3139" t="s">
        <v>50</v>
      </c>
      <c r="G3139">
        <v>4</v>
      </c>
      <c r="H3139">
        <v>43128.23</v>
      </c>
      <c r="I3139">
        <v>7499.68</v>
      </c>
      <c r="J3139" t="s">
        <v>28</v>
      </c>
      <c r="K3139" t="s">
        <v>23</v>
      </c>
      <c r="L3139">
        <f t="shared" ref="L3139:L3202" si="147">YEAR(B3139 )</f>
        <v>2023</v>
      </c>
      <c r="M3139" t="str">
        <f t="shared" ref="M3139:M3202" si="148">TEXT(B3139,"MMM")</f>
        <v>Jan</v>
      </c>
      <c r="N3139" s="2">
        <f t="shared" ref="N3139:N3202" si="149">I3139 / H3139</f>
        <v>0.17389259888476757</v>
      </c>
    </row>
    <row r="3140" spans="1:14" x14ac:dyDescent="0.45">
      <c r="A3140" t="s">
        <v>5815</v>
      </c>
      <c r="B3140" s="1">
        <v>44613</v>
      </c>
      <c r="C3140" t="s">
        <v>5816</v>
      </c>
      <c r="D3140" t="s">
        <v>13</v>
      </c>
      <c r="E3140" t="s">
        <v>20</v>
      </c>
      <c r="F3140" t="s">
        <v>27</v>
      </c>
      <c r="G3140">
        <v>2</v>
      </c>
      <c r="H3140">
        <v>33431.68</v>
      </c>
      <c r="I3140">
        <v>7676.62</v>
      </c>
      <c r="J3140" t="s">
        <v>28</v>
      </c>
      <c r="K3140" t="s">
        <v>29</v>
      </c>
      <c r="L3140">
        <f t="shared" si="147"/>
        <v>2022</v>
      </c>
      <c r="M3140" t="str">
        <f t="shared" si="148"/>
        <v>Feb</v>
      </c>
      <c r="N3140" s="2">
        <f t="shared" si="149"/>
        <v>0.22962112583035013</v>
      </c>
    </row>
    <row r="3141" spans="1:14" x14ac:dyDescent="0.45">
      <c r="A3141" t="s">
        <v>5817</v>
      </c>
      <c r="B3141" s="1">
        <v>45228</v>
      </c>
      <c r="C3141" t="s">
        <v>2596</v>
      </c>
      <c r="D3141" t="s">
        <v>13</v>
      </c>
      <c r="E3141" t="s">
        <v>14</v>
      </c>
      <c r="F3141" t="s">
        <v>32</v>
      </c>
      <c r="G3141">
        <v>4</v>
      </c>
      <c r="H3141">
        <v>10838.06</v>
      </c>
      <c r="I3141">
        <v>1840.09</v>
      </c>
      <c r="J3141" t="s">
        <v>28</v>
      </c>
      <c r="K3141" t="s">
        <v>29</v>
      </c>
      <c r="L3141">
        <f t="shared" si="147"/>
        <v>2023</v>
      </c>
      <c r="M3141" t="str">
        <f t="shared" si="148"/>
        <v>Oct</v>
      </c>
      <c r="N3141" s="2">
        <f t="shared" si="149"/>
        <v>0.16978038505046106</v>
      </c>
    </row>
    <row r="3142" spans="1:14" x14ac:dyDescent="0.45">
      <c r="A3142" t="s">
        <v>5818</v>
      </c>
      <c r="B3142" s="1">
        <v>45327</v>
      </c>
      <c r="C3142" t="s">
        <v>5819</v>
      </c>
      <c r="D3142" t="s">
        <v>13</v>
      </c>
      <c r="E3142" t="s">
        <v>36</v>
      </c>
      <c r="F3142" t="s">
        <v>64</v>
      </c>
      <c r="G3142">
        <v>4</v>
      </c>
      <c r="H3142">
        <v>43797.13</v>
      </c>
      <c r="I3142">
        <v>4828.5</v>
      </c>
      <c r="J3142" t="s">
        <v>71</v>
      </c>
      <c r="K3142" t="s">
        <v>17</v>
      </c>
      <c r="L3142">
        <f t="shared" si="147"/>
        <v>2024</v>
      </c>
      <c r="M3142" t="str">
        <f t="shared" si="148"/>
        <v>Feb</v>
      </c>
      <c r="N3142" s="2">
        <f t="shared" si="149"/>
        <v>0.1102469499713794</v>
      </c>
    </row>
    <row r="3143" spans="1:14" x14ac:dyDescent="0.45">
      <c r="A3143" t="s">
        <v>5820</v>
      </c>
      <c r="B3143" s="1">
        <v>45543</v>
      </c>
      <c r="C3143" t="s">
        <v>5821</v>
      </c>
      <c r="D3143" t="s">
        <v>26</v>
      </c>
      <c r="E3143" t="s">
        <v>36</v>
      </c>
      <c r="F3143" t="s">
        <v>37</v>
      </c>
      <c r="G3143">
        <v>4</v>
      </c>
      <c r="H3143">
        <v>37264.400000000001</v>
      </c>
      <c r="I3143">
        <v>6725.15</v>
      </c>
      <c r="J3143" t="s">
        <v>71</v>
      </c>
      <c r="K3143" t="s">
        <v>17</v>
      </c>
      <c r="L3143">
        <f t="shared" si="147"/>
        <v>2024</v>
      </c>
      <c r="M3143" t="str">
        <f t="shared" si="148"/>
        <v>Sep</v>
      </c>
      <c r="N3143" s="2">
        <f t="shared" si="149"/>
        <v>0.18047117355975137</v>
      </c>
    </row>
    <row r="3144" spans="1:14" x14ac:dyDescent="0.45">
      <c r="A3144" t="s">
        <v>5822</v>
      </c>
      <c r="B3144" s="1">
        <v>44979</v>
      </c>
      <c r="C3144" t="s">
        <v>1942</v>
      </c>
      <c r="D3144" t="s">
        <v>56</v>
      </c>
      <c r="E3144" t="s">
        <v>20</v>
      </c>
      <c r="F3144" t="s">
        <v>27</v>
      </c>
      <c r="G3144">
        <v>1</v>
      </c>
      <c r="H3144">
        <v>8548.5400000000009</v>
      </c>
      <c r="I3144">
        <v>1749.01</v>
      </c>
      <c r="J3144" t="s">
        <v>16</v>
      </c>
      <c r="K3144" t="s">
        <v>17</v>
      </c>
      <c r="L3144">
        <f t="shared" si="147"/>
        <v>2023</v>
      </c>
      <c r="M3144" t="str">
        <f t="shared" si="148"/>
        <v>Feb</v>
      </c>
      <c r="N3144" s="2">
        <f t="shared" si="149"/>
        <v>0.20459751021811909</v>
      </c>
    </row>
    <row r="3145" spans="1:14" x14ac:dyDescent="0.45">
      <c r="A3145" t="s">
        <v>5823</v>
      </c>
      <c r="B3145" s="1">
        <v>45011</v>
      </c>
      <c r="C3145" t="s">
        <v>5824</v>
      </c>
      <c r="D3145" t="s">
        <v>13</v>
      </c>
      <c r="E3145" t="s">
        <v>14</v>
      </c>
      <c r="F3145" t="s">
        <v>15</v>
      </c>
      <c r="G3145">
        <v>4</v>
      </c>
      <c r="H3145">
        <v>550.83000000000004</v>
      </c>
      <c r="I3145">
        <v>127.11</v>
      </c>
      <c r="J3145" t="s">
        <v>47</v>
      </c>
      <c r="K3145" t="s">
        <v>29</v>
      </c>
      <c r="L3145">
        <f t="shared" si="147"/>
        <v>2023</v>
      </c>
      <c r="M3145" t="str">
        <f t="shared" si="148"/>
        <v>Mar</v>
      </c>
      <c r="N3145" s="2">
        <f t="shared" si="149"/>
        <v>0.23076085180545719</v>
      </c>
    </row>
    <row r="3146" spans="1:14" x14ac:dyDescent="0.45">
      <c r="A3146" t="s">
        <v>5825</v>
      </c>
      <c r="B3146" s="1">
        <v>44850</v>
      </c>
      <c r="C3146" t="s">
        <v>5826</v>
      </c>
      <c r="D3146" t="s">
        <v>56</v>
      </c>
      <c r="E3146" t="s">
        <v>36</v>
      </c>
      <c r="F3146" t="s">
        <v>53</v>
      </c>
      <c r="G3146">
        <v>5</v>
      </c>
      <c r="H3146">
        <v>26499.19</v>
      </c>
      <c r="I3146">
        <v>3221.99</v>
      </c>
      <c r="J3146" t="s">
        <v>16</v>
      </c>
      <c r="K3146" t="s">
        <v>29</v>
      </c>
      <c r="L3146">
        <f t="shared" si="147"/>
        <v>2022</v>
      </c>
      <c r="M3146" t="str">
        <f t="shared" si="148"/>
        <v>Oct</v>
      </c>
      <c r="N3146" s="2">
        <f t="shared" si="149"/>
        <v>0.12158824477276475</v>
      </c>
    </row>
    <row r="3147" spans="1:14" x14ac:dyDescent="0.45">
      <c r="A3147" t="s">
        <v>5827</v>
      </c>
      <c r="B3147" s="1">
        <v>44690</v>
      </c>
      <c r="C3147" t="s">
        <v>5828</v>
      </c>
      <c r="D3147" t="s">
        <v>56</v>
      </c>
      <c r="E3147" t="s">
        <v>14</v>
      </c>
      <c r="F3147" t="s">
        <v>57</v>
      </c>
      <c r="G3147">
        <v>2</v>
      </c>
      <c r="H3147">
        <v>15165.72</v>
      </c>
      <c r="I3147">
        <v>3623.23</v>
      </c>
      <c r="J3147" t="s">
        <v>47</v>
      </c>
      <c r="K3147" t="s">
        <v>17</v>
      </c>
      <c r="L3147">
        <f t="shared" si="147"/>
        <v>2022</v>
      </c>
      <c r="M3147" t="str">
        <f t="shared" si="148"/>
        <v>May</v>
      </c>
      <c r="N3147" s="2">
        <f t="shared" si="149"/>
        <v>0.23890919784883277</v>
      </c>
    </row>
    <row r="3148" spans="1:14" x14ac:dyDescent="0.45">
      <c r="A3148" t="s">
        <v>5829</v>
      </c>
      <c r="B3148" s="1">
        <v>44670</v>
      </c>
      <c r="C3148" t="s">
        <v>4546</v>
      </c>
      <c r="D3148" t="s">
        <v>26</v>
      </c>
      <c r="E3148" t="s">
        <v>14</v>
      </c>
      <c r="F3148" t="s">
        <v>32</v>
      </c>
      <c r="G3148">
        <v>1</v>
      </c>
      <c r="H3148">
        <v>48799.46</v>
      </c>
      <c r="I3148">
        <v>4644.72</v>
      </c>
      <c r="J3148" t="s">
        <v>28</v>
      </c>
      <c r="K3148" t="s">
        <v>33</v>
      </c>
      <c r="L3148">
        <f t="shared" si="147"/>
        <v>2022</v>
      </c>
      <c r="M3148" t="str">
        <f t="shared" si="148"/>
        <v>Apr</v>
      </c>
      <c r="N3148" s="2">
        <f t="shared" si="149"/>
        <v>9.5179741743043889E-2</v>
      </c>
    </row>
    <row r="3149" spans="1:14" x14ac:dyDescent="0.45">
      <c r="A3149" t="s">
        <v>5830</v>
      </c>
      <c r="B3149" s="1">
        <v>44898</v>
      </c>
      <c r="C3149" t="s">
        <v>5831</v>
      </c>
      <c r="D3149" t="s">
        <v>26</v>
      </c>
      <c r="E3149" t="s">
        <v>14</v>
      </c>
      <c r="F3149" t="s">
        <v>40</v>
      </c>
      <c r="G3149">
        <v>1</v>
      </c>
      <c r="H3149">
        <v>37710.07</v>
      </c>
      <c r="I3149">
        <v>2865.82</v>
      </c>
      <c r="J3149" t="s">
        <v>71</v>
      </c>
      <c r="K3149" t="s">
        <v>33</v>
      </c>
      <c r="L3149">
        <f t="shared" si="147"/>
        <v>2022</v>
      </c>
      <c r="M3149" t="str">
        <f t="shared" si="148"/>
        <v>Dec</v>
      </c>
      <c r="N3149" s="2">
        <f t="shared" si="149"/>
        <v>7.5996146387423844E-2</v>
      </c>
    </row>
    <row r="3150" spans="1:14" x14ac:dyDescent="0.45">
      <c r="A3150" t="s">
        <v>5832</v>
      </c>
      <c r="B3150" s="1">
        <v>45586</v>
      </c>
      <c r="C3150" t="s">
        <v>5833</v>
      </c>
      <c r="D3150" t="s">
        <v>26</v>
      </c>
      <c r="E3150" t="s">
        <v>36</v>
      </c>
      <c r="F3150" t="s">
        <v>37</v>
      </c>
      <c r="G3150">
        <v>3</v>
      </c>
      <c r="H3150">
        <v>18672.490000000002</v>
      </c>
      <c r="I3150">
        <v>3573.06</v>
      </c>
      <c r="J3150" t="s">
        <v>47</v>
      </c>
      <c r="K3150" t="s">
        <v>17</v>
      </c>
      <c r="L3150">
        <f t="shared" si="147"/>
        <v>2024</v>
      </c>
      <c r="M3150" t="str">
        <f t="shared" si="148"/>
        <v>Oct</v>
      </c>
      <c r="N3150" s="2">
        <f t="shared" si="149"/>
        <v>0.19135423288484824</v>
      </c>
    </row>
    <row r="3151" spans="1:14" x14ac:dyDescent="0.45">
      <c r="A3151" t="s">
        <v>5834</v>
      </c>
      <c r="B3151" s="1">
        <v>44858</v>
      </c>
      <c r="C3151" t="s">
        <v>5835</v>
      </c>
      <c r="D3151" t="s">
        <v>56</v>
      </c>
      <c r="E3151" t="s">
        <v>14</v>
      </c>
      <c r="F3151" t="s">
        <v>40</v>
      </c>
      <c r="G3151">
        <v>1</v>
      </c>
      <c r="H3151">
        <v>1706.49</v>
      </c>
      <c r="I3151">
        <v>200.77</v>
      </c>
      <c r="J3151" t="s">
        <v>16</v>
      </c>
      <c r="K3151" t="s">
        <v>17</v>
      </c>
      <c r="L3151">
        <f t="shared" si="147"/>
        <v>2022</v>
      </c>
      <c r="M3151" t="str">
        <f t="shared" si="148"/>
        <v>Oct</v>
      </c>
      <c r="N3151" s="2">
        <f t="shared" si="149"/>
        <v>0.11765085057632919</v>
      </c>
    </row>
    <row r="3152" spans="1:14" x14ac:dyDescent="0.45">
      <c r="A3152" t="s">
        <v>5836</v>
      </c>
      <c r="B3152" s="1">
        <v>44957</v>
      </c>
      <c r="C3152" t="s">
        <v>5837</v>
      </c>
      <c r="D3152" t="s">
        <v>13</v>
      </c>
      <c r="E3152" t="s">
        <v>14</v>
      </c>
      <c r="F3152" t="s">
        <v>32</v>
      </c>
      <c r="G3152">
        <v>2</v>
      </c>
      <c r="H3152">
        <v>44402.63</v>
      </c>
      <c r="I3152">
        <v>9945.98</v>
      </c>
      <c r="J3152" t="s">
        <v>16</v>
      </c>
      <c r="K3152" t="s">
        <v>17</v>
      </c>
      <c r="L3152">
        <f t="shared" si="147"/>
        <v>2023</v>
      </c>
      <c r="M3152" t="str">
        <f t="shared" si="148"/>
        <v>Jan</v>
      </c>
      <c r="N3152" s="2">
        <f t="shared" si="149"/>
        <v>0.22399529036906149</v>
      </c>
    </row>
    <row r="3153" spans="1:14" x14ac:dyDescent="0.45">
      <c r="A3153" t="s">
        <v>5838</v>
      </c>
      <c r="B3153" s="1">
        <v>45571</v>
      </c>
      <c r="C3153" t="s">
        <v>5839</v>
      </c>
      <c r="D3153" t="s">
        <v>13</v>
      </c>
      <c r="E3153" t="s">
        <v>20</v>
      </c>
      <c r="F3153" t="s">
        <v>27</v>
      </c>
      <c r="G3153">
        <v>2</v>
      </c>
      <c r="H3153">
        <v>41194.1</v>
      </c>
      <c r="I3153">
        <v>2416.09</v>
      </c>
      <c r="J3153" t="s">
        <v>47</v>
      </c>
      <c r="K3153" t="s">
        <v>17</v>
      </c>
      <c r="L3153">
        <f t="shared" si="147"/>
        <v>2024</v>
      </c>
      <c r="M3153" t="str">
        <f t="shared" si="148"/>
        <v>Oct</v>
      </c>
      <c r="N3153" s="2">
        <f t="shared" si="149"/>
        <v>5.8651360267611141E-2</v>
      </c>
    </row>
    <row r="3154" spans="1:14" x14ac:dyDescent="0.45">
      <c r="A3154" t="s">
        <v>5840</v>
      </c>
      <c r="B3154" s="1">
        <v>44810</v>
      </c>
      <c r="C3154" t="s">
        <v>5841</v>
      </c>
      <c r="D3154" t="s">
        <v>26</v>
      </c>
      <c r="E3154" t="s">
        <v>36</v>
      </c>
      <c r="F3154" t="s">
        <v>64</v>
      </c>
      <c r="G3154">
        <v>3</v>
      </c>
      <c r="H3154">
        <v>27963.55</v>
      </c>
      <c r="I3154">
        <v>1696.48</v>
      </c>
      <c r="J3154" t="s">
        <v>28</v>
      </c>
      <c r="K3154" t="s">
        <v>17</v>
      </c>
      <c r="L3154">
        <f t="shared" si="147"/>
        <v>2022</v>
      </c>
      <c r="M3154" t="str">
        <f t="shared" si="148"/>
        <v>Sep</v>
      </c>
      <c r="N3154" s="2">
        <f t="shared" si="149"/>
        <v>6.0667547575325741E-2</v>
      </c>
    </row>
    <row r="3155" spans="1:14" x14ac:dyDescent="0.45">
      <c r="A3155" t="s">
        <v>5842</v>
      </c>
      <c r="B3155" s="1">
        <v>44662</v>
      </c>
      <c r="C3155" t="s">
        <v>3609</v>
      </c>
      <c r="D3155" t="s">
        <v>13</v>
      </c>
      <c r="E3155" t="s">
        <v>14</v>
      </c>
      <c r="F3155" t="s">
        <v>15</v>
      </c>
      <c r="G3155">
        <v>3</v>
      </c>
      <c r="H3155">
        <v>30502.13</v>
      </c>
      <c r="I3155">
        <v>3044.91</v>
      </c>
      <c r="J3155" t="s">
        <v>47</v>
      </c>
      <c r="K3155" t="s">
        <v>23</v>
      </c>
      <c r="L3155">
        <f t="shared" si="147"/>
        <v>2022</v>
      </c>
      <c r="M3155" t="str">
        <f t="shared" si="148"/>
        <v>Apr</v>
      </c>
      <c r="N3155" s="2">
        <f t="shared" si="149"/>
        <v>9.9826143289009642E-2</v>
      </c>
    </row>
    <row r="3156" spans="1:14" x14ac:dyDescent="0.45">
      <c r="A3156" t="s">
        <v>5843</v>
      </c>
      <c r="B3156" s="1">
        <v>44786</v>
      </c>
      <c r="C3156" t="s">
        <v>5844</v>
      </c>
      <c r="D3156" t="s">
        <v>26</v>
      </c>
      <c r="E3156" t="s">
        <v>20</v>
      </c>
      <c r="F3156" t="s">
        <v>43</v>
      </c>
      <c r="G3156">
        <v>4</v>
      </c>
      <c r="H3156">
        <v>15798.48</v>
      </c>
      <c r="I3156">
        <v>2260.1799999999998</v>
      </c>
      <c r="J3156" t="s">
        <v>16</v>
      </c>
      <c r="K3156" t="s">
        <v>33</v>
      </c>
      <c r="L3156">
        <f t="shared" si="147"/>
        <v>2022</v>
      </c>
      <c r="M3156" t="str">
        <f t="shared" si="148"/>
        <v>Aug</v>
      </c>
      <c r="N3156" s="2">
        <f t="shared" si="149"/>
        <v>0.14306313012391064</v>
      </c>
    </row>
    <row r="3157" spans="1:14" x14ac:dyDescent="0.45">
      <c r="A3157" t="s">
        <v>5845</v>
      </c>
      <c r="B3157" s="1">
        <v>44647</v>
      </c>
      <c r="C3157" t="s">
        <v>5846</v>
      </c>
      <c r="D3157" t="s">
        <v>13</v>
      </c>
      <c r="E3157" t="s">
        <v>14</v>
      </c>
      <c r="F3157" t="s">
        <v>40</v>
      </c>
      <c r="G3157">
        <v>2</v>
      </c>
      <c r="H3157">
        <v>39300.29</v>
      </c>
      <c r="I3157">
        <v>5717.72</v>
      </c>
      <c r="J3157" t="s">
        <v>47</v>
      </c>
      <c r="K3157" t="s">
        <v>33</v>
      </c>
      <c r="L3157">
        <f t="shared" si="147"/>
        <v>2022</v>
      </c>
      <c r="M3157" t="str">
        <f t="shared" si="148"/>
        <v>Mar</v>
      </c>
      <c r="N3157" s="2">
        <f t="shared" si="149"/>
        <v>0.14548798494871157</v>
      </c>
    </row>
    <row r="3158" spans="1:14" x14ac:dyDescent="0.45">
      <c r="A3158" t="s">
        <v>5847</v>
      </c>
      <c r="B3158" s="1">
        <v>45655</v>
      </c>
      <c r="C3158" t="s">
        <v>5848</v>
      </c>
      <c r="D3158" t="s">
        <v>56</v>
      </c>
      <c r="E3158" t="s">
        <v>20</v>
      </c>
      <c r="F3158" t="s">
        <v>43</v>
      </c>
      <c r="G3158">
        <v>5</v>
      </c>
      <c r="H3158">
        <v>26112.97</v>
      </c>
      <c r="I3158">
        <v>6409.38</v>
      </c>
      <c r="J3158" t="s">
        <v>22</v>
      </c>
      <c r="K3158" t="s">
        <v>23</v>
      </c>
      <c r="L3158">
        <f t="shared" si="147"/>
        <v>2024</v>
      </c>
      <c r="M3158" t="str">
        <f t="shared" si="148"/>
        <v>Dec</v>
      </c>
      <c r="N3158" s="2">
        <f t="shared" si="149"/>
        <v>0.24544814320240094</v>
      </c>
    </row>
    <row r="3159" spans="1:14" x14ac:dyDescent="0.45">
      <c r="A3159" t="s">
        <v>5849</v>
      </c>
      <c r="B3159" s="1">
        <v>44683</v>
      </c>
      <c r="C3159" t="s">
        <v>5850</v>
      </c>
      <c r="D3159" t="s">
        <v>56</v>
      </c>
      <c r="E3159" t="s">
        <v>14</v>
      </c>
      <c r="F3159" t="s">
        <v>15</v>
      </c>
      <c r="G3159">
        <v>5</v>
      </c>
      <c r="H3159">
        <v>39634.080000000002</v>
      </c>
      <c r="I3159">
        <v>3481.74</v>
      </c>
      <c r="J3159" t="s">
        <v>22</v>
      </c>
      <c r="K3159" t="s">
        <v>29</v>
      </c>
      <c r="L3159">
        <f t="shared" si="147"/>
        <v>2022</v>
      </c>
      <c r="M3159" t="str">
        <f t="shared" si="148"/>
        <v>May</v>
      </c>
      <c r="N3159" s="2">
        <f t="shared" si="149"/>
        <v>8.7847125504111598E-2</v>
      </c>
    </row>
    <row r="3160" spans="1:14" x14ac:dyDescent="0.45">
      <c r="A3160" t="s">
        <v>5851</v>
      </c>
      <c r="B3160" s="1">
        <v>45251</v>
      </c>
      <c r="C3160" t="s">
        <v>4353</v>
      </c>
      <c r="D3160" t="s">
        <v>26</v>
      </c>
      <c r="E3160" t="s">
        <v>14</v>
      </c>
      <c r="F3160" t="s">
        <v>40</v>
      </c>
      <c r="G3160">
        <v>2</v>
      </c>
      <c r="H3160">
        <v>9784.99</v>
      </c>
      <c r="I3160">
        <v>1194.83</v>
      </c>
      <c r="J3160" t="s">
        <v>71</v>
      </c>
      <c r="K3160" t="s">
        <v>23</v>
      </c>
      <c r="L3160">
        <f t="shared" si="147"/>
        <v>2023</v>
      </c>
      <c r="M3160" t="str">
        <f t="shared" si="148"/>
        <v>Nov</v>
      </c>
      <c r="N3160" s="2">
        <f t="shared" si="149"/>
        <v>0.12210845386658545</v>
      </c>
    </row>
    <row r="3161" spans="1:14" x14ac:dyDescent="0.45">
      <c r="A3161" t="s">
        <v>5852</v>
      </c>
      <c r="B3161" s="1">
        <v>44848</v>
      </c>
      <c r="C3161" t="s">
        <v>5853</v>
      </c>
      <c r="D3161" t="s">
        <v>13</v>
      </c>
      <c r="E3161" t="s">
        <v>14</v>
      </c>
      <c r="F3161" t="s">
        <v>32</v>
      </c>
      <c r="G3161">
        <v>2</v>
      </c>
      <c r="H3161">
        <v>2735.65</v>
      </c>
      <c r="I3161">
        <v>612.66999999999996</v>
      </c>
      <c r="J3161" t="s">
        <v>16</v>
      </c>
      <c r="K3161" t="s">
        <v>17</v>
      </c>
      <c r="L3161">
        <f t="shared" si="147"/>
        <v>2022</v>
      </c>
      <c r="M3161" t="str">
        <f t="shared" si="148"/>
        <v>Oct</v>
      </c>
      <c r="N3161" s="2">
        <f t="shared" si="149"/>
        <v>0.22395774313234512</v>
      </c>
    </row>
    <row r="3162" spans="1:14" x14ac:dyDescent="0.45">
      <c r="A3162" t="s">
        <v>5854</v>
      </c>
      <c r="B3162" s="1">
        <v>44781</v>
      </c>
      <c r="C3162" t="s">
        <v>5855</v>
      </c>
      <c r="D3162" t="s">
        <v>13</v>
      </c>
      <c r="E3162" t="s">
        <v>14</v>
      </c>
      <c r="F3162" t="s">
        <v>15</v>
      </c>
      <c r="G3162">
        <v>5</v>
      </c>
      <c r="H3162">
        <v>17343.900000000001</v>
      </c>
      <c r="I3162">
        <v>1388.91</v>
      </c>
      <c r="J3162" t="s">
        <v>22</v>
      </c>
      <c r="K3162" t="s">
        <v>23</v>
      </c>
      <c r="L3162">
        <f t="shared" si="147"/>
        <v>2022</v>
      </c>
      <c r="M3162" t="str">
        <f t="shared" si="148"/>
        <v>Aug</v>
      </c>
      <c r="N3162" s="2">
        <f t="shared" si="149"/>
        <v>8.0080604708283598E-2</v>
      </c>
    </row>
    <row r="3163" spans="1:14" x14ac:dyDescent="0.45">
      <c r="A3163" t="s">
        <v>5856</v>
      </c>
      <c r="B3163" s="1">
        <v>44822</v>
      </c>
      <c r="C3163" t="s">
        <v>5857</v>
      </c>
      <c r="D3163" t="s">
        <v>26</v>
      </c>
      <c r="E3163" t="s">
        <v>36</v>
      </c>
      <c r="F3163" t="s">
        <v>46</v>
      </c>
      <c r="G3163">
        <v>5</v>
      </c>
      <c r="H3163">
        <v>22954.2</v>
      </c>
      <c r="I3163">
        <v>1430.24</v>
      </c>
      <c r="J3163" t="s">
        <v>22</v>
      </c>
      <c r="K3163" t="s">
        <v>33</v>
      </c>
      <c r="L3163">
        <f t="shared" si="147"/>
        <v>2022</v>
      </c>
      <c r="M3163" t="str">
        <f t="shared" si="148"/>
        <v>Sep</v>
      </c>
      <c r="N3163" s="2">
        <f t="shared" si="149"/>
        <v>6.2308422859433131E-2</v>
      </c>
    </row>
    <row r="3164" spans="1:14" x14ac:dyDescent="0.45">
      <c r="A3164" t="s">
        <v>5858</v>
      </c>
      <c r="B3164" s="1">
        <v>44641</v>
      </c>
      <c r="C3164" t="s">
        <v>5859</v>
      </c>
      <c r="D3164" t="s">
        <v>13</v>
      </c>
      <c r="E3164" t="s">
        <v>20</v>
      </c>
      <c r="F3164" t="s">
        <v>21</v>
      </c>
      <c r="G3164">
        <v>4</v>
      </c>
      <c r="H3164">
        <v>44733.22</v>
      </c>
      <c r="I3164">
        <v>8648.59</v>
      </c>
      <c r="J3164" t="s">
        <v>71</v>
      </c>
      <c r="K3164" t="s">
        <v>29</v>
      </c>
      <c r="L3164">
        <f t="shared" si="147"/>
        <v>2022</v>
      </c>
      <c r="M3164" t="str">
        <f t="shared" si="148"/>
        <v>Mar</v>
      </c>
      <c r="N3164" s="2">
        <f t="shared" si="149"/>
        <v>0.19333707700898795</v>
      </c>
    </row>
    <row r="3165" spans="1:14" x14ac:dyDescent="0.45">
      <c r="A3165" t="s">
        <v>5860</v>
      </c>
      <c r="B3165" s="1">
        <v>44606</v>
      </c>
      <c r="C3165" t="s">
        <v>5861</v>
      </c>
      <c r="D3165" t="s">
        <v>26</v>
      </c>
      <c r="E3165" t="s">
        <v>14</v>
      </c>
      <c r="F3165" t="s">
        <v>40</v>
      </c>
      <c r="G3165">
        <v>5</v>
      </c>
      <c r="H3165">
        <v>25565.1</v>
      </c>
      <c r="I3165">
        <v>3151.21</v>
      </c>
      <c r="J3165" t="s">
        <v>47</v>
      </c>
      <c r="K3165" t="s">
        <v>33</v>
      </c>
      <c r="L3165">
        <f t="shared" si="147"/>
        <v>2022</v>
      </c>
      <c r="M3165" t="str">
        <f t="shared" si="148"/>
        <v>Feb</v>
      </c>
      <c r="N3165" s="2">
        <f t="shared" si="149"/>
        <v>0.12326218164607219</v>
      </c>
    </row>
    <row r="3166" spans="1:14" x14ac:dyDescent="0.45">
      <c r="A3166" t="s">
        <v>5862</v>
      </c>
      <c r="B3166" s="1">
        <v>45386</v>
      </c>
      <c r="C3166" t="s">
        <v>5863</v>
      </c>
      <c r="D3166" t="s">
        <v>56</v>
      </c>
      <c r="E3166" t="s">
        <v>14</v>
      </c>
      <c r="F3166" t="s">
        <v>57</v>
      </c>
      <c r="G3166">
        <v>1</v>
      </c>
      <c r="H3166">
        <v>4727.76</v>
      </c>
      <c r="I3166">
        <v>812.66</v>
      </c>
      <c r="J3166" t="s">
        <v>47</v>
      </c>
      <c r="K3166" t="s">
        <v>17</v>
      </c>
      <c r="L3166">
        <f t="shared" si="147"/>
        <v>2024</v>
      </c>
      <c r="M3166" t="str">
        <f t="shared" si="148"/>
        <v>Apr</v>
      </c>
      <c r="N3166" s="2">
        <f t="shared" si="149"/>
        <v>0.1718911281452527</v>
      </c>
    </row>
    <row r="3167" spans="1:14" x14ac:dyDescent="0.45">
      <c r="A3167" t="s">
        <v>5864</v>
      </c>
      <c r="B3167" s="1">
        <v>45208</v>
      </c>
      <c r="C3167" t="s">
        <v>5865</v>
      </c>
      <c r="D3167" t="s">
        <v>13</v>
      </c>
      <c r="E3167" t="s">
        <v>20</v>
      </c>
      <c r="F3167" t="s">
        <v>43</v>
      </c>
      <c r="G3167">
        <v>1</v>
      </c>
      <c r="H3167">
        <v>24097.14</v>
      </c>
      <c r="I3167">
        <v>2386.77</v>
      </c>
      <c r="J3167" t="s">
        <v>22</v>
      </c>
      <c r="K3167" t="s">
        <v>23</v>
      </c>
      <c r="L3167">
        <f t="shared" si="147"/>
        <v>2023</v>
      </c>
      <c r="M3167" t="str">
        <f t="shared" si="148"/>
        <v>Oct</v>
      </c>
      <c r="N3167" s="2">
        <f t="shared" si="149"/>
        <v>9.9047853811697159E-2</v>
      </c>
    </row>
    <row r="3168" spans="1:14" x14ac:dyDescent="0.45">
      <c r="A3168" t="s">
        <v>5866</v>
      </c>
      <c r="B3168" s="1">
        <v>45018</v>
      </c>
      <c r="C3168" t="s">
        <v>3758</v>
      </c>
      <c r="D3168" t="s">
        <v>13</v>
      </c>
      <c r="E3168" t="s">
        <v>36</v>
      </c>
      <c r="F3168" t="s">
        <v>64</v>
      </c>
      <c r="G3168">
        <v>1</v>
      </c>
      <c r="H3168">
        <v>28278.33</v>
      </c>
      <c r="I3168">
        <v>6360.49</v>
      </c>
      <c r="J3168" t="s">
        <v>47</v>
      </c>
      <c r="K3168" t="s">
        <v>23</v>
      </c>
      <c r="L3168">
        <f t="shared" si="147"/>
        <v>2023</v>
      </c>
      <c r="M3168" t="str">
        <f t="shared" si="148"/>
        <v>Apr</v>
      </c>
      <c r="N3168" s="2">
        <f t="shared" si="149"/>
        <v>0.22492452701414828</v>
      </c>
    </row>
    <row r="3169" spans="1:14" x14ac:dyDescent="0.45">
      <c r="A3169" t="s">
        <v>5867</v>
      </c>
      <c r="B3169" s="1">
        <v>45475</v>
      </c>
      <c r="C3169" t="s">
        <v>5868</v>
      </c>
      <c r="D3169" t="s">
        <v>56</v>
      </c>
      <c r="E3169" t="s">
        <v>14</v>
      </c>
      <c r="F3169" t="s">
        <v>15</v>
      </c>
      <c r="G3169">
        <v>5</v>
      </c>
      <c r="H3169">
        <v>12471.44</v>
      </c>
      <c r="I3169">
        <v>1730.45</v>
      </c>
      <c r="J3169" t="s">
        <v>28</v>
      </c>
      <c r="K3169" t="s">
        <v>17</v>
      </c>
      <c r="L3169">
        <f t="shared" si="147"/>
        <v>2024</v>
      </c>
      <c r="M3169" t="str">
        <f t="shared" si="148"/>
        <v>Jul</v>
      </c>
      <c r="N3169" s="2">
        <f t="shared" si="149"/>
        <v>0.1387530229067373</v>
      </c>
    </row>
    <row r="3170" spans="1:14" x14ac:dyDescent="0.45">
      <c r="A3170" t="s">
        <v>5869</v>
      </c>
      <c r="B3170" s="1">
        <v>45083</v>
      </c>
      <c r="C3170" t="s">
        <v>2284</v>
      </c>
      <c r="D3170" t="s">
        <v>56</v>
      </c>
      <c r="E3170" t="s">
        <v>36</v>
      </c>
      <c r="F3170" t="s">
        <v>46</v>
      </c>
      <c r="G3170">
        <v>3</v>
      </c>
      <c r="H3170">
        <v>10138.790000000001</v>
      </c>
      <c r="I3170">
        <v>2365.65</v>
      </c>
      <c r="J3170" t="s">
        <v>22</v>
      </c>
      <c r="K3170" t="s">
        <v>17</v>
      </c>
      <c r="L3170">
        <f t="shared" si="147"/>
        <v>2023</v>
      </c>
      <c r="M3170" t="str">
        <f t="shared" si="148"/>
        <v>Jun</v>
      </c>
      <c r="N3170" s="2">
        <f t="shared" si="149"/>
        <v>0.23332665929563587</v>
      </c>
    </row>
    <row r="3171" spans="1:14" x14ac:dyDescent="0.45">
      <c r="A3171" t="s">
        <v>5870</v>
      </c>
      <c r="B3171" s="1">
        <v>44956</v>
      </c>
      <c r="C3171" t="s">
        <v>5871</v>
      </c>
      <c r="D3171" t="s">
        <v>13</v>
      </c>
      <c r="E3171" t="s">
        <v>14</v>
      </c>
      <c r="F3171" t="s">
        <v>40</v>
      </c>
      <c r="G3171">
        <v>5</v>
      </c>
      <c r="H3171">
        <v>33773.39</v>
      </c>
      <c r="I3171">
        <v>4968.21</v>
      </c>
      <c r="J3171" t="s">
        <v>47</v>
      </c>
      <c r="K3171" t="s">
        <v>29</v>
      </c>
      <c r="L3171">
        <f t="shared" si="147"/>
        <v>2023</v>
      </c>
      <c r="M3171" t="str">
        <f t="shared" si="148"/>
        <v>Jan</v>
      </c>
      <c r="N3171" s="2">
        <f t="shared" si="149"/>
        <v>0.14710427351237174</v>
      </c>
    </row>
    <row r="3172" spans="1:14" x14ac:dyDescent="0.45">
      <c r="A3172" t="s">
        <v>5872</v>
      </c>
      <c r="B3172" s="1">
        <v>45584</v>
      </c>
      <c r="C3172" t="s">
        <v>5873</v>
      </c>
      <c r="D3172" t="s">
        <v>56</v>
      </c>
      <c r="E3172" t="s">
        <v>36</v>
      </c>
      <c r="F3172" t="s">
        <v>53</v>
      </c>
      <c r="G3172">
        <v>1</v>
      </c>
      <c r="H3172">
        <v>35884.67</v>
      </c>
      <c r="I3172">
        <v>8863.42</v>
      </c>
      <c r="J3172" t="s">
        <v>16</v>
      </c>
      <c r="K3172" t="s">
        <v>29</v>
      </c>
      <c r="L3172">
        <f t="shared" si="147"/>
        <v>2024</v>
      </c>
      <c r="M3172" t="str">
        <f t="shared" si="148"/>
        <v>Oct</v>
      </c>
      <c r="N3172" s="2">
        <f t="shared" si="149"/>
        <v>0.24699739470921708</v>
      </c>
    </row>
    <row r="3173" spans="1:14" x14ac:dyDescent="0.45">
      <c r="A3173" t="s">
        <v>5874</v>
      </c>
      <c r="B3173" s="1">
        <v>44715</v>
      </c>
      <c r="C3173" t="s">
        <v>2451</v>
      </c>
      <c r="D3173" t="s">
        <v>56</v>
      </c>
      <c r="E3173" t="s">
        <v>36</v>
      </c>
      <c r="F3173" t="s">
        <v>53</v>
      </c>
      <c r="G3173">
        <v>1</v>
      </c>
      <c r="H3173">
        <v>49770.080000000002</v>
      </c>
      <c r="I3173">
        <v>11755.74</v>
      </c>
      <c r="J3173" t="s">
        <v>71</v>
      </c>
      <c r="K3173" t="s">
        <v>33</v>
      </c>
      <c r="L3173">
        <f t="shared" si="147"/>
        <v>2022</v>
      </c>
      <c r="M3173" t="str">
        <f t="shared" si="148"/>
        <v>Jun</v>
      </c>
      <c r="N3173" s="2">
        <f t="shared" si="149"/>
        <v>0.23620094643207323</v>
      </c>
    </row>
    <row r="3174" spans="1:14" x14ac:dyDescent="0.45">
      <c r="A3174" t="s">
        <v>5875</v>
      </c>
      <c r="B3174" s="1">
        <v>44889</v>
      </c>
      <c r="C3174" t="s">
        <v>3717</v>
      </c>
      <c r="D3174" t="s">
        <v>26</v>
      </c>
      <c r="E3174" t="s">
        <v>14</v>
      </c>
      <c r="F3174" t="s">
        <v>40</v>
      </c>
      <c r="G3174">
        <v>3</v>
      </c>
      <c r="H3174">
        <v>19847.55</v>
      </c>
      <c r="I3174">
        <v>4751.47</v>
      </c>
      <c r="J3174" t="s">
        <v>16</v>
      </c>
      <c r="K3174" t="s">
        <v>29</v>
      </c>
      <c r="L3174">
        <f t="shared" si="147"/>
        <v>2022</v>
      </c>
      <c r="M3174" t="str">
        <f t="shared" si="148"/>
        <v>Nov</v>
      </c>
      <c r="N3174" s="2">
        <f t="shared" si="149"/>
        <v>0.23939831364576486</v>
      </c>
    </row>
    <row r="3175" spans="1:14" x14ac:dyDescent="0.45">
      <c r="A3175" t="s">
        <v>5876</v>
      </c>
      <c r="B3175" s="1">
        <v>44785</v>
      </c>
      <c r="C3175" t="s">
        <v>5877</v>
      </c>
      <c r="D3175" t="s">
        <v>26</v>
      </c>
      <c r="E3175" t="s">
        <v>36</v>
      </c>
      <c r="F3175" t="s">
        <v>46</v>
      </c>
      <c r="G3175">
        <v>2</v>
      </c>
      <c r="H3175">
        <v>34485.47</v>
      </c>
      <c r="I3175">
        <v>4537.75</v>
      </c>
      <c r="J3175" t="s">
        <v>22</v>
      </c>
      <c r="K3175" t="s">
        <v>29</v>
      </c>
      <c r="L3175">
        <f t="shared" si="147"/>
        <v>2022</v>
      </c>
      <c r="M3175" t="str">
        <f t="shared" si="148"/>
        <v>Aug</v>
      </c>
      <c r="N3175" s="2">
        <f t="shared" si="149"/>
        <v>0.13158440351835135</v>
      </c>
    </row>
    <row r="3176" spans="1:14" x14ac:dyDescent="0.45">
      <c r="A3176" t="s">
        <v>5878</v>
      </c>
      <c r="B3176" s="1">
        <v>45447</v>
      </c>
      <c r="C3176" t="s">
        <v>5879</v>
      </c>
      <c r="D3176" t="s">
        <v>26</v>
      </c>
      <c r="E3176" t="s">
        <v>20</v>
      </c>
      <c r="F3176" t="s">
        <v>43</v>
      </c>
      <c r="G3176">
        <v>5</v>
      </c>
      <c r="H3176">
        <v>9074.33</v>
      </c>
      <c r="I3176">
        <v>1582.67</v>
      </c>
      <c r="J3176" t="s">
        <v>16</v>
      </c>
      <c r="K3176" t="s">
        <v>23</v>
      </c>
      <c r="L3176">
        <f t="shared" si="147"/>
        <v>2024</v>
      </c>
      <c r="M3176" t="str">
        <f t="shared" si="148"/>
        <v>Jun</v>
      </c>
      <c r="N3176" s="2">
        <f t="shared" si="149"/>
        <v>0.17441177475361819</v>
      </c>
    </row>
    <row r="3177" spans="1:14" x14ac:dyDescent="0.45">
      <c r="A3177" t="s">
        <v>5880</v>
      </c>
      <c r="B3177" s="1">
        <v>44600</v>
      </c>
      <c r="C3177" t="s">
        <v>5881</v>
      </c>
      <c r="D3177" t="s">
        <v>13</v>
      </c>
      <c r="E3177" t="s">
        <v>14</v>
      </c>
      <c r="F3177" t="s">
        <v>40</v>
      </c>
      <c r="G3177">
        <v>2</v>
      </c>
      <c r="H3177">
        <v>48617.97</v>
      </c>
      <c r="I3177">
        <v>3680.32</v>
      </c>
      <c r="J3177" t="s">
        <v>16</v>
      </c>
      <c r="K3177" t="s">
        <v>29</v>
      </c>
      <c r="L3177">
        <f t="shared" si="147"/>
        <v>2022</v>
      </c>
      <c r="M3177" t="str">
        <f t="shared" si="148"/>
        <v>Feb</v>
      </c>
      <c r="N3177" s="2">
        <f t="shared" si="149"/>
        <v>7.5698759121370141E-2</v>
      </c>
    </row>
    <row r="3178" spans="1:14" x14ac:dyDescent="0.45">
      <c r="A3178" t="s">
        <v>5882</v>
      </c>
      <c r="B3178" s="1">
        <v>45444</v>
      </c>
      <c r="C3178" t="s">
        <v>777</v>
      </c>
      <c r="D3178" t="s">
        <v>56</v>
      </c>
      <c r="E3178" t="s">
        <v>36</v>
      </c>
      <c r="F3178" t="s">
        <v>64</v>
      </c>
      <c r="G3178">
        <v>1</v>
      </c>
      <c r="H3178">
        <v>7075.57</v>
      </c>
      <c r="I3178">
        <v>480.01</v>
      </c>
      <c r="J3178" t="s">
        <v>16</v>
      </c>
      <c r="K3178" t="s">
        <v>17</v>
      </c>
      <c r="L3178">
        <f t="shared" si="147"/>
        <v>2024</v>
      </c>
      <c r="M3178" t="str">
        <f t="shared" si="148"/>
        <v>Jun</v>
      </c>
      <c r="N3178" s="2">
        <f t="shared" si="149"/>
        <v>6.784047080305898E-2</v>
      </c>
    </row>
    <row r="3179" spans="1:14" x14ac:dyDescent="0.45">
      <c r="A3179" t="s">
        <v>5883</v>
      </c>
      <c r="B3179" s="1">
        <v>44648</v>
      </c>
      <c r="C3179" t="s">
        <v>5084</v>
      </c>
      <c r="D3179" t="s">
        <v>26</v>
      </c>
      <c r="E3179" t="s">
        <v>20</v>
      </c>
      <c r="F3179" t="s">
        <v>21</v>
      </c>
      <c r="G3179">
        <v>2</v>
      </c>
      <c r="H3179">
        <v>8099.3</v>
      </c>
      <c r="I3179">
        <v>1082.4000000000001</v>
      </c>
      <c r="J3179" t="s">
        <v>71</v>
      </c>
      <c r="K3179" t="s">
        <v>33</v>
      </c>
      <c r="L3179">
        <f t="shared" si="147"/>
        <v>2022</v>
      </c>
      <c r="M3179" t="str">
        <f t="shared" si="148"/>
        <v>Mar</v>
      </c>
      <c r="N3179" s="2">
        <f t="shared" si="149"/>
        <v>0.13364117886730953</v>
      </c>
    </row>
    <row r="3180" spans="1:14" x14ac:dyDescent="0.45">
      <c r="A3180" t="s">
        <v>5884</v>
      </c>
      <c r="B3180" s="1">
        <v>45017</v>
      </c>
      <c r="C3180" t="s">
        <v>5885</v>
      </c>
      <c r="D3180" t="s">
        <v>26</v>
      </c>
      <c r="E3180" t="s">
        <v>20</v>
      </c>
      <c r="F3180" t="s">
        <v>50</v>
      </c>
      <c r="G3180">
        <v>1</v>
      </c>
      <c r="H3180">
        <v>37682.29</v>
      </c>
      <c r="I3180">
        <v>6107.53</v>
      </c>
      <c r="J3180" t="s">
        <v>22</v>
      </c>
      <c r="K3180" t="s">
        <v>23</v>
      </c>
      <c r="L3180">
        <f t="shared" si="147"/>
        <v>2023</v>
      </c>
      <c r="M3180" t="str">
        <f t="shared" si="148"/>
        <v>Apr</v>
      </c>
      <c r="N3180" s="2">
        <f t="shared" si="149"/>
        <v>0.16207958698900729</v>
      </c>
    </row>
    <row r="3181" spans="1:14" x14ac:dyDescent="0.45">
      <c r="A3181" t="s">
        <v>5886</v>
      </c>
      <c r="B3181" s="1">
        <v>45499</v>
      </c>
      <c r="C3181" t="s">
        <v>2570</v>
      </c>
      <c r="D3181" t="s">
        <v>26</v>
      </c>
      <c r="E3181" t="s">
        <v>20</v>
      </c>
      <c r="F3181" t="s">
        <v>21</v>
      </c>
      <c r="G3181">
        <v>1</v>
      </c>
      <c r="H3181">
        <v>29576.23</v>
      </c>
      <c r="I3181">
        <v>5120.53</v>
      </c>
      <c r="J3181" t="s">
        <v>71</v>
      </c>
      <c r="K3181" t="s">
        <v>23</v>
      </c>
      <c r="L3181">
        <f t="shared" si="147"/>
        <v>2024</v>
      </c>
      <c r="M3181" t="str">
        <f t="shared" si="148"/>
        <v>Jul</v>
      </c>
      <c r="N3181" s="2">
        <f t="shared" si="149"/>
        <v>0.17312990871385567</v>
      </c>
    </row>
    <row r="3182" spans="1:14" x14ac:dyDescent="0.45">
      <c r="A3182" t="s">
        <v>5887</v>
      </c>
      <c r="B3182" s="1">
        <v>44617</v>
      </c>
      <c r="C3182" t="s">
        <v>1276</v>
      </c>
      <c r="D3182" t="s">
        <v>56</v>
      </c>
      <c r="E3182" t="s">
        <v>20</v>
      </c>
      <c r="F3182" t="s">
        <v>43</v>
      </c>
      <c r="G3182">
        <v>2</v>
      </c>
      <c r="H3182">
        <v>29997.119999999999</v>
      </c>
      <c r="I3182">
        <v>2515.23</v>
      </c>
      <c r="J3182" t="s">
        <v>16</v>
      </c>
      <c r="K3182" t="s">
        <v>17</v>
      </c>
      <c r="L3182">
        <f t="shared" si="147"/>
        <v>2022</v>
      </c>
      <c r="M3182" t="str">
        <f t="shared" si="148"/>
        <v>Feb</v>
      </c>
      <c r="N3182" s="2">
        <f t="shared" si="149"/>
        <v>8.384904950875284E-2</v>
      </c>
    </row>
    <row r="3183" spans="1:14" x14ac:dyDescent="0.45">
      <c r="A3183" t="s">
        <v>5888</v>
      </c>
      <c r="B3183" s="1">
        <v>45541</v>
      </c>
      <c r="C3183" t="s">
        <v>5889</v>
      </c>
      <c r="D3183" t="s">
        <v>26</v>
      </c>
      <c r="E3183" t="s">
        <v>36</v>
      </c>
      <c r="F3183" t="s">
        <v>64</v>
      </c>
      <c r="G3183">
        <v>4</v>
      </c>
      <c r="H3183">
        <v>22989.66</v>
      </c>
      <c r="I3183">
        <v>5508.57</v>
      </c>
      <c r="J3183" t="s">
        <v>47</v>
      </c>
      <c r="K3183" t="s">
        <v>17</v>
      </c>
      <c r="L3183">
        <f t="shared" si="147"/>
        <v>2024</v>
      </c>
      <c r="M3183" t="str">
        <f t="shared" si="148"/>
        <v>Sep</v>
      </c>
      <c r="N3183" s="2">
        <f t="shared" si="149"/>
        <v>0.23961076414353233</v>
      </c>
    </row>
    <row r="3184" spans="1:14" x14ac:dyDescent="0.45">
      <c r="A3184" t="s">
        <v>5890</v>
      </c>
      <c r="B3184" s="1">
        <v>45400</v>
      </c>
      <c r="C3184" t="s">
        <v>5891</v>
      </c>
      <c r="D3184" t="s">
        <v>13</v>
      </c>
      <c r="E3184" t="s">
        <v>20</v>
      </c>
      <c r="F3184" t="s">
        <v>43</v>
      </c>
      <c r="G3184">
        <v>1</v>
      </c>
      <c r="H3184">
        <v>11103.67</v>
      </c>
      <c r="I3184">
        <v>883.21</v>
      </c>
      <c r="J3184" t="s">
        <v>28</v>
      </c>
      <c r="K3184" t="s">
        <v>17</v>
      </c>
      <c r="L3184">
        <f t="shared" si="147"/>
        <v>2024</v>
      </c>
      <c r="M3184" t="str">
        <f t="shared" si="148"/>
        <v>Apr</v>
      </c>
      <c r="N3184" s="2">
        <f t="shared" si="149"/>
        <v>7.954216939084105E-2</v>
      </c>
    </row>
    <row r="3185" spans="1:14" x14ac:dyDescent="0.45">
      <c r="A3185" t="s">
        <v>5892</v>
      </c>
      <c r="B3185" s="1">
        <v>44767</v>
      </c>
      <c r="C3185" t="s">
        <v>2205</v>
      </c>
      <c r="D3185" t="s">
        <v>56</v>
      </c>
      <c r="E3185" t="s">
        <v>36</v>
      </c>
      <c r="F3185" t="s">
        <v>53</v>
      </c>
      <c r="G3185">
        <v>2</v>
      </c>
      <c r="H3185">
        <v>3629.49</v>
      </c>
      <c r="I3185">
        <v>884.03</v>
      </c>
      <c r="J3185" t="s">
        <v>16</v>
      </c>
      <c r="K3185" t="s">
        <v>29</v>
      </c>
      <c r="L3185">
        <f t="shared" si="147"/>
        <v>2022</v>
      </c>
      <c r="M3185" t="str">
        <f t="shared" si="148"/>
        <v>Jul</v>
      </c>
      <c r="N3185" s="2">
        <f t="shared" si="149"/>
        <v>0.24356865565134497</v>
      </c>
    </row>
    <row r="3186" spans="1:14" x14ac:dyDescent="0.45">
      <c r="A3186" t="s">
        <v>5893</v>
      </c>
      <c r="B3186" s="1">
        <v>45119</v>
      </c>
      <c r="C3186" t="s">
        <v>2180</v>
      </c>
      <c r="D3186" t="s">
        <v>13</v>
      </c>
      <c r="E3186" t="s">
        <v>14</v>
      </c>
      <c r="F3186" t="s">
        <v>57</v>
      </c>
      <c r="G3186">
        <v>5</v>
      </c>
      <c r="H3186">
        <v>16899.439999999999</v>
      </c>
      <c r="I3186">
        <v>3946.1</v>
      </c>
      <c r="J3186" t="s">
        <v>47</v>
      </c>
      <c r="K3186" t="s">
        <v>29</v>
      </c>
      <c r="L3186">
        <f t="shared" si="147"/>
        <v>2023</v>
      </c>
      <c r="M3186" t="str">
        <f t="shared" si="148"/>
        <v>Jul</v>
      </c>
      <c r="N3186" s="2">
        <f t="shared" si="149"/>
        <v>0.2335047788565775</v>
      </c>
    </row>
    <row r="3187" spans="1:14" x14ac:dyDescent="0.45">
      <c r="A3187" t="s">
        <v>5894</v>
      </c>
      <c r="B3187" s="1">
        <v>44676</v>
      </c>
      <c r="C3187" t="s">
        <v>5895</v>
      </c>
      <c r="D3187" t="s">
        <v>13</v>
      </c>
      <c r="E3187" t="s">
        <v>14</v>
      </c>
      <c r="F3187" t="s">
        <v>32</v>
      </c>
      <c r="G3187">
        <v>3</v>
      </c>
      <c r="H3187">
        <v>26381.77</v>
      </c>
      <c r="I3187">
        <v>6198.02</v>
      </c>
      <c r="J3187" t="s">
        <v>71</v>
      </c>
      <c r="K3187" t="s">
        <v>33</v>
      </c>
      <c r="L3187">
        <f t="shared" si="147"/>
        <v>2022</v>
      </c>
      <c r="M3187" t="str">
        <f t="shared" si="148"/>
        <v>Apr</v>
      </c>
      <c r="N3187" s="2">
        <f t="shared" si="149"/>
        <v>0.23493571507901101</v>
      </c>
    </row>
    <row r="3188" spans="1:14" x14ac:dyDescent="0.45">
      <c r="A3188" t="s">
        <v>5896</v>
      </c>
      <c r="B3188" s="1">
        <v>45168</v>
      </c>
      <c r="C3188" t="s">
        <v>5897</v>
      </c>
      <c r="D3188" t="s">
        <v>13</v>
      </c>
      <c r="E3188" t="s">
        <v>36</v>
      </c>
      <c r="F3188" t="s">
        <v>46</v>
      </c>
      <c r="G3188">
        <v>3</v>
      </c>
      <c r="H3188">
        <v>49798.18</v>
      </c>
      <c r="I3188">
        <v>3439.81</v>
      </c>
      <c r="J3188" t="s">
        <v>47</v>
      </c>
      <c r="K3188" t="s">
        <v>17</v>
      </c>
      <c r="L3188">
        <f t="shared" si="147"/>
        <v>2023</v>
      </c>
      <c r="M3188" t="str">
        <f t="shared" si="148"/>
        <v>Aug</v>
      </c>
      <c r="N3188" s="2">
        <f t="shared" si="149"/>
        <v>6.9075014388076034E-2</v>
      </c>
    </row>
    <row r="3189" spans="1:14" x14ac:dyDescent="0.45">
      <c r="A3189" t="s">
        <v>5898</v>
      </c>
      <c r="B3189" s="1">
        <v>44786</v>
      </c>
      <c r="C3189" t="s">
        <v>5899</v>
      </c>
      <c r="D3189" t="s">
        <v>26</v>
      </c>
      <c r="E3189" t="s">
        <v>14</v>
      </c>
      <c r="F3189" t="s">
        <v>40</v>
      </c>
      <c r="G3189">
        <v>2</v>
      </c>
      <c r="H3189">
        <v>23085.25</v>
      </c>
      <c r="I3189">
        <v>3889.9</v>
      </c>
      <c r="J3189" t="s">
        <v>71</v>
      </c>
      <c r="K3189" t="s">
        <v>33</v>
      </c>
      <c r="L3189">
        <f t="shared" si="147"/>
        <v>2022</v>
      </c>
      <c r="M3189" t="str">
        <f t="shared" si="148"/>
        <v>Aug</v>
      </c>
      <c r="N3189" s="2">
        <f t="shared" si="149"/>
        <v>0.16850153236373874</v>
      </c>
    </row>
    <row r="3190" spans="1:14" x14ac:dyDescent="0.45">
      <c r="A3190" t="s">
        <v>5900</v>
      </c>
      <c r="B3190" s="1">
        <v>44568</v>
      </c>
      <c r="C3190" t="s">
        <v>1126</v>
      </c>
      <c r="D3190" t="s">
        <v>13</v>
      </c>
      <c r="E3190" t="s">
        <v>14</v>
      </c>
      <c r="F3190" t="s">
        <v>40</v>
      </c>
      <c r="G3190">
        <v>4</v>
      </c>
      <c r="H3190">
        <v>14279.73</v>
      </c>
      <c r="I3190">
        <v>2231.83</v>
      </c>
      <c r="J3190" t="s">
        <v>47</v>
      </c>
      <c r="K3190" t="s">
        <v>29</v>
      </c>
      <c r="L3190">
        <f t="shared" si="147"/>
        <v>2022</v>
      </c>
      <c r="M3190" t="str">
        <f t="shared" si="148"/>
        <v>Jan</v>
      </c>
      <c r="N3190" s="2">
        <f t="shared" si="149"/>
        <v>0.15629357137704986</v>
      </c>
    </row>
    <row r="3191" spans="1:14" x14ac:dyDescent="0.45">
      <c r="A3191" t="s">
        <v>5901</v>
      </c>
      <c r="B3191" s="1">
        <v>45204</v>
      </c>
      <c r="C3191" t="s">
        <v>5902</v>
      </c>
      <c r="D3191" t="s">
        <v>26</v>
      </c>
      <c r="E3191" t="s">
        <v>36</v>
      </c>
      <c r="F3191" t="s">
        <v>53</v>
      </c>
      <c r="G3191">
        <v>2</v>
      </c>
      <c r="H3191">
        <v>10387.549999999999</v>
      </c>
      <c r="I3191">
        <v>2518.0500000000002</v>
      </c>
      <c r="J3191" t="s">
        <v>47</v>
      </c>
      <c r="K3191" t="s">
        <v>29</v>
      </c>
      <c r="L3191">
        <f t="shared" si="147"/>
        <v>2023</v>
      </c>
      <c r="M3191" t="str">
        <f t="shared" si="148"/>
        <v>Oct</v>
      </c>
      <c r="N3191" s="2">
        <f t="shared" si="149"/>
        <v>0.24241038550957641</v>
      </c>
    </row>
    <row r="3192" spans="1:14" x14ac:dyDescent="0.45">
      <c r="A3192" t="s">
        <v>5903</v>
      </c>
      <c r="B3192" s="1">
        <v>45159</v>
      </c>
      <c r="C3192" t="s">
        <v>1944</v>
      </c>
      <c r="D3192" t="s">
        <v>56</v>
      </c>
      <c r="E3192" t="s">
        <v>36</v>
      </c>
      <c r="F3192" t="s">
        <v>64</v>
      </c>
      <c r="G3192">
        <v>3</v>
      </c>
      <c r="H3192">
        <v>20483.59</v>
      </c>
      <c r="I3192">
        <v>3153.38</v>
      </c>
      <c r="J3192" t="s">
        <v>28</v>
      </c>
      <c r="K3192" t="s">
        <v>29</v>
      </c>
      <c r="L3192">
        <f t="shared" si="147"/>
        <v>2023</v>
      </c>
      <c r="M3192" t="str">
        <f t="shared" si="148"/>
        <v>Aug</v>
      </c>
      <c r="N3192" s="2">
        <f t="shared" si="149"/>
        <v>0.15394664704770991</v>
      </c>
    </row>
    <row r="3193" spans="1:14" x14ac:dyDescent="0.45">
      <c r="A3193" t="s">
        <v>5904</v>
      </c>
      <c r="B3193" s="1">
        <v>44842</v>
      </c>
      <c r="C3193" t="s">
        <v>3978</v>
      </c>
      <c r="D3193" t="s">
        <v>56</v>
      </c>
      <c r="E3193" t="s">
        <v>14</v>
      </c>
      <c r="F3193" t="s">
        <v>40</v>
      </c>
      <c r="G3193">
        <v>2</v>
      </c>
      <c r="H3193">
        <v>27612.560000000001</v>
      </c>
      <c r="I3193">
        <v>2014.99</v>
      </c>
      <c r="J3193" t="s">
        <v>47</v>
      </c>
      <c r="K3193" t="s">
        <v>23</v>
      </c>
      <c r="L3193">
        <f t="shared" si="147"/>
        <v>2022</v>
      </c>
      <c r="M3193" t="str">
        <f t="shared" si="148"/>
        <v>Oct</v>
      </c>
      <c r="N3193" s="2">
        <f t="shared" si="149"/>
        <v>7.297367574755835E-2</v>
      </c>
    </row>
    <row r="3194" spans="1:14" x14ac:dyDescent="0.45">
      <c r="A3194" t="s">
        <v>5905</v>
      </c>
      <c r="B3194" s="1">
        <v>44781</v>
      </c>
      <c r="C3194" t="s">
        <v>5906</v>
      </c>
      <c r="D3194" t="s">
        <v>26</v>
      </c>
      <c r="E3194" t="s">
        <v>36</v>
      </c>
      <c r="F3194" t="s">
        <v>37</v>
      </c>
      <c r="G3194">
        <v>2</v>
      </c>
      <c r="H3194">
        <v>43154.12</v>
      </c>
      <c r="I3194">
        <v>5918.82</v>
      </c>
      <c r="J3194" t="s">
        <v>22</v>
      </c>
      <c r="K3194" t="s">
        <v>29</v>
      </c>
      <c r="L3194">
        <f t="shared" si="147"/>
        <v>2022</v>
      </c>
      <c r="M3194" t="str">
        <f t="shared" si="148"/>
        <v>Aug</v>
      </c>
      <c r="N3194" s="2">
        <f t="shared" si="149"/>
        <v>0.13715538632232563</v>
      </c>
    </row>
    <row r="3195" spans="1:14" x14ac:dyDescent="0.45">
      <c r="A3195" t="s">
        <v>5907</v>
      </c>
      <c r="B3195" s="1">
        <v>45382</v>
      </c>
      <c r="C3195" t="s">
        <v>5908</v>
      </c>
      <c r="D3195" t="s">
        <v>26</v>
      </c>
      <c r="E3195" t="s">
        <v>14</v>
      </c>
      <c r="F3195" t="s">
        <v>40</v>
      </c>
      <c r="G3195">
        <v>5</v>
      </c>
      <c r="H3195">
        <v>40977.19</v>
      </c>
      <c r="I3195">
        <v>2125.9499999999998</v>
      </c>
      <c r="J3195" t="s">
        <v>28</v>
      </c>
      <c r="K3195" t="s">
        <v>29</v>
      </c>
      <c r="L3195">
        <f t="shared" si="147"/>
        <v>2024</v>
      </c>
      <c r="M3195" t="str">
        <f t="shared" si="148"/>
        <v>Mar</v>
      </c>
      <c r="N3195" s="2">
        <f t="shared" si="149"/>
        <v>5.1881302744282848E-2</v>
      </c>
    </row>
    <row r="3196" spans="1:14" x14ac:dyDescent="0.45">
      <c r="A3196" t="s">
        <v>5909</v>
      </c>
      <c r="B3196" s="1">
        <v>45571</v>
      </c>
      <c r="C3196" t="s">
        <v>5910</v>
      </c>
      <c r="D3196" t="s">
        <v>13</v>
      </c>
      <c r="E3196" t="s">
        <v>20</v>
      </c>
      <c r="F3196" t="s">
        <v>43</v>
      </c>
      <c r="G3196">
        <v>3</v>
      </c>
      <c r="H3196">
        <v>7026.25</v>
      </c>
      <c r="I3196">
        <v>367.84</v>
      </c>
      <c r="J3196" t="s">
        <v>28</v>
      </c>
      <c r="K3196" t="s">
        <v>17</v>
      </c>
      <c r="L3196">
        <f t="shared" si="147"/>
        <v>2024</v>
      </c>
      <c r="M3196" t="str">
        <f t="shared" si="148"/>
        <v>Oct</v>
      </c>
      <c r="N3196" s="2">
        <f t="shared" si="149"/>
        <v>5.2352250489236786E-2</v>
      </c>
    </row>
    <row r="3197" spans="1:14" x14ac:dyDescent="0.45">
      <c r="A3197" t="s">
        <v>5911</v>
      </c>
      <c r="B3197" s="1">
        <v>45476</v>
      </c>
      <c r="C3197" t="s">
        <v>5912</v>
      </c>
      <c r="D3197" t="s">
        <v>13</v>
      </c>
      <c r="E3197" t="s">
        <v>20</v>
      </c>
      <c r="F3197" t="s">
        <v>43</v>
      </c>
      <c r="G3197">
        <v>5</v>
      </c>
      <c r="H3197">
        <v>29795.15</v>
      </c>
      <c r="I3197">
        <v>4924.6499999999996</v>
      </c>
      <c r="J3197" t="s">
        <v>47</v>
      </c>
      <c r="K3197" t="s">
        <v>33</v>
      </c>
      <c r="L3197">
        <f t="shared" si="147"/>
        <v>2024</v>
      </c>
      <c r="M3197" t="str">
        <f t="shared" si="148"/>
        <v>Jul</v>
      </c>
      <c r="N3197" s="2">
        <f t="shared" si="149"/>
        <v>0.16528361159450444</v>
      </c>
    </row>
    <row r="3198" spans="1:14" x14ac:dyDescent="0.45">
      <c r="A3198" t="s">
        <v>5913</v>
      </c>
      <c r="B3198" s="1">
        <v>45513</v>
      </c>
      <c r="C3198" t="s">
        <v>5914</v>
      </c>
      <c r="D3198" t="s">
        <v>56</v>
      </c>
      <c r="E3198" t="s">
        <v>14</v>
      </c>
      <c r="F3198" t="s">
        <v>57</v>
      </c>
      <c r="G3198">
        <v>2</v>
      </c>
      <c r="H3198">
        <v>44427.75</v>
      </c>
      <c r="I3198">
        <v>2909.47</v>
      </c>
      <c r="J3198" t="s">
        <v>28</v>
      </c>
      <c r="K3198" t="s">
        <v>17</v>
      </c>
      <c r="L3198">
        <f t="shared" si="147"/>
        <v>2024</v>
      </c>
      <c r="M3198" t="str">
        <f t="shared" si="148"/>
        <v>Aug</v>
      </c>
      <c r="N3198" s="2">
        <f t="shared" si="149"/>
        <v>6.5487673807473931E-2</v>
      </c>
    </row>
    <row r="3199" spans="1:14" x14ac:dyDescent="0.45">
      <c r="A3199" t="s">
        <v>5915</v>
      </c>
      <c r="B3199" s="1">
        <v>44993</v>
      </c>
      <c r="C3199" t="s">
        <v>5916</v>
      </c>
      <c r="D3199" t="s">
        <v>13</v>
      </c>
      <c r="E3199" t="s">
        <v>14</v>
      </c>
      <c r="F3199" t="s">
        <v>32</v>
      </c>
      <c r="G3199">
        <v>5</v>
      </c>
      <c r="H3199">
        <v>11299.3</v>
      </c>
      <c r="I3199">
        <v>2294.9</v>
      </c>
      <c r="J3199" t="s">
        <v>16</v>
      </c>
      <c r="K3199" t="s">
        <v>33</v>
      </c>
      <c r="L3199">
        <f t="shared" si="147"/>
        <v>2023</v>
      </c>
      <c r="M3199" t="str">
        <f t="shared" si="148"/>
        <v>Mar</v>
      </c>
      <c r="N3199" s="2">
        <f t="shared" si="149"/>
        <v>0.20310107705787087</v>
      </c>
    </row>
    <row r="3200" spans="1:14" x14ac:dyDescent="0.45">
      <c r="A3200" t="s">
        <v>5917</v>
      </c>
      <c r="B3200" s="1">
        <v>45400</v>
      </c>
      <c r="C3200" t="s">
        <v>5274</v>
      </c>
      <c r="D3200" t="s">
        <v>13</v>
      </c>
      <c r="E3200" t="s">
        <v>36</v>
      </c>
      <c r="F3200" t="s">
        <v>53</v>
      </c>
      <c r="G3200">
        <v>3</v>
      </c>
      <c r="H3200">
        <v>10071.98</v>
      </c>
      <c r="I3200">
        <v>1753.6</v>
      </c>
      <c r="J3200" t="s">
        <v>22</v>
      </c>
      <c r="K3200" t="s">
        <v>33</v>
      </c>
      <c r="L3200">
        <f t="shared" si="147"/>
        <v>2024</v>
      </c>
      <c r="M3200" t="str">
        <f t="shared" si="148"/>
        <v>Apr</v>
      </c>
      <c r="N3200" s="2">
        <f t="shared" si="149"/>
        <v>0.17410677940186536</v>
      </c>
    </row>
    <row r="3201" spans="1:14" x14ac:dyDescent="0.45">
      <c r="A3201" t="s">
        <v>5918</v>
      </c>
      <c r="B3201" s="1">
        <v>44639</v>
      </c>
      <c r="C3201" t="s">
        <v>5919</v>
      </c>
      <c r="D3201" t="s">
        <v>56</v>
      </c>
      <c r="E3201" t="s">
        <v>14</v>
      </c>
      <c r="F3201" t="s">
        <v>40</v>
      </c>
      <c r="G3201">
        <v>1</v>
      </c>
      <c r="H3201">
        <v>17609.18</v>
      </c>
      <c r="I3201">
        <v>1388.14</v>
      </c>
      <c r="J3201" t="s">
        <v>47</v>
      </c>
      <c r="K3201" t="s">
        <v>23</v>
      </c>
      <c r="L3201">
        <f t="shared" si="147"/>
        <v>2022</v>
      </c>
      <c r="M3201" t="str">
        <f t="shared" si="148"/>
        <v>Mar</v>
      </c>
      <c r="N3201" s="2">
        <f t="shared" si="149"/>
        <v>7.8830473650675387E-2</v>
      </c>
    </row>
    <row r="3202" spans="1:14" x14ac:dyDescent="0.45">
      <c r="A3202" t="s">
        <v>5920</v>
      </c>
      <c r="B3202" s="1">
        <v>45245</v>
      </c>
      <c r="C3202" t="s">
        <v>5921</v>
      </c>
      <c r="D3202" t="s">
        <v>26</v>
      </c>
      <c r="E3202" t="s">
        <v>14</v>
      </c>
      <c r="F3202" t="s">
        <v>57</v>
      </c>
      <c r="G3202">
        <v>5</v>
      </c>
      <c r="H3202">
        <v>2460.15</v>
      </c>
      <c r="I3202">
        <v>467.58</v>
      </c>
      <c r="J3202" t="s">
        <v>47</v>
      </c>
      <c r="K3202" t="s">
        <v>23</v>
      </c>
      <c r="L3202">
        <f t="shared" si="147"/>
        <v>2023</v>
      </c>
      <c r="M3202" t="str">
        <f t="shared" si="148"/>
        <v>Nov</v>
      </c>
      <c r="N3202" s="2">
        <f t="shared" si="149"/>
        <v>0.19006158161087738</v>
      </c>
    </row>
    <row r="3203" spans="1:14" x14ac:dyDescent="0.45">
      <c r="A3203" t="s">
        <v>5922</v>
      </c>
      <c r="B3203" s="1">
        <v>44797</v>
      </c>
      <c r="C3203" t="s">
        <v>787</v>
      </c>
      <c r="D3203" t="s">
        <v>56</v>
      </c>
      <c r="E3203" t="s">
        <v>36</v>
      </c>
      <c r="F3203" t="s">
        <v>64</v>
      </c>
      <c r="G3203">
        <v>2</v>
      </c>
      <c r="H3203">
        <v>36774.76</v>
      </c>
      <c r="I3203">
        <v>8947.9699999999993</v>
      </c>
      <c r="J3203" t="s">
        <v>22</v>
      </c>
      <c r="K3203" t="s">
        <v>33</v>
      </c>
      <c r="L3203">
        <f t="shared" ref="L3203:L3266" si="150">YEAR(B3203 )</f>
        <v>2022</v>
      </c>
      <c r="M3203" t="str">
        <f t="shared" ref="M3203:M3266" si="151">TEXT(B3203,"MMM")</f>
        <v>Aug</v>
      </c>
      <c r="N3203" s="2">
        <f t="shared" ref="N3203:N3266" si="152">I3203 / H3203</f>
        <v>0.24331824327337551</v>
      </c>
    </row>
    <row r="3204" spans="1:14" x14ac:dyDescent="0.45">
      <c r="A3204" t="s">
        <v>5923</v>
      </c>
      <c r="B3204" s="1">
        <v>45214</v>
      </c>
      <c r="C3204" t="s">
        <v>5924</v>
      </c>
      <c r="D3204" t="s">
        <v>26</v>
      </c>
      <c r="E3204" t="s">
        <v>20</v>
      </c>
      <c r="F3204" t="s">
        <v>50</v>
      </c>
      <c r="G3204">
        <v>2</v>
      </c>
      <c r="H3204">
        <v>42962.14</v>
      </c>
      <c r="I3204">
        <v>2409.5500000000002</v>
      </c>
      <c r="J3204" t="s">
        <v>47</v>
      </c>
      <c r="K3204" t="s">
        <v>29</v>
      </c>
      <c r="L3204">
        <f t="shared" si="150"/>
        <v>2023</v>
      </c>
      <c r="M3204" t="str">
        <f t="shared" si="151"/>
        <v>Oct</v>
      </c>
      <c r="N3204" s="2">
        <f t="shared" si="152"/>
        <v>5.6085427774314786E-2</v>
      </c>
    </row>
    <row r="3205" spans="1:14" x14ac:dyDescent="0.45">
      <c r="A3205" t="s">
        <v>5925</v>
      </c>
      <c r="B3205" s="1">
        <v>45035</v>
      </c>
      <c r="C3205" t="s">
        <v>5926</v>
      </c>
      <c r="D3205" t="s">
        <v>56</v>
      </c>
      <c r="E3205" t="s">
        <v>20</v>
      </c>
      <c r="F3205" t="s">
        <v>50</v>
      </c>
      <c r="G3205">
        <v>4</v>
      </c>
      <c r="H3205">
        <v>11401.18</v>
      </c>
      <c r="I3205">
        <v>1487.19</v>
      </c>
      <c r="J3205" t="s">
        <v>71</v>
      </c>
      <c r="K3205" t="s">
        <v>29</v>
      </c>
      <c r="L3205">
        <f t="shared" si="150"/>
        <v>2023</v>
      </c>
      <c r="M3205" t="str">
        <f t="shared" si="151"/>
        <v>Apr</v>
      </c>
      <c r="N3205" s="2">
        <f t="shared" si="152"/>
        <v>0.13044176129137511</v>
      </c>
    </row>
    <row r="3206" spans="1:14" x14ac:dyDescent="0.45">
      <c r="A3206" t="s">
        <v>5927</v>
      </c>
      <c r="B3206" s="1">
        <v>44769</v>
      </c>
      <c r="C3206" t="s">
        <v>5928</v>
      </c>
      <c r="D3206" t="s">
        <v>26</v>
      </c>
      <c r="E3206" t="s">
        <v>14</v>
      </c>
      <c r="F3206" t="s">
        <v>40</v>
      </c>
      <c r="G3206">
        <v>4</v>
      </c>
      <c r="H3206">
        <v>44773.57</v>
      </c>
      <c r="I3206">
        <v>5652.39</v>
      </c>
      <c r="J3206" t="s">
        <v>16</v>
      </c>
      <c r="K3206" t="s">
        <v>33</v>
      </c>
      <c r="L3206">
        <f t="shared" si="150"/>
        <v>2022</v>
      </c>
      <c r="M3206" t="str">
        <f t="shared" si="151"/>
        <v>Jul</v>
      </c>
      <c r="N3206" s="2">
        <f t="shared" si="152"/>
        <v>0.12624389790673382</v>
      </c>
    </row>
    <row r="3207" spans="1:14" x14ac:dyDescent="0.45">
      <c r="A3207" t="s">
        <v>5929</v>
      </c>
      <c r="B3207" s="1">
        <v>44714</v>
      </c>
      <c r="C3207" t="s">
        <v>323</v>
      </c>
      <c r="D3207" t="s">
        <v>56</v>
      </c>
      <c r="E3207" t="s">
        <v>20</v>
      </c>
      <c r="F3207" t="s">
        <v>27</v>
      </c>
      <c r="G3207">
        <v>2</v>
      </c>
      <c r="H3207">
        <v>31386.48</v>
      </c>
      <c r="I3207">
        <v>1801.84</v>
      </c>
      <c r="J3207" t="s">
        <v>16</v>
      </c>
      <c r="K3207" t="s">
        <v>33</v>
      </c>
      <c r="L3207">
        <f t="shared" si="150"/>
        <v>2022</v>
      </c>
      <c r="M3207" t="str">
        <f t="shared" si="151"/>
        <v>Jun</v>
      </c>
      <c r="N3207" s="2">
        <f t="shared" si="152"/>
        <v>5.7408157907481182E-2</v>
      </c>
    </row>
    <row r="3208" spans="1:14" x14ac:dyDescent="0.45">
      <c r="A3208" t="s">
        <v>5930</v>
      </c>
      <c r="B3208" s="1">
        <v>45492</v>
      </c>
      <c r="C3208" t="s">
        <v>5931</v>
      </c>
      <c r="D3208" t="s">
        <v>26</v>
      </c>
      <c r="E3208" t="s">
        <v>20</v>
      </c>
      <c r="F3208" t="s">
        <v>43</v>
      </c>
      <c r="G3208">
        <v>5</v>
      </c>
      <c r="H3208">
        <v>44685.72</v>
      </c>
      <c r="I3208">
        <v>11045.03</v>
      </c>
      <c r="J3208" t="s">
        <v>22</v>
      </c>
      <c r="K3208" t="s">
        <v>23</v>
      </c>
      <c r="L3208">
        <f t="shared" si="150"/>
        <v>2024</v>
      </c>
      <c r="M3208" t="str">
        <f t="shared" si="151"/>
        <v>Jul</v>
      </c>
      <c r="N3208" s="2">
        <f t="shared" si="152"/>
        <v>0.24717135586044042</v>
      </c>
    </row>
    <row r="3209" spans="1:14" x14ac:dyDescent="0.45">
      <c r="A3209" t="s">
        <v>5932</v>
      </c>
      <c r="B3209" s="1">
        <v>45167</v>
      </c>
      <c r="C3209" t="s">
        <v>4593</v>
      </c>
      <c r="D3209" t="s">
        <v>26</v>
      </c>
      <c r="E3209" t="s">
        <v>14</v>
      </c>
      <c r="F3209" t="s">
        <v>57</v>
      </c>
      <c r="G3209">
        <v>4</v>
      </c>
      <c r="H3209">
        <v>39970.120000000003</v>
      </c>
      <c r="I3209">
        <v>6857.96</v>
      </c>
      <c r="J3209" t="s">
        <v>22</v>
      </c>
      <c r="K3209" t="s">
        <v>23</v>
      </c>
      <c r="L3209">
        <f t="shared" si="150"/>
        <v>2023</v>
      </c>
      <c r="M3209" t="str">
        <f t="shared" si="151"/>
        <v>Aug</v>
      </c>
      <c r="N3209" s="2">
        <f t="shared" si="152"/>
        <v>0.171577168144604</v>
      </c>
    </row>
    <row r="3210" spans="1:14" x14ac:dyDescent="0.45">
      <c r="A3210" t="s">
        <v>5933</v>
      </c>
      <c r="B3210" s="1">
        <v>45074</v>
      </c>
      <c r="C3210" t="s">
        <v>4818</v>
      </c>
      <c r="D3210" t="s">
        <v>13</v>
      </c>
      <c r="E3210" t="s">
        <v>20</v>
      </c>
      <c r="F3210" t="s">
        <v>27</v>
      </c>
      <c r="G3210">
        <v>5</v>
      </c>
      <c r="H3210">
        <v>13943.36</v>
      </c>
      <c r="I3210">
        <v>2122.71</v>
      </c>
      <c r="J3210" t="s">
        <v>22</v>
      </c>
      <c r="K3210" t="s">
        <v>17</v>
      </c>
      <c r="L3210">
        <f t="shared" si="150"/>
        <v>2023</v>
      </c>
      <c r="M3210" t="str">
        <f t="shared" si="151"/>
        <v>May</v>
      </c>
      <c r="N3210" s="2">
        <f t="shared" si="152"/>
        <v>0.15223805452918091</v>
      </c>
    </row>
    <row r="3211" spans="1:14" x14ac:dyDescent="0.45">
      <c r="A3211" t="s">
        <v>5934</v>
      </c>
      <c r="B3211" s="1">
        <v>45372</v>
      </c>
      <c r="C3211" t="s">
        <v>5935</v>
      </c>
      <c r="D3211" t="s">
        <v>56</v>
      </c>
      <c r="E3211" t="s">
        <v>20</v>
      </c>
      <c r="F3211" t="s">
        <v>43</v>
      </c>
      <c r="G3211">
        <v>1</v>
      </c>
      <c r="H3211">
        <v>4876.18</v>
      </c>
      <c r="I3211">
        <v>567.36</v>
      </c>
      <c r="J3211" t="s">
        <v>71</v>
      </c>
      <c r="K3211" t="s">
        <v>33</v>
      </c>
      <c r="L3211">
        <f t="shared" si="150"/>
        <v>2024</v>
      </c>
      <c r="M3211" t="str">
        <f t="shared" si="151"/>
        <v>Mar</v>
      </c>
      <c r="N3211" s="2">
        <f t="shared" si="152"/>
        <v>0.11635337497795405</v>
      </c>
    </row>
    <row r="3212" spans="1:14" x14ac:dyDescent="0.45">
      <c r="A3212" t="s">
        <v>5936</v>
      </c>
      <c r="B3212" s="1">
        <v>44626</v>
      </c>
      <c r="C3212" t="s">
        <v>5937</v>
      </c>
      <c r="D3212" t="s">
        <v>56</v>
      </c>
      <c r="E3212" t="s">
        <v>14</v>
      </c>
      <c r="F3212" t="s">
        <v>40</v>
      </c>
      <c r="G3212">
        <v>4</v>
      </c>
      <c r="H3212">
        <v>22681.15</v>
      </c>
      <c r="I3212">
        <v>5325.89</v>
      </c>
      <c r="J3212" t="s">
        <v>22</v>
      </c>
      <c r="K3212" t="s">
        <v>17</v>
      </c>
      <c r="L3212">
        <f t="shared" si="150"/>
        <v>2022</v>
      </c>
      <c r="M3212" t="str">
        <f t="shared" si="151"/>
        <v>Mar</v>
      </c>
      <c r="N3212" s="2">
        <f t="shared" si="152"/>
        <v>0.23481569497137492</v>
      </c>
    </row>
    <row r="3213" spans="1:14" x14ac:dyDescent="0.45">
      <c r="A3213" t="s">
        <v>5938</v>
      </c>
      <c r="B3213" s="1">
        <v>45213</v>
      </c>
      <c r="C3213" t="s">
        <v>5939</v>
      </c>
      <c r="D3213" t="s">
        <v>26</v>
      </c>
      <c r="E3213" t="s">
        <v>14</v>
      </c>
      <c r="F3213" t="s">
        <v>32</v>
      </c>
      <c r="G3213">
        <v>2</v>
      </c>
      <c r="H3213">
        <v>1201.22</v>
      </c>
      <c r="I3213">
        <v>167.37</v>
      </c>
      <c r="J3213" t="s">
        <v>71</v>
      </c>
      <c r="K3213" t="s">
        <v>17</v>
      </c>
      <c r="L3213">
        <f t="shared" si="150"/>
        <v>2023</v>
      </c>
      <c r="M3213" t="str">
        <f t="shared" si="151"/>
        <v>Oct</v>
      </c>
      <c r="N3213" s="2">
        <f t="shared" si="152"/>
        <v>0.13933334443315962</v>
      </c>
    </row>
    <row r="3214" spans="1:14" x14ac:dyDescent="0.45">
      <c r="A3214" t="s">
        <v>5940</v>
      </c>
      <c r="B3214" s="1">
        <v>45578</v>
      </c>
      <c r="C3214" t="s">
        <v>5941</v>
      </c>
      <c r="D3214" t="s">
        <v>56</v>
      </c>
      <c r="E3214" t="s">
        <v>14</v>
      </c>
      <c r="F3214" t="s">
        <v>32</v>
      </c>
      <c r="G3214">
        <v>1</v>
      </c>
      <c r="H3214">
        <v>38716.699999999997</v>
      </c>
      <c r="I3214">
        <v>5783.65</v>
      </c>
      <c r="J3214" t="s">
        <v>71</v>
      </c>
      <c r="K3214" t="s">
        <v>23</v>
      </c>
      <c r="L3214">
        <f t="shared" si="150"/>
        <v>2024</v>
      </c>
      <c r="M3214" t="str">
        <f t="shared" si="151"/>
        <v>Oct</v>
      </c>
      <c r="N3214" s="2">
        <f t="shared" si="152"/>
        <v>0.14938385761183159</v>
      </c>
    </row>
    <row r="3215" spans="1:14" x14ac:dyDescent="0.45">
      <c r="A3215" t="s">
        <v>5942</v>
      </c>
      <c r="B3215" s="1">
        <v>45386</v>
      </c>
      <c r="C3215" t="s">
        <v>5943</v>
      </c>
      <c r="D3215" t="s">
        <v>13</v>
      </c>
      <c r="E3215" t="s">
        <v>14</v>
      </c>
      <c r="F3215" t="s">
        <v>15</v>
      </c>
      <c r="G3215">
        <v>1</v>
      </c>
      <c r="H3215">
        <v>47387.44</v>
      </c>
      <c r="I3215">
        <v>2551.16</v>
      </c>
      <c r="J3215" t="s">
        <v>47</v>
      </c>
      <c r="K3215" t="s">
        <v>23</v>
      </c>
      <c r="L3215">
        <f t="shared" si="150"/>
        <v>2024</v>
      </c>
      <c r="M3215" t="str">
        <f t="shared" si="151"/>
        <v>Apr</v>
      </c>
      <c r="N3215" s="2">
        <f t="shared" si="152"/>
        <v>5.383620638717769E-2</v>
      </c>
    </row>
    <row r="3216" spans="1:14" x14ac:dyDescent="0.45">
      <c r="A3216" t="s">
        <v>5944</v>
      </c>
      <c r="B3216" s="1">
        <v>45045</v>
      </c>
      <c r="C3216" t="s">
        <v>5945</v>
      </c>
      <c r="D3216" t="s">
        <v>26</v>
      </c>
      <c r="E3216" t="s">
        <v>14</v>
      </c>
      <c r="F3216" t="s">
        <v>15</v>
      </c>
      <c r="G3216">
        <v>2</v>
      </c>
      <c r="H3216">
        <v>579.20000000000005</v>
      </c>
      <c r="I3216">
        <v>60.86</v>
      </c>
      <c r="J3216" t="s">
        <v>16</v>
      </c>
      <c r="K3216" t="s">
        <v>33</v>
      </c>
      <c r="L3216">
        <f t="shared" si="150"/>
        <v>2023</v>
      </c>
      <c r="M3216" t="str">
        <f t="shared" si="151"/>
        <v>Apr</v>
      </c>
      <c r="N3216" s="2">
        <f t="shared" si="152"/>
        <v>0.10507596685082872</v>
      </c>
    </row>
    <row r="3217" spans="1:14" x14ac:dyDescent="0.45">
      <c r="A3217" t="s">
        <v>5946</v>
      </c>
      <c r="B3217" s="1">
        <v>45540</v>
      </c>
      <c r="C3217" t="s">
        <v>5947</v>
      </c>
      <c r="D3217" t="s">
        <v>56</v>
      </c>
      <c r="E3217" t="s">
        <v>20</v>
      </c>
      <c r="F3217" t="s">
        <v>21</v>
      </c>
      <c r="G3217">
        <v>1</v>
      </c>
      <c r="H3217">
        <v>43445.62</v>
      </c>
      <c r="I3217">
        <v>4464.05</v>
      </c>
      <c r="J3217" t="s">
        <v>22</v>
      </c>
      <c r="K3217" t="s">
        <v>17</v>
      </c>
      <c r="L3217">
        <f t="shared" si="150"/>
        <v>2024</v>
      </c>
      <c r="M3217" t="str">
        <f t="shared" si="151"/>
        <v>Sep</v>
      </c>
      <c r="N3217" s="2">
        <f t="shared" si="152"/>
        <v>0.10275028875177751</v>
      </c>
    </row>
    <row r="3218" spans="1:14" x14ac:dyDescent="0.45">
      <c r="A3218" t="s">
        <v>5948</v>
      </c>
      <c r="B3218" s="1">
        <v>45281</v>
      </c>
      <c r="C3218" t="s">
        <v>5949</v>
      </c>
      <c r="D3218" t="s">
        <v>13</v>
      </c>
      <c r="E3218" t="s">
        <v>20</v>
      </c>
      <c r="F3218" t="s">
        <v>27</v>
      </c>
      <c r="G3218">
        <v>5</v>
      </c>
      <c r="H3218">
        <v>1933.94</v>
      </c>
      <c r="I3218">
        <v>249.07</v>
      </c>
      <c r="J3218" t="s">
        <v>22</v>
      </c>
      <c r="K3218" t="s">
        <v>33</v>
      </c>
      <c r="L3218">
        <f t="shared" si="150"/>
        <v>2023</v>
      </c>
      <c r="M3218" t="str">
        <f t="shared" si="151"/>
        <v>Dec</v>
      </c>
      <c r="N3218" s="2">
        <f t="shared" si="152"/>
        <v>0.12878889727706133</v>
      </c>
    </row>
    <row r="3219" spans="1:14" x14ac:dyDescent="0.45">
      <c r="A3219" t="s">
        <v>5950</v>
      </c>
      <c r="B3219" s="1">
        <v>44748</v>
      </c>
      <c r="C3219" t="s">
        <v>5951</v>
      </c>
      <c r="D3219" t="s">
        <v>56</v>
      </c>
      <c r="E3219" t="s">
        <v>14</v>
      </c>
      <c r="F3219" t="s">
        <v>32</v>
      </c>
      <c r="G3219">
        <v>5</v>
      </c>
      <c r="H3219">
        <v>30089.38</v>
      </c>
      <c r="I3219">
        <v>1659.96</v>
      </c>
      <c r="J3219" t="s">
        <v>47</v>
      </c>
      <c r="K3219" t="s">
        <v>23</v>
      </c>
      <c r="L3219">
        <f t="shared" si="150"/>
        <v>2022</v>
      </c>
      <c r="M3219" t="str">
        <f t="shared" si="151"/>
        <v>Jul</v>
      </c>
      <c r="N3219" s="2">
        <f t="shared" si="152"/>
        <v>5.5167637219510672E-2</v>
      </c>
    </row>
    <row r="3220" spans="1:14" x14ac:dyDescent="0.45">
      <c r="A3220" t="s">
        <v>5952</v>
      </c>
      <c r="B3220" s="1">
        <v>45057</v>
      </c>
      <c r="C3220" t="s">
        <v>1687</v>
      </c>
      <c r="D3220" t="s">
        <v>56</v>
      </c>
      <c r="E3220" t="s">
        <v>20</v>
      </c>
      <c r="F3220" t="s">
        <v>21</v>
      </c>
      <c r="G3220">
        <v>1</v>
      </c>
      <c r="H3220">
        <v>8367.86</v>
      </c>
      <c r="I3220">
        <v>566.63</v>
      </c>
      <c r="J3220" t="s">
        <v>28</v>
      </c>
      <c r="K3220" t="s">
        <v>17</v>
      </c>
      <c r="L3220">
        <f t="shared" si="150"/>
        <v>2023</v>
      </c>
      <c r="M3220" t="str">
        <f t="shared" si="151"/>
        <v>May</v>
      </c>
      <c r="N3220" s="2">
        <f t="shared" si="152"/>
        <v>6.7715043033702751E-2</v>
      </c>
    </row>
    <row r="3221" spans="1:14" x14ac:dyDescent="0.45">
      <c r="A3221" t="s">
        <v>5953</v>
      </c>
      <c r="B3221" s="1">
        <v>45318</v>
      </c>
      <c r="C3221" t="s">
        <v>3661</v>
      </c>
      <c r="D3221" t="s">
        <v>13</v>
      </c>
      <c r="E3221" t="s">
        <v>14</v>
      </c>
      <c r="F3221" t="s">
        <v>32</v>
      </c>
      <c r="G3221">
        <v>4</v>
      </c>
      <c r="H3221">
        <v>39870.97</v>
      </c>
      <c r="I3221">
        <v>9278.5400000000009</v>
      </c>
      <c r="J3221" t="s">
        <v>28</v>
      </c>
      <c r="K3221" t="s">
        <v>29</v>
      </c>
      <c r="L3221">
        <f t="shared" si="150"/>
        <v>2024</v>
      </c>
      <c r="M3221" t="str">
        <f t="shared" si="151"/>
        <v>Jan</v>
      </c>
      <c r="N3221" s="2">
        <f t="shared" si="152"/>
        <v>0.23271417775890579</v>
      </c>
    </row>
    <row r="3222" spans="1:14" x14ac:dyDescent="0.45">
      <c r="A3222" t="s">
        <v>5954</v>
      </c>
      <c r="B3222" s="1">
        <v>44650</v>
      </c>
      <c r="C3222" t="s">
        <v>5955</v>
      </c>
      <c r="D3222" t="s">
        <v>56</v>
      </c>
      <c r="E3222" t="s">
        <v>14</v>
      </c>
      <c r="F3222" t="s">
        <v>15</v>
      </c>
      <c r="G3222">
        <v>1</v>
      </c>
      <c r="H3222">
        <v>11219.45</v>
      </c>
      <c r="I3222">
        <v>2177.87</v>
      </c>
      <c r="J3222" t="s">
        <v>16</v>
      </c>
      <c r="K3222" t="s">
        <v>23</v>
      </c>
      <c r="L3222">
        <f t="shared" si="150"/>
        <v>2022</v>
      </c>
      <c r="M3222" t="str">
        <f t="shared" si="151"/>
        <v>Mar</v>
      </c>
      <c r="N3222" s="2">
        <f t="shared" si="152"/>
        <v>0.19411557607547605</v>
      </c>
    </row>
    <row r="3223" spans="1:14" x14ac:dyDescent="0.45">
      <c r="A3223" t="s">
        <v>5956</v>
      </c>
      <c r="B3223" s="1">
        <v>44587</v>
      </c>
      <c r="C3223" t="s">
        <v>3381</v>
      </c>
      <c r="D3223" t="s">
        <v>26</v>
      </c>
      <c r="E3223" t="s">
        <v>20</v>
      </c>
      <c r="F3223" t="s">
        <v>43</v>
      </c>
      <c r="G3223">
        <v>3</v>
      </c>
      <c r="H3223">
        <v>10020.1</v>
      </c>
      <c r="I3223">
        <v>1153.55</v>
      </c>
      <c r="J3223" t="s">
        <v>16</v>
      </c>
      <c r="K3223" t="s">
        <v>23</v>
      </c>
      <c r="L3223">
        <f t="shared" si="150"/>
        <v>2022</v>
      </c>
      <c r="M3223" t="str">
        <f t="shared" si="151"/>
        <v>Jan</v>
      </c>
      <c r="N3223" s="2">
        <f t="shared" si="152"/>
        <v>0.11512360156086265</v>
      </c>
    </row>
    <row r="3224" spans="1:14" x14ac:dyDescent="0.45">
      <c r="A3224" t="s">
        <v>5957</v>
      </c>
      <c r="B3224" s="1">
        <v>45066</v>
      </c>
      <c r="C3224" t="s">
        <v>5958</v>
      </c>
      <c r="D3224" t="s">
        <v>26</v>
      </c>
      <c r="E3224" t="s">
        <v>14</v>
      </c>
      <c r="F3224" t="s">
        <v>32</v>
      </c>
      <c r="G3224">
        <v>1</v>
      </c>
      <c r="H3224">
        <v>38822.67</v>
      </c>
      <c r="I3224">
        <v>4197.74</v>
      </c>
      <c r="J3224" t="s">
        <v>28</v>
      </c>
      <c r="K3224" t="s">
        <v>17</v>
      </c>
      <c r="L3224">
        <f t="shared" si="150"/>
        <v>2023</v>
      </c>
      <c r="M3224" t="str">
        <f t="shared" si="151"/>
        <v>May</v>
      </c>
      <c r="N3224" s="2">
        <f t="shared" si="152"/>
        <v>0.10812599957705124</v>
      </c>
    </row>
    <row r="3225" spans="1:14" x14ac:dyDescent="0.45">
      <c r="A3225" t="s">
        <v>5959</v>
      </c>
      <c r="B3225" s="1">
        <v>45645</v>
      </c>
      <c r="C3225" t="s">
        <v>5960</v>
      </c>
      <c r="D3225" t="s">
        <v>26</v>
      </c>
      <c r="E3225" t="s">
        <v>20</v>
      </c>
      <c r="F3225" t="s">
        <v>21</v>
      </c>
      <c r="G3225">
        <v>1</v>
      </c>
      <c r="H3225">
        <v>45098.81</v>
      </c>
      <c r="I3225">
        <v>5748.48</v>
      </c>
      <c r="J3225" t="s">
        <v>22</v>
      </c>
      <c r="K3225" t="s">
        <v>17</v>
      </c>
      <c r="L3225">
        <f t="shared" si="150"/>
        <v>2024</v>
      </c>
      <c r="M3225" t="str">
        <f t="shared" si="151"/>
        <v>Dec</v>
      </c>
      <c r="N3225" s="2">
        <f t="shared" si="152"/>
        <v>0.1274641171241547</v>
      </c>
    </row>
    <row r="3226" spans="1:14" x14ac:dyDescent="0.45">
      <c r="A3226" t="s">
        <v>5961</v>
      </c>
      <c r="B3226" s="1">
        <v>44834</v>
      </c>
      <c r="C3226" t="s">
        <v>2541</v>
      </c>
      <c r="D3226" t="s">
        <v>26</v>
      </c>
      <c r="E3226" t="s">
        <v>14</v>
      </c>
      <c r="F3226" t="s">
        <v>32</v>
      </c>
      <c r="G3226">
        <v>1</v>
      </c>
      <c r="H3226">
        <v>46658.080000000002</v>
      </c>
      <c r="I3226">
        <v>4283.25</v>
      </c>
      <c r="J3226" t="s">
        <v>16</v>
      </c>
      <c r="K3226" t="s">
        <v>29</v>
      </c>
      <c r="L3226">
        <f t="shared" si="150"/>
        <v>2022</v>
      </c>
      <c r="M3226" t="str">
        <f t="shared" si="151"/>
        <v>Sep</v>
      </c>
      <c r="N3226" s="2">
        <f t="shared" si="152"/>
        <v>9.1800819922294274E-2</v>
      </c>
    </row>
    <row r="3227" spans="1:14" x14ac:dyDescent="0.45">
      <c r="A3227" t="s">
        <v>5962</v>
      </c>
      <c r="B3227" s="1">
        <v>44675</v>
      </c>
      <c r="C3227" t="s">
        <v>5963</v>
      </c>
      <c r="D3227" t="s">
        <v>13</v>
      </c>
      <c r="E3227" t="s">
        <v>14</v>
      </c>
      <c r="F3227" t="s">
        <v>57</v>
      </c>
      <c r="G3227">
        <v>1</v>
      </c>
      <c r="H3227">
        <v>3976.02</v>
      </c>
      <c r="I3227">
        <v>382.75</v>
      </c>
      <c r="J3227" t="s">
        <v>16</v>
      </c>
      <c r="K3227" t="s">
        <v>29</v>
      </c>
      <c r="L3227">
        <f t="shared" si="150"/>
        <v>2022</v>
      </c>
      <c r="M3227" t="str">
        <f t="shared" si="151"/>
        <v>Apr</v>
      </c>
      <c r="N3227" s="2">
        <f t="shared" si="152"/>
        <v>9.6264606314857573E-2</v>
      </c>
    </row>
    <row r="3228" spans="1:14" x14ac:dyDescent="0.45">
      <c r="A3228" t="s">
        <v>5964</v>
      </c>
      <c r="B3228" s="1">
        <v>45654</v>
      </c>
      <c r="C3228" t="s">
        <v>5965</v>
      </c>
      <c r="D3228" t="s">
        <v>26</v>
      </c>
      <c r="E3228" t="s">
        <v>36</v>
      </c>
      <c r="F3228" t="s">
        <v>53</v>
      </c>
      <c r="G3228">
        <v>2</v>
      </c>
      <c r="H3228">
        <v>5839.19</v>
      </c>
      <c r="I3228">
        <v>555.96</v>
      </c>
      <c r="J3228" t="s">
        <v>28</v>
      </c>
      <c r="K3228" t="s">
        <v>29</v>
      </c>
      <c r="L3228">
        <f t="shared" si="150"/>
        <v>2024</v>
      </c>
      <c r="M3228" t="str">
        <f t="shared" si="151"/>
        <v>Dec</v>
      </c>
      <c r="N3228" s="2">
        <f t="shared" si="152"/>
        <v>9.521183588819683E-2</v>
      </c>
    </row>
    <row r="3229" spans="1:14" x14ac:dyDescent="0.45">
      <c r="A3229" t="s">
        <v>5966</v>
      </c>
      <c r="B3229" s="1">
        <v>45195</v>
      </c>
      <c r="C3229" t="s">
        <v>5967</v>
      </c>
      <c r="D3229" t="s">
        <v>13</v>
      </c>
      <c r="E3229" t="s">
        <v>20</v>
      </c>
      <c r="F3229" t="s">
        <v>50</v>
      </c>
      <c r="G3229">
        <v>4</v>
      </c>
      <c r="H3229">
        <v>24250</v>
      </c>
      <c r="I3229">
        <v>3873.98</v>
      </c>
      <c r="J3229" t="s">
        <v>71</v>
      </c>
      <c r="K3229" t="s">
        <v>23</v>
      </c>
      <c r="L3229">
        <f t="shared" si="150"/>
        <v>2023</v>
      </c>
      <c r="M3229" t="str">
        <f t="shared" si="151"/>
        <v>Sep</v>
      </c>
      <c r="N3229" s="2">
        <f t="shared" si="152"/>
        <v>0.15975175257731958</v>
      </c>
    </row>
    <row r="3230" spans="1:14" x14ac:dyDescent="0.45">
      <c r="A3230" t="s">
        <v>5968</v>
      </c>
      <c r="B3230" s="1">
        <v>45213</v>
      </c>
      <c r="C3230" t="s">
        <v>5192</v>
      </c>
      <c r="D3230" t="s">
        <v>13</v>
      </c>
      <c r="E3230" t="s">
        <v>20</v>
      </c>
      <c r="F3230" t="s">
        <v>43</v>
      </c>
      <c r="G3230">
        <v>1</v>
      </c>
      <c r="H3230">
        <v>25352.95</v>
      </c>
      <c r="I3230">
        <v>3283.05</v>
      </c>
      <c r="J3230" t="s">
        <v>22</v>
      </c>
      <c r="K3230" t="s">
        <v>23</v>
      </c>
      <c r="L3230">
        <f t="shared" si="150"/>
        <v>2023</v>
      </c>
      <c r="M3230" t="str">
        <f t="shared" si="151"/>
        <v>Oct</v>
      </c>
      <c r="N3230" s="2">
        <f t="shared" si="152"/>
        <v>0.12949380644067063</v>
      </c>
    </row>
    <row r="3231" spans="1:14" x14ac:dyDescent="0.45">
      <c r="A3231" t="s">
        <v>5969</v>
      </c>
      <c r="B3231" s="1">
        <v>44936</v>
      </c>
      <c r="C3231" t="s">
        <v>5970</v>
      </c>
      <c r="D3231" t="s">
        <v>13</v>
      </c>
      <c r="E3231" t="s">
        <v>14</v>
      </c>
      <c r="F3231" t="s">
        <v>40</v>
      </c>
      <c r="G3231">
        <v>1</v>
      </c>
      <c r="H3231">
        <v>24388.7</v>
      </c>
      <c r="I3231">
        <v>2546.0700000000002</v>
      </c>
      <c r="J3231" t="s">
        <v>47</v>
      </c>
      <c r="K3231" t="s">
        <v>17</v>
      </c>
      <c r="L3231">
        <f t="shared" si="150"/>
        <v>2023</v>
      </c>
      <c r="M3231" t="str">
        <f t="shared" si="151"/>
        <v>Jan</v>
      </c>
      <c r="N3231" s="2">
        <f t="shared" si="152"/>
        <v>0.1043954782337722</v>
      </c>
    </row>
    <row r="3232" spans="1:14" x14ac:dyDescent="0.45">
      <c r="A3232" t="s">
        <v>5971</v>
      </c>
      <c r="B3232" s="1">
        <v>45234</v>
      </c>
      <c r="C3232" t="s">
        <v>5972</v>
      </c>
      <c r="D3232" t="s">
        <v>26</v>
      </c>
      <c r="E3232" t="s">
        <v>14</v>
      </c>
      <c r="F3232" t="s">
        <v>40</v>
      </c>
      <c r="G3232">
        <v>1</v>
      </c>
      <c r="H3232">
        <v>24833.81</v>
      </c>
      <c r="I3232">
        <v>5352.44</v>
      </c>
      <c r="J3232" t="s">
        <v>16</v>
      </c>
      <c r="K3232" t="s">
        <v>23</v>
      </c>
      <c r="L3232">
        <f t="shared" si="150"/>
        <v>2023</v>
      </c>
      <c r="M3232" t="str">
        <f t="shared" si="151"/>
        <v>Nov</v>
      </c>
      <c r="N3232" s="2">
        <f t="shared" si="152"/>
        <v>0.21553035961860059</v>
      </c>
    </row>
    <row r="3233" spans="1:14" x14ac:dyDescent="0.45">
      <c r="A3233" t="s">
        <v>5973</v>
      </c>
      <c r="B3233" s="1">
        <v>44659</v>
      </c>
      <c r="C3233" t="s">
        <v>5974</v>
      </c>
      <c r="D3233" t="s">
        <v>13</v>
      </c>
      <c r="E3233" t="s">
        <v>36</v>
      </c>
      <c r="F3233" t="s">
        <v>37</v>
      </c>
      <c r="G3233">
        <v>5</v>
      </c>
      <c r="H3233">
        <v>15138.98</v>
      </c>
      <c r="I3233">
        <v>2005.02</v>
      </c>
      <c r="J3233" t="s">
        <v>16</v>
      </c>
      <c r="K3233" t="s">
        <v>33</v>
      </c>
      <c r="L3233">
        <f t="shared" si="150"/>
        <v>2022</v>
      </c>
      <c r="M3233" t="str">
        <f t="shared" si="151"/>
        <v>Apr</v>
      </c>
      <c r="N3233" s="2">
        <f t="shared" si="152"/>
        <v>0.13244089099794043</v>
      </c>
    </row>
    <row r="3234" spans="1:14" x14ac:dyDescent="0.45">
      <c r="A3234" t="s">
        <v>5975</v>
      </c>
      <c r="B3234" s="1">
        <v>45163</v>
      </c>
      <c r="C3234" t="s">
        <v>5976</v>
      </c>
      <c r="D3234" t="s">
        <v>13</v>
      </c>
      <c r="E3234" t="s">
        <v>20</v>
      </c>
      <c r="F3234" t="s">
        <v>27</v>
      </c>
      <c r="G3234">
        <v>5</v>
      </c>
      <c r="H3234">
        <v>1631.92</v>
      </c>
      <c r="I3234">
        <v>341.61</v>
      </c>
      <c r="J3234" t="s">
        <v>28</v>
      </c>
      <c r="K3234" t="s">
        <v>17</v>
      </c>
      <c r="L3234">
        <f t="shared" si="150"/>
        <v>2023</v>
      </c>
      <c r="M3234" t="str">
        <f t="shared" si="151"/>
        <v>Aug</v>
      </c>
      <c r="N3234" s="2">
        <f t="shared" si="152"/>
        <v>0.20933011422128536</v>
      </c>
    </row>
    <row r="3235" spans="1:14" x14ac:dyDescent="0.45">
      <c r="A3235" t="s">
        <v>5977</v>
      </c>
      <c r="B3235" s="1">
        <v>45111</v>
      </c>
      <c r="C3235" t="s">
        <v>5978</v>
      </c>
      <c r="D3235" t="s">
        <v>13</v>
      </c>
      <c r="E3235" t="s">
        <v>14</v>
      </c>
      <c r="F3235" t="s">
        <v>32</v>
      </c>
      <c r="G3235">
        <v>1</v>
      </c>
      <c r="H3235">
        <v>41746.080000000002</v>
      </c>
      <c r="I3235">
        <v>5420.37</v>
      </c>
      <c r="J3235" t="s">
        <v>16</v>
      </c>
      <c r="K3235" t="s">
        <v>29</v>
      </c>
      <c r="L3235">
        <f t="shared" si="150"/>
        <v>2023</v>
      </c>
      <c r="M3235" t="str">
        <f t="shared" si="151"/>
        <v>Jul</v>
      </c>
      <c r="N3235" s="2">
        <f t="shared" si="152"/>
        <v>0.12984141265479296</v>
      </c>
    </row>
    <row r="3236" spans="1:14" x14ac:dyDescent="0.45">
      <c r="A3236" t="s">
        <v>5979</v>
      </c>
      <c r="B3236" s="1">
        <v>45257</v>
      </c>
      <c r="C3236" t="s">
        <v>5980</v>
      </c>
      <c r="D3236" t="s">
        <v>56</v>
      </c>
      <c r="E3236" t="s">
        <v>14</v>
      </c>
      <c r="F3236" t="s">
        <v>40</v>
      </c>
      <c r="G3236">
        <v>5</v>
      </c>
      <c r="H3236">
        <v>17235.93</v>
      </c>
      <c r="I3236">
        <v>1780.43</v>
      </c>
      <c r="J3236" t="s">
        <v>28</v>
      </c>
      <c r="K3236" t="s">
        <v>17</v>
      </c>
      <c r="L3236">
        <f t="shared" si="150"/>
        <v>2023</v>
      </c>
      <c r="M3236" t="str">
        <f t="shared" si="151"/>
        <v>Nov</v>
      </c>
      <c r="N3236" s="2">
        <f t="shared" si="152"/>
        <v>0.10329758823573779</v>
      </c>
    </row>
    <row r="3237" spans="1:14" x14ac:dyDescent="0.45">
      <c r="A3237" t="s">
        <v>5981</v>
      </c>
      <c r="B3237" s="1">
        <v>45584</v>
      </c>
      <c r="C3237" t="s">
        <v>5982</v>
      </c>
      <c r="D3237" t="s">
        <v>56</v>
      </c>
      <c r="E3237" t="s">
        <v>14</v>
      </c>
      <c r="F3237" t="s">
        <v>40</v>
      </c>
      <c r="G3237">
        <v>4</v>
      </c>
      <c r="H3237">
        <v>45672.01</v>
      </c>
      <c r="I3237">
        <v>8309.5</v>
      </c>
      <c r="J3237" t="s">
        <v>16</v>
      </c>
      <c r="K3237" t="s">
        <v>29</v>
      </c>
      <c r="L3237">
        <f t="shared" si="150"/>
        <v>2024</v>
      </c>
      <c r="M3237" t="str">
        <f t="shared" si="151"/>
        <v>Oct</v>
      </c>
      <c r="N3237" s="2">
        <f t="shared" si="152"/>
        <v>0.18193856587437249</v>
      </c>
    </row>
    <row r="3238" spans="1:14" x14ac:dyDescent="0.45">
      <c r="A3238" t="s">
        <v>5983</v>
      </c>
      <c r="B3238" s="1">
        <v>44767</v>
      </c>
      <c r="C3238" t="s">
        <v>5984</v>
      </c>
      <c r="D3238" t="s">
        <v>13</v>
      </c>
      <c r="E3238" t="s">
        <v>14</v>
      </c>
      <c r="F3238" t="s">
        <v>57</v>
      </c>
      <c r="G3238">
        <v>3</v>
      </c>
      <c r="H3238">
        <v>38459.58</v>
      </c>
      <c r="I3238">
        <v>4927.34</v>
      </c>
      <c r="J3238" t="s">
        <v>47</v>
      </c>
      <c r="K3238" t="s">
        <v>23</v>
      </c>
      <c r="L3238">
        <f t="shared" si="150"/>
        <v>2022</v>
      </c>
      <c r="M3238" t="str">
        <f t="shared" si="151"/>
        <v>Jul</v>
      </c>
      <c r="N3238" s="2">
        <f t="shared" si="152"/>
        <v>0.12811736373616145</v>
      </c>
    </row>
    <row r="3239" spans="1:14" x14ac:dyDescent="0.45">
      <c r="A3239" t="s">
        <v>5985</v>
      </c>
      <c r="B3239" s="1">
        <v>45382</v>
      </c>
      <c r="C3239" t="s">
        <v>5986</v>
      </c>
      <c r="D3239" t="s">
        <v>26</v>
      </c>
      <c r="E3239" t="s">
        <v>36</v>
      </c>
      <c r="F3239" t="s">
        <v>46</v>
      </c>
      <c r="G3239">
        <v>2</v>
      </c>
      <c r="H3239">
        <v>34829.379999999997</v>
      </c>
      <c r="I3239">
        <v>6325.06</v>
      </c>
      <c r="J3239" t="s">
        <v>28</v>
      </c>
      <c r="K3239" t="s">
        <v>29</v>
      </c>
      <c r="L3239">
        <f t="shared" si="150"/>
        <v>2024</v>
      </c>
      <c r="M3239" t="str">
        <f t="shared" si="151"/>
        <v>Mar</v>
      </c>
      <c r="N3239" s="2">
        <f t="shared" si="152"/>
        <v>0.18160128029841474</v>
      </c>
    </row>
    <row r="3240" spans="1:14" x14ac:dyDescent="0.45">
      <c r="A3240" t="s">
        <v>5987</v>
      </c>
      <c r="B3240" s="1">
        <v>45257</v>
      </c>
      <c r="C3240" t="s">
        <v>1998</v>
      </c>
      <c r="D3240" t="s">
        <v>26</v>
      </c>
      <c r="E3240" t="s">
        <v>20</v>
      </c>
      <c r="F3240" t="s">
        <v>27</v>
      </c>
      <c r="G3240">
        <v>2</v>
      </c>
      <c r="H3240">
        <v>48662.16</v>
      </c>
      <c r="I3240">
        <v>3381.51</v>
      </c>
      <c r="J3240" t="s">
        <v>47</v>
      </c>
      <c r="K3240" t="s">
        <v>17</v>
      </c>
      <c r="L3240">
        <f t="shared" si="150"/>
        <v>2023</v>
      </c>
      <c r="M3240" t="str">
        <f t="shared" si="151"/>
        <v>Nov</v>
      </c>
      <c r="N3240" s="2">
        <f t="shared" si="152"/>
        <v>6.9489517111447574E-2</v>
      </c>
    </row>
    <row r="3241" spans="1:14" x14ac:dyDescent="0.45">
      <c r="A3241" t="s">
        <v>5988</v>
      </c>
      <c r="B3241" s="1">
        <v>45003</v>
      </c>
      <c r="C3241" t="s">
        <v>5989</v>
      </c>
      <c r="D3241" t="s">
        <v>13</v>
      </c>
      <c r="E3241" t="s">
        <v>36</v>
      </c>
      <c r="F3241" t="s">
        <v>64</v>
      </c>
      <c r="G3241">
        <v>3</v>
      </c>
      <c r="H3241">
        <v>49294.720000000001</v>
      </c>
      <c r="I3241">
        <v>9206.93</v>
      </c>
      <c r="J3241" t="s">
        <v>28</v>
      </c>
      <c r="K3241" t="s">
        <v>33</v>
      </c>
      <c r="L3241">
        <f t="shared" si="150"/>
        <v>2023</v>
      </c>
      <c r="M3241" t="str">
        <f t="shared" si="151"/>
        <v>Mar</v>
      </c>
      <c r="N3241" s="2">
        <f t="shared" si="152"/>
        <v>0.18677314730664865</v>
      </c>
    </row>
    <row r="3242" spans="1:14" x14ac:dyDescent="0.45">
      <c r="A3242" t="s">
        <v>5990</v>
      </c>
      <c r="B3242" s="1">
        <v>45336</v>
      </c>
      <c r="C3242" t="s">
        <v>5576</v>
      </c>
      <c r="D3242" t="s">
        <v>26</v>
      </c>
      <c r="E3242" t="s">
        <v>20</v>
      </c>
      <c r="F3242" t="s">
        <v>43</v>
      </c>
      <c r="G3242">
        <v>3</v>
      </c>
      <c r="H3242">
        <v>35450.22</v>
      </c>
      <c r="I3242">
        <v>5729.31</v>
      </c>
      <c r="J3242" t="s">
        <v>47</v>
      </c>
      <c r="K3242" t="s">
        <v>17</v>
      </c>
      <c r="L3242">
        <f t="shared" si="150"/>
        <v>2024</v>
      </c>
      <c r="M3242" t="str">
        <f t="shared" si="151"/>
        <v>Feb</v>
      </c>
      <c r="N3242" s="2">
        <f t="shared" si="152"/>
        <v>0.16161564018502567</v>
      </c>
    </row>
    <row r="3243" spans="1:14" x14ac:dyDescent="0.45">
      <c r="A3243" t="s">
        <v>5991</v>
      </c>
      <c r="B3243" s="1">
        <v>45425</v>
      </c>
      <c r="C3243" t="s">
        <v>5992</v>
      </c>
      <c r="D3243" t="s">
        <v>13</v>
      </c>
      <c r="E3243" t="s">
        <v>36</v>
      </c>
      <c r="F3243" t="s">
        <v>46</v>
      </c>
      <c r="G3243">
        <v>5</v>
      </c>
      <c r="H3243">
        <v>34001.410000000003</v>
      </c>
      <c r="I3243">
        <v>4885.88</v>
      </c>
      <c r="J3243" t="s">
        <v>22</v>
      </c>
      <c r="K3243" t="s">
        <v>23</v>
      </c>
      <c r="L3243">
        <f t="shared" si="150"/>
        <v>2024</v>
      </c>
      <c r="M3243" t="str">
        <f t="shared" si="151"/>
        <v>May</v>
      </c>
      <c r="N3243" s="2">
        <f t="shared" si="152"/>
        <v>0.14369639376719964</v>
      </c>
    </row>
    <row r="3244" spans="1:14" x14ac:dyDescent="0.45">
      <c r="A3244" t="s">
        <v>5993</v>
      </c>
      <c r="B3244" s="1">
        <v>45607</v>
      </c>
      <c r="C3244" t="s">
        <v>818</v>
      </c>
      <c r="D3244" t="s">
        <v>13</v>
      </c>
      <c r="E3244" t="s">
        <v>14</v>
      </c>
      <c r="F3244" t="s">
        <v>40</v>
      </c>
      <c r="G3244">
        <v>3</v>
      </c>
      <c r="H3244">
        <v>34047.089999999997</v>
      </c>
      <c r="I3244">
        <v>8294.5</v>
      </c>
      <c r="J3244" t="s">
        <v>22</v>
      </c>
      <c r="K3244" t="s">
        <v>33</v>
      </c>
      <c r="L3244">
        <f t="shared" si="150"/>
        <v>2024</v>
      </c>
      <c r="M3244" t="str">
        <f t="shared" si="151"/>
        <v>Nov</v>
      </c>
      <c r="N3244" s="2">
        <f t="shared" si="152"/>
        <v>0.24361847077092347</v>
      </c>
    </row>
    <row r="3245" spans="1:14" x14ac:dyDescent="0.45">
      <c r="A3245" t="s">
        <v>5994</v>
      </c>
      <c r="B3245" s="1">
        <v>44792</v>
      </c>
      <c r="C3245" t="s">
        <v>5995</v>
      </c>
      <c r="D3245" t="s">
        <v>26</v>
      </c>
      <c r="E3245" t="s">
        <v>20</v>
      </c>
      <c r="F3245" t="s">
        <v>27</v>
      </c>
      <c r="G3245">
        <v>5</v>
      </c>
      <c r="H3245">
        <v>18397.71</v>
      </c>
      <c r="I3245">
        <v>4248.3100000000004</v>
      </c>
      <c r="J3245" t="s">
        <v>16</v>
      </c>
      <c r="K3245" t="s">
        <v>23</v>
      </c>
      <c r="L3245">
        <f t="shared" si="150"/>
        <v>2022</v>
      </c>
      <c r="M3245" t="str">
        <f t="shared" si="151"/>
        <v>Aug</v>
      </c>
      <c r="N3245" s="2">
        <f t="shared" si="152"/>
        <v>0.23091515194010562</v>
      </c>
    </row>
    <row r="3246" spans="1:14" x14ac:dyDescent="0.45">
      <c r="A3246" t="s">
        <v>5996</v>
      </c>
      <c r="B3246" s="1">
        <v>45226</v>
      </c>
      <c r="C3246" t="s">
        <v>5997</v>
      </c>
      <c r="D3246" t="s">
        <v>56</v>
      </c>
      <c r="E3246" t="s">
        <v>20</v>
      </c>
      <c r="F3246" t="s">
        <v>50</v>
      </c>
      <c r="G3246">
        <v>3</v>
      </c>
      <c r="H3246">
        <v>40164.33</v>
      </c>
      <c r="I3246">
        <v>2377.6799999999998</v>
      </c>
      <c r="J3246" t="s">
        <v>71</v>
      </c>
      <c r="K3246" t="s">
        <v>17</v>
      </c>
      <c r="L3246">
        <f t="shared" si="150"/>
        <v>2023</v>
      </c>
      <c r="M3246" t="str">
        <f t="shared" si="151"/>
        <v>Oct</v>
      </c>
      <c r="N3246" s="2">
        <f t="shared" si="152"/>
        <v>5.9198796544097702E-2</v>
      </c>
    </row>
    <row r="3247" spans="1:14" x14ac:dyDescent="0.45">
      <c r="A3247" t="s">
        <v>5998</v>
      </c>
      <c r="B3247" s="1">
        <v>45405</v>
      </c>
      <c r="C3247" t="s">
        <v>5999</v>
      </c>
      <c r="D3247" t="s">
        <v>26</v>
      </c>
      <c r="E3247" t="s">
        <v>36</v>
      </c>
      <c r="F3247" t="s">
        <v>46</v>
      </c>
      <c r="G3247">
        <v>1</v>
      </c>
      <c r="H3247">
        <v>22436.86</v>
      </c>
      <c r="I3247">
        <v>4255.6000000000004</v>
      </c>
      <c r="J3247" t="s">
        <v>71</v>
      </c>
      <c r="K3247" t="s">
        <v>17</v>
      </c>
      <c r="L3247">
        <f t="shared" si="150"/>
        <v>2024</v>
      </c>
      <c r="M3247" t="str">
        <f t="shared" si="151"/>
        <v>Apr</v>
      </c>
      <c r="N3247" s="2">
        <f t="shared" si="152"/>
        <v>0.18967003404219665</v>
      </c>
    </row>
    <row r="3248" spans="1:14" x14ac:dyDescent="0.45">
      <c r="A3248" t="s">
        <v>6000</v>
      </c>
      <c r="B3248" s="1">
        <v>45463</v>
      </c>
      <c r="C3248" t="s">
        <v>4486</v>
      </c>
      <c r="D3248" t="s">
        <v>26</v>
      </c>
      <c r="E3248" t="s">
        <v>14</v>
      </c>
      <c r="F3248" t="s">
        <v>15</v>
      </c>
      <c r="G3248">
        <v>4</v>
      </c>
      <c r="H3248">
        <v>13583.95</v>
      </c>
      <c r="I3248">
        <v>908.5</v>
      </c>
      <c r="J3248" t="s">
        <v>22</v>
      </c>
      <c r="K3248" t="s">
        <v>17</v>
      </c>
      <c r="L3248">
        <f t="shared" si="150"/>
        <v>2024</v>
      </c>
      <c r="M3248" t="str">
        <f t="shared" si="151"/>
        <v>Jun</v>
      </c>
      <c r="N3248" s="2">
        <f t="shared" si="152"/>
        <v>6.6880399294755935E-2</v>
      </c>
    </row>
    <row r="3249" spans="1:14" x14ac:dyDescent="0.45">
      <c r="A3249" t="s">
        <v>6001</v>
      </c>
      <c r="B3249" s="1">
        <v>45446</v>
      </c>
      <c r="C3249" t="s">
        <v>6002</v>
      </c>
      <c r="D3249" t="s">
        <v>13</v>
      </c>
      <c r="E3249" t="s">
        <v>36</v>
      </c>
      <c r="F3249" t="s">
        <v>53</v>
      </c>
      <c r="G3249">
        <v>5</v>
      </c>
      <c r="H3249">
        <v>24171.56</v>
      </c>
      <c r="I3249">
        <v>5643.8</v>
      </c>
      <c r="J3249" t="s">
        <v>47</v>
      </c>
      <c r="K3249" t="s">
        <v>29</v>
      </c>
      <c r="L3249">
        <f t="shared" si="150"/>
        <v>2024</v>
      </c>
      <c r="M3249" t="str">
        <f t="shared" si="151"/>
        <v>Jun</v>
      </c>
      <c r="N3249" s="2">
        <f t="shared" si="152"/>
        <v>0.23348927417179527</v>
      </c>
    </row>
    <row r="3250" spans="1:14" x14ac:dyDescent="0.45">
      <c r="A3250" t="s">
        <v>6003</v>
      </c>
      <c r="B3250" s="1">
        <v>44844</v>
      </c>
      <c r="C3250" t="s">
        <v>6004</v>
      </c>
      <c r="D3250" t="s">
        <v>26</v>
      </c>
      <c r="E3250" t="s">
        <v>20</v>
      </c>
      <c r="F3250" t="s">
        <v>21</v>
      </c>
      <c r="G3250">
        <v>1</v>
      </c>
      <c r="H3250">
        <v>47650.52</v>
      </c>
      <c r="I3250">
        <v>10508.52</v>
      </c>
      <c r="J3250" t="s">
        <v>71</v>
      </c>
      <c r="K3250" t="s">
        <v>29</v>
      </c>
      <c r="L3250">
        <f t="shared" si="150"/>
        <v>2022</v>
      </c>
      <c r="M3250" t="str">
        <f t="shared" si="151"/>
        <v>Oct</v>
      </c>
      <c r="N3250" s="2">
        <f t="shared" si="152"/>
        <v>0.22053316522044253</v>
      </c>
    </row>
    <row r="3251" spans="1:14" x14ac:dyDescent="0.45">
      <c r="A3251" t="s">
        <v>6005</v>
      </c>
      <c r="B3251" s="1">
        <v>45052</v>
      </c>
      <c r="C3251" t="s">
        <v>4066</v>
      </c>
      <c r="D3251" t="s">
        <v>13</v>
      </c>
      <c r="E3251" t="s">
        <v>20</v>
      </c>
      <c r="F3251" t="s">
        <v>21</v>
      </c>
      <c r="G3251">
        <v>4</v>
      </c>
      <c r="H3251">
        <v>46897.09</v>
      </c>
      <c r="I3251">
        <v>2708.1</v>
      </c>
      <c r="J3251" t="s">
        <v>16</v>
      </c>
      <c r="K3251" t="s">
        <v>29</v>
      </c>
      <c r="L3251">
        <f t="shared" si="150"/>
        <v>2023</v>
      </c>
      <c r="M3251" t="str">
        <f t="shared" si="151"/>
        <v>May</v>
      </c>
      <c r="N3251" s="2">
        <f t="shared" si="152"/>
        <v>5.7745587199546929E-2</v>
      </c>
    </row>
    <row r="3252" spans="1:14" x14ac:dyDescent="0.45">
      <c r="A3252" t="s">
        <v>6006</v>
      </c>
      <c r="B3252" s="1">
        <v>45359</v>
      </c>
      <c r="C3252" t="s">
        <v>6007</v>
      </c>
      <c r="D3252" t="s">
        <v>13</v>
      </c>
      <c r="E3252" t="s">
        <v>36</v>
      </c>
      <c r="F3252" t="s">
        <v>64</v>
      </c>
      <c r="G3252">
        <v>2</v>
      </c>
      <c r="H3252">
        <v>2769.13</v>
      </c>
      <c r="I3252">
        <v>613.97</v>
      </c>
      <c r="J3252" t="s">
        <v>47</v>
      </c>
      <c r="K3252" t="s">
        <v>29</v>
      </c>
      <c r="L3252">
        <f t="shared" si="150"/>
        <v>2024</v>
      </c>
      <c r="M3252" t="str">
        <f t="shared" si="151"/>
        <v>Mar</v>
      </c>
      <c r="N3252" s="2">
        <f t="shared" si="152"/>
        <v>0.22171945701357465</v>
      </c>
    </row>
    <row r="3253" spans="1:14" x14ac:dyDescent="0.45">
      <c r="A3253" t="s">
        <v>6008</v>
      </c>
      <c r="B3253" s="1">
        <v>44914</v>
      </c>
      <c r="C3253" t="s">
        <v>6009</v>
      </c>
      <c r="D3253" t="s">
        <v>56</v>
      </c>
      <c r="E3253" t="s">
        <v>36</v>
      </c>
      <c r="F3253" t="s">
        <v>37</v>
      </c>
      <c r="G3253">
        <v>2</v>
      </c>
      <c r="H3253">
        <v>16067.51</v>
      </c>
      <c r="I3253">
        <v>1659.12</v>
      </c>
      <c r="J3253" t="s">
        <v>71</v>
      </c>
      <c r="K3253" t="s">
        <v>29</v>
      </c>
      <c r="L3253">
        <f t="shared" si="150"/>
        <v>2022</v>
      </c>
      <c r="M3253" t="str">
        <f t="shared" si="151"/>
        <v>Dec</v>
      </c>
      <c r="N3253" s="2">
        <f t="shared" si="152"/>
        <v>0.10325931024782309</v>
      </c>
    </row>
    <row r="3254" spans="1:14" x14ac:dyDescent="0.45">
      <c r="A3254" t="s">
        <v>6010</v>
      </c>
      <c r="B3254" s="1">
        <v>45575</v>
      </c>
      <c r="C3254" t="s">
        <v>6011</v>
      </c>
      <c r="D3254" t="s">
        <v>56</v>
      </c>
      <c r="E3254" t="s">
        <v>14</v>
      </c>
      <c r="F3254" t="s">
        <v>32</v>
      </c>
      <c r="G3254">
        <v>3</v>
      </c>
      <c r="H3254">
        <v>11471.34</v>
      </c>
      <c r="I3254">
        <v>897.34</v>
      </c>
      <c r="J3254" t="s">
        <v>71</v>
      </c>
      <c r="K3254" t="s">
        <v>17</v>
      </c>
      <c r="L3254">
        <f t="shared" si="150"/>
        <v>2024</v>
      </c>
      <c r="M3254" t="str">
        <f t="shared" si="151"/>
        <v>Oct</v>
      </c>
      <c r="N3254" s="2">
        <f t="shared" si="152"/>
        <v>7.8224514311318466E-2</v>
      </c>
    </row>
    <row r="3255" spans="1:14" x14ac:dyDescent="0.45">
      <c r="A3255" t="s">
        <v>6012</v>
      </c>
      <c r="B3255" s="1">
        <v>45340</v>
      </c>
      <c r="C3255" t="s">
        <v>6013</v>
      </c>
      <c r="D3255" t="s">
        <v>13</v>
      </c>
      <c r="E3255" t="s">
        <v>36</v>
      </c>
      <c r="F3255" t="s">
        <v>46</v>
      </c>
      <c r="G3255">
        <v>1</v>
      </c>
      <c r="H3255">
        <v>43145.89</v>
      </c>
      <c r="I3255">
        <v>9171.3799999999992</v>
      </c>
      <c r="J3255" t="s">
        <v>16</v>
      </c>
      <c r="K3255" t="s">
        <v>29</v>
      </c>
      <c r="L3255">
        <f t="shared" si="150"/>
        <v>2024</v>
      </c>
      <c r="M3255" t="str">
        <f t="shared" si="151"/>
        <v>Feb</v>
      </c>
      <c r="N3255" s="2">
        <f t="shared" si="152"/>
        <v>0.21256671261156043</v>
      </c>
    </row>
    <row r="3256" spans="1:14" x14ac:dyDescent="0.45">
      <c r="A3256" t="s">
        <v>6014</v>
      </c>
      <c r="B3256" s="1">
        <v>44589</v>
      </c>
      <c r="C3256" t="s">
        <v>2884</v>
      </c>
      <c r="D3256" t="s">
        <v>26</v>
      </c>
      <c r="E3256" t="s">
        <v>36</v>
      </c>
      <c r="F3256" t="s">
        <v>46</v>
      </c>
      <c r="G3256">
        <v>4</v>
      </c>
      <c r="H3256">
        <v>32825.25</v>
      </c>
      <c r="I3256">
        <v>7782.08</v>
      </c>
      <c r="J3256" t="s">
        <v>71</v>
      </c>
      <c r="K3256" t="s">
        <v>29</v>
      </c>
      <c r="L3256">
        <f t="shared" si="150"/>
        <v>2022</v>
      </c>
      <c r="M3256" t="str">
        <f t="shared" si="151"/>
        <v>Jan</v>
      </c>
      <c r="N3256" s="2">
        <f t="shared" si="152"/>
        <v>0.23707603140874783</v>
      </c>
    </row>
    <row r="3257" spans="1:14" x14ac:dyDescent="0.45">
      <c r="A3257" t="s">
        <v>6015</v>
      </c>
      <c r="B3257" s="1">
        <v>45426</v>
      </c>
      <c r="C3257" t="s">
        <v>2222</v>
      </c>
      <c r="D3257" t="s">
        <v>26</v>
      </c>
      <c r="E3257" t="s">
        <v>36</v>
      </c>
      <c r="F3257" t="s">
        <v>37</v>
      </c>
      <c r="G3257">
        <v>2</v>
      </c>
      <c r="H3257">
        <v>49826.47</v>
      </c>
      <c r="I3257">
        <v>12238.9</v>
      </c>
      <c r="J3257" t="s">
        <v>22</v>
      </c>
      <c r="K3257" t="s">
        <v>29</v>
      </c>
      <c r="L3257">
        <f t="shared" si="150"/>
        <v>2024</v>
      </c>
      <c r="M3257" t="str">
        <f t="shared" si="151"/>
        <v>May</v>
      </c>
      <c r="N3257" s="2">
        <f t="shared" si="152"/>
        <v>0.24563048516180253</v>
      </c>
    </row>
    <row r="3258" spans="1:14" x14ac:dyDescent="0.45">
      <c r="A3258" t="s">
        <v>6016</v>
      </c>
      <c r="B3258" s="1">
        <v>45181</v>
      </c>
      <c r="C3258" t="s">
        <v>6017</v>
      </c>
      <c r="D3258" t="s">
        <v>26</v>
      </c>
      <c r="E3258" t="s">
        <v>20</v>
      </c>
      <c r="F3258" t="s">
        <v>27</v>
      </c>
      <c r="G3258">
        <v>5</v>
      </c>
      <c r="H3258">
        <v>18913.07</v>
      </c>
      <c r="I3258">
        <v>1787.35</v>
      </c>
      <c r="J3258" t="s">
        <v>71</v>
      </c>
      <c r="K3258" t="s">
        <v>17</v>
      </c>
      <c r="L3258">
        <f t="shared" si="150"/>
        <v>2023</v>
      </c>
      <c r="M3258" t="str">
        <f t="shared" si="151"/>
        <v>Sep</v>
      </c>
      <c r="N3258" s="2">
        <f t="shared" si="152"/>
        <v>9.4503430696338556E-2</v>
      </c>
    </row>
    <row r="3259" spans="1:14" x14ac:dyDescent="0.45">
      <c r="A3259" t="s">
        <v>6018</v>
      </c>
      <c r="B3259" s="1">
        <v>45593</v>
      </c>
      <c r="C3259" t="s">
        <v>3843</v>
      </c>
      <c r="D3259" t="s">
        <v>13</v>
      </c>
      <c r="E3259" t="s">
        <v>36</v>
      </c>
      <c r="F3259" t="s">
        <v>46</v>
      </c>
      <c r="G3259">
        <v>1</v>
      </c>
      <c r="H3259">
        <v>38199.01</v>
      </c>
      <c r="I3259">
        <v>6192.69</v>
      </c>
      <c r="J3259" t="s">
        <v>47</v>
      </c>
      <c r="K3259" t="s">
        <v>23</v>
      </c>
      <c r="L3259">
        <f t="shared" si="150"/>
        <v>2024</v>
      </c>
      <c r="M3259" t="str">
        <f t="shared" si="151"/>
        <v>Oct</v>
      </c>
      <c r="N3259" s="2">
        <f t="shared" si="152"/>
        <v>0.1621165051136142</v>
      </c>
    </row>
    <row r="3260" spans="1:14" x14ac:dyDescent="0.45">
      <c r="A3260" t="s">
        <v>6019</v>
      </c>
      <c r="B3260" s="1">
        <v>44576</v>
      </c>
      <c r="C3260" t="s">
        <v>6020</v>
      </c>
      <c r="D3260" t="s">
        <v>56</v>
      </c>
      <c r="E3260" t="s">
        <v>14</v>
      </c>
      <c r="F3260" t="s">
        <v>40</v>
      </c>
      <c r="G3260">
        <v>4</v>
      </c>
      <c r="H3260">
        <v>13486.42</v>
      </c>
      <c r="I3260">
        <v>1438.32</v>
      </c>
      <c r="J3260" t="s">
        <v>22</v>
      </c>
      <c r="K3260" t="s">
        <v>29</v>
      </c>
      <c r="L3260">
        <f t="shared" si="150"/>
        <v>2022</v>
      </c>
      <c r="M3260" t="str">
        <f t="shared" si="151"/>
        <v>Jan</v>
      </c>
      <c r="N3260" s="2">
        <f t="shared" si="152"/>
        <v>0.10664950372300432</v>
      </c>
    </row>
    <row r="3261" spans="1:14" x14ac:dyDescent="0.45">
      <c r="A3261" t="s">
        <v>6021</v>
      </c>
      <c r="B3261" s="1">
        <v>45316</v>
      </c>
      <c r="C3261" t="s">
        <v>61</v>
      </c>
      <c r="D3261" t="s">
        <v>26</v>
      </c>
      <c r="E3261" t="s">
        <v>20</v>
      </c>
      <c r="F3261" t="s">
        <v>43</v>
      </c>
      <c r="G3261">
        <v>1</v>
      </c>
      <c r="H3261">
        <v>41972.78</v>
      </c>
      <c r="I3261">
        <v>9518.36</v>
      </c>
      <c r="J3261" t="s">
        <v>16</v>
      </c>
      <c r="K3261" t="s">
        <v>33</v>
      </c>
      <c r="L3261">
        <f t="shared" si="150"/>
        <v>2024</v>
      </c>
      <c r="M3261" t="str">
        <f t="shared" si="151"/>
        <v>Jan</v>
      </c>
      <c r="N3261" s="2">
        <f t="shared" si="152"/>
        <v>0.22677459057989491</v>
      </c>
    </row>
    <row r="3262" spans="1:14" x14ac:dyDescent="0.45">
      <c r="A3262" t="s">
        <v>6022</v>
      </c>
      <c r="B3262" s="1">
        <v>44884</v>
      </c>
      <c r="C3262" t="s">
        <v>2795</v>
      </c>
      <c r="D3262" t="s">
        <v>13</v>
      </c>
      <c r="E3262" t="s">
        <v>36</v>
      </c>
      <c r="F3262" t="s">
        <v>46</v>
      </c>
      <c r="G3262">
        <v>3</v>
      </c>
      <c r="H3262">
        <v>31061.07</v>
      </c>
      <c r="I3262">
        <v>2749.98</v>
      </c>
      <c r="J3262" t="s">
        <v>28</v>
      </c>
      <c r="K3262" t="s">
        <v>17</v>
      </c>
      <c r="L3262">
        <f t="shared" si="150"/>
        <v>2022</v>
      </c>
      <c r="M3262" t="str">
        <f t="shared" si="151"/>
        <v>Nov</v>
      </c>
      <c r="N3262" s="2">
        <f t="shared" si="152"/>
        <v>8.853461905851924E-2</v>
      </c>
    </row>
    <row r="3263" spans="1:14" x14ac:dyDescent="0.45">
      <c r="A3263" t="s">
        <v>6023</v>
      </c>
      <c r="B3263" s="1">
        <v>45171</v>
      </c>
      <c r="C3263" t="s">
        <v>6024</v>
      </c>
      <c r="D3263" t="s">
        <v>56</v>
      </c>
      <c r="E3263" t="s">
        <v>20</v>
      </c>
      <c r="F3263" t="s">
        <v>43</v>
      </c>
      <c r="G3263">
        <v>4</v>
      </c>
      <c r="H3263">
        <v>28763.119999999999</v>
      </c>
      <c r="I3263">
        <v>1954.25</v>
      </c>
      <c r="J3263" t="s">
        <v>16</v>
      </c>
      <c r="K3263" t="s">
        <v>23</v>
      </c>
      <c r="L3263">
        <f t="shared" si="150"/>
        <v>2023</v>
      </c>
      <c r="M3263" t="str">
        <f t="shared" si="151"/>
        <v>Sep</v>
      </c>
      <c r="N3263" s="2">
        <f t="shared" si="152"/>
        <v>6.7942907445367545E-2</v>
      </c>
    </row>
    <row r="3264" spans="1:14" x14ac:dyDescent="0.45">
      <c r="A3264" t="s">
        <v>6025</v>
      </c>
      <c r="B3264" s="1">
        <v>44576</v>
      </c>
      <c r="C3264" t="s">
        <v>6026</v>
      </c>
      <c r="D3264" t="s">
        <v>26</v>
      </c>
      <c r="E3264" t="s">
        <v>20</v>
      </c>
      <c r="F3264" t="s">
        <v>21</v>
      </c>
      <c r="G3264">
        <v>4</v>
      </c>
      <c r="H3264">
        <v>48176.86</v>
      </c>
      <c r="I3264">
        <v>4597.62</v>
      </c>
      <c r="J3264" t="s">
        <v>47</v>
      </c>
      <c r="K3264" t="s">
        <v>33</v>
      </c>
      <c r="L3264">
        <f t="shared" si="150"/>
        <v>2022</v>
      </c>
      <c r="M3264" t="str">
        <f t="shared" si="151"/>
        <v>Jan</v>
      </c>
      <c r="N3264" s="2">
        <f t="shared" si="152"/>
        <v>9.5432122392368451E-2</v>
      </c>
    </row>
    <row r="3265" spans="1:14" x14ac:dyDescent="0.45">
      <c r="A3265" t="s">
        <v>6027</v>
      </c>
      <c r="B3265" s="1">
        <v>44785</v>
      </c>
      <c r="C3265" t="s">
        <v>690</v>
      </c>
      <c r="D3265" t="s">
        <v>26</v>
      </c>
      <c r="E3265" t="s">
        <v>36</v>
      </c>
      <c r="F3265" t="s">
        <v>53</v>
      </c>
      <c r="G3265">
        <v>4</v>
      </c>
      <c r="H3265">
        <v>5349.89</v>
      </c>
      <c r="I3265">
        <v>724.96</v>
      </c>
      <c r="J3265" t="s">
        <v>22</v>
      </c>
      <c r="K3265" t="s">
        <v>17</v>
      </c>
      <c r="L3265">
        <f t="shared" si="150"/>
        <v>2022</v>
      </c>
      <c r="M3265" t="str">
        <f t="shared" si="151"/>
        <v>Aug</v>
      </c>
      <c r="N3265" s="2">
        <f t="shared" si="152"/>
        <v>0.13550932822917855</v>
      </c>
    </row>
    <row r="3266" spans="1:14" x14ac:dyDescent="0.45">
      <c r="A3266" t="s">
        <v>6028</v>
      </c>
      <c r="B3266" s="1">
        <v>45512</v>
      </c>
      <c r="C3266" t="s">
        <v>6029</v>
      </c>
      <c r="D3266" t="s">
        <v>13</v>
      </c>
      <c r="E3266" t="s">
        <v>20</v>
      </c>
      <c r="F3266" t="s">
        <v>50</v>
      </c>
      <c r="G3266">
        <v>3</v>
      </c>
      <c r="H3266">
        <v>22979.56</v>
      </c>
      <c r="I3266">
        <v>5409.63</v>
      </c>
      <c r="J3266" t="s">
        <v>71</v>
      </c>
      <c r="K3266" t="s">
        <v>23</v>
      </c>
      <c r="L3266">
        <f t="shared" si="150"/>
        <v>2024</v>
      </c>
      <c r="M3266" t="str">
        <f t="shared" si="151"/>
        <v>Aug</v>
      </c>
      <c r="N3266" s="2">
        <f t="shared" si="152"/>
        <v>0.23541051264689139</v>
      </c>
    </row>
    <row r="3267" spans="1:14" x14ac:dyDescent="0.45">
      <c r="A3267" t="s">
        <v>6030</v>
      </c>
      <c r="B3267" s="1">
        <v>45602</v>
      </c>
      <c r="C3267" t="s">
        <v>6031</v>
      </c>
      <c r="D3267" t="s">
        <v>13</v>
      </c>
      <c r="E3267" t="s">
        <v>20</v>
      </c>
      <c r="F3267" t="s">
        <v>21</v>
      </c>
      <c r="G3267">
        <v>3</v>
      </c>
      <c r="H3267">
        <v>26108.15</v>
      </c>
      <c r="I3267">
        <v>3811.68</v>
      </c>
      <c r="J3267" t="s">
        <v>71</v>
      </c>
      <c r="K3267" t="s">
        <v>33</v>
      </c>
      <c r="L3267">
        <f t="shared" ref="L3267:L3330" si="153">YEAR(B3267 )</f>
        <v>2024</v>
      </c>
      <c r="M3267" t="str">
        <f t="shared" ref="M3267:M3330" si="154">TEXT(B3267,"MMM")</f>
        <v>Nov</v>
      </c>
      <c r="N3267" s="2">
        <f t="shared" ref="N3267:N3330" si="155">I3267 / H3267</f>
        <v>0.14599579058646436</v>
      </c>
    </row>
    <row r="3268" spans="1:14" x14ac:dyDescent="0.45">
      <c r="A3268" t="s">
        <v>6032</v>
      </c>
      <c r="B3268" s="1">
        <v>44998</v>
      </c>
      <c r="C3268" t="s">
        <v>6033</v>
      </c>
      <c r="D3268" t="s">
        <v>56</v>
      </c>
      <c r="E3268" t="s">
        <v>36</v>
      </c>
      <c r="F3268" t="s">
        <v>46</v>
      </c>
      <c r="G3268">
        <v>1</v>
      </c>
      <c r="H3268">
        <v>39429.660000000003</v>
      </c>
      <c r="I3268">
        <v>2981.84</v>
      </c>
      <c r="J3268" t="s">
        <v>71</v>
      </c>
      <c r="K3268" t="s">
        <v>23</v>
      </c>
      <c r="L3268">
        <f t="shared" si="153"/>
        <v>2023</v>
      </c>
      <c r="M3268" t="str">
        <f t="shared" si="154"/>
        <v>Mar</v>
      </c>
      <c r="N3268" s="2">
        <f t="shared" si="155"/>
        <v>7.5624288923617389E-2</v>
      </c>
    </row>
    <row r="3269" spans="1:14" x14ac:dyDescent="0.45">
      <c r="A3269" t="s">
        <v>6034</v>
      </c>
      <c r="B3269" s="1">
        <v>44824</v>
      </c>
      <c r="C3269" t="s">
        <v>6035</v>
      </c>
      <c r="D3269" t="s">
        <v>26</v>
      </c>
      <c r="E3269" t="s">
        <v>36</v>
      </c>
      <c r="F3269" t="s">
        <v>46</v>
      </c>
      <c r="G3269">
        <v>2</v>
      </c>
      <c r="H3269">
        <v>5459.21</v>
      </c>
      <c r="I3269">
        <v>1218.55</v>
      </c>
      <c r="J3269" t="s">
        <v>71</v>
      </c>
      <c r="K3269" t="s">
        <v>33</v>
      </c>
      <c r="L3269">
        <f t="shared" si="153"/>
        <v>2022</v>
      </c>
      <c r="M3269" t="str">
        <f t="shared" si="154"/>
        <v>Sep</v>
      </c>
      <c r="N3269" s="2">
        <f t="shared" si="155"/>
        <v>0.22320995162303703</v>
      </c>
    </row>
    <row r="3270" spans="1:14" x14ac:dyDescent="0.45">
      <c r="A3270" t="s">
        <v>6036</v>
      </c>
      <c r="B3270" s="1">
        <v>44564</v>
      </c>
      <c r="C3270" t="s">
        <v>1476</v>
      </c>
      <c r="D3270" t="s">
        <v>13</v>
      </c>
      <c r="E3270" t="s">
        <v>14</v>
      </c>
      <c r="F3270" t="s">
        <v>40</v>
      </c>
      <c r="G3270">
        <v>5</v>
      </c>
      <c r="H3270">
        <v>34915.35</v>
      </c>
      <c r="I3270">
        <v>5067.5200000000004</v>
      </c>
      <c r="J3270" t="s">
        <v>71</v>
      </c>
      <c r="K3270" t="s">
        <v>29</v>
      </c>
      <c r="L3270">
        <f t="shared" si="153"/>
        <v>2022</v>
      </c>
      <c r="M3270" t="str">
        <f t="shared" si="154"/>
        <v>Jan</v>
      </c>
      <c r="N3270" s="2">
        <f t="shared" si="155"/>
        <v>0.14513731066708485</v>
      </c>
    </row>
    <row r="3271" spans="1:14" x14ac:dyDescent="0.45">
      <c r="A3271" t="s">
        <v>6037</v>
      </c>
      <c r="B3271" s="1">
        <v>44799</v>
      </c>
      <c r="C3271" t="s">
        <v>6038</v>
      </c>
      <c r="D3271" t="s">
        <v>13</v>
      </c>
      <c r="E3271" t="s">
        <v>14</v>
      </c>
      <c r="F3271" t="s">
        <v>32</v>
      </c>
      <c r="G3271">
        <v>4</v>
      </c>
      <c r="H3271">
        <v>10860</v>
      </c>
      <c r="I3271">
        <v>947.16</v>
      </c>
      <c r="J3271" t="s">
        <v>22</v>
      </c>
      <c r="K3271" t="s">
        <v>17</v>
      </c>
      <c r="L3271">
        <f t="shared" si="153"/>
        <v>2022</v>
      </c>
      <c r="M3271" t="str">
        <f t="shared" si="154"/>
        <v>Aug</v>
      </c>
      <c r="N3271" s="2">
        <f t="shared" si="155"/>
        <v>8.7215469613259669E-2</v>
      </c>
    </row>
    <row r="3272" spans="1:14" x14ac:dyDescent="0.45">
      <c r="A3272" t="s">
        <v>6039</v>
      </c>
      <c r="B3272" s="1">
        <v>45569</v>
      </c>
      <c r="C3272" t="s">
        <v>4912</v>
      </c>
      <c r="D3272" t="s">
        <v>26</v>
      </c>
      <c r="E3272" t="s">
        <v>20</v>
      </c>
      <c r="F3272" t="s">
        <v>27</v>
      </c>
      <c r="G3272">
        <v>2</v>
      </c>
      <c r="H3272">
        <v>3263.69</v>
      </c>
      <c r="I3272">
        <v>284.14999999999998</v>
      </c>
      <c r="J3272" t="s">
        <v>16</v>
      </c>
      <c r="K3272" t="s">
        <v>23</v>
      </c>
      <c r="L3272">
        <f t="shared" si="153"/>
        <v>2024</v>
      </c>
      <c r="M3272" t="str">
        <f t="shared" si="154"/>
        <v>Oct</v>
      </c>
      <c r="N3272" s="2">
        <f t="shared" si="155"/>
        <v>8.7064028752730796E-2</v>
      </c>
    </row>
    <row r="3273" spans="1:14" x14ac:dyDescent="0.45">
      <c r="A3273" t="s">
        <v>6040</v>
      </c>
      <c r="B3273" s="1">
        <v>45194</v>
      </c>
      <c r="C3273" t="s">
        <v>6041</v>
      </c>
      <c r="D3273" t="s">
        <v>26</v>
      </c>
      <c r="E3273" t="s">
        <v>20</v>
      </c>
      <c r="F3273" t="s">
        <v>27</v>
      </c>
      <c r="G3273">
        <v>4</v>
      </c>
      <c r="H3273">
        <v>27039.5</v>
      </c>
      <c r="I3273">
        <v>6703.27</v>
      </c>
      <c r="J3273" t="s">
        <v>47</v>
      </c>
      <c r="K3273" t="s">
        <v>29</v>
      </c>
      <c r="L3273">
        <f t="shared" si="153"/>
        <v>2023</v>
      </c>
      <c r="M3273" t="str">
        <f t="shared" si="154"/>
        <v>Sep</v>
      </c>
      <c r="N3273" s="2">
        <f t="shared" si="155"/>
        <v>0.24790658111281644</v>
      </c>
    </row>
    <row r="3274" spans="1:14" x14ac:dyDescent="0.45">
      <c r="A3274" t="s">
        <v>6042</v>
      </c>
      <c r="B3274" s="1">
        <v>45588</v>
      </c>
      <c r="C3274" t="s">
        <v>4132</v>
      </c>
      <c r="D3274" t="s">
        <v>13</v>
      </c>
      <c r="E3274" t="s">
        <v>20</v>
      </c>
      <c r="F3274" t="s">
        <v>43</v>
      </c>
      <c r="G3274">
        <v>1</v>
      </c>
      <c r="H3274">
        <v>17103.72</v>
      </c>
      <c r="I3274">
        <v>1957.14</v>
      </c>
      <c r="J3274" t="s">
        <v>16</v>
      </c>
      <c r="K3274" t="s">
        <v>29</v>
      </c>
      <c r="L3274">
        <f t="shared" si="153"/>
        <v>2024</v>
      </c>
      <c r="M3274" t="str">
        <f t="shared" si="154"/>
        <v>Oct</v>
      </c>
      <c r="N3274" s="2">
        <f t="shared" si="155"/>
        <v>0.11442773852705727</v>
      </c>
    </row>
    <row r="3275" spans="1:14" x14ac:dyDescent="0.45">
      <c r="A3275" t="s">
        <v>6043</v>
      </c>
      <c r="B3275" s="1">
        <v>44943</v>
      </c>
      <c r="C3275" t="s">
        <v>6044</v>
      </c>
      <c r="D3275" t="s">
        <v>13</v>
      </c>
      <c r="E3275" t="s">
        <v>36</v>
      </c>
      <c r="F3275" t="s">
        <v>64</v>
      </c>
      <c r="G3275">
        <v>3</v>
      </c>
      <c r="H3275">
        <v>43896.62</v>
      </c>
      <c r="I3275">
        <v>8586.85</v>
      </c>
      <c r="J3275" t="s">
        <v>71</v>
      </c>
      <c r="K3275" t="s">
        <v>23</v>
      </c>
      <c r="L3275">
        <f t="shared" si="153"/>
        <v>2023</v>
      </c>
      <c r="M3275" t="str">
        <f t="shared" si="154"/>
        <v>Jan</v>
      </c>
      <c r="N3275" s="2">
        <f t="shared" si="155"/>
        <v>0.19561528883089405</v>
      </c>
    </row>
    <row r="3276" spans="1:14" x14ac:dyDescent="0.45">
      <c r="A3276" t="s">
        <v>6045</v>
      </c>
      <c r="B3276" s="1">
        <v>45104</v>
      </c>
      <c r="C3276" t="s">
        <v>6046</v>
      </c>
      <c r="D3276" t="s">
        <v>13</v>
      </c>
      <c r="E3276" t="s">
        <v>20</v>
      </c>
      <c r="F3276" t="s">
        <v>21</v>
      </c>
      <c r="G3276">
        <v>1</v>
      </c>
      <c r="H3276">
        <v>30009.33</v>
      </c>
      <c r="I3276">
        <v>4622.0600000000004</v>
      </c>
      <c r="J3276" t="s">
        <v>28</v>
      </c>
      <c r="K3276" t="s">
        <v>29</v>
      </c>
      <c r="L3276">
        <f t="shared" si="153"/>
        <v>2023</v>
      </c>
      <c r="M3276" t="str">
        <f t="shared" si="154"/>
        <v>Jun</v>
      </c>
      <c r="N3276" s="2">
        <f t="shared" si="155"/>
        <v>0.15402076620837588</v>
      </c>
    </row>
    <row r="3277" spans="1:14" x14ac:dyDescent="0.45">
      <c r="A3277" t="s">
        <v>6047</v>
      </c>
      <c r="B3277" s="1">
        <v>45171</v>
      </c>
      <c r="C3277" t="s">
        <v>6048</v>
      </c>
      <c r="D3277" t="s">
        <v>13</v>
      </c>
      <c r="E3277" t="s">
        <v>14</v>
      </c>
      <c r="F3277" t="s">
        <v>40</v>
      </c>
      <c r="G3277">
        <v>5</v>
      </c>
      <c r="H3277">
        <v>42015.68</v>
      </c>
      <c r="I3277">
        <v>6515.75</v>
      </c>
      <c r="J3277" t="s">
        <v>47</v>
      </c>
      <c r="K3277" t="s">
        <v>33</v>
      </c>
      <c r="L3277">
        <f t="shared" si="153"/>
        <v>2023</v>
      </c>
      <c r="M3277" t="str">
        <f t="shared" si="154"/>
        <v>Sep</v>
      </c>
      <c r="N3277" s="2">
        <f t="shared" si="155"/>
        <v>0.15507900859869458</v>
      </c>
    </row>
    <row r="3278" spans="1:14" x14ac:dyDescent="0.45">
      <c r="A3278" t="s">
        <v>6049</v>
      </c>
      <c r="B3278" s="1">
        <v>44822</v>
      </c>
      <c r="C3278" t="s">
        <v>6050</v>
      </c>
      <c r="D3278" t="s">
        <v>56</v>
      </c>
      <c r="E3278" t="s">
        <v>36</v>
      </c>
      <c r="F3278" t="s">
        <v>46</v>
      </c>
      <c r="G3278">
        <v>1</v>
      </c>
      <c r="H3278">
        <v>29354.82</v>
      </c>
      <c r="I3278">
        <v>6426.67</v>
      </c>
      <c r="J3278" t="s">
        <v>47</v>
      </c>
      <c r="K3278" t="s">
        <v>33</v>
      </c>
      <c r="L3278">
        <f t="shared" si="153"/>
        <v>2022</v>
      </c>
      <c r="M3278" t="str">
        <f t="shared" si="154"/>
        <v>Sep</v>
      </c>
      <c r="N3278" s="2">
        <f t="shared" si="155"/>
        <v>0.21893065602173681</v>
      </c>
    </row>
    <row r="3279" spans="1:14" x14ac:dyDescent="0.45">
      <c r="A3279" t="s">
        <v>6051</v>
      </c>
      <c r="B3279" s="1">
        <v>44960</v>
      </c>
      <c r="C3279" t="s">
        <v>5132</v>
      </c>
      <c r="D3279" t="s">
        <v>26</v>
      </c>
      <c r="E3279" t="s">
        <v>14</v>
      </c>
      <c r="F3279" t="s">
        <v>15</v>
      </c>
      <c r="G3279">
        <v>2</v>
      </c>
      <c r="H3279">
        <v>13650.56</v>
      </c>
      <c r="I3279">
        <v>935.82</v>
      </c>
      <c r="J3279" t="s">
        <v>47</v>
      </c>
      <c r="K3279" t="s">
        <v>33</v>
      </c>
      <c r="L3279">
        <f t="shared" si="153"/>
        <v>2023</v>
      </c>
      <c r="M3279" t="str">
        <f t="shared" si="154"/>
        <v>Feb</v>
      </c>
      <c r="N3279" s="2">
        <f t="shared" si="155"/>
        <v>6.8555429227811909E-2</v>
      </c>
    </row>
    <row r="3280" spans="1:14" x14ac:dyDescent="0.45">
      <c r="A3280" t="s">
        <v>6052</v>
      </c>
      <c r="B3280" s="1">
        <v>45306</v>
      </c>
      <c r="C3280" t="s">
        <v>198</v>
      </c>
      <c r="D3280" t="s">
        <v>26</v>
      </c>
      <c r="E3280" t="s">
        <v>36</v>
      </c>
      <c r="F3280" t="s">
        <v>37</v>
      </c>
      <c r="G3280">
        <v>3</v>
      </c>
      <c r="H3280">
        <v>15365.31</v>
      </c>
      <c r="I3280">
        <v>2943.88</v>
      </c>
      <c r="J3280" t="s">
        <v>22</v>
      </c>
      <c r="K3280" t="s">
        <v>17</v>
      </c>
      <c r="L3280">
        <f t="shared" si="153"/>
        <v>2024</v>
      </c>
      <c r="M3280" t="str">
        <f t="shared" si="154"/>
        <v>Jan</v>
      </c>
      <c r="N3280" s="2">
        <f t="shared" si="155"/>
        <v>0.19159261999920602</v>
      </c>
    </row>
    <row r="3281" spans="1:14" x14ac:dyDescent="0.45">
      <c r="A3281" t="s">
        <v>6053</v>
      </c>
      <c r="B3281" s="1">
        <v>44898</v>
      </c>
      <c r="C3281" t="s">
        <v>6054</v>
      </c>
      <c r="D3281" t="s">
        <v>56</v>
      </c>
      <c r="E3281" t="s">
        <v>36</v>
      </c>
      <c r="F3281" t="s">
        <v>64</v>
      </c>
      <c r="G3281">
        <v>2</v>
      </c>
      <c r="H3281">
        <v>15640.14</v>
      </c>
      <c r="I3281">
        <v>2601.7600000000002</v>
      </c>
      <c r="J3281" t="s">
        <v>22</v>
      </c>
      <c r="K3281" t="s">
        <v>33</v>
      </c>
      <c r="L3281">
        <f t="shared" si="153"/>
        <v>2022</v>
      </c>
      <c r="M3281" t="str">
        <f t="shared" si="154"/>
        <v>Dec</v>
      </c>
      <c r="N3281" s="2">
        <f t="shared" si="155"/>
        <v>0.16635145209697613</v>
      </c>
    </row>
    <row r="3282" spans="1:14" x14ac:dyDescent="0.45">
      <c r="A3282" t="s">
        <v>6055</v>
      </c>
      <c r="B3282" s="1">
        <v>45121</v>
      </c>
      <c r="C3282" t="s">
        <v>6056</v>
      </c>
      <c r="D3282" t="s">
        <v>56</v>
      </c>
      <c r="E3282" t="s">
        <v>20</v>
      </c>
      <c r="F3282" t="s">
        <v>27</v>
      </c>
      <c r="G3282">
        <v>3</v>
      </c>
      <c r="H3282">
        <v>23792.67</v>
      </c>
      <c r="I3282">
        <v>5427.13</v>
      </c>
      <c r="J3282" t="s">
        <v>71</v>
      </c>
      <c r="K3282" t="s">
        <v>23</v>
      </c>
      <c r="L3282">
        <f t="shared" si="153"/>
        <v>2023</v>
      </c>
      <c r="M3282" t="str">
        <f t="shared" si="154"/>
        <v>Jul</v>
      </c>
      <c r="N3282" s="2">
        <f t="shared" si="155"/>
        <v>0.22810092351972269</v>
      </c>
    </row>
    <row r="3283" spans="1:14" x14ac:dyDescent="0.45">
      <c r="A3283" t="s">
        <v>6057</v>
      </c>
      <c r="B3283" s="1">
        <v>45175</v>
      </c>
      <c r="C3283" t="s">
        <v>3470</v>
      </c>
      <c r="D3283" t="s">
        <v>13</v>
      </c>
      <c r="E3283" t="s">
        <v>14</v>
      </c>
      <c r="F3283" t="s">
        <v>57</v>
      </c>
      <c r="G3283">
        <v>1</v>
      </c>
      <c r="H3283">
        <v>23416.39</v>
      </c>
      <c r="I3283">
        <v>5475.67</v>
      </c>
      <c r="J3283" t="s">
        <v>16</v>
      </c>
      <c r="K3283" t="s">
        <v>29</v>
      </c>
      <c r="L3283">
        <f t="shared" si="153"/>
        <v>2023</v>
      </c>
      <c r="M3283" t="str">
        <f t="shared" si="154"/>
        <v>Sep</v>
      </c>
      <c r="N3283" s="2">
        <f t="shared" si="155"/>
        <v>0.23383920407885248</v>
      </c>
    </row>
    <row r="3284" spans="1:14" x14ac:dyDescent="0.45">
      <c r="A3284" t="s">
        <v>6058</v>
      </c>
      <c r="B3284" s="1">
        <v>45603</v>
      </c>
      <c r="C3284" t="s">
        <v>6059</v>
      </c>
      <c r="D3284" t="s">
        <v>13</v>
      </c>
      <c r="E3284" t="s">
        <v>36</v>
      </c>
      <c r="F3284" t="s">
        <v>37</v>
      </c>
      <c r="G3284">
        <v>2</v>
      </c>
      <c r="H3284">
        <v>36145.99</v>
      </c>
      <c r="I3284">
        <v>1835.36</v>
      </c>
      <c r="J3284" t="s">
        <v>28</v>
      </c>
      <c r="K3284" t="s">
        <v>29</v>
      </c>
      <c r="L3284">
        <f t="shared" si="153"/>
        <v>2024</v>
      </c>
      <c r="M3284" t="str">
        <f t="shared" si="154"/>
        <v>Nov</v>
      </c>
      <c r="N3284" s="2">
        <f t="shared" si="155"/>
        <v>5.0776310179912076E-2</v>
      </c>
    </row>
    <row r="3285" spans="1:14" x14ac:dyDescent="0.45">
      <c r="A3285" t="s">
        <v>6060</v>
      </c>
      <c r="B3285" s="1">
        <v>45530</v>
      </c>
      <c r="C3285" t="s">
        <v>6061</v>
      </c>
      <c r="D3285" t="s">
        <v>13</v>
      </c>
      <c r="E3285" t="s">
        <v>20</v>
      </c>
      <c r="F3285" t="s">
        <v>27</v>
      </c>
      <c r="G3285">
        <v>2</v>
      </c>
      <c r="H3285">
        <v>5118.2299999999996</v>
      </c>
      <c r="I3285">
        <v>854.71</v>
      </c>
      <c r="J3285" t="s">
        <v>71</v>
      </c>
      <c r="K3285" t="s">
        <v>23</v>
      </c>
      <c r="L3285">
        <f t="shared" si="153"/>
        <v>2024</v>
      </c>
      <c r="M3285" t="str">
        <f t="shared" si="154"/>
        <v>Aug</v>
      </c>
      <c r="N3285" s="2">
        <f t="shared" si="155"/>
        <v>0.16699327697270347</v>
      </c>
    </row>
    <row r="3286" spans="1:14" x14ac:dyDescent="0.45">
      <c r="A3286" t="s">
        <v>6062</v>
      </c>
      <c r="B3286" s="1">
        <v>45071</v>
      </c>
      <c r="C3286" t="s">
        <v>6063</v>
      </c>
      <c r="D3286" t="s">
        <v>13</v>
      </c>
      <c r="E3286" t="s">
        <v>14</v>
      </c>
      <c r="F3286" t="s">
        <v>57</v>
      </c>
      <c r="G3286">
        <v>3</v>
      </c>
      <c r="H3286">
        <v>31763.48</v>
      </c>
      <c r="I3286">
        <v>7800.34</v>
      </c>
      <c r="J3286" t="s">
        <v>16</v>
      </c>
      <c r="K3286" t="s">
        <v>29</v>
      </c>
      <c r="L3286">
        <f t="shared" si="153"/>
        <v>2023</v>
      </c>
      <c r="M3286" t="str">
        <f t="shared" si="154"/>
        <v>May</v>
      </c>
      <c r="N3286" s="2">
        <f t="shared" si="155"/>
        <v>0.24557573666361496</v>
      </c>
    </row>
    <row r="3287" spans="1:14" x14ac:dyDescent="0.45">
      <c r="A3287" t="s">
        <v>6064</v>
      </c>
      <c r="B3287" s="1">
        <v>45609</v>
      </c>
      <c r="C3287" t="s">
        <v>6065</v>
      </c>
      <c r="D3287" t="s">
        <v>26</v>
      </c>
      <c r="E3287" t="s">
        <v>20</v>
      </c>
      <c r="F3287" t="s">
        <v>27</v>
      </c>
      <c r="G3287">
        <v>5</v>
      </c>
      <c r="H3287">
        <v>18861.04</v>
      </c>
      <c r="I3287">
        <v>1415.61</v>
      </c>
      <c r="J3287" t="s">
        <v>16</v>
      </c>
      <c r="K3287" t="s">
        <v>23</v>
      </c>
      <c r="L3287">
        <f t="shared" si="153"/>
        <v>2024</v>
      </c>
      <c r="M3287" t="str">
        <f t="shared" si="154"/>
        <v>Nov</v>
      </c>
      <c r="N3287" s="2">
        <f t="shared" si="155"/>
        <v>7.5054715964761209E-2</v>
      </c>
    </row>
    <row r="3288" spans="1:14" x14ac:dyDescent="0.45">
      <c r="A3288" t="s">
        <v>6066</v>
      </c>
      <c r="B3288" s="1">
        <v>44988</v>
      </c>
      <c r="C3288" t="s">
        <v>6067</v>
      </c>
      <c r="D3288" t="s">
        <v>56</v>
      </c>
      <c r="E3288" t="s">
        <v>20</v>
      </c>
      <c r="F3288" t="s">
        <v>43</v>
      </c>
      <c r="G3288">
        <v>5</v>
      </c>
      <c r="H3288">
        <v>6799.92</v>
      </c>
      <c r="I3288">
        <v>1314.51</v>
      </c>
      <c r="J3288" t="s">
        <v>47</v>
      </c>
      <c r="K3288" t="s">
        <v>29</v>
      </c>
      <c r="L3288">
        <f t="shared" si="153"/>
        <v>2023</v>
      </c>
      <c r="M3288" t="str">
        <f t="shared" si="154"/>
        <v>Mar</v>
      </c>
      <c r="N3288" s="2">
        <f t="shared" si="155"/>
        <v>0.19331256838315744</v>
      </c>
    </row>
    <row r="3289" spans="1:14" x14ac:dyDescent="0.45">
      <c r="A3289" t="s">
        <v>6068</v>
      </c>
      <c r="B3289" s="1">
        <v>45279</v>
      </c>
      <c r="C3289" t="s">
        <v>6069</v>
      </c>
      <c r="D3289" t="s">
        <v>13</v>
      </c>
      <c r="E3289" t="s">
        <v>36</v>
      </c>
      <c r="F3289" t="s">
        <v>37</v>
      </c>
      <c r="G3289">
        <v>4</v>
      </c>
      <c r="H3289">
        <v>49744.06</v>
      </c>
      <c r="I3289">
        <v>6650.72</v>
      </c>
      <c r="J3289" t="s">
        <v>22</v>
      </c>
      <c r="K3289" t="s">
        <v>23</v>
      </c>
      <c r="L3289">
        <f t="shared" si="153"/>
        <v>2023</v>
      </c>
      <c r="M3289" t="str">
        <f t="shared" si="154"/>
        <v>Dec</v>
      </c>
      <c r="N3289" s="2">
        <f t="shared" si="155"/>
        <v>0.13369877730124965</v>
      </c>
    </row>
    <row r="3290" spans="1:14" x14ac:dyDescent="0.45">
      <c r="A3290" t="s">
        <v>6070</v>
      </c>
      <c r="B3290" s="1">
        <v>45288</v>
      </c>
      <c r="C3290" t="s">
        <v>6071</v>
      </c>
      <c r="D3290" t="s">
        <v>56</v>
      </c>
      <c r="E3290" t="s">
        <v>20</v>
      </c>
      <c r="F3290" t="s">
        <v>50</v>
      </c>
      <c r="G3290">
        <v>5</v>
      </c>
      <c r="H3290">
        <v>10643.16</v>
      </c>
      <c r="I3290">
        <v>2108.7199999999998</v>
      </c>
      <c r="J3290" t="s">
        <v>71</v>
      </c>
      <c r="K3290" t="s">
        <v>29</v>
      </c>
      <c r="L3290">
        <f t="shared" si="153"/>
        <v>2023</v>
      </c>
      <c r="M3290" t="str">
        <f t="shared" si="154"/>
        <v>Dec</v>
      </c>
      <c r="N3290" s="2">
        <f t="shared" si="155"/>
        <v>0.19812912706376676</v>
      </c>
    </row>
    <row r="3291" spans="1:14" x14ac:dyDescent="0.45">
      <c r="A3291" t="s">
        <v>6072</v>
      </c>
      <c r="B3291" s="1">
        <v>45194</v>
      </c>
      <c r="C3291" t="s">
        <v>5808</v>
      </c>
      <c r="D3291" t="s">
        <v>26</v>
      </c>
      <c r="E3291" t="s">
        <v>36</v>
      </c>
      <c r="F3291" t="s">
        <v>64</v>
      </c>
      <c r="G3291">
        <v>1</v>
      </c>
      <c r="H3291">
        <v>22619.08</v>
      </c>
      <c r="I3291">
        <v>3939.03</v>
      </c>
      <c r="J3291" t="s">
        <v>22</v>
      </c>
      <c r="K3291" t="s">
        <v>29</v>
      </c>
      <c r="L3291">
        <f t="shared" si="153"/>
        <v>2023</v>
      </c>
      <c r="M3291" t="str">
        <f t="shared" si="154"/>
        <v>Sep</v>
      </c>
      <c r="N3291" s="2">
        <f t="shared" si="155"/>
        <v>0.17414634016944985</v>
      </c>
    </row>
    <row r="3292" spans="1:14" x14ac:dyDescent="0.45">
      <c r="A3292" t="s">
        <v>6073</v>
      </c>
      <c r="B3292" s="1">
        <v>44942</v>
      </c>
      <c r="C3292" t="s">
        <v>6074</v>
      </c>
      <c r="D3292" t="s">
        <v>26</v>
      </c>
      <c r="E3292" t="s">
        <v>36</v>
      </c>
      <c r="F3292" t="s">
        <v>53</v>
      </c>
      <c r="G3292">
        <v>2</v>
      </c>
      <c r="H3292">
        <v>37963.22</v>
      </c>
      <c r="I3292">
        <v>3618.3</v>
      </c>
      <c r="J3292" t="s">
        <v>71</v>
      </c>
      <c r="K3292" t="s">
        <v>33</v>
      </c>
      <c r="L3292">
        <f t="shared" si="153"/>
        <v>2023</v>
      </c>
      <c r="M3292" t="str">
        <f t="shared" si="154"/>
        <v>Jan</v>
      </c>
      <c r="N3292" s="2">
        <f t="shared" si="155"/>
        <v>9.531067175018347E-2</v>
      </c>
    </row>
    <row r="3293" spans="1:14" x14ac:dyDescent="0.45">
      <c r="A3293" t="s">
        <v>6075</v>
      </c>
      <c r="B3293" s="1">
        <v>44723</v>
      </c>
      <c r="C3293" t="s">
        <v>6076</v>
      </c>
      <c r="D3293" t="s">
        <v>26</v>
      </c>
      <c r="E3293" t="s">
        <v>36</v>
      </c>
      <c r="F3293" t="s">
        <v>53</v>
      </c>
      <c r="G3293">
        <v>3</v>
      </c>
      <c r="H3293">
        <v>16233.79</v>
      </c>
      <c r="I3293">
        <v>2694.5</v>
      </c>
      <c r="J3293" t="s">
        <v>47</v>
      </c>
      <c r="K3293" t="s">
        <v>33</v>
      </c>
      <c r="L3293">
        <f t="shared" si="153"/>
        <v>2022</v>
      </c>
      <c r="M3293" t="str">
        <f t="shared" si="154"/>
        <v>Jun</v>
      </c>
      <c r="N3293" s="2">
        <f t="shared" si="155"/>
        <v>0.16598095700387894</v>
      </c>
    </row>
    <row r="3294" spans="1:14" x14ac:dyDescent="0.45">
      <c r="A3294" t="s">
        <v>6077</v>
      </c>
      <c r="B3294" s="1">
        <v>44987</v>
      </c>
      <c r="C3294" t="s">
        <v>6078</v>
      </c>
      <c r="D3294" t="s">
        <v>56</v>
      </c>
      <c r="E3294" t="s">
        <v>36</v>
      </c>
      <c r="F3294" t="s">
        <v>46</v>
      </c>
      <c r="G3294">
        <v>2</v>
      </c>
      <c r="H3294">
        <v>48973.41</v>
      </c>
      <c r="I3294">
        <v>3125.55</v>
      </c>
      <c r="J3294" t="s">
        <v>22</v>
      </c>
      <c r="K3294" t="s">
        <v>23</v>
      </c>
      <c r="L3294">
        <f t="shared" si="153"/>
        <v>2023</v>
      </c>
      <c r="M3294" t="str">
        <f t="shared" si="154"/>
        <v>Mar</v>
      </c>
      <c r="N3294" s="2">
        <f t="shared" si="155"/>
        <v>6.3821367554352457E-2</v>
      </c>
    </row>
    <row r="3295" spans="1:14" x14ac:dyDescent="0.45">
      <c r="A3295" t="s">
        <v>6079</v>
      </c>
      <c r="B3295" s="1">
        <v>45415</v>
      </c>
      <c r="C3295" t="s">
        <v>6080</v>
      </c>
      <c r="D3295" t="s">
        <v>26</v>
      </c>
      <c r="E3295" t="s">
        <v>20</v>
      </c>
      <c r="F3295" t="s">
        <v>50</v>
      </c>
      <c r="G3295">
        <v>1</v>
      </c>
      <c r="H3295">
        <v>6190.51</v>
      </c>
      <c r="I3295">
        <v>880.28</v>
      </c>
      <c r="J3295" t="s">
        <v>71</v>
      </c>
      <c r="K3295" t="s">
        <v>29</v>
      </c>
      <c r="L3295">
        <f t="shared" si="153"/>
        <v>2024</v>
      </c>
      <c r="M3295" t="str">
        <f t="shared" si="154"/>
        <v>May</v>
      </c>
      <c r="N3295" s="2">
        <f t="shared" si="155"/>
        <v>0.14219830030159064</v>
      </c>
    </row>
    <row r="3296" spans="1:14" x14ac:dyDescent="0.45">
      <c r="A3296" t="s">
        <v>6081</v>
      </c>
      <c r="B3296" s="1">
        <v>45112</v>
      </c>
      <c r="C3296" t="s">
        <v>1151</v>
      </c>
      <c r="D3296" t="s">
        <v>13</v>
      </c>
      <c r="E3296" t="s">
        <v>36</v>
      </c>
      <c r="F3296" t="s">
        <v>64</v>
      </c>
      <c r="G3296">
        <v>2</v>
      </c>
      <c r="H3296">
        <v>43115.29</v>
      </c>
      <c r="I3296">
        <v>7502.28</v>
      </c>
      <c r="J3296" t="s">
        <v>47</v>
      </c>
      <c r="K3296" t="s">
        <v>17</v>
      </c>
      <c r="L3296">
        <f t="shared" si="153"/>
        <v>2023</v>
      </c>
      <c r="M3296" t="str">
        <f t="shared" si="154"/>
        <v>Jul</v>
      </c>
      <c r="N3296" s="2">
        <f t="shared" si="155"/>
        <v>0.17400509192910449</v>
      </c>
    </row>
    <row r="3297" spans="1:14" x14ac:dyDescent="0.45">
      <c r="A3297" t="s">
        <v>6082</v>
      </c>
      <c r="B3297" s="1">
        <v>44706</v>
      </c>
      <c r="C3297" t="s">
        <v>6083</v>
      </c>
      <c r="D3297" t="s">
        <v>56</v>
      </c>
      <c r="E3297" t="s">
        <v>36</v>
      </c>
      <c r="F3297" t="s">
        <v>64</v>
      </c>
      <c r="G3297">
        <v>2</v>
      </c>
      <c r="H3297">
        <v>15221.18</v>
      </c>
      <c r="I3297">
        <v>1957.99</v>
      </c>
      <c r="J3297" t="s">
        <v>22</v>
      </c>
      <c r="K3297" t="s">
        <v>29</v>
      </c>
      <c r="L3297">
        <f t="shared" si="153"/>
        <v>2022</v>
      </c>
      <c r="M3297" t="str">
        <f t="shared" si="154"/>
        <v>May</v>
      </c>
      <c r="N3297" s="2">
        <f t="shared" si="155"/>
        <v>0.12863588762500675</v>
      </c>
    </row>
    <row r="3298" spans="1:14" x14ac:dyDescent="0.45">
      <c r="A3298" t="s">
        <v>6084</v>
      </c>
      <c r="B3298" s="1">
        <v>45411</v>
      </c>
      <c r="C3298" t="s">
        <v>6085</v>
      </c>
      <c r="D3298" t="s">
        <v>56</v>
      </c>
      <c r="E3298" t="s">
        <v>20</v>
      </c>
      <c r="F3298" t="s">
        <v>21</v>
      </c>
      <c r="G3298">
        <v>3</v>
      </c>
      <c r="H3298">
        <v>39221.26</v>
      </c>
      <c r="I3298">
        <v>9004.99</v>
      </c>
      <c r="J3298" t="s">
        <v>47</v>
      </c>
      <c r="K3298" t="s">
        <v>29</v>
      </c>
      <c r="L3298">
        <f t="shared" si="153"/>
        <v>2024</v>
      </c>
      <c r="M3298" t="str">
        <f t="shared" si="154"/>
        <v>Apr</v>
      </c>
      <c r="N3298" s="2">
        <f t="shared" si="155"/>
        <v>0.22959461271769441</v>
      </c>
    </row>
    <row r="3299" spans="1:14" x14ac:dyDescent="0.45">
      <c r="A3299" t="s">
        <v>6086</v>
      </c>
      <c r="B3299" s="1">
        <v>44677</v>
      </c>
      <c r="C3299" t="s">
        <v>2060</v>
      </c>
      <c r="D3299" t="s">
        <v>13</v>
      </c>
      <c r="E3299" t="s">
        <v>36</v>
      </c>
      <c r="F3299" t="s">
        <v>64</v>
      </c>
      <c r="G3299">
        <v>3</v>
      </c>
      <c r="H3299">
        <v>32722.92</v>
      </c>
      <c r="I3299">
        <v>3338.16</v>
      </c>
      <c r="J3299" t="s">
        <v>22</v>
      </c>
      <c r="K3299" t="s">
        <v>33</v>
      </c>
      <c r="L3299">
        <f t="shared" si="153"/>
        <v>2022</v>
      </c>
      <c r="M3299" t="str">
        <f t="shared" si="154"/>
        <v>Apr</v>
      </c>
      <c r="N3299" s="2">
        <f t="shared" si="155"/>
        <v>0.10201290104917288</v>
      </c>
    </row>
    <row r="3300" spans="1:14" x14ac:dyDescent="0.45">
      <c r="A3300" t="s">
        <v>6087</v>
      </c>
      <c r="B3300" s="1">
        <v>45167</v>
      </c>
      <c r="C3300" t="s">
        <v>6088</v>
      </c>
      <c r="D3300" t="s">
        <v>56</v>
      </c>
      <c r="E3300" t="s">
        <v>14</v>
      </c>
      <c r="F3300" t="s">
        <v>40</v>
      </c>
      <c r="G3300">
        <v>2</v>
      </c>
      <c r="H3300">
        <v>21553.8</v>
      </c>
      <c r="I3300">
        <v>5339.51</v>
      </c>
      <c r="J3300" t="s">
        <v>71</v>
      </c>
      <c r="K3300" t="s">
        <v>23</v>
      </c>
      <c r="L3300">
        <f t="shared" si="153"/>
        <v>2023</v>
      </c>
      <c r="M3300" t="str">
        <f t="shared" si="154"/>
        <v>Aug</v>
      </c>
      <c r="N3300" s="2">
        <f t="shared" si="155"/>
        <v>0.24772940270393157</v>
      </c>
    </row>
    <row r="3301" spans="1:14" x14ac:dyDescent="0.45">
      <c r="A3301" t="s">
        <v>6089</v>
      </c>
      <c r="B3301" s="1">
        <v>45282</v>
      </c>
      <c r="C3301" t="s">
        <v>6090</v>
      </c>
      <c r="D3301" t="s">
        <v>13</v>
      </c>
      <c r="E3301" t="s">
        <v>14</v>
      </c>
      <c r="F3301" t="s">
        <v>32</v>
      </c>
      <c r="G3301">
        <v>5</v>
      </c>
      <c r="H3301">
        <v>29394.7</v>
      </c>
      <c r="I3301">
        <v>7139.42</v>
      </c>
      <c r="J3301" t="s">
        <v>22</v>
      </c>
      <c r="K3301" t="s">
        <v>23</v>
      </c>
      <c r="L3301">
        <f t="shared" si="153"/>
        <v>2023</v>
      </c>
      <c r="M3301" t="str">
        <f t="shared" si="154"/>
        <v>Dec</v>
      </c>
      <c r="N3301" s="2">
        <f t="shared" si="155"/>
        <v>0.24288119967204971</v>
      </c>
    </row>
    <row r="3302" spans="1:14" x14ac:dyDescent="0.45">
      <c r="A3302" t="s">
        <v>6091</v>
      </c>
      <c r="B3302" s="1">
        <v>45199</v>
      </c>
      <c r="C3302" t="s">
        <v>6092</v>
      </c>
      <c r="D3302" t="s">
        <v>26</v>
      </c>
      <c r="E3302" t="s">
        <v>36</v>
      </c>
      <c r="F3302" t="s">
        <v>37</v>
      </c>
      <c r="G3302">
        <v>1</v>
      </c>
      <c r="H3302">
        <v>48202.48</v>
      </c>
      <c r="I3302">
        <v>2683.32</v>
      </c>
      <c r="J3302" t="s">
        <v>22</v>
      </c>
      <c r="K3302" t="s">
        <v>33</v>
      </c>
      <c r="L3302">
        <f t="shared" si="153"/>
        <v>2023</v>
      </c>
      <c r="M3302" t="str">
        <f t="shared" si="154"/>
        <v>Sep</v>
      </c>
      <c r="N3302" s="2">
        <f t="shared" si="155"/>
        <v>5.5667675190156189E-2</v>
      </c>
    </row>
    <row r="3303" spans="1:14" x14ac:dyDescent="0.45">
      <c r="A3303" t="s">
        <v>6093</v>
      </c>
      <c r="B3303" s="1">
        <v>44738</v>
      </c>
      <c r="C3303" t="s">
        <v>658</v>
      </c>
      <c r="D3303" t="s">
        <v>26</v>
      </c>
      <c r="E3303" t="s">
        <v>36</v>
      </c>
      <c r="F3303" t="s">
        <v>37</v>
      </c>
      <c r="G3303">
        <v>2</v>
      </c>
      <c r="H3303">
        <v>1207.5899999999999</v>
      </c>
      <c r="I3303">
        <v>230.22</v>
      </c>
      <c r="J3303" t="s">
        <v>71</v>
      </c>
      <c r="K3303" t="s">
        <v>17</v>
      </c>
      <c r="L3303">
        <f t="shared" si="153"/>
        <v>2022</v>
      </c>
      <c r="M3303" t="str">
        <f t="shared" si="154"/>
        <v>Jun</v>
      </c>
      <c r="N3303" s="2">
        <f t="shared" si="155"/>
        <v>0.19064417558939709</v>
      </c>
    </row>
    <row r="3304" spans="1:14" x14ac:dyDescent="0.45">
      <c r="A3304" t="s">
        <v>6094</v>
      </c>
      <c r="B3304" s="1">
        <v>45607</v>
      </c>
      <c r="C3304" t="s">
        <v>5789</v>
      </c>
      <c r="D3304" t="s">
        <v>56</v>
      </c>
      <c r="E3304" t="s">
        <v>14</v>
      </c>
      <c r="F3304" t="s">
        <v>32</v>
      </c>
      <c r="G3304">
        <v>5</v>
      </c>
      <c r="H3304">
        <v>35650.959999999999</v>
      </c>
      <c r="I3304">
        <v>8398.33</v>
      </c>
      <c r="J3304" t="s">
        <v>71</v>
      </c>
      <c r="K3304" t="s">
        <v>33</v>
      </c>
      <c r="L3304">
        <f t="shared" si="153"/>
        <v>2024</v>
      </c>
      <c r="M3304" t="str">
        <f t="shared" si="154"/>
        <v>Nov</v>
      </c>
      <c r="N3304" s="2">
        <f t="shared" si="155"/>
        <v>0.23557093553721975</v>
      </c>
    </row>
    <row r="3305" spans="1:14" x14ac:dyDescent="0.45">
      <c r="A3305" t="s">
        <v>6095</v>
      </c>
      <c r="B3305" s="1">
        <v>44651</v>
      </c>
      <c r="C3305" t="s">
        <v>287</v>
      </c>
      <c r="D3305" t="s">
        <v>26</v>
      </c>
      <c r="E3305" t="s">
        <v>20</v>
      </c>
      <c r="F3305" t="s">
        <v>27</v>
      </c>
      <c r="G3305">
        <v>4</v>
      </c>
      <c r="H3305">
        <v>20920.099999999999</v>
      </c>
      <c r="I3305">
        <v>3776.74</v>
      </c>
      <c r="J3305" t="s">
        <v>22</v>
      </c>
      <c r="K3305" t="s">
        <v>17</v>
      </c>
      <c r="L3305">
        <f t="shared" si="153"/>
        <v>2022</v>
      </c>
      <c r="M3305" t="str">
        <f t="shared" si="154"/>
        <v>Mar</v>
      </c>
      <c r="N3305" s="2">
        <f t="shared" si="155"/>
        <v>0.18053164181815576</v>
      </c>
    </row>
    <row r="3306" spans="1:14" x14ac:dyDescent="0.45">
      <c r="A3306" t="s">
        <v>6096</v>
      </c>
      <c r="B3306" s="1">
        <v>45559</v>
      </c>
      <c r="C3306" t="s">
        <v>6097</v>
      </c>
      <c r="D3306" t="s">
        <v>56</v>
      </c>
      <c r="E3306" t="s">
        <v>20</v>
      </c>
      <c r="F3306" t="s">
        <v>27</v>
      </c>
      <c r="G3306">
        <v>3</v>
      </c>
      <c r="H3306">
        <v>31166.15</v>
      </c>
      <c r="I3306">
        <v>6470.75</v>
      </c>
      <c r="J3306" t="s">
        <v>22</v>
      </c>
      <c r="K3306" t="s">
        <v>17</v>
      </c>
      <c r="L3306">
        <f t="shared" si="153"/>
        <v>2024</v>
      </c>
      <c r="M3306" t="str">
        <f t="shared" si="154"/>
        <v>Sep</v>
      </c>
      <c r="N3306" s="2">
        <f t="shared" si="155"/>
        <v>0.2076210889057519</v>
      </c>
    </row>
    <row r="3307" spans="1:14" x14ac:dyDescent="0.45">
      <c r="A3307" t="s">
        <v>6098</v>
      </c>
      <c r="B3307" s="1">
        <v>44822</v>
      </c>
      <c r="C3307" t="s">
        <v>6099</v>
      </c>
      <c r="D3307" t="s">
        <v>13</v>
      </c>
      <c r="E3307" t="s">
        <v>14</v>
      </c>
      <c r="F3307" t="s">
        <v>57</v>
      </c>
      <c r="G3307">
        <v>4</v>
      </c>
      <c r="H3307">
        <v>30857.85</v>
      </c>
      <c r="I3307">
        <v>5216.9399999999996</v>
      </c>
      <c r="J3307" t="s">
        <v>28</v>
      </c>
      <c r="K3307" t="s">
        <v>23</v>
      </c>
      <c r="L3307">
        <f t="shared" si="153"/>
        <v>2022</v>
      </c>
      <c r="M3307" t="str">
        <f t="shared" si="154"/>
        <v>Sep</v>
      </c>
      <c r="N3307" s="2">
        <f t="shared" si="155"/>
        <v>0.16906362562524607</v>
      </c>
    </row>
    <row r="3308" spans="1:14" x14ac:dyDescent="0.45">
      <c r="A3308" t="s">
        <v>6100</v>
      </c>
      <c r="B3308" s="1">
        <v>45457</v>
      </c>
      <c r="C3308" t="s">
        <v>2521</v>
      </c>
      <c r="D3308" t="s">
        <v>13</v>
      </c>
      <c r="E3308" t="s">
        <v>14</v>
      </c>
      <c r="F3308" t="s">
        <v>40</v>
      </c>
      <c r="G3308">
        <v>2</v>
      </c>
      <c r="H3308">
        <v>48205.94</v>
      </c>
      <c r="I3308">
        <v>6581.88</v>
      </c>
      <c r="J3308" t="s">
        <v>71</v>
      </c>
      <c r="K3308" t="s">
        <v>23</v>
      </c>
      <c r="L3308">
        <f t="shared" si="153"/>
        <v>2024</v>
      </c>
      <c r="M3308" t="str">
        <f t="shared" si="154"/>
        <v>Jun</v>
      </c>
      <c r="N3308" s="2">
        <f t="shared" si="155"/>
        <v>0.13653670066386009</v>
      </c>
    </row>
    <row r="3309" spans="1:14" x14ac:dyDescent="0.45">
      <c r="A3309" t="s">
        <v>6101</v>
      </c>
      <c r="B3309" s="1">
        <v>45224</v>
      </c>
      <c r="C3309" t="s">
        <v>1376</v>
      </c>
      <c r="D3309" t="s">
        <v>13</v>
      </c>
      <c r="E3309" t="s">
        <v>20</v>
      </c>
      <c r="F3309" t="s">
        <v>43</v>
      </c>
      <c r="G3309">
        <v>5</v>
      </c>
      <c r="H3309">
        <v>26164.94</v>
      </c>
      <c r="I3309">
        <v>3479.51</v>
      </c>
      <c r="J3309" t="s">
        <v>16</v>
      </c>
      <c r="K3309" t="s">
        <v>29</v>
      </c>
      <c r="L3309">
        <f t="shared" si="153"/>
        <v>2023</v>
      </c>
      <c r="M3309" t="str">
        <f t="shared" si="154"/>
        <v>Oct</v>
      </c>
      <c r="N3309" s="2">
        <f t="shared" si="155"/>
        <v>0.13298367968739849</v>
      </c>
    </row>
    <row r="3310" spans="1:14" x14ac:dyDescent="0.45">
      <c r="A3310" t="s">
        <v>6102</v>
      </c>
      <c r="B3310" s="1">
        <v>45561</v>
      </c>
      <c r="C3310" t="s">
        <v>6103</v>
      </c>
      <c r="D3310" t="s">
        <v>26</v>
      </c>
      <c r="E3310" t="s">
        <v>20</v>
      </c>
      <c r="F3310" t="s">
        <v>50</v>
      </c>
      <c r="G3310">
        <v>4</v>
      </c>
      <c r="H3310">
        <v>17229.66</v>
      </c>
      <c r="I3310">
        <v>2325.44</v>
      </c>
      <c r="J3310" t="s">
        <v>28</v>
      </c>
      <c r="K3310" t="s">
        <v>33</v>
      </c>
      <c r="L3310">
        <f t="shared" si="153"/>
        <v>2024</v>
      </c>
      <c r="M3310" t="str">
        <f t="shared" si="154"/>
        <v>Sep</v>
      </c>
      <c r="N3310" s="2">
        <f t="shared" si="155"/>
        <v>0.13496725994593045</v>
      </c>
    </row>
    <row r="3311" spans="1:14" x14ac:dyDescent="0.45">
      <c r="A3311" t="s">
        <v>6104</v>
      </c>
      <c r="B3311" s="1">
        <v>45601</v>
      </c>
      <c r="C3311" t="s">
        <v>6105</v>
      </c>
      <c r="D3311" t="s">
        <v>26</v>
      </c>
      <c r="E3311" t="s">
        <v>14</v>
      </c>
      <c r="F3311" t="s">
        <v>57</v>
      </c>
      <c r="G3311">
        <v>3</v>
      </c>
      <c r="H3311">
        <v>40017.75</v>
      </c>
      <c r="I3311">
        <v>2448.02</v>
      </c>
      <c r="J3311" t="s">
        <v>16</v>
      </c>
      <c r="K3311" t="s">
        <v>23</v>
      </c>
      <c r="L3311">
        <f t="shared" si="153"/>
        <v>2024</v>
      </c>
      <c r="M3311" t="str">
        <f t="shared" si="154"/>
        <v>Nov</v>
      </c>
      <c r="N3311" s="2">
        <f t="shared" si="155"/>
        <v>6.1173354324018714E-2</v>
      </c>
    </row>
    <row r="3312" spans="1:14" x14ac:dyDescent="0.45">
      <c r="A3312" t="s">
        <v>6106</v>
      </c>
      <c r="B3312" s="1">
        <v>45107</v>
      </c>
      <c r="C3312" t="s">
        <v>6107</v>
      </c>
      <c r="D3312" t="s">
        <v>26</v>
      </c>
      <c r="E3312" t="s">
        <v>14</v>
      </c>
      <c r="F3312" t="s">
        <v>15</v>
      </c>
      <c r="G3312">
        <v>5</v>
      </c>
      <c r="H3312">
        <v>7957.59</v>
      </c>
      <c r="I3312">
        <v>808.7</v>
      </c>
      <c r="J3312" t="s">
        <v>16</v>
      </c>
      <c r="K3312" t="s">
        <v>23</v>
      </c>
      <c r="L3312">
        <f t="shared" si="153"/>
        <v>2023</v>
      </c>
      <c r="M3312" t="str">
        <f t="shared" si="154"/>
        <v>Jun</v>
      </c>
      <c r="N3312" s="2">
        <f t="shared" si="155"/>
        <v>0.10162624613733555</v>
      </c>
    </row>
    <row r="3313" spans="1:14" x14ac:dyDescent="0.45">
      <c r="A3313" t="s">
        <v>6108</v>
      </c>
      <c r="B3313" s="1">
        <v>45002</v>
      </c>
      <c r="C3313" t="s">
        <v>6109</v>
      </c>
      <c r="D3313" t="s">
        <v>13</v>
      </c>
      <c r="E3313" t="s">
        <v>36</v>
      </c>
      <c r="F3313" t="s">
        <v>37</v>
      </c>
      <c r="G3313">
        <v>3</v>
      </c>
      <c r="H3313">
        <v>39288.1</v>
      </c>
      <c r="I3313">
        <v>9058.59</v>
      </c>
      <c r="J3313" t="s">
        <v>16</v>
      </c>
      <c r="K3313" t="s">
        <v>23</v>
      </c>
      <c r="L3313">
        <f t="shared" si="153"/>
        <v>2023</v>
      </c>
      <c r="M3313" t="str">
        <f t="shared" si="154"/>
        <v>Mar</v>
      </c>
      <c r="N3313" s="2">
        <f t="shared" si="155"/>
        <v>0.23056828912571492</v>
      </c>
    </row>
    <row r="3314" spans="1:14" x14ac:dyDescent="0.45">
      <c r="A3314" t="s">
        <v>6110</v>
      </c>
      <c r="B3314" s="1">
        <v>45490</v>
      </c>
      <c r="C3314" t="s">
        <v>6111</v>
      </c>
      <c r="D3314" t="s">
        <v>26</v>
      </c>
      <c r="E3314" t="s">
        <v>14</v>
      </c>
      <c r="F3314" t="s">
        <v>40</v>
      </c>
      <c r="G3314">
        <v>4</v>
      </c>
      <c r="H3314">
        <v>34695.97</v>
      </c>
      <c r="I3314">
        <v>3284.54</v>
      </c>
      <c r="J3314" t="s">
        <v>47</v>
      </c>
      <c r="K3314" t="s">
        <v>23</v>
      </c>
      <c r="L3314">
        <f t="shared" si="153"/>
        <v>2024</v>
      </c>
      <c r="M3314" t="str">
        <f t="shared" si="154"/>
        <v>Jul</v>
      </c>
      <c r="N3314" s="2">
        <f t="shared" si="155"/>
        <v>9.4666325800950371E-2</v>
      </c>
    </row>
    <row r="3315" spans="1:14" x14ac:dyDescent="0.45">
      <c r="A3315" t="s">
        <v>6112</v>
      </c>
      <c r="B3315" s="1">
        <v>45313</v>
      </c>
      <c r="C3315" t="s">
        <v>2955</v>
      </c>
      <c r="D3315" t="s">
        <v>26</v>
      </c>
      <c r="E3315" t="s">
        <v>36</v>
      </c>
      <c r="F3315" t="s">
        <v>46</v>
      </c>
      <c r="G3315">
        <v>3</v>
      </c>
      <c r="H3315">
        <v>36274.639999999999</v>
      </c>
      <c r="I3315">
        <v>1941.7</v>
      </c>
      <c r="J3315" t="s">
        <v>47</v>
      </c>
      <c r="K3315" t="s">
        <v>23</v>
      </c>
      <c r="L3315">
        <f t="shared" si="153"/>
        <v>2024</v>
      </c>
      <c r="M3315" t="str">
        <f t="shared" si="154"/>
        <v>Jan</v>
      </c>
      <c r="N3315" s="2">
        <f t="shared" si="155"/>
        <v>5.3527753824710596E-2</v>
      </c>
    </row>
    <row r="3316" spans="1:14" x14ac:dyDescent="0.45">
      <c r="A3316" t="s">
        <v>6113</v>
      </c>
      <c r="B3316" s="1">
        <v>45528</v>
      </c>
      <c r="C3316" t="s">
        <v>6114</v>
      </c>
      <c r="D3316" t="s">
        <v>13</v>
      </c>
      <c r="E3316" t="s">
        <v>36</v>
      </c>
      <c r="F3316" t="s">
        <v>53</v>
      </c>
      <c r="G3316">
        <v>1</v>
      </c>
      <c r="H3316">
        <v>14560.73</v>
      </c>
      <c r="I3316">
        <v>3576.38</v>
      </c>
      <c r="J3316" t="s">
        <v>47</v>
      </c>
      <c r="K3316" t="s">
        <v>17</v>
      </c>
      <c r="L3316">
        <f t="shared" si="153"/>
        <v>2024</v>
      </c>
      <c r="M3316" t="str">
        <f t="shared" si="154"/>
        <v>Aug</v>
      </c>
      <c r="N3316" s="2">
        <f t="shared" si="155"/>
        <v>0.24561817985774068</v>
      </c>
    </row>
    <row r="3317" spans="1:14" x14ac:dyDescent="0.45">
      <c r="A3317" t="s">
        <v>6115</v>
      </c>
      <c r="B3317" s="1">
        <v>45330</v>
      </c>
      <c r="C3317" t="s">
        <v>6116</v>
      </c>
      <c r="D3317" t="s">
        <v>56</v>
      </c>
      <c r="E3317" t="s">
        <v>20</v>
      </c>
      <c r="F3317" t="s">
        <v>21</v>
      </c>
      <c r="G3317">
        <v>4</v>
      </c>
      <c r="H3317">
        <v>32641.16</v>
      </c>
      <c r="I3317">
        <v>5378.02</v>
      </c>
      <c r="J3317" t="s">
        <v>47</v>
      </c>
      <c r="K3317" t="s">
        <v>23</v>
      </c>
      <c r="L3317">
        <f t="shared" si="153"/>
        <v>2024</v>
      </c>
      <c r="M3317" t="str">
        <f t="shared" si="154"/>
        <v>Feb</v>
      </c>
      <c r="N3317" s="2">
        <f t="shared" si="155"/>
        <v>0.1647619140986411</v>
      </c>
    </row>
    <row r="3318" spans="1:14" x14ac:dyDescent="0.45">
      <c r="A3318" t="s">
        <v>6117</v>
      </c>
      <c r="B3318" s="1">
        <v>45496</v>
      </c>
      <c r="C3318" t="s">
        <v>6118</v>
      </c>
      <c r="D3318" t="s">
        <v>26</v>
      </c>
      <c r="E3318" t="s">
        <v>20</v>
      </c>
      <c r="F3318" t="s">
        <v>43</v>
      </c>
      <c r="G3318">
        <v>2</v>
      </c>
      <c r="H3318">
        <v>26418.87</v>
      </c>
      <c r="I3318">
        <v>6190.68</v>
      </c>
      <c r="J3318" t="s">
        <v>71</v>
      </c>
      <c r="K3318" t="s">
        <v>17</v>
      </c>
      <c r="L3318">
        <f t="shared" si="153"/>
        <v>2024</v>
      </c>
      <c r="M3318" t="str">
        <f t="shared" si="154"/>
        <v>Jul</v>
      </c>
      <c r="N3318" s="2">
        <f t="shared" si="155"/>
        <v>0.23432796330804462</v>
      </c>
    </row>
    <row r="3319" spans="1:14" x14ac:dyDescent="0.45">
      <c r="A3319" t="s">
        <v>6119</v>
      </c>
      <c r="B3319" s="1">
        <v>44596</v>
      </c>
      <c r="C3319" t="s">
        <v>6120</v>
      </c>
      <c r="D3319" t="s">
        <v>13</v>
      </c>
      <c r="E3319" t="s">
        <v>20</v>
      </c>
      <c r="F3319" t="s">
        <v>43</v>
      </c>
      <c r="G3319">
        <v>3</v>
      </c>
      <c r="H3319">
        <v>28637.03</v>
      </c>
      <c r="I3319">
        <v>1446.6</v>
      </c>
      <c r="J3319" t="s">
        <v>16</v>
      </c>
      <c r="K3319" t="s">
        <v>23</v>
      </c>
      <c r="L3319">
        <f t="shared" si="153"/>
        <v>2022</v>
      </c>
      <c r="M3319" t="str">
        <f t="shared" si="154"/>
        <v>Feb</v>
      </c>
      <c r="N3319" s="2">
        <f t="shared" si="155"/>
        <v>5.0515014999809683E-2</v>
      </c>
    </row>
    <row r="3320" spans="1:14" x14ac:dyDescent="0.45">
      <c r="A3320" t="s">
        <v>6121</v>
      </c>
      <c r="B3320" s="1">
        <v>44565</v>
      </c>
      <c r="C3320" t="s">
        <v>6122</v>
      </c>
      <c r="D3320" t="s">
        <v>56</v>
      </c>
      <c r="E3320" t="s">
        <v>36</v>
      </c>
      <c r="F3320" t="s">
        <v>37</v>
      </c>
      <c r="G3320">
        <v>2</v>
      </c>
      <c r="H3320">
        <v>29435.64</v>
      </c>
      <c r="I3320">
        <v>4836.74</v>
      </c>
      <c r="J3320" t="s">
        <v>22</v>
      </c>
      <c r="K3320" t="s">
        <v>23</v>
      </c>
      <c r="L3320">
        <f t="shared" si="153"/>
        <v>2022</v>
      </c>
      <c r="M3320" t="str">
        <f t="shared" si="154"/>
        <v>Jan</v>
      </c>
      <c r="N3320" s="2">
        <f t="shared" si="155"/>
        <v>0.16431577502646452</v>
      </c>
    </row>
    <row r="3321" spans="1:14" x14ac:dyDescent="0.45">
      <c r="A3321" t="s">
        <v>6123</v>
      </c>
      <c r="B3321" s="1">
        <v>45560</v>
      </c>
      <c r="C3321" t="s">
        <v>6124</v>
      </c>
      <c r="D3321" t="s">
        <v>13</v>
      </c>
      <c r="E3321" t="s">
        <v>36</v>
      </c>
      <c r="F3321" t="s">
        <v>37</v>
      </c>
      <c r="G3321">
        <v>3</v>
      </c>
      <c r="H3321">
        <v>45435.03</v>
      </c>
      <c r="I3321">
        <v>4731.16</v>
      </c>
      <c r="J3321" t="s">
        <v>71</v>
      </c>
      <c r="K3321" t="s">
        <v>29</v>
      </c>
      <c r="L3321">
        <f t="shared" si="153"/>
        <v>2024</v>
      </c>
      <c r="M3321" t="str">
        <f t="shared" si="154"/>
        <v>Sep</v>
      </c>
      <c r="N3321" s="2">
        <f t="shared" si="155"/>
        <v>0.10413022727177687</v>
      </c>
    </row>
    <row r="3322" spans="1:14" x14ac:dyDescent="0.45">
      <c r="A3322" t="s">
        <v>6125</v>
      </c>
      <c r="B3322" s="1">
        <v>45441</v>
      </c>
      <c r="C3322" t="s">
        <v>1728</v>
      </c>
      <c r="D3322" t="s">
        <v>56</v>
      </c>
      <c r="E3322" t="s">
        <v>20</v>
      </c>
      <c r="F3322" t="s">
        <v>27</v>
      </c>
      <c r="G3322">
        <v>3</v>
      </c>
      <c r="H3322">
        <v>13197.4</v>
      </c>
      <c r="I3322">
        <v>2330.09</v>
      </c>
      <c r="J3322" t="s">
        <v>28</v>
      </c>
      <c r="K3322" t="s">
        <v>29</v>
      </c>
      <c r="L3322">
        <f t="shared" si="153"/>
        <v>2024</v>
      </c>
      <c r="M3322" t="str">
        <f t="shared" si="154"/>
        <v>May</v>
      </c>
      <c r="N3322" s="2">
        <f t="shared" si="155"/>
        <v>0.17655674602573235</v>
      </c>
    </row>
    <row r="3323" spans="1:14" x14ac:dyDescent="0.45">
      <c r="A3323" t="s">
        <v>6126</v>
      </c>
      <c r="B3323" s="1">
        <v>45454</v>
      </c>
      <c r="C3323" t="s">
        <v>871</v>
      </c>
      <c r="D3323" t="s">
        <v>56</v>
      </c>
      <c r="E3323" t="s">
        <v>36</v>
      </c>
      <c r="F3323" t="s">
        <v>37</v>
      </c>
      <c r="G3323">
        <v>5</v>
      </c>
      <c r="H3323">
        <v>16730.560000000001</v>
      </c>
      <c r="I3323">
        <v>2542.92</v>
      </c>
      <c r="J3323" t="s">
        <v>71</v>
      </c>
      <c r="K3323" t="s">
        <v>17</v>
      </c>
      <c r="L3323">
        <f t="shared" si="153"/>
        <v>2024</v>
      </c>
      <c r="M3323" t="str">
        <f t="shared" si="154"/>
        <v>Jun</v>
      </c>
      <c r="N3323" s="2">
        <f t="shared" si="155"/>
        <v>0.15199252146969378</v>
      </c>
    </row>
    <row r="3324" spans="1:14" x14ac:dyDescent="0.45">
      <c r="A3324" t="s">
        <v>6127</v>
      </c>
      <c r="B3324" s="1">
        <v>44562</v>
      </c>
      <c r="C3324" t="s">
        <v>6128</v>
      </c>
      <c r="D3324" t="s">
        <v>56</v>
      </c>
      <c r="E3324" t="s">
        <v>36</v>
      </c>
      <c r="F3324" t="s">
        <v>64</v>
      </c>
      <c r="G3324">
        <v>5</v>
      </c>
      <c r="H3324">
        <v>44087.82</v>
      </c>
      <c r="I3324">
        <v>3001.71</v>
      </c>
      <c r="J3324" t="s">
        <v>47</v>
      </c>
      <c r="K3324" t="s">
        <v>23</v>
      </c>
      <c r="L3324">
        <f t="shared" si="153"/>
        <v>2022</v>
      </c>
      <c r="M3324" t="str">
        <f t="shared" si="154"/>
        <v>Jan</v>
      </c>
      <c r="N3324" s="2">
        <f t="shared" si="155"/>
        <v>6.808479076534063E-2</v>
      </c>
    </row>
    <row r="3325" spans="1:14" x14ac:dyDescent="0.45">
      <c r="A3325" t="s">
        <v>6129</v>
      </c>
      <c r="B3325" s="1">
        <v>44744</v>
      </c>
      <c r="C3325" t="s">
        <v>5646</v>
      </c>
      <c r="D3325" t="s">
        <v>13</v>
      </c>
      <c r="E3325" t="s">
        <v>20</v>
      </c>
      <c r="F3325" t="s">
        <v>50</v>
      </c>
      <c r="G3325">
        <v>3</v>
      </c>
      <c r="H3325">
        <v>21897.26</v>
      </c>
      <c r="I3325">
        <v>2164.67</v>
      </c>
      <c r="J3325" t="s">
        <v>22</v>
      </c>
      <c r="K3325" t="s">
        <v>29</v>
      </c>
      <c r="L3325">
        <f t="shared" si="153"/>
        <v>2022</v>
      </c>
      <c r="M3325" t="str">
        <f t="shared" si="154"/>
        <v>Jul</v>
      </c>
      <c r="N3325" s="2">
        <f t="shared" si="155"/>
        <v>9.8855747248742548E-2</v>
      </c>
    </row>
    <row r="3326" spans="1:14" x14ac:dyDescent="0.45">
      <c r="A3326" t="s">
        <v>6130</v>
      </c>
      <c r="B3326" s="1">
        <v>44952</v>
      </c>
      <c r="C3326" t="s">
        <v>6131</v>
      </c>
      <c r="D3326" t="s">
        <v>56</v>
      </c>
      <c r="E3326" t="s">
        <v>14</v>
      </c>
      <c r="F3326" t="s">
        <v>57</v>
      </c>
      <c r="G3326">
        <v>1</v>
      </c>
      <c r="H3326">
        <v>21934.41</v>
      </c>
      <c r="I3326">
        <v>2836.67</v>
      </c>
      <c r="J3326" t="s">
        <v>47</v>
      </c>
      <c r="K3326" t="s">
        <v>23</v>
      </c>
      <c r="L3326">
        <f t="shared" si="153"/>
        <v>2023</v>
      </c>
      <c r="M3326" t="str">
        <f t="shared" si="154"/>
        <v>Jan</v>
      </c>
      <c r="N3326" s="2">
        <f t="shared" si="155"/>
        <v>0.12932511063666632</v>
      </c>
    </row>
    <row r="3327" spans="1:14" x14ac:dyDescent="0.45">
      <c r="A3327" t="s">
        <v>6132</v>
      </c>
      <c r="B3327" s="1">
        <v>44807</v>
      </c>
      <c r="C3327" t="s">
        <v>5222</v>
      </c>
      <c r="D3327" t="s">
        <v>26</v>
      </c>
      <c r="E3327" t="s">
        <v>20</v>
      </c>
      <c r="F3327" t="s">
        <v>27</v>
      </c>
      <c r="G3327">
        <v>1</v>
      </c>
      <c r="H3327">
        <v>41798.199999999997</v>
      </c>
      <c r="I3327">
        <v>3810.84</v>
      </c>
      <c r="J3327" t="s">
        <v>16</v>
      </c>
      <c r="K3327" t="s">
        <v>17</v>
      </c>
      <c r="L3327">
        <f t="shared" si="153"/>
        <v>2022</v>
      </c>
      <c r="M3327" t="str">
        <f t="shared" si="154"/>
        <v>Sep</v>
      </c>
      <c r="N3327" s="2">
        <f t="shared" si="155"/>
        <v>9.1172347134565609E-2</v>
      </c>
    </row>
    <row r="3328" spans="1:14" x14ac:dyDescent="0.45">
      <c r="A3328" t="s">
        <v>6133</v>
      </c>
      <c r="B3328" s="1">
        <v>45505</v>
      </c>
      <c r="C3328" t="s">
        <v>6134</v>
      </c>
      <c r="D3328" t="s">
        <v>13</v>
      </c>
      <c r="E3328" t="s">
        <v>20</v>
      </c>
      <c r="F3328" t="s">
        <v>21</v>
      </c>
      <c r="G3328">
        <v>3</v>
      </c>
      <c r="H3328">
        <v>42631.51</v>
      </c>
      <c r="I3328">
        <v>2361.9699999999998</v>
      </c>
      <c r="J3328" t="s">
        <v>28</v>
      </c>
      <c r="K3328" t="s">
        <v>33</v>
      </c>
      <c r="L3328">
        <f t="shared" si="153"/>
        <v>2024</v>
      </c>
      <c r="M3328" t="str">
        <f t="shared" si="154"/>
        <v>Aug</v>
      </c>
      <c r="N3328" s="2">
        <f t="shared" si="155"/>
        <v>5.5404324172425509E-2</v>
      </c>
    </row>
    <row r="3329" spans="1:14" x14ac:dyDescent="0.45">
      <c r="A3329" t="s">
        <v>6135</v>
      </c>
      <c r="B3329" s="1">
        <v>44881</v>
      </c>
      <c r="C3329" t="s">
        <v>1262</v>
      </c>
      <c r="D3329" t="s">
        <v>26</v>
      </c>
      <c r="E3329" t="s">
        <v>20</v>
      </c>
      <c r="F3329" t="s">
        <v>50</v>
      </c>
      <c r="G3329">
        <v>5</v>
      </c>
      <c r="H3329">
        <v>9234.6299999999992</v>
      </c>
      <c r="I3329">
        <v>1949.75</v>
      </c>
      <c r="J3329" t="s">
        <v>47</v>
      </c>
      <c r="K3329" t="s">
        <v>29</v>
      </c>
      <c r="L3329">
        <f t="shared" si="153"/>
        <v>2022</v>
      </c>
      <c r="M3329" t="str">
        <f t="shared" si="154"/>
        <v>Nov</v>
      </c>
      <c r="N3329" s="2">
        <f t="shared" si="155"/>
        <v>0.21113460961619471</v>
      </c>
    </row>
    <row r="3330" spans="1:14" x14ac:dyDescent="0.45">
      <c r="A3330" t="s">
        <v>6136</v>
      </c>
      <c r="B3330" s="1">
        <v>45505</v>
      </c>
      <c r="C3330" t="s">
        <v>6137</v>
      </c>
      <c r="D3330" t="s">
        <v>26</v>
      </c>
      <c r="E3330" t="s">
        <v>14</v>
      </c>
      <c r="F3330" t="s">
        <v>32</v>
      </c>
      <c r="G3330">
        <v>5</v>
      </c>
      <c r="H3330">
        <v>2177.7399999999998</v>
      </c>
      <c r="I3330">
        <v>312.36</v>
      </c>
      <c r="J3330" t="s">
        <v>28</v>
      </c>
      <c r="K3330" t="s">
        <v>33</v>
      </c>
      <c r="L3330">
        <f t="shared" si="153"/>
        <v>2024</v>
      </c>
      <c r="M3330" t="str">
        <f t="shared" si="154"/>
        <v>Aug</v>
      </c>
      <c r="N3330" s="2">
        <f t="shared" si="155"/>
        <v>0.14343310037010848</v>
      </c>
    </row>
    <row r="3331" spans="1:14" x14ac:dyDescent="0.45">
      <c r="A3331" t="s">
        <v>6138</v>
      </c>
      <c r="B3331" s="1">
        <v>45215</v>
      </c>
      <c r="C3331" t="s">
        <v>1792</v>
      </c>
      <c r="D3331" t="s">
        <v>13</v>
      </c>
      <c r="E3331" t="s">
        <v>14</v>
      </c>
      <c r="F3331" t="s">
        <v>32</v>
      </c>
      <c r="G3331">
        <v>2</v>
      </c>
      <c r="H3331">
        <v>17628.91</v>
      </c>
      <c r="I3331">
        <v>2120.66</v>
      </c>
      <c r="J3331" t="s">
        <v>28</v>
      </c>
      <c r="K3331" t="s">
        <v>29</v>
      </c>
      <c r="L3331">
        <f t="shared" ref="L3331:L3394" si="156">YEAR(B3331 )</f>
        <v>2023</v>
      </c>
      <c r="M3331" t="str">
        <f t="shared" ref="M3331:M3394" si="157">TEXT(B3331,"MMM")</f>
        <v>Oct</v>
      </c>
      <c r="N3331" s="2">
        <f t="shared" ref="N3331:N3394" si="158">I3331 / H3331</f>
        <v>0.12029444815362945</v>
      </c>
    </row>
    <row r="3332" spans="1:14" x14ac:dyDescent="0.45">
      <c r="A3332" t="s">
        <v>6139</v>
      </c>
      <c r="B3332" s="1">
        <v>45076</v>
      </c>
      <c r="C3332" t="s">
        <v>2997</v>
      </c>
      <c r="D3332" t="s">
        <v>26</v>
      </c>
      <c r="E3332" t="s">
        <v>14</v>
      </c>
      <c r="F3332" t="s">
        <v>15</v>
      </c>
      <c r="G3332">
        <v>5</v>
      </c>
      <c r="H3332">
        <v>47500.39</v>
      </c>
      <c r="I3332">
        <v>4904.07</v>
      </c>
      <c r="J3332" t="s">
        <v>16</v>
      </c>
      <c r="K3332" t="s">
        <v>29</v>
      </c>
      <c r="L3332">
        <f t="shared" si="156"/>
        <v>2023</v>
      </c>
      <c r="M3332" t="str">
        <f t="shared" si="157"/>
        <v>May</v>
      </c>
      <c r="N3332" s="2">
        <f t="shared" si="158"/>
        <v>0.1032427312702064</v>
      </c>
    </row>
    <row r="3333" spans="1:14" x14ac:dyDescent="0.45">
      <c r="A3333" t="s">
        <v>6140</v>
      </c>
      <c r="B3333" s="1">
        <v>45450</v>
      </c>
      <c r="C3333" t="s">
        <v>6141</v>
      </c>
      <c r="D3333" t="s">
        <v>56</v>
      </c>
      <c r="E3333" t="s">
        <v>36</v>
      </c>
      <c r="F3333" t="s">
        <v>64</v>
      </c>
      <c r="G3333">
        <v>4</v>
      </c>
      <c r="H3333">
        <v>19507.490000000002</v>
      </c>
      <c r="I3333">
        <v>4429.82</v>
      </c>
      <c r="J3333" t="s">
        <v>22</v>
      </c>
      <c r="K3333" t="s">
        <v>33</v>
      </c>
      <c r="L3333">
        <f t="shared" si="156"/>
        <v>2024</v>
      </c>
      <c r="M3333" t="str">
        <f t="shared" si="157"/>
        <v>Jun</v>
      </c>
      <c r="N3333" s="2">
        <f t="shared" si="158"/>
        <v>0.22708303323492665</v>
      </c>
    </row>
    <row r="3334" spans="1:14" x14ac:dyDescent="0.45">
      <c r="A3334" t="s">
        <v>6142</v>
      </c>
      <c r="B3334" s="1">
        <v>44674</v>
      </c>
      <c r="C3334" t="s">
        <v>6143</v>
      </c>
      <c r="D3334" t="s">
        <v>26</v>
      </c>
      <c r="E3334" t="s">
        <v>20</v>
      </c>
      <c r="F3334" t="s">
        <v>50</v>
      </c>
      <c r="G3334">
        <v>1</v>
      </c>
      <c r="H3334">
        <v>39929.29</v>
      </c>
      <c r="I3334">
        <v>8133.86</v>
      </c>
      <c r="J3334" t="s">
        <v>22</v>
      </c>
      <c r="K3334" t="s">
        <v>33</v>
      </c>
      <c r="L3334">
        <f t="shared" si="156"/>
        <v>2022</v>
      </c>
      <c r="M3334" t="str">
        <f t="shared" si="157"/>
        <v>Apr</v>
      </c>
      <c r="N3334" s="2">
        <f t="shared" si="158"/>
        <v>0.20370660234629764</v>
      </c>
    </row>
    <row r="3335" spans="1:14" x14ac:dyDescent="0.45">
      <c r="A3335" t="s">
        <v>6144</v>
      </c>
      <c r="B3335" s="1">
        <v>45086</v>
      </c>
      <c r="C3335" t="s">
        <v>3249</v>
      </c>
      <c r="D3335" t="s">
        <v>56</v>
      </c>
      <c r="E3335" t="s">
        <v>20</v>
      </c>
      <c r="F3335" t="s">
        <v>50</v>
      </c>
      <c r="G3335">
        <v>1</v>
      </c>
      <c r="H3335">
        <v>19589.330000000002</v>
      </c>
      <c r="I3335">
        <v>3784.55</v>
      </c>
      <c r="J3335" t="s">
        <v>47</v>
      </c>
      <c r="K3335" t="s">
        <v>23</v>
      </c>
      <c r="L3335">
        <f t="shared" si="156"/>
        <v>2023</v>
      </c>
      <c r="M3335" t="str">
        <f t="shared" si="157"/>
        <v>Jun</v>
      </c>
      <c r="N3335" s="2">
        <f t="shared" si="158"/>
        <v>0.19319445841179866</v>
      </c>
    </row>
    <row r="3336" spans="1:14" x14ac:dyDescent="0.45">
      <c r="A3336" t="s">
        <v>6145</v>
      </c>
      <c r="B3336" s="1">
        <v>44726</v>
      </c>
      <c r="C3336" t="s">
        <v>1833</v>
      </c>
      <c r="D3336" t="s">
        <v>26</v>
      </c>
      <c r="E3336" t="s">
        <v>20</v>
      </c>
      <c r="F3336" t="s">
        <v>43</v>
      </c>
      <c r="G3336">
        <v>4</v>
      </c>
      <c r="H3336">
        <v>26172.27</v>
      </c>
      <c r="I3336">
        <v>4327.9399999999996</v>
      </c>
      <c r="J3336" t="s">
        <v>47</v>
      </c>
      <c r="K3336" t="s">
        <v>33</v>
      </c>
      <c r="L3336">
        <f t="shared" si="156"/>
        <v>2022</v>
      </c>
      <c r="M3336" t="str">
        <f t="shared" si="157"/>
        <v>Jun</v>
      </c>
      <c r="N3336" s="2">
        <f t="shared" si="158"/>
        <v>0.16536356991579254</v>
      </c>
    </row>
    <row r="3337" spans="1:14" x14ac:dyDescent="0.45">
      <c r="A3337" t="s">
        <v>6146</v>
      </c>
      <c r="B3337" s="1">
        <v>45149</v>
      </c>
      <c r="C3337" t="s">
        <v>6147</v>
      </c>
      <c r="D3337" t="s">
        <v>26</v>
      </c>
      <c r="E3337" t="s">
        <v>36</v>
      </c>
      <c r="F3337" t="s">
        <v>53</v>
      </c>
      <c r="G3337">
        <v>5</v>
      </c>
      <c r="H3337">
        <v>41809.61</v>
      </c>
      <c r="I3337">
        <v>9133.11</v>
      </c>
      <c r="J3337" t="s">
        <v>71</v>
      </c>
      <c r="K3337" t="s">
        <v>29</v>
      </c>
      <c r="L3337">
        <f t="shared" si="156"/>
        <v>2023</v>
      </c>
      <c r="M3337" t="str">
        <f t="shared" si="157"/>
        <v>Aug</v>
      </c>
      <c r="N3337" s="2">
        <f t="shared" si="158"/>
        <v>0.2184452330457041</v>
      </c>
    </row>
    <row r="3338" spans="1:14" x14ac:dyDescent="0.45">
      <c r="A3338" t="s">
        <v>6148</v>
      </c>
      <c r="B3338" s="1">
        <v>44733</v>
      </c>
      <c r="C3338" t="s">
        <v>6149</v>
      </c>
      <c r="D3338" t="s">
        <v>26</v>
      </c>
      <c r="E3338" t="s">
        <v>36</v>
      </c>
      <c r="F3338" t="s">
        <v>64</v>
      </c>
      <c r="G3338">
        <v>5</v>
      </c>
      <c r="H3338">
        <v>12224.26</v>
      </c>
      <c r="I3338">
        <v>765.44</v>
      </c>
      <c r="J3338" t="s">
        <v>71</v>
      </c>
      <c r="K3338" t="s">
        <v>23</v>
      </c>
      <c r="L3338">
        <f t="shared" si="156"/>
        <v>2022</v>
      </c>
      <c r="M3338" t="str">
        <f t="shared" si="157"/>
        <v>Jun</v>
      </c>
      <c r="N3338" s="2">
        <f t="shared" si="158"/>
        <v>6.2616469217768603E-2</v>
      </c>
    </row>
    <row r="3339" spans="1:14" x14ac:dyDescent="0.45">
      <c r="A3339" t="s">
        <v>6150</v>
      </c>
      <c r="B3339" s="1">
        <v>45370</v>
      </c>
      <c r="C3339" t="s">
        <v>6151</v>
      </c>
      <c r="D3339" t="s">
        <v>56</v>
      </c>
      <c r="E3339" t="s">
        <v>36</v>
      </c>
      <c r="F3339" t="s">
        <v>46</v>
      </c>
      <c r="G3339">
        <v>3</v>
      </c>
      <c r="H3339">
        <v>33168.44</v>
      </c>
      <c r="I3339">
        <v>4343.76</v>
      </c>
      <c r="J3339" t="s">
        <v>28</v>
      </c>
      <c r="K3339" t="s">
        <v>33</v>
      </c>
      <c r="L3339">
        <f t="shared" si="156"/>
        <v>2024</v>
      </c>
      <c r="M3339" t="str">
        <f t="shared" si="157"/>
        <v>Mar</v>
      </c>
      <c r="N3339" s="2">
        <f t="shared" si="158"/>
        <v>0.13096063607453351</v>
      </c>
    </row>
    <row r="3340" spans="1:14" x14ac:dyDescent="0.45">
      <c r="A3340" t="s">
        <v>6152</v>
      </c>
      <c r="B3340" s="1">
        <v>45471</v>
      </c>
      <c r="C3340" t="s">
        <v>4539</v>
      </c>
      <c r="D3340" t="s">
        <v>56</v>
      </c>
      <c r="E3340" t="s">
        <v>20</v>
      </c>
      <c r="F3340" t="s">
        <v>27</v>
      </c>
      <c r="G3340">
        <v>5</v>
      </c>
      <c r="H3340">
        <v>20642.759999999998</v>
      </c>
      <c r="I3340">
        <v>4265.8500000000004</v>
      </c>
      <c r="J3340" t="s">
        <v>16</v>
      </c>
      <c r="K3340" t="s">
        <v>33</v>
      </c>
      <c r="L3340">
        <f t="shared" si="156"/>
        <v>2024</v>
      </c>
      <c r="M3340" t="str">
        <f t="shared" si="157"/>
        <v>Jun</v>
      </c>
      <c r="N3340" s="2">
        <f t="shared" si="158"/>
        <v>0.20665114548635941</v>
      </c>
    </row>
    <row r="3341" spans="1:14" x14ac:dyDescent="0.45">
      <c r="A3341" t="s">
        <v>6153</v>
      </c>
      <c r="B3341" s="1">
        <v>44702</v>
      </c>
      <c r="C3341" t="s">
        <v>6154</v>
      </c>
      <c r="D3341" t="s">
        <v>13</v>
      </c>
      <c r="E3341" t="s">
        <v>36</v>
      </c>
      <c r="F3341" t="s">
        <v>64</v>
      </c>
      <c r="G3341">
        <v>4</v>
      </c>
      <c r="H3341">
        <v>30238.42</v>
      </c>
      <c r="I3341">
        <v>4061.85</v>
      </c>
      <c r="J3341" t="s">
        <v>47</v>
      </c>
      <c r="K3341" t="s">
        <v>29</v>
      </c>
      <c r="L3341">
        <f t="shared" si="156"/>
        <v>2022</v>
      </c>
      <c r="M3341" t="str">
        <f t="shared" si="157"/>
        <v>May</v>
      </c>
      <c r="N3341" s="2">
        <f t="shared" si="158"/>
        <v>0.1343274549397753</v>
      </c>
    </row>
    <row r="3342" spans="1:14" x14ac:dyDescent="0.45">
      <c r="A3342" t="s">
        <v>6155</v>
      </c>
      <c r="B3342" s="1">
        <v>45321</v>
      </c>
      <c r="C3342" t="s">
        <v>6156</v>
      </c>
      <c r="D3342" t="s">
        <v>26</v>
      </c>
      <c r="E3342" t="s">
        <v>20</v>
      </c>
      <c r="F3342" t="s">
        <v>50</v>
      </c>
      <c r="G3342">
        <v>4</v>
      </c>
      <c r="H3342">
        <v>49101.81</v>
      </c>
      <c r="I3342">
        <v>4181.82</v>
      </c>
      <c r="J3342" t="s">
        <v>16</v>
      </c>
      <c r="K3342" t="s">
        <v>17</v>
      </c>
      <c r="L3342">
        <f t="shared" si="156"/>
        <v>2024</v>
      </c>
      <c r="M3342" t="str">
        <f t="shared" si="157"/>
        <v>Jan</v>
      </c>
      <c r="N3342" s="2">
        <f t="shared" si="158"/>
        <v>8.5166310569814024E-2</v>
      </c>
    </row>
    <row r="3343" spans="1:14" x14ac:dyDescent="0.45">
      <c r="A3343" t="s">
        <v>6157</v>
      </c>
      <c r="B3343" s="1">
        <v>45046</v>
      </c>
      <c r="C3343" t="s">
        <v>6158</v>
      </c>
      <c r="D3343" t="s">
        <v>56</v>
      </c>
      <c r="E3343" t="s">
        <v>14</v>
      </c>
      <c r="F3343" t="s">
        <v>15</v>
      </c>
      <c r="G3343">
        <v>5</v>
      </c>
      <c r="H3343">
        <v>19932.5</v>
      </c>
      <c r="I3343">
        <v>2999.13</v>
      </c>
      <c r="J3343" t="s">
        <v>71</v>
      </c>
      <c r="K3343" t="s">
        <v>17</v>
      </c>
      <c r="L3343">
        <f t="shared" si="156"/>
        <v>2023</v>
      </c>
      <c r="M3343" t="str">
        <f t="shared" si="157"/>
        <v>Apr</v>
      </c>
      <c r="N3343" s="2">
        <f t="shared" si="158"/>
        <v>0.15046431707011163</v>
      </c>
    </row>
    <row r="3344" spans="1:14" x14ac:dyDescent="0.45">
      <c r="A3344" t="s">
        <v>6159</v>
      </c>
      <c r="B3344" s="1">
        <v>45515</v>
      </c>
      <c r="C3344" t="s">
        <v>6160</v>
      </c>
      <c r="D3344" t="s">
        <v>56</v>
      </c>
      <c r="E3344" t="s">
        <v>36</v>
      </c>
      <c r="F3344" t="s">
        <v>37</v>
      </c>
      <c r="G3344">
        <v>2</v>
      </c>
      <c r="H3344">
        <v>14793.87</v>
      </c>
      <c r="I3344">
        <v>3113.41</v>
      </c>
      <c r="J3344" t="s">
        <v>22</v>
      </c>
      <c r="K3344" t="s">
        <v>17</v>
      </c>
      <c r="L3344">
        <f t="shared" si="156"/>
        <v>2024</v>
      </c>
      <c r="M3344" t="str">
        <f t="shared" si="157"/>
        <v>Aug</v>
      </c>
      <c r="N3344" s="2">
        <f t="shared" si="158"/>
        <v>0.21045270777693731</v>
      </c>
    </row>
    <row r="3345" spans="1:14" x14ac:dyDescent="0.45">
      <c r="A3345" t="s">
        <v>6161</v>
      </c>
      <c r="B3345" s="1">
        <v>45049</v>
      </c>
      <c r="C3345" t="s">
        <v>6162</v>
      </c>
      <c r="D3345" t="s">
        <v>13</v>
      </c>
      <c r="E3345" t="s">
        <v>20</v>
      </c>
      <c r="F3345" t="s">
        <v>27</v>
      </c>
      <c r="G3345">
        <v>4</v>
      </c>
      <c r="H3345">
        <v>32012.880000000001</v>
      </c>
      <c r="I3345">
        <v>4239.87</v>
      </c>
      <c r="J3345" t="s">
        <v>22</v>
      </c>
      <c r="K3345" t="s">
        <v>29</v>
      </c>
      <c r="L3345">
        <f t="shared" si="156"/>
        <v>2023</v>
      </c>
      <c r="M3345" t="str">
        <f t="shared" si="157"/>
        <v>May</v>
      </c>
      <c r="N3345" s="2">
        <f t="shared" si="158"/>
        <v>0.13244262934168996</v>
      </c>
    </row>
    <row r="3346" spans="1:14" x14ac:dyDescent="0.45">
      <c r="A3346" t="s">
        <v>6163</v>
      </c>
      <c r="B3346" s="1">
        <v>45142</v>
      </c>
      <c r="C3346" t="s">
        <v>6164</v>
      </c>
      <c r="D3346" t="s">
        <v>56</v>
      </c>
      <c r="E3346" t="s">
        <v>20</v>
      </c>
      <c r="F3346" t="s">
        <v>27</v>
      </c>
      <c r="G3346">
        <v>2</v>
      </c>
      <c r="H3346">
        <v>18035.39</v>
      </c>
      <c r="I3346">
        <v>4052.16</v>
      </c>
      <c r="J3346" t="s">
        <v>47</v>
      </c>
      <c r="K3346" t="s">
        <v>29</v>
      </c>
      <c r="L3346">
        <f t="shared" si="156"/>
        <v>2023</v>
      </c>
      <c r="M3346" t="str">
        <f t="shared" si="157"/>
        <v>Aug</v>
      </c>
      <c r="N3346" s="2">
        <f t="shared" si="158"/>
        <v>0.22467825758134424</v>
      </c>
    </row>
    <row r="3347" spans="1:14" x14ac:dyDescent="0.45">
      <c r="A3347" t="s">
        <v>6165</v>
      </c>
      <c r="B3347" s="1">
        <v>45183</v>
      </c>
      <c r="C3347" t="s">
        <v>6166</v>
      </c>
      <c r="D3347" t="s">
        <v>26</v>
      </c>
      <c r="E3347" t="s">
        <v>20</v>
      </c>
      <c r="F3347" t="s">
        <v>50</v>
      </c>
      <c r="G3347">
        <v>1</v>
      </c>
      <c r="H3347">
        <v>44393.38</v>
      </c>
      <c r="I3347">
        <v>2518.2399999999998</v>
      </c>
      <c r="J3347" t="s">
        <v>28</v>
      </c>
      <c r="K3347" t="s">
        <v>17</v>
      </c>
      <c r="L3347">
        <f t="shared" si="156"/>
        <v>2023</v>
      </c>
      <c r="M3347" t="str">
        <f t="shared" si="157"/>
        <v>Sep</v>
      </c>
      <c r="N3347" s="2">
        <f t="shared" si="158"/>
        <v>5.6725574849223012E-2</v>
      </c>
    </row>
    <row r="3348" spans="1:14" x14ac:dyDescent="0.45">
      <c r="A3348" t="s">
        <v>6167</v>
      </c>
      <c r="B3348" s="1">
        <v>44673</v>
      </c>
      <c r="C3348" t="s">
        <v>2754</v>
      </c>
      <c r="D3348" t="s">
        <v>13</v>
      </c>
      <c r="E3348" t="s">
        <v>36</v>
      </c>
      <c r="F3348" t="s">
        <v>64</v>
      </c>
      <c r="G3348">
        <v>3</v>
      </c>
      <c r="H3348">
        <v>48400.52</v>
      </c>
      <c r="I3348">
        <v>9195.41</v>
      </c>
      <c r="J3348" t="s">
        <v>71</v>
      </c>
      <c r="K3348" t="s">
        <v>23</v>
      </c>
      <c r="L3348">
        <f t="shared" si="156"/>
        <v>2022</v>
      </c>
      <c r="M3348" t="str">
        <f t="shared" si="157"/>
        <v>Apr</v>
      </c>
      <c r="N3348" s="2">
        <f t="shared" si="158"/>
        <v>0.18998576874793907</v>
      </c>
    </row>
    <row r="3349" spans="1:14" x14ac:dyDescent="0.45">
      <c r="A3349" t="s">
        <v>6168</v>
      </c>
      <c r="B3349" s="1">
        <v>45533</v>
      </c>
      <c r="C3349" t="s">
        <v>6169</v>
      </c>
      <c r="D3349" t="s">
        <v>26</v>
      </c>
      <c r="E3349" t="s">
        <v>36</v>
      </c>
      <c r="F3349" t="s">
        <v>46</v>
      </c>
      <c r="G3349">
        <v>5</v>
      </c>
      <c r="H3349">
        <v>3984.47</v>
      </c>
      <c r="I3349">
        <v>793.72</v>
      </c>
      <c r="J3349" t="s">
        <v>16</v>
      </c>
      <c r="K3349" t="s">
        <v>23</v>
      </c>
      <c r="L3349">
        <f t="shared" si="156"/>
        <v>2024</v>
      </c>
      <c r="M3349" t="str">
        <f t="shared" si="157"/>
        <v>Aug</v>
      </c>
      <c r="N3349" s="2">
        <f t="shared" si="158"/>
        <v>0.19920340722856492</v>
      </c>
    </row>
    <row r="3350" spans="1:14" x14ac:dyDescent="0.45">
      <c r="A3350" t="s">
        <v>6170</v>
      </c>
      <c r="B3350" s="1">
        <v>45569</v>
      </c>
      <c r="C3350" t="s">
        <v>6171</v>
      </c>
      <c r="D3350" t="s">
        <v>13</v>
      </c>
      <c r="E3350" t="s">
        <v>36</v>
      </c>
      <c r="F3350" t="s">
        <v>37</v>
      </c>
      <c r="G3350">
        <v>3</v>
      </c>
      <c r="H3350">
        <v>20537.72</v>
      </c>
      <c r="I3350">
        <v>2596.59</v>
      </c>
      <c r="J3350" t="s">
        <v>47</v>
      </c>
      <c r="K3350" t="s">
        <v>17</v>
      </c>
      <c r="L3350">
        <f t="shared" si="156"/>
        <v>2024</v>
      </c>
      <c r="M3350" t="str">
        <f t="shared" si="157"/>
        <v>Oct</v>
      </c>
      <c r="N3350" s="2">
        <f t="shared" si="158"/>
        <v>0.12643029508630949</v>
      </c>
    </row>
    <row r="3351" spans="1:14" x14ac:dyDescent="0.45">
      <c r="A3351" t="s">
        <v>6172</v>
      </c>
      <c r="B3351" s="1">
        <v>44793</v>
      </c>
      <c r="C3351" t="s">
        <v>6173</v>
      </c>
      <c r="D3351" t="s">
        <v>26</v>
      </c>
      <c r="E3351" t="s">
        <v>14</v>
      </c>
      <c r="F3351" t="s">
        <v>40</v>
      </c>
      <c r="G3351">
        <v>4</v>
      </c>
      <c r="H3351">
        <v>11029.74</v>
      </c>
      <c r="I3351">
        <v>973.02</v>
      </c>
      <c r="J3351" t="s">
        <v>71</v>
      </c>
      <c r="K3351" t="s">
        <v>17</v>
      </c>
      <c r="L3351">
        <f t="shared" si="156"/>
        <v>2022</v>
      </c>
      <c r="M3351" t="str">
        <f t="shared" si="157"/>
        <v>Aug</v>
      </c>
      <c r="N3351" s="2">
        <f t="shared" si="158"/>
        <v>8.8217854636646012E-2</v>
      </c>
    </row>
    <row r="3352" spans="1:14" x14ac:dyDescent="0.45">
      <c r="A3352" t="s">
        <v>6174</v>
      </c>
      <c r="B3352" s="1">
        <v>45124</v>
      </c>
      <c r="C3352" t="s">
        <v>6175</v>
      </c>
      <c r="D3352" t="s">
        <v>56</v>
      </c>
      <c r="E3352" t="s">
        <v>20</v>
      </c>
      <c r="F3352" t="s">
        <v>21</v>
      </c>
      <c r="G3352">
        <v>5</v>
      </c>
      <c r="H3352">
        <v>28503.38</v>
      </c>
      <c r="I3352">
        <v>5709.8</v>
      </c>
      <c r="J3352" t="s">
        <v>28</v>
      </c>
      <c r="K3352" t="s">
        <v>29</v>
      </c>
      <c r="L3352">
        <f t="shared" si="156"/>
        <v>2023</v>
      </c>
      <c r="M3352" t="str">
        <f t="shared" si="157"/>
        <v>Jul</v>
      </c>
      <c r="N3352" s="2">
        <f t="shared" si="158"/>
        <v>0.20032010238785716</v>
      </c>
    </row>
    <row r="3353" spans="1:14" x14ac:dyDescent="0.45">
      <c r="A3353" t="s">
        <v>6176</v>
      </c>
      <c r="B3353" s="1">
        <v>45354</v>
      </c>
      <c r="C3353" t="s">
        <v>2633</v>
      </c>
      <c r="D3353" t="s">
        <v>26</v>
      </c>
      <c r="E3353" t="s">
        <v>36</v>
      </c>
      <c r="F3353" t="s">
        <v>53</v>
      </c>
      <c r="G3353">
        <v>3</v>
      </c>
      <c r="H3353">
        <v>1075.6199999999999</v>
      </c>
      <c r="I3353">
        <v>114.02</v>
      </c>
      <c r="J3353" t="s">
        <v>47</v>
      </c>
      <c r="K3353" t="s">
        <v>23</v>
      </c>
      <c r="L3353">
        <f t="shared" si="156"/>
        <v>2024</v>
      </c>
      <c r="M3353" t="str">
        <f t="shared" si="157"/>
        <v>Mar</v>
      </c>
      <c r="N3353" s="2">
        <f t="shared" si="158"/>
        <v>0.1060039791004258</v>
      </c>
    </row>
    <row r="3354" spans="1:14" x14ac:dyDescent="0.45">
      <c r="A3354" t="s">
        <v>6177</v>
      </c>
      <c r="B3354" s="1">
        <v>44771</v>
      </c>
      <c r="C3354" t="s">
        <v>6178</v>
      </c>
      <c r="D3354" t="s">
        <v>26</v>
      </c>
      <c r="E3354" t="s">
        <v>14</v>
      </c>
      <c r="F3354" t="s">
        <v>15</v>
      </c>
      <c r="G3354">
        <v>5</v>
      </c>
      <c r="H3354">
        <v>44207.18</v>
      </c>
      <c r="I3354">
        <v>2396</v>
      </c>
      <c r="J3354" t="s">
        <v>71</v>
      </c>
      <c r="K3354" t="s">
        <v>33</v>
      </c>
      <c r="L3354">
        <f t="shared" si="156"/>
        <v>2022</v>
      </c>
      <c r="M3354" t="str">
        <f t="shared" si="157"/>
        <v>Jul</v>
      </c>
      <c r="N3354" s="2">
        <f t="shared" si="158"/>
        <v>5.4199340469127416E-2</v>
      </c>
    </row>
    <row r="3355" spans="1:14" x14ac:dyDescent="0.45">
      <c r="A3355" t="s">
        <v>6179</v>
      </c>
      <c r="B3355" s="1">
        <v>45395</v>
      </c>
      <c r="C3355" t="s">
        <v>6180</v>
      </c>
      <c r="D3355" t="s">
        <v>26</v>
      </c>
      <c r="E3355" t="s">
        <v>20</v>
      </c>
      <c r="F3355" t="s">
        <v>21</v>
      </c>
      <c r="G3355">
        <v>2</v>
      </c>
      <c r="H3355">
        <v>15957.81</v>
      </c>
      <c r="I3355">
        <v>2177.44</v>
      </c>
      <c r="J3355" t="s">
        <v>16</v>
      </c>
      <c r="K3355" t="s">
        <v>33</v>
      </c>
      <c r="L3355">
        <f t="shared" si="156"/>
        <v>2024</v>
      </c>
      <c r="M3355" t="str">
        <f t="shared" si="157"/>
        <v>Apr</v>
      </c>
      <c r="N3355" s="2">
        <f t="shared" si="158"/>
        <v>0.13644980106919433</v>
      </c>
    </row>
    <row r="3356" spans="1:14" x14ac:dyDescent="0.45">
      <c r="A3356" t="s">
        <v>6181</v>
      </c>
      <c r="B3356" s="1">
        <v>45471</v>
      </c>
      <c r="C3356" t="s">
        <v>4675</v>
      </c>
      <c r="D3356" t="s">
        <v>26</v>
      </c>
      <c r="E3356" t="s">
        <v>36</v>
      </c>
      <c r="F3356" t="s">
        <v>37</v>
      </c>
      <c r="G3356">
        <v>2</v>
      </c>
      <c r="H3356">
        <v>12034.67</v>
      </c>
      <c r="I3356">
        <v>1353.03</v>
      </c>
      <c r="J3356" t="s">
        <v>16</v>
      </c>
      <c r="K3356" t="s">
        <v>33</v>
      </c>
      <c r="L3356">
        <f t="shared" si="156"/>
        <v>2024</v>
      </c>
      <c r="M3356" t="str">
        <f t="shared" si="157"/>
        <v>Jun</v>
      </c>
      <c r="N3356" s="2">
        <f t="shared" si="158"/>
        <v>0.11242767770117502</v>
      </c>
    </row>
    <row r="3357" spans="1:14" x14ac:dyDescent="0.45">
      <c r="A3357" t="s">
        <v>6182</v>
      </c>
      <c r="B3357" s="1">
        <v>44843</v>
      </c>
      <c r="C3357" t="s">
        <v>6183</v>
      </c>
      <c r="D3357" t="s">
        <v>56</v>
      </c>
      <c r="E3357" t="s">
        <v>14</v>
      </c>
      <c r="F3357" t="s">
        <v>57</v>
      </c>
      <c r="G3357">
        <v>1</v>
      </c>
      <c r="H3357">
        <v>11437.73</v>
      </c>
      <c r="I3357">
        <v>1249.28</v>
      </c>
      <c r="J3357" t="s">
        <v>71</v>
      </c>
      <c r="K3357" t="s">
        <v>33</v>
      </c>
      <c r="L3357">
        <f t="shared" si="156"/>
        <v>2022</v>
      </c>
      <c r="M3357" t="str">
        <f t="shared" si="157"/>
        <v>Oct</v>
      </c>
      <c r="N3357" s="2">
        <f t="shared" si="158"/>
        <v>0.1092244702401613</v>
      </c>
    </row>
    <row r="3358" spans="1:14" x14ac:dyDescent="0.45">
      <c r="A3358" t="s">
        <v>6184</v>
      </c>
      <c r="B3358" s="1">
        <v>44877</v>
      </c>
      <c r="C3358" t="s">
        <v>6185</v>
      </c>
      <c r="D3358" t="s">
        <v>56</v>
      </c>
      <c r="E3358" t="s">
        <v>36</v>
      </c>
      <c r="F3358" t="s">
        <v>46</v>
      </c>
      <c r="G3358">
        <v>5</v>
      </c>
      <c r="H3358">
        <v>11513.24</v>
      </c>
      <c r="I3358">
        <v>1243.46</v>
      </c>
      <c r="J3358" t="s">
        <v>71</v>
      </c>
      <c r="K3358" t="s">
        <v>17</v>
      </c>
      <c r="L3358">
        <f t="shared" si="156"/>
        <v>2022</v>
      </c>
      <c r="M3358" t="str">
        <f t="shared" si="157"/>
        <v>Nov</v>
      </c>
      <c r="N3358" s="2">
        <f t="shared" si="158"/>
        <v>0.10800261264422527</v>
      </c>
    </row>
    <row r="3359" spans="1:14" x14ac:dyDescent="0.45">
      <c r="A3359" t="s">
        <v>6186</v>
      </c>
      <c r="B3359" s="1">
        <v>44698</v>
      </c>
      <c r="C3359" t="s">
        <v>6187</v>
      </c>
      <c r="D3359" t="s">
        <v>56</v>
      </c>
      <c r="E3359" t="s">
        <v>20</v>
      </c>
      <c r="F3359" t="s">
        <v>21</v>
      </c>
      <c r="G3359">
        <v>3</v>
      </c>
      <c r="H3359">
        <v>43092.81</v>
      </c>
      <c r="I3359">
        <v>7920.25</v>
      </c>
      <c r="J3359" t="s">
        <v>16</v>
      </c>
      <c r="K3359" t="s">
        <v>17</v>
      </c>
      <c r="L3359">
        <f t="shared" si="156"/>
        <v>2022</v>
      </c>
      <c r="M3359" t="str">
        <f t="shared" si="157"/>
        <v>May</v>
      </c>
      <c r="N3359" s="2">
        <f t="shared" si="158"/>
        <v>0.18379516211637162</v>
      </c>
    </row>
    <row r="3360" spans="1:14" x14ac:dyDescent="0.45">
      <c r="A3360" t="s">
        <v>6188</v>
      </c>
      <c r="B3360" s="1">
        <v>44830</v>
      </c>
      <c r="C3360" t="s">
        <v>6189</v>
      </c>
      <c r="D3360" t="s">
        <v>56</v>
      </c>
      <c r="E3360" t="s">
        <v>14</v>
      </c>
      <c r="F3360" t="s">
        <v>32</v>
      </c>
      <c r="G3360">
        <v>1</v>
      </c>
      <c r="H3360">
        <v>40401.47</v>
      </c>
      <c r="I3360">
        <v>9048.43</v>
      </c>
      <c r="J3360" t="s">
        <v>28</v>
      </c>
      <c r="K3360" t="s">
        <v>33</v>
      </c>
      <c r="L3360">
        <f t="shared" si="156"/>
        <v>2022</v>
      </c>
      <c r="M3360" t="str">
        <f t="shared" si="157"/>
        <v>Sep</v>
      </c>
      <c r="N3360" s="2">
        <f t="shared" si="158"/>
        <v>0.2239628904591838</v>
      </c>
    </row>
    <row r="3361" spans="1:14" x14ac:dyDescent="0.45">
      <c r="A3361" t="s">
        <v>6190</v>
      </c>
      <c r="B3361" s="1">
        <v>45188</v>
      </c>
      <c r="C3361" t="s">
        <v>6191</v>
      </c>
      <c r="D3361" t="s">
        <v>26</v>
      </c>
      <c r="E3361" t="s">
        <v>14</v>
      </c>
      <c r="F3361" t="s">
        <v>40</v>
      </c>
      <c r="G3361">
        <v>5</v>
      </c>
      <c r="H3361">
        <v>18381.16</v>
      </c>
      <c r="I3361">
        <v>3639.87</v>
      </c>
      <c r="J3361" t="s">
        <v>47</v>
      </c>
      <c r="K3361" t="s">
        <v>33</v>
      </c>
      <c r="L3361">
        <f t="shared" si="156"/>
        <v>2023</v>
      </c>
      <c r="M3361" t="str">
        <f t="shared" si="157"/>
        <v>Sep</v>
      </c>
      <c r="N3361" s="2">
        <f t="shared" si="158"/>
        <v>0.19802177882135838</v>
      </c>
    </row>
    <row r="3362" spans="1:14" x14ac:dyDescent="0.45">
      <c r="A3362" t="s">
        <v>6192</v>
      </c>
      <c r="B3362" s="1">
        <v>45414</v>
      </c>
      <c r="C3362" t="s">
        <v>5408</v>
      </c>
      <c r="D3362" t="s">
        <v>26</v>
      </c>
      <c r="E3362" t="s">
        <v>36</v>
      </c>
      <c r="F3362" t="s">
        <v>64</v>
      </c>
      <c r="G3362">
        <v>5</v>
      </c>
      <c r="H3362">
        <v>48691.93</v>
      </c>
      <c r="I3362">
        <v>5301.53</v>
      </c>
      <c r="J3362" t="s">
        <v>16</v>
      </c>
      <c r="K3362" t="s">
        <v>29</v>
      </c>
      <c r="L3362">
        <f t="shared" si="156"/>
        <v>2024</v>
      </c>
      <c r="M3362" t="str">
        <f t="shared" si="157"/>
        <v>May</v>
      </c>
      <c r="N3362" s="2">
        <f t="shared" si="158"/>
        <v>0.10887902779783015</v>
      </c>
    </row>
    <row r="3363" spans="1:14" x14ac:dyDescent="0.45">
      <c r="A3363" t="s">
        <v>6193</v>
      </c>
      <c r="B3363" s="1">
        <v>44588</v>
      </c>
      <c r="C3363" t="s">
        <v>6194</v>
      </c>
      <c r="D3363" t="s">
        <v>13</v>
      </c>
      <c r="E3363" t="s">
        <v>36</v>
      </c>
      <c r="F3363" t="s">
        <v>64</v>
      </c>
      <c r="G3363">
        <v>5</v>
      </c>
      <c r="H3363">
        <v>5510.63</v>
      </c>
      <c r="I3363">
        <v>607.37</v>
      </c>
      <c r="J3363" t="s">
        <v>71</v>
      </c>
      <c r="K3363" t="s">
        <v>33</v>
      </c>
      <c r="L3363">
        <f t="shared" si="156"/>
        <v>2022</v>
      </c>
      <c r="M3363" t="str">
        <f t="shared" si="157"/>
        <v>Jan</v>
      </c>
      <c r="N3363" s="2">
        <f t="shared" si="158"/>
        <v>0.1102178879728815</v>
      </c>
    </row>
    <row r="3364" spans="1:14" x14ac:dyDescent="0.45">
      <c r="A3364" t="s">
        <v>6195</v>
      </c>
      <c r="B3364" s="1">
        <v>45632</v>
      </c>
      <c r="C3364" t="s">
        <v>6196</v>
      </c>
      <c r="D3364" t="s">
        <v>13</v>
      </c>
      <c r="E3364" t="s">
        <v>14</v>
      </c>
      <c r="F3364" t="s">
        <v>32</v>
      </c>
      <c r="G3364">
        <v>5</v>
      </c>
      <c r="H3364">
        <v>36327.629999999997</v>
      </c>
      <c r="I3364">
        <v>3455.37</v>
      </c>
      <c r="J3364" t="s">
        <v>71</v>
      </c>
      <c r="K3364" t="s">
        <v>23</v>
      </c>
      <c r="L3364">
        <f t="shared" si="156"/>
        <v>2024</v>
      </c>
      <c r="M3364" t="str">
        <f t="shared" si="157"/>
        <v>Dec</v>
      </c>
      <c r="N3364" s="2">
        <f t="shared" si="158"/>
        <v>9.5116857334210908E-2</v>
      </c>
    </row>
    <row r="3365" spans="1:14" x14ac:dyDescent="0.45">
      <c r="A3365" t="s">
        <v>6197</v>
      </c>
      <c r="B3365" s="1">
        <v>44688</v>
      </c>
      <c r="C3365" t="s">
        <v>6198</v>
      </c>
      <c r="D3365" t="s">
        <v>13</v>
      </c>
      <c r="E3365" t="s">
        <v>36</v>
      </c>
      <c r="F3365" t="s">
        <v>64</v>
      </c>
      <c r="G3365">
        <v>4</v>
      </c>
      <c r="H3365">
        <v>1331.52</v>
      </c>
      <c r="I3365">
        <v>258.19</v>
      </c>
      <c r="J3365" t="s">
        <v>28</v>
      </c>
      <c r="K3365" t="s">
        <v>33</v>
      </c>
      <c r="L3365">
        <f t="shared" si="156"/>
        <v>2022</v>
      </c>
      <c r="M3365" t="str">
        <f t="shared" si="157"/>
        <v>May</v>
      </c>
      <c r="N3365" s="2">
        <f t="shared" si="158"/>
        <v>0.19390621244893055</v>
      </c>
    </row>
    <row r="3366" spans="1:14" x14ac:dyDescent="0.45">
      <c r="A3366" t="s">
        <v>6199</v>
      </c>
      <c r="B3366" s="1">
        <v>45498</v>
      </c>
      <c r="C3366" t="s">
        <v>6137</v>
      </c>
      <c r="D3366" t="s">
        <v>13</v>
      </c>
      <c r="E3366" t="s">
        <v>20</v>
      </c>
      <c r="F3366" t="s">
        <v>27</v>
      </c>
      <c r="G3366">
        <v>5</v>
      </c>
      <c r="H3366">
        <v>3544.56</v>
      </c>
      <c r="I3366">
        <v>333.24</v>
      </c>
      <c r="J3366" t="s">
        <v>71</v>
      </c>
      <c r="K3366" t="s">
        <v>23</v>
      </c>
      <c r="L3366">
        <f t="shared" si="156"/>
        <v>2024</v>
      </c>
      <c r="M3366" t="str">
        <f t="shared" si="157"/>
        <v>Jul</v>
      </c>
      <c r="N3366" s="2">
        <f t="shared" si="158"/>
        <v>9.4014489809736618E-2</v>
      </c>
    </row>
    <row r="3367" spans="1:14" x14ac:dyDescent="0.45">
      <c r="A3367" t="s">
        <v>6200</v>
      </c>
      <c r="B3367" s="1">
        <v>45568</v>
      </c>
      <c r="C3367" t="s">
        <v>6201</v>
      </c>
      <c r="D3367" t="s">
        <v>13</v>
      </c>
      <c r="E3367" t="s">
        <v>36</v>
      </c>
      <c r="F3367" t="s">
        <v>53</v>
      </c>
      <c r="G3367">
        <v>3</v>
      </c>
      <c r="H3367">
        <v>21219.42</v>
      </c>
      <c r="I3367">
        <v>4186.3599999999997</v>
      </c>
      <c r="J3367" t="s">
        <v>28</v>
      </c>
      <c r="K3367" t="s">
        <v>29</v>
      </c>
      <c r="L3367">
        <f t="shared" si="156"/>
        <v>2024</v>
      </c>
      <c r="M3367" t="str">
        <f t="shared" si="157"/>
        <v>Oct</v>
      </c>
      <c r="N3367" s="2">
        <f t="shared" si="158"/>
        <v>0.19728908707212545</v>
      </c>
    </row>
    <row r="3368" spans="1:14" x14ac:dyDescent="0.45">
      <c r="A3368" t="s">
        <v>6202</v>
      </c>
      <c r="B3368" s="1">
        <v>45510</v>
      </c>
      <c r="C3368" t="s">
        <v>6203</v>
      </c>
      <c r="D3368" t="s">
        <v>56</v>
      </c>
      <c r="E3368" t="s">
        <v>14</v>
      </c>
      <c r="F3368" t="s">
        <v>57</v>
      </c>
      <c r="G3368">
        <v>3</v>
      </c>
      <c r="H3368">
        <v>33323.94</v>
      </c>
      <c r="I3368">
        <v>8312.92</v>
      </c>
      <c r="J3368" t="s">
        <v>71</v>
      </c>
      <c r="K3368" t="s">
        <v>17</v>
      </c>
      <c r="L3368">
        <f t="shared" si="156"/>
        <v>2024</v>
      </c>
      <c r="M3368" t="str">
        <f t="shared" si="157"/>
        <v>Aug</v>
      </c>
      <c r="N3368" s="2">
        <f t="shared" si="158"/>
        <v>0.24945789723544093</v>
      </c>
    </row>
    <row r="3369" spans="1:14" x14ac:dyDescent="0.45">
      <c r="A3369" t="s">
        <v>6204</v>
      </c>
      <c r="B3369" s="1">
        <v>44880</v>
      </c>
      <c r="C3369" t="s">
        <v>6205</v>
      </c>
      <c r="D3369" t="s">
        <v>13</v>
      </c>
      <c r="E3369" t="s">
        <v>20</v>
      </c>
      <c r="F3369" t="s">
        <v>21</v>
      </c>
      <c r="G3369">
        <v>4</v>
      </c>
      <c r="H3369">
        <v>8652.82</v>
      </c>
      <c r="I3369">
        <v>1396.06</v>
      </c>
      <c r="J3369" t="s">
        <v>71</v>
      </c>
      <c r="K3369" t="s">
        <v>23</v>
      </c>
      <c r="L3369">
        <f t="shared" si="156"/>
        <v>2022</v>
      </c>
      <c r="M3369" t="str">
        <f t="shared" si="157"/>
        <v>Nov</v>
      </c>
      <c r="N3369" s="2">
        <f t="shared" si="158"/>
        <v>0.16134162041970132</v>
      </c>
    </row>
    <row r="3370" spans="1:14" x14ac:dyDescent="0.45">
      <c r="A3370" t="s">
        <v>6206</v>
      </c>
      <c r="B3370" s="1">
        <v>44726</v>
      </c>
      <c r="C3370" t="s">
        <v>6207</v>
      </c>
      <c r="D3370" t="s">
        <v>56</v>
      </c>
      <c r="E3370" t="s">
        <v>14</v>
      </c>
      <c r="F3370" t="s">
        <v>32</v>
      </c>
      <c r="G3370">
        <v>5</v>
      </c>
      <c r="H3370">
        <v>45487.519999999997</v>
      </c>
      <c r="I3370">
        <v>3356.32</v>
      </c>
      <c r="J3370" t="s">
        <v>22</v>
      </c>
      <c r="K3370" t="s">
        <v>23</v>
      </c>
      <c r="L3370">
        <f t="shared" si="156"/>
        <v>2022</v>
      </c>
      <c r="M3370" t="str">
        <f t="shared" si="157"/>
        <v>Jun</v>
      </c>
      <c r="N3370" s="2">
        <f t="shared" si="158"/>
        <v>7.3785513037422146E-2</v>
      </c>
    </row>
    <row r="3371" spans="1:14" x14ac:dyDescent="0.45">
      <c r="A3371" t="s">
        <v>6208</v>
      </c>
      <c r="B3371" s="1">
        <v>45286</v>
      </c>
      <c r="C3371" t="s">
        <v>5090</v>
      </c>
      <c r="D3371" t="s">
        <v>26</v>
      </c>
      <c r="E3371" t="s">
        <v>36</v>
      </c>
      <c r="F3371" t="s">
        <v>53</v>
      </c>
      <c r="G3371">
        <v>2</v>
      </c>
      <c r="H3371">
        <v>946.42</v>
      </c>
      <c r="I3371">
        <v>184.42</v>
      </c>
      <c r="J3371" t="s">
        <v>71</v>
      </c>
      <c r="K3371" t="s">
        <v>33</v>
      </c>
      <c r="L3371">
        <f t="shared" si="156"/>
        <v>2023</v>
      </c>
      <c r="M3371" t="str">
        <f t="shared" si="157"/>
        <v>Dec</v>
      </c>
      <c r="N3371" s="2">
        <f t="shared" si="158"/>
        <v>0.19486063270006973</v>
      </c>
    </row>
    <row r="3372" spans="1:14" x14ac:dyDescent="0.45">
      <c r="A3372" t="s">
        <v>6209</v>
      </c>
      <c r="B3372" s="1">
        <v>45495</v>
      </c>
      <c r="C3372" t="s">
        <v>5073</v>
      </c>
      <c r="D3372" t="s">
        <v>26</v>
      </c>
      <c r="E3372" t="s">
        <v>14</v>
      </c>
      <c r="F3372" t="s">
        <v>32</v>
      </c>
      <c r="G3372">
        <v>1</v>
      </c>
      <c r="H3372">
        <v>25412.05</v>
      </c>
      <c r="I3372">
        <v>2199.7399999999998</v>
      </c>
      <c r="J3372" t="s">
        <v>28</v>
      </c>
      <c r="K3372" t="s">
        <v>17</v>
      </c>
      <c r="L3372">
        <f t="shared" si="156"/>
        <v>2024</v>
      </c>
      <c r="M3372" t="str">
        <f t="shared" si="157"/>
        <v>Jul</v>
      </c>
      <c r="N3372" s="2">
        <f t="shared" si="158"/>
        <v>8.6562870764066643E-2</v>
      </c>
    </row>
    <row r="3373" spans="1:14" x14ac:dyDescent="0.45">
      <c r="A3373" t="s">
        <v>6210</v>
      </c>
      <c r="B3373" s="1">
        <v>44888</v>
      </c>
      <c r="C3373" t="s">
        <v>6211</v>
      </c>
      <c r="D3373" t="s">
        <v>26</v>
      </c>
      <c r="E3373" t="s">
        <v>14</v>
      </c>
      <c r="F3373" t="s">
        <v>32</v>
      </c>
      <c r="G3373">
        <v>4</v>
      </c>
      <c r="H3373">
        <v>22396.82</v>
      </c>
      <c r="I3373">
        <v>4748.8599999999997</v>
      </c>
      <c r="J3373" t="s">
        <v>71</v>
      </c>
      <c r="K3373" t="s">
        <v>17</v>
      </c>
      <c r="L3373">
        <f t="shared" si="156"/>
        <v>2022</v>
      </c>
      <c r="M3373" t="str">
        <f t="shared" si="157"/>
        <v>Nov</v>
      </c>
      <c r="N3373" s="2">
        <f t="shared" si="158"/>
        <v>0.21203277965354009</v>
      </c>
    </row>
    <row r="3374" spans="1:14" x14ac:dyDescent="0.45">
      <c r="A3374" t="s">
        <v>6212</v>
      </c>
      <c r="B3374" s="1">
        <v>44852</v>
      </c>
      <c r="C3374" t="s">
        <v>6213</v>
      </c>
      <c r="D3374" t="s">
        <v>26</v>
      </c>
      <c r="E3374" t="s">
        <v>20</v>
      </c>
      <c r="F3374" t="s">
        <v>27</v>
      </c>
      <c r="G3374">
        <v>2</v>
      </c>
      <c r="H3374">
        <v>40325.97</v>
      </c>
      <c r="I3374">
        <v>5211.1899999999996</v>
      </c>
      <c r="J3374" t="s">
        <v>47</v>
      </c>
      <c r="K3374" t="s">
        <v>29</v>
      </c>
      <c r="L3374">
        <f t="shared" si="156"/>
        <v>2022</v>
      </c>
      <c r="M3374" t="str">
        <f t="shared" si="157"/>
        <v>Oct</v>
      </c>
      <c r="N3374" s="2">
        <f t="shared" si="158"/>
        <v>0.12922664972473072</v>
      </c>
    </row>
    <row r="3375" spans="1:14" x14ac:dyDescent="0.45">
      <c r="A3375" t="s">
        <v>6214</v>
      </c>
      <c r="B3375" s="1">
        <v>45347</v>
      </c>
      <c r="C3375" t="s">
        <v>6215</v>
      </c>
      <c r="D3375" t="s">
        <v>56</v>
      </c>
      <c r="E3375" t="s">
        <v>20</v>
      </c>
      <c r="F3375" t="s">
        <v>43</v>
      </c>
      <c r="G3375">
        <v>5</v>
      </c>
      <c r="H3375">
        <v>42156.95</v>
      </c>
      <c r="I3375">
        <v>7233.67</v>
      </c>
      <c r="J3375" t="s">
        <v>22</v>
      </c>
      <c r="K3375" t="s">
        <v>29</v>
      </c>
      <c r="L3375">
        <f t="shared" si="156"/>
        <v>2024</v>
      </c>
      <c r="M3375" t="str">
        <f t="shared" si="157"/>
        <v>Feb</v>
      </c>
      <c r="N3375" s="2">
        <f t="shared" si="158"/>
        <v>0.17158902624596895</v>
      </c>
    </row>
    <row r="3376" spans="1:14" x14ac:dyDescent="0.45">
      <c r="A3376" t="s">
        <v>6216</v>
      </c>
      <c r="B3376" s="1">
        <v>45474</v>
      </c>
      <c r="C3376" t="s">
        <v>6217</v>
      </c>
      <c r="D3376" t="s">
        <v>13</v>
      </c>
      <c r="E3376" t="s">
        <v>20</v>
      </c>
      <c r="F3376" t="s">
        <v>50</v>
      </c>
      <c r="G3376">
        <v>2</v>
      </c>
      <c r="H3376">
        <v>42366.65</v>
      </c>
      <c r="I3376">
        <v>4407.91</v>
      </c>
      <c r="J3376" t="s">
        <v>47</v>
      </c>
      <c r="K3376" t="s">
        <v>17</v>
      </c>
      <c r="L3376">
        <f t="shared" si="156"/>
        <v>2024</v>
      </c>
      <c r="M3376" t="str">
        <f t="shared" si="157"/>
        <v>Jul</v>
      </c>
      <c r="N3376" s="2">
        <f t="shared" si="158"/>
        <v>0.1040419764130513</v>
      </c>
    </row>
    <row r="3377" spans="1:14" x14ac:dyDescent="0.45">
      <c r="A3377" t="s">
        <v>6218</v>
      </c>
      <c r="B3377" s="1">
        <v>44610</v>
      </c>
      <c r="C3377" t="s">
        <v>6219</v>
      </c>
      <c r="D3377" t="s">
        <v>56</v>
      </c>
      <c r="E3377" t="s">
        <v>14</v>
      </c>
      <c r="F3377" t="s">
        <v>15</v>
      </c>
      <c r="G3377">
        <v>2</v>
      </c>
      <c r="H3377">
        <v>35387.25</v>
      </c>
      <c r="I3377">
        <v>6029.26</v>
      </c>
      <c r="J3377" t="s">
        <v>22</v>
      </c>
      <c r="K3377" t="s">
        <v>23</v>
      </c>
      <c r="L3377">
        <f t="shared" si="156"/>
        <v>2022</v>
      </c>
      <c r="M3377" t="str">
        <f t="shared" si="157"/>
        <v>Feb</v>
      </c>
      <c r="N3377" s="2">
        <f t="shared" si="158"/>
        <v>0.17037944457396378</v>
      </c>
    </row>
    <row r="3378" spans="1:14" x14ac:dyDescent="0.45">
      <c r="A3378" t="s">
        <v>6220</v>
      </c>
      <c r="B3378" s="1">
        <v>44618</v>
      </c>
      <c r="C3378" t="s">
        <v>6221</v>
      </c>
      <c r="D3378" t="s">
        <v>13</v>
      </c>
      <c r="E3378" t="s">
        <v>36</v>
      </c>
      <c r="F3378" t="s">
        <v>37</v>
      </c>
      <c r="G3378">
        <v>2</v>
      </c>
      <c r="H3378">
        <v>48884.23</v>
      </c>
      <c r="I3378">
        <v>9475.4599999999991</v>
      </c>
      <c r="J3378" t="s">
        <v>47</v>
      </c>
      <c r="K3378" t="s">
        <v>17</v>
      </c>
      <c r="L3378">
        <f t="shared" si="156"/>
        <v>2022</v>
      </c>
      <c r="M3378" t="str">
        <f t="shared" si="157"/>
        <v>Feb</v>
      </c>
      <c r="N3378" s="2">
        <f t="shared" si="158"/>
        <v>0.19383469883845975</v>
      </c>
    </row>
    <row r="3379" spans="1:14" x14ac:dyDescent="0.45">
      <c r="A3379" t="s">
        <v>6222</v>
      </c>
      <c r="B3379" s="1">
        <v>44981</v>
      </c>
      <c r="C3379" t="s">
        <v>3792</v>
      </c>
      <c r="D3379" t="s">
        <v>26</v>
      </c>
      <c r="E3379" t="s">
        <v>14</v>
      </c>
      <c r="F3379" t="s">
        <v>15</v>
      </c>
      <c r="G3379">
        <v>4</v>
      </c>
      <c r="H3379">
        <v>4680.97</v>
      </c>
      <c r="I3379">
        <v>549.80999999999995</v>
      </c>
      <c r="J3379" t="s">
        <v>47</v>
      </c>
      <c r="K3379" t="s">
        <v>33</v>
      </c>
      <c r="L3379">
        <f t="shared" si="156"/>
        <v>2023</v>
      </c>
      <c r="M3379" t="str">
        <f t="shared" si="157"/>
        <v>Feb</v>
      </c>
      <c r="N3379" s="2">
        <f t="shared" si="158"/>
        <v>0.1174564246299378</v>
      </c>
    </row>
    <row r="3380" spans="1:14" x14ac:dyDescent="0.45">
      <c r="A3380" t="s">
        <v>6223</v>
      </c>
      <c r="B3380" s="1">
        <v>44626</v>
      </c>
      <c r="C3380" t="s">
        <v>3741</v>
      </c>
      <c r="D3380" t="s">
        <v>26</v>
      </c>
      <c r="E3380" t="s">
        <v>36</v>
      </c>
      <c r="F3380" t="s">
        <v>53</v>
      </c>
      <c r="G3380">
        <v>2</v>
      </c>
      <c r="H3380">
        <v>49675.18</v>
      </c>
      <c r="I3380">
        <v>7201.1</v>
      </c>
      <c r="J3380" t="s">
        <v>22</v>
      </c>
      <c r="K3380" t="s">
        <v>33</v>
      </c>
      <c r="L3380">
        <f t="shared" si="156"/>
        <v>2022</v>
      </c>
      <c r="M3380" t="str">
        <f t="shared" si="157"/>
        <v>Mar</v>
      </c>
      <c r="N3380" s="2">
        <f t="shared" si="158"/>
        <v>0.14496374245649438</v>
      </c>
    </row>
    <row r="3381" spans="1:14" x14ac:dyDescent="0.45">
      <c r="A3381" t="s">
        <v>6224</v>
      </c>
      <c r="B3381" s="1">
        <v>45243</v>
      </c>
      <c r="C3381" t="s">
        <v>6225</v>
      </c>
      <c r="D3381" t="s">
        <v>56</v>
      </c>
      <c r="E3381" t="s">
        <v>20</v>
      </c>
      <c r="F3381" t="s">
        <v>27</v>
      </c>
      <c r="G3381">
        <v>2</v>
      </c>
      <c r="H3381">
        <v>42394.35</v>
      </c>
      <c r="I3381">
        <v>4925.49</v>
      </c>
      <c r="J3381" t="s">
        <v>71</v>
      </c>
      <c r="K3381" t="s">
        <v>17</v>
      </c>
      <c r="L3381">
        <f t="shared" si="156"/>
        <v>2023</v>
      </c>
      <c r="M3381" t="str">
        <f t="shared" si="157"/>
        <v>Nov</v>
      </c>
      <c r="N3381" s="2">
        <f t="shared" si="158"/>
        <v>0.11618269887378861</v>
      </c>
    </row>
    <row r="3382" spans="1:14" x14ac:dyDescent="0.45">
      <c r="A3382" t="s">
        <v>6226</v>
      </c>
      <c r="B3382" s="1">
        <v>45489</v>
      </c>
      <c r="C3382" t="s">
        <v>4769</v>
      </c>
      <c r="D3382" t="s">
        <v>26</v>
      </c>
      <c r="E3382" t="s">
        <v>20</v>
      </c>
      <c r="F3382" t="s">
        <v>50</v>
      </c>
      <c r="G3382">
        <v>5</v>
      </c>
      <c r="H3382">
        <v>39331.53</v>
      </c>
      <c r="I3382">
        <v>2318.4899999999998</v>
      </c>
      <c r="J3382" t="s">
        <v>47</v>
      </c>
      <c r="K3382" t="s">
        <v>17</v>
      </c>
      <c r="L3382">
        <f t="shared" si="156"/>
        <v>2024</v>
      </c>
      <c r="M3382" t="str">
        <f t="shared" si="157"/>
        <v>Jul</v>
      </c>
      <c r="N3382" s="2">
        <f t="shared" si="158"/>
        <v>5.89473636037042E-2</v>
      </c>
    </row>
    <row r="3383" spans="1:14" x14ac:dyDescent="0.45">
      <c r="A3383" t="s">
        <v>6227</v>
      </c>
      <c r="B3383" s="1">
        <v>45383</v>
      </c>
      <c r="C3383" t="s">
        <v>6228</v>
      </c>
      <c r="D3383" t="s">
        <v>26</v>
      </c>
      <c r="E3383" t="s">
        <v>14</v>
      </c>
      <c r="F3383" t="s">
        <v>57</v>
      </c>
      <c r="G3383">
        <v>2</v>
      </c>
      <c r="H3383">
        <v>19134.57</v>
      </c>
      <c r="I3383">
        <v>1203.6300000000001</v>
      </c>
      <c r="J3383" t="s">
        <v>47</v>
      </c>
      <c r="K3383" t="s">
        <v>29</v>
      </c>
      <c r="L3383">
        <f t="shared" si="156"/>
        <v>2024</v>
      </c>
      <c r="M3383" t="str">
        <f t="shared" si="157"/>
        <v>Apr</v>
      </c>
      <c r="N3383" s="2">
        <f t="shared" si="158"/>
        <v>6.2903425579984296E-2</v>
      </c>
    </row>
    <row r="3384" spans="1:14" x14ac:dyDescent="0.45">
      <c r="A3384" t="s">
        <v>6229</v>
      </c>
      <c r="B3384" s="1">
        <v>45393</v>
      </c>
      <c r="C3384" t="s">
        <v>6230</v>
      </c>
      <c r="D3384" t="s">
        <v>26</v>
      </c>
      <c r="E3384" t="s">
        <v>14</v>
      </c>
      <c r="F3384" t="s">
        <v>40</v>
      </c>
      <c r="G3384">
        <v>5</v>
      </c>
      <c r="H3384">
        <v>4825.8599999999997</v>
      </c>
      <c r="I3384">
        <v>462.12</v>
      </c>
      <c r="J3384" t="s">
        <v>47</v>
      </c>
      <c r="K3384" t="s">
        <v>29</v>
      </c>
      <c r="L3384">
        <f t="shared" si="156"/>
        <v>2024</v>
      </c>
      <c r="M3384" t="str">
        <f t="shared" si="157"/>
        <v>Apr</v>
      </c>
      <c r="N3384" s="2">
        <f t="shared" si="158"/>
        <v>9.5759097860277767E-2</v>
      </c>
    </row>
    <row r="3385" spans="1:14" x14ac:dyDescent="0.45">
      <c r="A3385" t="s">
        <v>6231</v>
      </c>
      <c r="B3385" s="1">
        <v>45141</v>
      </c>
      <c r="C3385" t="s">
        <v>1302</v>
      </c>
      <c r="D3385" t="s">
        <v>13</v>
      </c>
      <c r="E3385" t="s">
        <v>20</v>
      </c>
      <c r="F3385" t="s">
        <v>43</v>
      </c>
      <c r="G3385">
        <v>2</v>
      </c>
      <c r="H3385">
        <v>15684.76</v>
      </c>
      <c r="I3385">
        <v>3253.02</v>
      </c>
      <c r="J3385" t="s">
        <v>22</v>
      </c>
      <c r="K3385" t="s">
        <v>29</v>
      </c>
      <c r="L3385">
        <f t="shared" si="156"/>
        <v>2023</v>
      </c>
      <c r="M3385" t="str">
        <f t="shared" si="157"/>
        <v>Aug</v>
      </c>
      <c r="N3385" s="2">
        <f t="shared" si="158"/>
        <v>0.20740004947477678</v>
      </c>
    </row>
    <row r="3386" spans="1:14" x14ac:dyDescent="0.45">
      <c r="A3386" t="s">
        <v>6232</v>
      </c>
      <c r="B3386" s="1">
        <v>44721</v>
      </c>
      <c r="C3386" t="s">
        <v>6233</v>
      </c>
      <c r="D3386" t="s">
        <v>56</v>
      </c>
      <c r="E3386" t="s">
        <v>36</v>
      </c>
      <c r="F3386" t="s">
        <v>53</v>
      </c>
      <c r="G3386">
        <v>4</v>
      </c>
      <c r="H3386">
        <v>18916.22</v>
      </c>
      <c r="I3386">
        <v>2439.25</v>
      </c>
      <c r="J3386" t="s">
        <v>22</v>
      </c>
      <c r="K3386" t="s">
        <v>17</v>
      </c>
      <c r="L3386">
        <f t="shared" si="156"/>
        <v>2022</v>
      </c>
      <c r="M3386" t="str">
        <f t="shared" si="157"/>
        <v>Jun</v>
      </c>
      <c r="N3386" s="2">
        <f t="shared" si="158"/>
        <v>0.1289501813787321</v>
      </c>
    </row>
    <row r="3387" spans="1:14" x14ac:dyDescent="0.45">
      <c r="A3387" t="s">
        <v>6234</v>
      </c>
      <c r="B3387" s="1">
        <v>44676</v>
      </c>
      <c r="C3387" t="s">
        <v>6235</v>
      </c>
      <c r="D3387" t="s">
        <v>56</v>
      </c>
      <c r="E3387" t="s">
        <v>36</v>
      </c>
      <c r="F3387" t="s">
        <v>64</v>
      </c>
      <c r="G3387">
        <v>4</v>
      </c>
      <c r="H3387">
        <v>26298.06</v>
      </c>
      <c r="I3387">
        <v>4732.95</v>
      </c>
      <c r="J3387" t="s">
        <v>28</v>
      </c>
      <c r="K3387" t="s">
        <v>33</v>
      </c>
      <c r="L3387">
        <f t="shared" si="156"/>
        <v>2022</v>
      </c>
      <c r="M3387" t="str">
        <f t="shared" si="157"/>
        <v>Apr</v>
      </c>
      <c r="N3387" s="2">
        <f t="shared" si="158"/>
        <v>0.17997335164647124</v>
      </c>
    </row>
    <row r="3388" spans="1:14" x14ac:dyDescent="0.45">
      <c r="A3388" t="s">
        <v>6236</v>
      </c>
      <c r="B3388" s="1">
        <v>45585</v>
      </c>
      <c r="C3388" t="s">
        <v>6237</v>
      </c>
      <c r="D3388" t="s">
        <v>26</v>
      </c>
      <c r="E3388" t="s">
        <v>36</v>
      </c>
      <c r="F3388" t="s">
        <v>37</v>
      </c>
      <c r="G3388">
        <v>2</v>
      </c>
      <c r="H3388">
        <v>41698.46</v>
      </c>
      <c r="I3388">
        <v>6534.17</v>
      </c>
      <c r="J3388" t="s">
        <v>28</v>
      </c>
      <c r="K3388" t="s">
        <v>33</v>
      </c>
      <c r="L3388">
        <f t="shared" si="156"/>
        <v>2024</v>
      </c>
      <c r="M3388" t="str">
        <f t="shared" si="157"/>
        <v>Oct</v>
      </c>
      <c r="N3388" s="2">
        <f t="shared" si="158"/>
        <v>0.15670051124190199</v>
      </c>
    </row>
    <row r="3389" spans="1:14" x14ac:dyDescent="0.45">
      <c r="A3389" t="s">
        <v>6238</v>
      </c>
      <c r="B3389" s="1">
        <v>45651</v>
      </c>
      <c r="C3389" t="s">
        <v>6239</v>
      </c>
      <c r="D3389" t="s">
        <v>26</v>
      </c>
      <c r="E3389" t="s">
        <v>14</v>
      </c>
      <c r="F3389" t="s">
        <v>15</v>
      </c>
      <c r="G3389">
        <v>3</v>
      </c>
      <c r="H3389">
        <v>3784.12</v>
      </c>
      <c r="I3389">
        <v>577.86</v>
      </c>
      <c r="J3389" t="s">
        <v>28</v>
      </c>
      <c r="K3389" t="s">
        <v>17</v>
      </c>
      <c r="L3389">
        <f t="shared" si="156"/>
        <v>2024</v>
      </c>
      <c r="M3389" t="str">
        <f t="shared" si="157"/>
        <v>Dec</v>
      </c>
      <c r="N3389" s="2">
        <f t="shared" si="158"/>
        <v>0.15270657378730063</v>
      </c>
    </row>
    <row r="3390" spans="1:14" x14ac:dyDescent="0.45">
      <c r="A3390" t="s">
        <v>6240</v>
      </c>
      <c r="B3390" s="1">
        <v>44892</v>
      </c>
      <c r="C3390" t="s">
        <v>6241</v>
      </c>
      <c r="D3390" t="s">
        <v>26</v>
      </c>
      <c r="E3390" t="s">
        <v>20</v>
      </c>
      <c r="F3390" t="s">
        <v>43</v>
      </c>
      <c r="G3390">
        <v>1</v>
      </c>
      <c r="H3390">
        <v>6545.85</v>
      </c>
      <c r="I3390">
        <v>1316.92</v>
      </c>
      <c r="J3390" t="s">
        <v>22</v>
      </c>
      <c r="K3390" t="s">
        <v>33</v>
      </c>
      <c r="L3390">
        <f t="shared" si="156"/>
        <v>2022</v>
      </c>
      <c r="M3390" t="str">
        <f t="shared" si="157"/>
        <v>Nov</v>
      </c>
      <c r="N3390" s="2">
        <f t="shared" si="158"/>
        <v>0.20118395624708785</v>
      </c>
    </row>
    <row r="3391" spans="1:14" x14ac:dyDescent="0.45">
      <c r="A3391" t="s">
        <v>6242</v>
      </c>
      <c r="B3391" s="1">
        <v>45327</v>
      </c>
      <c r="C3391" t="s">
        <v>6243</v>
      </c>
      <c r="D3391" t="s">
        <v>13</v>
      </c>
      <c r="E3391" t="s">
        <v>14</v>
      </c>
      <c r="F3391" t="s">
        <v>32</v>
      </c>
      <c r="G3391">
        <v>5</v>
      </c>
      <c r="H3391">
        <v>9776.52</v>
      </c>
      <c r="I3391">
        <v>780.25</v>
      </c>
      <c r="J3391" t="s">
        <v>16</v>
      </c>
      <c r="K3391" t="s">
        <v>17</v>
      </c>
      <c r="L3391">
        <f t="shared" si="156"/>
        <v>2024</v>
      </c>
      <c r="M3391" t="str">
        <f t="shared" si="157"/>
        <v>Feb</v>
      </c>
      <c r="N3391" s="2">
        <f t="shared" si="158"/>
        <v>7.9808561737714445E-2</v>
      </c>
    </row>
    <row r="3392" spans="1:14" x14ac:dyDescent="0.45">
      <c r="A3392" t="s">
        <v>6244</v>
      </c>
      <c r="B3392" s="1">
        <v>44960</v>
      </c>
      <c r="C3392" t="s">
        <v>6245</v>
      </c>
      <c r="D3392" t="s">
        <v>13</v>
      </c>
      <c r="E3392" t="s">
        <v>36</v>
      </c>
      <c r="F3392" t="s">
        <v>46</v>
      </c>
      <c r="G3392">
        <v>4</v>
      </c>
      <c r="H3392">
        <v>9088.8700000000008</v>
      </c>
      <c r="I3392">
        <v>1931.67</v>
      </c>
      <c r="J3392" t="s">
        <v>47</v>
      </c>
      <c r="K3392" t="s">
        <v>33</v>
      </c>
      <c r="L3392">
        <f t="shared" si="156"/>
        <v>2023</v>
      </c>
      <c r="M3392" t="str">
        <f t="shared" si="157"/>
        <v>Feb</v>
      </c>
      <c r="N3392" s="2">
        <f t="shared" si="158"/>
        <v>0.21253137078646739</v>
      </c>
    </row>
    <row r="3393" spans="1:14" x14ac:dyDescent="0.45">
      <c r="A3393" t="s">
        <v>6246</v>
      </c>
      <c r="B3393" s="1">
        <v>45023</v>
      </c>
      <c r="C3393" t="s">
        <v>6247</v>
      </c>
      <c r="D3393" t="s">
        <v>13</v>
      </c>
      <c r="E3393" t="s">
        <v>20</v>
      </c>
      <c r="F3393" t="s">
        <v>50</v>
      </c>
      <c r="G3393">
        <v>3</v>
      </c>
      <c r="H3393">
        <v>40169.93</v>
      </c>
      <c r="I3393">
        <v>3714.07</v>
      </c>
      <c r="J3393" t="s">
        <v>28</v>
      </c>
      <c r="K3393" t="s">
        <v>17</v>
      </c>
      <c r="L3393">
        <f t="shared" si="156"/>
        <v>2023</v>
      </c>
      <c r="M3393" t="str">
        <f t="shared" si="157"/>
        <v>Apr</v>
      </c>
      <c r="N3393" s="2">
        <f t="shared" si="158"/>
        <v>9.2458961218005606E-2</v>
      </c>
    </row>
    <row r="3394" spans="1:14" x14ac:dyDescent="0.45">
      <c r="A3394" t="s">
        <v>6248</v>
      </c>
      <c r="B3394" s="1">
        <v>44864</v>
      </c>
      <c r="C3394" t="s">
        <v>6249</v>
      </c>
      <c r="D3394" t="s">
        <v>13</v>
      </c>
      <c r="E3394" t="s">
        <v>20</v>
      </c>
      <c r="F3394" t="s">
        <v>43</v>
      </c>
      <c r="G3394">
        <v>3</v>
      </c>
      <c r="H3394">
        <v>4179.45</v>
      </c>
      <c r="I3394">
        <v>791.28</v>
      </c>
      <c r="J3394" t="s">
        <v>16</v>
      </c>
      <c r="K3394" t="s">
        <v>33</v>
      </c>
      <c r="L3394">
        <f t="shared" si="156"/>
        <v>2022</v>
      </c>
      <c r="M3394" t="str">
        <f t="shared" si="157"/>
        <v>Oct</v>
      </c>
      <c r="N3394" s="2">
        <f t="shared" si="158"/>
        <v>0.18932634676811541</v>
      </c>
    </row>
    <row r="3395" spans="1:14" x14ac:dyDescent="0.45">
      <c r="A3395" t="s">
        <v>6250</v>
      </c>
      <c r="B3395" s="1">
        <v>45650</v>
      </c>
      <c r="C3395" t="s">
        <v>6251</v>
      </c>
      <c r="D3395" t="s">
        <v>26</v>
      </c>
      <c r="E3395" t="s">
        <v>36</v>
      </c>
      <c r="F3395" t="s">
        <v>46</v>
      </c>
      <c r="G3395">
        <v>1</v>
      </c>
      <c r="H3395">
        <v>31006.97</v>
      </c>
      <c r="I3395">
        <v>4442.96</v>
      </c>
      <c r="J3395" t="s">
        <v>28</v>
      </c>
      <c r="K3395" t="s">
        <v>33</v>
      </c>
      <c r="L3395">
        <f t="shared" ref="L3395:L3458" si="159">YEAR(B3395 )</f>
        <v>2024</v>
      </c>
      <c r="M3395" t="str">
        <f t="shared" ref="M3395:M3458" si="160">TEXT(B3395,"MMM")</f>
        <v>Dec</v>
      </c>
      <c r="N3395" s="2">
        <f t="shared" ref="N3395:N3458" si="161">I3395 / H3395</f>
        <v>0.14328907339220825</v>
      </c>
    </row>
    <row r="3396" spans="1:14" x14ac:dyDescent="0.45">
      <c r="A3396" t="s">
        <v>6252</v>
      </c>
      <c r="B3396" s="1">
        <v>44801</v>
      </c>
      <c r="C3396" t="s">
        <v>6253</v>
      </c>
      <c r="D3396" t="s">
        <v>13</v>
      </c>
      <c r="E3396" t="s">
        <v>14</v>
      </c>
      <c r="F3396" t="s">
        <v>40</v>
      </c>
      <c r="G3396">
        <v>3</v>
      </c>
      <c r="H3396">
        <v>11403.6</v>
      </c>
      <c r="I3396">
        <v>963.38</v>
      </c>
      <c r="J3396" t="s">
        <v>47</v>
      </c>
      <c r="K3396" t="s">
        <v>23</v>
      </c>
      <c r="L3396">
        <f t="shared" si="159"/>
        <v>2022</v>
      </c>
      <c r="M3396" t="str">
        <f t="shared" si="160"/>
        <v>Aug</v>
      </c>
      <c r="N3396" s="2">
        <f t="shared" si="161"/>
        <v>8.4480339541899041E-2</v>
      </c>
    </row>
    <row r="3397" spans="1:14" x14ac:dyDescent="0.45">
      <c r="A3397" t="s">
        <v>6254</v>
      </c>
      <c r="B3397" s="1">
        <v>45390</v>
      </c>
      <c r="C3397" t="s">
        <v>6255</v>
      </c>
      <c r="D3397" t="s">
        <v>56</v>
      </c>
      <c r="E3397" t="s">
        <v>36</v>
      </c>
      <c r="F3397" t="s">
        <v>37</v>
      </c>
      <c r="G3397">
        <v>4</v>
      </c>
      <c r="H3397">
        <v>28808.39</v>
      </c>
      <c r="I3397">
        <v>3505.85</v>
      </c>
      <c r="J3397" t="s">
        <v>71</v>
      </c>
      <c r="K3397" t="s">
        <v>17</v>
      </c>
      <c r="L3397">
        <f t="shared" si="159"/>
        <v>2024</v>
      </c>
      <c r="M3397" t="str">
        <f t="shared" si="160"/>
        <v>Apr</v>
      </c>
      <c r="N3397" s="2">
        <f t="shared" si="161"/>
        <v>0.12169545052673891</v>
      </c>
    </row>
    <row r="3398" spans="1:14" x14ac:dyDescent="0.45">
      <c r="A3398" t="s">
        <v>6256</v>
      </c>
      <c r="B3398" s="1">
        <v>45267</v>
      </c>
      <c r="C3398" t="s">
        <v>4826</v>
      </c>
      <c r="D3398" t="s">
        <v>56</v>
      </c>
      <c r="E3398" t="s">
        <v>14</v>
      </c>
      <c r="F3398" t="s">
        <v>40</v>
      </c>
      <c r="G3398">
        <v>4</v>
      </c>
      <c r="H3398">
        <v>1934.71</v>
      </c>
      <c r="I3398">
        <v>420.25</v>
      </c>
      <c r="J3398" t="s">
        <v>16</v>
      </c>
      <c r="K3398" t="s">
        <v>23</v>
      </c>
      <c r="L3398">
        <f t="shared" si="159"/>
        <v>2023</v>
      </c>
      <c r="M3398" t="str">
        <f t="shared" si="160"/>
        <v>Dec</v>
      </c>
      <c r="N3398" s="2">
        <f t="shared" si="161"/>
        <v>0.21721601687074549</v>
      </c>
    </row>
    <row r="3399" spans="1:14" x14ac:dyDescent="0.45">
      <c r="A3399" t="s">
        <v>6257</v>
      </c>
      <c r="B3399" s="1">
        <v>45163</v>
      </c>
      <c r="C3399" t="s">
        <v>6258</v>
      </c>
      <c r="D3399" t="s">
        <v>13</v>
      </c>
      <c r="E3399" t="s">
        <v>14</v>
      </c>
      <c r="F3399" t="s">
        <v>15</v>
      </c>
      <c r="G3399">
        <v>1</v>
      </c>
      <c r="H3399">
        <v>13650.59</v>
      </c>
      <c r="I3399">
        <v>1201.18</v>
      </c>
      <c r="J3399" t="s">
        <v>22</v>
      </c>
      <c r="K3399" t="s">
        <v>29</v>
      </c>
      <c r="L3399">
        <f t="shared" si="159"/>
        <v>2023</v>
      </c>
      <c r="M3399" t="str">
        <f t="shared" si="160"/>
        <v>Aug</v>
      </c>
      <c r="N3399" s="2">
        <f t="shared" si="161"/>
        <v>8.7994731363259762E-2</v>
      </c>
    </row>
    <row r="3400" spans="1:14" x14ac:dyDescent="0.45">
      <c r="A3400" t="s">
        <v>6259</v>
      </c>
      <c r="B3400" s="1">
        <v>44857</v>
      </c>
      <c r="C3400" t="s">
        <v>6260</v>
      </c>
      <c r="D3400" t="s">
        <v>13</v>
      </c>
      <c r="E3400" t="s">
        <v>14</v>
      </c>
      <c r="F3400" t="s">
        <v>40</v>
      </c>
      <c r="G3400">
        <v>3</v>
      </c>
      <c r="H3400">
        <v>44534.89</v>
      </c>
      <c r="I3400">
        <v>9192.6200000000008</v>
      </c>
      <c r="J3400" t="s">
        <v>22</v>
      </c>
      <c r="K3400" t="s">
        <v>29</v>
      </c>
      <c r="L3400">
        <f t="shared" si="159"/>
        <v>2022</v>
      </c>
      <c r="M3400" t="str">
        <f t="shared" si="160"/>
        <v>Oct</v>
      </c>
      <c r="N3400" s="2">
        <f t="shared" si="161"/>
        <v>0.20641389256827627</v>
      </c>
    </row>
    <row r="3401" spans="1:14" x14ac:dyDescent="0.45">
      <c r="A3401" t="s">
        <v>6261</v>
      </c>
      <c r="B3401" s="1">
        <v>45316</v>
      </c>
      <c r="C3401" t="s">
        <v>121</v>
      </c>
      <c r="D3401" t="s">
        <v>13</v>
      </c>
      <c r="E3401" t="s">
        <v>20</v>
      </c>
      <c r="F3401" t="s">
        <v>50</v>
      </c>
      <c r="G3401">
        <v>4</v>
      </c>
      <c r="H3401">
        <v>45065.39</v>
      </c>
      <c r="I3401">
        <v>8400.4500000000007</v>
      </c>
      <c r="J3401" t="s">
        <v>16</v>
      </c>
      <c r="K3401" t="s">
        <v>33</v>
      </c>
      <c r="L3401">
        <f t="shared" si="159"/>
        <v>2024</v>
      </c>
      <c r="M3401" t="str">
        <f t="shared" si="160"/>
        <v>Jan</v>
      </c>
      <c r="N3401" s="2">
        <f t="shared" si="161"/>
        <v>0.18640579832993792</v>
      </c>
    </row>
    <row r="3402" spans="1:14" x14ac:dyDescent="0.45">
      <c r="A3402" t="s">
        <v>6262</v>
      </c>
      <c r="B3402" s="1">
        <v>45306</v>
      </c>
      <c r="C3402" t="s">
        <v>6263</v>
      </c>
      <c r="D3402" t="s">
        <v>13</v>
      </c>
      <c r="E3402" t="s">
        <v>20</v>
      </c>
      <c r="F3402" t="s">
        <v>27</v>
      </c>
      <c r="G3402">
        <v>1</v>
      </c>
      <c r="H3402">
        <v>47421.71</v>
      </c>
      <c r="I3402">
        <v>8077.61</v>
      </c>
      <c r="J3402" t="s">
        <v>71</v>
      </c>
      <c r="K3402" t="s">
        <v>33</v>
      </c>
      <c r="L3402">
        <f t="shared" si="159"/>
        <v>2024</v>
      </c>
      <c r="M3402" t="str">
        <f t="shared" si="160"/>
        <v>Jan</v>
      </c>
      <c r="N3402" s="2">
        <f t="shared" si="161"/>
        <v>0.17033569645632771</v>
      </c>
    </row>
    <row r="3403" spans="1:14" x14ac:dyDescent="0.45">
      <c r="A3403" t="s">
        <v>6264</v>
      </c>
      <c r="B3403" s="1">
        <v>45038</v>
      </c>
      <c r="C3403" t="s">
        <v>3760</v>
      </c>
      <c r="D3403" t="s">
        <v>13</v>
      </c>
      <c r="E3403" t="s">
        <v>36</v>
      </c>
      <c r="F3403" t="s">
        <v>37</v>
      </c>
      <c r="G3403">
        <v>2</v>
      </c>
      <c r="H3403">
        <v>23342.99</v>
      </c>
      <c r="I3403">
        <v>2394.2399999999998</v>
      </c>
      <c r="J3403" t="s">
        <v>28</v>
      </c>
      <c r="K3403" t="s">
        <v>33</v>
      </c>
      <c r="L3403">
        <f t="shared" si="159"/>
        <v>2023</v>
      </c>
      <c r="M3403" t="str">
        <f t="shared" si="160"/>
        <v>Apr</v>
      </c>
      <c r="N3403" s="2">
        <f t="shared" si="161"/>
        <v>0.10256783728219905</v>
      </c>
    </row>
    <row r="3404" spans="1:14" x14ac:dyDescent="0.45">
      <c r="A3404" t="s">
        <v>6265</v>
      </c>
      <c r="B3404" s="1">
        <v>45195</v>
      </c>
      <c r="C3404" t="s">
        <v>5457</v>
      </c>
      <c r="D3404" t="s">
        <v>26</v>
      </c>
      <c r="E3404" t="s">
        <v>20</v>
      </c>
      <c r="F3404" t="s">
        <v>43</v>
      </c>
      <c r="G3404">
        <v>4</v>
      </c>
      <c r="H3404">
        <v>24869.38</v>
      </c>
      <c r="I3404">
        <v>2169.35</v>
      </c>
      <c r="J3404" t="s">
        <v>28</v>
      </c>
      <c r="K3404" t="s">
        <v>23</v>
      </c>
      <c r="L3404">
        <f t="shared" si="159"/>
        <v>2023</v>
      </c>
      <c r="M3404" t="str">
        <f t="shared" si="160"/>
        <v>Sep</v>
      </c>
      <c r="N3404" s="2">
        <f t="shared" si="161"/>
        <v>8.7229758039806371E-2</v>
      </c>
    </row>
    <row r="3405" spans="1:14" x14ac:dyDescent="0.45">
      <c r="A3405" t="s">
        <v>6266</v>
      </c>
      <c r="B3405" s="1">
        <v>45089</v>
      </c>
      <c r="C3405" t="s">
        <v>6267</v>
      </c>
      <c r="D3405" t="s">
        <v>13</v>
      </c>
      <c r="E3405" t="s">
        <v>36</v>
      </c>
      <c r="F3405" t="s">
        <v>64</v>
      </c>
      <c r="G3405">
        <v>2</v>
      </c>
      <c r="H3405">
        <v>46590.03</v>
      </c>
      <c r="I3405">
        <v>7230.67</v>
      </c>
      <c r="J3405" t="s">
        <v>47</v>
      </c>
      <c r="K3405" t="s">
        <v>17</v>
      </c>
      <c r="L3405">
        <f t="shared" si="159"/>
        <v>2023</v>
      </c>
      <c r="M3405" t="str">
        <f t="shared" si="160"/>
        <v>Jun</v>
      </c>
      <c r="N3405" s="2">
        <f t="shared" si="161"/>
        <v>0.15519779661013311</v>
      </c>
    </row>
    <row r="3406" spans="1:14" x14ac:dyDescent="0.45">
      <c r="A3406" t="s">
        <v>6268</v>
      </c>
      <c r="B3406" s="1">
        <v>45651</v>
      </c>
      <c r="C3406" t="s">
        <v>4256</v>
      </c>
      <c r="D3406" t="s">
        <v>13</v>
      </c>
      <c r="E3406" t="s">
        <v>20</v>
      </c>
      <c r="F3406" t="s">
        <v>27</v>
      </c>
      <c r="G3406">
        <v>2</v>
      </c>
      <c r="H3406">
        <v>34438.639999999999</v>
      </c>
      <c r="I3406">
        <v>4500.22</v>
      </c>
      <c r="J3406" t="s">
        <v>28</v>
      </c>
      <c r="K3406" t="s">
        <v>17</v>
      </c>
      <c r="L3406">
        <f t="shared" si="159"/>
        <v>2024</v>
      </c>
      <c r="M3406" t="str">
        <f t="shared" si="160"/>
        <v>Dec</v>
      </c>
      <c r="N3406" s="2">
        <f t="shared" si="161"/>
        <v>0.13067356899110999</v>
      </c>
    </row>
    <row r="3407" spans="1:14" x14ac:dyDescent="0.45">
      <c r="A3407" t="s">
        <v>6269</v>
      </c>
      <c r="B3407" s="1">
        <v>44727</v>
      </c>
      <c r="C3407" t="s">
        <v>419</v>
      </c>
      <c r="D3407" t="s">
        <v>26</v>
      </c>
      <c r="E3407" t="s">
        <v>14</v>
      </c>
      <c r="F3407" t="s">
        <v>32</v>
      </c>
      <c r="G3407">
        <v>4</v>
      </c>
      <c r="H3407">
        <v>19798.5</v>
      </c>
      <c r="I3407">
        <v>4684.97</v>
      </c>
      <c r="J3407" t="s">
        <v>28</v>
      </c>
      <c r="K3407" t="s">
        <v>23</v>
      </c>
      <c r="L3407">
        <f t="shared" si="159"/>
        <v>2022</v>
      </c>
      <c r="M3407" t="str">
        <f t="shared" si="160"/>
        <v>Jun</v>
      </c>
      <c r="N3407" s="2">
        <f t="shared" si="161"/>
        <v>0.23663257317473546</v>
      </c>
    </row>
    <row r="3408" spans="1:14" x14ac:dyDescent="0.45">
      <c r="A3408" t="s">
        <v>6270</v>
      </c>
      <c r="B3408" s="1">
        <v>45595</v>
      </c>
      <c r="C3408" t="s">
        <v>1728</v>
      </c>
      <c r="D3408" t="s">
        <v>26</v>
      </c>
      <c r="E3408" t="s">
        <v>20</v>
      </c>
      <c r="F3408" t="s">
        <v>21</v>
      </c>
      <c r="G3408">
        <v>5</v>
      </c>
      <c r="H3408">
        <v>41210.17</v>
      </c>
      <c r="I3408">
        <v>9918.6</v>
      </c>
      <c r="J3408" t="s">
        <v>16</v>
      </c>
      <c r="K3408" t="s">
        <v>23</v>
      </c>
      <c r="L3408">
        <f t="shared" si="159"/>
        <v>2024</v>
      </c>
      <c r="M3408" t="str">
        <f t="shared" si="160"/>
        <v>Oct</v>
      </c>
      <c r="N3408" s="2">
        <f t="shared" si="161"/>
        <v>0.24068330705745694</v>
      </c>
    </row>
    <row r="3409" spans="1:14" x14ac:dyDescent="0.45">
      <c r="A3409" t="s">
        <v>6271</v>
      </c>
      <c r="B3409" s="1">
        <v>44942</v>
      </c>
      <c r="C3409" t="s">
        <v>6031</v>
      </c>
      <c r="D3409" t="s">
        <v>56</v>
      </c>
      <c r="E3409" t="s">
        <v>14</v>
      </c>
      <c r="F3409" t="s">
        <v>40</v>
      </c>
      <c r="G3409">
        <v>5</v>
      </c>
      <c r="H3409">
        <v>38328.870000000003</v>
      </c>
      <c r="I3409">
        <v>9411.58</v>
      </c>
      <c r="J3409" t="s">
        <v>22</v>
      </c>
      <c r="K3409" t="s">
        <v>33</v>
      </c>
      <c r="L3409">
        <f t="shared" si="159"/>
        <v>2023</v>
      </c>
      <c r="M3409" t="str">
        <f t="shared" si="160"/>
        <v>Jan</v>
      </c>
      <c r="N3409" s="2">
        <f t="shared" si="161"/>
        <v>0.2455480685968566</v>
      </c>
    </row>
    <row r="3410" spans="1:14" x14ac:dyDescent="0.45">
      <c r="A3410" t="s">
        <v>6272</v>
      </c>
      <c r="B3410" s="1">
        <v>45354</v>
      </c>
      <c r="C3410" t="s">
        <v>3724</v>
      </c>
      <c r="D3410" t="s">
        <v>13</v>
      </c>
      <c r="E3410" t="s">
        <v>36</v>
      </c>
      <c r="F3410" t="s">
        <v>46</v>
      </c>
      <c r="G3410">
        <v>4</v>
      </c>
      <c r="H3410">
        <v>808.97</v>
      </c>
      <c r="I3410">
        <v>58.82</v>
      </c>
      <c r="J3410" t="s">
        <v>22</v>
      </c>
      <c r="K3410" t="s">
        <v>17</v>
      </c>
      <c r="L3410">
        <f t="shared" si="159"/>
        <v>2024</v>
      </c>
      <c r="M3410" t="str">
        <f t="shared" si="160"/>
        <v>Mar</v>
      </c>
      <c r="N3410" s="2">
        <f t="shared" si="161"/>
        <v>7.2709742017627352E-2</v>
      </c>
    </row>
    <row r="3411" spans="1:14" x14ac:dyDescent="0.45">
      <c r="A3411" t="s">
        <v>6273</v>
      </c>
      <c r="B3411" s="1">
        <v>45124</v>
      </c>
      <c r="C3411" t="s">
        <v>6274</v>
      </c>
      <c r="D3411" t="s">
        <v>56</v>
      </c>
      <c r="E3411" t="s">
        <v>36</v>
      </c>
      <c r="F3411" t="s">
        <v>37</v>
      </c>
      <c r="G3411">
        <v>1</v>
      </c>
      <c r="H3411">
        <v>36221.69</v>
      </c>
      <c r="I3411">
        <v>4102.6099999999997</v>
      </c>
      <c r="J3411" t="s">
        <v>71</v>
      </c>
      <c r="K3411" t="s">
        <v>23</v>
      </c>
      <c r="L3411">
        <f t="shared" si="159"/>
        <v>2023</v>
      </c>
      <c r="M3411" t="str">
        <f t="shared" si="160"/>
        <v>Jul</v>
      </c>
      <c r="N3411" s="2">
        <f t="shared" si="161"/>
        <v>0.11326390347882717</v>
      </c>
    </row>
    <row r="3412" spans="1:14" x14ac:dyDescent="0.45">
      <c r="A3412" t="s">
        <v>6275</v>
      </c>
      <c r="B3412" s="1">
        <v>44741</v>
      </c>
      <c r="C3412" t="s">
        <v>3474</v>
      </c>
      <c r="D3412" t="s">
        <v>26</v>
      </c>
      <c r="E3412" t="s">
        <v>20</v>
      </c>
      <c r="F3412" t="s">
        <v>50</v>
      </c>
      <c r="G3412">
        <v>3</v>
      </c>
      <c r="H3412">
        <v>25136.78</v>
      </c>
      <c r="I3412">
        <v>2136.79</v>
      </c>
      <c r="J3412" t="s">
        <v>16</v>
      </c>
      <c r="K3412" t="s">
        <v>33</v>
      </c>
      <c r="L3412">
        <f t="shared" si="159"/>
        <v>2022</v>
      </c>
      <c r="M3412" t="str">
        <f t="shared" si="160"/>
        <v>Jun</v>
      </c>
      <c r="N3412" s="2">
        <f t="shared" si="161"/>
        <v>8.5006512369523862E-2</v>
      </c>
    </row>
    <row r="3413" spans="1:14" x14ac:dyDescent="0.45">
      <c r="A3413" t="s">
        <v>6276</v>
      </c>
      <c r="B3413" s="1">
        <v>45112</v>
      </c>
      <c r="C3413" t="s">
        <v>6277</v>
      </c>
      <c r="D3413" t="s">
        <v>56</v>
      </c>
      <c r="E3413" t="s">
        <v>20</v>
      </c>
      <c r="F3413" t="s">
        <v>27</v>
      </c>
      <c r="G3413">
        <v>4</v>
      </c>
      <c r="H3413">
        <v>22282.400000000001</v>
      </c>
      <c r="I3413">
        <v>2200.38</v>
      </c>
      <c r="J3413" t="s">
        <v>47</v>
      </c>
      <c r="K3413" t="s">
        <v>17</v>
      </c>
      <c r="L3413">
        <f t="shared" si="159"/>
        <v>2023</v>
      </c>
      <c r="M3413" t="str">
        <f t="shared" si="160"/>
        <v>Jul</v>
      </c>
      <c r="N3413" s="2">
        <f t="shared" si="161"/>
        <v>9.8749685850716265E-2</v>
      </c>
    </row>
    <row r="3414" spans="1:14" x14ac:dyDescent="0.45">
      <c r="A3414" t="s">
        <v>6278</v>
      </c>
      <c r="B3414" s="1">
        <v>45562</v>
      </c>
      <c r="C3414" t="s">
        <v>1124</v>
      </c>
      <c r="D3414" t="s">
        <v>26</v>
      </c>
      <c r="E3414" t="s">
        <v>14</v>
      </c>
      <c r="F3414" t="s">
        <v>40</v>
      </c>
      <c r="G3414">
        <v>2</v>
      </c>
      <c r="H3414">
        <v>25203.78</v>
      </c>
      <c r="I3414">
        <v>5569.71</v>
      </c>
      <c r="J3414" t="s">
        <v>22</v>
      </c>
      <c r="K3414" t="s">
        <v>33</v>
      </c>
      <c r="L3414">
        <f t="shared" si="159"/>
        <v>2024</v>
      </c>
      <c r="M3414" t="str">
        <f t="shared" si="160"/>
        <v>Sep</v>
      </c>
      <c r="N3414" s="2">
        <f t="shared" si="161"/>
        <v>0.22098709003173334</v>
      </c>
    </row>
    <row r="3415" spans="1:14" x14ac:dyDescent="0.45">
      <c r="A3415" t="s">
        <v>6279</v>
      </c>
      <c r="B3415" s="1">
        <v>45219</v>
      </c>
      <c r="C3415" t="s">
        <v>6280</v>
      </c>
      <c r="D3415" t="s">
        <v>26</v>
      </c>
      <c r="E3415" t="s">
        <v>14</v>
      </c>
      <c r="F3415" t="s">
        <v>15</v>
      </c>
      <c r="G3415">
        <v>3</v>
      </c>
      <c r="H3415">
        <v>46671.98</v>
      </c>
      <c r="I3415">
        <v>3292.82</v>
      </c>
      <c r="J3415" t="s">
        <v>47</v>
      </c>
      <c r="K3415" t="s">
        <v>29</v>
      </c>
      <c r="L3415">
        <f t="shared" si="159"/>
        <v>2023</v>
      </c>
      <c r="M3415" t="str">
        <f t="shared" si="160"/>
        <v>Oct</v>
      </c>
      <c r="N3415" s="2">
        <f t="shared" si="161"/>
        <v>7.0552395677235036E-2</v>
      </c>
    </row>
    <row r="3416" spans="1:14" x14ac:dyDescent="0.45">
      <c r="A3416" t="s">
        <v>6281</v>
      </c>
      <c r="B3416" s="1">
        <v>45380</v>
      </c>
      <c r="C3416" t="s">
        <v>6282</v>
      </c>
      <c r="D3416" t="s">
        <v>56</v>
      </c>
      <c r="E3416" t="s">
        <v>14</v>
      </c>
      <c r="F3416" t="s">
        <v>57</v>
      </c>
      <c r="G3416">
        <v>4</v>
      </c>
      <c r="H3416">
        <v>2526.14</v>
      </c>
      <c r="I3416">
        <v>267.55</v>
      </c>
      <c r="J3416" t="s">
        <v>71</v>
      </c>
      <c r="K3416" t="s">
        <v>17</v>
      </c>
      <c r="L3416">
        <f t="shared" si="159"/>
        <v>2024</v>
      </c>
      <c r="M3416" t="str">
        <f t="shared" si="160"/>
        <v>Mar</v>
      </c>
      <c r="N3416" s="2">
        <f t="shared" si="161"/>
        <v>0.10591257808355832</v>
      </c>
    </row>
    <row r="3417" spans="1:14" x14ac:dyDescent="0.45">
      <c r="A3417" t="s">
        <v>6283</v>
      </c>
      <c r="B3417" s="1">
        <v>45401</v>
      </c>
      <c r="C3417" t="s">
        <v>6284</v>
      </c>
      <c r="D3417" t="s">
        <v>56</v>
      </c>
      <c r="E3417" t="s">
        <v>20</v>
      </c>
      <c r="F3417" t="s">
        <v>50</v>
      </c>
      <c r="G3417">
        <v>4</v>
      </c>
      <c r="H3417">
        <v>35723.64</v>
      </c>
      <c r="I3417">
        <v>5922.17</v>
      </c>
      <c r="J3417" t="s">
        <v>28</v>
      </c>
      <c r="K3417" t="s">
        <v>29</v>
      </c>
      <c r="L3417">
        <f t="shared" si="159"/>
        <v>2024</v>
      </c>
      <c r="M3417" t="str">
        <f t="shared" si="160"/>
        <v>Apr</v>
      </c>
      <c r="N3417" s="2">
        <f t="shared" si="161"/>
        <v>0.16577733959921218</v>
      </c>
    </row>
    <row r="3418" spans="1:14" x14ac:dyDescent="0.45">
      <c r="A3418" t="s">
        <v>6285</v>
      </c>
      <c r="B3418" s="1">
        <v>45505</v>
      </c>
      <c r="C3418" t="s">
        <v>6286</v>
      </c>
      <c r="D3418" t="s">
        <v>56</v>
      </c>
      <c r="E3418" t="s">
        <v>20</v>
      </c>
      <c r="F3418" t="s">
        <v>43</v>
      </c>
      <c r="G3418">
        <v>1</v>
      </c>
      <c r="H3418">
        <v>25069.42</v>
      </c>
      <c r="I3418">
        <v>5956.33</v>
      </c>
      <c r="J3418" t="s">
        <v>71</v>
      </c>
      <c r="K3418" t="s">
        <v>29</v>
      </c>
      <c r="L3418">
        <f t="shared" si="159"/>
        <v>2024</v>
      </c>
      <c r="M3418" t="str">
        <f t="shared" si="160"/>
        <v>Aug</v>
      </c>
      <c r="N3418" s="2">
        <f t="shared" si="161"/>
        <v>0.23759345050663319</v>
      </c>
    </row>
    <row r="3419" spans="1:14" x14ac:dyDescent="0.45">
      <c r="A3419" t="s">
        <v>6287</v>
      </c>
      <c r="B3419" s="1">
        <v>45081</v>
      </c>
      <c r="C3419" t="s">
        <v>6288</v>
      </c>
      <c r="D3419" t="s">
        <v>26</v>
      </c>
      <c r="E3419" t="s">
        <v>14</v>
      </c>
      <c r="F3419" t="s">
        <v>15</v>
      </c>
      <c r="G3419">
        <v>4</v>
      </c>
      <c r="H3419">
        <v>7751.65</v>
      </c>
      <c r="I3419">
        <v>982.01</v>
      </c>
      <c r="J3419" t="s">
        <v>71</v>
      </c>
      <c r="K3419" t="s">
        <v>29</v>
      </c>
      <c r="L3419">
        <f t="shared" si="159"/>
        <v>2023</v>
      </c>
      <c r="M3419" t="str">
        <f t="shared" si="160"/>
        <v>Jun</v>
      </c>
      <c r="N3419" s="2">
        <f t="shared" si="161"/>
        <v>0.12668399631046293</v>
      </c>
    </row>
    <row r="3420" spans="1:14" x14ac:dyDescent="0.45">
      <c r="A3420" t="s">
        <v>6289</v>
      </c>
      <c r="B3420" s="1">
        <v>45536</v>
      </c>
      <c r="C3420" t="s">
        <v>5006</v>
      </c>
      <c r="D3420" t="s">
        <v>56</v>
      </c>
      <c r="E3420" t="s">
        <v>36</v>
      </c>
      <c r="F3420" t="s">
        <v>46</v>
      </c>
      <c r="G3420">
        <v>4</v>
      </c>
      <c r="H3420">
        <v>35730</v>
      </c>
      <c r="I3420">
        <v>4274.18</v>
      </c>
      <c r="J3420" t="s">
        <v>28</v>
      </c>
      <c r="K3420" t="s">
        <v>33</v>
      </c>
      <c r="L3420">
        <f t="shared" si="159"/>
        <v>2024</v>
      </c>
      <c r="M3420" t="str">
        <f t="shared" si="160"/>
        <v>Sep</v>
      </c>
      <c r="N3420" s="2">
        <f t="shared" si="161"/>
        <v>0.11962440526168487</v>
      </c>
    </row>
    <row r="3421" spans="1:14" x14ac:dyDescent="0.45">
      <c r="A3421" t="s">
        <v>6290</v>
      </c>
      <c r="B3421" s="1">
        <v>45112</v>
      </c>
      <c r="C3421" t="s">
        <v>6291</v>
      </c>
      <c r="D3421" t="s">
        <v>56</v>
      </c>
      <c r="E3421" t="s">
        <v>20</v>
      </c>
      <c r="F3421" t="s">
        <v>50</v>
      </c>
      <c r="G3421">
        <v>1</v>
      </c>
      <c r="H3421">
        <v>15642.7</v>
      </c>
      <c r="I3421">
        <v>866.26</v>
      </c>
      <c r="J3421" t="s">
        <v>47</v>
      </c>
      <c r="K3421" t="s">
        <v>17</v>
      </c>
      <c r="L3421">
        <f t="shared" si="159"/>
        <v>2023</v>
      </c>
      <c r="M3421" t="str">
        <f t="shared" si="160"/>
        <v>Jul</v>
      </c>
      <c r="N3421" s="2">
        <f t="shared" si="161"/>
        <v>5.5377907905924166E-2</v>
      </c>
    </row>
    <row r="3422" spans="1:14" x14ac:dyDescent="0.45">
      <c r="A3422" t="s">
        <v>6292</v>
      </c>
      <c r="B3422" s="1">
        <v>44575</v>
      </c>
      <c r="C3422" t="s">
        <v>714</v>
      </c>
      <c r="D3422" t="s">
        <v>56</v>
      </c>
      <c r="E3422" t="s">
        <v>20</v>
      </c>
      <c r="F3422" t="s">
        <v>50</v>
      </c>
      <c r="G3422">
        <v>2</v>
      </c>
      <c r="H3422">
        <v>16884.400000000001</v>
      </c>
      <c r="I3422">
        <v>3395.76</v>
      </c>
      <c r="J3422" t="s">
        <v>47</v>
      </c>
      <c r="K3422" t="s">
        <v>33</v>
      </c>
      <c r="L3422">
        <f t="shared" si="159"/>
        <v>2022</v>
      </c>
      <c r="M3422" t="str">
        <f t="shared" si="160"/>
        <v>Jan</v>
      </c>
      <c r="N3422" s="2">
        <f t="shared" si="161"/>
        <v>0.20111819194048944</v>
      </c>
    </row>
    <row r="3423" spans="1:14" x14ac:dyDescent="0.45">
      <c r="A3423" t="s">
        <v>6293</v>
      </c>
      <c r="B3423" s="1">
        <v>45027</v>
      </c>
      <c r="C3423" t="s">
        <v>6294</v>
      </c>
      <c r="D3423" t="s">
        <v>13</v>
      </c>
      <c r="E3423" t="s">
        <v>20</v>
      </c>
      <c r="F3423" t="s">
        <v>43</v>
      </c>
      <c r="G3423">
        <v>1</v>
      </c>
      <c r="H3423">
        <v>10119.11</v>
      </c>
      <c r="I3423">
        <v>803.85</v>
      </c>
      <c r="J3423" t="s">
        <v>47</v>
      </c>
      <c r="K3423" t="s">
        <v>29</v>
      </c>
      <c r="L3423">
        <f t="shared" si="159"/>
        <v>2023</v>
      </c>
      <c r="M3423" t="str">
        <f t="shared" si="160"/>
        <v>Apr</v>
      </c>
      <c r="N3423" s="2">
        <f t="shared" si="161"/>
        <v>7.9438804400782284E-2</v>
      </c>
    </row>
    <row r="3424" spans="1:14" x14ac:dyDescent="0.45">
      <c r="A3424" t="s">
        <v>6295</v>
      </c>
      <c r="B3424" s="1">
        <v>45039</v>
      </c>
      <c r="C3424" t="s">
        <v>6296</v>
      </c>
      <c r="D3424" t="s">
        <v>13</v>
      </c>
      <c r="E3424" t="s">
        <v>36</v>
      </c>
      <c r="F3424" t="s">
        <v>46</v>
      </c>
      <c r="G3424">
        <v>1</v>
      </c>
      <c r="H3424">
        <v>16399.37</v>
      </c>
      <c r="I3424">
        <v>2880.47</v>
      </c>
      <c r="J3424" t="s">
        <v>16</v>
      </c>
      <c r="K3424" t="s">
        <v>33</v>
      </c>
      <c r="L3424">
        <f t="shared" si="159"/>
        <v>2023</v>
      </c>
      <c r="M3424" t="str">
        <f t="shared" si="160"/>
        <v>Apr</v>
      </c>
      <c r="N3424" s="2">
        <f t="shared" si="161"/>
        <v>0.17564516197878333</v>
      </c>
    </row>
    <row r="3425" spans="1:14" x14ac:dyDescent="0.45">
      <c r="A3425" t="s">
        <v>6297</v>
      </c>
      <c r="B3425" s="1">
        <v>45498</v>
      </c>
      <c r="C3425" t="s">
        <v>6298</v>
      </c>
      <c r="D3425" t="s">
        <v>13</v>
      </c>
      <c r="E3425" t="s">
        <v>36</v>
      </c>
      <c r="F3425" t="s">
        <v>46</v>
      </c>
      <c r="G3425">
        <v>4</v>
      </c>
      <c r="H3425">
        <v>40666.15</v>
      </c>
      <c r="I3425">
        <v>2068.56</v>
      </c>
      <c r="J3425" t="s">
        <v>71</v>
      </c>
      <c r="K3425" t="s">
        <v>23</v>
      </c>
      <c r="L3425">
        <f t="shared" si="159"/>
        <v>2024</v>
      </c>
      <c r="M3425" t="str">
        <f t="shared" si="160"/>
        <v>Jul</v>
      </c>
      <c r="N3425" s="2">
        <f t="shared" si="161"/>
        <v>5.0866875767683929E-2</v>
      </c>
    </row>
    <row r="3426" spans="1:14" x14ac:dyDescent="0.45">
      <c r="A3426" t="s">
        <v>6299</v>
      </c>
      <c r="B3426" s="1">
        <v>44757</v>
      </c>
      <c r="C3426" t="s">
        <v>35</v>
      </c>
      <c r="D3426" t="s">
        <v>56</v>
      </c>
      <c r="E3426" t="s">
        <v>14</v>
      </c>
      <c r="F3426" t="s">
        <v>32</v>
      </c>
      <c r="G3426">
        <v>1</v>
      </c>
      <c r="H3426">
        <v>44706.06</v>
      </c>
      <c r="I3426">
        <v>5404.89</v>
      </c>
      <c r="J3426" t="s">
        <v>71</v>
      </c>
      <c r="K3426" t="s">
        <v>17</v>
      </c>
      <c r="L3426">
        <f t="shared" si="159"/>
        <v>2022</v>
      </c>
      <c r="M3426" t="str">
        <f t="shared" si="160"/>
        <v>Jul</v>
      </c>
      <c r="N3426" s="2">
        <f t="shared" si="161"/>
        <v>0.12089837485119469</v>
      </c>
    </row>
    <row r="3427" spans="1:14" x14ac:dyDescent="0.45">
      <c r="A3427" t="s">
        <v>6300</v>
      </c>
      <c r="B3427" s="1">
        <v>44977</v>
      </c>
      <c r="C3427" t="s">
        <v>2808</v>
      </c>
      <c r="D3427" t="s">
        <v>13</v>
      </c>
      <c r="E3427" t="s">
        <v>14</v>
      </c>
      <c r="F3427" t="s">
        <v>32</v>
      </c>
      <c r="G3427">
        <v>4</v>
      </c>
      <c r="H3427">
        <v>15416.02</v>
      </c>
      <c r="I3427">
        <v>3284.32</v>
      </c>
      <c r="J3427" t="s">
        <v>28</v>
      </c>
      <c r="K3427" t="s">
        <v>23</v>
      </c>
      <c r="L3427">
        <f t="shared" si="159"/>
        <v>2023</v>
      </c>
      <c r="M3427" t="str">
        <f t="shared" si="160"/>
        <v>Feb</v>
      </c>
      <c r="N3427" s="2">
        <f t="shared" si="161"/>
        <v>0.21304590938517207</v>
      </c>
    </row>
    <row r="3428" spans="1:14" x14ac:dyDescent="0.45">
      <c r="A3428" t="s">
        <v>6301</v>
      </c>
      <c r="B3428" s="1">
        <v>44586</v>
      </c>
      <c r="C3428" t="s">
        <v>6302</v>
      </c>
      <c r="D3428" t="s">
        <v>13</v>
      </c>
      <c r="E3428" t="s">
        <v>20</v>
      </c>
      <c r="F3428" t="s">
        <v>27</v>
      </c>
      <c r="G3428">
        <v>5</v>
      </c>
      <c r="H3428">
        <v>39474.160000000003</v>
      </c>
      <c r="I3428">
        <v>2743.37</v>
      </c>
      <c r="J3428" t="s">
        <v>16</v>
      </c>
      <c r="K3428" t="s">
        <v>29</v>
      </c>
      <c r="L3428">
        <f t="shared" si="159"/>
        <v>2022</v>
      </c>
      <c r="M3428" t="str">
        <f t="shared" si="160"/>
        <v>Jan</v>
      </c>
      <c r="N3428" s="2">
        <f t="shared" si="161"/>
        <v>6.9497868985685815E-2</v>
      </c>
    </row>
    <row r="3429" spans="1:14" x14ac:dyDescent="0.45">
      <c r="A3429" t="s">
        <v>6303</v>
      </c>
      <c r="B3429" s="1">
        <v>45468</v>
      </c>
      <c r="C3429" t="s">
        <v>6304</v>
      </c>
      <c r="D3429" t="s">
        <v>26</v>
      </c>
      <c r="E3429" t="s">
        <v>14</v>
      </c>
      <c r="F3429" t="s">
        <v>40</v>
      </c>
      <c r="G3429">
        <v>4</v>
      </c>
      <c r="H3429">
        <v>39221.83</v>
      </c>
      <c r="I3429">
        <v>7702.32</v>
      </c>
      <c r="J3429" t="s">
        <v>71</v>
      </c>
      <c r="K3429" t="s">
        <v>23</v>
      </c>
      <c r="L3429">
        <f t="shared" si="159"/>
        <v>2024</v>
      </c>
      <c r="M3429" t="str">
        <f t="shared" si="160"/>
        <v>Jun</v>
      </c>
      <c r="N3429" s="2">
        <f t="shared" si="161"/>
        <v>0.19637839437884463</v>
      </c>
    </row>
    <row r="3430" spans="1:14" x14ac:dyDescent="0.45">
      <c r="A3430" t="s">
        <v>6305</v>
      </c>
      <c r="B3430" s="1">
        <v>45644</v>
      </c>
      <c r="C3430" t="s">
        <v>4552</v>
      </c>
      <c r="D3430" t="s">
        <v>26</v>
      </c>
      <c r="E3430" t="s">
        <v>14</v>
      </c>
      <c r="F3430" t="s">
        <v>57</v>
      </c>
      <c r="G3430">
        <v>5</v>
      </c>
      <c r="H3430">
        <v>9530.0400000000009</v>
      </c>
      <c r="I3430">
        <v>1277.25</v>
      </c>
      <c r="J3430" t="s">
        <v>16</v>
      </c>
      <c r="K3430" t="s">
        <v>17</v>
      </c>
      <c r="L3430">
        <f t="shared" si="159"/>
        <v>2024</v>
      </c>
      <c r="M3430" t="str">
        <f t="shared" si="160"/>
        <v>Dec</v>
      </c>
      <c r="N3430" s="2">
        <f t="shared" si="161"/>
        <v>0.13402357177934193</v>
      </c>
    </row>
    <row r="3431" spans="1:14" x14ac:dyDescent="0.45">
      <c r="A3431" t="s">
        <v>6306</v>
      </c>
      <c r="B3431" s="1">
        <v>45545</v>
      </c>
      <c r="C3431" t="s">
        <v>6307</v>
      </c>
      <c r="D3431" t="s">
        <v>56</v>
      </c>
      <c r="E3431" t="s">
        <v>20</v>
      </c>
      <c r="F3431" t="s">
        <v>21</v>
      </c>
      <c r="G3431">
        <v>1</v>
      </c>
      <c r="H3431">
        <v>2783.52</v>
      </c>
      <c r="I3431">
        <v>438.54</v>
      </c>
      <c r="J3431" t="s">
        <v>16</v>
      </c>
      <c r="K3431" t="s">
        <v>33</v>
      </c>
      <c r="L3431">
        <f t="shared" si="159"/>
        <v>2024</v>
      </c>
      <c r="M3431" t="str">
        <f t="shared" si="160"/>
        <v>Sep</v>
      </c>
      <c r="N3431" s="2">
        <f t="shared" si="161"/>
        <v>0.15754871529574066</v>
      </c>
    </row>
    <row r="3432" spans="1:14" x14ac:dyDescent="0.45">
      <c r="A3432" t="s">
        <v>6308</v>
      </c>
      <c r="B3432" s="1">
        <v>45465</v>
      </c>
      <c r="C3432" t="s">
        <v>6309</v>
      </c>
      <c r="D3432" t="s">
        <v>26</v>
      </c>
      <c r="E3432" t="s">
        <v>14</v>
      </c>
      <c r="F3432" t="s">
        <v>40</v>
      </c>
      <c r="G3432">
        <v>1</v>
      </c>
      <c r="H3432">
        <v>29106.93</v>
      </c>
      <c r="I3432">
        <v>6702.56</v>
      </c>
      <c r="J3432" t="s">
        <v>16</v>
      </c>
      <c r="K3432" t="s">
        <v>17</v>
      </c>
      <c r="L3432">
        <f t="shared" si="159"/>
        <v>2024</v>
      </c>
      <c r="M3432" t="str">
        <f t="shared" si="160"/>
        <v>Jun</v>
      </c>
      <c r="N3432" s="2">
        <f t="shared" si="161"/>
        <v>0.23027368396460912</v>
      </c>
    </row>
    <row r="3433" spans="1:14" x14ac:dyDescent="0.45">
      <c r="A3433" t="s">
        <v>6310</v>
      </c>
      <c r="B3433" s="1">
        <v>45125</v>
      </c>
      <c r="C3433" t="s">
        <v>472</v>
      </c>
      <c r="D3433" t="s">
        <v>56</v>
      </c>
      <c r="E3433" t="s">
        <v>20</v>
      </c>
      <c r="F3433" t="s">
        <v>27</v>
      </c>
      <c r="G3433">
        <v>4</v>
      </c>
      <c r="H3433">
        <v>40227.9</v>
      </c>
      <c r="I3433">
        <v>2721.71</v>
      </c>
      <c r="J3433" t="s">
        <v>16</v>
      </c>
      <c r="K3433" t="s">
        <v>23</v>
      </c>
      <c r="L3433">
        <f t="shared" si="159"/>
        <v>2023</v>
      </c>
      <c r="M3433" t="str">
        <f t="shared" si="160"/>
        <v>Jul</v>
      </c>
      <c r="N3433" s="2">
        <f t="shared" si="161"/>
        <v>6.7657272688855241E-2</v>
      </c>
    </row>
    <row r="3434" spans="1:14" x14ac:dyDescent="0.45">
      <c r="A3434" t="s">
        <v>6311</v>
      </c>
      <c r="B3434" s="1">
        <v>45007</v>
      </c>
      <c r="C3434" t="s">
        <v>6312</v>
      </c>
      <c r="D3434" t="s">
        <v>26</v>
      </c>
      <c r="E3434" t="s">
        <v>20</v>
      </c>
      <c r="F3434" t="s">
        <v>50</v>
      </c>
      <c r="G3434">
        <v>4</v>
      </c>
      <c r="H3434">
        <v>4405.8900000000003</v>
      </c>
      <c r="I3434">
        <v>913</v>
      </c>
      <c r="J3434" t="s">
        <v>16</v>
      </c>
      <c r="K3434" t="s">
        <v>33</v>
      </c>
      <c r="L3434">
        <f t="shared" si="159"/>
        <v>2023</v>
      </c>
      <c r="M3434" t="str">
        <f t="shared" si="160"/>
        <v>Mar</v>
      </c>
      <c r="N3434" s="2">
        <f t="shared" si="161"/>
        <v>0.20722260428653461</v>
      </c>
    </row>
    <row r="3435" spans="1:14" x14ac:dyDescent="0.45">
      <c r="A3435" t="s">
        <v>6313</v>
      </c>
      <c r="B3435" s="1">
        <v>45047</v>
      </c>
      <c r="C3435" t="s">
        <v>5794</v>
      </c>
      <c r="D3435" t="s">
        <v>13</v>
      </c>
      <c r="E3435" t="s">
        <v>20</v>
      </c>
      <c r="F3435" t="s">
        <v>21</v>
      </c>
      <c r="G3435">
        <v>4</v>
      </c>
      <c r="H3435">
        <v>6233.48</v>
      </c>
      <c r="I3435">
        <v>582.94000000000005</v>
      </c>
      <c r="J3435" t="s">
        <v>16</v>
      </c>
      <c r="K3435" t="s">
        <v>29</v>
      </c>
      <c r="L3435">
        <f t="shared" si="159"/>
        <v>2023</v>
      </c>
      <c r="M3435" t="str">
        <f t="shared" si="160"/>
        <v>May</v>
      </c>
      <c r="N3435" s="2">
        <f t="shared" si="161"/>
        <v>9.3517585682475937E-2</v>
      </c>
    </row>
    <row r="3436" spans="1:14" x14ac:dyDescent="0.45">
      <c r="A3436" t="s">
        <v>6314</v>
      </c>
      <c r="B3436" s="1">
        <v>45434</v>
      </c>
      <c r="C3436" t="s">
        <v>6315</v>
      </c>
      <c r="D3436" t="s">
        <v>56</v>
      </c>
      <c r="E3436" t="s">
        <v>14</v>
      </c>
      <c r="F3436" t="s">
        <v>32</v>
      </c>
      <c r="G3436">
        <v>2</v>
      </c>
      <c r="H3436">
        <v>30843.52</v>
      </c>
      <c r="I3436">
        <v>5046.53</v>
      </c>
      <c r="J3436" t="s">
        <v>71</v>
      </c>
      <c r="K3436" t="s">
        <v>17</v>
      </c>
      <c r="L3436">
        <f t="shared" si="159"/>
        <v>2024</v>
      </c>
      <c r="M3436" t="str">
        <f t="shared" si="160"/>
        <v>May</v>
      </c>
      <c r="N3436" s="2">
        <f t="shared" si="161"/>
        <v>0.16361718766210859</v>
      </c>
    </row>
    <row r="3437" spans="1:14" x14ac:dyDescent="0.45">
      <c r="A3437" t="s">
        <v>6316</v>
      </c>
      <c r="B3437" s="1">
        <v>44841</v>
      </c>
      <c r="C3437" t="s">
        <v>6317</v>
      </c>
      <c r="D3437" t="s">
        <v>13</v>
      </c>
      <c r="E3437" t="s">
        <v>20</v>
      </c>
      <c r="F3437" t="s">
        <v>50</v>
      </c>
      <c r="G3437">
        <v>3</v>
      </c>
      <c r="H3437">
        <v>28617.91</v>
      </c>
      <c r="I3437">
        <v>2083.31</v>
      </c>
      <c r="J3437" t="s">
        <v>22</v>
      </c>
      <c r="K3437" t="s">
        <v>29</v>
      </c>
      <c r="L3437">
        <f t="shared" si="159"/>
        <v>2022</v>
      </c>
      <c r="M3437" t="str">
        <f t="shared" si="160"/>
        <v>Oct</v>
      </c>
      <c r="N3437" s="2">
        <f t="shared" si="161"/>
        <v>7.2797419518057044E-2</v>
      </c>
    </row>
    <row r="3438" spans="1:14" x14ac:dyDescent="0.45">
      <c r="A3438" t="s">
        <v>6318</v>
      </c>
      <c r="B3438" s="1">
        <v>45479</v>
      </c>
      <c r="C3438" t="s">
        <v>81</v>
      </c>
      <c r="D3438" t="s">
        <v>56</v>
      </c>
      <c r="E3438" t="s">
        <v>14</v>
      </c>
      <c r="F3438" t="s">
        <v>57</v>
      </c>
      <c r="G3438">
        <v>4</v>
      </c>
      <c r="H3438">
        <v>14367.35</v>
      </c>
      <c r="I3438">
        <v>3446</v>
      </c>
      <c r="J3438" t="s">
        <v>47</v>
      </c>
      <c r="K3438" t="s">
        <v>17</v>
      </c>
      <c r="L3438">
        <f t="shared" si="159"/>
        <v>2024</v>
      </c>
      <c r="M3438" t="str">
        <f t="shared" si="160"/>
        <v>Jul</v>
      </c>
      <c r="N3438" s="2">
        <f t="shared" si="161"/>
        <v>0.23984938071391035</v>
      </c>
    </row>
    <row r="3439" spans="1:14" x14ac:dyDescent="0.45">
      <c r="A3439" t="s">
        <v>6319</v>
      </c>
      <c r="B3439" s="1">
        <v>45572</v>
      </c>
      <c r="C3439" t="s">
        <v>6320</v>
      </c>
      <c r="D3439" t="s">
        <v>13</v>
      </c>
      <c r="E3439" t="s">
        <v>36</v>
      </c>
      <c r="F3439" t="s">
        <v>64</v>
      </c>
      <c r="G3439">
        <v>1</v>
      </c>
      <c r="H3439">
        <v>16768.330000000002</v>
      </c>
      <c r="I3439">
        <v>1217.32</v>
      </c>
      <c r="J3439" t="s">
        <v>16</v>
      </c>
      <c r="K3439" t="s">
        <v>23</v>
      </c>
      <c r="L3439">
        <f t="shared" si="159"/>
        <v>2024</v>
      </c>
      <c r="M3439" t="str">
        <f t="shared" si="160"/>
        <v>Oct</v>
      </c>
      <c r="N3439" s="2">
        <f t="shared" si="161"/>
        <v>7.2596376621881828E-2</v>
      </c>
    </row>
    <row r="3440" spans="1:14" x14ac:dyDescent="0.45">
      <c r="A3440" t="s">
        <v>6321</v>
      </c>
      <c r="B3440" s="1">
        <v>45492</v>
      </c>
      <c r="C3440" t="s">
        <v>3300</v>
      </c>
      <c r="D3440" t="s">
        <v>26</v>
      </c>
      <c r="E3440" t="s">
        <v>20</v>
      </c>
      <c r="F3440" t="s">
        <v>21</v>
      </c>
      <c r="G3440">
        <v>1</v>
      </c>
      <c r="H3440">
        <v>16311.58</v>
      </c>
      <c r="I3440">
        <v>2498.94</v>
      </c>
      <c r="J3440" t="s">
        <v>71</v>
      </c>
      <c r="K3440" t="s">
        <v>29</v>
      </c>
      <c r="L3440">
        <f t="shared" si="159"/>
        <v>2024</v>
      </c>
      <c r="M3440" t="str">
        <f t="shared" si="160"/>
        <v>Jul</v>
      </c>
      <c r="N3440" s="2">
        <f t="shared" si="161"/>
        <v>0.15320036440369358</v>
      </c>
    </row>
    <row r="3441" spans="1:14" x14ac:dyDescent="0.45">
      <c r="A3441" t="s">
        <v>6322</v>
      </c>
      <c r="B3441" s="1">
        <v>45215</v>
      </c>
      <c r="C3441" t="s">
        <v>5241</v>
      </c>
      <c r="D3441" t="s">
        <v>56</v>
      </c>
      <c r="E3441" t="s">
        <v>20</v>
      </c>
      <c r="F3441" t="s">
        <v>27</v>
      </c>
      <c r="G3441">
        <v>1</v>
      </c>
      <c r="H3441">
        <v>22324.25</v>
      </c>
      <c r="I3441">
        <v>2301.58</v>
      </c>
      <c r="J3441" t="s">
        <v>47</v>
      </c>
      <c r="K3441" t="s">
        <v>29</v>
      </c>
      <c r="L3441">
        <f t="shared" si="159"/>
        <v>2023</v>
      </c>
      <c r="M3441" t="str">
        <f t="shared" si="160"/>
        <v>Oct</v>
      </c>
      <c r="N3441" s="2">
        <f t="shared" si="161"/>
        <v>0.10309775244409107</v>
      </c>
    </row>
    <row r="3442" spans="1:14" x14ac:dyDescent="0.45">
      <c r="A3442" t="s">
        <v>6323</v>
      </c>
      <c r="B3442" s="1">
        <v>44725</v>
      </c>
      <c r="C3442" t="s">
        <v>6324</v>
      </c>
      <c r="D3442" t="s">
        <v>13</v>
      </c>
      <c r="E3442" t="s">
        <v>20</v>
      </c>
      <c r="F3442" t="s">
        <v>21</v>
      </c>
      <c r="G3442">
        <v>5</v>
      </c>
      <c r="H3442">
        <v>49967.41</v>
      </c>
      <c r="I3442">
        <v>3019.96</v>
      </c>
      <c r="J3442" t="s">
        <v>28</v>
      </c>
      <c r="K3442" t="s">
        <v>23</v>
      </c>
      <c r="L3442">
        <f t="shared" si="159"/>
        <v>2022</v>
      </c>
      <c r="M3442" t="str">
        <f t="shared" si="160"/>
        <v>Jun</v>
      </c>
      <c r="N3442" s="2">
        <f t="shared" si="161"/>
        <v>6.0438593875488042E-2</v>
      </c>
    </row>
    <row r="3443" spans="1:14" x14ac:dyDescent="0.45">
      <c r="A3443" t="s">
        <v>6325</v>
      </c>
      <c r="B3443" s="1">
        <v>45253</v>
      </c>
      <c r="C3443" t="s">
        <v>6326</v>
      </c>
      <c r="D3443" t="s">
        <v>13</v>
      </c>
      <c r="E3443" t="s">
        <v>20</v>
      </c>
      <c r="F3443" t="s">
        <v>43</v>
      </c>
      <c r="G3443">
        <v>3</v>
      </c>
      <c r="H3443">
        <v>15979.23</v>
      </c>
      <c r="I3443">
        <v>2005.38</v>
      </c>
      <c r="J3443" t="s">
        <v>47</v>
      </c>
      <c r="K3443" t="s">
        <v>33</v>
      </c>
      <c r="L3443">
        <f t="shared" si="159"/>
        <v>2023</v>
      </c>
      <c r="M3443" t="str">
        <f t="shared" si="160"/>
        <v>Nov</v>
      </c>
      <c r="N3443" s="2">
        <f t="shared" si="161"/>
        <v>0.12549916360175054</v>
      </c>
    </row>
    <row r="3444" spans="1:14" x14ac:dyDescent="0.45">
      <c r="A3444" t="s">
        <v>6327</v>
      </c>
      <c r="B3444" s="1">
        <v>45218</v>
      </c>
      <c r="C3444" t="s">
        <v>6328</v>
      </c>
      <c r="D3444" t="s">
        <v>56</v>
      </c>
      <c r="E3444" t="s">
        <v>14</v>
      </c>
      <c r="F3444" t="s">
        <v>57</v>
      </c>
      <c r="G3444">
        <v>4</v>
      </c>
      <c r="H3444">
        <v>19305.52</v>
      </c>
      <c r="I3444">
        <v>2313.42</v>
      </c>
      <c r="J3444" t="s">
        <v>16</v>
      </c>
      <c r="K3444" t="s">
        <v>29</v>
      </c>
      <c r="L3444">
        <f t="shared" si="159"/>
        <v>2023</v>
      </c>
      <c r="M3444" t="str">
        <f t="shared" si="160"/>
        <v>Oct</v>
      </c>
      <c r="N3444" s="2">
        <f t="shared" si="161"/>
        <v>0.11983204803600214</v>
      </c>
    </row>
    <row r="3445" spans="1:14" x14ac:dyDescent="0.45">
      <c r="A3445" t="s">
        <v>6329</v>
      </c>
      <c r="B3445" s="1">
        <v>45442</v>
      </c>
      <c r="C3445" t="s">
        <v>6330</v>
      </c>
      <c r="D3445" t="s">
        <v>13</v>
      </c>
      <c r="E3445" t="s">
        <v>14</v>
      </c>
      <c r="F3445" t="s">
        <v>32</v>
      </c>
      <c r="G3445">
        <v>4</v>
      </c>
      <c r="H3445">
        <v>46697.5</v>
      </c>
      <c r="I3445">
        <v>5020.9399999999996</v>
      </c>
      <c r="J3445" t="s">
        <v>22</v>
      </c>
      <c r="K3445" t="s">
        <v>29</v>
      </c>
      <c r="L3445">
        <f t="shared" si="159"/>
        <v>2024</v>
      </c>
      <c r="M3445" t="str">
        <f t="shared" si="160"/>
        <v>May</v>
      </c>
      <c r="N3445" s="2">
        <f t="shared" si="161"/>
        <v>0.10752053107768081</v>
      </c>
    </row>
    <row r="3446" spans="1:14" x14ac:dyDescent="0.45">
      <c r="A3446" t="s">
        <v>6331</v>
      </c>
      <c r="B3446" s="1">
        <v>45386</v>
      </c>
      <c r="C3446" t="s">
        <v>6332</v>
      </c>
      <c r="D3446" t="s">
        <v>13</v>
      </c>
      <c r="E3446" t="s">
        <v>14</v>
      </c>
      <c r="F3446" t="s">
        <v>32</v>
      </c>
      <c r="G3446">
        <v>1</v>
      </c>
      <c r="H3446">
        <v>41387.15</v>
      </c>
      <c r="I3446">
        <v>5442.3</v>
      </c>
      <c r="J3446" t="s">
        <v>71</v>
      </c>
      <c r="K3446" t="s">
        <v>23</v>
      </c>
      <c r="L3446">
        <f t="shared" si="159"/>
        <v>2024</v>
      </c>
      <c r="M3446" t="str">
        <f t="shared" si="160"/>
        <v>Apr</v>
      </c>
      <c r="N3446" s="2">
        <f t="shared" si="161"/>
        <v>0.13149733673374464</v>
      </c>
    </row>
    <row r="3447" spans="1:14" x14ac:dyDescent="0.45">
      <c r="A3447" t="s">
        <v>6333</v>
      </c>
      <c r="B3447" s="1">
        <v>45579</v>
      </c>
      <c r="C3447" t="s">
        <v>1826</v>
      </c>
      <c r="D3447" t="s">
        <v>13</v>
      </c>
      <c r="E3447" t="s">
        <v>14</v>
      </c>
      <c r="F3447" t="s">
        <v>15</v>
      </c>
      <c r="G3447">
        <v>2</v>
      </c>
      <c r="H3447">
        <v>27409.8</v>
      </c>
      <c r="I3447">
        <v>4029.79</v>
      </c>
      <c r="J3447" t="s">
        <v>28</v>
      </c>
      <c r="K3447" t="s">
        <v>23</v>
      </c>
      <c r="L3447">
        <f t="shared" si="159"/>
        <v>2024</v>
      </c>
      <c r="M3447" t="str">
        <f t="shared" si="160"/>
        <v>Oct</v>
      </c>
      <c r="N3447" s="2">
        <f t="shared" si="161"/>
        <v>0.14702004392589513</v>
      </c>
    </row>
    <row r="3448" spans="1:14" x14ac:dyDescent="0.45">
      <c r="A3448" t="s">
        <v>6334</v>
      </c>
      <c r="B3448" s="1">
        <v>45046</v>
      </c>
      <c r="C3448" t="s">
        <v>6335</v>
      </c>
      <c r="D3448" t="s">
        <v>56</v>
      </c>
      <c r="E3448" t="s">
        <v>20</v>
      </c>
      <c r="F3448" t="s">
        <v>43</v>
      </c>
      <c r="G3448">
        <v>2</v>
      </c>
      <c r="H3448">
        <v>3676.6</v>
      </c>
      <c r="I3448">
        <v>449.02</v>
      </c>
      <c r="J3448" t="s">
        <v>71</v>
      </c>
      <c r="K3448" t="s">
        <v>23</v>
      </c>
      <c r="L3448">
        <f t="shared" si="159"/>
        <v>2023</v>
      </c>
      <c r="M3448" t="str">
        <f t="shared" si="160"/>
        <v>Apr</v>
      </c>
      <c r="N3448" s="2">
        <f t="shared" si="161"/>
        <v>0.12212914105423489</v>
      </c>
    </row>
    <row r="3449" spans="1:14" x14ac:dyDescent="0.45">
      <c r="A3449" t="s">
        <v>6336</v>
      </c>
      <c r="B3449" s="1">
        <v>44940</v>
      </c>
      <c r="C3449" t="s">
        <v>6337</v>
      </c>
      <c r="D3449" t="s">
        <v>26</v>
      </c>
      <c r="E3449" t="s">
        <v>14</v>
      </c>
      <c r="F3449" t="s">
        <v>32</v>
      </c>
      <c r="G3449">
        <v>1</v>
      </c>
      <c r="H3449">
        <v>27032.83</v>
      </c>
      <c r="I3449">
        <v>5093.37</v>
      </c>
      <c r="J3449" t="s">
        <v>28</v>
      </c>
      <c r="K3449" t="s">
        <v>17</v>
      </c>
      <c r="L3449">
        <f t="shared" si="159"/>
        <v>2023</v>
      </c>
      <c r="M3449" t="str">
        <f t="shared" si="160"/>
        <v>Jan</v>
      </c>
      <c r="N3449" s="2">
        <f t="shared" si="161"/>
        <v>0.1884142355794787</v>
      </c>
    </row>
    <row r="3450" spans="1:14" x14ac:dyDescent="0.45">
      <c r="A3450" t="s">
        <v>6338</v>
      </c>
      <c r="B3450" s="1">
        <v>44906</v>
      </c>
      <c r="C3450" t="s">
        <v>6339</v>
      </c>
      <c r="D3450" t="s">
        <v>56</v>
      </c>
      <c r="E3450" t="s">
        <v>20</v>
      </c>
      <c r="F3450" t="s">
        <v>43</v>
      </c>
      <c r="G3450">
        <v>1</v>
      </c>
      <c r="H3450">
        <v>44625.11</v>
      </c>
      <c r="I3450">
        <v>2989.68</v>
      </c>
      <c r="J3450" t="s">
        <v>22</v>
      </c>
      <c r="K3450" t="s">
        <v>17</v>
      </c>
      <c r="L3450">
        <f t="shared" si="159"/>
        <v>2022</v>
      </c>
      <c r="M3450" t="str">
        <f t="shared" si="160"/>
        <v>Dec</v>
      </c>
      <c r="N3450" s="2">
        <f t="shared" si="161"/>
        <v>6.6995465109217653E-2</v>
      </c>
    </row>
    <row r="3451" spans="1:14" x14ac:dyDescent="0.45">
      <c r="A3451" t="s">
        <v>6340</v>
      </c>
      <c r="B3451" s="1">
        <v>44881</v>
      </c>
      <c r="C3451" t="s">
        <v>6341</v>
      </c>
      <c r="D3451" t="s">
        <v>56</v>
      </c>
      <c r="E3451" t="s">
        <v>20</v>
      </c>
      <c r="F3451" t="s">
        <v>50</v>
      </c>
      <c r="G3451">
        <v>1</v>
      </c>
      <c r="H3451">
        <v>32084.66</v>
      </c>
      <c r="I3451">
        <v>5638.46</v>
      </c>
      <c r="J3451" t="s">
        <v>47</v>
      </c>
      <c r="K3451" t="s">
        <v>29</v>
      </c>
      <c r="L3451">
        <f t="shared" si="159"/>
        <v>2022</v>
      </c>
      <c r="M3451" t="str">
        <f t="shared" si="160"/>
        <v>Nov</v>
      </c>
      <c r="N3451" s="2">
        <f t="shared" si="161"/>
        <v>0.1757369409555844</v>
      </c>
    </row>
    <row r="3452" spans="1:14" x14ac:dyDescent="0.45">
      <c r="A3452" t="s">
        <v>6342</v>
      </c>
      <c r="B3452" s="1">
        <v>44924</v>
      </c>
      <c r="C3452" t="s">
        <v>6343</v>
      </c>
      <c r="D3452" t="s">
        <v>56</v>
      </c>
      <c r="E3452" t="s">
        <v>36</v>
      </c>
      <c r="F3452" t="s">
        <v>46</v>
      </c>
      <c r="G3452">
        <v>1</v>
      </c>
      <c r="H3452">
        <v>24702.73</v>
      </c>
      <c r="I3452">
        <v>1625.8</v>
      </c>
      <c r="J3452" t="s">
        <v>16</v>
      </c>
      <c r="K3452" t="s">
        <v>29</v>
      </c>
      <c r="L3452">
        <f t="shared" si="159"/>
        <v>2022</v>
      </c>
      <c r="M3452" t="str">
        <f t="shared" si="160"/>
        <v>Dec</v>
      </c>
      <c r="N3452" s="2">
        <f t="shared" si="161"/>
        <v>6.5814588104229771E-2</v>
      </c>
    </row>
    <row r="3453" spans="1:14" x14ac:dyDescent="0.45">
      <c r="A3453" t="s">
        <v>6344</v>
      </c>
      <c r="B3453" s="1">
        <v>44775</v>
      </c>
      <c r="C3453" t="s">
        <v>6345</v>
      </c>
      <c r="D3453" t="s">
        <v>13</v>
      </c>
      <c r="E3453" t="s">
        <v>36</v>
      </c>
      <c r="F3453" t="s">
        <v>46</v>
      </c>
      <c r="G3453">
        <v>5</v>
      </c>
      <c r="H3453">
        <v>44456.75</v>
      </c>
      <c r="I3453">
        <v>10617.91</v>
      </c>
      <c r="J3453" t="s">
        <v>22</v>
      </c>
      <c r="K3453" t="s">
        <v>17</v>
      </c>
      <c r="L3453">
        <f t="shared" si="159"/>
        <v>2022</v>
      </c>
      <c r="M3453" t="str">
        <f t="shared" si="160"/>
        <v>Aug</v>
      </c>
      <c r="N3453" s="2">
        <f t="shared" si="161"/>
        <v>0.23883684704797359</v>
      </c>
    </row>
    <row r="3454" spans="1:14" x14ac:dyDescent="0.45">
      <c r="A3454" t="s">
        <v>6346</v>
      </c>
      <c r="B3454" s="1">
        <v>45492</v>
      </c>
      <c r="C3454" t="s">
        <v>6347</v>
      </c>
      <c r="D3454" t="s">
        <v>13</v>
      </c>
      <c r="E3454" t="s">
        <v>14</v>
      </c>
      <c r="F3454" t="s">
        <v>57</v>
      </c>
      <c r="G3454">
        <v>5</v>
      </c>
      <c r="H3454">
        <v>15708.74</v>
      </c>
      <c r="I3454">
        <v>2233.7800000000002</v>
      </c>
      <c r="J3454" t="s">
        <v>28</v>
      </c>
      <c r="K3454" t="s">
        <v>23</v>
      </c>
      <c r="L3454">
        <f t="shared" si="159"/>
        <v>2024</v>
      </c>
      <c r="M3454" t="str">
        <f t="shared" si="160"/>
        <v>Jul</v>
      </c>
      <c r="N3454" s="2">
        <f t="shared" si="161"/>
        <v>0.14219981997283043</v>
      </c>
    </row>
    <row r="3455" spans="1:14" x14ac:dyDescent="0.45">
      <c r="A3455" t="s">
        <v>6348</v>
      </c>
      <c r="B3455" s="1">
        <v>45056</v>
      </c>
      <c r="C3455" t="s">
        <v>6349</v>
      </c>
      <c r="D3455" t="s">
        <v>56</v>
      </c>
      <c r="E3455" t="s">
        <v>36</v>
      </c>
      <c r="F3455" t="s">
        <v>37</v>
      </c>
      <c r="G3455">
        <v>1</v>
      </c>
      <c r="H3455">
        <v>2893.65</v>
      </c>
      <c r="I3455">
        <v>249.69</v>
      </c>
      <c r="J3455" t="s">
        <v>16</v>
      </c>
      <c r="K3455" t="s">
        <v>29</v>
      </c>
      <c r="L3455">
        <f t="shared" si="159"/>
        <v>2023</v>
      </c>
      <c r="M3455" t="str">
        <f t="shared" si="160"/>
        <v>May</v>
      </c>
      <c r="N3455" s="2">
        <f t="shared" si="161"/>
        <v>8.6288943030428694E-2</v>
      </c>
    </row>
    <row r="3456" spans="1:14" x14ac:dyDescent="0.45">
      <c r="A3456" t="s">
        <v>6350</v>
      </c>
      <c r="B3456" s="1">
        <v>45646</v>
      </c>
      <c r="C3456" t="s">
        <v>6351</v>
      </c>
      <c r="D3456" t="s">
        <v>13</v>
      </c>
      <c r="E3456" t="s">
        <v>20</v>
      </c>
      <c r="F3456" t="s">
        <v>50</v>
      </c>
      <c r="G3456">
        <v>2</v>
      </c>
      <c r="H3456">
        <v>19617.95</v>
      </c>
      <c r="I3456">
        <v>1721.06</v>
      </c>
      <c r="J3456" t="s">
        <v>28</v>
      </c>
      <c r="K3456" t="s">
        <v>33</v>
      </c>
      <c r="L3456">
        <f t="shared" si="159"/>
        <v>2024</v>
      </c>
      <c r="M3456" t="str">
        <f t="shared" si="160"/>
        <v>Dec</v>
      </c>
      <c r="N3456" s="2">
        <f t="shared" si="161"/>
        <v>8.7728840169334715E-2</v>
      </c>
    </row>
    <row r="3457" spans="1:14" x14ac:dyDescent="0.45">
      <c r="A3457" t="s">
        <v>6352</v>
      </c>
      <c r="B3457" s="1">
        <v>45347</v>
      </c>
      <c r="C3457" t="s">
        <v>3462</v>
      </c>
      <c r="D3457" t="s">
        <v>13</v>
      </c>
      <c r="E3457" t="s">
        <v>20</v>
      </c>
      <c r="F3457" t="s">
        <v>27</v>
      </c>
      <c r="G3457">
        <v>1</v>
      </c>
      <c r="H3457">
        <v>39481.49</v>
      </c>
      <c r="I3457">
        <v>9102.0499999999993</v>
      </c>
      <c r="J3457" t="s">
        <v>71</v>
      </c>
      <c r="K3457" t="s">
        <v>23</v>
      </c>
      <c r="L3457">
        <f t="shared" si="159"/>
        <v>2024</v>
      </c>
      <c r="M3457" t="str">
        <f t="shared" si="160"/>
        <v>Feb</v>
      </c>
      <c r="N3457" s="2">
        <f t="shared" si="161"/>
        <v>0.23053967821376548</v>
      </c>
    </row>
    <row r="3458" spans="1:14" x14ac:dyDescent="0.45">
      <c r="A3458" t="s">
        <v>6353</v>
      </c>
      <c r="B3458" s="1">
        <v>45506</v>
      </c>
      <c r="C3458" t="s">
        <v>6354</v>
      </c>
      <c r="D3458" t="s">
        <v>26</v>
      </c>
      <c r="E3458" t="s">
        <v>14</v>
      </c>
      <c r="F3458" t="s">
        <v>32</v>
      </c>
      <c r="G3458">
        <v>5</v>
      </c>
      <c r="H3458">
        <v>6504.16</v>
      </c>
      <c r="I3458">
        <v>617.15</v>
      </c>
      <c r="J3458" t="s">
        <v>47</v>
      </c>
      <c r="K3458" t="s">
        <v>33</v>
      </c>
      <c r="L3458">
        <f t="shared" si="159"/>
        <v>2024</v>
      </c>
      <c r="M3458" t="str">
        <f t="shared" si="160"/>
        <v>Aug</v>
      </c>
      <c r="N3458" s="2">
        <f t="shared" si="161"/>
        <v>9.488542717276327E-2</v>
      </c>
    </row>
    <row r="3459" spans="1:14" x14ac:dyDescent="0.45">
      <c r="A3459" t="s">
        <v>6355</v>
      </c>
      <c r="B3459" s="1">
        <v>44946</v>
      </c>
      <c r="C3459" t="s">
        <v>6356</v>
      </c>
      <c r="D3459" t="s">
        <v>26</v>
      </c>
      <c r="E3459" t="s">
        <v>14</v>
      </c>
      <c r="F3459" t="s">
        <v>40</v>
      </c>
      <c r="G3459">
        <v>1</v>
      </c>
      <c r="H3459">
        <v>7603.94</v>
      </c>
      <c r="I3459">
        <v>1270</v>
      </c>
      <c r="J3459" t="s">
        <v>16</v>
      </c>
      <c r="K3459" t="s">
        <v>17</v>
      </c>
      <c r="L3459">
        <f t="shared" ref="L3459:L3522" si="162">YEAR(B3459 )</f>
        <v>2023</v>
      </c>
      <c r="M3459" t="str">
        <f t="shared" ref="M3459:M3522" si="163">TEXT(B3459,"MMM")</f>
        <v>Jan</v>
      </c>
      <c r="N3459" s="2">
        <f t="shared" ref="N3459:N3522" si="164">I3459 / H3459</f>
        <v>0.16701867715947261</v>
      </c>
    </row>
    <row r="3460" spans="1:14" x14ac:dyDescent="0.45">
      <c r="A3460" t="s">
        <v>6357</v>
      </c>
      <c r="B3460" s="1">
        <v>45297</v>
      </c>
      <c r="C3460" t="s">
        <v>3258</v>
      </c>
      <c r="D3460" t="s">
        <v>26</v>
      </c>
      <c r="E3460" t="s">
        <v>36</v>
      </c>
      <c r="F3460" t="s">
        <v>64</v>
      </c>
      <c r="G3460">
        <v>5</v>
      </c>
      <c r="H3460">
        <v>3471.63</v>
      </c>
      <c r="I3460">
        <v>590.29999999999995</v>
      </c>
      <c r="J3460" t="s">
        <v>47</v>
      </c>
      <c r="K3460" t="s">
        <v>17</v>
      </c>
      <c r="L3460">
        <f t="shared" si="162"/>
        <v>2024</v>
      </c>
      <c r="M3460" t="str">
        <f t="shared" si="163"/>
        <v>Jan</v>
      </c>
      <c r="N3460" s="2">
        <f t="shared" si="164"/>
        <v>0.17003540123803515</v>
      </c>
    </row>
    <row r="3461" spans="1:14" x14ac:dyDescent="0.45">
      <c r="A3461" t="s">
        <v>6358</v>
      </c>
      <c r="B3461" s="1">
        <v>45017</v>
      </c>
      <c r="C3461" t="s">
        <v>6359</v>
      </c>
      <c r="D3461" t="s">
        <v>26</v>
      </c>
      <c r="E3461" t="s">
        <v>20</v>
      </c>
      <c r="F3461" t="s">
        <v>27</v>
      </c>
      <c r="G3461">
        <v>3</v>
      </c>
      <c r="H3461">
        <v>45647.9</v>
      </c>
      <c r="I3461">
        <v>4313.28</v>
      </c>
      <c r="J3461" t="s">
        <v>22</v>
      </c>
      <c r="K3461" t="s">
        <v>23</v>
      </c>
      <c r="L3461">
        <f t="shared" si="162"/>
        <v>2023</v>
      </c>
      <c r="M3461" t="str">
        <f t="shared" si="163"/>
        <v>Apr</v>
      </c>
      <c r="N3461" s="2">
        <f t="shared" si="164"/>
        <v>9.4490217512744279E-2</v>
      </c>
    </row>
    <row r="3462" spans="1:14" x14ac:dyDescent="0.45">
      <c r="A3462" t="s">
        <v>6360</v>
      </c>
      <c r="B3462" s="1">
        <v>44811</v>
      </c>
      <c r="C3462" t="s">
        <v>6361</v>
      </c>
      <c r="D3462" t="s">
        <v>26</v>
      </c>
      <c r="E3462" t="s">
        <v>14</v>
      </c>
      <c r="F3462" t="s">
        <v>57</v>
      </c>
      <c r="G3462">
        <v>5</v>
      </c>
      <c r="H3462">
        <v>4532.24</v>
      </c>
      <c r="I3462">
        <v>823.74</v>
      </c>
      <c r="J3462" t="s">
        <v>16</v>
      </c>
      <c r="K3462" t="s">
        <v>23</v>
      </c>
      <c r="L3462">
        <f t="shared" si="162"/>
        <v>2022</v>
      </c>
      <c r="M3462" t="str">
        <f t="shared" si="163"/>
        <v>Sep</v>
      </c>
      <c r="N3462" s="2">
        <f t="shared" si="164"/>
        <v>0.18175118705099466</v>
      </c>
    </row>
    <row r="3463" spans="1:14" x14ac:dyDescent="0.45">
      <c r="A3463" t="s">
        <v>6362</v>
      </c>
      <c r="B3463" s="1">
        <v>45051</v>
      </c>
      <c r="C3463" t="s">
        <v>5344</v>
      </c>
      <c r="D3463" t="s">
        <v>56</v>
      </c>
      <c r="E3463" t="s">
        <v>20</v>
      </c>
      <c r="F3463" t="s">
        <v>43</v>
      </c>
      <c r="G3463">
        <v>5</v>
      </c>
      <c r="H3463">
        <v>21315.5</v>
      </c>
      <c r="I3463">
        <v>2494.37</v>
      </c>
      <c r="J3463" t="s">
        <v>22</v>
      </c>
      <c r="K3463" t="s">
        <v>23</v>
      </c>
      <c r="L3463">
        <f t="shared" si="162"/>
        <v>2023</v>
      </c>
      <c r="M3463" t="str">
        <f t="shared" si="163"/>
        <v>May</v>
      </c>
      <c r="N3463" s="2">
        <f t="shared" si="164"/>
        <v>0.1170214163402219</v>
      </c>
    </row>
    <row r="3464" spans="1:14" x14ac:dyDescent="0.45">
      <c r="A3464" t="s">
        <v>6363</v>
      </c>
      <c r="B3464" s="1">
        <v>45590</v>
      </c>
      <c r="C3464" t="s">
        <v>6364</v>
      </c>
      <c r="D3464" t="s">
        <v>26</v>
      </c>
      <c r="E3464" t="s">
        <v>36</v>
      </c>
      <c r="F3464" t="s">
        <v>37</v>
      </c>
      <c r="G3464">
        <v>4</v>
      </c>
      <c r="H3464">
        <v>28348.35</v>
      </c>
      <c r="I3464">
        <v>5931.79</v>
      </c>
      <c r="J3464" t="s">
        <v>16</v>
      </c>
      <c r="K3464" t="s">
        <v>33</v>
      </c>
      <c r="L3464">
        <f t="shared" si="162"/>
        <v>2024</v>
      </c>
      <c r="M3464" t="str">
        <f t="shared" si="163"/>
        <v>Oct</v>
      </c>
      <c r="N3464" s="2">
        <f t="shared" si="164"/>
        <v>0.20924639352907665</v>
      </c>
    </row>
    <row r="3465" spans="1:14" x14ac:dyDescent="0.45">
      <c r="A3465" t="s">
        <v>6365</v>
      </c>
      <c r="B3465" s="1">
        <v>44751</v>
      </c>
      <c r="C3465" t="s">
        <v>6366</v>
      </c>
      <c r="D3465" t="s">
        <v>56</v>
      </c>
      <c r="E3465" t="s">
        <v>20</v>
      </c>
      <c r="F3465" t="s">
        <v>43</v>
      </c>
      <c r="G3465">
        <v>5</v>
      </c>
      <c r="H3465">
        <v>6965.44</v>
      </c>
      <c r="I3465">
        <v>1441.78</v>
      </c>
      <c r="J3465" t="s">
        <v>16</v>
      </c>
      <c r="K3465" t="s">
        <v>29</v>
      </c>
      <c r="L3465">
        <f t="shared" si="162"/>
        <v>2022</v>
      </c>
      <c r="M3465" t="str">
        <f t="shared" si="163"/>
        <v>Jul</v>
      </c>
      <c r="N3465" s="2">
        <f t="shared" si="164"/>
        <v>0.20699051316212616</v>
      </c>
    </row>
    <row r="3466" spans="1:14" x14ac:dyDescent="0.45">
      <c r="A3466" t="s">
        <v>6367</v>
      </c>
      <c r="B3466" s="1">
        <v>45632</v>
      </c>
      <c r="C3466" t="s">
        <v>6368</v>
      </c>
      <c r="D3466" t="s">
        <v>13</v>
      </c>
      <c r="E3466" t="s">
        <v>14</v>
      </c>
      <c r="F3466" t="s">
        <v>57</v>
      </c>
      <c r="G3466">
        <v>2</v>
      </c>
      <c r="H3466">
        <v>1727.11</v>
      </c>
      <c r="I3466">
        <v>315.19</v>
      </c>
      <c r="J3466" t="s">
        <v>16</v>
      </c>
      <c r="K3466" t="s">
        <v>17</v>
      </c>
      <c r="L3466">
        <f t="shared" si="162"/>
        <v>2024</v>
      </c>
      <c r="M3466" t="str">
        <f t="shared" si="163"/>
        <v>Dec</v>
      </c>
      <c r="N3466" s="2">
        <f t="shared" si="164"/>
        <v>0.18249561406048254</v>
      </c>
    </row>
    <row r="3467" spans="1:14" x14ac:dyDescent="0.45">
      <c r="A3467" t="s">
        <v>6369</v>
      </c>
      <c r="B3467" s="1">
        <v>45273</v>
      </c>
      <c r="C3467" t="s">
        <v>6370</v>
      </c>
      <c r="D3467" t="s">
        <v>13</v>
      </c>
      <c r="E3467" t="s">
        <v>36</v>
      </c>
      <c r="F3467" t="s">
        <v>46</v>
      </c>
      <c r="G3467">
        <v>2</v>
      </c>
      <c r="H3467">
        <v>38609.4</v>
      </c>
      <c r="I3467">
        <v>9465.6200000000008</v>
      </c>
      <c r="J3467" t="s">
        <v>71</v>
      </c>
      <c r="K3467" t="s">
        <v>29</v>
      </c>
      <c r="L3467">
        <f t="shared" si="162"/>
        <v>2023</v>
      </c>
      <c r="M3467" t="str">
        <f t="shared" si="163"/>
        <v>Dec</v>
      </c>
      <c r="N3467" s="2">
        <f t="shared" si="164"/>
        <v>0.24516361300615913</v>
      </c>
    </row>
    <row r="3468" spans="1:14" x14ac:dyDescent="0.45">
      <c r="A3468" t="s">
        <v>6371</v>
      </c>
      <c r="B3468" s="1">
        <v>44730</v>
      </c>
      <c r="C3468" t="s">
        <v>6372</v>
      </c>
      <c r="D3468" t="s">
        <v>26</v>
      </c>
      <c r="E3468" t="s">
        <v>14</v>
      </c>
      <c r="F3468" t="s">
        <v>40</v>
      </c>
      <c r="G3468">
        <v>2</v>
      </c>
      <c r="H3468">
        <v>4379.8100000000004</v>
      </c>
      <c r="I3468">
        <v>307.58999999999997</v>
      </c>
      <c r="J3468" t="s">
        <v>22</v>
      </c>
      <c r="K3468" t="s">
        <v>29</v>
      </c>
      <c r="L3468">
        <f t="shared" si="162"/>
        <v>2022</v>
      </c>
      <c r="M3468" t="str">
        <f t="shared" si="163"/>
        <v>Jun</v>
      </c>
      <c r="N3468" s="2">
        <f t="shared" si="164"/>
        <v>7.0229073863934718E-2</v>
      </c>
    </row>
    <row r="3469" spans="1:14" x14ac:dyDescent="0.45">
      <c r="A3469" t="s">
        <v>6373</v>
      </c>
      <c r="B3469" s="1">
        <v>45558</v>
      </c>
      <c r="C3469" t="s">
        <v>6374</v>
      </c>
      <c r="D3469" t="s">
        <v>26</v>
      </c>
      <c r="E3469" t="s">
        <v>14</v>
      </c>
      <c r="F3469" t="s">
        <v>32</v>
      </c>
      <c r="G3469">
        <v>5</v>
      </c>
      <c r="H3469">
        <v>20933.439999999999</v>
      </c>
      <c r="I3469">
        <v>4504.5200000000004</v>
      </c>
      <c r="J3469" t="s">
        <v>28</v>
      </c>
      <c r="K3469" t="s">
        <v>17</v>
      </c>
      <c r="L3469">
        <f t="shared" si="162"/>
        <v>2024</v>
      </c>
      <c r="M3469" t="str">
        <f t="shared" si="163"/>
        <v>Sep</v>
      </c>
      <c r="N3469" s="2">
        <f t="shared" si="164"/>
        <v>0.21518297995933783</v>
      </c>
    </row>
    <row r="3470" spans="1:14" x14ac:dyDescent="0.45">
      <c r="A3470" t="s">
        <v>6375</v>
      </c>
      <c r="B3470" s="1">
        <v>45124</v>
      </c>
      <c r="C3470" t="s">
        <v>6376</v>
      </c>
      <c r="D3470" t="s">
        <v>56</v>
      </c>
      <c r="E3470" t="s">
        <v>36</v>
      </c>
      <c r="F3470" t="s">
        <v>53</v>
      </c>
      <c r="G3470">
        <v>5</v>
      </c>
      <c r="H3470">
        <v>21452.62</v>
      </c>
      <c r="I3470">
        <v>1833.78</v>
      </c>
      <c r="J3470" t="s">
        <v>22</v>
      </c>
      <c r="K3470" t="s">
        <v>17</v>
      </c>
      <c r="L3470">
        <f t="shared" si="162"/>
        <v>2023</v>
      </c>
      <c r="M3470" t="str">
        <f t="shared" si="163"/>
        <v>Jul</v>
      </c>
      <c r="N3470" s="2">
        <f t="shared" si="164"/>
        <v>8.5480468119977893E-2</v>
      </c>
    </row>
    <row r="3471" spans="1:14" x14ac:dyDescent="0.45">
      <c r="A3471" t="s">
        <v>6377</v>
      </c>
      <c r="B3471" s="1">
        <v>44867</v>
      </c>
      <c r="C3471" t="s">
        <v>6378</v>
      </c>
      <c r="D3471" t="s">
        <v>13</v>
      </c>
      <c r="E3471" t="s">
        <v>36</v>
      </c>
      <c r="F3471" t="s">
        <v>46</v>
      </c>
      <c r="G3471">
        <v>1</v>
      </c>
      <c r="H3471">
        <v>14514.76</v>
      </c>
      <c r="I3471">
        <v>3202.1</v>
      </c>
      <c r="J3471" t="s">
        <v>47</v>
      </c>
      <c r="K3471" t="s">
        <v>29</v>
      </c>
      <c r="L3471">
        <f t="shared" si="162"/>
        <v>2022</v>
      </c>
      <c r="M3471" t="str">
        <f t="shared" si="163"/>
        <v>Nov</v>
      </c>
      <c r="N3471" s="2">
        <f t="shared" si="164"/>
        <v>0.22060991707751282</v>
      </c>
    </row>
    <row r="3472" spans="1:14" x14ac:dyDescent="0.45">
      <c r="A3472" t="s">
        <v>6379</v>
      </c>
      <c r="B3472" s="1">
        <v>45446</v>
      </c>
      <c r="C3472" t="s">
        <v>5411</v>
      </c>
      <c r="D3472" t="s">
        <v>26</v>
      </c>
      <c r="E3472" t="s">
        <v>14</v>
      </c>
      <c r="F3472" t="s">
        <v>57</v>
      </c>
      <c r="G3472">
        <v>1</v>
      </c>
      <c r="H3472">
        <v>46193.88</v>
      </c>
      <c r="I3472">
        <v>4676.05</v>
      </c>
      <c r="J3472" t="s">
        <v>47</v>
      </c>
      <c r="K3472" t="s">
        <v>17</v>
      </c>
      <c r="L3472">
        <f t="shared" si="162"/>
        <v>2024</v>
      </c>
      <c r="M3472" t="str">
        <f t="shared" si="163"/>
        <v>Jun</v>
      </c>
      <c r="N3472" s="2">
        <f t="shared" si="164"/>
        <v>0.10122661270280826</v>
      </c>
    </row>
    <row r="3473" spans="1:14" x14ac:dyDescent="0.45">
      <c r="A3473" t="s">
        <v>6380</v>
      </c>
      <c r="B3473" s="1">
        <v>45597</v>
      </c>
      <c r="C3473" t="s">
        <v>6381</v>
      </c>
      <c r="D3473" t="s">
        <v>56</v>
      </c>
      <c r="E3473" t="s">
        <v>20</v>
      </c>
      <c r="F3473" t="s">
        <v>21</v>
      </c>
      <c r="G3473">
        <v>1</v>
      </c>
      <c r="H3473">
        <v>15915.21</v>
      </c>
      <c r="I3473">
        <v>3201.55</v>
      </c>
      <c r="J3473" t="s">
        <v>16</v>
      </c>
      <c r="K3473" t="s">
        <v>33</v>
      </c>
      <c r="L3473">
        <f t="shared" si="162"/>
        <v>2024</v>
      </c>
      <c r="M3473" t="str">
        <f t="shared" si="163"/>
        <v>Nov</v>
      </c>
      <c r="N3473" s="2">
        <f t="shared" si="164"/>
        <v>0.20116291271054548</v>
      </c>
    </row>
    <row r="3474" spans="1:14" x14ac:dyDescent="0.45">
      <c r="A3474" t="s">
        <v>6382</v>
      </c>
      <c r="B3474" s="1">
        <v>44631</v>
      </c>
      <c r="C3474" t="s">
        <v>6383</v>
      </c>
      <c r="D3474" t="s">
        <v>56</v>
      </c>
      <c r="E3474" t="s">
        <v>14</v>
      </c>
      <c r="F3474" t="s">
        <v>40</v>
      </c>
      <c r="G3474">
        <v>2</v>
      </c>
      <c r="H3474">
        <v>35339.72</v>
      </c>
      <c r="I3474">
        <v>6571.85</v>
      </c>
      <c r="J3474" t="s">
        <v>28</v>
      </c>
      <c r="K3474" t="s">
        <v>17</v>
      </c>
      <c r="L3474">
        <f t="shared" si="162"/>
        <v>2022</v>
      </c>
      <c r="M3474" t="str">
        <f t="shared" si="163"/>
        <v>Mar</v>
      </c>
      <c r="N3474" s="2">
        <f t="shared" si="164"/>
        <v>0.18596214118278243</v>
      </c>
    </row>
    <row r="3475" spans="1:14" x14ac:dyDescent="0.45">
      <c r="A3475" t="s">
        <v>6384</v>
      </c>
      <c r="B3475" s="1">
        <v>44856</v>
      </c>
      <c r="C3475" t="s">
        <v>728</v>
      </c>
      <c r="D3475" t="s">
        <v>56</v>
      </c>
      <c r="E3475" t="s">
        <v>14</v>
      </c>
      <c r="F3475" t="s">
        <v>57</v>
      </c>
      <c r="G3475">
        <v>3</v>
      </c>
      <c r="H3475">
        <v>23050.34</v>
      </c>
      <c r="I3475">
        <v>3540.22</v>
      </c>
      <c r="J3475" t="s">
        <v>16</v>
      </c>
      <c r="K3475" t="s">
        <v>17</v>
      </c>
      <c r="L3475">
        <f t="shared" si="162"/>
        <v>2022</v>
      </c>
      <c r="M3475" t="str">
        <f t="shared" si="163"/>
        <v>Oct</v>
      </c>
      <c r="N3475" s="2">
        <f t="shared" si="164"/>
        <v>0.15358645469003926</v>
      </c>
    </row>
    <row r="3476" spans="1:14" x14ac:dyDescent="0.45">
      <c r="A3476" t="s">
        <v>6385</v>
      </c>
      <c r="B3476" s="1">
        <v>44662</v>
      </c>
      <c r="C3476" t="s">
        <v>5897</v>
      </c>
      <c r="D3476" t="s">
        <v>13</v>
      </c>
      <c r="E3476" t="s">
        <v>20</v>
      </c>
      <c r="F3476" t="s">
        <v>50</v>
      </c>
      <c r="G3476">
        <v>2</v>
      </c>
      <c r="H3476">
        <v>11744.41</v>
      </c>
      <c r="I3476">
        <v>2588.3200000000002</v>
      </c>
      <c r="J3476" t="s">
        <v>16</v>
      </c>
      <c r="K3476" t="s">
        <v>17</v>
      </c>
      <c r="L3476">
        <f t="shared" si="162"/>
        <v>2022</v>
      </c>
      <c r="M3476" t="str">
        <f t="shared" si="163"/>
        <v>Apr</v>
      </c>
      <c r="N3476" s="2">
        <f t="shared" si="164"/>
        <v>0.22038740132539653</v>
      </c>
    </row>
    <row r="3477" spans="1:14" x14ac:dyDescent="0.45">
      <c r="A3477" t="s">
        <v>6386</v>
      </c>
      <c r="B3477" s="1">
        <v>45143</v>
      </c>
      <c r="C3477" t="s">
        <v>6387</v>
      </c>
      <c r="D3477" t="s">
        <v>26</v>
      </c>
      <c r="E3477" t="s">
        <v>36</v>
      </c>
      <c r="F3477" t="s">
        <v>46</v>
      </c>
      <c r="G3477">
        <v>3</v>
      </c>
      <c r="H3477">
        <v>9213.0300000000007</v>
      </c>
      <c r="I3477">
        <v>591.16999999999996</v>
      </c>
      <c r="J3477" t="s">
        <v>71</v>
      </c>
      <c r="K3477" t="s">
        <v>17</v>
      </c>
      <c r="L3477">
        <f t="shared" si="162"/>
        <v>2023</v>
      </c>
      <c r="M3477" t="str">
        <f t="shared" si="163"/>
        <v>Aug</v>
      </c>
      <c r="N3477" s="2">
        <f t="shared" si="164"/>
        <v>6.4166729078272824E-2</v>
      </c>
    </row>
    <row r="3478" spans="1:14" x14ac:dyDescent="0.45">
      <c r="A3478" t="s">
        <v>6388</v>
      </c>
      <c r="B3478" s="1">
        <v>45003</v>
      </c>
      <c r="C3478" t="s">
        <v>6389</v>
      </c>
      <c r="D3478" t="s">
        <v>56</v>
      </c>
      <c r="E3478" t="s">
        <v>20</v>
      </c>
      <c r="F3478" t="s">
        <v>21</v>
      </c>
      <c r="G3478">
        <v>2</v>
      </c>
      <c r="H3478">
        <v>4010.59</v>
      </c>
      <c r="I3478">
        <v>228.8</v>
      </c>
      <c r="J3478" t="s">
        <v>47</v>
      </c>
      <c r="K3478" t="s">
        <v>33</v>
      </c>
      <c r="L3478">
        <f t="shared" si="162"/>
        <v>2023</v>
      </c>
      <c r="M3478" t="str">
        <f t="shared" si="163"/>
        <v>Mar</v>
      </c>
      <c r="N3478" s="2">
        <f t="shared" si="164"/>
        <v>5.7048962870799559E-2</v>
      </c>
    </row>
    <row r="3479" spans="1:14" x14ac:dyDescent="0.45">
      <c r="A3479" t="s">
        <v>6390</v>
      </c>
      <c r="B3479" s="1">
        <v>45067</v>
      </c>
      <c r="C3479" t="s">
        <v>3112</v>
      </c>
      <c r="D3479" t="s">
        <v>26</v>
      </c>
      <c r="E3479" t="s">
        <v>36</v>
      </c>
      <c r="F3479" t="s">
        <v>37</v>
      </c>
      <c r="G3479">
        <v>5</v>
      </c>
      <c r="H3479">
        <v>18021.61</v>
      </c>
      <c r="I3479">
        <v>4175.1899999999996</v>
      </c>
      <c r="J3479" t="s">
        <v>22</v>
      </c>
      <c r="K3479" t="s">
        <v>23</v>
      </c>
      <c r="L3479">
        <f t="shared" si="162"/>
        <v>2023</v>
      </c>
      <c r="M3479" t="str">
        <f t="shared" si="163"/>
        <v>May</v>
      </c>
      <c r="N3479" s="2">
        <f t="shared" si="164"/>
        <v>0.23167685905976212</v>
      </c>
    </row>
    <row r="3480" spans="1:14" x14ac:dyDescent="0.45">
      <c r="A3480" t="s">
        <v>6391</v>
      </c>
      <c r="B3480" s="1">
        <v>44954</v>
      </c>
      <c r="C3480" t="s">
        <v>2345</v>
      </c>
      <c r="D3480" t="s">
        <v>56</v>
      </c>
      <c r="E3480" t="s">
        <v>36</v>
      </c>
      <c r="F3480" t="s">
        <v>64</v>
      </c>
      <c r="G3480">
        <v>3</v>
      </c>
      <c r="H3480">
        <v>26646.6</v>
      </c>
      <c r="I3480">
        <v>5316.08</v>
      </c>
      <c r="J3480" t="s">
        <v>71</v>
      </c>
      <c r="K3480" t="s">
        <v>17</v>
      </c>
      <c r="L3480">
        <f t="shared" si="162"/>
        <v>2023</v>
      </c>
      <c r="M3480" t="str">
        <f t="shared" si="163"/>
        <v>Jan</v>
      </c>
      <c r="N3480" s="2">
        <f t="shared" si="164"/>
        <v>0.19950312610239207</v>
      </c>
    </row>
    <row r="3481" spans="1:14" x14ac:dyDescent="0.45">
      <c r="A3481" t="s">
        <v>6392</v>
      </c>
      <c r="B3481" s="1">
        <v>45343</v>
      </c>
      <c r="C3481" t="s">
        <v>2060</v>
      </c>
      <c r="D3481" t="s">
        <v>13</v>
      </c>
      <c r="E3481" t="s">
        <v>20</v>
      </c>
      <c r="F3481" t="s">
        <v>43</v>
      </c>
      <c r="G3481">
        <v>4</v>
      </c>
      <c r="H3481">
        <v>38051.57</v>
      </c>
      <c r="I3481">
        <v>7092.36</v>
      </c>
      <c r="J3481" t="s">
        <v>71</v>
      </c>
      <c r="K3481" t="s">
        <v>17</v>
      </c>
      <c r="L3481">
        <f t="shared" si="162"/>
        <v>2024</v>
      </c>
      <c r="M3481" t="str">
        <f t="shared" si="163"/>
        <v>Feb</v>
      </c>
      <c r="N3481" s="2">
        <f t="shared" si="164"/>
        <v>0.18638810435416989</v>
      </c>
    </row>
    <row r="3482" spans="1:14" x14ac:dyDescent="0.45">
      <c r="A3482" t="s">
        <v>6393</v>
      </c>
      <c r="B3482" s="1">
        <v>45642</v>
      </c>
      <c r="C3482" t="s">
        <v>6394</v>
      </c>
      <c r="D3482" t="s">
        <v>56</v>
      </c>
      <c r="E3482" t="s">
        <v>20</v>
      </c>
      <c r="F3482" t="s">
        <v>43</v>
      </c>
      <c r="G3482">
        <v>3</v>
      </c>
      <c r="H3482">
        <v>12072.17</v>
      </c>
      <c r="I3482">
        <v>2117.5300000000002</v>
      </c>
      <c r="J3482" t="s">
        <v>16</v>
      </c>
      <c r="K3482" t="s">
        <v>33</v>
      </c>
      <c r="L3482">
        <f t="shared" si="162"/>
        <v>2024</v>
      </c>
      <c r="M3482" t="str">
        <f t="shared" si="163"/>
        <v>Dec</v>
      </c>
      <c r="N3482" s="2">
        <f t="shared" si="164"/>
        <v>0.17540591293860178</v>
      </c>
    </row>
    <row r="3483" spans="1:14" x14ac:dyDescent="0.45">
      <c r="A3483" t="s">
        <v>6395</v>
      </c>
      <c r="B3483" s="1">
        <v>44872</v>
      </c>
      <c r="C3483" t="s">
        <v>6396</v>
      </c>
      <c r="D3483" t="s">
        <v>13</v>
      </c>
      <c r="E3483" t="s">
        <v>14</v>
      </c>
      <c r="F3483" t="s">
        <v>32</v>
      </c>
      <c r="G3483">
        <v>2</v>
      </c>
      <c r="H3483">
        <v>11146.77</v>
      </c>
      <c r="I3483">
        <v>1616.77</v>
      </c>
      <c r="J3483" t="s">
        <v>16</v>
      </c>
      <c r="K3483" t="s">
        <v>33</v>
      </c>
      <c r="L3483">
        <f t="shared" si="162"/>
        <v>2022</v>
      </c>
      <c r="M3483" t="str">
        <f t="shared" si="163"/>
        <v>Nov</v>
      </c>
      <c r="N3483" s="2">
        <f t="shared" si="164"/>
        <v>0.14504381089768606</v>
      </c>
    </row>
    <row r="3484" spans="1:14" x14ac:dyDescent="0.45">
      <c r="A3484" t="s">
        <v>6397</v>
      </c>
      <c r="B3484" s="1">
        <v>44848</v>
      </c>
      <c r="C3484" t="s">
        <v>5587</v>
      </c>
      <c r="D3484" t="s">
        <v>26</v>
      </c>
      <c r="E3484" t="s">
        <v>14</v>
      </c>
      <c r="F3484" t="s">
        <v>40</v>
      </c>
      <c r="G3484">
        <v>1</v>
      </c>
      <c r="H3484">
        <v>17597.86</v>
      </c>
      <c r="I3484">
        <v>1750.1</v>
      </c>
      <c r="J3484" t="s">
        <v>28</v>
      </c>
      <c r="K3484" t="s">
        <v>23</v>
      </c>
      <c r="L3484">
        <f t="shared" si="162"/>
        <v>2022</v>
      </c>
      <c r="M3484" t="str">
        <f t="shared" si="163"/>
        <v>Oct</v>
      </c>
      <c r="N3484" s="2">
        <f t="shared" si="164"/>
        <v>9.9449592166320211E-2</v>
      </c>
    </row>
    <row r="3485" spans="1:14" x14ac:dyDescent="0.45">
      <c r="A3485" t="s">
        <v>6398</v>
      </c>
      <c r="B3485" s="1">
        <v>44608</v>
      </c>
      <c r="C3485" t="s">
        <v>6399</v>
      </c>
      <c r="D3485" t="s">
        <v>13</v>
      </c>
      <c r="E3485" t="s">
        <v>20</v>
      </c>
      <c r="F3485" t="s">
        <v>50</v>
      </c>
      <c r="G3485">
        <v>1</v>
      </c>
      <c r="H3485">
        <v>21527.599999999999</v>
      </c>
      <c r="I3485">
        <v>3311.47</v>
      </c>
      <c r="J3485" t="s">
        <v>71</v>
      </c>
      <c r="K3485" t="s">
        <v>23</v>
      </c>
      <c r="L3485">
        <f t="shared" si="162"/>
        <v>2022</v>
      </c>
      <c r="M3485" t="str">
        <f t="shared" si="163"/>
        <v>Feb</v>
      </c>
      <c r="N3485" s="2">
        <f t="shared" si="164"/>
        <v>0.15382439287240565</v>
      </c>
    </row>
    <row r="3486" spans="1:14" x14ac:dyDescent="0.45">
      <c r="A3486" t="s">
        <v>6400</v>
      </c>
      <c r="B3486" s="1">
        <v>45624</v>
      </c>
      <c r="C3486" t="s">
        <v>6401</v>
      </c>
      <c r="D3486" t="s">
        <v>26</v>
      </c>
      <c r="E3486" t="s">
        <v>14</v>
      </c>
      <c r="F3486" t="s">
        <v>32</v>
      </c>
      <c r="G3486">
        <v>4</v>
      </c>
      <c r="H3486">
        <v>5596.34</v>
      </c>
      <c r="I3486">
        <v>532.25</v>
      </c>
      <c r="J3486" t="s">
        <v>22</v>
      </c>
      <c r="K3486" t="s">
        <v>17</v>
      </c>
      <c r="L3486">
        <f t="shared" si="162"/>
        <v>2024</v>
      </c>
      <c r="M3486" t="str">
        <f t="shared" si="163"/>
        <v>Nov</v>
      </c>
      <c r="N3486" s="2">
        <f t="shared" si="164"/>
        <v>9.5106801945557276E-2</v>
      </c>
    </row>
    <row r="3487" spans="1:14" x14ac:dyDescent="0.45">
      <c r="A3487" t="s">
        <v>6402</v>
      </c>
      <c r="B3487" s="1">
        <v>45090</v>
      </c>
      <c r="C3487" t="s">
        <v>6403</v>
      </c>
      <c r="D3487" t="s">
        <v>26</v>
      </c>
      <c r="E3487" t="s">
        <v>20</v>
      </c>
      <c r="F3487" t="s">
        <v>43</v>
      </c>
      <c r="G3487">
        <v>4</v>
      </c>
      <c r="H3487">
        <v>26628.59</v>
      </c>
      <c r="I3487">
        <v>3459.52</v>
      </c>
      <c r="J3487" t="s">
        <v>47</v>
      </c>
      <c r="K3487" t="s">
        <v>17</v>
      </c>
      <c r="L3487">
        <f t="shared" si="162"/>
        <v>2023</v>
      </c>
      <c r="M3487" t="str">
        <f t="shared" si="163"/>
        <v>Jun</v>
      </c>
      <c r="N3487" s="2">
        <f t="shared" si="164"/>
        <v>0.12991750595882096</v>
      </c>
    </row>
    <row r="3488" spans="1:14" x14ac:dyDescent="0.45">
      <c r="A3488" t="s">
        <v>6404</v>
      </c>
      <c r="B3488" s="1">
        <v>45296</v>
      </c>
      <c r="C3488" t="s">
        <v>2414</v>
      </c>
      <c r="D3488" t="s">
        <v>26</v>
      </c>
      <c r="E3488" t="s">
        <v>20</v>
      </c>
      <c r="F3488" t="s">
        <v>50</v>
      </c>
      <c r="G3488">
        <v>5</v>
      </c>
      <c r="H3488">
        <v>41494.93</v>
      </c>
      <c r="I3488">
        <v>9598.26</v>
      </c>
      <c r="J3488" t="s">
        <v>47</v>
      </c>
      <c r="K3488" t="s">
        <v>33</v>
      </c>
      <c r="L3488">
        <f t="shared" si="162"/>
        <v>2024</v>
      </c>
      <c r="M3488" t="str">
        <f t="shared" si="163"/>
        <v>Jan</v>
      </c>
      <c r="N3488" s="2">
        <f t="shared" si="164"/>
        <v>0.23131163252956446</v>
      </c>
    </row>
    <row r="3489" spans="1:14" x14ac:dyDescent="0.45">
      <c r="A3489" t="s">
        <v>6405</v>
      </c>
      <c r="B3489" s="1">
        <v>44684</v>
      </c>
      <c r="C3489" t="s">
        <v>6406</v>
      </c>
      <c r="D3489" t="s">
        <v>56</v>
      </c>
      <c r="E3489" t="s">
        <v>36</v>
      </c>
      <c r="F3489" t="s">
        <v>46</v>
      </c>
      <c r="G3489">
        <v>3</v>
      </c>
      <c r="H3489">
        <v>30426.77</v>
      </c>
      <c r="I3489">
        <v>4770.17</v>
      </c>
      <c r="J3489" t="s">
        <v>28</v>
      </c>
      <c r="K3489" t="s">
        <v>33</v>
      </c>
      <c r="L3489">
        <f t="shared" si="162"/>
        <v>2022</v>
      </c>
      <c r="M3489" t="str">
        <f t="shared" si="163"/>
        <v>May</v>
      </c>
      <c r="N3489" s="2">
        <f t="shared" si="164"/>
        <v>0.15677543163470853</v>
      </c>
    </row>
    <row r="3490" spans="1:14" x14ac:dyDescent="0.45">
      <c r="A3490" t="s">
        <v>6407</v>
      </c>
      <c r="B3490" s="1">
        <v>44643</v>
      </c>
      <c r="C3490" t="s">
        <v>6408</v>
      </c>
      <c r="D3490" t="s">
        <v>13</v>
      </c>
      <c r="E3490" t="s">
        <v>14</v>
      </c>
      <c r="F3490" t="s">
        <v>32</v>
      </c>
      <c r="G3490">
        <v>5</v>
      </c>
      <c r="H3490">
        <v>26912.74</v>
      </c>
      <c r="I3490">
        <v>3201.97</v>
      </c>
      <c r="J3490" t="s">
        <v>47</v>
      </c>
      <c r="K3490" t="s">
        <v>23</v>
      </c>
      <c r="L3490">
        <f t="shared" si="162"/>
        <v>2022</v>
      </c>
      <c r="M3490" t="str">
        <f t="shared" si="163"/>
        <v>Mar</v>
      </c>
      <c r="N3490" s="2">
        <f t="shared" si="164"/>
        <v>0.11897599426888528</v>
      </c>
    </row>
    <row r="3491" spans="1:14" x14ac:dyDescent="0.45">
      <c r="A3491" t="s">
        <v>6409</v>
      </c>
      <c r="B3491" s="1">
        <v>45214</v>
      </c>
      <c r="C3491" t="s">
        <v>6410</v>
      </c>
      <c r="D3491" t="s">
        <v>26</v>
      </c>
      <c r="E3491" t="s">
        <v>36</v>
      </c>
      <c r="F3491" t="s">
        <v>37</v>
      </c>
      <c r="G3491">
        <v>1</v>
      </c>
      <c r="H3491">
        <v>41497.79</v>
      </c>
      <c r="I3491">
        <v>2220.15</v>
      </c>
      <c r="J3491" t="s">
        <v>22</v>
      </c>
      <c r="K3491" t="s">
        <v>29</v>
      </c>
      <c r="L3491">
        <f t="shared" si="162"/>
        <v>2023</v>
      </c>
      <c r="M3491" t="str">
        <f t="shared" si="163"/>
        <v>Oct</v>
      </c>
      <c r="N3491" s="2">
        <f t="shared" si="164"/>
        <v>5.3500439420990857E-2</v>
      </c>
    </row>
    <row r="3492" spans="1:14" x14ac:dyDescent="0.45">
      <c r="A3492" t="s">
        <v>6411</v>
      </c>
      <c r="B3492" s="1">
        <v>45164</v>
      </c>
      <c r="C3492" t="s">
        <v>6412</v>
      </c>
      <c r="D3492" t="s">
        <v>13</v>
      </c>
      <c r="E3492" t="s">
        <v>20</v>
      </c>
      <c r="F3492" t="s">
        <v>21</v>
      </c>
      <c r="G3492">
        <v>5</v>
      </c>
      <c r="H3492">
        <v>36147.81</v>
      </c>
      <c r="I3492">
        <v>1896.14</v>
      </c>
      <c r="J3492" t="s">
        <v>47</v>
      </c>
      <c r="K3492" t="s">
        <v>23</v>
      </c>
      <c r="L3492">
        <f t="shared" si="162"/>
        <v>2023</v>
      </c>
      <c r="M3492" t="str">
        <f t="shared" si="163"/>
        <v>Aug</v>
      </c>
      <c r="N3492" s="2">
        <f t="shared" si="164"/>
        <v>5.245518331539311E-2</v>
      </c>
    </row>
    <row r="3493" spans="1:14" x14ac:dyDescent="0.45">
      <c r="A3493" t="s">
        <v>6413</v>
      </c>
      <c r="B3493" s="1">
        <v>45004</v>
      </c>
      <c r="C3493" t="s">
        <v>6414</v>
      </c>
      <c r="D3493" t="s">
        <v>26</v>
      </c>
      <c r="E3493" t="s">
        <v>36</v>
      </c>
      <c r="F3493" t="s">
        <v>37</v>
      </c>
      <c r="G3493">
        <v>2</v>
      </c>
      <c r="H3493">
        <v>28987.82</v>
      </c>
      <c r="I3493">
        <v>2121.17</v>
      </c>
      <c r="J3493" t="s">
        <v>71</v>
      </c>
      <c r="K3493" t="s">
        <v>17</v>
      </c>
      <c r="L3493">
        <f t="shared" si="162"/>
        <v>2023</v>
      </c>
      <c r="M3493" t="str">
        <f t="shared" si="163"/>
        <v>Mar</v>
      </c>
      <c r="N3493" s="2">
        <f t="shared" si="164"/>
        <v>7.3174526404538184E-2</v>
      </c>
    </row>
    <row r="3494" spans="1:14" x14ac:dyDescent="0.45">
      <c r="A3494" t="s">
        <v>6415</v>
      </c>
      <c r="B3494" s="1">
        <v>45137</v>
      </c>
      <c r="C3494" t="s">
        <v>6416</v>
      </c>
      <c r="D3494" t="s">
        <v>13</v>
      </c>
      <c r="E3494" t="s">
        <v>14</v>
      </c>
      <c r="F3494" t="s">
        <v>40</v>
      </c>
      <c r="G3494">
        <v>2</v>
      </c>
      <c r="H3494">
        <v>47207.4</v>
      </c>
      <c r="I3494">
        <v>9807.76</v>
      </c>
      <c r="J3494" t="s">
        <v>16</v>
      </c>
      <c r="K3494" t="s">
        <v>23</v>
      </c>
      <c r="L3494">
        <f t="shared" si="162"/>
        <v>2023</v>
      </c>
      <c r="M3494" t="str">
        <f t="shared" si="163"/>
        <v>Jul</v>
      </c>
      <c r="N3494" s="2">
        <f t="shared" si="164"/>
        <v>0.2077589530454971</v>
      </c>
    </row>
    <row r="3495" spans="1:14" x14ac:dyDescent="0.45">
      <c r="A3495" t="s">
        <v>6417</v>
      </c>
      <c r="B3495" s="1">
        <v>45269</v>
      </c>
      <c r="C3495" t="s">
        <v>5428</v>
      </c>
      <c r="D3495" t="s">
        <v>26</v>
      </c>
      <c r="E3495" t="s">
        <v>36</v>
      </c>
      <c r="F3495" t="s">
        <v>53</v>
      </c>
      <c r="G3495">
        <v>1</v>
      </c>
      <c r="H3495">
        <v>30423.58</v>
      </c>
      <c r="I3495">
        <v>4612.8999999999996</v>
      </c>
      <c r="J3495" t="s">
        <v>22</v>
      </c>
      <c r="K3495" t="s">
        <v>23</v>
      </c>
      <c r="L3495">
        <f t="shared" si="162"/>
        <v>2023</v>
      </c>
      <c r="M3495" t="str">
        <f t="shared" si="163"/>
        <v>Dec</v>
      </c>
      <c r="N3495" s="2">
        <f t="shared" si="164"/>
        <v>0.15162252437089913</v>
      </c>
    </row>
    <row r="3496" spans="1:14" x14ac:dyDescent="0.45">
      <c r="A3496" t="s">
        <v>6418</v>
      </c>
      <c r="B3496" s="1">
        <v>44985</v>
      </c>
      <c r="C3496" t="s">
        <v>6419</v>
      </c>
      <c r="D3496" t="s">
        <v>26</v>
      </c>
      <c r="E3496" t="s">
        <v>20</v>
      </c>
      <c r="F3496" t="s">
        <v>50</v>
      </c>
      <c r="G3496">
        <v>1</v>
      </c>
      <c r="H3496">
        <v>5796.35</v>
      </c>
      <c r="I3496">
        <v>487.86</v>
      </c>
      <c r="J3496" t="s">
        <v>71</v>
      </c>
      <c r="K3496" t="s">
        <v>23</v>
      </c>
      <c r="L3496">
        <f t="shared" si="162"/>
        <v>2023</v>
      </c>
      <c r="M3496" t="str">
        <f t="shared" si="163"/>
        <v>Feb</v>
      </c>
      <c r="N3496" s="2">
        <f t="shared" si="164"/>
        <v>8.4166760116280076E-2</v>
      </c>
    </row>
    <row r="3497" spans="1:14" x14ac:dyDescent="0.45">
      <c r="A3497" t="s">
        <v>6420</v>
      </c>
      <c r="B3497" s="1">
        <v>44961</v>
      </c>
      <c r="C3497" t="s">
        <v>6421</v>
      </c>
      <c r="D3497" t="s">
        <v>26</v>
      </c>
      <c r="E3497" t="s">
        <v>20</v>
      </c>
      <c r="F3497" t="s">
        <v>21</v>
      </c>
      <c r="G3497">
        <v>4</v>
      </c>
      <c r="H3497">
        <v>8470.24</v>
      </c>
      <c r="I3497">
        <v>1844.31</v>
      </c>
      <c r="J3497" t="s">
        <v>71</v>
      </c>
      <c r="K3497" t="s">
        <v>17</v>
      </c>
      <c r="L3497">
        <f t="shared" si="162"/>
        <v>2023</v>
      </c>
      <c r="M3497" t="str">
        <f t="shared" si="163"/>
        <v>Feb</v>
      </c>
      <c r="N3497" s="2">
        <f t="shared" si="164"/>
        <v>0.21773999319972043</v>
      </c>
    </row>
    <row r="3498" spans="1:14" x14ac:dyDescent="0.45">
      <c r="A3498" t="s">
        <v>6422</v>
      </c>
      <c r="B3498" s="1">
        <v>44697</v>
      </c>
      <c r="C3498" t="s">
        <v>6423</v>
      </c>
      <c r="D3498" t="s">
        <v>13</v>
      </c>
      <c r="E3498" t="s">
        <v>36</v>
      </c>
      <c r="F3498" t="s">
        <v>37</v>
      </c>
      <c r="G3498">
        <v>2</v>
      </c>
      <c r="H3498">
        <v>29194.94</v>
      </c>
      <c r="I3498">
        <v>1539.93</v>
      </c>
      <c r="J3498" t="s">
        <v>16</v>
      </c>
      <c r="K3498" t="s">
        <v>33</v>
      </c>
      <c r="L3498">
        <f t="shared" si="162"/>
        <v>2022</v>
      </c>
      <c r="M3498" t="str">
        <f t="shared" si="163"/>
        <v>May</v>
      </c>
      <c r="N3498" s="2">
        <f t="shared" si="164"/>
        <v>5.2746469079915904E-2</v>
      </c>
    </row>
    <row r="3499" spans="1:14" x14ac:dyDescent="0.45">
      <c r="A3499" t="s">
        <v>6424</v>
      </c>
      <c r="B3499" s="1">
        <v>45256</v>
      </c>
      <c r="C3499" t="s">
        <v>6425</v>
      </c>
      <c r="D3499" t="s">
        <v>56</v>
      </c>
      <c r="E3499" t="s">
        <v>14</v>
      </c>
      <c r="F3499" t="s">
        <v>32</v>
      </c>
      <c r="G3499">
        <v>1</v>
      </c>
      <c r="H3499">
        <v>20730.91</v>
      </c>
      <c r="I3499">
        <v>4274.7299999999996</v>
      </c>
      <c r="J3499" t="s">
        <v>16</v>
      </c>
      <c r="K3499" t="s">
        <v>29</v>
      </c>
      <c r="L3499">
        <f t="shared" si="162"/>
        <v>2023</v>
      </c>
      <c r="M3499" t="str">
        <f t="shared" si="163"/>
        <v>Nov</v>
      </c>
      <c r="N3499" s="2">
        <f t="shared" si="164"/>
        <v>0.20620078906328759</v>
      </c>
    </row>
    <row r="3500" spans="1:14" x14ac:dyDescent="0.45">
      <c r="A3500" t="s">
        <v>6426</v>
      </c>
      <c r="B3500" s="1">
        <v>45350</v>
      </c>
      <c r="C3500" t="s">
        <v>6427</v>
      </c>
      <c r="D3500" t="s">
        <v>13</v>
      </c>
      <c r="E3500" t="s">
        <v>20</v>
      </c>
      <c r="F3500" t="s">
        <v>50</v>
      </c>
      <c r="G3500">
        <v>4</v>
      </c>
      <c r="H3500">
        <v>15282.23</v>
      </c>
      <c r="I3500">
        <v>2701.73</v>
      </c>
      <c r="J3500" t="s">
        <v>22</v>
      </c>
      <c r="K3500" t="s">
        <v>33</v>
      </c>
      <c r="L3500">
        <f t="shared" si="162"/>
        <v>2024</v>
      </c>
      <c r="M3500" t="str">
        <f t="shared" si="163"/>
        <v>Feb</v>
      </c>
      <c r="N3500" s="2">
        <f t="shared" si="164"/>
        <v>0.17678898956500458</v>
      </c>
    </row>
    <row r="3501" spans="1:14" x14ac:dyDescent="0.45">
      <c r="A3501" t="s">
        <v>6428</v>
      </c>
      <c r="B3501" s="1">
        <v>45338</v>
      </c>
      <c r="C3501" t="s">
        <v>6429</v>
      </c>
      <c r="D3501" t="s">
        <v>13</v>
      </c>
      <c r="E3501" t="s">
        <v>14</v>
      </c>
      <c r="F3501" t="s">
        <v>32</v>
      </c>
      <c r="G3501">
        <v>4</v>
      </c>
      <c r="H3501">
        <v>2816.31</v>
      </c>
      <c r="I3501">
        <v>351.71</v>
      </c>
      <c r="J3501" t="s">
        <v>28</v>
      </c>
      <c r="K3501" t="s">
        <v>29</v>
      </c>
      <c r="L3501">
        <f t="shared" si="162"/>
        <v>2024</v>
      </c>
      <c r="M3501" t="str">
        <f t="shared" si="163"/>
        <v>Feb</v>
      </c>
      <c r="N3501" s="2">
        <f t="shared" si="164"/>
        <v>0.12488326924237743</v>
      </c>
    </row>
    <row r="3502" spans="1:14" x14ac:dyDescent="0.45">
      <c r="A3502" t="s">
        <v>6430</v>
      </c>
      <c r="B3502" s="1">
        <v>45316</v>
      </c>
      <c r="C3502" t="s">
        <v>6431</v>
      </c>
      <c r="D3502" t="s">
        <v>26</v>
      </c>
      <c r="E3502" t="s">
        <v>20</v>
      </c>
      <c r="F3502" t="s">
        <v>21</v>
      </c>
      <c r="G3502">
        <v>1</v>
      </c>
      <c r="H3502">
        <v>4427.6499999999996</v>
      </c>
      <c r="I3502">
        <v>465.75</v>
      </c>
      <c r="J3502" t="s">
        <v>71</v>
      </c>
      <c r="K3502" t="s">
        <v>23</v>
      </c>
      <c r="L3502">
        <f t="shared" si="162"/>
        <v>2024</v>
      </c>
      <c r="M3502" t="str">
        <f t="shared" si="163"/>
        <v>Jan</v>
      </c>
      <c r="N3502" s="2">
        <f t="shared" si="164"/>
        <v>0.1051912414034533</v>
      </c>
    </row>
    <row r="3503" spans="1:14" x14ac:dyDescent="0.45">
      <c r="A3503" t="s">
        <v>6432</v>
      </c>
      <c r="B3503" s="1">
        <v>44835</v>
      </c>
      <c r="C3503" t="s">
        <v>6433</v>
      </c>
      <c r="D3503" t="s">
        <v>26</v>
      </c>
      <c r="E3503" t="s">
        <v>14</v>
      </c>
      <c r="F3503" t="s">
        <v>32</v>
      </c>
      <c r="G3503">
        <v>4</v>
      </c>
      <c r="H3503">
        <v>49209.07</v>
      </c>
      <c r="I3503">
        <v>4328.12</v>
      </c>
      <c r="J3503" t="s">
        <v>47</v>
      </c>
      <c r="K3503" t="s">
        <v>33</v>
      </c>
      <c r="L3503">
        <f t="shared" si="162"/>
        <v>2022</v>
      </c>
      <c r="M3503" t="str">
        <f t="shared" si="163"/>
        <v>Oct</v>
      </c>
      <c r="N3503" s="2">
        <f t="shared" si="164"/>
        <v>8.7953704469521568E-2</v>
      </c>
    </row>
    <row r="3504" spans="1:14" x14ac:dyDescent="0.45">
      <c r="A3504" t="s">
        <v>6434</v>
      </c>
      <c r="B3504" s="1">
        <v>44851</v>
      </c>
      <c r="C3504" t="s">
        <v>2410</v>
      </c>
      <c r="D3504" t="s">
        <v>13</v>
      </c>
      <c r="E3504" t="s">
        <v>20</v>
      </c>
      <c r="F3504" t="s">
        <v>50</v>
      </c>
      <c r="G3504">
        <v>4</v>
      </c>
      <c r="H3504">
        <v>27736.94</v>
      </c>
      <c r="I3504">
        <v>5711.2</v>
      </c>
      <c r="J3504" t="s">
        <v>22</v>
      </c>
      <c r="K3504" t="s">
        <v>17</v>
      </c>
      <c r="L3504">
        <f t="shared" si="162"/>
        <v>2022</v>
      </c>
      <c r="M3504" t="str">
        <f t="shared" si="163"/>
        <v>Oct</v>
      </c>
      <c r="N3504" s="2">
        <f t="shared" si="164"/>
        <v>0.20590591463946636</v>
      </c>
    </row>
    <row r="3505" spans="1:14" x14ac:dyDescent="0.45">
      <c r="A3505" t="s">
        <v>6435</v>
      </c>
      <c r="B3505" s="1">
        <v>45643</v>
      </c>
      <c r="C3505" t="s">
        <v>6436</v>
      </c>
      <c r="D3505" t="s">
        <v>13</v>
      </c>
      <c r="E3505" t="s">
        <v>36</v>
      </c>
      <c r="F3505" t="s">
        <v>64</v>
      </c>
      <c r="G3505">
        <v>5</v>
      </c>
      <c r="H3505">
        <v>46100.05</v>
      </c>
      <c r="I3505">
        <v>6814.82</v>
      </c>
      <c r="J3505" t="s">
        <v>16</v>
      </c>
      <c r="K3505" t="s">
        <v>23</v>
      </c>
      <c r="L3505">
        <f t="shared" si="162"/>
        <v>2024</v>
      </c>
      <c r="M3505" t="str">
        <f t="shared" si="163"/>
        <v>Dec</v>
      </c>
      <c r="N3505" s="2">
        <f t="shared" si="164"/>
        <v>0.14782673771503499</v>
      </c>
    </row>
    <row r="3506" spans="1:14" x14ac:dyDescent="0.45">
      <c r="A3506" t="s">
        <v>6437</v>
      </c>
      <c r="B3506" s="1">
        <v>45566</v>
      </c>
      <c r="C3506" t="s">
        <v>6438</v>
      </c>
      <c r="D3506" t="s">
        <v>26</v>
      </c>
      <c r="E3506" t="s">
        <v>20</v>
      </c>
      <c r="F3506" t="s">
        <v>27</v>
      </c>
      <c r="G3506">
        <v>2</v>
      </c>
      <c r="H3506">
        <v>25136.69</v>
      </c>
      <c r="I3506">
        <v>3898.11</v>
      </c>
      <c r="J3506" t="s">
        <v>16</v>
      </c>
      <c r="K3506" t="s">
        <v>33</v>
      </c>
      <c r="L3506">
        <f t="shared" si="162"/>
        <v>2024</v>
      </c>
      <c r="M3506" t="str">
        <f t="shared" si="163"/>
        <v>Oct</v>
      </c>
      <c r="N3506" s="2">
        <f t="shared" si="164"/>
        <v>0.15507650370832438</v>
      </c>
    </row>
    <row r="3507" spans="1:14" x14ac:dyDescent="0.45">
      <c r="A3507" t="s">
        <v>6439</v>
      </c>
      <c r="B3507" s="1">
        <v>45625</v>
      </c>
      <c r="C3507" t="s">
        <v>6440</v>
      </c>
      <c r="D3507" t="s">
        <v>13</v>
      </c>
      <c r="E3507" t="s">
        <v>36</v>
      </c>
      <c r="F3507" t="s">
        <v>53</v>
      </c>
      <c r="G3507">
        <v>2</v>
      </c>
      <c r="H3507">
        <v>3977.38</v>
      </c>
      <c r="I3507">
        <v>611.72</v>
      </c>
      <c r="J3507" t="s">
        <v>28</v>
      </c>
      <c r="K3507" t="s">
        <v>29</v>
      </c>
      <c r="L3507">
        <f t="shared" si="162"/>
        <v>2024</v>
      </c>
      <c r="M3507" t="str">
        <f t="shared" si="163"/>
        <v>Nov</v>
      </c>
      <c r="N3507" s="2">
        <f t="shared" si="164"/>
        <v>0.15379973751565101</v>
      </c>
    </row>
    <row r="3508" spans="1:14" x14ac:dyDescent="0.45">
      <c r="A3508" t="s">
        <v>6441</v>
      </c>
      <c r="B3508" s="1">
        <v>45615</v>
      </c>
      <c r="C3508" t="s">
        <v>5078</v>
      </c>
      <c r="D3508" t="s">
        <v>13</v>
      </c>
      <c r="E3508" t="s">
        <v>14</v>
      </c>
      <c r="F3508" t="s">
        <v>15</v>
      </c>
      <c r="G3508">
        <v>2</v>
      </c>
      <c r="H3508">
        <v>24602.17</v>
      </c>
      <c r="I3508">
        <v>2093.77</v>
      </c>
      <c r="J3508" t="s">
        <v>22</v>
      </c>
      <c r="K3508" t="s">
        <v>17</v>
      </c>
      <c r="L3508">
        <f t="shared" si="162"/>
        <v>2024</v>
      </c>
      <c r="M3508" t="str">
        <f t="shared" si="163"/>
        <v>Nov</v>
      </c>
      <c r="N3508" s="2">
        <f t="shared" si="164"/>
        <v>8.5105094388015376E-2</v>
      </c>
    </row>
    <row r="3509" spans="1:14" x14ac:dyDescent="0.45">
      <c r="A3509" t="s">
        <v>6442</v>
      </c>
      <c r="B3509" s="1">
        <v>45544</v>
      </c>
      <c r="C3509" t="s">
        <v>6443</v>
      </c>
      <c r="D3509" t="s">
        <v>13</v>
      </c>
      <c r="E3509" t="s">
        <v>20</v>
      </c>
      <c r="F3509" t="s">
        <v>21</v>
      </c>
      <c r="G3509">
        <v>2</v>
      </c>
      <c r="H3509">
        <v>11891.88</v>
      </c>
      <c r="I3509">
        <v>1268.43</v>
      </c>
      <c r="J3509" t="s">
        <v>71</v>
      </c>
      <c r="K3509" t="s">
        <v>17</v>
      </c>
      <c r="L3509">
        <f t="shared" si="162"/>
        <v>2024</v>
      </c>
      <c r="M3509" t="str">
        <f t="shared" si="163"/>
        <v>Sep</v>
      </c>
      <c r="N3509" s="2">
        <f t="shared" si="164"/>
        <v>0.10666353848172032</v>
      </c>
    </row>
    <row r="3510" spans="1:14" x14ac:dyDescent="0.45">
      <c r="A3510" t="s">
        <v>6444</v>
      </c>
      <c r="B3510" s="1">
        <v>45231</v>
      </c>
      <c r="C3510" t="s">
        <v>6445</v>
      </c>
      <c r="D3510" t="s">
        <v>13</v>
      </c>
      <c r="E3510" t="s">
        <v>20</v>
      </c>
      <c r="F3510" t="s">
        <v>21</v>
      </c>
      <c r="G3510">
        <v>4</v>
      </c>
      <c r="H3510">
        <v>20353.73</v>
      </c>
      <c r="I3510">
        <v>1042.49</v>
      </c>
      <c r="J3510" t="s">
        <v>71</v>
      </c>
      <c r="K3510" t="s">
        <v>29</v>
      </c>
      <c r="L3510">
        <f t="shared" si="162"/>
        <v>2023</v>
      </c>
      <c r="M3510" t="str">
        <f t="shared" si="163"/>
        <v>Nov</v>
      </c>
      <c r="N3510" s="2">
        <f t="shared" si="164"/>
        <v>5.1218621844742955E-2</v>
      </c>
    </row>
    <row r="3511" spans="1:14" x14ac:dyDescent="0.45">
      <c r="A3511" t="s">
        <v>6446</v>
      </c>
      <c r="B3511" s="1">
        <v>44837</v>
      </c>
      <c r="C3511" t="s">
        <v>6447</v>
      </c>
      <c r="D3511" t="s">
        <v>26</v>
      </c>
      <c r="E3511" t="s">
        <v>14</v>
      </c>
      <c r="F3511" t="s">
        <v>40</v>
      </c>
      <c r="G3511">
        <v>3</v>
      </c>
      <c r="H3511">
        <v>25844.59</v>
      </c>
      <c r="I3511">
        <v>5970.32</v>
      </c>
      <c r="J3511" t="s">
        <v>28</v>
      </c>
      <c r="K3511" t="s">
        <v>23</v>
      </c>
      <c r="L3511">
        <f t="shared" si="162"/>
        <v>2022</v>
      </c>
      <c r="M3511" t="str">
        <f t="shared" si="163"/>
        <v>Oct</v>
      </c>
      <c r="N3511" s="2">
        <f t="shared" si="164"/>
        <v>0.23100850119889693</v>
      </c>
    </row>
    <row r="3512" spans="1:14" x14ac:dyDescent="0.45">
      <c r="A3512" t="s">
        <v>6448</v>
      </c>
      <c r="B3512" s="1">
        <v>45275</v>
      </c>
      <c r="C3512" t="s">
        <v>5792</v>
      </c>
      <c r="D3512" t="s">
        <v>13</v>
      </c>
      <c r="E3512" t="s">
        <v>14</v>
      </c>
      <c r="F3512" t="s">
        <v>32</v>
      </c>
      <c r="G3512">
        <v>5</v>
      </c>
      <c r="H3512">
        <v>17666.61</v>
      </c>
      <c r="I3512">
        <v>3391.28</v>
      </c>
      <c r="J3512" t="s">
        <v>28</v>
      </c>
      <c r="K3512" t="s">
        <v>17</v>
      </c>
      <c r="L3512">
        <f t="shared" si="162"/>
        <v>2023</v>
      </c>
      <c r="M3512" t="str">
        <f t="shared" si="163"/>
        <v>Dec</v>
      </c>
      <c r="N3512" s="2">
        <f t="shared" si="164"/>
        <v>0.19195986100332776</v>
      </c>
    </row>
    <row r="3513" spans="1:14" x14ac:dyDescent="0.45">
      <c r="A3513" t="s">
        <v>6449</v>
      </c>
      <c r="B3513" s="1">
        <v>45513</v>
      </c>
      <c r="C3513" t="s">
        <v>87</v>
      </c>
      <c r="D3513" t="s">
        <v>26</v>
      </c>
      <c r="E3513" t="s">
        <v>36</v>
      </c>
      <c r="F3513" t="s">
        <v>46</v>
      </c>
      <c r="G3513">
        <v>2</v>
      </c>
      <c r="H3513">
        <v>19824.21</v>
      </c>
      <c r="I3513">
        <v>2494.37</v>
      </c>
      <c r="J3513" t="s">
        <v>28</v>
      </c>
      <c r="K3513" t="s">
        <v>23</v>
      </c>
      <c r="L3513">
        <f t="shared" si="162"/>
        <v>2024</v>
      </c>
      <c r="M3513" t="str">
        <f t="shared" si="163"/>
        <v>Aug</v>
      </c>
      <c r="N3513" s="2">
        <f t="shared" si="164"/>
        <v>0.125824433861425</v>
      </c>
    </row>
    <row r="3514" spans="1:14" x14ac:dyDescent="0.45">
      <c r="A3514" t="s">
        <v>6450</v>
      </c>
      <c r="B3514" s="1">
        <v>44870</v>
      </c>
      <c r="C3514" t="s">
        <v>3513</v>
      </c>
      <c r="D3514" t="s">
        <v>13</v>
      </c>
      <c r="E3514" t="s">
        <v>36</v>
      </c>
      <c r="F3514" t="s">
        <v>46</v>
      </c>
      <c r="G3514">
        <v>2</v>
      </c>
      <c r="H3514">
        <v>14200.27</v>
      </c>
      <c r="I3514">
        <v>2236.56</v>
      </c>
      <c r="J3514" t="s">
        <v>71</v>
      </c>
      <c r="K3514" t="s">
        <v>33</v>
      </c>
      <c r="L3514">
        <f t="shared" si="162"/>
        <v>2022</v>
      </c>
      <c r="M3514" t="str">
        <f t="shared" si="163"/>
        <v>Nov</v>
      </c>
      <c r="N3514" s="2">
        <f t="shared" si="164"/>
        <v>0.15750123061040389</v>
      </c>
    </row>
    <row r="3515" spans="1:14" x14ac:dyDescent="0.45">
      <c r="A3515" t="s">
        <v>6451</v>
      </c>
      <c r="B3515" s="1">
        <v>44642</v>
      </c>
      <c r="C3515" t="s">
        <v>6452</v>
      </c>
      <c r="D3515" t="s">
        <v>56</v>
      </c>
      <c r="E3515" t="s">
        <v>14</v>
      </c>
      <c r="F3515" t="s">
        <v>57</v>
      </c>
      <c r="G3515">
        <v>1</v>
      </c>
      <c r="H3515">
        <v>48041.03</v>
      </c>
      <c r="I3515">
        <v>8875.08</v>
      </c>
      <c r="J3515" t="s">
        <v>28</v>
      </c>
      <c r="K3515" t="s">
        <v>29</v>
      </c>
      <c r="L3515">
        <f t="shared" si="162"/>
        <v>2022</v>
      </c>
      <c r="M3515" t="str">
        <f t="shared" si="163"/>
        <v>Mar</v>
      </c>
      <c r="N3515" s="2">
        <f t="shared" si="164"/>
        <v>0.18473958614126301</v>
      </c>
    </row>
    <row r="3516" spans="1:14" x14ac:dyDescent="0.45">
      <c r="A3516" t="s">
        <v>6453</v>
      </c>
      <c r="B3516" s="1">
        <v>44798</v>
      </c>
      <c r="C3516" t="s">
        <v>6454</v>
      </c>
      <c r="D3516" t="s">
        <v>13</v>
      </c>
      <c r="E3516" t="s">
        <v>36</v>
      </c>
      <c r="F3516" t="s">
        <v>46</v>
      </c>
      <c r="G3516">
        <v>3</v>
      </c>
      <c r="H3516">
        <v>29075.29</v>
      </c>
      <c r="I3516">
        <v>2069.9299999999998</v>
      </c>
      <c r="J3516" t="s">
        <v>16</v>
      </c>
      <c r="K3516" t="s">
        <v>33</v>
      </c>
      <c r="L3516">
        <f t="shared" si="162"/>
        <v>2022</v>
      </c>
      <c r="M3516" t="str">
        <f t="shared" si="163"/>
        <v>Aug</v>
      </c>
      <c r="N3516" s="2">
        <f t="shared" si="164"/>
        <v>7.1192067215838595E-2</v>
      </c>
    </row>
    <row r="3517" spans="1:14" x14ac:dyDescent="0.45">
      <c r="A3517" t="s">
        <v>6455</v>
      </c>
      <c r="B3517" s="1">
        <v>45277</v>
      </c>
      <c r="C3517" t="s">
        <v>1329</v>
      </c>
      <c r="D3517" t="s">
        <v>13</v>
      </c>
      <c r="E3517" t="s">
        <v>20</v>
      </c>
      <c r="F3517" t="s">
        <v>27</v>
      </c>
      <c r="G3517">
        <v>3</v>
      </c>
      <c r="H3517">
        <v>35228.980000000003</v>
      </c>
      <c r="I3517">
        <v>6951.39</v>
      </c>
      <c r="J3517" t="s">
        <v>28</v>
      </c>
      <c r="K3517" t="s">
        <v>17</v>
      </c>
      <c r="L3517">
        <f t="shared" si="162"/>
        <v>2023</v>
      </c>
      <c r="M3517" t="str">
        <f t="shared" si="163"/>
        <v>Dec</v>
      </c>
      <c r="N3517" s="2">
        <f t="shared" si="164"/>
        <v>0.19732021761629204</v>
      </c>
    </row>
    <row r="3518" spans="1:14" x14ac:dyDescent="0.45">
      <c r="A3518" t="s">
        <v>6456</v>
      </c>
      <c r="B3518" s="1">
        <v>44816</v>
      </c>
      <c r="C3518" t="s">
        <v>3865</v>
      </c>
      <c r="D3518" t="s">
        <v>13</v>
      </c>
      <c r="E3518" t="s">
        <v>36</v>
      </c>
      <c r="F3518" t="s">
        <v>53</v>
      </c>
      <c r="G3518">
        <v>1</v>
      </c>
      <c r="H3518">
        <v>42447.61</v>
      </c>
      <c r="I3518">
        <v>9679.31</v>
      </c>
      <c r="J3518" t="s">
        <v>28</v>
      </c>
      <c r="K3518" t="s">
        <v>33</v>
      </c>
      <c r="L3518">
        <f t="shared" si="162"/>
        <v>2022</v>
      </c>
      <c r="M3518" t="str">
        <f t="shared" si="163"/>
        <v>Sep</v>
      </c>
      <c r="N3518" s="2">
        <f t="shared" si="164"/>
        <v>0.22802956397309529</v>
      </c>
    </row>
    <row r="3519" spans="1:14" x14ac:dyDescent="0.45">
      <c r="A3519" t="s">
        <v>6457</v>
      </c>
      <c r="B3519" s="1">
        <v>44878</v>
      </c>
      <c r="C3519" t="s">
        <v>6458</v>
      </c>
      <c r="D3519" t="s">
        <v>56</v>
      </c>
      <c r="E3519" t="s">
        <v>14</v>
      </c>
      <c r="F3519" t="s">
        <v>15</v>
      </c>
      <c r="G3519">
        <v>4</v>
      </c>
      <c r="H3519">
        <v>36795.160000000003</v>
      </c>
      <c r="I3519">
        <v>5728.76</v>
      </c>
      <c r="J3519" t="s">
        <v>71</v>
      </c>
      <c r="K3519" t="s">
        <v>17</v>
      </c>
      <c r="L3519">
        <f t="shared" si="162"/>
        <v>2022</v>
      </c>
      <c r="M3519" t="str">
        <f t="shared" si="163"/>
        <v>Nov</v>
      </c>
      <c r="N3519" s="2">
        <f t="shared" si="164"/>
        <v>0.15569330314095658</v>
      </c>
    </row>
    <row r="3520" spans="1:14" x14ac:dyDescent="0.45">
      <c r="A3520" t="s">
        <v>6459</v>
      </c>
      <c r="B3520" s="1">
        <v>44937</v>
      </c>
      <c r="C3520" t="s">
        <v>2107</v>
      </c>
      <c r="D3520" t="s">
        <v>56</v>
      </c>
      <c r="E3520" t="s">
        <v>36</v>
      </c>
      <c r="F3520" t="s">
        <v>53</v>
      </c>
      <c r="G3520">
        <v>3</v>
      </c>
      <c r="H3520">
        <v>30583.1</v>
      </c>
      <c r="I3520">
        <v>1863.22</v>
      </c>
      <c r="J3520" t="s">
        <v>47</v>
      </c>
      <c r="K3520" t="s">
        <v>23</v>
      </c>
      <c r="L3520">
        <f t="shared" si="162"/>
        <v>2023</v>
      </c>
      <c r="M3520" t="str">
        <f t="shared" si="163"/>
        <v>Jan</v>
      </c>
      <c r="N3520" s="2">
        <f t="shared" si="164"/>
        <v>6.0923189604716335E-2</v>
      </c>
    </row>
    <row r="3521" spans="1:14" x14ac:dyDescent="0.45">
      <c r="A3521" t="s">
        <v>6460</v>
      </c>
      <c r="B3521" s="1">
        <v>45439</v>
      </c>
      <c r="C3521" t="s">
        <v>6461</v>
      </c>
      <c r="D3521" t="s">
        <v>13</v>
      </c>
      <c r="E3521" t="s">
        <v>14</v>
      </c>
      <c r="F3521" t="s">
        <v>57</v>
      </c>
      <c r="G3521">
        <v>2</v>
      </c>
      <c r="H3521">
        <v>38336.44</v>
      </c>
      <c r="I3521">
        <v>8042.47</v>
      </c>
      <c r="J3521" t="s">
        <v>22</v>
      </c>
      <c r="K3521" t="s">
        <v>33</v>
      </c>
      <c r="L3521">
        <f t="shared" si="162"/>
        <v>2024</v>
      </c>
      <c r="M3521" t="str">
        <f t="shared" si="163"/>
        <v>May</v>
      </c>
      <c r="N3521" s="2">
        <f t="shared" si="164"/>
        <v>0.20978656338460222</v>
      </c>
    </row>
    <row r="3522" spans="1:14" x14ac:dyDescent="0.45">
      <c r="A3522" t="s">
        <v>6462</v>
      </c>
      <c r="B3522" s="1">
        <v>44702</v>
      </c>
      <c r="C3522" t="s">
        <v>6463</v>
      </c>
      <c r="D3522" t="s">
        <v>56</v>
      </c>
      <c r="E3522" t="s">
        <v>36</v>
      </c>
      <c r="F3522" t="s">
        <v>53</v>
      </c>
      <c r="G3522">
        <v>5</v>
      </c>
      <c r="H3522">
        <v>7308.5</v>
      </c>
      <c r="I3522">
        <v>837.02</v>
      </c>
      <c r="J3522" t="s">
        <v>47</v>
      </c>
      <c r="K3522" t="s">
        <v>33</v>
      </c>
      <c r="L3522">
        <f t="shared" si="162"/>
        <v>2022</v>
      </c>
      <c r="M3522" t="str">
        <f t="shared" si="163"/>
        <v>May</v>
      </c>
      <c r="N3522" s="2">
        <f t="shared" si="164"/>
        <v>0.11452692070876376</v>
      </c>
    </row>
    <row r="3523" spans="1:14" x14ac:dyDescent="0.45">
      <c r="A3523" t="s">
        <v>6464</v>
      </c>
      <c r="B3523" s="1">
        <v>44602</v>
      </c>
      <c r="C3523" t="s">
        <v>6465</v>
      </c>
      <c r="D3523" t="s">
        <v>26</v>
      </c>
      <c r="E3523" t="s">
        <v>14</v>
      </c>
      <c r="F3523" t="s">
        <v>32</v>
      </c>
      <c r="G3523">
        <v>2</v>
      </c>
      <c r="H3523">
        <v>43992.24</v>
      </c>
      <c r="I3523">
        <v>5494.67</v>
      </c>
      <c r="J3523" t="s">
        <v>28</v>
      </c>
      <c r="K3523" t="s">
        <v>33</v>
      </c>
      <c r="L3523">
        <f t="shared" ref="L3523:L3586" si="165">YEAR(B3523 )</f>
        <v>2022</v>
      </c>
      <c r="M3523" t="str">
        <f t="shared" ref="M3523:M3586" si="166">TEXT(B3523,"MMM")</f>
        <v>Feb</v>
      </c>
      <c r="N3523" s="2">
        <f t="shared" ref="N3523:N3586" si="167">I3523 / H3523</f>
        <v>0.12490089161179337</v>
      </c>
    </row>
    <row r="3524" spans="1:14" x14ac:dyDescent="0.45">
      <c r="A3524" t="s">
        <v>6466</v>
      </c>
      <c r="B3524" s="1">
        <v>44913</v>
      </c>
      <c r="C3524" t="s">
        <v>6467</v>
      </c>
      <c r="D3524" t="s">
        <v>26</v>
      </c>
      <c r="E3524" t="s">
        <v>36</v>
      </c>
      <c r="F3524" t="s">
        <v>53</v>
      </c>
      <c r="G3524">
        <v>2</v>
      </c>
      <c r="H3524">
        <v>10874.25</v>
      </c>
      <c r="I3524">
        <v>2255.58</v>
      </c>
      <c r="J3524" t="s">
        <v>16</v>
      </c>
      <c r="K3524" t="s">
        <v>29</v>
      </c>
      <c r="L3524">
        <f t="shared" si="165"/>
        <v>2022</v>
      </c>
      <c r="M3524" t="str">
        <f t="shared" si="166"/>
        <v>Dec</v>
      </c>
      <c r="N3524" s="2">
        <f t="shared" si="167"/>
        <v>0.20742396027312227</v>
      </c>
    </row>
    <row r="3525" spans="1:14" x14ac:dyDescent="0.45">
      <c r="A3525" t="s">
        <v>6468</v>
      </c>
      <c r="B3525" s="1">
        <v>44974</v>
      </c>
      <c r="C3525" t="s">
        <v>6469</v>
      </c>
      <c r="D3525" t="s">
        <v>13</v>
      </c>
      <c r="E3525" t="s">
        <v>14</v>
      </c>
      <c r="F3525" t="s">
        <v>40</v>
      </c>
      <c r="G3525">
        <v>1</v>
      </c>
      <c r="H3525">
        <v>13654.09</v>
      </c>
      <c r="I3525">
        <v>1829.09</v>
      </c>
      <c r="J3525" t="s">
        <v>16</v>
      </c>
      <c r="K3525" t="s">
        <v>33</v>
      </c>
      <c r="L3525">
        <f t="shared" si="165"/>
        <v>2023</v>
      </c>
      <c r="M3525" t="str">
        <f t="shared" si="166"/>
        <v>Feb</v>
      </c>
      <c r="N3525" s="2">
        <f t="shared" si="167"/>
        <v>0.13395912872992632</v>
      </c>
    </row>
    <row r="3526" spans="1:14" x14ac:dyDescent="0.45">
      <c r="A3526" t="s">
        <v>6470</v>
      </c>
      <c r="B3526" s="1">
        <v>45159</v>
      </c>
      <c r="C3526" t="s">
        <v>1171</v>
      </c>
      <c r="D3526" t="s">
        <v>13</v>
      </c>
      <c r="E3526" t="s">
        <v>20</v>
      </c>
      <c r="F3526" t="s">
        <v>21</v>
      </c>
      <c r="G3526">
        <v>3</v>
      </c>
      <c r="H3526">
        <v>2387.58</v>
      </c>
      <c r="I3526">
        <v>340.1</v>
      </c>
      <c r="J3526" t="s">
        <v>22</v>
      </c>
      <c r="K3526" t="s">
        <v>17</v>
      </c>
      <c r="L3526">
        <f t="shared" si="165"/>
        <v>2023</v>
      </c>
      <c r="M3526" t="str">
        <f t="shared" si="166"/>
        <v>Aug</v>
      </c>
      <c r="N3526" s="2">
        <f t="shared" si="167"/>
        <v>0.14244548873755017</v>
      </c>
    </row>
    <row r="3527" spans="1:14" x14ac:dyDescent="0.45">
      <c r="A3527" t="s">
        <v>6471</v>
      </c>
      <c r="B3527" s="1">
        <v>44923</v>
      </c>
      <c r="C3527" t="s">
        <v>6472</v>
      </c>
      <c r="D3527" t="s">
        <v>56</v>
      </c>
      <c r="E3527" t="s">
        <v>20</v>
      </c>
      <c r="F3527" t="s">
        <v>43</v>
      </c>
      <c r="G3527">
        <v>5</v>
      </c>
      <c r="H3527">
        <v>37618.14</v>
      </c>
      <c r="I3527">
        <v>3823.92</v>
      </c>
      <c r="J3527" t="s">
        <v>47</v>
      </c>
      <c r="K3527" t="s">
        <v>17</v>
      </c>
      <c r="L3527">
        <f t="shared" si="165"/>
        <v>2022</v>
      </c>
      <c r="M3527" t="str">
        <f t="shared" si="166"/>
        <v>Dec</v>
      </c>
      <c r="N3527" s="2">
        <f t="shared" si="167"/>
        <v>0.10165095881933557</v>
      </c>
    </row>
    <row r="3528" spans="1:14" x14ac:dyDescent="0.45">
      <c r="A3528" t="s">
        <v>6473</v>
      </c>
      <c r="B3528" s="1">
        <v>44731</v>
      </c>
      <c r="C3528" t="s">
        <v>6474</v>
      </c>
      <c r="D3528" t="s">
        <v>56</v>
      </c>
      <c r="E3528" t="s">
        <v>20</v>
      </c>
      <c r="F3528" t="s">
        <v>43</v>
      </c>
      <c r="G3528">
        <v>2</v>
      </c>
      <c r="H3528">
        <v>28055.17</v>
      </c>
      <c r="I3528">
        <v>1912.89</v>
      </c>
      <c r="J3528" t="s">
        <v>28</v>
      </c>
      <c r="K3528" t="s">
        <v>33</v>
      </c>
      <c r="L3528">
        <f t="shared" si="165"/>
        <v>2022</v>
      </c>
      <c r="M3528" t="str">
        <f t="shared" si="166"/>
        <v>Jun</v>
      </c>
      <c r="N3528" s="2">
        <f t="shared" si="167"/>
        <v>6.8183154833850595E-2</v>
      </c>
    </row>
    <row r="3529" spans="1:14" x14ac:dyDescent="0.45">
      <c r="A3529" t="s">
        <v>6475</v>
      </c>
      <c r="B3529" s="1">
        <v>45524</v>
      </c>
      <c r="C3529" t="s">
        <v>5129</v>
      </c>
      <c r="D3529" t="s">
        <v>26</v>
      </c>
      <c r="E3529" t="s">
        <v>14</v>
      </c>
      <c r="F3529" t="s">
        <v>15</v>
      </c>
      <c r="G3529">
        <v>2</v>
      </c>
      <c r="H3529">
        <v>30955.49</v>
      </c>
      <c r="I3529">
        <v>5511.38</v>
      </c>
      <c r="J3529" t="s">
        <v>22</v>
      </c>
      <c r="K3529" t="s">
        <v>23</v>
      </c>
      <c r="L3529">
        <f t="shared" si="165"/>
        <v>2024</v>
      </c>
      <c r="M3529" t="str">
        <f t="shared" si="166"/>
        <v>Aug</v>
      </c>
      <c r="N3529" s="2">
        <f t="shared" si="167"/>
        <v>0.17804208558804915</v>
      </c>
    </row>
    <row r="3530" spans="1:14" x14ac:dyDescent="0.45">
      <c r="A3530" t="s">
        <v>6476</v>
      </c>
      <c r="B3530" s="1">
        <v>44899</v>
      </c>
      <c r="C3530" t="s">
        <v>6477</v>
      </c>
      <c r="D3530" t="s">
        <v>56</v>
      </c>
      <c r="E3530" t="s">
        <v>36</v>
      </c>
      <c r="F3530" t="s">
        <v>53</v>
      </c>
      <c r="G3530">
        <v>1</v>
      </c>
      <c r="H3530">
        <v>35102.49</v>
      </c>
      <c r="I3530">
        <v>7396.1</v>
      </c>
      <c r="J3530" t="s">
        <v>28</v>
      </c>
      <c r="K3530" t="s">
        <v>33</v>
      </c>
      <c r="L3530">
        <f t="shared" si="165"/>
        <v>2022</v>
      </c>
      <c r="M3530" t="str">
        <f t="shared" si="166"/>
        <v>Dec</v>
      </c>
      <c r="N3530" s="2">
        <f t="shared" si="167"/>
        <v>0.21070015261025646</v>
      </c>
    </row>
    <row r="3531" spans="1:14" x14ac:dyDescent="0.45">
      <c r="A3531" t="s">
        <v>6478</v>
      </c>
      <c r="B3531" s="1">
        <v>44773</v>
      </c>
      <c r="C3531" t="s">
        <v>822</v>
      </c>
      <c r="D3531" t="s">
        <v>26</v>
      </c>
      <c r="E3531" t="s">
        <v>14</v>
      </c>
      <c r="F3531" t="s">
        <v>57</v>
      </c>
      <c r="G3531">
        <v>1</v>
      </c>
      <c r="H3531">
        <v>33235.550000000003</v>
      </c>
      <c r="I3531">
        <v>2993.86</v>
      </c>
      <c r="J3531" t="s">
        <v>22</v>
      </c>
      <c r="K3531" t="s">
        <v>29</v>
      </c>
      <c r="L3531">
        <f t="shared" si="165"/>
        <v>2022</v>
      </c>
      <c r="M3531" t="str">
        <f t="shared" si="166"/>
        <v>Jul</v>
      </c>
      <c r="N3531" s="2">
        <f t="shared" si="167"/>
        <v>9.0080049826165048E-2</v>
      </c>
    </row>
    <row r="3532" spans="1:14" x14ac:dyDescent="0.45">
      <c r="A3532" t="s">
        <v>6479</v>
      </c>
      <c r="B3532" s="1">
        <v>44702</v>
      </c>
      <c r="C3532" t="s">
        <v>6480</v>
      </c>
      <c r="D3532" t="s">
        <v>56</v>
      </c>
      <c r="E3532" t="s">
        <v>20</v>
      </c>
      <c r="F3532" t="s">
        <v>43</v>
      </c>
      <c r="G3532">
        <v>4</v>
      </c>
      <c r="H3532">
        <v>3659.7</v>
      </c>
      <c r="I3532">
        <v>701.15</v>
      </c>
      <c r="J3532" t="s">
        <v>16</v>
      </c>
      <c r="K3532" t="s">
        <v>17</v>
      </c>
      <c r="L3532">
        <f t="shared" si="165"/>
        <v>2022</v>
      </c>
      <c r="M3532" t="str">
        <f t="shared" si="166"/>
        <v>May</v>
      </c>
      <c r="N3532" s="2">
        <f t="shared" si="167"/>
        <v>0.19158674208268436</v>
      </c>
    </row>
    <row r="3533" spans="1:14" x14ac:dyDescent="0.45">
      <c r="A3533" t="s">
        <v>6481</v>
      </c>
      <c r="B3533" s="1">
        <v>44584</v>
      </c>
      <c r="C3533" t="s">
        <v>6482</v>
      </c>
      <c r="D3533" t="s">
        <v>26</v>
      </c>
      <c r="E3533" t="s">
        <v>14</v>
      </c>
      <c r="F3533" t="s">
        <v>15</v>
      </c>
      <c r="G3533">
        <v>5</v>
      </c>
      <c r="H3533">
        <v>5327.28</v>
      </c>
      <c r="I3533">
        <v>421.96</v>
      </c>
      <c r="J3533" t="s">
        <v>47</v>
      </c>
      <c r="K3533" t="s">
        <v>29</v>
      </c>
      <c r="L3533">
        <f t="shared" si="165"/>
        <v>2022</v>
      </c>
      <c r="M3533" t="str">
        <f t="shared" si="166"/>
        <v>Jan</v>
      </c>
      <c r="N3533" s="2">
        <f t="shared" si="167"/>
        <v>7.9207400399453384E-2</v>
      </c>
    </row>
    <row r="3534" spans="1:14" x14ac:dyDescent="0.45">
      <c r="A3534" t="s">
        <v>6483</v>
      </c>
      <c r="B3534" s="1">
        <v>45215</v>
      </c>
      <c r="C3534" t="s">
        <v>5069</v>
      </c>
      <c r="D3534" t="s">
        <v>56</v>
      </c>
      <c r="E3534" t="s">
        <v>14</v>
      </c>
      <c r="F3534" t="s">
        <v>57</v>
      </c>
      <c r="G3534">
        <v>5</v>
      </c>
      <c r="H3534">
        <v>38782</v>
      </c>
      <c r="I3534">
        <v>5823.12</v>
      </c>
      <c r="J3534" t="s">
        <v>22</v>
      </c>
      <c r="K3534" t="s">
        <v>23</v>
      </c>
      <c r="L3534">
        <f t="shared" si="165"/>
        <v>2023</v>
      </c>
      <c r="M3534" t="str">
        <f t="shared" si="166"/>
        <v>Oct</v>
      </c>
      <c r="N3534" s="2">
        <f t="shared" si="167"/>
        <v>0.15015006961992677</v>
      </c>
    </row>
    <row r="3535" spans="1:14" x14ac:dyDescent="0.45">
      <c r="A3535" t="s">
        <v>6484</v>
      </c>
      <c r="B3535" s="1">
        <v>44671</v>
      </c>
      <c r="C3535" t="s">
        <v>2836</v>
      </c>
      <c r="D3535" t="s">
        <v>56</v>
      </c>
      <c r="E3535" t="s">
        <v>14</v>
      </c>
      <c r="F3535" t="s">
        <v>32</v>
      </c>
      <c r="G3535">
        <v>2</v>
      </c>
      <c r="H3535">
        <v>1016.89</v>
      </c>
      <c r="I3535">
        <v>149.32</v>
      </c>
      <c r="J3535" t="s">
        <v>22</v>
      </c>
      <c r="K3535" t="s">
        <v>17</v>
      </c>
      <c r="L3535">
        <f t="shared" si="165"/>
        <v>2022</v>
      </c>
      <c r="M3535" t="str">
        <f t="shared" si="166"/>
        <v>Apr</v>
      </c>
      <c r="N3535" s="2">
        <f t="shared" si="167"/>
        <v>0.14683987451936786</v>
      </c>
    </row>
    <row r="3536" spans="1:14" x14ac:dyDescent="0.45">
      <c r="A3536" t="s">
        <v>6485</v>
      </c>
      <c r="B3536" s="1">
        <v>44899</v>
      </c>
      <c r="C3536" t="s">
        <v>734</v>
      </c>
      <c r="D3536" t="s">
        <v>13</v>
      </c>
      <c r="E3536" t="s">
        <v>36</v>
      </c>
      <c r="F3536" t="s">
        <v>37</v>
      </c>
      <c r="G3536">
        <v>4</v>
      </c>
      <c r="H3536">
        <v>24144.99</v>
      </c>
      <c r="I3536">
        <v>4270.49</v>
      </c>
      <c r="J3536" t="s">
        <v>22</v>
      </c>
      <c r="K3536" t="s">
        <v>33</v>
      </c>
      <c r="L3536">
        <f t="shared" si="165"/>
        <v>2022</v>
      </c>
      <c r="M3536" t="str">
        <f t="shared" si="166"/>
        <v>Dec</v>
      </c>
      <c r="N3536" s="2">
        <f t="shared" si="167"/>
        <v>0.17686857604828163</v>
      </c>
    </row>
    <row r="3537" spans="1:14" x14ac:dyDescent="0.45">
      <c r="A3537" t="s">
        <v>6486</v>
      </c>
      <c r="B3537" s="1">
        <v>45427</v>
      </c>
      <c r="C3537" t="s">
        <v>4830</v>
      </c>
      <c r="D3537" t="s">
        <v>26</v>
      </c>
      <c r="E3537" t="s">
        <v>20</v>
      </c>
      <c r="F3537" t="s">
        <v>50</v>
      </c>
      <c r="G3537">
        <v>5</v>
      </c>
      <c r="H3537">
        <v>582.55999999999995</v>
      </c>
      <c r="I3537">
        <v>103.78</v>
      </c>
      <c r="J3537" t="s">
        <v>71</v>
      </c>
      <c r="K3537" t="s">
        <v>23</v>
      </c>
      <c r="L3537">
        <f t="shared" si="165"/>
        <v>2024</v>
      </c>
      <c r="M3537" t="str">
        <f t="shared" si="166"/>
        <v>May</v>
      </c>
      <c r="N3537" s="2">
        <f t="shared" si="167"/>
        <v>0.17814474045591872</v>
      </c>
    </row>
    <row r="3538" spans="1:14" x14ac:dyDescent="0.45">
      <c r="A3538" t="s">
        <v>6487</v>
      </c>
      <c r="B3538" s="1">
        <v>45502</v>
      </c>
      <c r="C3538" t="s">
        <v>6488</v>
      </c>
      <c r="D3538" t="s">
        <v>13</v>
      </c>
      <c r="E3538" t="s">
        <v>14</v>
      </c>
      <c r="F3538" t="s">
        <v>40</v>
      </c>
      <c r="G3538">
        <v>3</v>
      </c>
      <c r="H3538">
        <v>48520.33</v>
      </c>
      <c r="I3538">
        <v>3643.69</v>
      </c>
      <c r="J3538" t="s">
        <v>22</v>
      </c>
      <c r="K3538" t="s">
        <v>33</v>
      </c>
      <c r="L3538">
        <f t="shared" si="165"/>
        <v>2024</v>
      </c>
      <c r="M3538" t="str">
        <f t="shared" si="166"/>
        <v>Jul</v>
      </c>
      <c r="N3538" s="2">
        <f t="shared" si="167"/>
        <v>7.509615041777333E-2</v>
      </c>
    </row>
    <row r="3539" spans="1:14" x14ac:dyDescent="0.45">
      <c r="A3539" t="s">
        <v>6489</v>
      </c>
      <c r="B3539" s="1">
        <v>45576</v>
      </c>
      <c r="C3539" t="s">
        <v>6490</v>
      </c>
      <c r="D3539" t="s">
        <v>13</v>
      </c>
      <c r="E3539" t="s">
        <v>14</v>
      </c>
      <c r="F3539" t="s">
        <v>57</v>
      </c>
      <c r="G3539">
        <v>4</v>
      </c>
      <c r="H3539">
        <v>25550.720000000001</v>
      </c>
      <c r="I3539">
        <v>3928.34</v>
      </c>
      <c r="J3539" t="s">
        <v>16</v>
      </c>
      <c r="K3539" t="s">
        <v>29</v>
      </c>
      <c r="L3539">
        <f t="shared" si="165"/>
        <v>2024</v>
      </c>
      <c r="M3539" t="str">
        <f t="shared" si="166"/>
        <v>Oct</v>
      </c>
      <c r="N3539" s="2">
        <f t="shared" si="167"/>
        <v>0.15374674373168348</v>
      </c>
    </row>
    <row r="3540" spans="1:14" x14ac:dyDescent="0.45">
      <c r="A3540" t="s">
        <v>6491</v>
      </c>
      <c r="B3540" s="1">
        <v>44958</v>
      </c>
      <c r="C3540" t="s">
        <v>4201</v>
      </c>
      <c r="D3540" t="s">
        <v>13</v>
      </c>
      <c r="E3540" t="s">
        <v>36</v>
      </c>
      <c r="F3540" t="s">
        <v>46</v>
      </c>
      <c r="G3540">
        <v>4</v>
      </c>
      <c r="H3540">
        <v>31128.71</v>
      </c>
      <c r="I3540">
        <v>7774.08</v>
      </c>
      <c r="J3540" t="s">
        <v>47</v>
      </c>
      <c r="K3540" t="s">
        <v>29</v>
      </c>
      <c r="L3540">
        <f t="shared" si="165"/>
        <v>2023</v>
      </c>
      <c r="M3540" t="str">
        <f t="shared" si="166"/>
        <v>Feb</v>
      </c>
      <c r="N3540" s="2">
        <f t="shared" si="167"/>
        <v>0.24973987036404657</v>
      </c>
    </row>
    <row r="3541" spans="1:14" x14ac:dyDescent="0.45">
      <c r="A3541" t="s">
        <v>6492</v>
      </c>
      <c r="B3541" s="1">
        <v>44694</v>
      </c>
      <c r="C3541" t="s">
        <v>2907</v>
      </c>
      <c r="D3541" t="s">
        <v>13</v>
      </c>
      <c r="E3541" t="s">
        <v>20</v>
      </c>
      <c r="F3541" t="s">
        <v>43</v>
      </c>
      <c r="G3541">
        <v>2</v>
      </c>
      <c r="H3541">
        <v>40621.24</v>
      </c>
      <c r="I3541">
        <v>4013.01</v>
      </c>
      <c r="J3541" t="s">
        <v>71</v>
      </c>
      <c r="K3541" t="s">
        <v>17</v>
      </c>
      <c r="L3541">
        <f t="shared" si="165"/>
        <v>2022</v>
      </c>
      <c r="M3541" t="str">
        <f t="shared" si="166"/>
        <v>May</v>
      </c>
      <c r="N3541" s="2">
        <f t="shared" si="167"/>
        <v>9.8790928095744995E-2</v>
      </c>
    </row>
    <row r="3542" spans="1:14" x14ac:dyDescent="0.45">
      <c r="A3542" t="s">
        <v>6493</v>
      </c>
      <c r="B3542" s="1">
        <v>44630</v>
      </c>
      <c r="C3542" t="s">
        <v>6494</v>
      </c>
      <c r="D3542" t="s">
        <v>13</v>
      </c>
      <c r="E3542" t="s">
        <v>20</v>
      </c>
      <c r="F3542" t="s">
        <v>21</v>
      </c>
      <c r="G3542">
        <v>1</v>
      </c>
      <c r="H3542">
        <v>8350.6</v>
      </c>
      <c r="I3542">
        <v>686.96</v>
      </c>
      <c r="J3542" t="s">
        <v>16</v>
      </c>
      <c r="K3542" t="s">
        <v>23</v>
      </c>
      <c r="L3542">
        <f t="shared" si="165"/>
        <v>2022</v>
      </c>
      <c r="M3542" t="str">
        <f t="shared" si="166"/>
        <v>Mar</v>
      </c>
      <c r="N3542" s="2">
        <f t="shared" si="167"/>
        <v>8.2264747443297495E-2</v>
      </c>
    </row>
    <row r="3543" spans="1:14" x14ac:dyDescent="0.45">
      <c r="A3543" t="s">
        <v>6495</v>
      </c>
      <c r="B3543" s="1">
        <v>45353</v>
      </c>
      <c r="C3543" t="s">
        <v>2423</v>
      </c>
      <c r="D3543" t="s">
        <v>26</v>
      </c>
      <c r="E3543" t="s">
        <v>14</v>
      </c>
      <c r="F3543" t="s">
        <v>40</v>
      </c>
      <c r="G3543">
        <v>4</v>
      </c>
      <c r="H3543">
        <v>28224.76</v>
      </c>
      <c r="I3543">
        <v>5287.83</v>
      </c>
      <c r="J3543" t="s">
        <v>28</v>
      </c>
      <c r="K3543" t="s">
        <v>29</v>
      </c>
      <c r="L3543">
        <f t="shared" si="165"/>
        <v>2024</v>
      </c>
      <c r="M3543" t="str">
        <f t="shared" si="166"/>
        <v>Mar</v>
      </c>
      <c r="N3543" s="2">
        <f t="shared" si="167"/>
        <v>0.18734720862108306</v>
      </c>
    </row>
    <row r="3544" spans="1:14" x14ac:dyDescent="0.45">
      <c r="A3544" t="s">
        <v>6496</v>
      </c>
      <c r="B3544" s="1">
        <v>45323</v>
      </c>
      <c r="C3544" t="s">
        <v>6497</v>
      </c>
      <c r="D3544" t="s">
        <v>56</v>
      </c>
      <c r="E3544" t="s">
        <v>20</v>
      </c>
      <c r="F3544" t="s">
        <v>27</v>
      </c>
      <c r="G3544">
        <v>2</v>
      </c>
      <c r="H3544">
        <v>28072.17</v>
      </c>
      <c r="I3544">
        <v>4044.96</v>
      </c>
      <c r="J3544" t="s">
        <v>71</v>
      </c>
      <c r="K3544" t="s">
        <v>23</v>
      </c>
      <c r="L3544">
        <f t="shared" si="165"/>
        <v>2024</v>
      </c>
      <c r="M3544" t="str">
        <f t="shared" si="166"/>
        <v>Feb</v>
      </c>
      <c r="N3544" s="2">
        <f t="shared" si="167"/>
        <v>0.14409146140109583</v>
      </c>
    </row>
    <row r="3545" spans="1:14" x14ac:dyDescent="0.45">
      <c r="A3545" t="s">
        <v>6498</v>
      </c>
      <c r="B3545" s="1">
        <v>45148</v>
      </c>
      <c r="C3545" t="s">
        <v>6499</v>
      </c>
      <c r="D3545" t="s">
        <v>13</v>
      </c>
      <c r="E3545" t="s">
        <v>14</v>
      </c>
      <c r="F3545" t="s">
        <v>57</v>
      </c>
      <c r="G3545">
        <v>3</v>
      </c>
      <c r="H3545">
        <v>5476.4</v>
      </c>
      <c r="I3545">
        <v>291.7</v>
      </c>
      <c r="J3545" t="s">
        <v>22</v>
      </c>
      <c r="K3545" t="s">
        <v>33</v>
      </c>
      <c r="L3545">
        <f t="shared" si="165"/>
        <v>2023</v>
      </c>
      <c r="M3545" t="str">
        <f t="shared" si="166"/>
        <v>Aug</v>
      </c>
      <c r="N3545" s="2">
        <f t="shared" si="167"/>
        <v>5.3264918559637719E-2</v>
      </c>
    </row>
    <row r="3546" spans="1:14" x14ac:dyDescent="0.45">
      <c r="A3546" t="s">
        <v>6500</v>
      </c>
      <c r="B3546" s="1">
        <v>45584</v>
      </c>
      <c r="C3546" t="s">
        <v>3534</v>
      </c>
      <c r="D3546" t="s">
        <v>56</v>
      </c>
      <c r="E3546" t="s">
        <v>14</v>
      </c>
      <c r="F3546" t="s">
        <v>15</v>
      </c>
      <c r="G3546">
        <v>3</v>
      </c>
      <c r="H3546">
        <v>27765.26</v>
      </c>
      <c r="I3546">
        <v>6548.56</v>
      </c>
      <c r="J3546" t="s">
        <v>28</v>
      </c>
      <c r="K3546" t="s">
        <v>23</v>
      </c>
      <c r="L3546">
        <f t="shared" si="165"/>
        <v>2024</v>
      </c>
      <c r="M3546" t="str">
        <f t="shared" si="166"/>
        <v>Oct</v>
      </c>
      <c r="N3546" s="2">
        <f t="shared" si="167"/>
        <v>0.23585444544729639</v>
      </c>
    </row>
    <row r="3547" spans="1:14" x14ac:dyDescent="0.45">
      <c r="A3547" t="s">
        <v>6501</v>
      </c>
      <c r="B3547" s="1">
        <v>44736</v>
      </c>
      <c r="C3547" t="s">
        <v>1384</v>
      </c>
      <c r="D3547" t="s">
        <v>56</v>
      </c>
      <c r="E3547" t="s">
        <v>20</v>
      </c>
      <c r="F3547" t="s">
        <v>50</v>
      </c>
      <c r="G3547">
        <v>5</v>
      </c>
      <c r="H3547">
        <v>15661.53</v>
      </c>
      <c r="I3547">
        <v>1529.24</v>
      </c>
      <c r="J3547" t="s">
        <v>71</v>
      </c>
      <c r="K3547" t="s">
        <v>33</v>
      </c>
      <c r="L3547">
        <f t="shared" si="165"/>
        <v>2022</v>
      </c>
      <c r="M3547" t="str">
        <f t="shared" si="166"/>
        <v>Jun</v>
      </c>
      <c r="N3547" s="2">
        <f t="shared" si="167"/>
        <v>9.7643078294393962E-2</v>
      </c>
    </row>
    <row r="3548" spans="1:14" x14ac:dyDescent="0.45">
      <c r="A3548" t="s">
        <v>6502</v>
      </c>
      <c r="B3548" s="1">
        <v>45535</v>
      </c>
      <c r="C3548" t="s">
        <v>748</v>
      </c>
      <c r="D3548" t="s">
        <v>26</v>
      </c>
      <c r="E3548" t="s">
        <v>20</v>
      </c>
      <c r="F3548" t="s">
        <v>50</v>
      </c>
      <c r="G3548">
        <v>1</v>
      </c>
      <c r="H3548">
        <v>38195.49</v>
      </c>
      <c r="I3548">
        <v>8033.68</v>
      </c>
      <c r="J3548" t="s">
        <v>16</v>
      </c>
      <c r="K3548" t="s">
        <v>33</v>
      </c>
      <c r="L3548">
        <f t="shared" si="165"/>
        <v>2024</v>
      </c>
      <c r="M3548" t="str">
        <f t="shared" si="166"/>
        <v>Aug</v>
      </c>
      <c r="N3548" s="2">
        <f t="shared" si="167"/>
        <v>0.21033059138657473</v>
      </c>
    </row>
    <row r="3549" spans="1:14" x14ac:dyDescent="0.45">
      <c r="A3549" t="s">
        <v>6503</v>
      </c>
      <c r="B3549" s="1">
        <v>44828</v>
      </c>
      <c r="C3549" t="s">
        <v>6504</v>
      </c>
      <c r="D3549" t="s">
        <v>13</v>
      </c>
      <c r="E3549" t="s">
        <v>20</v>
      </c>
      <c r="F3549" t="s">
        <v>43</v>
      </c>
      <c r="G3549">
        <v>2</v>
      </c>
      <c r="H3549">
        <v>42277.99</v>
      </c>
      <c r="I3549">
        <v>2908.53</v>
      </c>
      <c r="J3549" t="s">
        <v>22</v>
      </c>
      <c r="K3549" t="s">
        <v>29</v>
      </c>
      <c r="L3549">
        <f t="shared" si="165"/>
        <v>2022</v>
      </c>
      <c r="M3549" t="str">
        <f t="shared" si="166"/>
        <v>Sep</v>
      </c>
      <c r="N3549" s="2">
        <f t="shared" si="167"/>
        <v>6.8795370830070215E-2</v>
      </c>
    </row>
    <row r="3550" spans="1:14" x14ac:dyDescent="0.45">
      <c r="A3550" t="s">
        <v>6505</v>
      </c>
      <c r="B3550" s="1">
        <v>44979</v>
      </c>
      <c r="C3550" t="s">
        <v>6506</v>
      </c>
      <c r="D3550" t="s">
        <v>13</v>
      </c>
      <c r="E3550" t="s">
        <v>36</v>
      </c>
      <c r="F3550" t="s">
        <v>37</v>
      </c>
      <c r="G3550">
        <v>2</v>
      </c>
      <c r="H3550">
        <v>16679.39</v>
      </c>
      <c r="I3550">
        <v>3151.96</v>
      </c>
      <c r="J3550" t="s">
        <v>16</v>
      </c>
      <c r="K3550" t="s">
        <v>23</v>
      </c>
      <c r="L3550">
        <f t="shared" si="165"/>
        <v>2023</v>
      </c>
      <c r="M3550" t="str">
        <f t="shared" si="166"/>
        <v>Feb</v>
      </c>
      <c r="N3550" s="2">
        <f t="shared" si="167"/>
        <v>0.18897333775395864</v>
      </c>
    </row>
    <row r="3551" spans="1:14" x14ac:dyDescent="0.45">
      <c r="A3551" t="s">
        <v>6507</v>
      </c>
      <c r="B3551" s="1">
        <v>44597</v>
      </c>
      <c r="C3551" t="s">
        <v>6508</v>
      </c>
      <c r="D3551" t="s">
        <v>13</v>
      </c>
      <c r="E3551" t="s">
        <v>20</v>
      </c>
      <c r="F3551" t="s">
        <v>27</v>
      </c>
      <c r="G3551">
        <v>5</v>
      </c>
      <c r="H3551">
        <v>49589.03</v>
      </c>
      <c r="I3551">
        <v>7795.59</v>
      </c>
      <c r="J3551" t="s">
        <v>22</v>
      </c>
      <c r="K3551" t="s">
        <v>17</v>
      </c>
      <c r="L3551">
        <f t="shared" si="165"/>
        <v>2022</v>
      </c>
      <c r="M3551" t="str">
        <f t="shared" si="166"/>
        <v>Feb</v>
      </c>
      <c r="N3551" s="2">
        <f t="shared" si="167"/>
        <v>0.15720392191579469</v>
      </c>
    </row>
    <row r="3552" spans="1:14" x14ac:dyDescent="0.45">
      <c r="A3552" t="s">
        <v>6509</v>
      </c>
      <c r="B3552" s="1">
        <v>45322</v>
      </c>
      <c r="C3552" t="s">
        <v>6510</v>
      </c>
      <c r="D3552" t="s">
        <v>13</v>
      </c>
      <c r="E3552" t="s">
        <v>14</v>
      </c>
      <c r="F3552" t="s">
        <v>57</v>
      </c>
      <c r="G3552">
        <v>2</v>
      </c>
      <c r="H3552">
        <v>29517.29</v>
      </c>
      <c r="I3552">
        <v>5490.55</v>
      </c>
      <c r="J3552" t="s">
        <v>22</v>
      </c>
      <c r="K3552" t="s">
        <v>23</v>
      </c>
      <c r="L3552">
        <f t="shared" si="165"/>
        <v>2024</v>
      </c>
      <c r="M3552" t="str">
        <f t="shared" si="166"/>
        <v>Jan</v>
      </c>
      <c r="N3552" s="2">
        <f t="shared" si="167"/>
        <v>0.18601131743462898</v>
      </c>
    </row>
    <row r="3553" spans="1:14" x14ac:dyDescent="0.45">
      <c r="A3553" t="s">
        <v>6511</v>
      </c>
      <c r="B3553" s="1">
        <v>44769</v>
      </c>
      <c r="C3553" t="s">
        <v>6512</v>
      </c>
      <c r="D3553" t="s">
        <v>13</v>
      </c>
      <c r="E3553" t="s">
        <v>20</v>
      </c>
      <c r="F3553" t="s">
        <v>27</v>
      </c>
      <c r="G3553">
        <v>5</v>
      </c>
      <c r="H3553">
        <v>2471.41</v>
      </c>
      <c r="I3553">
        <v>187.24</v>
      </c>
      <c r="J3553" t="s">
        <v>71</v>
      </c>
      <c r="K3553" t="s">
        <v>33</v>
      </c>
      <c r="L3553">
        <f t="shared" si="165"/>
        <v>2022</v>
      </c>
      <c r="M3553" t="str">
        <f t="shared" si="166"/>
        <v>Jul</v>
      </c>
      <c r="N3553" s="2">
        <f t="shared" si="167"/>
        <v>7.5762419023957986E-2</v>
      </c>
    </row>
    <row r="3554" spans="1:14" x14ac:dyDescent="0.45">
      <c r="A3554" t="s">
        <v>6513</v>
      </c>
      <c r="B3554" s="1">
        <v>44951</v>
      </c>
      <c r="C3554" t="s">
        <v>4763</v>
      </c>
      <c r="D3554" t="s">
        <v>56</v>
      </c>
      <c r="E3554" t="s">
        <v>14</v>
      </c>
      <c r="F3554" t="s">
        <v>40</v>
      </c>
      <c r="G3554">
        <v>3</v>
      </c>
      <c r="H3554">
        <v>21934.77</v>
      </c>
      <c r="I3554">
        <v>4009.34</v>
      </c>
      <c r="J3554" t="s">
        <v>28</v>
      </c>
      <c r="K3554" t="s">
        <v>23</v>
      </c>
      <c r="L3554">
        <f t="shared" si="165"/>
        <v>2023</v>
      </c>
      <c r="M3554" t="str">
        <f t="shared" si="166"/>
        <v>Jan</v>
      </c>
      <c r="N3554" s="2">
        <f t="shared" si="167"/>
        <v>0.18278468386037328</v>
      </c>
    </row>
    <row r="3555" spans="1:14" x14ac:dyDescent="0.45">
      <c r="A3555" t="s">
        <v>6514</v>
      </c>
      <c r="B3555" s="1">
        <v>44986</v>
      </c>
      <c r="C3555" t="s">
        <v>6515</v>
      </c>
      <c r="D3555" t="s">
        <v>56</v>
      </c>
      <c r="E3555" t="s">
        <v>36</v>
      </c>
      <c r="F3555" t="s">
        <v>46</v>
      </c>
      <c r="G3555">
        <v>1</v>
      </c>
      <c r="H3555">
        <v>27749.56</v>
      </c>
      <c r="I3555">
        <v>2142.5</v>
      </c>
      <c r="J3555" t="s">
        <v>22</v>
      </c>
      <c r="K3555" t="s">
        <v>17</v>
      </c>
      <c r="L3555">
        <f t="shared" si="165"/>
        <v>2023</v>
      </c>
      <c r="M3555" t="str">
        <f t="shared" si="166"/>
        <v>Mar</v>
      </c>
      <c r="N3555" s="2">
        <f t="shared" si="167"/>
        <v>7.7208431412966544E-2</v>
      </c>
    </row>
    <row r="3556" spans="1:14" x14ac:dyDescent="0.45">
      <c r="A3556" t="s">
        <v>6516</v>
      </c>
      <c r="B3556" s="1">
        <v>45129</v>
      </c>
      <c r="C3556" t="s">
        <v>6517</v>
      </c>
      <c r="D3556" t="s">
        <v>56</v>
      </c>
      <c r="E3556" t="s">
        <v>20</v>
      </c>
      <c r="F3556" t="s">
        <v>43</v>
      </c>
      <c r="G3556">
        <v>4</v>
      </c>
      <c r="H3556">
        <v>12688.36</v>
      </c>
      <c r="I3556">
        <v>2459.4299999999998</v>
      </c>
      <c r="J3556" t="s">
        <v>22</v>
      </c>
      <c r="K3556" t="s">
        <v>17</v>
      </c>
      <c r="L3556">
        <f t="shared" si="165"/>
        <v>2023</v>
      </c>
      <c r="M3556" t="str">
        <f t="shared" si="166"/>
        <v>Jul</v>
      </c>
      <c r="N3556" s="2">
        <f t="shared" si="167"/>
        <v>0.19383356083843772</v>
      </c>
    </row>
    <row r="3557" spans="1:14" x14ac:dyDescent="0.45">
      <c r="A3557" t="s">
        <v>6518</v>
      </c>
      <c r="B3557" s="1">
        <v>44752</v>
      </c>
      <c r="C3557" t="s">
        <v>4986</v>
      </c>
      <c r="D3557" t="s">
        <v>56</v>
      </c>
      <c r="E3557" t="s">
        <v>36</v>
      </c>
      <c r="F3557" t="s">
        <v>64</v>
      </c>
      <c r="G3557">
        <v>5</v>
      </c>
      <c r="H3557">
        <v>16252.56</v>
      </c>
      <c r="I3557">
        <v>1538.25</v>
      </c>
      <c r="J3557" t="s">
        <v>71</v>
      </c>
      <c r="K3557" t="s">
        <v>29</v>
      </c>
      <c r="L3557">
        <f t="shared" si="165"/>
        <v>2022</v>
      </c>
      <c r="M3557" t="str">
        <f t="shared" si="166"/>
        <v>Jul</v>
      </c>
      <c r="N3557" s="2">
        <f t="shared" si="167"/>
        <v>9.4646627977377107E-2</v>
      </c>
    </row>
    <row r="3558" spans="1:14" x14ac:dyDescent="0.45">
      <c r="A3558" t="s">
        <v>6519</v>
      </c>
      <c r="B3558" s="1">
        <v>45033</v>
      </c>
      <c r="C3558" t="s">
        <v>6520</v>
      </c>
      <c r="D3558" t="s">
        <v>56</v>
      </c>
      <c r="E3558" t="s">
        <v>20</v>
      </c>
      <c r="F3558" t="s">
        <v>27</v>
      </c>
      <c r="G3558">
        <v>4</v>
      </c>
      <c r="H3558">
        <v>5288.76</v>
      </c>
      <c r="I3558">
        <v>676.73</v>
      </c>
      <c r="J3558" t="s">
        <v>22</v>
      </c>
      <c r="K3558" t="s">
        <v>23</v>
      </c>
      <c r="L3558">
        <f t="shared" si="165"/>
        <v>2023</v>
      </c>
      <c r="M3558" t="str">
        <f t="shared" si="166"/>
        <v>Apr</v>
      </c>
      <c r="N3558" s="2">
        <f t="shared" si="167"/>
        <v>0.12795626952253458</v>
      </c>
    </row>
    <row r="3559" spans="1:14" x14ac:dyDescent="0.45">
      <c r="A3559" t="s">
        <v>6521</v>
      </c>
      <c r="B3559" s="1">
        <v>45569</v>
      </c>
      <c r="C3559" t="s">
        <v>6522</v>
      </c>
      <c r="D3559" t="s">
        <v>26</v>
      </c>
      <c r="E3559" t="s">
        <v>14</v>
      </c>
      <c r="F3559" t="s">
        <v>15</v>
      </c>
      <c r="G3559">
        <v>5</v>
      </c>
      <c r="H3559">
        <v>42721.31</v>
      </c>
      <c r="I3559">
        <v>4910.28</v>
      </c>
      <c r="J3559" t="s">
        <v>22</v>
      </c>
      <c r="K3559" t="s">
        <v>23</v>
      </c>
      <c r="L3559">
        <f t="shared" si="165"/>
        <v>2024</v>
      </c>
      <c r="M3559" t="str">
        <f t="shared" si="166"/>
        <v>Oct</v>
      </c>
      <c r="N3559" s="2">
        <f t="shared" si="167"/>
        <v>0.11493748670160162</v>
      </c>
    </row>
    <row r="3560" spans="1:14" x14ac:dyDescent="0.45">
      <c r="A3560" t="s">
        <v>6523</v>
      </c>
      <c r="B3560" s="1">
        <v>45318</v>
      </c>
      <c r="C3560" t="s">
        <v>6134</v>
      </c>
      <c r="D3560" t="s">
        <v>56</v>
      </c>
      <c r="E3560" t="s">
        <v>36</v>
      </c>
      <c r="F3560" t="s">
        <v>46</v>
      </c>
      <c r="G3560">
        <v>2</v>
      </c>
      <c r="H3560">
        <v>18462.54</v>
      </c>
      <c r="I3560">
        <v>4106.8999999999996</v>
      </c>
      <c r="J3560" t="s">
        <v>47</v>
      </c>
      <c r="K3560" t="s">
        <v>33</v>
      </c>
      <c r="L3560">
        <f t="shared" si="165"/>
        <v>2024</v>
      </c>
      <c r="M3560" t="str">
        <f t="shared" si="166"/>
        <v>Jan</v>
      </c>
      <c r="N3560" s="2">
        <f t="shared" si="167"/>
        <v>0.22244501569123207</v>
      </c>
    </row>
    <row r="3561" spans="1:14" x14ac:dyDescent="0.45">
      <c r="A3561" t="s">
        <v>6524</v>
      </c>
      <c r="B3561" s="1">
        <v>45188</v>
      </c>
      <c r="C3561" t="s">
        <v>6525</v>
      </c>
      <c r="D3561" t="s">
        <v>56</v>
      </c>
      <c r="E3561" t="s">
        <v>36</v>
      </c>
      <c r="F3561" t="s">
        <v>53</v>
      </c>
      <c r="G3561">
        <v>2</v>
      </c>
      <c r="H3561">
        <v>32295.56</v>
      </c>
      <c r="I3561">
        <v>4373.95</v>
      </c>
      <c r="J3561" t="s">
        <v>28</v>
      </c>
      <c r="K3561" t="s">
        <v>17</v>
      </c>
      <c r="L3561">
        <f t="shared" si="165"/>
        <v>2023</v>
      </c>
      <c r="M3561" t="str">
        <f t="shared" si="166"/>
        <v>Sep</v>
      </c>
      <c r="N3561" s="2">
        <f t="shared" si="167"/>
        <v>0.13543502574347679</v>
      </c>
    </row>
    <row r="3562" spans="1:14" x14ac:dyDescent="0.45">
      <c r="A3562" t="s">
        <v>6526</v>
      </c>
      <c r="B3562" s="1">
        <v>45075</v>
      </c>
      <c r="C3562" t="s">
        <v>6527</v>
      </c>
      <c r="D3562" t="s">
        <v>26</v>
      </c>
      <c r="E3562" t="s">
        <v>14</v>
      </c>
      <c r="F3562" t="s">
        <v>32</v>
      </c>
      <c r="G3562">
        <v>1</v>
      </c>
      <c r="H3562">
        <v>3696.82</v>
      </c>
      <c r="I3562">
        <v>696.36</v>
      </c>
      <c r="J3562" t="s">
        <v>22</v>
      </c>
      <c r="K3562" t="s">
        <v>29</v>
      </c>
      <c r="L3562">
        <f t="shared" si="165"/>
        <v>2023</v>
      </c>
      <c r="M3562" t="str">
        <f t="shared" si="166"/>
        <v>May</v>
      </c>
      <c r="N3562" s="2">
        <f t="shared" si="167"/>
        <v>0.18836729946278152</v>
      </c>
    </row>
    <row r="3563" spans="1:14" x14ac:dyDescent="0.45">
      <c r="A3563" t="s">
        <v>6528</v>
      </c>
      <c r="B3563" s="1">
        <v>45657</v>
      </c>
      <c r="C3563" t="s">
        <v>6529</v>
      </c>
      <c r="D3563" t="s">
        <v>56</v>
      </c>
      <c r="E3563" t="s">
        <v>14</v>
      </c>
      <c r="F3563" t="s">
        <v>32</v>
      </c>
      <c r="G3563">
        <v>5</v>
      </c>
      <c r="H3563">
        <v>24384.2</v>
      </c>
      <c r="I3563">
        <v>4208.8100000000004</v>
      </c>
      <c r="J3563" t="s">
        <v>16</v>
      </c>
      <c r="K3563" t="s">
        <v>17</v>
      </c>
      <c r="L3563">
        <f t="shared" si="165"/>
        <v>2024</v>
      </c>
      <c r="M3563" t="str">
        <f t="shared" si="166"/>
        <v>Dec</v>
      </c>
      <c r="N3563" s="2">
        <f t="shared" si="167"/>
        <v>0.17260398126655788</v>
      </c>
    </row>
    <row r="3564" spans="1:14" x14ac:dyDescent="0.45">
      <c r="A3564" t="s">
        <v>6530</v>
      </c>
      <c r="B3564" s="1">
        <v>44733</v>
      </c>
      <c r="C3564" t="s">
        <v>6531</v>
      </c>
      <c r="D3564" t="s">
        <v>56</v>
      </c>
      <c r="E3564" t="s">
        <v>36</v>
      </c>
      <c r="F3564" t="s">
        <v>37</v>
      </c>
      <c r="G3564">
        <v>4</v>
      </c>
      <c r="H3564">
        <v>21563.77</v>
      </c>
      <c r="I3564">
        <v>1244.51</v>
      </c>
      <c r="J3564" t="s">
        <v>47</v>
      </c>
      <c r="K3564" t="s">
        <v>29</v>
      </c>
      <c r="L3564">
        <f t="shared" si="165"/>
        <v>2022</v>
      </c>
      <c r="M3564" t="str">
        <f t="shared" si="166"/>
        <v>Jun</v>
      </c>
      <c r="N3564" s="2">
        <f t="shared" si="167"/>
        <v>5.7713006584655648E-2</v>
      </c>
    </row>
    <row r="3565" spans="1:14" x14ac:dyDescent="0.45">
      <c r="A3565" t="s">
        <v>6532</v>
      </c>
      <c r="B3565" s="1">
        <v>44774</v>
      </c>
      <c r="C3565" t="s">
        <v>6533</v>
      </c>
      <c r="D3565" t="s">
        <v>26</v>
      </c>
      <c r="E3565" t="s">
        <v>36</v>
      </c>
      <c r="F3565" t="s">
        <v>46</v>
      </c>
      <c r="G3565">
        <v>2</v>
      </c>
      <c r="H3565">
        <v>47703.7</v>
      </c>
      <c r="I3565">
        <v>4856.33</v>
      </c>
      <c r="J3565" t="s">
        <v>22</v>
      </c>
      <c r="K3565" t="s">
        <v>23</v>
      </c>
      <c r="L3565">
        <f t="shared" si="165"/>
        <v>2022</v>
      </c>
      <c r="M3565" t="str">
        <f t="shared" si="166"/>
        <v>Aug</v>
      </c>
      <c r="N3565" s="2">
        <f t="shared" si="167"/>
        <v>0.1018019566616426</v>
      </c>
    </row>
    <row r="3566" spans="1:14" x14ac:dyDescent="0.45">
      <c r="A3566" t="s">
        <v>6534</v>
      </c>
      <c r="B3566" s="1">
        <v>45041</v>
      </c>
      <c r="C3566" t="s">
        <v>6535</v>
      </c>
      <c r="D3566" t="s">
        <v>13</v>
      </c>
      <c r="E3566" t="s">
        <v>20</v>
      </c>
      <c r="F3566" t="s">
        <v>21</v>
      </c>
      <c r="G3566">
        <v>1</v>
      </c>
      <c r="H3566">
        <v>27868.080000000002</v>
      </c>
      <c r="I3566">
        <v>2811.12</v>
      </c>
      <c r="J3566" t="s">
        <v>16</v>
      </c>
      <c r="K3566" t="s">
        <v>29</v>
      </c>
      <c r="L3566">
        <f t="shared" si="165"/>
        <v>2023</v>
      </c>
      <c r="M3566" t="str">
        <f t="shared" si="166"/>
        <v>Apr</v>
      </c>
      <c r="N3566" s="2">
        <f t="shared" si="167"/>
        <v>0.10087239594546879</v>
      </c>
    </row>
    <row r="3567" spans="1:14" x14ac:dyDescent="0.45">
      <c r="A3567" t="s">
        <v>6536</v>
      </c>
      <c r="B3567" s="1">
        <v>44608</v>
      </c>
      <c r="C3567" t="s">
        <v>6537</v>
      </c>
      <c r="D3567" t="s">
        <v>13</v>
      </c>
      <c r="E3567" t="s">
        <v>14</v>
      </c>
      <c r="F3567" t="s">
        <v>32</v>
      </c>
      <c r="G3567">
        <v>4</v>
      </c>
      <c r="H3567">
        <v>31975.87</v>
      </c>
      <c r="I3567">
        <v>5211.24</v>
      </c>
      <c r="J3567" t="s">
        <v>22</v>
      </c>
      <c r="K3567" t="s">
        <v>29</v>
      </c>
      <c r="L3567">
        <f t="shared" si="165"/>
        <v>2022</v>
      </c>
      <c r="M3567" t="str">
        <f t="shared" si="166"/>
        <v>Feb</v>
      </c>
      <c r="N3567" s="2">
        <f t="shared" si="167"/>
        <v>0.16297414268947177</v>
      </c>
    </row>
    <row r="3568" spans="1:14" x14ac:dyDescent="0.45">
      <c r="A3568" t="s">
        <v>6538</v>
      </c>
      <c r="B3568" s="1">
        <v>44707</v>
      </c>
      <c r="C3568" t="s">
        <v>4470</v>
      </c>
      <c r="D3568" t="s">
        <v>26</v>
      </c>
      <c r="E3568" t="s">
        <v>20</v>
      </c>
      <c r="F3568" t="s">
        <v>27</v>
      </c>
      <c r="G3568">
        <v>1</v>
      </c>
      <c r="H3568">
        <v>16492.11</v>
      </c>
      <c r="I3568">
        <v>1358.85</v>
      </c>
      <c r="J3568" t="s">
        <v>28</v>
      </c>
      <c r="K3568" t="s">
        <v>29</v>
      </c>
      <c r="L3568">
        <f t="shared" si="165"/>
        <v>2022</v>
      </c>
      <c r="M3568" t="str">
        <f t="shared" si="166"/>
        <v>May</v>
      </c>
      <c r="N3568" s="2">
        <f t="shared" si="167"/>
        <v>8.2393944740848796E-2</v>
      </c>
    </row>
    <row r="3569" spans="1:14" x14ac:dyDescent="0.45">
      <c r="A3569" t="s">
        <v>6539</v>
      </c>
      <c r="B3569" s="1">
        <v>45162</v>
      </c>
      <c r="C3569" t="s">
        <v>6540</v>
      </c>
      <c r="D3569" t="s">
        <v>13</v>
      </c>
      <c r="E3569" t="s">
        <v>14</v>
      </c>
      <c r="F3569" t="s">
        <v>15</v>
      </c>
      <c r="G3569">
        <v>2</v>
      </c>
      <c r="H3569">
        <v>8748.4500000000007</v>
      </c>
      <c r="I3569">
        <v>511.97</v>
      </c>
      <c r="J3569" t="s">
        <v>16</v>
      </c>
      <c r="K3569" t="s">
        <v>29</v>
      </c>
      <c r="L3569">
        <f t="shared" si="165"/>
        <v>2023</v>
      </c>
      <c r="M3569" t="str">
        <f t="shared" si="166"/>
        <v>Aug</v>
      </c>
      <c r="N3569" s="2">
        <f t="shared" si="167"/>
        <v>5.852122375963742E-2</v>
      </c>
    </row>
    <row r="3570" spans="1:14" x14ac:dyDescent="0.45">
      <c r="A3570" t="s">
        <v>6541</v>
      </c>
      <c r="B3570" s="1">
        <v>45120</v>
      </c>
      <c r="C3570" t="s">
        <v>6542</v>
      </c>
      <c r="D3570" t="s">
        <v>56</v>
      </c>
      <c r="E3570" t="s">
        <v>36</v>
      </c>
      <c r="F3570" t="s">
        <v>37</v>
      </c>
      <c r="G3570">
        <v>1</v>
      </c>
      <c r="H3570">
        <v>4507.57</v>
      </c>
      <c r="I3570">
        <v>956.86</v>
      </c>
      <c r="J3570" t="s">
        <v>47</v>
      </c>
      <c r="K3570" t="s">
        <v>29</v>
      </c>
      <c r="L3570">
        <f t="shared" si="165"/>
        <v>2023</v>
      </c>
      <c r="M3570" t="str">
        <f t="shared" si="166"/>
        <v>Jul</v>
      </c>
      <c r="N3570" s="2">
        <f t="shared" si="167"/>
        <v>0.21227845601954048</v>
      </c>
    </row>
    <row r="3571" spans="1:14" x14ac:dyDescent="0.45">
      <c r="A3571" t="s">
        <v>6543</v>
      </c>
      <c r="B3571" s="1">
        <v>44975</v>
      </c>
      <c r="C3571" t="s">
        <v>2531</v>
      </c>
      <c r="D3571" t="s">
        <v>13</v>
      </c>
      <c r="E3571" t="s">
        <v>20</v>
      </c>
      <c r="F3571" t="s">
        <v>27</v>
      </c>
      <c r="G3571">
        <v>3</v>
      </c>
      <c r="H3571">
        <v>41210.5</v>
      </c>
      <c r="I3571">
        <v>3727.47</v>
      </c>
      <c r="J3571" t="s">
        <v>47</v>
      </c>
      <c r="K3571" t="s">
        <v>29</v>
      </c>
      <c r="L3571">
        <f t="shared" si="165"/>
        <v>2023</v>
      </c>
      <c r="M3571" t="str">
        <f t="shared" si="166"/>
        <v>Feb</v>
      </c>
      <c r="N3571" s="2">
        <f t="shared" si="167"/>
        <v>9.0449521359847601E-2</v>
      </c>
    </row>
    <row r="3572" spans="1:14" x14ac:dyDescent="0.45">
      <c r="A3572" t="s">
        <v>6544</v>
      </c>
      <c r="B3572" s="1">
        <v>44669</v>
      </c>
      <c r="C3572" t="s">
        <v>6545</v>
      </c>
      <c r="D3572" t="s">
        <v>56</v>
      </c>
      <c r="E3572" t="s">
        <v>20</v>
      </c>
      <c r="F3572" t="s">
        <v>27</v>
      </c>
      <c r="G3572">
        <v>4</v>
      </c>
      <c r="H3572">
        <v>35056.54</v>
      </c>
      <c r="I3572">
        <v>4834.3</v>
      </c>
      <c r="J3572" t="s">
        <v>22</v>
      </c>
      <c r="K3572" t="s">
        <v>17</v>
      </c>
      <c r="L3572">
        <f t="shared" si="165"/>
        <v>2022</v>
      </c>
      <c r="M3572" t="str">
        <f t="shared" si="166"/>
        <v>Apr</v>
      </c>
      <c r="N3572" s="2">
        <f t="shared" si="167"/>
        <v>0.13790008939844034</v>
      </c>
    </row>
    <row r="3573" spans="1:14" x14ac:dyDescent="0.45">
      <c r="A3573" t="s">
        <v>6546</v>
      </c>
      <c r="B3573" s="1">
        <v>45321</v>
      </c>
      <c r="C3573" t="s">
        <v>6547</v>
      </c>
      <c r="D3573" t="s">
        <v>26</v>
      </c>
      <c r="E3573" t="s">
        <v>20</v>
      </c>
      <c r="F3573" t="s">
        <v>50</v>
      </c>
      <c r="G3573">
        <v>3</v>
      </c>
      <c r="H3573">
        <v>12804.8</v>
      </c>
      <c r="I3573">
        <v>1991.87</v>
      </c>
      <c r="J3573" t="s">
        <v>16</v>
      </c>
      <c r="K3573" t="s">
        <v>33</v>
      </c>
      <c r="L3573">
        <f t="shared" si="165"/>
        <v>2024</v>
      </c>
      <c r="M3573" t="str">
        <f t="shared" si="166"/>
        <v>Jan</v>
      </c>
      <c r="N3573" s="2">
        <f t="shared" si="167"/>
        <v>0.15555651005872798</v>
      </c>
    </row>
    <row r="3574" spans="1:14" x14ac:dyDescent="0.45">
      <c r="A3574" t="s">
        <v>6548</v>
      </c>
      <c r="B3574" s="1">
        <v>45358</v>
      </c>
      <c r="C3574" t="s">
        <v>6549</v>
      </c>
      <c r="D3574" t="s">
        <v>56</v>
      </c>
      <c r="E3574" t="s">
        <v>36</v>
      </c>
      <c r="F3574" t="s">
        <v>64</v>
      </c>
      <c r="G3574">
        <v>4</v>
      </c>
      <c r="H3574">
        <v>4477.5200000000004</v>
      </c>
      <c r="I3574">
        <v>985.63</v>
      </c>
      <c r="J3574" t="s">
        <v>22</v>
      </c>
      <c r="K3574" t="s">
        <v>17</v>
      </c>
      <c r="L3574">
        <f t="shared" si="165"/>
        <v>2024</v>
      </c>
      <c r="M3574" t="str">
        <f t="shared" si="166"/>
        <v>Mar</v>
      </c>
      <c r="N3574" s="2">
        <f t="shared" si="167"/>
        <v>0.22012855330629452</v>
      </c>
    </row>
    <row r="3575" spans="1:14" x14ac:dyDescent="0.45">
      <c r="A3575" t="s">
        <v>6550</v>
      </c>
      <c r="B3575" s="1">
        <v>45453</v>
      </c>
      <c r="C3575" t="s">
        <v>4114</v>
      </c>
      <c r="D3575" t="s">
        <v>13</v>
      </c>
      <c r="E3575" t="s">
        <v>20</v>
      </c>
      <c r="F3575" t="s">
        <v>27</v>
      </c>
      <c r="G3575">
        <v>3</v>
      </c>
      <c r="H3575">
        <v>20040.91</v>
      </c>
      <c r="I3575">
        <v>4120.42</v>
      </c>
      <c r="J3575" t="s">
        <v>16</v>
      </c>
      <c r="K3575" t="s">
        <v>29</v>
      </c>
      <c r="L3575">
        <f t="shared" si="165"/>
        <v>2024</v>
      </c>
      <c r="M3575" t="str">
        <f t="shared" si="166"/>
        <v>Jun</v>
      </c>
      <c r="N3575" s="2">
        <f t="shared" si="167"/>
        <v>0.20560044429120236</v>
      </c>
    </row>
    <row r="3576" spans="1:14" x14ac:dyDescent="0.45">
      <c r="A3576" t="s">
        <v>6551</v>
      </c>
      <c r="B3576" s="1">
        <v>45341</v>
      </c>
      <c r="C3576" t="s">
        <v>6552</v>
      </c>
      <c r="D3576" t="s">
        <v>26</v>
      </c>
      <c r="E3576" t="s">
        <v>20</v>
      </c>
      <c r="F3576" t="s">
        <v>43</v>
      </c>
      <c r="G3576">
        <v>2</v>
      </c>
      <c r="H3576">
        <v>7589.29</v>
      </c>
      <c r="I3576">
        <v>479.12</v>
      </c>
      <c r="J3576" t="s">
        <v>22</v>
      </c>
      <c r="K3576" t="s">
        <v>33</v>
      </c>
      <c r="L3576">
        <f t="shared" si="165"/>
        <v>2024</v>
      </c>
      <c r="M3576" t="str">
        <f t="shared" si="166"/>
        <v>Feb</v>
      </c>
      <c r="N3576" s="2">
        <f t="shared" si="167"/>
        <v>6.3131070231866218E-2</v>
      </c>
    </row>
    <row r="3577" spans="1:14" x14ac:dyDescent="0.45">
      <c r="A3577" t="s">
        <v>6553</v>
      </c>
      <c r="B3577" s="1">
        <v>45298</v>
      </c>
      <c r="C3577" t="s">
        <v>5943</v>
      </c>
      <c r="D3577" t="s">
        <v>26</v>
      </c>
      <c r="E3577" t="s">
        <v>20</v>
      </c>
      <c r="F3577" t="s">
        <v>27</v>
      </c>
      <c r="G3577">
        <v>1</v>
      </c>
      <c r="H3577">
        <v>28230.46</v>
      </c>
      <c r="I3577">
        <v>6713.79</v>
      </c>
      <c r="J3577" t="s">
        <v>47</v>
      </c>
      <c r="K3577" t="s">
        <v>23</v>
      </c>
      <c r="L3577">
        <f t="shared" si="165"/>
        <v>2024</v>
      </c>
      <c r="M3577" t="str">
        <f t="shared" si="166"/>
        <v>Jan</v>
      </c>
      <c r="N3577" s="2">
        <f t="shared" si="167"/>
        <v>0.23782077939927299</v>
      </c>
    </row>
    <row r="3578" spans="1:14" x14ac:dyDescent="0.45">
      <c r="A3578" t="s">
        <v>6554</v>
      </c>
      <c r="B3578" s="1">
        <v>45627</v>
      </c>
      <c r="C3578" t="s">
        <v>6555</v>
      </c>
      <c r="D3578" t="s">
        <v>56</v>
      </c>
      <c r="E3578" t="s">
        <v>36</v>
      </c>
      <c r="F3578" t="s">
        <v>46</v>
      </c>
      <c r="G3578">
        <v>2</v>
      </c>
      <c r="H3578">
        <v>46388.76</v>
      </c>
      <c r="I3578">
        <v>8359.2099999999991</v>
      </c>
      <c r="J3578" t="s">
        <v>28</v>
      </c>
      <c r="K3578" t="s">
        <v>23</v>
      </c>
      <c r="L3578">
        <f t="shared" si="165"/>
        <v>2024</v>
      </c>
      <c r="M3578" t="str">
        <f t="shared" si="166"/>
        <v>Dec</v>
      </c>
      <c r="N3578" s="2">
        <f t="shared" si="167"/>
        <v>0.18019903959493633</v>
      </c>
    </row>
    <row r="3579" spans="1:14" x14ac:dyDescent="0.45">
      <c r="A3579" t="s">
        <v>6556</v>
      </c>
      <c r="B3579" s="1">
        <v>45383</v>
      </c>
      <c r="C3579" t="s">
        <v>6557</v>
      </c>
      <c r="D3579" t="s">
        <v>26</v>
      </c>
      <c r="E3579" t="s">
        <v>20</v>
      </c>
      <c r="F3579" t="s">
        <v>50</v>
      </c>
      <c r="G3579">
        <v>5</v>
      </c>
      <c r="H3579">
        <v>35268.78</v>
      </c>
      <c r="I3579">
        <v>3134.83</v>
      </c>
      <c r="J3579" t="s">
        <v>71</v>
      </c>
      <c r="K3579" t="s">
        <v>17</v>
      </c>
      <c r="L3579">
        <f t="shared" si="165"/>
        <v>2024</v>
      </c>
      <c r="M3579" t="str">
        <f t="shared" si="166"/>
        <v>Apr</v>
      </c>
      <c r="N3579" s="2">
        <f t="shared" si="167"/>
        <v>8.8883993152017171E-2</v>
      </c>
    </row>
    <row r="3580" spans="1:14" x14ac:dyDescent="0.45">
      <c r="A3580" t="s">
        <v>6558</v>
      </c>
      <c r="B3580" s="1">
        <v>44849</v>
      </c>
      <c r="C3580" t="s">
        <v>6559</v>
      </c>
      <c r="D3580" t="s">
        <v>13</v>
      </c>
      <c r="E3580" t="s">
        <v>20</v>
      </c>
      <c r="F3580" t="s">
        <v>27</v>
      </c>
      <c r="G3580">
        <v>2</v>
      </c>
      <c r="H3580">
        <v>24395.83</v>
      </c>
      <c r="I3580">
        <v>1957.89</v>
      </c>
      <c r="J3580" t="s">
        <v>22</v>
      </c>
      <c r="K3580" t="s">
        <v>17</v>
      </c>
      <c r="L3580">
        <f t="shared" si="165"/>
        <v>2022</v>
      </c>
      <c r="M3580" t="str">
        <f t="shared" si="166"/>
        <v>Oct</v>
      </c>
      <c r="N3580" s="2">
        <f t="shared" si="167"/>
        <v>8.0255109172346253E-2</v>
      </c>
    </row>
    <row r="3581" spans="1:14" x14ac:dyDescent="0.45">
      <c r="A3581" t="s">
        <v>6560</v>
      </c>
      <c r="B3581" s="1">
        <v>45265</v>
      </c>
      <c r="C3581" t="s">
        <v>6561</v>
      </c>
      <c r="D3581" t="s">
        <v>56</v>
      </c>
      <c r="E3581" t="s">
        <v>14</v>
      </c>
      <c r="F3581" t="s">
        <v>15</v>
      </c>
      <c r="G3581">
        <v>5</v>
      </c>
      <c r="H3581">
        <v>4804.32</v>
      </c>
      <c r="I3581">
        <v>1145.54</v>
      </c>
      <c r="J3581" t="s">
        <v>47</v>
      </c>
      <c r="K3581" t="s">
        <v>33</v>
      </c>
      <c r="L3581">
        <f t="shared" si="165"/>
        <v>2023</v>
      </c>
      <c r="M3581" t="str">
        <f t="shared" si="166"/>
        <v>Dec</v>
      </c>
      <c r="N3581" s="2">
        <f t="shared" si="167"/>
        <v>0.23843957105271923</v>
      </c>
    </row>
    <row r="3582" spans="1:14" x14ac:dyDescent="0.45">
      <c r="A3582" t="s">
        <v>6562</v>
      </c>
      <c r="B3582" s="1">
        <v>45502</v>
      </c>
      <c r="C3582" t="s">
        <v>101</v>
      </c>
      <c r="D3582" t="s">
        <v>13</v>
      </c>
      <c r="E3582" t="s">
        <v>20</v>
      </c>
      <c r="F3582" t="s">
        <v>43</v>
      </c>
      <c r="G3582">
        <v>2</v>
      </c>
      <c r="H3582">
        <v>4170.7</v>
      </c>
      <c r="I3582">
        <v>441.97</v>
      </c>
      <c r="J3582" t="s">
        <v>71</v>
      </c>
      <c r="K3582" t="s">
        <v>17</v>
      </c>
      <c r="L3582">
        <f t="shared" si="165"/>
        <v>2024</v>
      </c>
      <c r="M3582" t="str">
        <f t="shared" si="166"/>
        <v>Jul</v>
      </c>
      <c r="N3582" s="2">
        <f t="shared" si="167"/>
        <v>0.10597022082624021</v>
      </c>
    </row>
    <row r="3583" spans="1:14" x14ac:dyDescent="0.45">
      <c r="A3583" t="s">
        <v>6563</v>
      </c>
      <c r="B3583" s="1">
        <v>44688</v>
      </c>
      <c r="C3583" t="s">
        <v>6564</v>
      </c>
      <c r="D3583" t="s">
        <v>13</v>
      </c>
      <c r="E3583" t="s">
        <v>14</v>
      </c>
      <c r="F3583" t="s">
        <v>15</v>
      </c>
      <c r="G3583">
        <v>5</v>
      </c>
      <c r="H3583">
        <v>44635.37</v>
      </c>
      <c r="I3583">
        <v>4979.99</v>
      </c>
      <c r="J3583" t="s">
        <v>16</v>
      </c>
      <c r="K3583" t="s">
        <v>23</v>
      </c>
      <c r="L3583">
        <f t="shared" si="165"/>
        <v>2022</v>
      </c>
      <c r="M3583" t="str">
        <f t="shared" si="166"/>
        <v>May</v>
      </c>
      <c r="N3583" s="2">
        <f t="shared" si="167"/>
        <v>0.11157048770963475</v>
      </c>
    </row>
    <row r="3584" spans="1:14" x14ac:dyDescent="0.45">
      <c r="A3584" t="s">
        <v>6565</v>
      </c>
      <c r="B3584" s="1">
        <v>45014</v>
      </c>
      <c r="C3584" t="s">
        <v>6566</v>
      </c>
      <c r="D3584" t="s">
        <v>56</v>
      </c>
      <c r="E3584" t="s">
        <v>14</v>
      </c>
      <c r="F3584" t="s">
        <v>57</v>
      </c>
      <c r="G3584">
        <v>4</v>
      </c>
      <c r="H3584">
        <v>35961.24</v>
      </c>
      <c r="I3584">
        <v>5168.4399999999996</v>
      </c>
      <c r="J3584" t="s">
        <v>47</v>
      </c>
      <c r="K3584" t="s">
        <v>29</v>
      </c>
      <c r="L3584">
        <f t="shared" si="165"/>
        <v>2023</v>
      </c>
      <c r="M3584" t="str">
        <f t="shared" si="166"/>
        <v>Mar</v>
      </c>
      <c r="N3584" s="2">
        <f t="shared" si="167"/>
        <v>0.14372251902325947</v>
      </c>
    </row>
    <row r="3585" spans="1:14" x14ac:dyDescent="0.45">
      <c r="A3585" t="s">
        <v>6567</v>
      </c>
      <c r="B3585" s="1">
        <v>45115</v>
      </c>
      <c r="C3585" t="s">
        <v>6568</v>
      </c>
      <c r="D3585" t="s">
        <v>13</v>
      </c>
      <c r="E3585" t="s">
        <v>36</v>
      </c>
      <c r="F3585" t="s">
        <v>37</v>
      </c>
      <c r="G3585">
        <v>4</v>
      </c>
      <c r="H3585">
        <v>40595.599999999999</v>
      </c>
      <c r="I3585">
        <v>4542.13</v>
      </c>
      <c r="J3585" t="s">
        <v>28</v>
      </c>
      <c r="K3585" t="s">
        <v>33</v>
      </c>
      <c r="L3585">
        <f t="shared" si="165"/>
        <v>2023</v>
      </c>
      <c r="M3585" t="str">
        <f t="shared" si="166"/>
        <v>Jul</v>
      </c>
      <c r="N3585" s="2">
        <f t="shared" si="167"/>
        <v>0.11188724886440896</v>
      </c>
    </row>
    <row r="3586" spans="1:14" x14ac:dyDescent="0.45">
      <c r="A3586" t="s">
        <v>6569</v>
      </c>
      <c r="B3586" s="1">
        <v>45440</v>
      </c>
      <c r="C3586" t="s">
        <v>5108</v>
      </c>
      <c r="D3586" t="s">
        <v>26</v>
      </c>
      <c r="E3586" t="s">
        <v>14</v>
      </c>
      <c r="F3586" t="s">
        <v>15</v>
      </c>
      <c r="G3586">
        <v>3</v>
      </c>
      <c r="H3586">
        <v>12477.92</v>
      </c>
      <c r="I3586">
        <v>1729.58</v>
      </c>
      <c r="J3586" t="s">
        <v>22</v>
      </c>
      <c r="K3586" t="s">
        <v>29</v>
      </c>
      <c r="L3586">
        <f t="shared" si="165"/>
        <v>2024</v>
      </c>
      <c r="M3586" t="str">
        <f t="shared" si="166"/>
        <v>May</v>
      </c>
      <c r="N3586" s="2">
        <f t="shared" si="167"/>
        <v>0.13861124289945759</v>
      </c>
    </row>
    <row r="3587" spans="1:14" x14ac:dyDescent="0.45">
      <c r="A3587" t="s">
        <v>6570</v>
      </c>
      <c r="B3587" s="1">
        <v>45403</v>
      </c>
      <c r="C3587" t="s">
        <v>779</v>
      </c>
      <c r="D3587" t="s">
        <v>26</v>
      </c>
      <c r="E3587" t="s">
        <v>36</v>
      </c>
      <c r="F3587" t="s">
        <v>37</v>
      </c>
      <c r="G3587">
        <v>1</v>
      </c>
      <c r="H3587">
        <v>30290.51</v>
      </c>
      <c r="I3587">
        <v>6390.75</v>
      </c>
      <c r="J3587" t="s">
        <v>16</v>
      </c>
      <c r="K3587" t="s">
        <v>17</v>
      </c>
      <c r="L3587">
        <f t="shared" ref="L3587:L3650" si="168">YEAR(B3587 )</f>
        <v>2024</v>
      </c>
      <c r="M3587" t="str">
        <f t="shared" ref="M3587:M3650" si="169">TEXT(B3587,"MMM")</f>
        <v>Apr</v>
      </c>
      <c r="N3587" s="2">
        <f t="shared" ref="N3587:N3650" si="170">I3587 / H3587</f>
        <v>0.21098192140046504</v>
      </c>
    </row>
    <row r="3588" spans="1:14" x14ac:dyDescent="0.45">
      <c r="A3588" t="s">
        <v>6571</v>
      </c>
      <c r="B3588" s="1">
        <v>45324</v>
      </c>
      <c r="C3588" t="s">
        <v>6572</v>
      </c>
      <c r="D3588" t="s">
        <v>56</v>
      </c>
      <c r="E3588" t="s">
        <v>36</v>
      </c>
      <c r="F3588" t="s">
        <v>37</v>
      </c>
      <c r="G3588">
        <v>4</v>
      </c>
      <c r="H3588">
        <v>29374.799999999999</v>
      </c>
      <c r="I3588">
        <v>5166.7</v>
      </c>
      <c r="J3588" t="s">
        <v>47</v>
      </c>
      <c r="K3588" t="s">
        <v>23</v>
      </c>
      <c r="L3588">
        <f t="shared" si="168"/>
        <v>2024</v>
      </c>
      <c r="M3588" t="str">
        <f t="shared" si="169"/>
        <v>Feb</v>
      </c>
      <c r="N3588" s="2">
        <f t="shared" si="170"/>
        <v>0.17588885711562291</v>
      </c>
    </row>
    <row r="3589" spans="1:14" x14ac:dyDescent="0.45">
      <c r="A3589" t="s">
        <v>6573</v>
      </c>
      <c r="B3589" s="1">
        <v>45403</v>
      </c>
      <c r="C3589" t="s">
        <v>1681</v>
      </c>
      <c r="D3589" t="s">
        <v>56</v>
      </c>
      <c r="E3589" t="s">
        <v>14</v>
      </c>
      <c r="F3589" t="s">
        <v>40</v>
      </c>
      <c r="G3589">
        <v>1</v>
      </c>
      <c r="H3589">
        <v>3552.8</v>
      </c>
      <c r="I3589">
        <v>749.32</v>
      </c>
      <c r="J3589" t="s">
        <v>47</v>
      </c>
      <c r="K3589" t="s">
        <v>33</v>
      </c>
      <c r="L3589">
        <f t="shared" si="168"/>
        <v>2024</v>
      </c>
      <c r="M3589" t="str">
        <f t="shared" si="169"/>
        <v>Apr</v>
      </c>
      <c r="N3589" s="2">
        <f t="shared" si="170"/>
        <v>0.21090970502139159</v>
      </c>
    </row>
    <row r="3590" spans="1:14" x14ac:dyDescent="0.45">
      <c r="A3590" t="s">
        <v>6574</v>
      </c>
      <c r="B3590" s="1">
        <v>45012</v>
      </c>
      <c r="C3590" t="s">
        <v>6575</v>
      </c>
      <c r="D3590" t="s">
        <v>56</v>
      </c>
      <c r="E3590" t="s">
        <v>36</v>
      </c>
      <c r="F3590" t="s">
        <v>37</v>
      </c>
      <c r="G3590">
        <v>1</v>
      </c>
      <c r="H3590">
        <v>32930.129999999997</v>
      </c>
      <c r="I3590">
        <v>6228.74</v>
      </c>
      <c r="J3590" t="s">
        <v>28</v>
      </c>
      <c r="K3590" t="s">
        <v>17</v>
      </c>
      <c r="L3590">
        <f t="shared" si="168"/>
        <v>2023</v>
      </c>
      <c r="M3590" t="str">
        <f t="shared" si="169"/>
        <v>Mar</v>
      </c>
      <c r="N3590" s="2">
        <f t="shared" si="170"/>
        <v>0.18915017948608159</v>
      </c>
    </row>
    <row r="3591" spans="1:14" x14ac:dyDescent="0.45">
      <c r="A3591" t="s">
        <v>6576</v>
      </c>
      <c r="B3591" s="1">
        <v>45133</v>
      </c>
      <c r="C3591" t="s">
        <v>6577</v>
      </c>
      <c r="D3591" t="s">
        <v>13</v>
      </c>
      <c r="E3591" t="s">
        <v>36</v>
      </c>
      <c r="F3591" t="s">
        <v>46</v>
      </c>
      <c r="G3591">
        <v>2</v>
      </c>
      <c r="H3591">
        <v>38320.870000000003</v>
      </c>
      <c r="I3591">
        <v>2380.56</v>
      </c>
      <c r="J3591" t="s">
        <v>22</v>
      </c>
      <c r="K3591" t="s">
        <v>23</v>
      </c>
      <c r="L3591">
        <f t="shared" si="168"/>
        <v>2023</v>
      </c>
      <c r="M3591" t="str">
        <f t="shared" si="169"/>
        <v>Jul</v>
      </c>
      <c r="N3591" s="2">
        <f t="shared" si="170"/>
        <v>6.2121762893170215E-2</v>
      </c>
    </row>
    <row r="3592" spans="1:14" x14ac:dyDescent="0.45">
      <c r="A3592" t="s">
        <v>6578</v>
      </c>
      <c r="B3592" s="1">
        <v>45325</v>
      </c>
      <c r="C3592" t="s">
        <v>6579</v>
      </c>
      <c r="D3592" t="s">
        <v>13</v>
      </c>
      <c r="E3592" t="s">
        <v>36</v>
      </c>
      <c r="F3592" t="s">
        <v>53</v>
      </c>
      <c r="G3592">
        <v>2</v>
      </c>
      <c r="H3592">
        <v>24158.240000000002</v>
      </c>
      <c r="I3592">
        <v>3410.14</v>
      </c>
      <c r="J3592" t="s">
        <v>16</v>
      </c>
      <c r="K3592" t="s">
        <v>23</v>
      </c>
      <c r="L3592">
        <f t="shared" si="168"/>
        <v>2024</v>
      </c>
      <c r="M3592" t="str">
        <f t="shared" si="169"/>
        <v>Feb</v>
      </c>
      <c r="N3592" s="2">
        <f t="shared" si="170"/>
        <v>0.1411584618747061</v>
      </c>
    </row>
    <row r="3593" spans="1:14" x14ac:dyDescent="0.45">
      <c r="A3593" t="s">
        <v>6580</v>
      </c>
      <c r="B3593" s="1">
        <v>44989</v>
      </c>
      <c r="C3593" t="s">
        <v>2043</v>
      </c>
      <c r="D3593" t="s">
        <v>13</v>
      </c>
      <c r="E3593" t="s">
        <v>14</v>
      </c>
      <c r="F3593" t="s">
        <v>32</v>
      </c>
      <c r="G3593">
        <v>3</v>
      </c>
      <c r="H3593">
        <v>26170.99</v>
      </c>
      <c r="I3593">
        <v>1410.46</v>
      </c>
      <c r="J3593" t="s">
        <v>22</v>
      </c>
      <c r="K3593" t="s">
        <v>23</v>
      </c>
      <c r="L3593">
        <f t="shared" si="168"/>
        <v>2023</v>
      </c>
      <c r="M3593" t="str">
        <f t="shared" si="169"/>
        <v>Mar</v>
      </c>
      <c r="N3593" s="2">
        <f t="shared" si="170"/>
        <v>5.3894025407521841E-2</v>
      </c>
    </row>
    <row r="3594" spans="1:14" x14ac:dyDescent="0.45">
      <c r="A3594" t="s">
        <v>6581</v>
      </c>
      <c r="B3594" s="1">
        <v>45481</v>
      </c>
      <c r="C3594" t="s">
        <v>6582</v>
      </c>
      <c r="D3594" t="s">
        <v>56</v>
      </c>
      <c r="E3594" t="s">
        <v>14</v>
      </c>
      <c r="F3594" t="s">
        <v>32</v>
      </c>
      <c r="G3594">
        <v>1</v>
      </c>
      <c r="H3594">
        <v>4778.8500000000004</v>
      </c>
      <c r="I3594">
        <v>1010.03</v>
      </c>
      <c r="J3594" t="s">
        <v>28</v>
      </c>
      <c r="K3594" t="s">
        <v>29</v>
      </c>
      <c r="L3594">
        <f t="shared" si="168"/>
        <v>2024</v>
      </c>
      <c r="M3594" t="str">
        <f t="shared" si="169"/>
        <v>Jul</v>
      </c>
      <c r="N3594" s="2">
        <f t="shared" si="170"/>
        <v>0.21135419609320233</v>
      </c>
    </row>
    <row r="3595" spans="1:14" x14ac:dyDescent="0.45">
      <c r="A3595" t="s">
        <v>6583</v>
      </c>
      <c r="B3595" s="1">
        <v>45099</v>
      </c>
      <c r="C3595" t="s">
        <v>1700</v>
      </c>
      <c r="D3595" t="s">
        <v>56</v>
      </c>
      <c r="E3595" t="s">
        <v>14</v>
      </c>
      <c r="F3595" t="s">
        <v>40</v>
      </c>
      <c r="G3595">
        <v>4</v>
      </c>
      <c r="H3595">
        <v>24534.49</v>
      </c>
      <c r="I3595">
        <v>5210.6499999999996</v>
      </c>
      <c r="J3595" t="s">
        <v>16</v>
      </c>
      <c r="K3595" t="s">
        <v>17</v>
      </c>
      <c r="L3595">
        <f t="shared" si="168"/>
        <v>2023</v>
      </c>
      <c r="M3595" t="str">
        <f t="shared" si="169"/>
        <v>Jun</v>
      </c>
      <c r="N3595" s="2">
        <f t="shared" si="170"/>
        <v>0.21238061194669217</v>
      </c>
    </row>
    <row r="3596" spans="1:14" x14ac:dyDescent="0.45">
      <c r="A3596" t="s">
        <v>6584</v>
      </c>
      <c r="B3596" s="1">
        <v>45629</v>
      </c>
      <c r="C3596" t="s">
        <v>6585</v>
      </c>
      <c r="D3596" t="s">
        <v>13</v>
      </c>
      <c r="E3596" t="s">
        <v>36</v>
      </c>
      <c r="F3596" t="s">
        <v>53</v>
      </c>
      <c r="G3596">
        <v>5</v>
      </c>
      <c r="H3596">
        <v>31891.93</v>
      </c>
      <c r="I3596">
        <v>4522.3100000000004</v>
      </c>
      <c r="J3596" t="s">
        <v>22</v>
      </c>
      <c r="K3596" t="s">
        <v>29</v>
      </c>
      <c r="L3596">
        <f t="shared" si="168"/>
        <v>2024</v>
      </c>
      <c r="M3596" t="str">
        <f t="shared" si="169"/>
        <v>Dec</v>
      </c>
      <c r="N3596" s="2">
        <f t="shared" si="170"/>
        <v>0.14180107632244271</v>
      </c>
    </row>
    <row r="3597" spans="1:14" x14ac:dyDescent="0.45">
      <c r="A3597" t="s">
        <v>6586</v>
      </c>
      <c r="B3597" s="1">
        <v>44789</v>
      </c>
      <c r="C3597" t="s">
        <v>6587</v>
      </c>
      <c r="D3597" t="s">
        <v>13</v>
      </c>
      <c r="E3597" t="s">
        <v>14</v>
      </c>
      <c r="F3597" t="s">
        <v>15</v>
      </c>
      <c r="G3597">
        <v>3</v>
      </c>
      <c r="H3597">
        <v>43435.85</v>
      </c>
      <c r="I3597">
        <v>10820.79</v>
      </c>
      <c r="J3597" t="s">
        <v>22</v>
      </c>
      <c r="K3597" t="s">
        <v>17</v>
      </c>
      <c r="L3597">
        <f t="shared" si="168"/>
        <v>2022</v>
      </c>
      <c r="M3597" t="str">
        <f t="shared" si="169"/>
        <v>Aug</v>
      </c>
      <c r="N3597" s="2">
        <f t="shared" si="170"/>
        <v>0.24912117525039804</v>
      </c>
    </row>
    <row r="3598" spans="1:14" x14ac:dyDescent="0.45">
      <c r="A3598" t="s">
        <v>6588</v>
      </c>
      <c r="B3598" s="1">
        <v>45371</v>
      </c>
      <c r="C3598" t="s">
        <v>6589</v>
      </c>
      <c r="D3598" t="s">
        <v>13</v>
      </c>
      <c r="E3598" t="s">
        <v>20</v>
      </c>
      <c r="F3598" t="s">
        <v>50</v>
      </c>
      <c r="G3598">
        <v>1</v>
      </c>
      <c r="H3598">
        <v>43606.61</v>
      </c>
      <c r="I3598">
        <v>5269.39</v>
      </c>
      <c r="J3598" t="s">
        <v>71</v>
      </c>
      <c r="K3598" t="s">
        <v>23</v>
      </c>
      <c r="L3598">
        <f t="shared" si="168"/>
        <v>2024</v>
      </c>
      <c r="M3598" t="str">
        <f t="shared" si="169"/>
        <v>Mar</v>
      </c>
      <c r="N3598" s="2">
        <f t="shared" si="170"/>
        <v>0.12083924891203421</v>
      </c>
    </row>
    <row r="3599" spans="1:14" x14ac:dyDescent="0.45">
      <c r="A3599" t="s">
        <v>6590</v>
      </c>
      <c r="B3599" s="1">
        <v>45552</v>
      </c>
      <c r="C3599" t="s">
        <v>6591</v>
      </c>
      <c r="D3599" t="s">
        <v>56</v>
      </c>
      <c r="E3599" t="s">
        <v>36</v>
      </c>
      <c r="F3599" t="s">
        <v>37</v>
      </c>
      <c r="G3599">
        <v>1</v>
      </c>
      <c r="H3599">
        <v>3163.81</v>
      </c>
      <c r="I3599">
        <v>728.51</v>
      </c>
      <c r="J3599" t="s">
        <v>22</v>
      </c>
      <c r="K3599" t="s">
        <v>33</v>
      </c>
      <c r="L3599">
        <f t="shared" si="168"/>
        <v>2024</v>
      </c>
      <c r="M3599" t="str">
        <f t="shared" si="169"/>
        <v>Sep</v>
      </c>
      <c r="N3599" s="2">
        <f t="shared" si="170"/>
        <v>0.23026351139923068</v>
      </c>
    </row>
    <row r="3600" spans="1:14" x14ac:dyDescent="0.45">
      <c r="A3600" t="s">
        <v>6592</v>
      </c>
      <c r="B3600" s="1">
        <v>45541</v>
      </c>
      <c r="C3600" t="s">
        <v>6593</v>
      </c>
      <c r="D3600" t="s">
        <v>13</v>
      </c>
      <c r="E3600" t="s">
        <v>20</v>
      </c>
      <c r="F3600" t="s">
        <v>50</v>
      </c>
      <c r="G3600">
        <v>2</v>
      </c>
      <c r="H3600">
        <v>29726.77</v>
      </c>
      <c r="I3600">
        <v>2742.58</v>
      </c>
      <c r="J3600" t="s">
        <v>28</v>
      </c>
      <c r="K3600" t="s">
        <v>29</v>
      </c>
      <c r="L3600">
        <f t="shared" si="168"/>
        <v>2024</v>
      </c>
      <c r="M3600" t="str">
        <f t="shared" si="169"/>
        <v>Sep</v>
      </c>
      <c r="N3600" s="2">
        <f t="shared" si="170"/>
        <v>9.2259603044663102E-2</v>
      </c>
    </row>
    <row r="3601" spans="1:14" x14ac:dyDescent="0.45">
      <c r="A3601" t="s">
        <v>6594</v>
      </c>
      <c r="B3601" s="1">
        <v>44784</v>
      </c>
      <c r="C3601" t="s">
        <v>6595</v>
      </c>
      <c r="D3601" t="s">
        <v>26</v>
      </c>
      <c r="E3601" t="s">
        <v>20</v>
      </c>
      <c r="F3601" t="s">
        <v>21</v>
      </c>
      <c r="G3601">
        <v>4</v>
      </c>
      <c r="H3601">
        <v>48463.02</v>
      </c>
      <c r="I3601">
        <v>2775.04</v>
      </c>
      <c r="J3601" t="s">
        <v>71</v>
      </c>
      <c r="K3601" t="s">
        <v>17</v>
      </c>
      <c r="L3601">
        <f t="shared" si="168"/>
        <v>2022</v>
      </c>
      <c r="M3601" t="str">
        <f t="shared" si="169"/>
        <v>Aug</v>
      </c>
      <c r="N3601" s="2">
        <f t="shared" si="170"/>
        <v>5.7260979608782119E-2</v>
      </c>
    </row>
    <row r="3602" spans="1:14" x14ac:dyDescent="0.45">
      <c r="A3602" t="s">
        <v>6596</v>
      </c>
      <c r="B3602" s="1">
        <v>44826</v>
      </c>
      <c r="C3602" t="s">
        <v>6597</v>
      </c>
      <c r="D3602" t="s">
        <v>26</v>
      </c>
      <c r="E3602" t="s">
        <v>14</v>
      </c>
      <c r="F3602" t="s">
        <v>57</v>
      </c>
      <c r="G3602">
        <v>2</v>
      </c>
      <c r="H3602">
        <v>45553.88</v>
      </c>
      <c r="I3602">
        <v>8227.31</v>
      </c>
      <c r="J3602" t="s">
        <v>71</v>
      </c>
      <c r="K3602" t="s">
        <v>23</v>
      </c>
      <c r="L3602">
        <f t="shared" si="168"/>
        <v>2022</v>
      </c>
      <c r="M3602" t="str">
        <f t="shared" si="169"/>
        <v>Sep</v>
      </c>
      <c r="N3602" s="2">
        <f t="shared" si="170"/>
        <v>0.18060613058646158</v>
      </c>
    </row>
    <row r="3603" spans="1:14" x14ac:dyDescent="0.45">
      <c r="A3603" t="s">
        <v>6598</v>
      </c>
      <c r="B3603" s="1">
        <v>45541</v>
      </c>
      <c r="C3603" t="s">
        <v>2793</v>
      </c>
      <c r="D3603" t="s">
        <v>56</v>
      </c>
      <c r="E3603" t="s">
        <v>14</v>
      </c>
      <c r="F3603" t="s">
        <v>15</v>
      </c>
      <c r="G3603">
        <v>3</v>
      </c>
      <c r="H3603">
        <v>43747.71</v>
      </c>
      <c r="I3603">
        <v>9988.39</v>
      </c>
      <c r="J3603" t="s">
        <v>16</v>
      </c>
      <c r="K3603" t="s">
        <v>23</v>
      </c>
      <c r="L3603">
        <f t="shared" si="168"/>
        <v>2024</v>
      </c>
      <c r="M3603" t="str">
        <f t="shared" si="169"/>
        <v>Sep</v>
      </c>
      <c r="N3603" s="2">
        <f t="shared" si="170"/>
        <v>0.22831800795973092</v>
      </c>
    </row>
    <row r="3604" spans="1:14" x14ac:dyDescent="0.45">
      <c r="A3604" t="s">
        <v>6599</v>
      </c>
      <c r="B3604" s="1">
        <v>45506</v>
      </c>
      <c r="C3604" t="s">
        <v>6600</v>
      </c>
      <c r="D3604" t="s">
        <v>13</v>
      </c>
      <c r="E3604" t="s">
        <v>36</v>
      </c>
      <c r="F3604" t="s">
        <v>46</v>
      </c>
      <c r="G3604">
        <v>4</v>
      </c>
      <c r="H3604">
        <v>2871.4</v>
      </c>
      <c r="I3604">
        <v>578.52</v>
      </c>
      <c r="J3604" t="s">
        <v>22</v>
      </c>
      <c r="K3604" t="s">
        <v>17</v>
      </c>
      <c r="L3604">
        <f t="shared" si="168"/>
        <v>2024</v>
      </c>
      <c r="M3604" t="str">
        <f t="shared" si="169"/>
        <v>Aug</v>
      </c>
      <c r="N3604" s="2">
        <f t="shared" si="170"/>
        <v>0.2014766316082747</v>
      </c>
    </row>
    <row r="3605" spans="1:14" x14ac:dyDescent="0.45">
      <c r="A3605" t="s">
        <v>6601</v>
      </c>
      <c r="B3605" s="1">
        <v>45302</v>
      </c>
      <c r="C3605" t="s">
        <v>6602</v>
      </c>
      <c r="D3605" t="s">
        <v>56</v>
      </c>
      <c r="E3605" t="s">
        <v>36</v>
      </c>
      <c r="F3605" t="s">
        <v>53</v>
      </c>
      <c r="G3605">
        <v>1</v>
      </c>
      <c r="H3605">
        <v>37723.49</v>
      </c>
      <c r="I3605">
        <v>6430.94</v>
      </c>
      <c r="J3605" t="s">
        <v>71</v>
      </c>
      <c r="K3605" t="s">
        <v>17</v>
      </c>
      <c r="L3605">
        <f t="shared" si="168"/>
        <v>2024</v>
      </c>
      <c r="M3605" t="str">
        <f t="shared" si="169"/>
        <v>Jan</v>
      </c>
      <c r="N3605" s="2">
        <f t="shared" si="170"/>
        <v>0.17047574336308757</v>
      </c>
    </row>
    <row r="3606" spans="1:14" x14ac:dyDescent="0.45">
      <c r="A3606" t="s">
        <v>6603</v>
      </c>
      <c r="B3606" s="1">
        <v>44872</v>
      </c>
      <c r="C3606" t="s">
        <v>1522</v>
      </c>
      <c r="D3606" t="s">
        <v>56</v>
      </c>
      <c r="E3606" t="s">
        <v>20</v>
      </c>
      <c r="F3606" t="s">
        <v>21</v>
      </c>
      <c r="G3606">
        <v>3</v>
      </c>
      <c r="H3606">
        <v>8636.15</v>
      </c>
      <c r="I3606">
        <v>1682.51</v>
      </c>
      <c r="J3606" t="s">
        <v>47</v>
      </c>
      <c r="K3606" t="s">
        <v>29</v>
      </c>
      <c r="L3606">
        <f t="shared" si="168"/>
        <v>2022</v>
      </c>
      <c r="M3606" t="str">
        <f t="shared" si="169"/>
        <v>Nov</v>
      </c>
      <c r="N3606" s="2">
        <f t="shared" si="170"/>
        <v>0.19482176664370118</v>
      </c>
    </row>
    <row r="3607" spans="1:14" x14ac:dyDescent="0.45">
      <c r="A3607" t="s">
        <v>6604</v>
      </c>
      <c r="B3607" s="1">
        <v>45406</v>
      </c>
      <c r="C3607" t="s">
        <v>6605</v>
      </c>
      <c r="D3607" t="s">
        <v>26</v>
      </c>
      <c r="E3607" t="s">
        <v>20</v>
      </c>
      <c r="F3607" t="s">
        <v>27</v>
      </c>
      <c r="G3607">
        <v>3</v>
      </c>
      <c r="H3607">
        <v>42289.68</v>
      </c>
      <c r="I3607">
        <v>8020.53</v>
      </c>
      <c r="J3607" t="s">
        <v>71</v>
      </c>
      <c r="K3607" t="s">
        <v>17</v>
      </c>
      <c r="L3607">
        <f t="shared" si="168"/>
        <v>2024</v>
      </c>
      <c r="M3607" t="str">
        <f t="shared" si="169"/>
        <v>Apr</v>
      </c>
      <c r="N3607" s="2">
        <f t="shared" si="170"/>
        <v>0.1896569092033801</v>
      </c>
    </row>
    <row r="3608" spans="1:14" x14ac:dyDescent="0.45">
      <c r="A3608" t="s">
        <v>6606</v>
      </c>
      <c r="B3608" s="1">
        <v>44989</v>
      </c>
      <c r="C3608" t="s">
        <v>6607</v>
      </c>
      <c r="D3608" t="s">
        <v>56</v>
      </c>
      <c r="E3608" t="s">
        <v>36</v>
      </c>
      <c r="F3608" t="s">
        <v>37</v>
      </c>
      <c r="G3608">
        <v>3</v>
      </c>
      <c r="H3608">
        <v>695.2</v>
      </c>
      <c r="I3608">
        <v>79.790000000000006</v>
      </c>
      <c r="J3608" t="s">
        <v>22</v>
      </c>
      <c r="K3608" t="s">
        <v>23</v>
      </c>
      <c r="L3608">
        <f t="shared" si="168"/>
        <v>2023</v>
      </c>
      <c r="M3608" t="str">
        <f t="shared" si="169"/>
        <v>Mar</v>
      </c>
      <c r="N3608" s="2">
        <f t="shared" si="170"/>
        <v>0.11477272727272728</v>
      </c>
    </row>
    <row r="3609" spans="1:14" x14ac:dyDescent="0.45">
      <c r="A3609" t="s">
        <v>6608</v>
      </c>
      <c r="B3609" s="1">
        <v>45498</v>
      </c>
      <c r="C3609" t="s">
        <v>1040</v>
      </c>
      <c r="D3609" t="s">
        <v>26</v>
      </c>
      <c r="E3609" t="s">
        <v>14</v>
      </c>
      <c r="F3609" t="s">
        <v>57</v>
      </c>
      <c r="G3609">
        <v>2</v>
      </c>
      <c r="H3609">
        <v>26501.72</v>
      </c>
      <c r="I3609">
        <v>4885.08</v>
      </c>
      <c r="J3609" t="s">
        <v>47</v>
      </c>
      <c r="K3609" t="s">
        <v>17</v>
      </c>
      <c r="L3609">
        <f t="shared" si="168"/>
        <v>2024</v>
      </c>
      <c r="M3609" t="str">
        <f t="shared" si="169"/>
        <v>Jul</v>
      </c>
      <c r="N3609" s="2">
        <f t="shared" si="170"/>
        <v>0.18433067740508915</v>
      </c>
    </row>
    <row r="3610" spans="1:14" x14ac:dyDescent="0.45">
      <c r="A3610" t="s">
        <v>6609</v>
      </c>
      <c r="B3610" s="1">
        <v>44918</v>
      </c>
      <c r="C3610" t="s">
        <v>4601</v>
      </c>
      <c r="D3610" t="s">
        <v>13</v>
      </c>
      <c r="E3610" t="s">
        <v>36</v>
      </c>
      <c r="F3610" t="s">
        <v>37</v>
      </c>
      <c r="G3610">
        <v>4</v>
      </c>
      <c r="H3610">
        <v>29781.48</v>
      </c>
      <c r="I3610">
        <v>1866.24</v>
      </c>
      <c r="J3610" t="s">
        <v>28</v>
      </c>
      <c r="K3610" t="s">
        <v>23</v>
      </c>
      <c r="L3610">
        <f t="shared" si="168"/>
        <v>2022</v>
      </c>
      <c r="M3610" t="str">
        <f t="shared" si="169"/>
        <v>Dec</v>
      </c>
      <c r="N3610" s="2">
        <f t="shared" si="170"/>
        <v>6.2664447838052376E-2</v>
      </c>
    </row>
    <row r="3611" spans="1:14" x14ac:dyDescent="0.45">
      <c r="A3611" t="s">
        <v>6610</v>
      </c>
      <c r="B3611" s="1">
        <v>45050</v>
      </c>
      <c r="C3611" t="s">
        <v>6611</v>
      </c>
      <c r="D3611" t="s">
        <v>13</v>
      </c>
      <c r="E3611" t="s">
        <v>36</v>
      </c>
      <c r="F3611" t="s">
        <v>53</v>
      </c>
      <c r="G3611">
        <v>1</v>
      </c>
      <c r="H3611">
        <v>29856.13</v>
      </c>
      <c r="I3611">
        <v>1531.51</v>
      </c>
      <c r="J3611" t="s">
        <v>47</v>
      </c>
      <c r="K3611" t="s">
        <v>29</v>
      </c>
      <c r="L3611">
        <f t="shared" si="168"/>
        <v>2023</v>
      </c>
      <c r="M3611" t="str">
        <f t="shared" si="169"/>
        <v>May</v>
      </c>
      <c r="N3611" s="2">
        <f t="shared" si="170"/>
        <v>5.1296333449780664E-2</v>
      </c>
    </row>
    <row r="3612" spans="1:14" x14ac:dyDescent="0.45">
      <c r="A3612" t="s">
        <v>6612</v>
      </c>
      <c r="B3612" s="1">
        <v>45356</v>
      </c>
      <c r="C3612" t="s">
        <v>6613</v>
      </c>
      <c r="D3612" t="s">
        <v>26</v>
      </c>
      <c r="E3612" t="s">
        <v>14</v>
      </c>
      <c r="F3612" t="s">
        <v>15</v>
      </c>
      <c r="G3612">
        <v>1</v>
      </c>
      <c r="H3612">
        <v>15962.93</v>
      </c>
      <c r="I3612">
        <v>2853.5</v>
      </c>
      <c r="J3612" t="s">
        <v>28</v>
      </c>
      <c r="K3612" t="s">
        <v>23</v>
      </c>
      <c r="L3612">
        <f t="shared" si="168"/>
        <v>2024</v>
      </c>
      <c r="M3612" t="str">
        <f t="shared" si="169"/>
        <v>Mar</v>
      </c>
      <c r="N3612" s="2">
        <f t="shared" si="170"/>
        <v>0.17875790973211059</v>
      </c>
    </row>
    <row r="3613" spans="1:14" x14ac:dyDescent="0.45">
      <c r="A3613" t="s">
        <v>6614</v>
      </c>
      <c r="B3613" s="1">
        <v>45325</v>
      </c>
      <c r="C3613" t="s">
        <v>6615</v>
      </c>
      <c r="D3613" t="s">
        <v>13</v>
      </c>
      <c r="E3613" t="s">
        <v>14</v>
      </c>
      <c r="F3613" t="s">
        <v>57</v>
      </c>
      <c r="G3613">
        <v>4</v>
      </c>
      <c r="H3613">
        <v>23195.53</v>
      </c>
      <c r="I3613">
        <v>2317.81</v>
      </c>
      <c r="J3613" t="s">
        <v>71</v>
      </c>
      <c r="K3613" t="s">
        <v>23</v>
      </c>
      <c r="L3613">
        <f t="shared" si="168"/>
        <v>2024</v>
      </c>
      <c r="M3613" t="str">
        <f t="shared" si="169"/>
        <v>Feb</v>
      </c>
      <c r="N3613" s="2">
        <f t="shared" si="170"/>
        <v>9.9924856211520072E-2</v>
      </c>
    </row>
    <row r="3614" spans="1:14" x14ac:dyDescent="0.45">
      <c r="A3614" t="s">
        <v>6616</v>
      </c>
      <c r="B3614" s="1">
        <v>44783</v>
      </c>
      <c r="C3614" t="s">
        <v>6617</v>
      </c>
      <c r="D3614" t="s">
        <v>56</v>
      </c>
      <c r="E3614" t="s">
        <v>20</v>
      </c>
      <c r="F3614" t="s">
        <v>21</v>
      </c>
      <c r="G3614">
        <v>5</v>
      </c>
      <c r="H3614">
        <v>38321.480000000003</v>
      </c>
      <c r="I3614">
        <v>7801.97</v>
      </c>
      <c r="J3614" t="s">
        <v>28</v>
      </c>
      <c r="K3614" t="s">
        <v>23</v>
      </c>
      <c r="L3614">
        <f t="shared" si="168"/>
        <v>2022</v>
      </c>
      <c r="M3614" t="str">
        <f t="shared" si="169"/>
        <v>Aug</v>
      </c>
      <c r="N3614" s="2">
        <f t="shared" si="170"/>
        <v>0.20359260654859884</v>
      </c>
    </row>
    <row r="3615" spans="1:14" x14ac:dyDescent="0.45">
      <c r="A3615" t="s">
        <v>6618</v>
      </c>
      <c r="B3615" s="1">
        <v>45523</v>
      </c>
      <c r="C3615" t="s">
        <v>6619</v>
      </c>
      <c r="D3615" t="s">
        <v>26</v>
      </c>
      <c r="E3615" t="s">
        <v>14</v>
      </c>
      <c r="F3615" t="s">
        <v>57</v>
      </c>
      <c r="G3615">
        <v>2</v>
      </c>
      <c r="H3615">
        <v>22487.62</v>
      </c>
      <c r="I3615">
        <v>1659.69</v>
      </c>
      <c r="J3615" t="s">
        <v>47</v>
      </c>
      <c r="K3615" t="s">
        <v>23</v>
      </c>
      <c r="L3615">
        <f t="shared" si="168"/>
        <v>2024</v>
      </c>
      <c r="M3615" t="str">
        <f t="shared" si="169"/>
        <v>Aug</v>
      </c>
      <c r="N3615" s="2">
        <f t="shared" si="170"/>
        <v>7.3804608935938987E-2</v>
      </c>
    </row>
    <row r="3616" spans="1:14" x14ac:dyDescent="0.45">
      <c r="A3616" t="s">
        <v>6620</v>
      </c>
      <c r="B3616" s="1">
        <v>45015</v>
      </c>
      <c r="C3616" t="s">
        <v>6621</v>
      </c>
      <c r="D3616" t="s">
        <v>13</v>
      </c>
      <c r="E3616" t="s">
        <v>36</v>
      </c>
      <c r="F3616" t="s">
        <v>37</v>
      </c>
      <c r="G3616">
        <v>3</v>
      </c>
      <c r="H3616">
        <v>842.39</v>
      </c>
      <c r="I3616">
        <v>58.11</v>
      </c>
      <c r="J3616" t="s">
        <v>16</v>
      </c>
      <c r="K3616" t="s">
        <v>29</v>
      </c>
      <c r="L3616">
        <f t="shared" si="168"/>
        <v>2023</v>
      </c>
      <c r="M3616" t="str">
        <f t="shared" si="169"/>
        <v>Mar</v>
      </c>
      <c r="N3616" s="2">
        <f t="shared" si="170"/>
        <v>6.8982300359690885E-2</v>
      </c>
    </row>
    <row r="3617" spans="1:14" x14ac:dyDescent="0.45">
      <c r="A3617" t="s">
        <v>6622</v>
      </c>
      <c r="B3617" s="1">
        <v>45379</v>
      </c>
      <c r="C3617" t="s">
        <v>6623</v>
      </c>
      <c r="D3617" t="s">
        <v>26</v>
      </c>
      <c r="E3617" t="s">
        <v>20</v>
      </c>
      <c r="F3617" t="s">
        <v>43</v>
      </c>
      <c r="G3617">
        <v>1</v>
      </c>
      <c r="H3617">
        <v>44349.58</v>
      </c>
      <c r="I3617">
        <v>10812.25</v>
      </c>
      <c r="J3617" t="s">
        <v>71</v>
      </c>
      <c r="K3617" t="s">
        <v>17</v>
      </c>
      <c r="L3617">
        <f t="shared" si="168"/>
        <v>2024</v>
      </c>
      <c r="M3617" t="str">
        <f t="shared" si="169"/>
        <v>Mar</v>
      </c>
      <c r="N3617" s="2">
        <f t="shared" si="170"/>
        <v>0.24379599536230107</v>
      </c>
    </row>
    <row r="3618" spans="1:14" x14ac:dyDescent="0.45">
      <c r="A3618" t="s">
        <v>6624</v>
      </c>
      <c r="B3618" s="1">
        <v>45373</v>
      </c>
      <c r="C3618" t="s">
        <v>2654</v>
      </c>
      <c r="D3618" t="s">
        <v>56</v>
      </c>
      <c r="E3618" t="s">
        <v>20</v>
      </c>
      <c r="F3618" t="s">
        <v>50</v>
      </c>
      <c r="G3618">
        <v>2</v>
      </c>
      <c r="H3618">
        <v>28992.82</v>
      </c>
      <c r="I3618">
        <v>6536.21</v>
      </c>
      <c r="J3618" t="s">
        <v>28</v>
      </c>
      <c r="K3618" t="s">
        <v>33</v>
      </c>
      <c r="L3618">
        <f t="shared" si="168"/>
        <v>2024</v>
      </c>
      <c r="M3618" t="str">
        <f t="shared" si="169"/>
        <v>Mar</v>
      </c>
      <c r="N3618" s="2">
        <f t="shared" si="170"/>
        <v>0.22544236814494073</v>
      </c>
    </row>
    <row r="3619" spans="1:14" x14ac:dyDescent="0.45">
      <c r="A3619" t="s">
        <v>6625</v>
      </c>
      <c r="B3619" s="1">
        <v>44743</v>
      </c>
      <c r="C3619" t="s">
        <v>2122</v>
      </c>
      <c r="D3619" t="s">
        <v>26</v>
      </c>
      <c r="E3619" t="s">
        <v>36</v>
      </c>
      <c r="F3619" t="s">
        <v>37</v>
      </c>
      <c r="G3619">
        <v>4</v>
      </c>
      <c r="H3619">
        <v>34492.19</v>
      </c>
      <c r="I3619">
        <v>4019.63</v>
      </c>
      <c r="J3619" t="s">
        <v>16</v>
      </c>
      <c r="K3619" t="s">
        <v>17</v>
      </c>
      <c r="L3619">
        <f t="shared" si="168"/>
        <v>2022</v>
      </c>
      <c r="M3619" t="str">
        <f t="shared" si="169"/>
        <v>Jul</v>
      </c>
      <c r="N3619" s="2">
        <f t="shared" si="170"/>
        <v>0.11653739585685918</v>
      </c>
    </row>
    <row r="3620" spans="1:14" x14ac:dyDescent="0.45">
      <c r="A3620" t="s">
        <v>6626</v>
      </c>
      <c r="B3620" s="1">
        <v>44913</v>
      </c>
      <c r="C3620" t="s">
        <v>1266</v>
      </c>
      <c r="D3620" t="s">
        <v>56</v>
      </c>
      <c r="E3620" t="s">
        <v>36</v>
      </c>
      <c r="F3620" t="s">
        <v>64</v>
      </c>
      <c r="G3620">
        <v>2</v>
      </c>
      <c r="H3620">
        <v>21056.46</v>
      </c>
      <c r="I3620">
        <v>4172.5</v>
      </c>
      <c r="J3620" t="s">
        <v>22</v>
      </c>
      <c r="K3620" t="s">
        <v>17</v>
      </c>
      <c r="L3620">
        <f t="shared" si="168"/>
        <v>2022</v>
      </c>
      <c r="M3620" t="str">
        <f t="shared" si="169"/>
        <v>Dec</v>
      </c>
      <c r="N3620" s="2">
        <f t="shared" si="170"/>
        <v>0.1981577150195237</v>
      </c>
    </row>
    <row r="3621" spans="1:14" x14ac:dyDescent="0.45">
      <c r="A3621" t="s">
        <v>6627</v>
      </c>
      <c r="B3621" s="1">
        <v>44950</v>
      </c>
      <c r="C3621" t="s">
        <v>6628</v>
      </c>
      <c r="D3621" t="s">
        <v>26</v>
      </c>
      <c r="E3621" t="s">
        <v>14</v>
      </c>
      <c r="F3621" t="s">
        <v>40</v>
      </c>
      <c r="G3621">
        <v>4</v>
      </c>
      <c r="H3621">
        <v>21396.1</v>
      </c>
      <c r="I3621">
        <v>3633.57</v>
      </c>
      <c r="J3621" t="s">
        <v>16</v>
      </c>
      <c r="K3621" t="s">
        <v>33</v>
      </c>
      <c r="L3621">
        <f t="shared" si="168"/>
        <v>2023</v>
      </c>
      <c r="M3621" t="str">
        <f t="shared" si="169"/>
        <v>Jan</v>
      </c>
      <c r="N3621" s="2">
        <f t="shared" si="170"/>
        <v>0.16982393987689348</v>
      </c>
    </row>
    <row r="3622" spans="1:14" x14ac:dyDescent="0.45">
      <c r="A3622" t="s">
        <v>6629</v>
      </c>
      <c r="B3622" s="1">
        <v>44721</v>
      </c>
      <c r="C3622" t="s">
        <v>1298</v>
      </c>
      <c r="D3622" t="s">
        <v>13</v>
      </c>
      <c r="E3622" t="s">
        <v>14</v>
      </c>
      <c r="F3622" t="s">
        <v>57</v>
      </c>
      <c r="G3622">
        <v>1</v>
      </c>
      <c r="H3622">
        <v>2798.84</v>
      </c>
      <c r="I3622">
        <v>447.34</v>
      </c>
      <c r="J3622" t="s">
        <v>22</v>
      </c>
      <c r="K3622" t="s">
        <v>23</v>
      </c>
      <c r="L3622">
        <f t="shared" si="168"/>
        <v>2022</v>
      </c>
      <c r="M3622" t="str">
        <f t="shared" si="169"/>
        <v>Jun</v>
      </c>
      <c r="N3622" s="2">
        <f t="shared" si="170"/>
        <v>0.15983050120764314</v>
      </c>
    </row>
    <row r="3623" spans="1:14" x14ac:dyDescent="0.45">
      <c r="A3623" t="s">
        <v>6630</v>
      </c>
      <c r="B3623" s="1">
        <v>44637</v>
      </c>
      <c r="C3623" t="s">
        <v>6131</v>
      </c>
      <c r="D3623" t="s">
        <v>13</v>
      </c>
      <c r="E3623" t="s">
        <v>20</v>
      </c>
      <c r="F3623" t="s">
        <v>21</v>
      </c>
      <c r="G3623">
        <v>3</v>
      </c>
      <c r="H3623">
        <v>44884.62</v>
      </c>
      <c r="I3623">
        <v>10484.6</v>
      </c>
      <c r="J3623" t="s">
        <v>71</v>
      </c>
      <c r="K3623" t="s">
        <v>17</v>
      </c>
      <c r="L3623">
        <f t="shared" si="168"/>
        <v>2022</v>
      </c>
      <c r="M3623" t="str">
        <f t="shared" si="169"/>
        <v>Mar</v>
      </c>
      <c r="N3623" s="2">
        <f t="shared" si="170"/>
        <v>0.23359003596332106</v>
      </c>
    </row>
    <row r="3624" spans="1:14" x14ac:dyDescent="0.45">
      <c r="A3624" t="s">
        <v>6631</v>
      </c>
      <c r="B3624" s="1">
        <v>45115</v>
      </c>
      <c r="C3624" t="s">
        <v>6107</v>
      </c>
      <c r="D3624" t="s">
        <v>56</v>
      </c>
      <c r="E3624" t="s">
        <v>14</v>
      </c>
      <c r="F3624" t="s">
        <v>15</v>
      </c>
      <c r="G3624">
        <v>5</v>
      </c>
      <c r="H3624">
        <v>8790.2800000000007</v>
      </c>
      <c r="I3624">
        <v>1102.5999999999999</v>
      </c>
      <c r="J3624" t="s">
        <v>47</v>
      </c>
      <c r="K3624" t="s">
        <v>29</v>
      </c>
      <c r="L3624">
        <f t="shared" si="168"/>
        <v>2023</v>
      </c>
      <c r="M3624" t="str">
        <f t="shared" si="169"/>
        <v>Jul</v>
      </c>
      <c r="N3624" s="2">
        <f t="shared" si="170"/>
        <v>0.12543400210232208</v>
      </c>
    </row>
    <row r="3625" spans="1:14" x14ac:dyDescent="0.45">
      <c r="A3625" t="s">
        <v>6632</v>
      </c>
      <c r="B3625" s="1">
        <v>44672</v>
      </c>
      <c r="C3625" t="s">
        <v>6633</v>
      </c>
      <c r="D3625" t="s">
        <v>26</v>
      </c>
      <c r="E3625" t="s">
        <v>20</v>
      </c>
      <c r="F3625" t="s">
        <v>27</v>
      </c>
      <c r="G3625">
        <v>2</v>
      </c>
      <c r="H3625">
        <v>22531.24</v>
      </c>
      <c r="I3625">
        <v>2084.5</v>
      </c>
      <c r="J3625" t="s">
        <v>47</v>
      </c>
      <c r="K3625" t="s">
        <v>17</v>
      </c>
      <c r="L3625">
        <f t="shared" si="168"/>
        <v>2022</v>
      </c>
      <c r="M3625" t="str">
        <f t="shared" si="169"/>
        <v>Apr</v>
      </c>
      <c r="N3625" s="2">
        <f t="shared" si="170"/>
        <v>9.2515991130536976E-2</v>
      </c>
    </row>
    <row r="3626" spans="1:14" x14ac:dyDescent="0.45">
      <c r="A3626" t="s">
        <v>6634</v>
      </c>
      <c r="B3626" s="1">
        <v>45220</v>
      </c>
      <c r="C3626" t="s">
        <v>4322</v>
      </c>
      <c r="D3626" t="s">
        <v>56</v>
      </c>
      <c r="E3626" t="s">
        <v>36</v>
      </c>
      <c r="F3626" t="s">
        <v>64</v>
      </c>
      <c r="G3626">
        <v>3</v>
      </c>
      <c r="H3626">
        <v>13479.68</v>
      </c>
      <c r="I3626">
        <v>2636.21</v>
      </c>
      <c r="J3626" t="s">
        <v>47</v>
      </c>
      <c r="K3626" t="s">
        <v>33</v>
      </c>
      <c r="L3626">
        <f t="shared" si="168"/>
        <v>2023</v>
      </c>
      <c r="M3626" t="str">
        <f t="shared" si="169"/>
        <v>Oct</v>
      </c>
      <c r="N3626" s="2">
        <f t="shared" si="170"/>
        <v>0.1955691826512202</v>
      </c>
    </row>
    <row r="3627" spans="1:14" x14ac:dyDescent="0.45">
      <c r="A3627" t="s">
        <v>6635</v>
      </c>
      <c r="B3627" s="1">
        <v>45457</v>
      </c>
      <c r="C3627" t="s">
        <v>6636</v>
      </c>
      <c r="D3627" t="s">
        <v>26</v>
      </c>
      <c r="E3627" t="s">
        <v>14</v>
      </c>
      <c r="F3627" t="s">
        <v>15</v>
      </c>
      <c r="G3627">
        <v>1</v>
      </c>
      <c r="H3627">
        <v>22882.01</v>
      </c>
      <c r="I3627">
        <v>2356.63</v>
      </c>
      <c r="J3627" t="s">
        <v>28</v>
      </c>
      <c r="K3627" t="s">
        <v>17</v>
      </c>
      <c r="L3627">
        <f t="shared" si="168"/>
        <v>2024</v>
      </c>
      <c r="M3627" t="str">
        <f t="shared" si="169"/>
        <v>Jun</v>
      </c>
      <c r="N3627" s="2">
        <f t="shared" si="170"/>
        <v>0.10299051525630835</v>
      </c>
    </row>
    <row r="3628" spans="1:14" x14ac:dyDescent="0.45">
      <c r="A3628" t="s">
        <v>6637</v>
      </c>
      <c r="B3628" s="1">
        <v>45656</v>
      </c>
      <c r="C3628" t="s">
        <v>6638</v>
      </c>
      <c r="D3628" t="s">
        <v>26</v>
      </c>
      <c r="E3628" t="s">
        <v>36</v>
      </c>
      <c r="F3628" t="s">
        <v>64</v>
      </c>
      <c r="G3628">
        <v>4</v>
      </c>
      <c r="H3628">
        <v>8453.44</v>
      </c>
      <c r="I3628">
        <v>1538.73</v>
      </c>
      <c r="J3628" t="s">
        <v>22</v>
      </c>
      <c r="K3628" t="s">
        <v>33</v>
      </c>
      <c r="L3628">
        <f t="shared" si="168"/>
        <v>2024</v>
      </c>
      <c r="M3628" t="str">
        <f t="shared" si="169"/>
        <v>Dec</v>
      </c>
      <c r="N3628" s="2">
        <f t="shared" si="170"/>
        <v>0.18202412272400348</v>
      </c>
    </row>
    <row r="3629" spans="1:14" x14ac:dyDescent="0.45">
      <c r="A3629" t="s">
        <v>6639</v>
      </c>
      <c r="B3629" s="1">
        <v>45431</v>
      </c>
      <c r="C3629" t="s">
        <v>2366</v>
      </c>
      <c r="D3629" t="s">
        <v>56</v>
      </c>
      <c r="E3629" t="s">
        <v>20</v>
      </c>
      <c r="F3629" t="s">
        <v>50</v>
      </c>
      <c r="G3629">
        <v>5</v>
      </c>
      <c r="H3629">
        <v>9189.09</v>
      </c>
      <c r="I3629">
        <v>2095.52</v>
      </c>
      <c r="J3629" t="s">
        <v>28</v>
      </c>
      <c r="K3629" t="s">
        <v>29</v>
      </c>
      <c r="L3629">
        <f t="shared" si="168"/>
        <v>2024</v>
      </c>
      <c r="M3629" t="str">
        <f t="shared" si="169"/>
        <v>May</v>
      </c>
      <c r="N3629" s="2">
        <f t="shared" si="170"/>
        <v>0.22804434389041786</v>
      </c>
    </row>
    <row r="3630" spans="1:14" x14ac:dyDescent="0.45">
      <c r="A3630" t="s">
        <v>6640</v>
      </c>
      <c r="B3630" s="1">
        <v>45643</v>
      </c>
      <c r="C3630" t="s">
        <v>3926</v>
      </c>
      <c r="D3630" t="s">
        <v>56</v>
      </c>
      <c r="E3630" t="s">
        <v>36</v>
      </c>
      <c r="F3630" t="s">
        <v>46</v>
      </c>
      <c r="G3630">
        <v>3</v>
      </c>
      <c r="H3630">
        <v>20597.830000000002</v>
      </c>
      <c r="I3630">
        <v>4508.7299999999996</v>
      </c>
      <c r="J3630" t="s">
        <v>47</v>
      </c>
      <c r="K3630" t="s">
        <v>17</v>
      </c>
      <c r="L3630">
        <f t="shared" si="168"/>
        <v>2024</v>
      </c>
      <c r="M3630" t="str">
        <f t="shared" si="169"/>
        <v>Dec</v>
      </c>
      <c r="N3630" s="2">
        <f t="shared" si="170"/>
        <v>0.21889344654266973</v>
      </c>
    </row>
    <row r="3631" spans="1:14" x14ac:dyDescent="0.45">
      <c r="A3631" t="s">
        <v>6641</v>
      </c>
      <c r="B3631" s="1">
        <v>45026</v>
      </c>
      <c r="C3631" t="s">
        <v>6642</v>
      </c>
      <c r="D3631" t="s">
        <v>56</v>
      </c>
      <c r="E3631" t="s">
        <v>14</v>
      </c>
      <c r="F3631" t="s">
        <v>15</v>
      </c>
      <c r="G3631">
        <v>1</v>
      </c>
      <c r="H3631">
        <v>42417.21</v>
      </c>
      <c r="I3631">
        <v>6875.4</v>
      </c>
      <c r="J3631" t="s">
        <v>71</v>
      </c>
      <c r="K3631" t="s">
        <v>23</v>
      </c>
      <c r="L3631">
        <f t="shared" si="168"/>
        <v>2023</v>
      </c>
      <c r="M3631" t="str">
        <f t="shared" si="169"/>
        <v>Apr</v>
      </c>
      <c r="N3631" s="2">
        <f t="shared" si="170"/>
        <v>0.16208986871130845</v>
      </c>
    </row>
    <row r="3632" spans="1:14" x14ac:dyDescent="0.45">
      <c r="A3632" t="s">
        <v>6643</v>
      </c>
      <c r="B3632" s="1">
        <v>44716</v>
      </c>
      <c r="C3632" t="s">
        <v>6644</v>
      </c>
      <c r="D3632" t="s">
        <v>13</v>
      </c>
      <c r="E3632" t="s">
        <v>36</v>
      </c>
      <c r="F3632" t="s">
        <v>53</v>
      </c>
      <c r="G3632">
        <v>5</v>
      </c>
      <c r="H3632">
        <v>46027.98</v>
      </c>
      <c r="I3632">
        <v>4314.08</v>
      </c>
      <c r="J3632" t="s">
        <v>22</v>
      </c>
      <c r="K3632" t="s">
        <v>23</v>
      </c>
      <c r="L3632">
        <f t="shared" si="168"/>
        <v>2022</v>
      </c>
      <c r="M3632" t="str">
        <f t="shared" si="169"/>
        <v>Jun</v>
      </c>
      <c r="N3632" s="2">
        <f t="shared" si="170"/>
        <v>9.3727337154487333E-2</v>
      </c>
    </row>
    <row r="3633" spans="1:14" x14ac:dyDescent="0.45">
      <c r="A3633" t="s">
        <v>6645</v>
      </c>
      <c r="B3633" s="1">
        <v>44707</v>
      </c>
      <c r="C3633" t="s">
        <v>6646</v>
      </c>
      <c r="D3633" t="s">
        <v>13</v>
      </c>
      <c r="E3633" t="s">
        <v>36</v>
      </c>
      <c r="F3633" t="s">
        <v>37</v>
      </c>
      <c r="G3633">
        <v>3</v>
      </c>
      <c r="H3633">
        <v>34417.4</v>
      </c>
      <c r="I3633">
        <v>5990.13</v>
      </c>
      <c r="J3633" t="s">
        <v>47</v>
      </c>
      <c r="K3633" t="s">
        <v>33</v>
      </c>
      <c r="L3633">
        <f t="shared" si="168"/>
        <v>2022</v>
      </c>
      <c r="M3633" t="str">
        <f t="shared" si="169"/>
        <v>May</v>
      </c>
      <c r="N3633" s="2">
        <f t="shared" si="170"/>
        <v>0.17404365233864266</v>
      </c>
    </row>
    <row r="3634" spans="1:14" x14ac:dyDescent="0.45">
      <c r="A3634" t="s">
        <v>6647</v>
      </c>
      <c r="B3634" s="1">
        <v>45129</v>
      </c>
      <c r="C3634" t="s">
        <v>6648</v>
      </c>
      <c r="D3634" t="s">
        <v>13</v>
      </c>
      <c r="E3634" t="s">
        <v>20</v>
      </c>
      <c r="F3634" t="s">
        <v>50</v>
      </c>
      <c r="G3634">
        <v>3</v>
      </c>
      <c r="H3634">
        <v>49918.35</v>
      </c>
      <c r="I3634">
        <v>3902.51</v>
      </c>
      <c r="J3634" t="s">
        <v>28</v>
      </c>
      <c r="K3634" t="s">
        <v>23</v>
      </c>
      <c r="L3634">
        <f t="shared" si="168"/>
        <v>2023</v>
      </c>
      <c r="M3634" t="str">
        <f t="shared" si="169"/>
        <v>Jul</v>
      </c>
      <c r="N3634" s="2">
        <f t="shared" si="170"/>
        <v>7.817786445265118E-2</v>
      </c>
    </row>
    <row r="3635" spans="1:14" x14ac:dyDescent="0.45">
      <c r="A3635" t="s">
        <v>6649</v>
      </c>
      <c r="B3635" s="1">
        <v>45476</v>
      </c>
      <c r="C3635" t="s">
        <v>6650</v>
      </c>
      <c r="D3635" t="s">
        <v>26</v>
      </c>
      <c r="E3635" t="s">
        <v>20</v>
      </c>
      <c r="F3635" t="s">
        <v>50</v>
      </c>
      <c r="G3635">
        <v>5</v>
      </c>
      <c r="H3635">
        <v>27066.68</v>
      </c>
      <c r="I3635">
        <v>4193.7299999999996</v>
      </c>
      <c r="J3635" t="s">
        <v>22</v>
      </c>
      <c r="K3635" t="s">
        <v>23</v>
      </c>
      <c r="L3635">
        <f t="shared" si="168"/>
        <v>2024</v>
      </c>
      <c r="M3635" t="str">
        <f t="shared" si="169"/>
        <v>Jul</v>
      </c>
      <c r="N3635" s="2">
        <f t="shared" si="170"/>
        <v>0.15494068722133633</v>
      </c>
    </row>
    <row r="3636" spans="1:14" x14ac:dyDescent="0.45">
      <c r="A3636" t="s">
        <v>6651</v>
      </c>
      <c r="B3636" s="1">
        <v>45411</v>
      </c>
      <c r="C3636" t="s">
        <v>6652</v>
      </c>
      <c r="D3636" t="s">
        <v>13</v>
      </c>
      <c r="E3636" t="s">
        <v>14</v>
      </c>
      <c r="F3636" t="s">
        <v>32</v>
      </c>
      <c r="G3636">
        <v>2</v>
      </c>
      <c r="H3636">
        <v>33901.910000000003</v>
      </c>
      <c r="I3636">
        <v>2875.64</v>
      </c>
      <c r="J3636" t="s">
        <v>47</v>
      </c>
      <c r="K3636" t="s">
        <v>33</v>
      </c>
      <c r="L3636">
        <f t="shared" si="168"/>
        <v>2024</v>
      </c>
      <c r="M3636" t="str">
        <f t="shared" si="169"/>
        <v>Apr</v>
      </c>
      <c r="N3636" s="2">
        <f t="shared" si="170"/>
        <v>8.4822359566171929E-2</v>
      </c>
    </row>
    <row r="3637" spans="1:14" x14ac:dyDescent="0.45">
      <c r="A3637" t="s">
        <v>6653</v>
      </c>
      <c r="B3637" s="1">
        <v>44882</v>
      </c>
      <c r="C3637" t="s">
        <v>6654</v>
      </c>
      <c r="D3637" t="s">
        <v>56</v>
      </c>
      <c r="E3637" t="s">
        <v>20</v>
      </c>
      <c r="F3637" t="s">
        <v>43</v>
      </c>
      <c r="G3637">
        <v>2</v>
      </c>
      <c r="H3637">
        <v>14202.17</v>
      </c>
      <c r="I3637">
        <v>2393.15</v>
      </c>
      <c r="J3637" t="s">
        <v>22</v>
      </c>
      <c r="K3637" t="s">
        <v>23</v>
      </c>
      <c r="L3637">
        <f t="shared" si="168"/>
        <v>2022</v>
      </c>
      <c r="M3637" t="str">
        <f t="shared" si="169"/>
        <v>Nov</v>
      </c>
      <c r="N3637" s="2">
        <f t="shared" si="170"/>
        <v>0.16850593958528873</v>
      </c>
    </row>
    <row r="3638" spans="1:14" x14ac:dyDescent="0.45">
      <c r="A3638" t="s">
        <v>6655</v>
      </c>
      <c r="B3638" s="1">
        <v>45542</v>
      </c>
      <c r="C3638" t="s">
        <v>6656</v>
      </c>
      <c r="D3638" t="s">
        <v>56</v>
      </c>
      <c r="E3638" t="s">
        <v>36</v>
      </c>
      <c r="F3638" t="s">
        <v>37</v>
      </c>
      <c r="G3638">
        <v>2</v>
      </c>
      <c r="H3638">
        <v>1002.34</v>
      </c>
      <c r="I3638">
        <v>129.44</v>
      </c>
      <c r="J3638" t="s">
        <v>28</v>
      </c>
      <c r="K3638" t="s">
        <v>17</v>
      </c>
      <c r="L3638">
        <f t="shared" si="168"/>
        <v>2024</v>
      </c>
      <c r="M3638" t="str">
        <f t="shared" si="169"/>
        <v>Sep</v>
      </c>
      <c r="N3638" s="2">
        <f t="shared" si="170"/>
        <v>0.12913781750703354</v>
      </c>
    </row>
    <row r="3639" spans="1:14" x14ac:dyDescent="0.45">
      <c r="A3639" t="s">
        <v>6657</v>
      </c>
      <c r="B3639" s="1">
        <v>45007</v>
      </c>
      <c r="C3639" t="s">
        <v>6658</v>
      </c>
      <c r="D3639" t="s">
        <v>26</v>
      </c>
      <c r="E3639" t="s">
        <v>20</v>
      </c>
      <c r="F3639" t="s">
        <v>21</v>
      </c>
      <c r="G3639">
        <v>2</v>
      </c>
      <c r="H3639">
        <v>16270.74</v>
      </c>
      <c r="I3639">
        <v>1125.72</v>
      </c>
      <c r="J3639" t="s">
        <v>22</v>
      </c>
      <c r="K3639" t="s">
        <v>33</v>
      </c>
      <c r="L3639">
        <f t="shared" si="168"/>
        <v>2023</v>
      </c>
      <c r="M3639" t="str">
        <f t="shared" si="169"/>
        <v>Mar</v>
      </c>
      <c r="N3639" s="2">
        <f t="shared" si="170"/>
        <v>6.9186773312092748E-2</v>
      </c>
    </row>
    <row r="3640" spans="1:14" x14ac:dyDescent="0.45">
      <c r="A3640" t="s">
        <v>6659</v>
      </c>
      <c r="B3640" s="1">
        <v>45128</v>
      </c>
      <c r="C3640" t="s">
        <v>6660</v>
      </c>
      <c r="D3640" t="s">
        <v>56</v>
      </c>
      <c r="E3640" t="s">
        <v>36</v>
      </c>
      <c r="F3640" t="s">
        <v>64</v>
      </c>
      <c r="G3640">
        <v>2</v>
      </c>
      <c r="H3640">
        <v>26693.62</v>
      </c>
      <c r="I3640">
        <v>6534.79</v>
      </c>
      <c r="J3640" t="s">
        <v>22</v>
      </c>
      <c r="K3640" t="s">
        <v>29</v>
      </c>
      <c r="L3640">
        <f t="shared" si="168"/>
        <v>2023</v>
      </c>
      <c r="M3640" t="str">
        <f t="shared" si="169"/>
        <v>Jul</v>
      </c>
      <c r="N3640" s="2">
        <f t="shared" si="170"/>
        <v>0.24480718613661243</v>
      </c>
    </row>
    <row r="3641" spans="1:14" x14ac:dyDescent="0.45">
      <c r="A3641" t="s">
        <v>6661</v>
      </c>
      <c r="B3641" s="1">
        <v>45397</v>
      </c>
      <c r="C3641" t="s">
        <v>6662</v>
      </c>
      <c r="D3641" t="s">
        <v>13</v>
      </c>
      <c r="E3641" t="s">
        <v>20</v>
      </c>
      <c r="F3641" t="s">
        <v>43</v>
      </c>
      <c r="G3641">
        <v>1</v>
      </c>
      <c r="H3641">
        <v>11062.61</v>
      </c>
      <c r="I3641">
        <v>817.8</v>
      </c>
      <c r="J3641" t="s">
        <v>47</v>
      </c>
      <c r="K3641" t="s">
        <v>17</v>
      </c>
      <c r="L3641">
        <f t="shared" si="168"/>
        <v>2024</v>
      </c>
      <c r="M3641" t="str">
        <f t="shared" si="169"/>
        <v>Apr</v>
      </c>
      <c r="N3641" s="2">
        <f t="shared" si="170"/>
        <v>7.392468865846305E-2</v>
      </c>
    </row>
    <row r="3642" spans="1:14" x14ac:dyDescent="0.45">
      <c r="A3642" t="s">
        <v>6663</v>
      </c>
      <c r="B3642" s="1">
        <v>45205</v>
      </c>
      <c r="C3642" t="s">
        <v>6664</v>
      </c>
      <c r="D3642" t="s">
        <v>26</v>
      </c>
      <c r="E3642" t="s">
        <v>14</v>
      </c>
      <c r="F3642" t="s">
        <v>32</v>
      </c>
      <c r="G3642">
        <v>5</v>
      </c>
      <c r="H3642">
        <v>25564.89</v>
      </c>
      <c r="I3642">
        <v>3262.35</v>
      </c>
      <c r="J3642" t="s">
        <v>22</v>
      </c>
      <c r="K3642" t="s">
        <v>23</v>
      </c>
      <c r="L3642">
        <f t="shared" si="168"/>
        <v>2023</v>
      </c>
      <c r="M3642" t="str">
        <f t="shared" si="169"/>
        <v>Oct</v>
      </c>
      <c r="N3642" s="2">
        <f t="shared" si="170"/>
        <v>0.12761056276792115</v>
      </c>
    </row>
    <row r="3643" spans="1:14" x14ac:dyDescent="0.45">
      <c r="A3643" t="s">
        <v>6665</v>
      </c>
      <c r="B3643" s="1">
        <v>44697</v>
      </c>
      <c r="C3643" t="s">
        <v>6666</v>
      </c>
      <c r="D3643" t="s">
        <v>56</v>
      </c>
      <c r="E3643" t="s">
        <v>20</v>
      </c>
      <c r="F3643" t="s">
        <v>27</v>
      </c>
      <c r="G3643">
        <v>2</v>
      </c>
      <c r="H3643">
        <v>24818.21</v>
      </c>
      <c r="I3643">
        <v>2363.69</v>
      </c>
      <c r="J3643" t="s">
        <v>47</v>
      </c>
      <c r="K3643" t="s">
        <v>17</v>
      </c>
      <c r="L3643">
        <f t="shared" si="168"/>
        <v>2022</v>
      </c>
      <c r="M3643" t="str">
        <f t="shared" si="169"/>
        <v>May</v>
      </c>
      <c r="N3643" s="2">
        <f t="shared" si="170"/>
        <v>9.5240148262102711E-2</v>
      </c>
    </row>
    <row r="3644" spans="1:14" x14ac:dyDescent="0.45">
      <c r="A3644" t="s">
        <v>6667</v>
      </c>
      <c r="B3644" s="1">
        <v>45465</v>
      </c>
      <c r="C3644" t="s">
        <v>6668</v>
      </c>
      <c r="D3644" t="s">
        <v>56</v>
      </c>
      <c r="E3644" t="s">
        <v>20</v>
      </c>
      <c r="F3644" t="s">
        <v>27</v>
      </c>
      <c r="G3644">
        <v>1</v>
      </c>
      <c r="H3644">
        <v>34407.79</v>
      </c>
      <c r="I3644">
        <v>3530.39</v>
      </c>
      <c r="J3644" t="s">
        <v>22</v>
      </c>
      <c r="K3644" t="s">
        <v>33</v>
      </c>
      <c r="L3644">
        <f t="shared" si="168"/>
        <v>2024</v>
      </c>
      <c r="M3644" t="str">
        <f t="shared" si="169"/>
        <v>Jun</v>
      </c>
      <c r="N3644" s="2">
        <f t="shared" si="170"/>
        <v>0.10260438115903404</v>
      </c>
    </row>
    <row r="3645" spans="1:14" x14ac:dyDescent="0.45">
      <c r="A3645" t="s">
        <v>6669</v>
      </c>
      <c r="B3645" s="1">
        <v>45562</v>
      </c>
      <c r="C3645" t="s">
        <v>6670</v>
      </c>
      <c r="D3645" t="s">
        <v>26</v>
      </c>
      <c r="E3645" t="s">
        <v>20</v>
      </c>
      <c r="F3645" t="s">
        <v>27</v>
      </c>
      <c r="G3645">
        <v>4</v>
      </c>
      <c r="H3645">
        <v>30591.7</v>
      </c>
      <c r="I3645">
        <v>2151.7199999999998</v>
      </c>
      <c r="J3645" t="s">
        <v>47</v>
      </c>
      <c r="K3645" t="s">
        <v>29</v>
      </c>
      <c r="L3645">
        <f t="shared" si="168"/>
        <v>2024</v>
      </c>
      <c r="M3645" t="str">
        <f t="shared" si="169"/>
        <v>Sep</v>
      </c>
      <c r="N3645" s="2">
        <f t="shared" si="170"/>
        <v>7.0336725320920376E-2</v>
      </c>
    </row>
    <row r="3646" spans="1:14" x14ac:dyDescent="0.45">
      <c r="A3646" t="s">
        <v>6671</v>
      </c>
      <c r="B3646" s="1">
        <v>45111</v>
      </c>
      <c r="C3646" t="s">
        <v>6672</v>
      </c>
      <c r="D3646" t="s">
        <v>13</v>
      </c>
      <c r="E3646" t="s">
        <v>14</v>
      </c>
      <c r="F3646" t="s">
        <v>57</v>
      </c>
      <c r="G3646">
        <v>1</v>
      </c>
      <c r="H3646">
        <v>45391.37</v>
      </c>
      <c r="I3646">
        <v>10046.32</v>
      </c>
      <c r="J3646" t="s">
        <v>71</v>
      </c>
      <c r="K3646" t="s">
        <v>33</v>
      </c>
      <c r="L3646">
        <f t="shared" si="168"/>
        <v>2023</v>
      </c>
      <c r="M3646" t="str">
        <f t="shared" si="169"/>
        <v>Jul</v>
      </c>
      <c r="N3646" s="2">
        <f t="shared" si="170"/>
        <v>0.22132665306202476</v>
      </c>
    </row>
    <row r="3647" spans="1:14" x14ac:dyDescent="0.45">
      <c r="A3647" t="s">
        <v>6673</v>
      </c>
      <c r="B3647" s="1">
        <v>44588</v>
      </c>
      <c r="C3647" t="s">
        <v>4261</v>
      </c>
      <c r="D3647" t="s">
        <v>13</v>
      </c>
      <c r="E3647" t="s">
        <v>14</v>
      </c>
      <c r="F3647" t="s">
        <v>32</v>
      </c>
      <c r="G3647">
        <v>4</v>
      </c>
      <c r="H3647">
        <v>12308.11</v>
      </c>
      <c r="I3647">
        <v>889.49</v>
      </c>
      <c r="J3647" t="s">
        <v>28</v>
      </c>
      <c r="K3647" t="s">
        <v>17</v>
      </c>
      <c r="L3647">
        <f t="shared" si="168"/>
        <v>2022</v>
      </c>
      <c r="M3647" t="str">
        <f t="shared" si="169"/>
        <v>Jan</v>
      </c>
      <c r="N3647" s="2">
        <f t="shared" si="170"/>
        <v>7.2268609884052051E-2</v>
      </c>
    </row>
    <row r="3648" spans="1:14" x14ac:dyDescent="0.45">
      <c r="A3648" t="s">
        <v>6674</v>
      </c>
      <c r="B3648" s="1">
        <v>45183</v>
      </c>
      <c r="C3648" t="s">
        <v>6675</v>
      </c>
      <c r="D3648" t="s">
        <v>13</v>
      </c>
      <c r="E3648" t="s">
        <v>14</v>
      </c>
      <c r="F3648" t="s">
        <v>15</v>
      </c>
      <c r="G3648">
        <v>3</v>
      </c>
      <c r="H3648">
        <v>1534.04</v>
      </c>
      <c r="I3648">
        <v>269.52</v>
      </c>
      <c r="J3648" t="s">
        <v>71</v>
      </c>
      <c r="K3648" t="s">
        <v>33</v>
      </c>
      <c r="L3648">
        <f t="shared" si="168"/>
        <v>2023</v>
      </c>
      <c r="M3648" t="str">
        <f t="shared" si="169"/>
        <v>Sep</v>
      </c>
      <c r="N3648" s="2">
        <f t="shared" si="170"/>
        <v>0.17569294151391096</v>
      </c>
    </row>
    <row r="3649" spans="1:14" x14ac:dyDescent="0.45">
      <c r="A3649" t="s">
        <v>6676</v>
      </c>
      <c r="B3649" s="1">
        <v>44682</v>
      </c>
      <c r="C3649" t="s">
        <v>6677</v>
      </c>
      <c r="D3649" t="s">
        <v>56</v>
      </c>
      <c r="E3649" t="s">
        <v>36</v>
      </c>
      <c r="F3649" t="s">
        <v>46</v>
      </c>
      <c r="G3649">
        <v>4</v>
      </c>
      <c r="H3649">
        <v>49919.56</v>
      </c>
      <c r="I3649">
        <v>2549.7399999999998</v>
      </c>
      <c r="J3649" t="s">
        <v>71</v>
      </c>
      <c r="K3649" t="s">
        <v>33</v>
      </c>
      <c r="L3649">
        <f t="shared" si="168"/>
        <v>2022</v>
      </c>
      <c r="M3649" t="str">
        <f t="shared" si="169"/>
        <v>May</v>
      </c>
      <c r="N3649" s="2">
        <f t="shared" si="170"/>
        <v>5.1076972633572887E-2</v>
      </c>
    </row>
    <row r="3650" spans="1:14" x14ac:dyDescent="0.45">
      <c r="A3650" t="s">
        <v>6678</v>
      </c>
      <c r="B3650" s="1">
        <v>44934</v>
      </c>
      <c r="C3650" t="s">
        <v>6679</v>
      </c>
      <c r="D3650" t="s">
        <v>13</v>
      </c>
      <c r="E3650" t="s">
        <v>20</v>
      </c>
      <c r="F3650" t="s">
        <v>43</v>
      </c>
      <c r="G3650">
        <v>2</v>
      </c>
      <c r="H3650">
        <v>49897.68</v>
      </c>
      <c r="I3650">
        <v>11723.29</v>
      </c>
      <c r="J3650" t="s">
        <v>47</v>
      </c>
      <c r="K3650" t="s">
        <v>33</v>
      </c>
      <c r="L3650">
        <f t="shared" si="168"/>
        <v>2023</v>
      </c>
      <c r="M3650" t="str">
        <f t="shared" si="169"/>
        <v>Jan</v>
      </c>
      <c r="N3650" s="2">
        <f t="shared" si="170"/>
        <v>0.23494659471141746</v>
      </c>
    </row>
    <row r="3651" spans="1:14" x14ac:dyDescent="0.45">
      <c r="A3651" t="s">
        <v>6680</v>
      </c>
      <c r="B3651" s="1">
        <v>45313</v>
      </c>
      <c r="C3651" t="s">
        <v>6681</v>
      </c>
      <c r="D3651" t="s">
        <v>13</v>
      </c>
      <c r="E3651" t="s">
        <v>20</v>
      </c>
      <c r="F3651" t="s">
        <v>27</v>
      </c>
      <c r="G3651">
        <v>5</v>
      </c>
      <c r="H3651">
        <v>3806.03</v>
      </c>
      <c r="I3651">
        <v>590.89</v>
      </c>
      <c r="J3651" t="s">
        <v>28</v>
      </c>
      <c r="K3651" t="s">
        <v>33</v>
      </c>
      <c r="L3651">
        <f t="shared" ref="L3651:L3714" si="171">YEAR(B3651 )</f>
        <v>2024</v>
      </c>
      <c r="M3651" t="str">
        <f t="shared" ref="M3651:M3714" si="172">TEXT(B3651,"MMM")</f>
        <v>Jan</v>
      </c>
      <c r="N3651" s="2">
        <f t="shared" ref="N3651:N3714" si="173">I3651 / H3651</f>
        <v>0.15525100958216304</v>
      </c>
    </row>
    <row r="3652" spans="1:14" x14ac:dyDescent="0.45">
      <c r="A3652" t="s">
        <v>6682</v>
      </c>
      <c r="B3652" s="1">
        <v>45562</v>
      </c>
      <c r="C3652" t="s">
        <v>6683</v>
      </c>
      <c r="D3652" t="s">
        <v>56</v>
      </c>
      <c r="E3652" t="s">
        <v>36</v>
      </c>
      <c r="F3652" t="s">
        <v>64</v>
      </c>
      <c r="G3652">
        <v>3</v>
      </c>
      <c r="H3652">
        <v>49373.56</v>
      </c>
      <c r="I3652">
        <v>5200.91</v>
      </c>
      <c r="J3652" t="s">
        <v>16</v>
      </c>
      <c r="K3652" t="s">
        <v>29</v>
      </c>
      <c r="L3652">
        <f t="shared" si="171"/>
        <v>2024</v>
      </c>
      <c r="M3652" t="str">
        <f t="shared" si="172"/>
        <v>Sep</v>
      </c>
      <c r="N3652" s="2">
        <f t="shared" si="173"/>
        <v>0.10533795821083188</v>
      </c>
    </row>
    <row r="3653" spans="1:14" x14ac:dyDescent="0.45">
      <c r="A3653" t="s">
        <v>6684</v>
      </c>
      <c r="B3653" s="1">
        <v>45548</v>
      </c>
      <c r="C3653" t="s">
        <v>6685</v>
      </c>
      <c r="D3653" t="s">
        <v>56</v>
      </c>
      <c r="E3653" t="s">
        <v>36</v>
      </c>
      <c r="F3653" t="s">
        <v>37</v>
      </c>
      <c r="G3653">
        <v>1</v>
      </c>
      <c r="H3653">
        <v>41830.06</v>
      </c>
      <c r="I3653">
        <v>8152.44</v>
      </c>
      <c r="J3653" t="s">
        <v>71</v>
      </c>
      <c r="K3653" t="s">
        <v>33</v>
      </c>
      <c r="L3653">
        <f t="shared" si="171"/>
        <v>2024</v>
      </c>
      <c r="M3653" t="str">
        <f t="shared" si="172"/>
        <v>Sep</v>
      </c>
      <c r="N3653" s="2">
        <f t="shared" si="173"/>
        <v>0.19489429372083139</v>
      </c>
    </row>
    <row r="3654" spans="1:14" x14ac:dyDescent="0.45">
      <c r="A3654" t="s">
        <v>6686</v>
      </c>
      <c r="B3654" s="1">
        <v>45326</v>
      </c>
      <c r="C3654" t="s">
        <v>6687</v>
      </c>
      <c r="D3654" t="s">
        <v>26</v>
      </c>
      <c r="E3654" t="s">
        <v>20</v>
      </c>
      <c r="F3654" t="s">
        <v>43</v>
      </c>
      <c r="G3654">
        <v>3</v>
      </c>
      <c r="H3654">
        <v>40027.050000000003</v>
      </c>
      <c r="I3654">
        <v>7946.36</v>
      </c>
      <c r="J3654" t="s">
        <v>47</v>
      </c>
      <c r="K3654" t="s">
        <v>23</v>
      </c>
      <c r="L3654">
        <f t="shared" si="171"/>
        <v>2024</v>
      </c>
      <c r="M3654" t="str">
        <f t="shared" si="172"/>
        <v>Feb</v>
      </c>
      <c r="N3654" s="2">
        <f t="shared" si="173"/>
        <v>0.19852474763940883</v>
      </c>
    </row>
    <row r="3655" spans="1:14" x14ac:dyDescent="0.45">
      <c r="A3655" t="s">
        <v>6688</v>
      </c>
      <c r="B3655" s="1">
        <v>45461</v>
      </c>
      <c r="C3655" t="s">
        <v>1432</v>
      </c>
      <c r="D3655" t="s">
        <v>26</v>
      </c>
      <c r="E3655" t="s">
        <v>36</v>
      </c>
      <c r="F3655" t="s">
        <v>46</v>
      </c>
      <c r="G3655">
        <v>1</v>
      </c>
      <c r="H3655">
        <v>10850.79</v>
      </c>
      <c r="I3655">
        <v>1912.93</v>
      </c>
      <c r="J3655" t="s">
        <v>47</v>
      </c>
      <c r="K3655" t="s">
        <v>33</v>
      </c>
      <c r="L3655">
        <f t="shared" si="171"/>
        <v>2024</v>
      </c>
      <c r="M3655" t="str">
        <f t="shared" si="172"/>
        <v>Jun</v>
      </c>
      <c r="N3655" s="2">
        <f t="shared" si="173"/>
        <v>0.17629407628384661</v>
      </c>
    </row>
    <row r="3656" spans="1:14" x14ac:dyDescent="0.45">
      <c r="A3656" t="s">
        <v>6689</v>
      </c>
      <c r="B3656" s="1">
        <v>45636</v>
      </c>
      <c r="C3656" t="s">
        <v>6690</v>
      </c>
      <c r="D3656" t="s">
        <v>13</v>
      </c>
      <c r="E3656" t="s">
        <v>20</v>
      </c>
      <c r="F3656" t="s">
        <v>43</v>
      </c>
      <c r="G3656">
        <v>3</v>
      </c>
      <c r="H3656">
        <v>25092.84</v>
      </c>
      <c r="I3656">
        <v>1603.79</v>
      </c>
      <c r="J3656" t="s">
        <v>28</v>
      </c>
      <c r="K3656" t="s">
        <v>17</v>
      </c>
      <c r="L3656">
        <f t="shared" si="171"/>
        <v>2024</v>
      </c>
      <c r="M3656" t="str">
        <f t="shared" si="172"/>
        <v>Dec</v>
      </c>
      <c r="N3656" s="2">
        <f t="shared" si="173"/>
        <v>6.3914248048447281E-2</v>
      </c>
    </row>
    <row r="3657" spans="1:14" x14ac:dyDescent="0.45">
      <c r="A3657" t="s">
        <v>6691</v>
      </c>
      <c r="B3657" s="1">
        <v>45450</v>
      </c>
      <c r="C3657" t="s">
        <v>6692</v>
      </c>
      <c r="D3657" t="s">
        <v>56</v>
      </c>
      <c r="E3657" t="s">
        <v>36</v>
      </c>
      <c r="F3657" t="s">
        <v>46</v>
      </c>
      <c r="G3657">
        <v>1</v>
      </c>
      <c r="H3657">
        <v>46384.36</v>
      </c>
      <c r="I3657">
        <v>4725.41</v>
      </c>
      <c r="J3657" t="s">
        <v>47</v>
      </c>
      <c r="K3657" t="s">
        <v>23</v>
      </c>
      <c r="L3657">
        <f t="shared" si="171"/>
        <v>2024</v>
      </c>
      <c r="M3657" t="str">
        <f t="shared" si="172"/>
        <v>Jun</v>
      </c>
      <c r="N3657" s="2">
        <f t="shared" si="173"/>
        <v>0.10187507168364508</v>
      </c>
    </row>
    <row r="3658" spans="1:14" x14ac:dyDescent="0.45">
      <c r="A3658" t="s">
        <v>6693</v>
      </c>
      <c r="B3658" s="1">
        <v>44671</v>
      </c>
      <c r="C3658" t="s">
        <v>6694</v>
      </c>
      <c r="D3658" t="s">
        <v>26</v>
      </c>
      <c r="E3658" t="s">
        <v>14</v>
      </c>
      <c r="F3658" t="s">
        <v>15</v>
      </c>
      <c r="G3658">
        <v>2</v>
      </c>
      <c r="H3658">
        <v>41143.879999999997</v>
      </c>
      <c r="I3658">
        <v>10035.02</v>
      </c>
      <c r="J3658" t="s">
        <v>16</v>
      </c>
      <c r="K3658" t="s">
        <v>23</v>
      </c>
      <c r="L3658">
        <f t="shared" si="171"/>
        <v>2022</v>
      </c>
      <c r="M3658" t="str">
        <f t="shared" si="172"/>
        <v>Apr</v>
      </c>
      <c r="N3658" s="2">
        <f t="shared" si="173"/>
        <v>0.24390067246939279</v>
      </c>
    </row>
    <row r="3659" spans="1:14" x14ac:dyDescent="0.45">
      <c r="A3659" t="s">
        <v>6695</v>
      </c>
      <c r="B3659" s="1">
        <v>45043</v>
      </c>
      <c r="C3659" t="s">
        <v>6381</v>
      </c>
      <c r="D3659" t="s">
        <v>26</v>
      </c>
      <c r="E3659" t="s">
        <v>20</v>
      </c>
      <c r="F3659" t="s">
        <v>43</v>
      </c>
      <c r="G3659">
        <v>5</v>
      </c>
      <c r="H3659">
        <v>35306.550000000003</v>
      </c>
      <c r="I3659">
        <v>4234.16</v>
      </c>
      <c r="J3659" t="s">
        <v>16</v>
      </c>
      <c r="K3659" t="s">
        <v>33</v>
      </c>
      <c r="L3659">
        <f t="shared" si="171"/>
        <v>2023</v>
      </c>
      <c r="M3659" t="str">
        <f t="shared" si="172"/>
        <v>Apr</v>
      </c>
      <c r="N3659" s="2">
        <f t="shared" si="173"/>
        <v>0.1199256228660121</v>
      </c>
    </row>
    <row r="3660" spans="1:14" x14ac:dyDescent="0.45">
      <c r="A3660" t="s">
        <v>6696</v>
      </c>
      <c r="B3660" s="1">
        <v>45432</v>
      </c>
      <c r="C3660" t="s">
        <v>6017</v>
      </c>
      <c r="D3660" t="s">
        <v>26</v>
      </c>
      <c r="E3660" t="s">
        <v>20</v>
      </c>
      <c r="F3660" t="s">
        <v>43</v>
      </c>
      <c r="G3660">
        <v>3</v>
      </c>
      <c r="H3660">
        <v>8605.35</v>
      </c>
      <c r="I3660">
        <v>1855.11</v>
      </c>
      <c r="J3660" t="s">
        <v>22</v>
      </c>
      <c r="K3660" t="s">
        <v>29</v>
      </c>
      <c r="L3660">
        <f t="shared" si="171"/>
        <v>2024</v>
      </c>
      <c r="M3660" t="str">
        <f t="shared" si="172"/>
        <v>May</v>
      </c>
      <c r="N3660" s="2">
        <f t="shared" si="173"/>
        <v>0.21557635656887864</v>
      </c>
    </row>
    <row r="3661" spans="1:14" x14ac:dyDescent="0.45">
      <c r="A3661" t="s">
        <v>6697</v>
      </c>
      <c r="B3661" s="1">
        <v>45638</v>
      </c>
      <c r="C3661" t="s">
        <v>6698</v>
      </c>
      <c r="D3661" t="s">
        <v>13</v>
      </c>
      <c r="E3661" t="s">
        <v>36</v>
      </c>
      <c r="F3661" t="s">
        <v>37</v>
      </c>
      <c r="G3661">
        <v>5</v>
      </c>
      <c r="H3661">
        <v>41064.730000000003</v>
      </c>
      <c r="I3661">
        <v>3079.85</v>
      </c>
      <c r="J3661" t="s">
        <v>16</v>
      </c>
      <c r="K3661" t="s">
        <v>17</v>
      </c>
      <c r="L3661">
        <f t="shared" si="171"/>
        <v>2024</v>
      </c>
      <c r="M3661" t="str">
        <f t="shared" si="172"/>
        <v>Dec</v>
      </c>
      <c r="N3661" s="2">
        <f t="shared" si="173"/>
        <v>7.4999884328960639E-2</v>
      </c>
    </row>
    <row r="3662" spans="1:14" x14ac:dyDescent="0.45">
      <c r="A3662" t="s">
        <v>6699</v>
      </c>
      <c r="B3662" s="1">
        <v>45099</v>
      </c>
      <c r="C3662" t="s">
        <v>6328</v>
      </c>
      <c r="D3662" t="s">
        <v>56</v>
      </c>
      <c r="E3662" t="s">
        <v>20</v>
      </c>
      <c r="F3662" t="s">
        <v>27</v>
      </c>
      <c r="G3662">
        <v>1</v>
      </c>
      <c r="H3662">
        <v>34687.4</v>
      </c>
      <c r="I3662">
        <v>3802.58</v>
      </c>
      <c r="J3662" t="s">
        <v>28</v>
      </c>
      <c r="K3662" t="s">
        <v>29</v>
      </c>
      <c r="L3662">
        <f t="shared" si="171"/>
        <v>2023</v>
      </c>
      <c r="M3662" t="str">
        <f t="shared" si="172"/>
        <v>Jun</v>
      </c>
      <c r="N3662" s="2">
        <f t="shared" si="173"/>
        <v>0.10962424396178438</v>
      </c>
    </row>
    <row r="3663" spans="1:14" x14ac:dyDescent="0.45">
      <c r="A3663" t="s">
        <v>6700</v>
      </c>
      <c r="B3663" s="1">
        <v>44983</v>
      </c>
      <c r="C3663" t="s">
        <v>6701</v>
      </c>
      <c r="D3663" t="s">
        <v>26</v>
      </c>
      <c r="E3663" t="s">
        <v>14</v>
      </c>
      <c r="F3663" t="s">
        <v>32</v>
      </c>
      <c r="G3663">
        <v>4</v>
      </c>
      <c r="H3663">
        <v>30982.34</v>
      </c>
      <c r="I3663">
        <v>6681.07</v>
      </c>
      <c r="J3663" t="s">
        <v>22</v>
      </c>
      <c r="K3663" t="s">
        <v>23</v>
      </c>
      <c r="L3663">
        <f t="shared" si="171"/>
        <v>2023</v>
      </c>
      <c r="M3663" t="str">
        <f t="shared" si="172"/>
        <v>Feb</v>
      </c>
      <c r="N3663" s="2">
        <f t="shared" si="173"/>
        <v>0.21564123303791771</v>
      </c>
    </row>
    <row r="3664" spans="1:14" x14ac:dyDescent="0.45">
      <c r="A3664" t="s">
        <v>6702</v>
      </c>
      <c r="B3664" s="1">
        <v>44952</v>
      </c>
      <c r="C3664" t="s">
        <v>6703</v>
      </c>
      <c r="D3664" t="s">
        <v>26</v>
      </c>
      <c r="E3664" t="s">
        <v>20</v>
      </c>
      <c r="F3664" t="s">
        <v>43</v>
      </c>
      <c r="G3664">
        <v>3</v>
      </c>
      <c r="H3664">
        <v>29085.64</v>
      </c>
      <c r="I3664">
        <v>6772.57</v>
      </c>
      <c r="J3664" t="s">
        <v>22</v>
      </c>
      <c r="K3664" t="s">
        <v>17</v>
      </c>
      <c r="L3664">
        <f t="shared" si="171"/>
        <v>2023</v>
      </c>
      <c r="M3664" t="str">
        <f t="shared" si="172"/>
        <v>Jan</v>
      </c>
      <c r="N3664" s="2">
        <f t="shared" si="173"/>
        <v>0.23284926857377042</v>
      </c>
    </row>
    <row r="3665" spans="1:14" x14ac:dyDescent="0.45">
      <c r="A3665" t="s">
        <v>6704</v>
      </c>
      <c r="B3665" s="1">
        <v>44886</v>
      </c>
      <c r="C3665" t="s">
        <v>1300</v>
      </c>
      <c r="D3665" t="s">
        <v>26</v>
      </c>
      <c r="E3665" t="s">
        <v>36</v>
      </c>
      <c r="F3665" t="s">
        <v>64</v>
      </c>
      <c r="G3665">
        <v>2</v>
      </c>
      <c r="H3665">
        <v>30628.1</v>
      </c>
      <c r="I3665">
        <v>4388.47</v>
      </c>
      <c r="J3665" t="s">
        <v>22</v>
      </c>
      <c r="K3665" t="s">
        <v>29</v>
      </c>
      <c r="L3665">
        <f t="shared" si="171"/>
        <v>2022</v>
      </c>
      <c r="M3665" t="str">
        <f t="shared" si="172"/>
        <v>Nov</v>
      </c>
      <c r="N3665" s="2">
        <f t="shared" si="173"/>
        <v>0.14328247589631746</v>
      </c>
    </row>
    <row r="3666" spans="1:14" x14ac:dyDescent="0.45">
      <c r="A3666" t="s">
        <v>6705</v>
      </c>
      <c r="B3666" s="1">
        <v>45600</v>
      </c>
      <c r="C3666" t="s">
        <v>6706</v>
      </c>
      <c r="D3666" t="s">
        <v>26</v>
      </c>
      <c r="E3666" t="s">
        <v>14</v>
      </c>
      <c r="F3666" t="s">
        <v>32</v>
      </c>
      <c r="G3666">
        <v>2</v>
      </c>
      <c r="H3666">
        <v>31595.97</v>
      </c>
      <c r="I3666">
        <v>2161.44</v>
      </c>
      <c r="J3666" t="s">
        <v>71</v>
      </c>
      <c r="K3666" t="s">
        <v>17</v>
      </c>
      <c r="L3666">
        <f t="shared" si="171"/>
        <v>2024</v>
      </c>
      <c r="M3666" t="str">
        <f t="shared" si="172"/>
        <v>Nov</v>
      </c>
      <c r="N3666" s="2">
        <f t="shared" si="173"/>
        <v>6.8408724277178382E-2</v>
      </c>
    </row>
    <row r="3667" spans="1:14" x14ac:dyDescent="0.45">
      <c r="A3667" t="s">
        <v>6707</v>
      </c>
      <c r="B3667" s="1">
        <v>45634</v>
      </c>
      <c r="C3667" t="s">
        <v>6708</v>
      </c>
      <c r="D3667" t="s">
        <v>56</v>
      </c>
      <c r="E3667" t="s">
        <v>20</v>
      </c>
      <c r="F3667" t="s">
        <v>21</v>
      </c>
      <c r="G3667">
        <v>2</v>
      </c>
      <c r="H3667">
        <v>25255.51</v>
      </c>
      <c r="I3667">
        <v>3847.25</v>
      </c>
      <c r="J3667" t="s">
        <v>16</v>
      </c>
      <c r="K3667" t="s">
        <v>33</v>
      </c>
      <c r="L3667">
        <f t="shared" si="171"/>
        <v>2024</v>
      </c>
      <c r="M3667" t="str">
        <f t="shared" si="172"/>
        <v>Dec</v>
      </c>
      <c r="N3667" s="2">
        <f t="shared" si="173"/>
        <v>0.15233309483752258</v>
      </c>
    </row>
    <row r="3668" spans="1:14" x14ac:dyDescent="0.45">
      <c r="A3668" t="s">
        <v>6709</v>
      </c>
      <c r="B3668" s="1">
        <v>44625</v>
      </c>
      <c r="C3668" t="s">
        <v>6710</v>
      </c>
      <c r="D3668" t="s">
        <v>13</v>
      </c>
      <c r="E3668" t="s">
        <v>14</v>
      </c>
      <c r="F3668" t="s">
        <v>40</v>
      </c>
      <c r="G3668">
        <v>2</v>
      </c>
      <c r="H3668">
        <v>21359.57</v>
      </c>
      <c r="I3668">
        <v>2698.16</v>
      </c>
      <c r="J3668" t="s">
        <v>47</v>
      </c>
      <c r="K3668" t="s">
        <v>29</v>
      </c>
      <c r="L3668">
        <f t="shared" si="171"/>
        <v>2022</v>
      </c>
      <c r="M3668" t="str">
        <f t="shared" si="172"/>
        <v>Mar</v>
      </c>
      <c r="N3668" s="2">
        <f t="shared" si="173"/>
        <v>0.12632089503674465</v>
      </c>
    </row>
    <row r="3669" spans="1:14" x14ac:dyDescent="0.45">
      <c r="A3669" t="s">
        <v>6711</v>
      </c>
      <c r="B3669" s="1">
        <v>45367</v>
      </c>
      <c r="C3669" t="s">
        <v>6712</v>
      </c>
      <c r="D3669" t="s">
        <v>26</v>
      </c>
      <c r="E3669" t="s">
        <v>36</v>
      </c>
      <c r="F3669" t="s">
        <v>53</v>
      </c>
      <c r="G3669">
        <v>5</v>
      </c>
      <c r="H3669">
        <v>44602.559999999998</v>
      </c>
      <c r="I3669">
        <v>3800.34</v>
      </c>
      <c r="J3669" t="s">
        <v>47</v>
      </c>
      <c r="K3669" t="s">
        <v>33</v>
      </c>
      <c r="L3669">
        <f t="shared" si="171"/>
        <v>2024</v>
      </c>
      <c r="M3669" t="str">
        <f t="shared" si="172"/>
        <v>Mar</v>
      </c>
      <c r="N3669" s="2">
        <f t="shared" si="173"/>
        <v>8.5204526376961326E-2</v>
      </c>
    </row>
    <row r="3670" spans="1:14" x14ac:dyDescent="0.45">
      <c r="A3670" t="s">
        <v>6713</v>
      </c>
      <c r="B3670" s="1">
        <v>44972</v>
      </c>
      <c r="C3670" t="s">
        <v>6714</v>
      </c>
      <c r="D3670" t="s">
        <v>56</v>
      </c>
      <c r="E3670" t="s">
        <v>20</v>
      </c>
      <c r="F3670" t="s">
        <v>43</v>
      </c>
      <c r="G3670">
        <v>1</v>
      </c>
      <c r="H3670">
        <v>4879.49</v>
      </c>
      <c r="I3670">
        <v>974.71</v>
      </c>
      <c r="J3670" t="s">
        <v>47</v>
      </c>
      <c r="K3670" t="s">
        <v>33</v>
      </c>
      <c r="L3670">
        <f t="shared" si="171"/>
        <v>2023</v>
      </c>
      <c r="M3670" t="str">
        <f t="shared" si="172"/>
        <v>Feb</v>
      </c>
      <c r="N3670" s="2">
        <f t="shared" si="173"/>
        <v>0.19975653193264051</v>
      </c>
    </row>
    <row r="3671" spans="1:14" x14ac:dyDescent="0.45">
      <c r="A3671" t="s">
        <v>6715</v>
      </c>
      <c r="B3671" s="1">
        <v>44787</v>
      </c>
      <c r="C3671" t="s">
        <v>6716</v>
      </c>
      <c r="D3671" t="s">
        <v>26</v>
      </c>
      <c r="E3671" t="s">
        <v>14</v>
      </c>
      <c r="F3671" t="s">
        <v>40</v>
      </c>
      <c r="G3671">
        <v>3</v>
      </c>
      <c r="H3671">
        <v>28942.38</v>
      </c>
      <c r="I3671">
        <v>2580.56</v>
      </c>
      <c r="J3671" t="s">
        <v>47</v>
      </c>
      <c r="K3671" t="s">
        <v>23</v>
      </c>
      <c r="L3671">
        <f t="shared" si="171"/>
        <v>2022</v>
      </c>
      <c r="M3671" t="str">
        <f t="shared" si="172"/>
        <v>Aug</v>
      </c>
      <c r="N3671" s="2">
        <f t="shared" si="173"/>
        <v>8.9161983223217986E-2</v>
      </c>
    </row>
    <row r="3672" spans="1:14" x14ac:dyDescent="0.45">
      <c r="A3672" t="s">
        <v>6717</v>
      </c>
      <c r="B3672" s="1">
        <v>45423</v>
      </c>
      <c r="C3672" t="s">
        <v>6718</v>
      </c>
      <c r="D3672" t="s">
        <v>56</v>
      </c>
      <c r="E3672" t="s">
        <v>20</v>
      </c>
      <c r="F3672" t="s">
        <v>43</v>
      </c>
      <c r="G3672">
        <v>1</v>
      </c>
      <c r="H3672">
        <v>36261.43</v>
      </c>
      <c r="I3672">
        <v>7308.12</v>
      </c>
      <c r="J3672" t="s">
        <v>71</v>
      </c>
      <c r="K3672" t="s">
        <v>33</v>
      </c>
      <c r="L3672">
        <f t="shared" si="171"/>
        <v>2024</v>
      </c>
      <c r="M3672" t="str">
        <f t="shared" si="172"/>
        <v>May</v>
      </c>
      <c r="N3672" s="2">
        <f t="shared" si="173"/>
        <v>0.20153976277273125</v>
      </c>
    </row>
    <row r="3673" spans="1:14" x14ac:dyDescent="0.45">
      <c r="A3673" t="s">
        <v>6719</v>
      </c>
      <c r="B3673" s="1">
        <v>44567</v>
      </c>
      <c r="C3673" t="s">
        <v>6720</v>
      </c>
      <c r="D3673" t="s">
        <v>56</v>
      </c>
      <c r="E3673" t="s">
        <v>36</v>
      </c>
      <c r="F3673" t="s">
        <v>37</v>
      </c>
      <c r="G3673">
        <v>5</v>
      </c>
      <c r="H3673">
        <v>21290.36</v>
      </c>
      <c r="I3673">
        <v>3716.65</v>
      </c>
      <c r="J3673" t="s">
        <v>28</v>
      </c>
      <c r="K3673" t="s">
        <v>17</v>
      </c>
      <c r="L3673">
        <f t="shared" si="171"/>
        <v>2022</v>
      </c>
      <c r="M3673" t="str">
        <f t="shared" si="172"/>
        <v>Jan</v>
      </c>
      <c r="N3673" s="2">
        <f t="shared" si="173"/>
        <v>0.17456961742309665</v>
      </c>
    </row>
    <row r="3674" spans="1:14" x14ac:dyDescent="0.45">
      <c r="A3674" t="s">
        <v>6721</v>
      </c>
      <c r="B3674" s="1">
        <v>44817</v>
      </c>
      <c r="C3674" t="s">
        <v>2819</v>
      </c>
      <c r="D3674" t="s">
        <v>13</v>
      </c>
      <c r="E3674" t="s">
        <v>14</v>
      </c>
      <c r="F3674" t="s">
        <v>40</v>
      </c>
      <c r="G3674">
        <v>1</v>
      </c>
      <c r="H3674">
        <v>34703.089999999997</v>
      </c>
      <c r="I3674">
        <v>5853.44</v>
      </c>
      <c r="J3674" t="s">
        <v>71</v>
      </c>
      <c r="K3674" t="s">
        <v>17</v>
      </c>
      <c r="L3674">
        <f t="shared" si="171"/>
        <v>2022</v>
      </c>
      <c r="M3674" t="str">
        <f t="shared" si="172"/>
        <v>Sep</v>
      </c>
      <c r="N3674" s="2">
        <f t="shared" si="173"/>
        <v>0.168672011627783</v>
      </c>
    </row>
    <row r="3675" spans="1:14" x14ac:dyDescent="0.45">
      <c r="A3675" t="s">
        <v>6722</v>
      </c>
      <c r="B3675" s="1">
        <v>44921</v>
      </c>
      <c r="C3675" t="s">
        <v>6685</v>
      </c>
      <c r="D3675" t="s">
        <v>26</v>
      </c>
      <c r="E3675" t="s">
        <v>20</v>
      </c>
      <c r="F3675" t="s">
        <v>21</v>
      </c>
      <c r="G3675">
        <v>1</v>
      </c>
      <c r="H3675">
        <v>4377.5</v>
      </c>
      <c r="I3675">
        <v>247.51</v>
      </c>
      <c r="J3675" t="s">
        <v>16</v>
      </c>
      <c r="K3675" t="s">
        <v>33</v>
      </c>
      <c r="L3675">
        <f t="shared" si="171"/>
        <v>2022</v>
      </c>
      <c r="M3675" t="str">
        <f t="shared" si="172"/>
        <v>Dec</v>
      </c>
      <c r="N3675" s="2">
        <f t="shared" si="173"/>
        <v>5.6541404911479153E-2</v>
      </c>
    </row>
    <row r="3676" spans="1:14" x14ac:dyDescent="0.45">
      <c r="A3676" t="s">
        <v>6723</v>
      </c>
      <c r="B3676" s="1">
        <v>45397</v>
      </c>
      <c r="C3676" t="s">
        <v>6724</v>
      </c>
      <c r="D3676" t="s">
        <v>56</v>
      </c>
      <c r="E3676" t="s">
        <v>36</v>
      </c>
      <c r="F3676" t="s">
        <v>53</v>
      </c>
      <c r="G3676">
        <v>1</v>
      </c>
      <c r="H3676">
        <v>27048.32</v>
      </c>
      <c r="I3676">
        <v>4341.9399999999996</v>
      </c>
      <c r="J3676" t="s">
        <v>47</v>
      </c>
      <c r="K3676" t="s">
        <v>29</v>
      </c>
      <c r="L3676">
        <f t="shared" si="171"/>
        <v>2024</v>
      </c>
      <c r="M3676" t="str">
        <f t="shared" si="172"/>
        <v>Apr</v>
      </c>
      <c r="N3676" s="2">
        <f t="shared" si="173"/>
        <v>0.16052531173840001</v>
      </c>
    </row>
    <row r="3677" spans="1:14" x14ac:dyDescent="0.45">
      <c r="A3677" t="s">
        <v>6725</v>
      </c>
      <c r="B3677" s="1">
        <v>44644</v>
      </c>
      <c r="C3677" t="s">
        <v>5312</v>
      </c>
      <c r="D3677" t="s">
        <v>56</v>
      </c>
      <c r="E3677" t="s">
        <v>36</v>
      </c>
      <c r="F3677" t="s">
        <v>53</v>
      </c>
      <c r="G3677">
        <v>2</v>
      </c>
      <c r="H3677">
        <v>21702.74</v>
      </c>
      <c r="I3677">
        <v>2104.94</v>
      </c>
      <c r="J3677" t="s">
        <v>47</v>
      </c>
      <c r="K3677" t="s">
        <v>33</v>
      </c>
      <c r="L3677">
        <f t="shared" si="171"/>
        <v>2022</v>
      </c>
      <c r="M3677" t="str">
        <f t="shared" si="172"/>
        <v>Mar</v>
      </c>
      <c r="N3677" s="2">
        <f t="shared" si="173"/>
        <v>9.6989596705300801E-2</v>
      </c>
    </row>
    <row r="3678" spans="1:14" x14ac:dyDescent="0.45">
      <c r="A3678" t="s">
        <v>6726</v>
      </c>
      <c r="B3678" s="1">
        <v>45656</v>
      </c>
      <c r="C3678" t="s">
        <v>297</v>
      </c>
      <c r="D3678" t="s">
        <v>26</v>
      </c>
      <c r="E3678" t="s">
        <v>36</v>
      </c>
      <c r="F3678" t="s">
        <v>37</v>
      </c>
      <c r="G3678">
        <v>1</v>
      </c>
      <c r="H3678">
        <v>46486.61</v>
      </c>
      <c r="I3678">
        <v>9723.69</v>
      </c>
      <c r="J3678" t="s">
        <v>16</v>
      </c>
      <c r="K3678" t="s">
        <v>33</v>
      </c>
      <c r="L3678">
        <f t="shared" si="171"/>
        <v>2024</v>
      </c>
      <c r="M3678" t="str">
        <f t="shared" si="172"/>
        <v>Dec</v>
      </c>
      <c r="N3678" s="2">
        <f t="shared" si="173"/>
        <v>0.20917184539806194</v>
      </c>
    </row>
    <row r="3679" spans="1:14" x14ac:dyDescent="0.45">
      <c r="A3679" t="s">
        <v>6727</v>
      </c>
      <c r="B3679" s="1">
        <v>45606</v>
      </c>
      <c r="C3679" t="s">
        <v>6728</v>
      </c>
      <c r="D3679" t="s">
        <v>56</v>
      </c>
      <c r="E3679" t="s">
        <v>20</v>
      </c>
      <c r="F3679" t="s">
        <v>27</v>
      </c>
      <c r="G3679">
        <v>3</v>
      </c>
      <c r="H3679">
        <v>9870.82</v>
      </c>
      <c r="I3679">
        <v>683.9</v>
      </c>
      <c r="J3679" t="s">
        <v>28</v>
      </c>
      <c r="K3679" t="s">
        <v>23</v>
      </c>
      <c r="L3679">
        <f t="shared" si="171"/>
        <v>2024</v>
      </c>
      <c r="M3679" t="str">
        <f t="shared" si="172"/>
        <v>Nov</v>
      </c>
      <c r="N3679" s="2">
        <f t="shared" si="173"/>
        <v>6.9285023939247195E-2</v>
      </c>
    </row>
    <row r="3680" spans="1:14" x14ac:dyDescent="0.45">
      <c r="A3680" t="s">
        <v>6729</v>
      </c>
      <c r="B3680" s="1">
        <v>45180</v>
      </c>
      <c r="C3680" t="s">
        <v>4355</v>
      </c>
      <c r="D3680" t="s">
        <v>26</v>
      </c>
      <c r="E3680" t="s">
        <v>14</v>
      </c>
      <c r="F3680" t="s">
        <v>57</v>
      </c>
      <c r="G3680">
        <v>4</v>
      </c>
      <c r="H3680">
        <v>9892.6</v>
      </c>
      <c r="I3680">
        <v>1340.1</v>
      </c>
      <c r="J3680" t="s">
        <v>28</v>
      </c>
      <c r="K3680" t="s">
        <v>33</v>
      </c>
      <c r="L3680">
        <f t="shared" si="171"/>
        <v>2023</v>
      </c>
      <c r="M3680" t="str">
        <f t="shared" si="172"/>
        <v>Sep</v>
      </c>
      <c r="N3680" s="2">
        <f t="shared" si="173"/>
        <v>0.13546489295028605</v>
      </c>
    </row>
    <row r="3681" spans="1:14" x14ac:dyDescent="0.45">
      <c r="A3681" t="s">
        <v>6730</v>
      </c>
      <c r="B3681" s="1">
        <v>44847</v>
      </c>
      <c r="C3681" t="s">
        <v>6731</v>
      </c>
      <c r="D3681" t="s">
        <v>26</v>
      </c>
      <c r="E3681" t="s">
        <v>14</v>
      </c>
      <c r="F3681" t="s">
        <v>32</v>
      </c>
      <c r="G3681">
        <v>1</v>
      </c>
      <c r="H3681">
        <v>18349.900000000001</v>
      </c>
      <c r="I3681">
        <v>2997.97</v>
      </c>
      <c r="J3681" t="s">
        <v>22</v>
      </c>
      <c r="K3681" t="s">
        <v>29</v>
      </c>
      <c r="L3681">
        <f t="shared" si="171"/>
        <v>2022</v>
      </c>
      <c r="M3681" t="str">
        <f t="shared" si="172"/>
        <v>Oct</v>
      </c>
      <c r="N3681" s="2">
        <f t="shared" si="173"/>
        <v>0.1633780020599567</v>
      </c>
    </row>
    <row r="3682" spans="1:14" x14ac:dyDescent="0.45">
      <c r="A3682" t="s">
        <v>6732</v>
      </c>
      <c r="B3682" s="1">
        <v>45386</v>
      </c>
      <c r="C3682" t="s">
        <v>4921</v>
      </c>
      <c r="D3682" t="s">
        <v>56</v>
      </c>
      <c r="E3682" t="s">
        <v>20</v>
      </c>
      <c r="F3682" t="s">
        <v>50</v>
      </c>
      <c r="G3682">
        <v>2</v>
      </c>
      <c r="H3682">
        <v>40411.94</v>
      </c>
      <c r="I3682">
        <v>4014.67</v>
      </c>
      <c r="J3682" t="s">
        <v>16</v>
      </c>
      <c r="K3682" t="s">
        <v>29</v>
      </c>
      <c r="L3682">
        <f t="shared" si="171"/>
        <v>2024</v>
      </c>
      <c r="M3682" t="str">
        <f t="shared" si="172"/>
        <v>Apr</v>
      </c>
      <c r="N3682" s="2">
        <f t="shared" si="173"/>
        <v>9.9343659324447178E-2</v>
      </c>
    </row>
    <row r="3683" spans="1:14" x14ac:dyDescent="0.45">
      <c r="A3683" t="s">
        <v>6733</v>
      </c>
      <c r="B3683" s="1">
        <v>45104</v>
      </c>
      <c r="C3683" t="s">
        <v>6734</v>
      </c>
      <c r="D3683" t="s">
        <v>56</v>
      </c>
      <c r="E3683" t="s">
        <v>20</v>
      </c>
      <c r="F3683" t="s">
        <v>43</v>
      </c>
      <c r="G3683">
        <v>2</v>
      </c>
      <c r="H3683">
        <v>24428.67</v>
      </c>
      <c r="I3683">
        <v>3060.63</v>
      </c>
      <c r="J3683" t="s">
        <v>16</v>
      </c>
      <c r="K3683" t="s">
        <v>29</v>
      </c>
      <c r="L3683">
        <f t="shared" si="171"/>
        <v>2023</v>
      </c>
      <c r="M3683" t="str">
        <f t="shared" si="172"/>
        <v>Jun</v>
      </c>
      <c r="N3683" s="2">
        <f t="shared" si="173"/>
        <v>0.1252884418185681</v>
      </c>
    </row>
    <row r="3684" spans="1:14" x14ac:dyDescent="0.45">
      <c r="A3684" t="s">
        <v>6735</v>
      </c>
      <c r="B3684" s="1">
        <v>44648</v>
      </c>
      <c r="C3684" t="s">
        <v>6736</v>
      </c>
      <c r="D3684" t="s">
        <v>13</v>
      </c>
      <c r="E3684" t="s">
        <v>14</v>
      </c>
      <c r="F3684" t="s">
        <v>32</v>
      </c>
      <c r="G3684">
        <v>1</v>
      </c>
      <c r="H3684">
        <v>20855.93</v>
      </c>
      <c r="I3684">
        <v>1978.58</v>
      </c>
      <c r="J3684" t="s">
        <v>22</v>
      </c>
      <c r="K3684" t="s">
        <v>23</v>
      </c>
      <c r="L3684">
        <f t="shared" si="171"/>
        <v>2022</v>
      </c>
      <c r="M3684" t="str">
        <f t="shared" si="172"/>
        <v>Mar</v>
      </c>
      <c r="N3684" s="2">
        <f t="shared" si="173"/>
        <v>9.486894135145256E-2</v>
      </c>
    </row>
    <row r="3685" spans="1:14" x14ac:dyDescent="0.45">
      <c r="A3685" t="s">
        <v>6737</v>
      </c>
      <c r="B3685" s="1">
        <v>44793</v>
      </c>
      <c r="C3685" t="s">
        <v>3802</v>
      </c>
      <c r="D3685" t="s">
        <v>26</v>
      </c>
      <c r="E3685" t="s">
        <v>36</v>
      </c>
      <c r="F3685" t="s">
        <v>53</v>
      </c>
      <c r="G3685">
        <v>5</v>
      </c>
      <c r="H3685">
        <v>20909.97</v>
      </c>
      <c r="I3685">
        <v>2580.2199999999998</v>
      </c>
      <c r="J3685" t="s">
        <v>22</v>
      </c>
      <c r="K3685" t="s">
        <v>33</v>
      </c>
      <c r="L3685">
        <f t="shared" si="171"/>
        <v>2022</v>
      </c>
      <c r="M3685" t="str">
        <f t="shared" si="172"/>
        <v>Aug</v>
      </c>
      <c r="N3685" s="2">
        <f t="shared" si="173"/>
        <v>0.12339663806308664</v>
      </c>
    </row>
    <row r="3686" spans="1:14" x14ac:dyDescent="0.45">
      <c r="A3686" t="s">
        <v>6738</v>
      </c>
      <c r="B3686" s="1">
        <v>44882</v>
      </c>
      <c r="C3686" t="s">
        <v>6739</v>
      </c>
      <c r="D3686" t="s">
        <v>56</v>
      </c>
      <c r="E3686" t="s">
        <v>14</v>
      </c>
      <c r="F3686" t="s">
        <v>57</v>
      </c>
      <c r="G3686">
        <v>1</v>
      </c>
      <c r="H3686">
        <v>30479.88</v>
      </c>
      <c r="I3686">
        <v>1872.75</v>
      </c>
      <c r="J3686" t="s">
        <v>16</v>
      </c>
      <c r="K3686" t="s">
        <v>17</v>
      </c>
      <c r="L3686">
        <f t="shared" si="171"/>
        <v>2022</v>
      </c>
      <c r="M3686" t="str">
        <f t="shared" si="172"/>
        <v>Nov</v>
      </c>
      <c r="N3686" s="2">
        <f t="shared" si="173"/>
        <v>6.1442171032169417E-2</v>
      </c>
    </row>
    <row r="3687" spans="1:14" x14ac:dyDescent="0.45">
      <c r="A3687" t="s">
        <v>6740</v>
      </c>
      <c r="B3687" s="1">
        <v>45063</v>
      </c>
      <c r="C3687" t="s">
        <v>1224</v>
      </c>
      <c r="D3687" t="s">
        <v>56</v>
      </c>
      <c r="E3687" t="s">
        <v>20</v>
      </c>
      <c r="F3687" t="s">
        <v>21</v>
      </c>
      <c r="G3687">
        <v>3</v>
      </c>
      <c r="H3687">
        <v>46528.89</v>
      </c>
      <c r="I3687">
        <v>3066.63</v>
      </c>
      <c r="J3687" t="s">
        <v>71</v>
      </c>
      <c r="K3687" t="s">
        <v>29</v>
      </c>
      <c r="L3687">
        <f t="shared" si="171"/>
        <v>2023</v>
      </c>
      <c r="M3687" t="str">
        <f t="shared" si="172"/>
        <v>May</v>
      </c>
      <c r="N3687" s="2">
        <f t="shared" si="173"/>
        <v>6.5908084203169265E-2</v>
      </c>
    </row>
    <row r="3688" spans="1:14" x14ac:dyDescent="0.45">
      <c r="A3688" t="s">
        <v>6741</v>
      </c>
      <c r="B3688" s="1">
        <v>45014</v>
      </c>
      <c r="C3688" t="s">
        <v>6742</v>
      </c>
      <c r="D3688" t="s">
        <v>26</v>
      </c>
      <c r="E3688" t="s">
        <v>20</v>
      </c>
      <c r="F3688" t="s">
        <v>43</v>
      </c>
      <c r="G3688">
        <v>4</v>
      </c>
      <c r="H3688">
        <v>29705.759999999998</v>
      </c>
      <c r="I3688">
        <v>2219.2800000000002</v>
      </c>
      <c r="J3688" t="s">
        <v>16</v>
      </c>
      <c r="K3688" t="s">
        <v>23</v>
      </c>
      <c r="L3688">
        <f t="shared" si="171"/>
        <v>2023</v>
      </c>
      <c r="M3688" t="str">
        <f t="shared" si="172"/>
        <v>Mar</v>
      </c>
      <c r="N3688" s="2">
        <f t="shared" si="173"/>
        <v>7.4708743354824123E-2</v>
      </c>
    </row>
    <row r="3689" spans="1:14" x14ac:dyDescent="0.45">
      <c r="A3689" t="s">
        <v>6743</v>
      </c>
      <c r="B3689" s="1">
        <v>45369</v>
      </c>
      <c r="C3689" t="s">
        <v>6744</v>
      </c>
      <c r="D3689" t="s">
        <v>26</v>
      </c>
      <c r="E3689" t="s">
        <v>14</v>
      </c>
      <c r="F3689" t="s">
        <v>15</v>
      </c>
      <c r="G3689">
        <v>4</v>
      </c>
      <c r="H3689">
        <v>8057.83</v>
      </c>
      <c r="I3689">
        <v>1248.78</v>
      </c>
      <c r="J3689" t="s">
        <v>22</v>
      </c>
      <c r="K3689" t="s">
        <v>23</v>
      </c>
      <c r="L3689">
        <f t="shared" si="171"/>
        <v>2024</v>
      </c>
      <c r="M3689" t="str">
        <f t="shared" si="172"/>
        <v>Mar</v>
      </c>
      <c r="N3689" s="2">
        <f t="shared" si="173"/>
        <v>0.15497720850402652</v>
      </c>
    </row>
    <row r="3690" spans="1:14" x14ac:dyDescent="0.45">
      <c r="A3690" t="s">
        <v>6745</v>
      </c>
      <c r="B3690" s="1">
        <v>45383</v>
      </c>
      <c r="C3690" t="s">
        <v>6746</v>
      </c>
      <c r="D3690" t="s">
        <v>56</v>
      </c>
      <c r="E3690" t="s">
        <v>20</v>
      </c>
      <c r="F3690" t="s">
        <v>21</v>
      </c>
      <c r="G3690">
        <v>2</v>
      </c>
      <c r="H3690">
        <v>13231.65</v>
      </c>
      <c r="I3690">
        <v>1608.04</v>
      </c>
      <c r="J3690" t="s">
        <v>71</v>
      </c>
      <c r="K3690" t="s">
        <v>33</v>
      </c>
      <c r="L3690">
        <f t="shared" si="171"/>
        <v>2024</v>
      </c>
      <c r="M3690" t="str">
        <f t="shared" si="172"/>
        <v>Apr</v>
      </c>
      <c r="N3690" s="2">
        <f t="shared" si="173"/>
        <v>0.12152981676510488</v>
      </c>
    </row>
    <row r="3691" spans="1:14" x14ac:dyDescent="0.45">
      <c r="A3691" t="s">
        <v>6747</v>
      </c>
      <c r="B3691" s="1">
        <v>44840</v>
      </c>
      <c r="C3691" t="s">
        <v>2827</v>
      </c>
      <c r="D3691" t="s">
        <v>13</v>
      </c>
      <c r="E3691" t="s">
        <v>14</v>
      </c>
      <c r="F3691" t="s">
        <v>57</v>
      </c>
      <c r="G3691">
        <v>5</v>
      </c>
      <c r="H3691">
        <v>40804.21</v>
      </c>
      <c r="I3691">
        <v>4195.0600000000004</v>
      </c>
      <c r="J3691" t="s">
        <v>16</v>
      </c>
      <c r="K3691" t="s">
        <v>33</v>
      </c>
      <c r="L3691">
        <f t="shared" si="171"/>
        <v>2022</v>
      </c>
      <c r="M3691" t="str">
        <f t="shared" si="172"/>
        <v>Oct</v>
      </c>
      <c r="N3691" s="2">
        <f t="shared" si="173"/>
        <v>0.10280948951100881</v>
      </c>
    </row>
    <row r="3692" spans="1:14" x14ac:dyDescent="0.45">
      <c r="A3692" t="s">
        <v>6748</v>
      </c>
      <c r="B3692" s="1">
        <v>45116</v>
      </c>
      <c r="C3692" t="s">
        <v>2305</v>
      </c>
      <c r="D3692" t="s">
        <v>13</v>
      </c>
      <c r="E3692" t="s">
        <v>36</v>
      </c>
      <c r="F3692" t="s">
        <v>64</v>
      </c>
      <c r="G3692">
        <v>4</v>
      </c>
      <c r="H3692">
        <v>5914.78</v>
      </c>
      <c r="I3692">
        <v>859.36</v>
      </c>
      <c r="J3692" t="s">
        <v>16</v>
      </c>
      <c r="K3692" t="s">
        <v>29</v>
      </c>
      <c r="L3692">
        <f t="shared" si="171"/>
        <v>2023</v>
      </c>
      <c r="M3692" t="str">
        <f t="shared" si="172"/>
        <v>Jul</v>
      </c>
      <c r="N3692" s="2">
        <f t="shared" si="173"/>
        <v>0.14529027284193158</v>
      </c>
    </row>
    <row r="3693" spans="1:14" x14ac:dyDescent="0.45">
      <c r="A3693" t="s">
        <v>6749</v>
      </c>
      <c r="B3693" s="1">
        <v>44737</v>
      </c>
      <c r="C3693" t="s">
        <v>6750</v>
      </c>
      <c r="D3693" t="s">
        <v>26</v>
      </c>
      <c r="E3693" t="s">
        <v>20</v>
      </c>
      <c r="F3693" t="s">
        <v>50</v>
      </c>
      <c r="G3693">
        <v>4</v>
      </c>
      <c r="H3693">
        <v>47907.21</v>
      </c>
      <c r="I3693">
        <v>4893.87</v>
      </c>
      <c r="J3693" t="s">
        <v>16</v>
      </c>
      <c r="K3693" t="s">
        <v>33</v>
      </c>
      <c r="L3693">
        <f t="shared" si="171"/>
        <v>2022</v>
      </c>
      <c r="M3693" t="str">
        <f t="shared" si="172"/>
        <v>Jun</v>
      </c>
      <c r="N3693" s="2">
        <f t="shared" si="173"/>
        <v>0.10215309971087859</v>
      </c>
    </row>
    <row r="3694" spans="1:14" x14ac:dyDescent="0.45">
      <c r="A3694" t="s">
        <v>6751</v>
      </c>
      <c r="B3694" s="1">
        <v>44843</v>
      </c>
      <c r="C3694" t="s">
        <v>6752</v>
      </c>
      <c r="D3694" t="s">
        <v>26</v>
      </c>
      <c r="E3694" t="s">
        <v>36</v>
      </c>
      <c r="F3694" t="s">
        <v>64</v>
      </c>
      <c r="G3694">
        <v>1</v>
      </c>
      <c r="H3694">
        <v>14708.3</v>
      </c>
      <c r="I3694">
        <v>1595.09</v>
      </c>
      <c r="J3694" t="s">
        <v>71</v>
      </c>
      <c r="K3694" t="s">
        <v>29</v>
      </c>
      <c r="L3694">
        <f t="shared" si="171"/>
        <v>2022</v>
      </c>
      <c r="M3694" t="str">
        <f t="shared" si="172"/>
        <v>Oct</v>
      </c>
      <c r="N3694" s="2">
        <f t="shared" si="173"/>
        <v>0.10844829110094301</v>
      </c>
    </row>
    <row r="3695" spans="1:14" x14ac:dyDescent="0.45">
      <c r="A3695" t="s">
        <v>6753</v>
      </c>
      <c r="B3695" s="1">
        <v>44994</v>
      </c>
      <c r="C3695" t="s">
        <v>6754</v>
      </c>
      <c r="D3695" t="s">
        <v>13</v>
      </c>
      <c r="E3695" t="s">
        <v>36</v>
      </c>
      <c r="F3695" t="s">
        <v>53</v>
      </c>
      <c r="G3695">
        <v>5</v>
      </c>
      <c r="H3695">
        <v>14487.23</v>
      </c>
      <c r="I3695">
        <v>2631.8</v>
      </c>
      <c r="J3695" t="s">
        <v>71</v>
      </c>
      <c r="K3695" t="s">
        <v>23</v>
      </c>
      <c r="L3695">
        <f t="shared" si="171"/>
        <v>2023</v>
      </c>
      <c r="M3695" t="str">
        <f t="shared" si="172"/>
        <v>Mar</v>
      </c>
      <c r="N3695" s="2">
        <f t="shared" si="173"/>
        <v>0.18166343738589091</v>
      </c>
    </row>
    <row r="3696" spans="1:14" x14ac:dyDescent="0.45">
      <c r="A3696" t="s">
        <v>6755</v>
      </c>
      <c r="B3696" s="1">
        <v>44732</v>
      </c>
      <c r="C3696" t="s">
        <v>3550</v>
      </c>
      <c r="D3696" t="s">
        <v>26</v>
      </c>
      <c r="E3696" t="s">
        <v>36</v>
      </c>
      <c r="F3696" t="s">
        <v>37</v>
      </c>
      <c r="G3696">
        <v>1</v>
      </c>
      <c r="H3696">
        <v>19107.490000000002</v>
      </c>
      <c r="I3696">
        <v>3756.42</v>
      </c>
      <c r="J3696" t="s">
        <v>28</v>
      </c>
      <c r="K3696" t="s">
        <v>33</v>
      </c>
      <c r="L3696">
        <f t="shared" si="171"/>
        <v>2022</v>
      </c>
      <c r="M3696" t="str">
        <f t="shared" si="172"/>
        <v>Jun</v>
      </c>
      <c r="N3696" s="2">
        <f t="shared" si="173"/>
        <v>0.19659411047709563</v>
      </c>
    </row>
    <row r="3697" spans="1:14" x14ac:dyDescent="0.45">
      <c r="A3697" t="s">
        <v>6756</v>
      </c>
      <c r="B3697" s="1">
        <v>45497</v>
      </c>
      <c r="C3697" t="s">
        <v>6245</v>
      </c>
      <c r="D3697" t="s">
        <v>26</v>
      </c>
      <c r="E3697" t="s">
        <v>20</v>
      </c>
      <c r="F3697" t="s">
        <v>50</v>
      </c>
      <c r="G3697">
        <v>3</v>
      </c>
      <c r="H3697">
        <v>25725.46</v>
      </c>
      <c r="I3697">
        <v>1779.32</v>
      </c>
      <c r="J3697" t="s">
        <v>71</v>
      </c>
      <c r="K3697" t="s">
        <v>23</v>
      </c>
      <c r="L3697">
        <f t="shared" si="171"/>
        <v>2024</v>
      </c>
      <c r="M3697" t="str">
        <f t="shared" si="172"/>
        <v>Jul</v>
      </c>
      <c r="N3697" s="2">
        <f t="shared" si="173"/>
        <v>6.9165721429276683E-2</v>
      </c>
    </row>
    <row r="3698" spans="1:14" x14ac:dyDescent="0.45">
      <c r="A3698" t="s">
        <v>6757</v>
      </c>
      <c r="B3698" s="1">
        <v>45627</v>
      </c>
      <c r="C3698" t="s">
        <v>6758</v>
      </c>
      <c r="D3698" t="s">
        <v>56</v>
      </c>
      <c r="E3698" t="s">
        <v>20</v>
      </c>
      <c r="F3698" t="s">
        <v>50</v>
      </c>
      <c r="G3698">
        <v>3</v>
      </c>
      <c r="H3698">
        <v>25567.31</v>
      </c>
      <c r="I3698">
        <v>3906.08</v>
      </c>
      <c r="J3698" t="s">
        <v>47</v>
      </c>
      <c r="K3698" t="s">
        <v>23</v>
      </c>
      <c r="L3698">
        <f t="shared" si="171"/>
        <v>2024</v>
      </c>
      <c r="M3698" t="str">
        <f t="shared" si="172"/>
        <v>Dec</v>
      </c>
      <c r="N3698" s="2">
        <f t="shared" si="173"/>
        <v>0.15277633822251929</v>
      </c>
    </row>
    <row r="3699" spans="1:14" x14ac:dyDescent="0.45">
      <c r="A3699" t="s">
        <v>6759</v>
      </c>
      <c r="B3699" s="1">
        <v>44723</v>
      </c>
      <c r="C3699" t="s">
        <v>4530</v>
      </c>
      <c r="D3699" t="s">
        <v>56</v>
      </c>
      <c r="E3699" t="s">
        <v>14</v>
      </c>
      <c r="F3699" t="s">
        <v>57</v>
      </c>
      <c r="G3699">
        <v>2</v>
      </c>
      <c r="H3699">
        <v>9091.44</v>
      </c>
      <c r="I3699">
        <v>1412.44</v>
      </c>
      <c r="J3699" t="s">
        <v>47</v>
      </c>
      <c r="K3699" t="s">
        <v>23</v>
      </c>
      <c r="L3699">
        <f t="shared" si="171"/>
        <v>2022</v>
      </c>
      <c r="M3699" t="str">
        <f t="shared" si="172"/>
        <v>Jun</v>
      </c>
      <c r="N3699" s="2">
        <f t="shared" si="173"/>
        <v>0.15535932701530231</v>
      </c>
    </row>
    <row r="3700" spans="1:14" x14ac:dyDescent="0.45">
      <c r="A3700" t="s">
        <v>6760</v>
      </c>
      <c r="B3700" s="1">
        <v>44890</v>
      </c>
      <c r="C3700" t="s">
        <v>6761</v>
      </c>
      <c r="D3700" t="s">
        <v>13</v>
      </c>
      <c r="E3700" t="s">
        <v>14</v>
      </c>
      <c r="F3700" t="s">
        <v>57</v>
      </c>
      <c r="G3700">
        <v>2</v>
      </c>
      <c r="H3700">
        <v>20539.939999999999</v>
      </c>
      <c r="I3700">
        <v>1290.43</v>
      </c>
      <c r="J3700" t="s">
        <v>16</v>
      </c>
      <c r="K3700" t="s">
        <v>33</v>
      </c>
      <c r="L3700">
        <f t="shared" si="171"/>
        <v>2022</v>
      </c>
      <c r="M3700" t="str">
        <f t="shared" si="172"/>
        <v>Nov</v>
      </c>
      <c r="N3700" s="2">
        <f t="shared" si="173"/>
        <v>6.2825402605849873E-2</v>
      </c>
    </row>
    <row r="3701" spans="1:14" x14ac:dyDescent="0.45">
      <c r="A3701" t="s">
        <v>6762</v>
      </c>
      <c r="B3701" s="1">
        <v>45537</v>
      </c>
      <c r="C3701" t="s">
        <v>6763</v>
      </c>
      <c r="D3701" t="s">
        <v>56</v>
      </c>
      <c r="E3701" t="s">
        <v>14</v>
      </c>
      <c r="F3701" t="s">
        <v>40</v>
      </c>
      <c r="G3701">
        <v>1</v>
      </c>
      <c r="H3701">
        <v>16002.35</v>
      </c>
      <c r="I3701">
        <v>2209.46</v>
      </c>
      <c r="J3701" t="s">
        <v>22</v>
      </c>
      <c r="K3701" t="s">
        <v>23</v>
      </c>
      <c r="L3701">
        <f t="shared" si="171"/>
        <v>2024</v>
      </c>
      <c r="M3701" t="str">
        <f t="shared" si="172"/>
        <v>Sep</v>
      </c>
      <c r="N3701" s="2">
        <f t="shared" si="173"/>
        <v>0.13807097082615991</v>
      </c>
    </row>
    <row r="3702" spans="1:14" x14ac:dyDescent="0.45">
      <c r="A3702" t="s">
        <v>6764</v>
      </c>
      <c r="B3702" s="1">
        <v>45064</v>
      </c>
      <c r="C3702" t="s">
        <v>6765</v>
      </c>
      <c r="D3702" t="s">
        <v>13</v>
      </c>
      <c r="E3702" t="s">
        <v>36</v>
      </c>
      <c r="F3702" t="s">
        <v>53</v>
      </c>
      <c r="G3702">
        <v>1</v>
      </c>
      <c r="H3702">
        <v>49492.41</v>
      </c>
      <c r="I3702">
        <v>6470.73</v>
      </c>
      <c r="J3702" t="s">
        <v>71</v>
      </c>
      <c r="K3702" t="s">
        <v>33</v>
      </c>
      <c r="L3702">
        <f t="shared" si="171"/>
        <v>2023</v>
      </c>
      <c r="M3702" t="str">
        <f t="shared" si="172"/>
        <v>May</v>
      </c>
      <c r="N3702" s="2">
        <f t="shared" si="173"/>
        <v>0.13074186526782589</v>
      </c>
    </row>
    <row r="3703" spans="1:14" x14ac:dyDescent="0.45">
      <c r="A3703" t="s">
        <v>6766</v>
      </c>
      <c r="B3703" s="1">
        <v>45072</v>
      </c>
      <c r="C3703" t="s">
        <v>6767</v>
      </c>
      <c r="D3703" t="s">
        <v>56</v>
      </c>
      <c r="E3703" t="s">
        <v>14</v>
      </c>
      <c r="F3703" t="s">
        <v>15</v>
      </c>
      <c r="G3703">
        <v>5</v>
      </c>
      <c r="H3703">
        <v>6507.68</v>
      </c>
      <c r="I3703">
        <v>928.99</v>
      </c>
      <c r="J3703" t="s">
        <v>71</v>
      </c>
      <c r="K3703" t="s">
        <v>23</v>
      </c>
      <c r="L3703">
        <f t="shared" si="171"/>
        <v>2023</v>
      </c>
      <c r="M3703" t="str">
        <f t="shared" si="172"/>
        <v>May</v>
      </c>
      <c r="N3703" s="2">
        <f t="shared" si="173"/>
        <v>0.14275287045460133</v>
      </c>
    </row>
    <row r="3704" spans="1:14" x14ac:dyDescent="0.45">
      <c r="A3704" t="s">
        <v>6768</v>
      </c>
      <c r="B3704" s="1">
        <v>45070</v>
      </c>
      <c r="C3704" t="s">
        <v>3792</v>
      </c>
      <c r="D3704" t="s">
        <v>26</v>
      </c>
      <c r="E3704" t="s">
        <v>14</v>
      </c>
      <c r="F3704" t="s">
        <v>40</v>
      </c>
      <c r="G3704">
        <v>5</v>
      </c>
      <c r="H3704">
        <v>40440.57</v>
      </c>
      <c r="I3704">
        <v>7291.17</v>
      </c>
      <c r="J3704" t="s">
        <v>71</v>
      </c>
      <c r="K3704" t="s">
        <v>23</v>
      </c>
      <c r="L3704">
        <f t="shared" si="171"/>
        <v>2023</v>
      </c>
      <c r="M3704" t="str">
        <f t="shared" si="172"/>
        <v>May</v>
      </c>
      <c r="N3704" s="2">
        <f t="shared" si="173"/>
        <v>0.18029345283708909</v>
      </c>
    </row>
    <row r="3705" spans="1:14" x14ac:dyDescent="0.45">
      <c r="A3705" t="s">
        <v>6769</v>
      </c>
      <c r="B3705" s="1">
        <v>44856</v>
      </c>
      <c r="C3705" t="s">
        <v>6770</v>
      </c>
      <c r="D3705" t="s">
        <v>56</v>
      </c>
      <c r="E3705" t="s">
        <v>36</v>
      </c>
      <c r="F3705" t="s">
        <v>37</v>
      </c>
      <c r="G3705">
        <v>2</v>
      </c>
      <c r="H3705">
        <v>49530.16</v>
      </c>
      <c r="I3705">
        <v>2957.4</v>
      </c>
      <c r="J3705" t="s">
        <v>16</v>
      </c>
      <c r="K3705" t="s">
        <v>33</v>
      </c>
      <c r="L3705">
        <f t="shared" si="171"/>
        <v>2022</v>
      </c>
      <c r="M3705" t="str">
        <f t="shared" si="172"/>
        <v>Oct</v>
      </c>
      <c r="N3705" s="2">
        <f t="shared" si="173"/>
        <v>5.9709074228712362E-2</v>
      </c>
    </row>
    <row r="3706" spans="1:14" x14ac:dyDescent="0.45">
      <c r="A3706" t="s">
        <v>6771</v>
      </c>
      <c r="B3706" s="1">
        <v>45550</v>
      </c>
      <c r="C3706" t="s">
        <v>6772</v>
      </c>
      <c r="D3706" t="s">
        <v>56</v>
      </c>
      <c r="E3706" t="s">
        <v>14</v>
      </c>
      <c r="F3706" t="s">
        <v>15</v>
      </c>
      <c r="G3706">
        <v>4</v>
      </c>
      <c r="H3706">
        <v>14181.1</v>
      </c>
      <c r="I3706">
        <v>2029.38</v>
      </c>
      <c r="J3706" t="s">
        <v>28</v>
      </c>
      <c r="K3706" t="s">
        <v>33</v>
      </c>
      <c r="L3706">
        <f t="shared" si="171"/>
        <v>2024</v>
      </c>
      <c r="M3706" t="str">
        <f t="shared" si="172"/>
        <v>Sep</v>
      </c>
      <c r="N3706" s="2">
        <f t="shared" si="173"/>
        <v>0.14310455465372926</v>
      </c>
    </row>
    <row r="3707" spans="1:14" x14ac:dyDescent="0.45">
      <c r="A3707" t="s">
        <v>6773</v>
      </c>
      <c r="B3707" s="1">
        <v>45379</v>
      </c>
      <c r="C3707" t="s">
        <v>6774</v>
      </c>
      <c r="D3707" t="s">
        <v>56</v>
      </c>
      <c r="E3707" t="s">
        <v>36</v>
      </c>
      <c r="F3707" t="s">
        <v>46</v>
      </c>
      <c r="G3707">
        <v>4</v>
      </c>
      <c r="H3707">
        <v>25709.1</v>
      </c>
      <c r="I3707">
        <v>5436.93</v>
      </c>
      <c r="J3707" t="s">
        <v>71</v>
      </c>
      <c r="K3707" t="s">
        <v>17</v>
      </c>
      <c r="L3707">
        <f t="shared" si="171"/>
        <v>2024</v>
      </c>
      <c r="M3707" t="str">
        <f t="shared" si="172"/>
        <v>Mar</v>
      </c>
      <c r="N3707" s="2">
        <f t="shared" si="173"/>
        <v>0.21147881489433704</v>
      </c>
    </row>
    <row r="3708" spans="1:14" x14ac:dyDescent="0.45">
      <c r="A3708" t="s">
        <v>6775</v>
      </c>
      <c r="B3708" s="1">
        <v>45560</v>
      </c>
      <c r="C3708" t="s">
        <v>2529</v>
      </c>
      <c r="D3708" t="s">
        <v>56</v>
      </c>
      <c r="E3708" t="s">
        <v>20</v>
      </c>
      <c r="F3708" t="s">
        <v>50</v>
      </c>
      <c r="G3708">
        <v>1</v>
      </c>
      <c r="H3708">
        <v>25272.92</v>
      </c>
      <c r="I3708">
        <v>1827.38</v>
      </c>
      <c r="J3708" t="s">
        <v>28</v>
      </c>
      <c r="K3708" t="s">
        <v>29</v>
      </c>
      <c r="L3708">
        <f t="shared" si="171"/>
        <v>2024</v>
      </c>
      <c r="M3708" t="str">
        <f t="shared" si="172"/>
        <v>Sep</v>
      </c>
      <c r="N3708" s="2">
        <f t="shared" si="173"/>
        <v>7.2305851480557071E-2</v>
      </c>
    </row>
    <row r="3709" spans="1:14" x14ac:dyDescent="0.45">
      <c r="A3709" t="s">
        <v>6776</v>
      </c>
      <c r="B3709" s="1">
        <v>44722</v>
      </c>
      <c r="C3709" t="s">
        <v>6777</v>
      </c>
      <c r="D3709" t="s">
        <v>26</v>
      </c>
      <c r="E3709" t="s">
        <v>20</v>
      </c>
      <c r="F3709" t="s">
        <v>27</v>
      </c>
      <c r="G3709">
        <v>4</v>
      </c>
      <c r="H3709">
        <v>46721.89</v>
      </c>
      <c r="I3709">
        <v>10333.01</v>
      </c>
      <c r="J3709" t="s">
        <v>71</v>
      </c>
      <c r="K3709" t="s">
        <v>29</v>
      </c>
      <c r="L3709">
        <f t="shared" si="171"/>
        <v>2022</v>
      </c>
      <c r="M3709" t="str">
        <f t="shared" si="172"/>
        <v>Jun</v>
      </c>
      <c r="N3709" s="2">
        <f t="shared" si="173"/>
        <v>0.22115993167228468</v>
      </c>
    </row>
    <row r="3710" spans="1:14" x14ac:dyDescent="0.45">
      <c r="A3710" t="s">
        <v>6778</v>
      </c>
      <c r="B3710" s="1">
        <v>45535</v>
      </c>
      <c r="C3710" t="s">
        <v>6779</v>
      </c>
      <c r="D3710" t="s">
        <v>56</v>
      </c>
      <c r="E3710" t="s">
        <v>14</v>
      </c>
      <c r="F3710" t="s">
        <v>32</v>
      </c>
      <c r="G3710">
        <v>3</v>
      </c>
      <c r="H3710">
        <v>15205.11</v>
      </c>
      <c r="I3710">
        <v>3792.42</v>
      </c>
      <c r="J3710" t="s">
        <v>22</v>
      </c>
      <c r="K3710" t="s">
        <v>23</v>
      </c>
      <c r="L3710">
        <f t="shared" si="171"/>
        <v>2024</v>
      </c>
      <c r="M3710" t="str">
        <f t="shared" si="172"/>
        <v>Aug</v>
      </c>
      <c r="N3710" s="2">
        <f t="shared" si="173"/>
        <v>0.24941746557571765</v>
      </c>
    </row>
    <row r="3711" spans="1:14" x14ac:dyDescent="0.45">
      <c r="A3711" t="s">
        <v>6780</v>
      </c>
      <c r="B3711" s="1">
        <v>44586</v>
      </c>
      <c r="C3711" t="s">
        <v>6781</v>
      </c>
      <c r="D3711" t="s">
        <v>13</v>
      </c>
      <c r="E3711" t="s">
        <v>36</v>
      </c>
      <c r="F3711" t="s">
        <v>46</v>
      </c>
      <c r="G3711">
        <v>2</v>
      </c>
      <c r="H3711">
        <v>13411.52</v>
      </c>
      <c r="I3711">
        <v>1096.25</v>
      </c>
      <c r="J3711" t="s">
        <v>71</v>
      </c>
      <c r="K3711" t="s">
        <v>23</v>
      </c>
      <c r="L3711">
        <f t="shared" si="171"/>
        <v>2022</v>
      </c>
      <c r="M3711" t="str">
        <f t="shared" si="172"/>
        <v>Jan</v>
      </c>
      <c r="N3711" s="2">
        <f t="shared" si="173"/>
        <v>8.1739429982582129E-2</v>
      </c>
    </row>
    <row r="3712" spans="1:14" x14ac:dyDescent="0.45">
      <c r="A3712" t="s">
        <v>6782</v>
      </c>
      <c r="B3712" s="1">
        <v>45119</v>
      </c>
      <c r="C3712" t="s">
        <v>6783</v>
      </c>
      <c r="D3712" t="s">
        <v>26</v>
      </c>
      <c r="E3712" t="s">
        <v>36</v>
      </c>
      <c r="F3712" t="s">
        <v>64</v>
      </c>
      <c r="G3712">
        <v>1</v>
      </c>
      <c r="H3712">
        <v>40355.56</v>
      </c>
      <c r="I3712">
        <v>5653.93</v>
      </c>
      <c r="J3712" t="s">
        <v>28</v>
      </c>
      <c r="K3712" t="s">
        <v>17</v>
      </c>
      <c r="L3712">
        <f t="shared" si="171"/>
        <v>2023</v>
      </c>
      <c r="M3712" t="str">
        <f t="shared" si="172"/>
        <v>Jul</v>
      </c>
      <c r="N3712" s="2">
        <f t="shared" si="173"/>
        <v>0.1401028755393309</v>
      </c>
    </row>
    <row r="3713" spans="1:14" x14ac:dyDescent="0.45">
      <c r="A3713" t="s">
        <v>6784</v>
      </c>
      <c r="B3713" s="1">
        <v>45054</v>
      </c>
      <c r="C3713" t="s">
        <v>6785</v>
      </c>
      <c r="D3713" t="s">
        <v>13</v>
      </c>
      <c r="E3713" t="s">
        <v>14</v>
      </c>
      <c r="F3713" t="s">
        <v>40</v>
      </c>
      <c r="G3713">
        <v>1</v>
      </c>
      <c r="H3713">
        <v>42656.36</v>
      </c>
      <c r="I3713">
        <v>3018.35</v>
      </c>
      <c r="J3713" t="s">
        <v>28</v>
      </c>
      <c r="K3713" t="s">
        <v>33</v>
      </c>
      <c r="L3713">
        <f t="shared" si="171"/>
        <v>2023</v>
      </c>
      <c r="M3713" t="str">
        <f t="shared" si="172"/>
        <v>May</v>
      </c>
      <c r="N3713" s="2">
        <f t="shared" si="173"/>
        <v>7.075967100802788E-2</v>
      </c>
    </row>
    <row r="3714" spans="1:14" x14ac:dyDescent="0.45">
      <c r="A3714" t="s">
        <v>6786</v>
      </c>
      <c r="B3714" s="1">
        <v>44754</v>
      </c>
      <c r="C3714" t="s">
        <v>6787</v>
      </c>
      <c r="D3714" t="s">
        <v>13</v>
      </c>
      <c r="E3714" t="s">
        <v>36</v>
      </c>
      <c r="F3714" t="s">
        <v>64</v>
      </c>
      <c r="G3714">
        <v>2</v>
      </c>
      <c r="H3714">
        <v>27366.54</v>
      </c>
      <c r="I3714">
        <v>4231.8</v>
      </c>
      <c r="J3714" t="s">
        <v>22</v>
      </c>
      <c r="K3714" t="s">
        <v>23</v>
      </c>
      <c r="L3714">
        <f t="shared" si="171"/>
        <v>2022</v>
      </c>
      <c r="M3714" t="str">
        <f t="shared" si="172"/>
        <v>Jul</v>
      </c>
      <c r="N3714" s="2">
        <f t="shared" si="173"/>
        <v>0.15463408965839306</v>
      </c>
    </row>
    <row r="3715" spans="1:14" x14ac:dyDescent="0.45">
      <c r="A3715" t="s">
        <v>6788</v>
      </c>
      <c r="B3715" s="1">
        <v>44892</v>
      </c>
      <c r="C3715" t="s">
        <v>6789</v>
      </c>
      <c r="D3715" t="s">
        <v>56</v>
      </c>
      <c r="E3715" t="s">
        <v>36</v>
      </c>
      <c r="F3715" t="s">
        <v>64</v>
      </c>
      <c r="G3715">
        <v>5</v>
      </c>
      <c r="H3715">
        <v>39958.449999999997</v>
      </c>
      <c r="I3715">
        <v>5926.76</v>
      </c>
      <c r="J3715" t="s">
        <v>47</v>
      </c>
      <c r="K3715" t="s">
        <v>29</v>
      </c>
      <c r="L3715">
        <f t="shared" ref="L3715:L3778" si="174">YEAR(B3715 )</f>
        <v>2022</v>
      </c>
      <c r="M3715" t="str">
        <f t="shared" ref="M3715:M3778" si="175">TEXT(B3715,"MMM")</f>
        <v>Nov</v>
      </c>
      <c r="N3715" s="2">
        <f t="shared" ref="N3715:N3778" si="176">I3715 / H3715</f>
        <v>0.14832307058957495</v>
      </c>
    </row>
    <row r="3716" spans="1:14" x14ac:dyDescent="0.45">
      <c r="A3716" t="s">
        <v>6790</v>
      </c>
      <c r="B3716" s="1">
        <v>45515</v>
      </c>
      <c r="C3716" t="s">
        <v>6791</v>
      </c>
      <c r="D3716" t="s">
        <v>13</v>
      </c>
      <c r="E3716" t="s">
        <v>14</v>
      </c>
      <c r="F3716" t="s">
        <v>15</v>
      </c>
      <c r="G3716">
        <v>3</v>
      </c>
      <c r="H3716">
        <v>34314.92</v>
      </c>
      <c r="I3716">
        <v>6737.19</v>
      </c>
      <c r="J3716" t="s">
        <v>47</v>
      </c>
      <c r="K3716" t="s">
        <v>33</v>
      </c>
      <c r="L3716">
        <f t="shared" si="174"/>
        <v>2024</v>
      </c>
      <c r="M3716" t="str">
        <f t="shared" si="175"/>
        <v>Aug</v>
      </c>
      <c r="N3716" s="2">
        <f t="shared" si="176"/>
        <v>0.19633413104270678</v>
      </c>
    </row>
    <row r="3717" spans="1:14" x14ac:dyDescent="0.45">
      <c r="A3717" t="s">
        <v>6792</v>
      </c>
      <c r="B3717" s="1">
        <v>45242</v>
      </c>
      <c r="C3717" t="s">
        <v>6793</v>
      </c>
      <c r="D3717" t="s">
        <v>26</v>
      </c>
      <c r="E3717" t="s">
        <v>36</v>
      </c>
      <c r="F3717" t="s">
        <v>64</v>
      </c>
      <c r="G3717">
        <v>1</v>
      </c>
      <c r="H3717">
        <v>44051.78</v>
      </c>
      <c r="I3717">
        <v>9471.7000000000007</v>
      </c>
      <c r="J3717" t="s">
        <v>28</v>
      </c>
      <c r="K3717" t="s">
        <v>17</v>
      </c>
      <c r="L3717">
        <f t="shared" si="174"/>
        <v>2023</v>
      </c>
      <c r="M3717" t="str">
        <f t="shared" si="175"/>
        <v>Nov</v>
      </c>
      <c r="N3717" s="2">
        <f t="shared" si="176"/>
        <v>0.2150128780267222</v>
      </c>
    </row>
    <row r="3718" spans="1:14" x14ac:dyDescent="0.45">
      <c r="A3718" t="s">
        <v>6794</v>
      </c>
      <c r="B3718" s="1">
        <v>45146</v>
      </c>
      <c r="C3718" t="s">
        <v>6795</v>
      </c>
      <c r="D3718" t="s">
        <v>56</v>
      </c>
      <c r="E3718" t="s">
        <v>36</v>
      </c>
      <c r="F3718" t="s">
        <v>37</v>
      </c>
      <c r="G3718">
        <v>3</v>
      </c>
      <c r="H3718">
        <v>45169.79</v>
      </c>
      <c r="I3718">
        <v>6214.56</v>
      </c>
      <c r="J3718" t="s">
        <v>28</v>
      </c>
      <c r="K3718" t="s">
        <v>17</v>
      </c>
      <c r="L3718">
        <f t="shared" si="174"/>
        <v>2023</v>
      </c>
      <c r="M3718" t="str">
        <f t="shared" si="175"/>
        <v>Aug</v>
      </c>
      <c r="N3718" s="2">
        <f t="shared" si="176"/>
        <v>0.13758222032911821</v>
      </c>
    </row>
    <row r="3719" spans="1:14" x14ac:dyDescent="0.45">
      <c r="A3719" t="s">
        <v>6796</v>
      </c>
      <c r="B3719" s="1">
        <v>45461</v>
      </c>
      <c r="C3719" t="s">
        <v>6797</v>
      </c>
      <c r="D3719" t="s">
        <v>26</v>
      </c>
      <c r="E3719" t="s">
        <v>14</v>
      </c>
      <c r="F3719" t="s">
        <v>15</v>
      </c>
      <c r="G3719">
        <v>5</v>
      </c>
      <c r="H3719">
        <v>27943.62</v>
      </c>
      <c r="I3719">
        <v>2768.8</v>
      </c>
      <c r="J3719" t="s">
        <v>16</v>
      </c>
      <c r="K3719" t="s">
        <v>29</v>
      </c>
      <c r="L3719">
        <f t="shared" si="174"/>
        <v>2024</v>
      </c>
      <c r="M3719" t="str">
        <f t="shared" si="175"/>
        <v>Jun</v>
      </c>
      <c r="N3719" s="2">
        <f t="shared" si="176"/>
        <v>9.9085229472774122E-2</v>
      </c>
    </row>
    <row r="3720" spans="1:14" x14ac:dyDescent="0.45">
      <c r="A3720" t="s">
        <v>6798</v>
      </c>
      <c r="B3720" s="1">
        <v>45337</v>
      </c>
      <c r="C3720" t="s">
        <v>6799</v>
      </c>
      <c r="D3720" t="s">
        <v>13</v>
      </c>
      <c r="E3720" t="s">
        <v>20</v>
      </c>
      <c r="F3720" t="s">
        <v>50</v>
      </c>
      <c r="G3720">
        <v>5</v>
      </c>
      <c r="H3720">
        <v>4250.93</v>
      </c>
      <c r="I3720">
        <v>657.4</v>
      </c>
      <c r="J3720" t="s">
        <v>28</v>
      </c>
      <c r="K3720" t="s">
        <v>29</v>
      </c>
      <c r="L3720">
        <f t="shared" si="174"/>
        <v>2024</v>
      </c>
      <c r="M3720" t="str">
        <f t="shared" si="175"/>
        <v>Feb</v>
      </c>
      <c r="N3720" s="2">
        <f t="shared" si="176"/>
        <v>0.15464851220791684</v>
      </c>
    </row>
    <row r="3721" spans="1:14" x14ac:dyDescent="0.45">
      <c r="A3721" t="s">
        <v>6800</v>
      </c>
      <c r="B3721" s="1">
        <v>45207</v>
      </c>
      <c r="C3721" t="s">
        <v>6801</v>
      </c>
      <c r="D3721" t="s">
        <v>26</v>
      </c>
      <c r="E3721" t="s">
        <v>14</v>
      </c>
      <c r="F3721" t="s">
        <v>32</v>
      </c>
      <c r="G3721">
        <v>3</v>
      </c>
      <c r="H3721">
        <v>36926.449999999997</v>
      </c>
      <c r="I3721">
        <v>6497.31</v>
      </c>
      <c r="J3721" t="s">
        <v>47</v>
      </c>
      <c r="K3721" t="s">
        <v>29</v>
      </c>
      <c r="L3721">
        <f t="shared" si="174"/>
        <v>2023</v>
      </c>
      <c r="M3721" t="str">
        <f t="shared" si="175"/>
        <v>Oct</v>
      </c>
      <c r="N3721" s="2">
        <f t="shared" si="176"/>
        <v>0.17595273848420309</v>
      </c>
    </row>
    <row r="3722" spans="1:14" x14ac:dyDescent="0.45">
      <c r="A3722" t="s">
        <v>6802</v>
      </c>
      <c r="B3722" s="1">
        <v>44787</v>
      </c>
      <c r="C3722" t="s">
        <v>6803</v>
      </c>
      <c r="D3722" t="s">
        <v>13</v>
      </c>
      <c r="E3722" t="s">
        <v>14</v>
      </c>
      <c r="F3722" t="s">
        <v>32</v>
      </c>
      <c r="G3722">
        <v>5</v>
      </c>
      <c r="H3722">
        <v>1398.56</v>
      </c>
      <c r="I3722">
        <v>239.22</v>
      </c>
      <c r="J3722" t="s">
        <v>22</v>
      </c>
      <c r="K3722" t="s">
        <v>23</v>
      </c>
      <c r="L3722">
        <f t="shared" si="174"/>
        <v>2022</v>
      </c>
      <c r="M3722" t="str">
        <f t="shared" si="175"/>
        <v>Aug</v>
      </c>
      <c r="N3722" s="2">
        <f t="shared" si="176"/>
        <v>0.17104736300194487</v>
      </c>
    </row>
    <row r="3723" spans="1:14" x14ac:dyDescent="0.45">
      <c r="A3723" t="s">
        <v>6804</v>
      </c>
      <c r="B3723" s="1">
        <v>45183</v>
      </c>
      <c r="C3723" t="s">
        <v>6791</v>
      </c>
      <c r="D3723" t="s">
        <v>56</v>
      </c>
      <c r="E3723" t="s">
        <v>14</v>
      </c>
      <c r="F3723" t="s">
        <v>57</v>
      </c>
      <c r="G3723">
        <v>5</v>
      </c>
      <c r="H3723">
        <v>28774.36</v>
      </c>
      <c r="I3723">
        <v>5389.52</v>
      </c>
      <c r="J3723" t="s">
        <v>47</v>
      </c>
      <c r="K3723" t="s">
        <v>17</v>
      </c>
      <c r="L3723">
        <f t="shared" si="174"/>
        <v>2023</v>
      </c>
      <c r="M3723" t="str">
        <f t="shared" si="175"/>
        <v>Sep</v>
      </c>
      <c r="N3723" s="2">
        <f t="shared" si="176"/>
        <v>0.18730286268747595</v>
      </c>
    </row>
    <row r="3724" spans="1:14" x14ac:dyDescent="0.45">
      <c r="A3724" t="s">
        <v>6805</v>
      </c>
      <c r="B3724" s="1">
        <v>45620</v>
      </c>
      <c r="C3724" t="s">
        <v>6806</v>
      </c>
      <c r="D3724" t="s">
        <v>56</v>
      </c>
      <c r="E3724" t="s">
        <v>14</v>
      </c>
      <c r="F3724" t="s">
        <v>40</v>
      </c>
      <c r="G3724">
        <v>1</v>
      </c>
      <c r="H3724">
        <v>41031.089999999997</v>
      </c>
      <c r="I3724">
        <v>3904.96</v>
      </c>
      <c r="J3724" t="s">
        <v>22</v>
      </c>
      <c r="K3724" t="s">
        <v>33</v>
      </c>
      <c r="L3724">
        <f t="shared" si="174"/>
        <v>2024</v>
      </c>
      <c r="M3724" t="str">
        <f t="shared" si="175"/>
        <v>Nov</v>
      </c>
      <c r="N3724" s="2">
        <f t="shared" si="176"/>
        <v>9.5170759538681537E-2</v>
      </c>
    </row>
    <row r="3725" spans="1:14" x14ac:dyDescent="0.45">
      <c r="A3725" t="s">
        <v>6807</v>
      </c>
      <c r="B3725" s="1">
        <v>45069</v>
      </c>
      <c r="C3725" t="s">
        <v>5781</v>
      </c>
      <c r="D3725" t="s">
        <v>26</v>
      </c>
      <c r="E3725" t="s">
        <v>36</v>
      </c>
      <c r="F3725" t="s">
        <v>37</v>
      </c>
      <c r="G3725">
        <v>5</v>
      </c>
      <c r="H3725">
        <v>27152.73</v>
      </c>
      <c r="I3725">
        <v>5393.5</v>
      </c>
      <c r="J3725" t="s">
        <v>16</v>
      </c>
      <c r="K3725" t="s">
        <v>33</v>
      </c>
      <c r="L3725">
        <f t="shared" si="174"/>
        <v>2023</v>
      </c>
      <c r="M3725" t="str">
        <f t="shared" si="175"/>
        <v>May</v>
      </c>
      <c r="N3725" s="2">
        <f t="shared" si="176"/>
        <v>0.19863564363509673</v>
      </c>
    </row>
    <row r="3726" spans="1:14" x14ac:dyDescent="0.45">
      <c r="A3726" t="s">
        <v>6808</v>
      </c>
      <c r="B3726" s="1">
        <v>45363</v>
      </c>
      <c r="C3726" t="s">
        <v>4882</v>
      </c>
      <c r="D3726" t="s">
        <v>26</v>
      </c>
      <c r="E3726" t="s">
        <v>36</v>
      </c>
      <c r="F3726" t="s">
        <v>37</v>
      </c>
      <c r="G3726">
        <v>2</v>
      </c>
      <c r="H3726">
        <v>37729.93</v>
      </c>
      <c r="I3726">
        <v>8901.43</v>
      </c>
      <c r="J3726" t="s">
        <v>16</v>
      </c>
      <c r="K3726" t="s">
        <v>23</v>
      </c>
      <c r="L3726">
        <f t="shared" si="174"/>
        <v>2024</v>
      </c>
      <c r="M3726" t="str">
        <f t="shared" si="175"/>
        <v>Mar</v>
      </c>
      <c r="N3726" s="2">
        <f t="shared" si="176"/>
        <v>0.23592490100034641</v>
      </c>
    </row>
    <row r="3727" spans="1:14" x14ac:dyDescent="0.45">
      <c r="A3727" t="s">
        <v>6809</v>
      </c>
      <c r="B3727" s="1">
        <v>45534</v>
      </c>
      <c r="C3727" t="s">
        <v>6810</v>
      </c>
      <c r="D3727" t="s">
        <v>26</v>
      </c>
      <c r="E3727" t="s">
        <v>20</v>
      </c>
      <c r="F3727" t="s">
        <v>43</v>
      </c>
      <c r="G3727">
        <v>4</v>
      </c>
      <c r="H3727">
        <v>14074.51</v>
      </c>
      <c r="I3727">
        <v>3090.65</v>
      </c>
      <c r="J3727" t="s">
        <v>47</v>
      </c>
      <c r="K3727" t="s">
        <v>33</v>
      </c>
      <c r="L3727">
        <f t="shared" si="174"/>
        <v>2024</v>
      </c>
      <c r="M3727" t="str">
        <f t="shared" si="175"/>
        <v>Aug</v>
      </c>
      <c r="N3727" s="2">
        <f t="shared" si="176"/>
        <v>0.21959201421577021</v>
      </c>
    </row>
    <row r="3728" spans="1:14" x14ac:dyDescent="0.45">
      <c r="A3728" t="s">
        <v>6811</v>
      </c>
      <c r="B3728" s="1">
        <v>45180</v>
      </c>
      <c r="C3728" t="s">
        <v>2237</v>
      </c>
      <c r="D3728" t="s">
        <v>56</v>
      </c>
      <c r="E3728" t="s">
        <v>20</v>
      </c>
      <c r="F3728" t="s">
        <v>50</v>
      </c>
      <c r="G3728">
        <v>3</v>
      </c>
      <c r="H3728">
        <v>23673.16</v>
      </c>
      <c r="I3728">
        <v>4313.7</v>
      </c>
      <c r="J3728" t="s">
        <v>16</v>
      </c>
      <c r="K3728" t="s">
        <v>33</v>
      </c>
      <c r="L3728">
        <f t="shared" si="174"/>
        <v>2023</v>
      </c>
      <c r="M3728" t="str">
        <f t="shared" si="175"/>
        <v>Sep</v>
      </c>
      <c r="N3728" s="2">
        <f t="shared" si="176"/>
        <v>0.18221901934511489</v>
      </c>
    </row>
    <row r="3729" spans="1:14" x14ac:dyDescent="0.45">
      <c r="A3729" t="s">
        <v>6812</v>
      </c>
      <c r="B3729" s="1">
        <v>45284</v>
      </c>
      <c r="C3729" t="s">
        <v>1714</v>
      </c>
      <c r="D3729" t="s">
        <v>13</v>
      </c>
      <c r="E3729" t="s">
        <v>20</v>
      </c>
      <c r="F3729" t="s">
        <v>27</v>
      </c>
      <c r="G3729">
        <v>3</v>
      </c>
      <c r="H3729">
        <v>34906.85</v>
      </c>
      <c r="I3729">
        <v>7271.54</v>
      </c>
      <c r="J3729" t="s">
        <v>16</v>
      </c>
      <c r="K3729" t="s">
        <v>23</v>
      </c>
      <c r="L3729">
        <f t="shared" si="174"/>
        <v>2023</v>
      </c>
      <c r="M3729" t="str">
        <f t="shared" si="175"/>
        <v>Dec</v>
      </c>
      <c r="N3729" s="2">
        <f t="shared" si="176"/>
        <v>0.20831269507274361</v>
      </c>
    </row>
    <row r="3730" spans="1:14" x14ac:dyDescent="0.45">
      <c r="A3730" t="s">
        <v>6813</v>
      </c>
      <c r="B3730" s="1">
        <v>45272</v>
      </c>
      <c r="C3730" t="s">
        <v>6814</v>
      </c>
      <c r="D3730" t="s">
        <v>13</v>
      </c>
      <c r="E3730" t="s">
        <v>20</v>
      </c>
      <c r="F3730" t="s">
        <v>21</v>
      </c>
      <c r="G3730">
        <v>1</v>
      </c>
      <c r="H3730">
        <v>14008.92</v>
      </c>
      <c r="I3730">
        <v>1972.96</v>
      </c>
      <c r="J3730" t="s">
        <v>71</v>
      </c>
      <c r="K3730" t="s">
        <v>33</v>
      </c>
      <c r="L3730">
        <f t="shared" si="174"/>
        <v>2023</v>
      </c>
      <c r="M3730" t="str">
        <f t="shared" si="175"/>
        <v>Dec</v>
      </c>
      <c r="N3730" s="2">
        <f t="shared" si="176"/>
        <v>0.14083598164597985</v>
      </c>
    </row>
    <row r="3731" spans="1:14" x14ac:dyDescent="0.45">
      <c r="A3731" t="s">
        <v>6815</v>
      </c>
      <c r="B3731" s="1">
        <v>45613</v>
      </c>
      <c r="C3731" t="s">
        <v>2240</v>
      </c>
      <c r="D3731" t="s">
        <v>13</v>
      </c>
      <c r="E3731" t="s">
        <v>20</v>
      </c>
      <c r="F3731" t="s">
        <v>50</v>
      </c>
      <c r="G3731">
        <v>5</v>
      </c>
      <c r="H3731">
        <v>13522.23</v>
      </c>
      <c r="I3731">
        <v>3219.39</v>
      </c>
      <c r="J3731" t="s">
        <v>71</v>
      </c>
      <c r="K3731" t="s">
        <v>23</v>
      </c>
      <c r="L3731">
        <f t="shared" si="174"/>
        <v>2024</v>
      </c>
      <c r="M3731" t="str">
        <f t="shared" si="175"/>
        <v>Nov</v>
      </c>
      <c r="N3731" s="2">
        <f t="shared" si="176"/>
        <v>0.23808129280451523</v>
      </c>
    </row>
    <row r="3732" spans="1:14" x14ac:dyDescent="0.45">
      <c r="A3732" t="s">
        <v>6816</v>
      </c>
      <c r="B3732" s="1">
        <v>45555</v>
      </c>
      <c r="C3732" t="s">
        <v>6817</v>
      </c>
      <c r="D3732" t="s">
        <v>13</v>
      </c>
      <c r="E3732" t="s">
        <v>14</v>
      </c>
      <c r="F3732" t="s">
        <v>32</v>
      </c>
      <c r="G3732">
        <v>2</v>
      </c>
      <c r="H3732">
        <v>40127.75</v>
      </c>
      <c r="I3732">
        <v>5622.49</v>
      </c>
      <c r="J3732" t="s">
        <v>16</v>
      </c>
      <c r="K3732" t="s">
        <v>17</v>
      </c>
      <c r="L3732">
        <f t="shared" si="174"/>
        <v>2024</v>
      </c>
      <c r="M3732" t="str">
        <f t="shared" si="175"/>
        <v>Sep</v>
      </c>
      <c r="N3732" s="2">
        <f t="shared" si="176"/>
        <v>0.14011475849007232</v>
      </c>
    </row>
    <row r="3733" spans="1:14" x14ac:dyDescent="0.45">
      <c r="A3733" t="s">
        <v>6818</v>
      </c>
      <c r="B3733" s="1">
        <v>44804</v>
      </c>
      <c r="C3733" t="s">
        <v>3098</v>
      </c>
      <c r="D3733" t="s">
        <v>13</v>
      </c>
      <c r="E3733" t="s">
        <v>14</v>
      </c>
      <c r="F3733" t="s">
        <v>15</v>
      </c>
      <c r="G3733">
        <v>3</v>
      </c>
      <c r="H3733">
        <v>5163.04</v>
      </c>
      <c r="I3733">
        <v>1058.06</v>
      </c>
      <c r="J3733" t="s">
        <v>71</v>
      </c>
      <c r="K3733" t="s">
        <v>17</v>
      </c>
      <c r="L3733">
        <f t="shared" si="174"/>
        <v>2022</v>
      </c>
      <c r="M3733" t="str">
        <f t="shared" si="175"/>
        <v>Aug</v>
      </c>
      <c r="N3733" s="2">
        <f t="shared" si="176"/>
        <v>0.20492965384734574</v>
      </c>
    </row>
    <row r="3734" spans="1:14" x14ac:dyDescent="0.45">
      <c r="A3734" t="s">
        <v>6819</v>
      </c>
      <c r="B3734" s="1">
        <v>44592</v>
      </c>
      <c r="C3734" t="s">
        <v>6820</v>
      </c>
      <c r="D3734" t="s">
        <v>13</v>
      </c>
      <c r="E3734" t="s">
        <v>14</v>
      </c>
      <c r="F3734" t="s">
        <v>40</v>
      </c>
      <c r="G3734">
        <v>2</v>
      </c>
      <c r="H3734">
        <v>13388.48</v>
      </c>
      <c r="I3734">
        <v>2116.5</v>
      </c>
      <c r="J3734" t="s">
        <v>28</v>
      </c>
      <c r="K3734" t="s">
        <v>33</v>
      </c>
      <c r="L3734">
        <f t="shared" si="174"/>
        <v>2022</v>
      </c>
      <c r="M3734" t="str">
        <f t="shared" si="175"/>
        <v>Jan</v>
      </c>
      <c r="N3734" s="2">
        <f t="shared" si="176"/>
        <v>0.15808366595759937</v>
      </c>
    </row>
    <row r="3735" spans="1:14" x14ac:dyDescent="0.45">
      <c r="A3735" t="s">
        <v>6821</v>
      </c>
      <c r="B3735" s="1">
        <v>44814</v>
      </c>
      <c r="C3735" t="s">
        <v>6822</v>
      </c>
      <c r="D3735" t="s">
        <v>13</v>
      </c>
      <c r="E3735" t="s">
        <v>14</v>
      </c>
      <c r="F3735" t="s">
        <v>40</v>
      </c>
      <c r="G3735">
        <v>3</v>
      </c>
      <c r="H3735">
        <v>15754.31</v>
      </c>
      <c r="I3735">
        <v>1406.12</v>
      </c>
      <c r="J3735" t="s">
        <v>28</v>
      </c>
      <c r="K3735" t="s">
        <v>29</v>
      </c>
      <c r="L3735">
        <f t="shared" si="174"/>
        <v>2022</v>
      </c>
      <c r="M3735" t="str">
        <f t="shared" si="175"/>
        <v>Sep</v>
      </c>
      <c r="N3735" s="2">
        <f t="shared" si="176"/>
        <v>8.9253036153281229E-2</v>
      </c>
    </row>
    <row r="3736" spans="1:14" x14ac:dyDescent="0.45">
      <c r="A3736" t="s">
        <v>6823</v>
      </c>
      <c r="B3736" s="1">
        <v>44884</v>
      </c>
      <c r="C3736" t="s">
        <v>6824</v>
      </c>
      <c r="D3736" t="s">
        <v>56</v>
      </c>
      <c r="E3736" t="s">
        <v>20</v>
      </c>
      <c r="F3736" t="s">
        <v>43</v>
      </c>
      <c r="G3736">
        <v>1</v>
      </c>
      <c r="H3736">
        <v>29394.42</v>
      </c>
      <c r="I3736">
        <v>2298.5100000000002</v>
      </c>
      <c r="J3736" t="s">
        <v>47</v>
      </c>
      <c r="K3736" t="s">
        <v>29</v>
      </c>
      <c r="L3736">
        <f t="shared" si="174"/>
        <v>2022</v>
      </c>
      <c r="M3736" t="str">
        <f t="shared" si="175"/>
        <v>Nov</v>
      </c>
      <c r="N3736" s="2">
        <f t="shared" si="176"/>
        <v>7.8195453422792507E-2</v>
      </c>
    </row>
    <row r="3737" spans="1:14" x14ac:dyDescent="0.45">
      <c r="A3737" t="s">
        <v>6825</v>
      </c>
      <c r="B3737" s="1">
        <v>45648</v>
      </c>
      <c r="C3737" t="s">
        <v>6826</v>
      </c>
      <c r="D3737" t="s">
        <v>56</v>
      </c>
      <c r="E3737" t="s">
        <v>14</v>
      </c>
      <c r="F3737" t="s">
        <v>15</v>
      </c>
      <c r="G3737">
        <v>2</v>
      </c>
      <c r="H3737">
        <v>48326.44</v>
      </c>
      <c r="I3737">
        <v>8849.5499999999993</v>
      </c>
      <c r="J3737" t="s">
        <v>28</v>
      </c>
      <c r="K3737" t="s">
        <v>23</v>
      </c>
      <c r="L3737">
        <f t="shared" si="174"/>
        <v>2024</v>
      </c>
      <c r="M3737" t="str">
        <f t="shared" si="175"/>
        <v>Dec</v>
      </c>
      <c r="N3737" s="2">
        <f t="shared" si="176"/>
        <v>0.18312025466804505</v>
      </c>
    </row>
    <row r="3738" spans="1:14" x14ac:dyDescent="0.45">
      <c r="A3738" t="s">
        <v>6827</v>
      </c>
      <c r="B3738" s="1">
        <v>45380</v>
      </c>
      <c r="C3738" t="s">
        <v>6828</v>
      </c>
      <c r="D3738" t="s">
        <v>56</v>
      </c>
      <c r="E3738" t="s">
        <v>14</v>
      </c>
      <c r="F3738" t="s">
        <v>15</v>
      </c>
      <c r="G3738">
        <v>2</v>
      </c>
      <c r="H3738">
        <v>45280.54</v>
      </c>
      <c r="I3738">
        <v>9573.57</v>
      </c>
      <c r="J3738" t="s">
        <v>22</v>
      </c>
      <c r="K3738" t="s">
        <v>23</v>
      </c>
      <c r="L3738">
        <f t="shared" si="174"/>
        <v>2024</v>
      </c>
      <c r="M3738" t="str">
        <f t="shared" si="175"/>
        <v>Mar</v>
      </c>
      <c r="N3738" s="2">
        <f t="shared" si="176"/>
        <v>0.21142791141625078</v>
      </c>
    </row>
    <row r="3739" spans="1:14" x14ac:dyDescent="0.45">
      <c r="A3739" t="s">
        <v>6829</v>
      </c>
      <c r="B3739" s="1">
        <v>45291</v>
      </c>
      <c r="C3739" t="s">
        <v>5999</v>
      </c>
      <c r="D3739" t="s">
        <v>13</v>
      </c>
      <c r="E3739" t="s">
        <v>36</v>
      </c>
      <c r="F3739" t="s">
        <v>53</v>
      </c>
      <c r="G3739">
        <v>3</v>
      </c>
      <c r="H3739">
        <v>4157.4799999999996</v>
      </c>
      <c r="I3739">
        <v>343.1</v>
      </c>
      <c r="J3739" t="s">
        <v>22</v>
      </c>
      <c r="K3739" t="s">
        <v>33</v>
      </c>
      <c r="L3739">
        <f t="shared" si="174"/>
        <v>2023</v>
      </c>
      <c r="M3739" t="str">
        <f t="shared" si="175"/>
        <v>Dec</v>
      </c>
      <c r="N3739" s="2">
        <f t="shared" si="176"/>
        <v>8.2525953221663131E-2</v>
      </c>
    </row>
    <row r="3740" spans="1:14" x14ac:dyDescent="0.45">
      <c r="A3740" t="s">
        <v>6830</v>
      </c>
      <c r="B3740" s="1">
        <v>45175</v>
      </c>
      <c r="C3740" t="s">
        <v>5286</v>
      </c>
      <c r="D3740" t="s">
        <v>26</v>
      </c>
      <c r="E3740" t="s">
        <v>36</v>
      </c>
      <c r="F3740" t="s">
        <v>64</v>
      </c>
      <c r="G3740">
        <v>5</v>
      </c>
      <c r="H3740">
        <v>28287.91</v>
      </c>
      <c r="I3740">
        <v>3606.99</v>
      </c>
      <c r="J3740" t="s">
        <v>47</v>
      </c>
      <c r="K3740" t="s">
        <v>23</v>
      </c>
      <c r="L3740">
        <f t="shared" si="174"/>
        <v>2023</v>
      </c>
      <c r="M3740" t="str">
        <f t="shared" si="175"/>
        <v>Sep</v>
      </c>
      <c r="N3740" s="2">
        <f t="shared" si="176"/>
        <v>0.12750995036395407</v>
      </c>
    </row>
    <row r="3741" spans="1:14" x14ac:dyDescent="0.45">
      <c r="A3741" t="s">
        <v>6831</v>
      </c>
      <c r="B3741" s="1">
        <v>45049</v>
      </c>
      <c r="C3741" t="s">
        <v>6832</v>
      </c>
      <c r="D3741" t="s">
        <v>13</v>
      </c>
      <c r="E3741" t="s">
        <v>20</v>
      </c>
      <c r="F3741" t="s">
        <v>50</v>
      </c>
      <c r="G3741">
        <v>3</v>
      </c>
      <c r="H3741">
        <v>39508.370000000003</v>
      </c>
      <c r="I3741">
        <v>4479.04</v>
      </c>
      <c r="J3741" t="s">
        <v>47</v>
      </c>
      <c r="K3741" t="s">
        <v>33</v>
      </c>
      <c r="L3741">
        <f t="shared" si="174"/>
        <v>2023</v>
      </c>
      <c r="M3741" t="str">
        <f t="shared" si="175"/>
        <v>May</v>
      </c>
      <c r="N3741" s="2">
        <f t="shared" si="176"/>
        <v>0.1133693948902473</v>
      </c>
    </row>
    <row r="3742" spans="1:14" x14ac:dyDescent="0.45">
      <c r="A3742" t="s">
        <v>6833</v>
      </c>
      <c r="B3742" s="1">
        <v>45318</v>
      </c>
      <c r="C3742" t="s">
        <v>6834</v>
      </c>
      <c r="D3742" t="s">
        <v>56</v>
      </c>
      <c r="E3742" t="s">
        <v>14</v>
      </c>
      <c r="F3742" t="s">
        <v>32</v>
      </c>
      <c r="G3742">
        <v>2</v>
      </c>
      <c r="H3742">
        <v>3366.17</v>
      </c>
      <c r="I3742">
        <v>276.06</v>
      </c>
      <c r="J3742" t="s">
        <v>22</v>
      </c>
      <c r="K3742" t="s">
        <v>29</v>
      </c>
      <c r="L3742">
        <f t="shared" si="174"/>
        <v>2024</v>
      </c>
      <c r="M3742" t="str">
        <f t="shared" si="175"/>
        <v>Jan</v>
      </c>
      <c r="N3742" s="2">
        <f t="shared" si="176"/>
        <v>8.2010118324386469E-2</v>
      </c>
    </row>
    <row r="3743" spans="1:14" x14ac:dyDescent="0.45">
      <c r="A3743" t="s">
        <v>6835</v>
      </c>
      <c r="B3743" s="1">
        <v>45520</v>
      </c>
      <c r="C3743" t="s">
        <v>2673</v>
      </c>
      <c r="D3743" t="s">
        <v>56</v>
      </c>
      <c r="E3743" t="s">
        <v>20</v>
      </c>
      <c r="F3743" t="s">
        <v>21</v>
      </c>
      <c r="G3743">
        <v>4</v>
      </c>
      <c r="H3743">
        <v>28823.21</v>
      </c>
      <c r="I3743">
        <v>1575.41</v>
      </c>
      <c r="J3743" t="s">
        <v>16</v>
      </c>
      <c r="K3743" t="s">
        <v>33</v>
      </c>
      <c r="L3743">
        <f t="shared" si="174"/>
        <v>2024</v>
      </c>
      <c r="M3743" t="str">
        <f t="shared" si="175"/>
        <v>Aug</v>
      </c>
      <c r="N3743" s="2">
        <f t="shared" si="176"/>
        <v>5.4657687329065716E-2</v>
      </c>
    </row>
    <row r="3744" spans="1:14" x14ac:dyDescent="0.45">
      <c r="A3744" t="s">
        <v>6836</v>
      </c>
      <c r="B3744" s="1">
        <v>45480</v>
      </c>
      <c r="C3744" t="s">
        <v>6837</v>
      </c>
      <c r="D3744" t="s">
        <v>13</v>
      </c>
      <c r="E3744" t="s">
        <v>36</v>
      </c>
      <c r="F3744" t="s">
        <v>46</v>
      </c>
      <c r="G3744">
        <v>1</v>
      </c>
      <c r="H3744">
        <v>14253.87</v>
      </c>
      <c r="I3744">
        <v>1764.73</v>
      </c>
      <c r="J3744" t="s">
        <v>71</v>
      </c>
      <c r="K3744" t="s">
        <v>23</v>
      </c>
      <c r="L3744">
        <f t="shared" si="174"/>
        <v>2024</v>
      </c>
      <c r="M3744" t="str">
        <f t="shared" si="175"/>
        <v>Jul</v>
      </c>
      <c r="N3744" s="2">
        <f t="shared" si="176"/>
        <v>0.12380707835836863</v>
      </c>
    </row>
    <row r="3745" spans="1:14" x14ac:dyDescent="0.45">
      <c r="A3745" t="s">
        <v>6838</v>
      </c>
      <c r="B3745" s="1">
        <v>45636</v>
      </c>
      <c r="C3745" t="s">
        <v>160</v>
      </c>
      <c r="D3745" t="s">
        <v>56</v>
      </c>
      <c r="E3745" t="s">
        <v>14</v>
      </c>
      <c r="F3745" t="s">
        <v>57</v>
      </c>
      <c r="G3745">
        <v>4</v>
      </c>
      <c r="H3745">
        <v>28422.46</v>
      </c>
      <c r="I3745">
        <v>2117.5700000000002</v>
      </c>
      <c r="J3745" t="s">
        <v>71</v>
      </c>
      <c r="K3745" t="s">
        <v>23</v>
      </c>
      <c r="L3745">
        <f t="shared" si="174"/>
        <v>2024</v>
      </c>
      <c r="M3745" t="str">
        <f t="shared" si="175"/>
        <v>Dec</v>
      </c>
      <c r="N3745" s="2">
        <f t="shared" si="176"/>
        <v>7.4503403294436873E-2</v>
      </c>
    </row>
    <row r="3746" spans="1:14" x14ac:dyDescent="0.45">
      <c r="A3746" t="s">
        <v>6839</v>
      </c>
      <c r="B3746" s="1">
        <v>44972</v>
      </c>
      <c r="C3746" t="s">
        <v>6840</v>
      </c>
      <c r="D3746" t="s">
        <v>56</v>
      </c>
      <c r="E3746" t="s">
        <v>14</v>
      </c>
      <c r="F3746" t="s">
        <v>15</v>
      </c>
      <c r="G3746">
        <v>4</v>
      </c>
      <c r="H3746">
        <v>35783.82</v>
      </c>
      <c r="I3746">
        <v>8867.67</v>
      </c>
      <c r="J3746" t="s">
        <v>16</v>
      </c>
      <c r="K3746" t="s">
        <v>23</v>
      </c>
      <c r="L3746">
        <f t="shared" si="174"/>
        <v>2023</v>
      </c>
      <c r="M3746" t="str">
        <f t="shared" si="175"/>
        <v>Feb</v>
      </c>
      <c r="N3746" s="2">
        <f t="shared" si="176"/>
        <v>0.24781227940449063</v>
      </c>
    </row>
    <row r="3747" spans="1:14" x14ac:dyDescent="0.45">
      <c r="A3747" t="s">
        <v>6841</v>
      </c>
      <c r="B3747" s="1">
        <v>45100</v>
      </c>
      <c r="C3747" t="s">
        <v>6842</v>
      </c>
      <c r="D3747" t="s">
        <v>56</v>
      </c>
      <c r="E3747" t="s">
        <v>36</v>
      </c>
      <c r="F3747" t="s">
        <v>64</v>
      </c>
      <c r="G3747">
        <v>1</v>
      </c>
      <c r="H3747">
        <v>19853.3</v>
      </c>
      <c r="I3747">
        <v>3455.92</v>
      </c>
      <c r="J3747" t="s">
        <v>22</v>
      </c>
      <c r="K3747" t="s">
        <v>17</v>
      </c>
      <c r="L3747">
        <f t="shared" si="174"/>
        <v>2023</v>
      </c>
      <c r="M3747" t="str">
        <f t="shared" si="175"/>
        <v>Jun</v>
      </c>
      <c r="N3747" s="2">
        <f t="shared" si="176"/>
        <v>0.17407282416525213</v>
      </c>
    </row>
    <row r="3748" spans="1:14" x14ac:dyDescent="0.45">
      <c r="A3748" t="s">
        <v>6843</v>
      </c>
      <c r="B3748" s="1">
        <v>45647</v>
      </c>
      <c r="C3748" t="s">
        <v>6844</v>
      </c>
      <c r="D3748" t="s">
        <v>13</v>
      </c>
      <c r="E3748" t="s">
        <v>20</v>
      </c>
      <c r="F3748" t="s">
        <v>50</v>
      </c>
      <c r="G3748">
        <v>4</v>
      </c>
      <c r="H3748">
        <v>19356.52</v>
      </c>
      <c r="I3748">
        <v>2154.81</v>
      </c>
      <c r="J3748" t="s">
        <v>28</v>
      </c>
      <c r="K3748" t="s">
        <v>17</v>
      </c>
      <c r="L3748">
        <f t="shared" si="174"/>
        <v>2024</v>
      </c>
      <c r="M3748" t="str">
        <f t="shared" si="175"/>
        <v>Dec</v>
      </c>
      <c r="N3748" s="2">
        <f t="shared" si="176"/>
        <v>0.11132217981331355</v>
      </c>
    </row>
    <row r="3749" spans="1:14" x14ac:dyDescent="0.45">
      <c r="A3749" t="s">
        <v>6845</v>
      </c>
      <c r="B3749" s="1">
        <v>44872</v>
      </c>
      <c r="C3749" t="s">
        <v>5090</v>
      </c>
      <c r="D3749" t="s">
        <v>56</v>
      </c>
      <c r="E3749" t="s">
        <v>36</v>
      </c>
      <c r="F3749" t="s">
        <v>53</v>
      </c>
      <c r="G3749">
        <v>2</v>
      </c>
      <c r="H3749">
        <v>44794.09</v>
      </c>
      <c r="I3749">
        <v>4713.99</v>
      </c>
      <c r="J3749" t="s">
        <v>71</v>
      </c>
      <c r="K3749" t="s">
        <v>29</v>
      </c>
      <c r="L3749">
        <f t="shared" si="174"/>
        <v>2022</v>
      </c>
      <c r="M3749" t="str">
        <f t="shared" si="175"/>
        <v>Nov</v>
      </c>
      <c r="N3749" s="2">
        <f t="shared" si="176"/>
        <v>0.10523687388224652</v>
      </c>
    </row>
    <row r="3750" spans="1:14" x14ac:dyDescent="0.45">
      <c r="A3750" t="s">
        <v>6846</v>
      </c>
      <c r="B3750" s="1">
        <v>45365</v>
      </c>
      <c r="C3750" t="s">
        <v>1627</v>
      </c>
      <c r="D3750" t="s">
        <v>56</v>
      </c>
      <c r="E3750" t="s">
        <v>36</v>
      </c>
      <c r="F3750" t="s">
        <v>46</v>
      </c>
      <c r="G3750">
        <v>3</v>
      </c>
      <c r="H3750">
        <v>22666.61</v>
      </c>
      <c r="I3750">
        <v>4855.67</v>
      </c>
      <c r="J3750" t="s">
        <v>47</v>
      </c>
      <c r="K3750" t="s">
        <v>23</v>
      </c>
      <c r="L3750">
        <f t="shared" si="174"/>
        <v>2024</v>
      </c>
      <c r="M3750" t="str">
        <f t="shared" si="175"/>
        <v>Mar</v>
      </c>
      <c r="N3750" s="2">
        <f t="shared" si="176"/>
        <v>0.21422127084729475</v>
      </c>
    </row>
    <row r="3751" spans="1:14" x14ac:dyDescent="0.45">
      <c r="A3751" t="s">
        <v>6847</v>
      </c>
      <c r="B3751" s="1">
        <v>45091</v>
      </c>
      <c r="C3751" t="s">
        <v>6848</v>
      </c>
      <c r="D3751" t="s">
        <v>56</v>
      </c>
      <c r="E3751" t="s">
        <v>14</v>
      </c>
      <c r="F3751" t="s">
        <v>57</v>
      </c>
      <c r="G3751">
        <v>5</v>
      </c>
      <c r="H3751">
        <v>19864.47</v>
      </c>
      <c r="I3751">
        <v>3526.83</v>
      </c>
      <c r="J3751" t="s">
        <v>28</v>
      </c>
      <c r="K3751" t="s">
        <v>17</v>
      </c>
      <c r="L3751">
        <f t="shared" si="174"/>
        <v>2023</v>
      </c>
      <c r="M3751" t="str">
        <f t="shared" si="175"/>
        <v>Jun</v>
      </c>
      <c r="N3751" s="2">
        <f t="shared" si="176"/>
        <v>0.17754463119328126</v>
      </c>
    </row>
    <row r="3752" spans="1:14" x14ac:dyDescent="0.45">
      <c r="A3752" t="s">
        <v>6849</v>
      </c>
      <c r="B3752" s="1">
        <v>45236</v>
      </c>
      <c r="C3752" t="s">
        <v>6850</v>
      </c>
      <c r="D3752" t="s">
        <v>13</v>
      </c>
      <c r="E3752" t="s">
        <v>14</v>
      </c>
      <c r="F3752" t="s">
        <v>57</v>
      </c>
      <c r="G3752">
        <v>2</v>
      </c>
      <c r="H3752">
        <v>37814.449999999997</v>
      </c>
      <c r="I3752">
        <v>6422.5</v>
      </c>
      <c r="J3752" t="s">
        <v>47</v>
      </c>
      <c r="K3752" t="s">
        <v>33</v>
      </c>
      <c r="L3752">
        <f t="shared" si="174"/>
        <v>2023</v>
      </c>
      <c r="M3752" t="str">
        <f t="shared" si="175"/>
        <v>Nov</v>
      </c>
      <c r="N3752" s="2">
        <f t="shared" si="176"/>
        <v>0.16984248085057432</v>
      </c>
    </row>
    <row r="3753" spans="1:14" x14ac:dyDescent="0.45">
      <c r="A3753" t="s">
        <v>6851</v>
      </c>
      <c r="B3753" s="1">
        <v>45041</v>
      </c>
      <c r="C3753" t="s">
        <v>4317</v>
      </c>
      <c r="D3753" t="s">
        <v>26</v>
      </c>
      <c r="E3753" t="s">
        <v>36</v>
      </c>
      <c r="F3753" t="s">
        <v>46</v>
      </c>
      <c r="G3753">
        <v>5</v>
      </c>
      <c r="H3753">
        <v>19406.75</v>
      </c>
      <c r="I3753">
        <v>1850.04</v>
      </c>
      <c r="J3753" t="s">
        <v>47</v>
      </c>
      <c r="K3753" t="s">
        <v>17</v>
      </c>
      <c r="L3753">
        <f t="shared" si="174"/>
        <v>2023</v>
      </c>
      <c r="M3753" t="str">
        <f t="shared" si="175"/>
        <v>Apr</v>
      </c>
      <c r="N3753" s="2">
        <f t="shared" si="176"/>
        <v>9.5329717752843726E-2</v>
      </c>
    </row>
    <row r="3754" spans="1:14" x14ac:dyDescent="0.45">
      <c r="A3754" t="s">
        <v>6852</v>
      </c>
      <c r="B3754" s="1">
        <v>45425</v>
      </c>
      <c r="C3754" t="s">
        <v>4682</v>
      </c>
      <c r="D3754" t="s">
        <v>13</v>
      </c>
      <c r="E3754" t="s">
        <v>20</v>
      </c>
      <c r="F3754" t="s">
        <v>50</v>
      </c>
      <c r="G3754">
        <v>1</v>
      </c>
      <c r="H3754">
        <v>37934.99</v>
      </c>
      <c r="I3754">
        <v>7330.53</v>
      </c>
      <c r="J3754" t="s">
        <v>71</v>
      </c>
      <c r="K3754" t="s">
        <v>17</v>
      </c>
      <c r="L3754">
        <f t="shared" si="174"/>
        <v>2024</v>
      </c>
      <c r="M3754" t="str">
        <f t="shared" si="175"/>
        <v>May</v>
      </c>
      <c r="N3754" s="2">
        <f t="shared" si="176"/>
        <v>0.1932392759296892</v>
      </c>
    </row>
    <row r="3755" spans="1:14" x14ac:dyDescent="0.45">
      <c r="A3755" t="s">
        <v>6853</v>
      </c>
      <c r="B3755" s="1">
        <v>44666</v>
      </c>
      <c r="C3755" t="s">
        <v>6854</v>
      </c>
      <c r="D3755" t="s">
        <v>26</v>
      </c>
      <c r="E3755" t="s">
        <v>14</v>
      </c>
      <c r="F3755" t="s">
        <v>32</v>
      </c>
      <c r="G3755">
        <v>1</v>
      </c>
      <c r="H3755">
        <v>6485.25</v>
      </c>
      <c r="I3755">
        <v>968.61</v>
      </c>
      <c r="J3755" t="s">
        <v>71</v>
      </c>
      <c r="K3755" t="s">
        <v>23</v>
      </c>
      <c r="L3755">
        <f t="shared" si="174"/>
        <v>2022</v>
      </c>
      <c r="M3755" t="str">
        <f t="shared" si="175"/>
        <v>Apr</v>
      </c>
      <c r="N3755" s="2">
        <f t="shared" si="176"/>
        <v>0.14935584595813578</v>
      </c>
    </row>
    <row r="3756" spans="1:14" x14ac:dyDescent="0.45">
      <c r="A3756" t="s">
        <v>6855</v>
      </c>
      <c r="B3756" s="1">
        <v>45417</v>
      </c>
      <c r="C3756" t="s">
        <v>6856</v>
      </c>
      <c r="D3756" t="s">
        <v>13</v>
      </c>
      <c r="E3756" t="s">
        <v>20</v>
      </c>
      <c r="F3756" t="s">
        <v>27</v>
      </c>
      <c r="G3756">
        <v>5</v>
      </c>
      <c r="H3756">
        <v>14904.86</v>
      </c>
      <c r="I3756">
        <v>3418.33</v>
      </c>
      <c r="J3756" t="s">
        <v>71</v>
      </c>
      <c r="K3756" t="s">
        <v>23</v>
      </c>
      <c r="L3756">
        <f t="shared" si="174"/>
        <v>2024</v>
      </c>
      <c r="M3756" t="str">
        <f t="shared" si="175"/>
        <v>May</v>
      </c>
      <c r="N3756" s="2">
        <f t="shared" si="176"/>
        <v>0.22934331486508427</v>
      </c>
    </row>
    <row r="3757" spans="1:14" x14ac:dyDescent="0.45">
      <c r="A3757" t="s">
        <v>6857</v>
      </c>
      <c r="B3757" s="1">
        <v>45028</v>
      </c>
      <c r="C3757" t="s">
        <v>5205</v>
      </c>
      <c r="D3757" t="s">
        <v>56</v>
      </c>
      <c r="E3757" t="s">
        <v>14</v>
      </c>
      <c r="F3757" t="s">
        <v>15</v>
      </c>
      <c r="G3757">
        <v>4</v>
      </c>
      <c r="H3757">
        <v>48455.18</v>
      </c>
      <c r="I3757">
        <v>5094.04</v>
      </c>
      <c r="J3757" t="s">
        <v>71</v>
      </c>
      <c r="K3757" t="s">
        <v>23</v>
      </c>
      <c r="L3757">
        <f t="shared" si="174"/>
        <v>2023</v>
      </c>
      <c r="M3757" t="str">
        <f t="shared" si="175"/>
        <v>Apr</v>
      </c>
      <c r="N3757" s="2">
        <f t="shared" si="176"/>
        <v>0.10512890469089166</v>
      </c>
    </row>
    <row r="3758" spans="1:14" x14ac:dyDescent="0.45">
      <c r="A3758" t="s">
        <v>6858</v>
      </c>
      <c r="B3758" s="1">
        <v>45615</v>
      </c>
      <c r="C3758" t="s">
        <v>6859</v>
      </c>
      <c r="D3758" t="s">
        <v>26</v>
      </c>
      <c r="E3758" t="s">
        <v>14</v>
      </c>
      <c r="F3758" t="s">
        <v>15</v>
      </c>
      <c r="G3758">
        <v>3</v>
      </c>
      <c r="H3758">
        <v>1816.84</v>
      </c>
      <c r="I3758">
        <v>171.73</v>
      </c>
      <c r="J3758" t="s">
        <v>16</v>
      </c>
      <c r="K3758" t="s">
        <v>33</v>
      </c>
      <c r="L3758">
        <f t="shared" si="174"/>
        <v>2024</v>
      </c>
      <c r="M3758" t="str">
        <f t="shared" si="175"/>
        <v>Nov</v>
      </c>
      <c r="N3758" s="2">
        <f t="shared" si="176"/>
        <v>9.4521256687435329E-2</v>
      </c>
    </row>
    <row r="3759" spans="1:14" x14ac:dyDescent="0.45">
      <c r="A3759" t="s">
        <v>6860</v>
      </c>
      <c r="B3759" s="1">
        <v>44890</v>
      </c>
      <c r="C3759" t="s">
        <v>6803</v>
      </c>
      <c r="D3759" t="s">
        <v>26</v>
      </c>
      <c r="E3759" t="s">
        <v>20</v>
      </c>
      <c r="F3759" t="s">
        <v>27</v>
      </c>
      <c r="G3759">
        <v>1</v>
      </c>
      <c r="H3759">
        <v>5451.3</v>
      </c>
      <c r="I3759">
        <v>505</v>
      </c>
      <c r="J3759" t="s">
        <v>22</v>
      </c>
      <c r="K3759" t="s">
        <v>23</v>
      </c>
      <c r="L3759">
        <f t="shared" si="174"/>
        <v>2022</v>
      </c>
      <c r="M3759" t="str">
        <f t="shared" si="175"/>
        <v>Nov</v>
      </c>
      <c r="N3759" s="2">
        <f t="shared" si="176"/>
        <v>9.2638453212995062E-2</v>
      </c>
    </row>
    <row r="3760" spans="1:14" x14ac:dyDescent="0.45">
      <c r="A3760" t="s">
        <v>6861</v>
      </c>
      <c r="B3760" s="1">
        <v>45110</v>
      </c>
      <c r="C3760" t="s">
        <v>6862</v>
      </c>
      <c r="D3760" t="s">
        <v>13</v>
      </c>
      <c r="E3760" t="s">
        <v>36</v>
      </c>
      <c r="F3760" t="s">
        <v>64</v>
      </c>
      <c r="G3760">
        <v>1</v>
      </c>
      <c r="H3760">
        <v>3482.21</v>
      </c>
      <c r="I3760">
        <v>812.79</v>
      </c>
      <c r="J3760" t="s">
        <v>47</v>
      </c>
      <c r="K3760" t="s">
        <v>17</v>
      </c>
      <c r="L3760">
        <f t="shared" si="174"/>
        <v>2023</v>
      </c>
      <c r="M3760" t="str">
        <f t="shared" si="175"/>
        <v>Jul</v>
      </c>
      <c r="N3760" s="2">
        <f t="shared" si="176"/>
        <v>0.23341211472024948</v>
      </c>
    </row>
    <row r="3761" spans="1:14" x14ac:dyDescent="0.45">
      <c r="A3761" t="s">
        <v>6863</v>
      </c>
      <c r="B3761" s="1">
        <v>45201</v>
      </c>
      <c r="C3761" t="s">
        <v>6864</v>
      </c>
      <c r="D3761" t="s">
        <v>26</v>
      </c>
      <c r="E3761" t="s">
        <v>36</v>
      </c>
      <c r="F3761" t="s">
        <v>46</v>
      </c>
      <c r="G3761">
        <v>2</v>
      </c>
      <c r="H3761">
        <v>46489.53</v>
      </c>
      <c r="I3761">
        <v>7423.45</v>
      </c>
      <c r="J3761" t="s">
        <v>47</v>
      </c>
      <c r="K3761" t="s">
        <v>29</v>
      </c>
      <c r="L3761">
        <f t="shared" si="174"/>
        <v>2023</v>
      </c>
      <c r="M3761" t="str">
        <f t="shared" si="175"/>
        <v>Oct</v>
      </c>
      <c r="N3761" s="2">
        <f t="shared" si="176"/>
        <v>0.15968003978530221</v>
      </c>
    </row>
    <row r="3762" spans="1:14" x14ac:dyDescent="0.45">
      <c r="A3762" t="s">
        <v>6865</v>
      </c>
      <c r="B3762" s="1">
        <v>45046</v>
      </c>
      <c r="C3762" t="s">
        <v>6866</v>
      </c>
      <c r="D3762" t="s">
        <v>13</v>
      </c>
      <c r="E3762" t="s">
        <v>20</v>
      </c>
      <c r="F3762" t="s">
        <v>21</v>
      </c>
      <c r="G3762">
        <v>2</v>
      </c>
      <c r="H3762">
        <v>14083.2</v>
      </c>
      <c r="I3762">
        <v>1371.61</v>
      </c>
      <c r="J3762" t="s">
        <v>16</v>
      </c>
      <c r="K3762" t="s">
        <v>29</v>
      </c>
      <c r="L3762">
        <f t="shared" si="174"/>
        <v>2023</v>
      </c>
      <c r="M3762" t="str">
        <f t="shared" si="175"/>
        <v>Apr</v>
      </c>
      <c r="N3762" s="2">
        <f t="shared" si="176"/>
        <v>9.7393348102703919E-2</v>
      </c>
    </row>
    <row r="3763" spans="1:14" x14ac:dyDescent="0.45">
      <c r="A3763" t="s">
        <v>6867</v>
      </c>
      <c r="B3763" s="1">
        <v>45547</v>
      </c>
      <c r="C3763" t="s">
        <v>6868</v>
      </c>
      <c r="D3763" t="s">
        <v>26</v>
      </c>
      <c r="E3763" t="s">
        <v>36</v>
      </c>
      <c r="F3763" t="s">
        <v>46</v>
      </c>
      <c r="G3763">
        <v>1</v>
      </c>
      <c r="H3763">
        <v>38771.910000000003</v>
      </c>
      <c r="I3763">
        <v>2558.5500000000002</v>
      </c>
      <c r="J3763" t="s">
        <v>16</v>
      </c>
      <c r="K3763" t="s">
        <v>29</v>
      </c>
      <c r="L3763">
        <f t="shared" si="174"/>
        <v>2024</v>
      </c>
      <c r="M3763" t="str">
        <f t="shared" si="175"/>
        <v>Sep</v>
      </c>
      <c r="N3763" s="2">
        <f t="shared" si="176"/>
        <v>6.5989784872604929E-2</v>
      </c>
    </row>
    <row r="3764" spans="1:14" x14ac:dyDescent="0.45">
      <c r="A3764" t="s">
        <v>6869</v>
      </c>
      <c r="B3764" s="1">
        <v>44655</v>
      </c>
      <c r="C3764" t="s">
        <v>6870</v>
      </c>
      <c r="D3764" t="s">
        <v>56</v>
      </c>
      <c r="E3764" t="s">
        <v>14</v>
      </c>
      <c r="F3764" t="s">
        <v>40</v>
      </c>
      <c r="G3764">
        <v>5</v>
      </c>
      <c r="H3764">
        <v>15667.25</v>
      </c>
      <c r="I3764">
        <v>2302.48</v>
      </c>
      <c r="J3764" t="s">
        <v>47</v>
      </c>
      <c r="K3764" t="s">
        <v>33</v>
      </c>
      <c r="L3764">
        <f t="shared" si="174"/>
        <v>2022</v>
      </c>
      <c r="M3764" t="str">
        <f t="shared" si="175"/>
        <v>Apr</v>
      </c>
      <c r="N3764" s="2">
        <f t="shared" si="176"/>
        <v>0.14696133654597968</v>
      </c>
    </row>
    <row r="3765" spans="1:14" x14ac:dyDescent="0.45">
      <c r="A3765" t="s">
        <v>6871</v>
      </c>
      <c r="B3765" s="1">
        <v>45063</v>
      </c>
      <c r="C3765" t="s">
        <v>6872</v>
      </c>
      <c r="D3765" t="s">
        <v>13</v>
      </c>
      <c r="E3765" t="s">
        <v>14</v>
      </c>
      <c r="F3765" t="s">
        <v>32</v>
      </c>
      <c r="G3765">
        <v>5</v>
      </c>
      <c r="H3765">
        <v>3941.74</v>
      </c>
      <c r="I3765">
        <v>907.66</v>
      </c>
      <c r="J3765" t="s">
        <v>16</v>
      </c>
      <c r="K3765" t="s">
        <v>33</v>
      </c>
      <c r="L3765">
        <f t="shared" si="174"/>
        <v>2023</v>
      </c>
      <c r="M3765" t="str">
        <f t="shared" si="175"/>
        <v>May</v>
      </c>
      <c r="N3765" s="2">
        <f t="shared" si="176"/>
        <v>0.23026886603378205</v>
      </c>
    </row>
    <row r="3766" spans="1:14" x14ac:dyDescent="0.45">
      <c r="A3766" t="s">
        <v>6873</v>
      </c>
      <c r="B3766" s="1">
        <v>45146</v>
      </c>
      <c r="C3766" t="s">
        <v>5090</v>
      </c>
      <c r="D3766" t="s">
        <v>13</v>
      </c>
      <c r="E3766" t="s">
        <v>36</v>
      </c>
      <c r="F3766" t="s">
        <v>46</v>
      </c>
      <c r="G3766">
        <v>1</v>
      </c>
      <c r="H3766">
        <v>3939.28</v>
      </c>
      <c r="I3766">
        <v>394.6</v>
      </c>
      <c r="J3766" t="s">
        <v>71</v>
      </c>
      <c r="K3766" t="s">
        <v>23</v>
      </c>
      <c r="L3766">
        <f t="shared" si="174"/>
        <v>2023</v>
      </c>
      <c r="M3766" t="str">
        <f t="shared" si="175"/>
        <v>Aug</v>
      </c>
      <c r="N3766" s="2">
        <f t="shared" si="176"/>
        <v>0.10017058954935927</v>
      </c>
    </row>
    <row r="3767" spans="1:14" x14ac:dyDescent="0.45">
      <c r="A3767" t="s">
        <v>6874</v>
      </c>
      <c r="B3767" s="1">
        <v>44914</v>
      </c>
      <c r="C3767" t="s">
        <v>6875</v>
      </c>
      <c r="D3767" t="s">
        <v>13</v>
      </c>
      <c r="E3767" t="s">
        <v>14</v>
      </c>
      <c r="F3767" t="s">
        <v>32</v>
      </c>
      <c r="G3767">
        <v>2</v>
      </c>
      <c r="H3767">
        <v>49446.15</v>
      </c>
      <c r="I3767">
        <v>2770.48</v>
      </c>
      <c r="J3767" t="s">
        <v>16</v>
      </c>
      <c r="K3767" t="s">
        <v>17</v>
      </c>
      <c r="L3767">
        <f t="shared" si="174"/>
        <v>2022</v>
      </c>
      <c r="M3767" t="str">
        <f t="shared" si="175"/>
        <v>Dec</v>
      </c>
      <c r="N3767" s="2">
        <f t="shared" si="176"/>
        <v>5.6030247046534462E-2</v>
      </c>
    </row>
    <row r="3768" spans="1:14" x14ac:dyDescent="0.45">
      <c r="A3768" t="s">
        <v>6876</v>
      </c>
      <c r="B3768" s="1">
        <v>45550</v>
      </c>
      <c r="C3768" t="s">
        <v>6877</v>
      </c>
      <c r="D3768" t="s">
        <v>13</v>
      </c>
      <c r="E3768" t="s">
        <v>36</v>
      </c>
      <c r="F3768" t="s">
        <v>46</v>
      </c>
      <c r="G3768">
        <v>5</v>
      </c>
      <c r="H3768">
        <v>40065.29</v>
      </c>
      <c r="I3768">
        <v>9859.82</v>
      </c>
      <c r="J3768" t="s">
        <v>28</v>
      </c>
      <c r="K3768" t="s">
        <v>17</v>
      </c>
      <c r="L3768">
        <f t="shared" si="174"/>
        <v>2024</v>
      </c>
      <c r="M3768" t="str">
        <f t="shared" si="175"/>
        <v>Sep</v>
      </c>
      <c r="N3768" s="2">
        <f t="shared" si="176"/>
        <v>0.24609381337312172</v>
      </c>
    </row>
    <row r="3769" spans="1:14" x14ac:dyDescent="0.45">
      <c r="A3769" t="s">
        <v>6878</v>
      </c>
      <c r="B3769" s="1">
        <v>44704</v>
      </c>
      <c r="C3769" t="s">
        <v>1452</v>
      </c>
      <c r="D3769" t="s">
        <v>56</v>
      </c>
      <c r="E3769" t="s">
        <v>14</v>
      </c>
      <c r="F3769" t="s">
        <v>32</v>
      </c>
      <c r="G3769">
        <v>2</v>
      </c>
      <c r="H3769">
        <v>36898.050000000003</v>
      </c>
      <c r="I3769">
        <v>4994.74</v>
      </c>
      <c r="J3769" t="s">
        <v>28</v>
      </c>
      <c r="K3769" t="s">
        <v>33</v>
      </c>
      <c r="L3769">
        <f t="shared" si="174"/>
        <v>2022</v>
      </c>
      <c r="M3769" t="str">
        <f t="shared" si="175"/>
        <v>May</v>
      </c>
      <c r="N3769" s="2">
        <f t="shared" si="176"/>
        <v>0.13536596107382368</v>
      </c>
    </row>
    <row r="3770" spans="1:14" x14ac:dyDescent="0.45">
      <c r="A3770" t="s">
        <v>6879</v>
      </c>
      <c r="B3770" s="1">
        <v>45497</v>
      </c>
      <c r="C3770" t="s">
        <v>1462</v>
      </c>
      <c r="D3770" t="s">
        <v>26</v>
      </c>
      <c r="E3770" t="s">
        <v>20</v>
      </c>
      <c r="F3770" t="s">
        <v>43</v>
      </c>
      <c r="G3770">
        <v>4</v>
      </c>
      <c r="H3770">
        <v>25800.42</v>
      </c>
      <c r="I3770">
        <v>2231.92</v>
      </c>
      <c r="J3770" t="s">
        <v>28</v>
      </c>
      <c r="K3770" t="s">
        <v>23</v>
      </c>
      <c r="L3770">
        <f t="shared" si="174"/>
        <v>2024</v>
      </c>
      <c r="M3770" t="str">
        <f t="shared" si="175"/>
        <v>Jul</v>
      </c>
      <c r="N3770" s="2">
        <f t="shared" si="176"/>
        <v>8.6507118876359382E-2</v>
      </c>
    </row>
    <row r="3771" spans="1:14" x14ac:dyDescent="0.45">
      <c r="A3771" t="s">
        <v>6880</v>
      </c>
      <c r="B3771" s="1">
        <v>45545</v>
      </c>
      <c r="C3771" t="s">
        <v>4082</v>
      </c>
      <c r="D3771" t="s">
        <v>13</v>
      </c>
      <c r="E3771" t="s">
        <v>20</v>
      </c>
      <c r="F3771" t="s">
        <v>21</v>
      </c>
      <c r="G3771">
        <v>2</v>
      </c>
      <c r="H3771">
        <v>24741.95</v>
      </c>
      <c r="I3771">
        <v>4154.6499999999996</v>
      </c>
      <c r="J3771" t="s">
        <v>28</v>
      </c>
      <c r="K3771" t="s">
        <v>29</v>
      </c>
      <c r="L3771">
        <f t="shared" si="174"/>
        <v>2024</v>
      </c>
      <c r="M3771" t="str">
        <f t="shared" si="175"/>
        <v>Sep</v>
      </c>
      <c r="N3771" s="2">
        <f t="shared" si="176"/>
        <v>0.16791926262885501</v>
      </c>
    </row>
    <row r="3772" spans="1:14" x14ac:dyDescent="0.45">
      <c r="A3772" t="s">
        <v>6881</v>
      </c>
      <c r="B3772" s="1">
        <v>45482</v>
      </c>
      <c r="C3772" t="s">
        <v>6882</v>
      </c>
      <c r="D3772" t="s">
        <v>13</v>
      </c>
      <c r="E3772" t="s">
        <v>14</v>
      </c>
      <c r="F3772" t="s">
        <v>40</v>
      </c>
      <c r="G3772">
        <v>5</v>
      </c>
      <c r="H3772">
        <v>35660.410000000003</v>
      </c>
      <c r="I3772">
        <v>2477.6</v>
      </c>
      <c r="J3772" t="s">
        <v>71</v>
      </c>
      <c r="K3772" t="s">
        <v>33</v>
      </c>
      <c r="L3772">
        <f t="shared" si="174"/>
        <v>2024</v>
      </c>
      <c r="M3772" t="str">
        <f t="shared" si="175"/>
        <v>Jul</v>
      </c>
      <c r="N3772" s="2">
        <f t="shared" si="176"/>
        <v>6.9477608361765877E-2</v>
      </c>
    </row>
    <row r="3773" spans="1:14" x14ac:dyDescent="0.45">
      <c r="A3773" t="s">
        <v>6883</v>
      </c>
      <c r="B3773" s="1">
        <v>45066</v>
      </c>
      <c r="C3773" t="s">
        <v>6884</v>
      </c>
      <c r="D3773" t="s">
        <v>26</v>
      </c>
      <c r="E3773" t="s">
        <v>36</v>
      </c>
      <c r="F3773" t="s">
        <v>64</v>
      </c>
      <c r="G3773">
        <v>4</v>
      </c>
      <c r="H3773">
        <v>21647.62</v>
      </c>
      <c r="I3773">
        <v>3894.25</v>
      </c>
      <c r="J3773" t="s">
        <v>47</v>
      </c>
      <c r="K3773" t="s">
        <v>33</v>
      </c>
      <c r="L3773">
        <f t="shared" si="174"/>
        <v>2023</v>
      </c>
      <c r="M3773" t="str">
        <f t="shared" si="175"/>
        <v>May</v>
      </c>
      <c r="N3773" s="2">
        <f t="shared" si="176"/>
        <v>0.1798927549541243</v>
      </c>
    </row>
    <row r="3774" spans="1:14" x14ac:dyDescent="0.45">
      <c r="A3774" t="s">
        <v>6885</v>
      </c>
      <c r="B3774" s="1">
        <v>45208</v>
      </c>
      <c r="C3774" t="s">
        <v>6886</v>
      </c>
      <c r="D3774" t="s">
        <v>26</v>
      </c>
      <c r="E3774" t="s">
        <v>36</v>
      </c>
      <c r="F3774" t="s">
        <v>46</v>
      </c>
      <c r="G3774">
        <v>3</v>
      </c>
      <c r="H3774">
        <v>907.5</v>
      </c>
      <c r="I3774">
        <v>206.55</v>
      </c>
      <c r="J3774" t="s">
        <v>71</v>
      </c>
      <c r="K3774" t="s">
        <v>33</v>
      </c>
      <c r="L3774">
        <f t="shared" si="174"/>
        <v>2023</v>
      </c>
      <c r="M3774" t="str">
        <f t="shared" si="175"/>
        <v>Oct</v>
      </c>
      <c r="N3774" s="2">
        <f t="shared" si="176"/>
        <v>0.22760330578512397</v>
      </c>
    </row>
    <row r="3775" spans="1:14" x14ac:dyDescent="0.45">
      <c r="A3775" t="s">
        <v>6887</v>
      </c>
      <c r="B3775" s="1">
        <v>45208</v>
      </c>
      <c r="C3775" t="s">
        <v>6888</v>
      </c>
      <c r="D3775" t="s">
        <v>26</v>
      </c>
      <c r="E3775" t="s">
        <v>20</v>
      </c>
      <c r="F3775" t="s">
        <v>21</v>
      </c>
      <c r="G3775">
        <v>5</v>
      </c>
      <c r="H3775">
        <v>28826.91</v>
      </c>
      <c r="I3775">
        <v>4069.09</v>
      </c>
      <c r="J3775" t="s">
        <v>22</v>
      </c>
      <c r="K3775" t="s">
        <v>33</v>
      </c>
      <c r="L3775">
        <f t="shared" si="174"/>
        <v>2023</v>
      </c>
      <c r="M3775" t="str">
        <f t="shared" si="175"/>
        <v>Oct</v>
      </c>
      <c r="N3775" s="2">
        <f t="shared" si="176"/>
        <v>0.14115595462711752</v>
      </c>
    </row>
    <row r="3776" spans="1:14" x14ac:dyDescent="0.45">
      <c r="A3776" t="s">
        <v>6889</v>
      </c>
      <c r="B3776" s="1">
        <v>44987</v>
      </c>
      <c r="C3776" t="s">
        <v>6890</v>
      </c>
      <c r="D3776" t="s">
        <v>56</v>
      </c>
      <c r="E3776" t="s">
        <v>36</v>
      </c>
      <c r="F3776" t="s">
        <v>64</v>
      </c>
      <c r="G3776">
        <v>5</v>
      </c>
      <c r="H3776">
        <v>19442.11</v>
      </c>
      <c r="I3776">
        <v>1438.4</v>
      </c>
      <c r="J3776" t="s">
        <v>47</v>
      </c>
      <c r="K3776" t="s">
        <v>17</v>
      </c>
      <c r="L3776">
        <f t="shared" si="174"/>
        <v>2023</v>
      </c>
      <c r="M3776" t="str">
        <f t="shared" si="175"/>
        <v>Mar</v>
      </c>
      <c r="N3776" s="2">
        <f t="shared" si="176"/>
        <v>7.3983739419229699E-2</v>
      </c>
    </row>
    <row r="3777" spans="1:14" x14ac:dyDescent="0.45">
      <c r="A3777" t="s">
        <v>6891</v>
      </c>
      <c r="B3777" s="1">
        <v>44889</v>
      </c>
      <c r="C3777" t="s">
        <v>672</v>
      </c>
      <c r="D3777" t="s">
        <v>56</v>
      </c>
      <c r="E3777" t="s">
        <v>20</v>
      </c>
      <c r="F3777" t="s">
        <v>27</v>
      </c>
      <c r="G3777">
        <v>2</v>
      </c>
      <c r="H3777">
        <v>10760.25</v>
      </c>
      <c r="I3777">
        <v>1363.88</v>
      </c>
      <c r="J3777" t="s">
        <v>22</v>
      </c>
      <c r="K3777" t="s">
        <v>23</v>
      </c>
      <c r="L3777">
        <f t="shared" si="174"/>
        <v>2022</v>
      </c>
      <c r="M3777" t="str">
        <f t="shared" si="175"/>
        <v>Nov</v>
      </c>
      <c r="N3777" s="2">
        <f t="shared" si="176"/>
        <v>0.12675170186566298</v>
      </c>
    </row>
    <row r="3778" spans="1:14" x14ac:dyDescent="0.45">
      <c r="A3778" t="s">
        <v>6892</v>
      </c>
      <c r="B3778" s="1">
        <v>45234</v>
      </c>
      <c r="C3778" t="s">
        <v>6893</v>
      </c>
      <c r="D3778" t="s">
        <v>56</v>
      </c>
      <c r="E3778" t="s">
        <v>20</v>
      </c>
      <c r="F3778" t="s">
        <v>50</v>
      </c>
      <c r="G3778">
        <v>3</v>
      </c>
      <c r="H3778">
        <v>38457</v>
      </c>
      <c r="I3778">
        <v>3729.87</v>
      </c>
      <c r="J3778" t="s">
        <v>47</v>
      </c>
      <c r="K3778" t="s">
        <v>23</v>
      </c>
      <c r="L3778">
        <f t="shared" si="174"/>
        <v>2023</v>
      </c>
      <c r="M3778" t="str">
        <f t="shared" si="175"/>
        <v>Nov</v>
      </c>
      <c r="N3778" s="2">
        <f t="shared" si="176"/>
        <v>9.6988064591621806E-2</v>
      </c>
    </row>
    <row r="3779" spans="1:14" x14ac:dyDescent="0.45">
      <c r="A3779" t="s">
        <v>6894</v>
      </c>
      <c r="B3779" s="1">
        <v>45296</v>
      </c>
      <c r="C3779" t="s">
        <v>6895</v>
      </c>
      <c r="D3779" t="s">
        <v>26</v>
      </c>
      <c r="E3779" t="s">
        <v>36</v>
      </c>
      <c r="F3779" t="s">
        <v>64</v>
      </c>
      <c r="G3779">
        <v>3</v>
      </c>
      <c r="H3779">
        <v>45805.03</v>
      </c>
      <c r="I3779">
        <v>6725.74</v>
      </c>
      <c r="J3779" t="s">
        <v>16</v>
      </c>
      <c r="K3779" t="s">
        <v>29</v>
      </c>
      <c r="L3779">
        <f t="shared" ref="L3779:L3842" si="177">YEAR(B3779 )</f>
        <v>2024</v>
      </c>
      <c r="M3779" t="str">
        <f t="shared" ref="M3779:M3842" si="178">TEXT(B3779,"MMM")</f>
        <v>Jan</v>
      </c>
      <c r="N3779" s="2">
        <f t="shared" ref="N3779:N3842" si="179">I3779 / H3779</f>
        <v>0.14683409223834151</v>
      </c>
    </row>
    <row r="3780" spans="1:14" x14ac:dyDescent="0.45">
      <c r="A3780" t="s">
        <v>6896</v>
      </c>
      <c r="B3780" s="1">
        <v>44684</v>
      </c>
      <c r="C3780" t="s">
        <v>6897</v>
      </c>
      <c r="D3780" t="s">
        <v>56</v>
      </c>
      <c r="E3780" t="s">
        <v>14</v>
      </c>
      <c r="F3780" t="s">
        <v>57</v>
      </c>
      <c r="G3780">
        <v>4</v>
      </c>
      <c r="H3780">
        <v>31750.799999999999</v>
      </c>
      <c r="I3780">
        <v>6029.06</v>
      </c>
      <c r="J3780" t="s">
        <v>16</v>
      </c>
      <c r="K3780" t="s">
        <v>17</v>
      </c>
      <c r="L3780">
        <f t="shared" si="177"/>
        <v>2022</v>
      </c>
      <c r="M3780" t="str">
        <f t="shared" si="178"/>
        <v>May</v>
      </c>
      <c r="N3780" s="2">
        <f t="shared" si="179"/>
        <v>0.18988686899227739</v>
      </c>
    </row>
    <row r="3781" spans="1:14" x14ac:dyDescent="0.45">
      <c r="A3781" t="s">
        <v>6898</v>
      </c>
      <c r="B3781" s="1">
        <v>44579</v>
      </c>
      <c r="C3781" t="s">
        <v>6619</v>
      </c>
      <c r="D3781" t="s">
        <v>13</v>
      </c>
      <c r="E3781" t="s">
        <v>36</v>
      </c>
      <c r="F3781" t="s">
        <v>64</v>
      </c>
      <c r="G3781">
        <v>3</v>
      </c>
      <c r="H3781">
        <v>41052.879999999997</v>
      </c>
      <c r="I3781">
        <v>6733.05</v>
      </c>
      <c r="J3781" t="s">
        <v>71</v>
      </c>
      <c r="K3781" t="s">
        <v>17</v>
      </c>
      <c r="L3781">
        <f t="shared" si="177"/>
        <v>2022</v>
      </c>
      <c r="M3781" t="str">
        <f t="shared" si="178"/>
        <v>Jan</v>
      </c>
      <c r="N3781" s="2">
        <f t="shared" si="179"/>
        <v>0.16400919984176507</v>
      </c>
    </row>
    <row r="3782" spans="1:14" x14ac:dyDescent="0.45">
      <c r="A3782" t="s">
        <v>6899</v>
      </c>
      <c r="B3782" s="1">
        <v>44945</v>
      </c>
      <c r="C3782" t="s">
        <v>6900</v>
      </c>
      <c r="D3782" t="s">
        <v>26</v>
      </c>
      <c r="E3782" t="s">
        <v>14</v>
      </c>
      <c r="F3782" t="s">
        <v>32</v>
      </c>
      <c r="G3782">
        <v>4</v>
      </c>
      <c r="H3782">
        <v>1355.08</v>
      </c>
      <c r="I3782">
        <v>121.88</v>
      </c>
      <c r="J3782" t="s">
        <v>16</v>
      </c>
      <c r="K3782" t="s">
        <v>29</v>
      </c>
      <c r="L3782">
        <f t="shared" si="177"/>
        <v>2023</v>
      </c>
      <c r="M3782" t="str">
        <f t="shared" si="178"/>
        <v>Jan</v>
      </c>
      <c r="N3782" s="2">
        <f t="shared" si="179"/>
        <v>8.9943029193848334E-2</v>
      </c>
    </row>
    <row r="3783" spans="1:14" x14ac:dyDescent="0.45">
      <c r="A3783" t="s">
        <v>6901</v>
      </c>
      <c r="B3783" s="1">
        <v>44875</v>
      </c>
      <c r="C3783" t="s">
        <v>6902</v>
      </c>
      <c r="D3783" t="s">
        <v>13</v>
      </c>
      <c r="E3783" t="s">
        <v>14</v>
      </c>
      <c r="F3783" t="s">
        <v>15</v>
      </c>
      <c r="G3783">
        <v>4</v>
      </c>
      <c r="H3783">
        <v>34078.43</v>
      </c>
      <c r="I3783">
        <v>3741.28</v>
      </c>
      <c r="J3783" t="s">
        <v>16</v>
      </c>
      <c r="K3783" t="s">
        <v>33</v>
      </c>
      <c r="L3783">
        <f t="shared" si="177"/>
        <v>2022</v>
      </c>
      <c r="M3783" t="str">
        <f t="shared" si="178"/>
        <v>Nov</v>
      </c>
      <c r="N3783" s="2">
        <f t="shared" si="179"/>
        <v>0.10978440027900346</v>
      </c>
    </row>
    <row r="3784" spans="1:14" x14ac:dyDescent="0.45">
      <c r="A3784" t="s">
        <v>6903</v>
      </c>
      <c r="B3784" s="1">
        <v>45578</v>
      </c>
      <c r="C3784" t="s">
        <v>6904</v>
      </c>
      <c r="D3784" t="s">
        <v>56</v>
      </c>
      <c r="E3784" t="s">
        <v>14</v>
      </c>
      <c r="F3784" t="s">
        <v>57</v>
      </c>
      <c r="G3784">
        <v>1</v>
      </c>
      <c r="H3784">
        <v>25836.65</v>
      </c>
      <c r="I3784">
        <v>2600.87</v>
      </c>
      <c r="J3784" t="s">
        <v>71</v>
      </c>
      <c r="K3784" t="s">
        <v>33</v>
      </c>
      <c r="L3784">
        <f t="shared" si="177"/>
        <v>2024</v>
      </c>
      <c r="M3784" t="str">
        <f t="shared" si="178"/>
        <v>Oct</v>
      </c>
      <c r="N3784" s="2">
        <f t="shared" si="179"/>
        <v>0.10066591450516997</v>
      </c>
    </row>
    <row r="3785" spans="1:14" x14ac:dyDescent="0.45">
      <c r="A3785" t="s">
        <v>6905</v>
      </c>
      <c r="B3785" s="1">
        <v>45229</v>
      </c>
      <c r="C3785" t="s">
        <v>6906</v>
      </c>
      <c r="D3785" t="s">
        <v>26</v>
      </c>
      <c r="E3785" t="s">
        <v>14</v>
      </c>
      <c r="F3785" t="s">
        <v>15</v>
      </c>
      <c r="G3785">
        <v>4</v>
      </c>
      <c r="H3785">
        <v>4046.78</v>
      </c>
      <c r="I3785">
        <v>472.81</v>
      </c>
      <c r="J3785" t="s">
        <v>28</v>
      </c>
      <c r="K3785" t="s">
        <v>33</v>
      </c>
      <c r="L3785">
        <f t="shared" si="177"/>
        <v>2023</v>
      </c>
      <c r="M3785" t="str">
        <f t="shared" si="178"/>
        <v>Oct</v>
      </c>
      <c r="N3785" s="2">
        <f t="shared" si="179"/>
        <v>0.11683610178957096</v>
      </c>
    </row>
    <row r="3786" spans="1:14" x14ac:dyDescent="0.45">
      <c r="A3786" t="s">
        <v>6907</v>
      </c>
      <c r="B3786" s="1">
        <v>45043</v>
      </c>
      <c r="C3786" t="s">
        <v>6908</v>
      </c>
      <c r="D3786" t="s">
        <v>26</v>
      </c>
      <c r="E3786" t="s">
        <v>14</v>
      </c>
      <c r="F3786" t="s">
        <v>15</v>
      </c>
      <c r="G3786">
        <v>1</v>
      </c>
      <c r="H3786">
        <v>6154.12</v>
      </c>
      <c r="I3786">
        <v>801.77</v>
      </c>
      <c r="J3786" t="s">
        <v>22</v>
      </c>
      <c r="K3786" t="s">
        <v>17</v>
      </c>
      <c r="L3786">
        <f t="shared" si="177"/>
        <v>2023</v>
      </c>
      <c r="M3786" t="str">
        <f t="shared" si="178"/>
        <v>Apr</v>
      </c>
      <c r="N3786" s="2">
        <f t="shared" si="179"/>
        <v>0.13028182745867808</v>
      </c>
    </row>
    <row r="3787" spans="1:14" x14ac:dyDescent="0.45">
      <c r="A3787" t="s">
        <v>6909</v>
      </c>
      <c r="B3787" s="1">
        <v>45316</v>
      </c>
      <c r="C3787" t="s">
        <v>1478</v>
      </c>
      <c r="D3787" t="s">
        <v>26</v>
      </c>
      <c r="E3787" t="s">
        <v>14</v>
      </c>
      <c r="F3787" t="s">
        <v>15</v>
      </c>
      <c r="G3787">
        <v>2</v>
      </c>
      <c r="H3787">
        <v>45007.68</v>
      </c>
      <c r="I3787">
        <v>6138</v>
      </c>
      <c r="J3787" t="s">
        <v>28</v>
      </c>
      <c r="K3787" t="s">
        <v>17</v>
      </c>
      <c r="L3787">
        <f t="shared" si="177"/>
        <v>2024</v>
      </c>
      <c r="M3787" t="str">
        <f t="shared" si="178"/>
        <v>Jan</v>
      </c>
      <c r="N3787" s="2">
        <f t="shared" si="179"/>
        <v>0.1363767250389267</v>
      </c>
    </row>
    <row r="3788" spans="1:14" x14ac:dyDescent="0.45">
      <c r="A3788" t="s">
        <v>6910</v>
      </c>
      <c r="B3788" s="1">
        <v>45454</v>
      </c>
      <c r="C3788" t="s">
        <v>6911</v>
      </c>
      <c r="D3788" t="s">
        <v>56</v>
      </c>
      <c r="E3788" t="s">
        <v>20</v>
      </c>
      <c r="F3788" t="s">
        <v>21</v>
      </c>
      <c r="G3788">
        <v>1</v>
      </c>
      <c r="H3788">
        <v>1442.74</v>
      </c>
      <c r="I3788">
        <v>229.86</v>
      </c>
      <c r="J3788" t="s">
        <v>16</v>
      </c>
      <c r="K3788" t="s">
        <v>33</v>
      </c>
      <c r="L3788">
        <f t="shared" si="177"/>
        <v>2024</v>
      </c>
      <c r="M3788" t="str">
        <f t="shared" si="178"/>
        <v>Jun</v>
      </c>
      <c r="N3788" s="2">
        <f t="shared" si="179"/>
        <v>0.15932184593204599</v>
      </c>
    </row>
    <row r="3789" spans="1:14" x14ac:dyDescent="0.45">
      <c r="A3789" t="s">
        <v>6912</v>
      </c>
      <c r="B3789" s="1">
        <v>44726</v>
      </c>
      <c r="C3789" t="s">
        <v>6913</v>
      </c>
      <c r="D3789" t="s">
        <v>26</v>
      </c>
      <c r="E3789" t="s">
        <v>20</v>
      </c>
      <c r="F3789" t="s">
        <v>43</v>
      </c>
      <c r="G3789">
        <v>2</v>
      </c>
      <c r="H3789">
        <v>43875.75</v>
      </c>
      <c r="I3789">
        <v>8615.17</v>
      </c>
      <c r="J3789" t="s">
        <v>71</v>
      </c>
      <c r="K3789" t="s">
        <v>17</v>
      </c>
      <c r="L3789">
        <f t="shared" si="177"/>
        <v>2022</v>
      </c>
      <c r="M3789" t="str">
        <f t="shared" si="178"/>
        <v>Jun</v>
      </c>
      <c r="N3789" s="2">
        <f t="shared" si="179"/>
        <v>0.19635379452203097</v>
      </c>
    </row>
    <row r="3790" spans="1:14" x14ac:dyDescent="0.45">
      <c r="A3790" t="s">
        <v>6914</v>
      </c>
      <c r="B3790" s="1">
        <v>44698</v>
      </c>
      <c r="C3790" t="s">
        <v>6915</v>
      </c>
      <c r="D3790" t="s">
        <v>56</v>
      </c>
      <c r="E3790" t="s">
        <v>36</v>
      </c>
      <c r="F3790" t="s">
        <v>37</v>
      </c>
      <c r="G3790">
        <v>2</v>
      </c>
      <c r="H3790">
        <v>26309.71</v>
      </c>
      <c r="I3790">
        <v>3898.08</v>
      </c>
      <c r="J3790" t="s">
        <v>16</v>
      </c>
      <c r="K3790" t="s">
        <v>17</v>
      </c>
      <c r="L3790">
        <f t="shared" si="177"/>
        <v>2022</v>
      </c>
      <c r="M3790" t="str">
        <f t="shared" si="178"/>
        <v>May</v>
      </c>
      <c r="N3790" s="2">
        <f t="shared" si="179"/>
        <v>0.14816126821618331</v>
      </c>
    </row>
    <row r="3791" spans="1:14" x14ac:dyDescent="0.45">
      <c r="A3791" t="s">
        <v>6916</v>
      </c>
      <c r="B3791" s="1">
        <v>44695</v>
      </c>
      <c r="C3791" t="s">
        <v>4464</v>
      </c>
      <c r="D3791" t="s">
        <v>13</v>
      </c>
      <c r="E3791" t="s">
        <v>14</v>
      </c>
      <c r="F3791" t="s">
        <v>15</v>
      </c>
      <c r="G3791">
        <v>1</v>
      </c>
      <c r="H3791">
        <v>2192.4699999999998</v>
      </c>
      <c r="I3791">
        <v>252.36</v>
      </c>
      <c r="J3791" t="s">
        <v>71</v>
      </c>
      <c r="K3791" t="s">
        <v>29</v>
      </c>
      <c r="L3791">
        <f t="shared" si="177"/>
        <v>2022</v>
      </c>
      <c r="M3791" t="str">
        <f t="shared" si="178"/>
        <v>May</v>
      </c>
      <c r="N3791" s="2">
        <f t="shared" si="179"/>
        <v>0.11510305728242577</v>
      </c>
    </row>
    <row r="3792" spans="1:14" x14ac:dyDescent="0.45">
      <c r="A3792" t="s">
        <v>6917</v>
      </c>
      <c r="B3792" s="1">
        <v>44948</v>
      </c>
      <c r="C3792" t="s">
        <v>4515</v>
      </c>
      <c r="D3792" t="s">
        <v>13</v>
      </c>
      <c r="E3792" t="s">
        <v>36</v>
      </c>
      <c r="F3792" t="s">
        <v>64</v>
      </c>
      <c r="G3792">
        <v>4</v>
      </c>
      <c r="H3792">
        <v>18554.62</v>
      </c>
      <c r="I3792">
        <v>988.26</v>
      </c>
      <c r="J3792" t="s">
        <v>47</v>
      </c>
      <c r="K3792" t="s">
        <v>33</v>
      </c>
      <c r="L3792">
        <f t="shared" si="177"/>
        <v>2023</v>
      </c>
      <c r="M3792" t="str">
        <f t="shared" si="178"/>
        <v>Jan</v>
      </c>
      <c r="N3792" s="2">
        <f t="shared" si="179"/>
        <v>5.3262206393879262E-2</v>
      </c>
    </row>
    <row r="3793" spans="1:14" x14ac:dyDescent="0.45">
      <c r="A3793" t="s">
        <v>6918</v>
      </c>
      <c r="B3793" s="1">
        <v>45007</v>
      </c>
      <c r="C3793" t="s">
        <v>1319</v>
      </c>
      <c r="D3793" t="s">
        <v>26</v>
      </c>
      <c r="E3793" t="s">
        <v>14</v>
      </c>
      <c r="F3793" t="s">
        <v>15</v>
      </c>
      <c r="G3793">
        <v>1</v>
      </c>
      <c r="H3793">
        <v>7337.2</v>
      </c>
      <c r="I3793">
        <v>727.67</v>
      </c>
      <c r="J3793" t="s">
        <v>71</v>
      </c>
      <c r="K3793" t="s">
        <v>17</v>
      </c>
      <c r="L3793">
        <f t="shared" si="177"/>
        <v>2023</v>
      </c>
      <c r="M3793" t="str">
        <f t="shared" si="178"/>
        <v>Mar</v>
      </c>
      <c r="N3793" s="2">
        <f t="shared" si="179"/>
        <v>9.9175434770757229E-2</v>
      </c>
    </row>
    <row r="3794" spans="1:14" x14ac:dyDescent="0.45">
      <c r="A3794" t="s">
        <v>6919</v>
      </c>
      <c r="B3794" s="1">
        <v>45335</v>
      </c>
      <c r="C3794" t="s">
        <v>1637</v>
      </c>
      <c r="D3794" t="s">
        <v>26</v>
      </c>
      <c r="E3794" t="s">
        <v>14</v>
      </c>
      <c r="F3794" t="s">
        <v>40</v>
      </c>
      <c r="G3794">
        <v>4</v>
      </c>
      <c r="H3794">
        <v>16548.75</v>
      </c>
      <c r="I3794">
        <v>3376.02</v>
      </c>
      <c r="J3794" t="s">
        <v>22</v>
      </c>
      <c r="K3794" t="s">
        <v>33</v>
      </c>
      <c r="L3794">
        <f t="shared" si="177"/>
        <v>2024</v>
      </c>
      <c r="M3794" t="str">
        <f t="shared" si="178"/>
        <v>Feb</v>
      </c>
      <c r="N3794" s="2">
        <f t="shared" si="179"/>
        <v>0.20400453206435532</v>
      </c>
    </row>
    <row r="3795" spans="1:14" x14ac:dyDescent="0.45">
      <c r="A3795" t="s">
        <v>6920</v>
      </c>
      <c r="B3795" s="1">
        <v>44653</v>
      </c>
      <c r="C3795" t="s">
        <v>1202</v>
      </c>
      <c r="D3795" t="s">
        <v>56</v>
      </c>
      <c r="E3795" t="s">
        <v>14</v>
      </c>
      <c r="F3795" t="s">
        <v>57</v>
      </c>
      <c r="G3795">
        <v>4</v>
      </c>
      <c r="H3795">
        <v>11483.2</v>
      </c>
      <c r="I3795">
        <v>1463.42</v>
      </c>
      <c r="J3795" t="s">
        <v>47</v>
      </c>
      <c r="K3795" t="s">
        <v>23</v>
      </c>
      <c r="L3795">
        <f t="shared" si="177"/>
        <v>2022</v>
      </c>
      <c r="M3795" t="str">
        <f t="shared" si="178"/>
        <v>Apr</v>
      </c>
      <c r="N3795" s="2">
        <f t="shared" si="179"/>
        <v>0.1274400863870698</v>
      </c>
    </row>
    <row r="3796" spans="1:14" x14ac:dyDescent="0.45">
      <c r="A3796" t="s">
        <v>6921</v>
      </c>
      <c r="B3796" s="1">
        <v>44949</v>
      </c>
      <c r="C3796" t="s">
        <v>700</v>
      </c>
      <c r="D3796" t="s">
        <v>56</v>
      </c>
      <c r="E3796" t="s">
        <v>14</v>
      </c>
      <c r="F3796" t="s">
        <v>32</v>
      </c>
      <c r="G3796">
        <v>2</v>
      </c>
      <c r="H3796">
        <v>19223.97</v>
      </c>
      <c r="I3796">
        <v>3402.15</v>
      </c>
      <c r="J3796" t="s">
        <v>16</v>
      </c>
      <c r="K3796" t="s">
        <v>23</v>
      </c>
      <c r="L3796">
        <f t="shared" si="177"/>
        <v>2023</v>
      </c>
      <c r="M3796" t="str">
        <f t="shared" si="178"/>
        <v>Jan</v>
      </c>
      <c r="N3796" s="2">
        <f t="shared" si="179"/>
        <v>0.17697437105863148</v>
      </c>
    </row>
    <row r="3797" spans="1:14" x14ac:dyDescent="0.45">
      <c r="A3797" t="s">
        <v>6922</v>
      </c>
      <c r="B3797" s="1">
        <v>45478</v>
      </c>
      <c r="C3797" t="s">
        <v>6923</v>
      </c>
      <c r="D3797" t="s">
        <v>56</v>
      </c>
      <c r="E3797" t="s">
        <v>20</v>
      </c>
      <c r="F3797" t="s">
        <v>27</v>
      </c>
      <c r="G3797">
        <v>5</v>
      </c>
      <c r="H3797">
        <v>48323.9</v>
      </c>
      <c r="I3797">
        <v>8025.08</v>
      </c>
      <c r="J3797" t="s">
        <v>22</v>
      </c>
      <c r="K3797" t="s">
        <v>33</v>
      </c>
      <c r="L3797">
        <f t="shared" si="177"/>
        <v>2024</v>
      </c>
      <c r="M3797" t="str">
        <f t="shared" si="178"/>
        <v>Jul</v>
      </c>
      <c r="N3797" s="2">
        <f t="shared" si="179"/>
        <v>0.16606854993077957</v>
      </c>
    </row>
    <row r="3798" spans="1:14" x14ac:dyDescent="0.45">
      <c r="A3798" t="s">
        <v>6924</v>
      </c>
      <c r="B3798" s="1">
        <v>45293</v>
      </c>
      <c r="C3798" t="s">
        <v>6925</v>
      </c>
      <c r="D3798" t="s">
        <v>26</v>
      </c>
      <c r="E3798" t="s">
        <v>14</v>
      </c>
      <c r="F3798" t="s">
        <v>15</v>
      </c>
      <c r="G3798">
        <v>2</v>
      </c>
      <c r="H3798">
        <v>37267.5</v>
      </c>
      <c r="I3798">
        <v>6040.85</v>
      </c>
      <c r="J3798" t="s">
        <v>16</v>
      </c>
      <c r="K3798" t="s">
        <v>33</v>
      </c>
      <c r="L3798">
        <f t="shared" si="177"/>
        <v>2024</v>
      </c>
      <c r="M3798" t="str">
        <f t="shared" si="178"/>
        <v>Jan</v>
      </c>
      <c r="N3798" s="2">
        <f t="shared" si="179"/>
        <v>0.162094318105588</v>
      </c>
    </row>
    <row r="3799" spans="1:14" x14ac:dyDescent="0.45">
      <c r="A3799" t="s">
        <v>6926</v>
      </c>
      <c r="B3799" s="1">
        <v>45508</v>
      </c>
      <c r="C3799" t="s">
        <v>6927</v>
      </c>
      <c r="D3799" t="s">
        <v>26</v>
      </c>
      <c r="E3799" t="s">
        <v>14</v>
      </c>
      <c r="F3799" t="s">
        <v>40</v>
      </c>
      <c r="G3799">
        <v>4</v>
      </c>
      <c r="H3799">
        <v>13772.3</v>
      </c>
      <c r="I3799">
        <v>1557.05</v>
      </c>
      <c r="J3799" t="s">
        <v>22</v>
      </c>
      <c r="K3799" t="s">
        <v>23</v>
      </c>
      <c r="L3799">
        <f t="shared" si="177"/>
        <v>2024</v>
      </c>
      <c r="M3799" t="str">
        <f t="shared" si="178"/>
        <v>Aug</v>
      </c>
      <c r="N3799" s="2">
        <f t="shared" si="179"/>
        <v>0.11305664268132411</v>
      </c>
    </row>
    <row r="3800" spans="1:14" x14ac:dyDescent="0.45">
      <c r="A3800" t="s">
        <v>6928</v>
      </c>
      <c r="B3800" s="1">
        <v>45105</v>
      </c>
      <c r="C3800" t="s">
        <v>6929</v>
      </c>
      <c r="D3800" t="s">
        <v>56</v>
      </c>
      <c r="E3800" t="s">
        <v>14</v>
      </c>
      <c r="F3800" t="s">
        <v>57</v>
      </c>
      <c r="G3800">
        <v>3</v>
      </c>
      <c r="H3800">
        <v>1457.32</v>
      </c>
      <c r="I3800">
        <v>79.89</v>
      </c>
      <c r="J3800" t="s">
        <v>28</v>
      </c>
      <c r="K3800" t="s">
        <v>33</v>
      </c>
      <c r="L3800">
        <f t="shared" si="177"/>
        <v>2023</v>
      </c>
      <c r="M3800" t="str">
        <f t="shared" si="178"/>
        <v>Jun</v>
      </c>
      <c r="N3800" s="2">
        <f t="shared" si="179"/>
        <v>5.4819806219636044E-2</v>
      </c>
    </row>
    <row r="3801" spans="1:14" x14ac:dyDescent="0.45">
      <c r="A3801" t="s">
        <v>6930</v>
      </c>
      <c r="B3801" s="1">
        <v>44603</v>
      </c>
      <c r="C3801" t="s">
        <v>6931</v>
      </c>
      <c r="D3801" t="s">
        <v>56</v>
      </c>
      <c r="E3801" t="s">
        <v>14</v>
      </c>
      <c r="F3801" t="s">
        <v>32</v>
      </c>
      <c r="G3801">
        <v>2</v>
      </c>
      <c r="H3801">
        <v>3103.95</v>
      </c>
      <c r="I3801">
        <v>283.98</v>
      </c>
      <c r="J3801" t="s">
        <v>28</v>
      </c>
      <c r="K3801" t="s">
        <v>29</v>
      </c>
      <c r="L3801">
        <f t="shared" si="177"/>
        <v>2022</v>
      </c>
      <c r="M3801" t="str">
        <f t="shared" si="178"/>
        <v>Feb</v>
      </c>
      <c r="N3801" s="2">
        <f t="shared" si="179"/>
        <v>9.1489875803411794E-2</v>
      </c>
    </row>
    <row r="3802" spans="1:14" x14ac:dyDescent="0.45">
      <c r="A3802" t="s">
        <v>6932</v>
      </c>
      <c r="B3802" s="1">
        <v>44596</v>
      </c>
      <c r="C3802" t="s">
        <v>3371</v>
      </c>
      <c r="D3802" t="s">
        <v>56</v>
      </c>
      <c r="E3802" t="s">
        <v>14</v>
      </c>
      <c r="F3802" t="s">
        <v>57</v>
      </c>
      <c r="G3802">
        <v>1</v>
      </c>
      <c r="H3802">
        <v>40108.76</v>
      </c>
      <c r="I3802">
        <v>2599.2399999999998</v>
      </c>
      <c r="J3802" t="s">
        <v>47</v>
      </c>
      <c r="K3802" t="s">
        <v>29</v>
      </c>
      <c r="L3802">
        <f t="shared" si="177"/>
        <v>2022</v>
      </c>
      <c r="M3802" t="str">
        <f t="shared" si="178"/>
        <v>Feb</v>
      </c>
      <c r="N3802" s="2">
        <f t="shared" si="179"/>
        <v>6.480479576032766E-2</v>
      </c>
    </row>
    <row r="3803" spans="1:14" x14ac:dyDescent="0.45">
      <c r="A3803" t="s">
        <v>6933</v>
      </c>
      <c r="B3803" s="1">
        <v>45384</v>
      </c>
      <c r="C3803" t="s">
        <v>6934</v>
      </c>
      <c r="D3803" t="s">
        <v>56</v>
      </c>
      <c r="E3803" t="s">
        <v>36</v>
      </c>
      <c r="F3803" t="s">
        <v>64</v>
      </c>
      <c r="G3803">
        <v>2</v>
      </c>
      <c r="H3803">
        <v>27266.25</v>
      </c>
      <c r="I3803">
        <v>2454.6999999999998</v>
      </c>
      <c r="J3803" t="s">
        <v>22</v>
      </c>
      <c r="K3803" t="s">
        <v>23</v>
      </c>
      <c r="L3803">
        <f t="shared" si="177"/>
        <v>2024</v>
      </c>
      <c r="M3803" t="str">
        <f t="shared" si="178"/>
        <v>Apr</v>
      </c>
      <c r="N3803" s="2">
        <f t="shared" si="179"/>
        <v>9.0027048090588174E-2</v>
      </c>
    </row>
    <row r="3804" spans="1:14" x14ac:dyDescent="0.45">
      <c r="A3804" t="s">
        <v>6935</v>
      </c>
      <c r="B3804" s="1">
        <v>44717</v>
      </c>
      <c r="C3804" t="s">
        <v>1601</v>
      </c>
      <c r="D3804" t="s">
        <v>13</v>
      </c>
      <c r="E3804" t="s">
        <v>20</v>
      </c>
      <c r="F3804" t="s">
        <v>50</v>
      </c>
      <c r="G3804">
        <v>3</v>
      </c>
      <c r="H3804">
        <v>12919.6</v>
      </c>
      <c r="I3804">
        <v>3149.71</v>
      </c>
      <c r="J3804" t="s">
        <v>47</v>
      </c>
      <c r="K3804" t="s">
        <v>17</v>
      </c>
      <c r="L3804">
        <f t="shared" si="177"/>
        <v>2022</v>
      </c>
      <c r="M3804" t="str">
        <f t="shared" si="178"/>
        <v>Jun</v>
      </c>
      <c r="N3804" s="2">
        <f t="shared" si="179"/>
        <v>0.24379315149075823</v>
      </c>
    </row>
    <row r="3805" spans="1:14" x14ac:dyDescent="0.45">
      <c r="A3805" t="s">
        <v>6936</v>
      </c>
      <c r="B3805" s="1">
        <v>45316</v>
      </c>
      <c r="C3805" t="s">
        <v>6937</v>
      </c>
      <c r="D3805" t="s">
        <v>56</v>
      </c>
      <c r="E3805" t="s">
        <v>14</v>
      </c>
      <c r="F3805" t="s">
        <v>57</v>
      </c>
      <c r="G3805">
        <v>5</v>
      </c>
      <c r="H3805">
        <v>16871.54</v>
      </c>
      <c r="I3805">
        <v>4096.6000000000004</v>
      </c>
      <c r="J3805" t="s">
        <v>16</v>
      </c>
      <c r="K3805" t="s">
        <v>29</v>
      </c>
      <c r="L3805">
        <f t="shared" si="177"/>
        <v>2024</v>
      </c>
      <c r="M3805" t="str">
        <f t="shared" si="178"/>
        <v>Jan</v>
      </c>
      <c r="N3805" s="2">
        <f t="shared" si="179"/>
        <v>0.24281126678418213</v>
      </c>
    </row>
    <row r="3806" spans="1:14" x14ac:dyDescent="0.45">
      <c r="A3806" t="s">
        <v>6938</v>
      </c>
      <c r="B3806" s="1">
        <v>44655</v>
      </c>
      <c r="C3806" t="s">
        <v>1296</v>
      </c>
      <c r="D3806" t="s">
        <v>13</v>
      </c>
      <c r="E3806" t="s">
        <v>36</v>
      </c>
      <c r="F3806" t="s">
        <v>46</v>
      </c>
      <c r="G3806">
        <v>5</v>
      </c>
      <c r="H3806">
        <v>24086.5</v>
      </c>
      <c r="I3806">
        <v>4401.05</v>
      </c>
      <c r="J3806" t="s">
        <v>28</v>
      </c>
      <c r="K3806" t="s">
        <v>33</v>
      </c>
      <c r="L3806">
        <f t="shared" si="177"/>
        <v>2022</v>
      </c>
      <c r="M3806" t="str">
        <f t="shared" si="178"/>
        <v>Apr</v>
      </c>
      <c r="N3806" s="2">
        <f t="shared" si="179"/>
        <v>0.18271853527909826</v>
      </c>
    </row>
    <row r="3807" spans="1:14" x14ac:dyDescent="0.45">
      <c r="A3807" t="s">
        <v>6939</v>
      </c>
      <c r="B3807" s="1">
        <v>45364</v>
      </c>
      <c r="C3807" t="s">
        <v>846</v>
      </c>
      <c r="D3807" t="s">
        <v>56</v>
      </c>
      <c r="E3807" t="s">
        <v>14</v>
      </c>
      <c r="F3807" t="s">
        <v>40</v>
      </c>
      <c r="G3807">
        <v>3</v>
      </c>
      <c r="H3807">
        <v>41509.99</v>
      </c>
      <c r="I3807">
        <v>5382.83</v>
      </c>
      <c r="J3807" t="s">
        <v>71</v>
      </c>
      <c r="K3807" t="s">
        <v>33</v>
      </c>
      <c r="L3807">
        <f t="shared" si="177"/>
        <v>2024</v>
      </c>
      <c r="M3807" t="str">
        <f t="shared" si="178"/>
        <v>Mar</v>
      </c>
      <c r="N3807" s="2">
        <f t="shared" si="179"/>
        <v>0.12967553111913543</v>
      </c>
    </row>
    <row r="3808" spans="1:14" x14ac:dyDescent="0.45">
      <c r="A3808" t="s">
        <v>6940</v>
      </c>
      <c r="B3808" s="1">
        <v>45408</v>
      </c>
      <c r="C3808" t="s">
        <v>3197</v>
      </c>
      <c r="D3808" t="s">
        <v>56</v>
      </c>
      <c r="E3808" t="s">
        <v>20</v>
      </c>
      <c r="F3808" t="s">
        <v>21</v>
      </c>
      <c r="G3808">
        <v>3</v>
      </c>
      <c r="H3808">
        <v>17502.59</v>
      </c>
      <c r="I3808">
        <v>2969.24</v>
      </c>
      <c r="J3808" t="s">
        <v>71</v>
      </c>
      <c r="K3808" t="s">
        <v>23</v>
      </c>
      <c r="L3808">
        <f t="shared" si="177"/>
        <v>2024</v>
      </c>
      <c r="M3808" t="str">
        <f t="shared" si="178"/>
        <v>Apr</v>
      </c>
      <c r="N3808" s="2">
        <f t="shared" si="179"/>
        <v>0.1696457495719205</v>
      </c>
    </row>
    <row r="3809" spans="1:14" x14ac:dyDescent="0.45">
      <c r="A3809" t="s">
        <v>6941</v>
      </c>
      <c r="B3809" s="1">
        <v>45657</v>
      </c>
      <c r="C3809" t="s">
        <v>6942</v>
      </c>
      <c r="D3809" t="s">
        <v>13</v>
      </c>
      <c r="E3809" t="s">
        <v>14</v>
      </c>
      <c r="F3809" t="s">
        <v>32</v>
      </c>
      <c r="G3809">
        <v>3</v>
      </c>
      <c r="H3809">
        <v>31778.13</v>
      </c>
      <c r="I3809">
        <v>4285.16</v>
      </c>
      <c r="J3809" t="s">
        <v>47</v>
      </c>
      <c r="K3809" t="s">
        <v>29</v>
      </c>
      <c r="L3809">
        <f t="shared" si="177"/>
        <v>2024</v>
      </c>
      <c r="M3809" t="str">
        <f t="shared" si="178"/>
        <v>Dec</v>
      </c>
      <c r="N3809" s="2">
        <f t="shared" si="179"/>
        <v>0.13484619768375294</v>
      </c>
    </row>
    <row r="3810" spans="1:14" x14ac:dyDescent="0.45">
      <c r="A3810" t="s">
        <v>6943</v>
      </c>
      <c r="B3810" s="1">
        <v>44986</v>
      </c>
      <c r="C3810" t="s">
        <v>6944</v>
      </c>
      <c r="D3810" t="s">
        <v>13</v>
      </c>
      <c r="E3810" t="s">
        <v>14</v>
      </c>
      <c r="F3810" t="s">
        <v>15</v>
      </c>
      <c r="G3810">
        <v>3</v>
      </c>
      <c r="H3810">
        <v>47625.23</v>
      </c>
      <c r="I3810">
        <v>9937.41</v>
      </c>
      <c r="J3810" t="s">
        <v>28</v>
      </c>
      <c r="K3810" t="s">
        <v>29</v>
      </c>
      <c r="L3810">
        <f t="shared" si="177"/>
        <v>2023</v>
      </c>
      <c r="M3810" t="str">
        <f t="shared" si="178"/>
        <v>Mar</v>
      </c>
      <c r="N3810" s="2">
        <f t="shared" si="179"/>
        <v>0.20865851986436598</v>
      </c>
    </row>
    <row r="3811" spans="1:14" x14ac:dyDescent="0.45">
      <c r="A3811" t="s">
        <v>6945</v>
      </c>
      <c r="B3811" s="1">
        <v>44655</v>
      </c>
      <c r="C3811" t="s">
        <v>4116</v>
      </c>
      <c r="D3811" t="s">
        <v>26</v>
      </c>
      <c r="E3811" t="s">
        <v>14</v>
      </c>
      <c r="F3811" t="s">
        <v>15</v>
      </c>
      <c r="G3811">
        <v>3</v>
      </c>
      <c r="H3811">
        <v>10780.93</v>
      </c>
      <c r="I3811">
        <v>2427.79</v>
      </c>
      <c r="J3811" t="s">
        <v>71</v>
      </c>
      <c r="K3811" t="s">
        <v>23</v>
      </c>
      <c r="L3811">
        <f t="shared" si="177"/>
        <v>2022</v>
      </c>
      <c r="M3811" t="str">
        <f t="shared" si="178"/>
        <v>Apr</v>
      </c>
      <c r="N3811" s="2">
        <f t="shared" si="179"/>
        <v>0.22519300282999702</v>
      </c>
    </row>
    <row r="3812" spans="1:14" x14ac:dyDescent="0.45">
      <c r="A3812" t="s">
        <v>6946</v>
      </c>
      <c r="B3812" s="1">
        <v>44788</v>
      </c>
      <c r="C3812" t="s">
        <v>6947</v>
      </c>
      <c r="D3812" t="s">
        <v>26</v>
      </c>
      <c r="E3812" t="s">
        <v>14</v>
      </c>
      <c r="F3812" t="s">
        <v>40</v>
      </c>
      <c r="G3812">
        <v>1</v>
      </c>
      <c r="H3812">
        <v>28797.53</v>
      </c>
      <c r="I3812">
        <v>5095.5</v>
      </c>
      <c r="J3812" t="s">
        <v>47</v>
      </c>
      <c r="K3812" t="s">
        <v>23</v>
      </c>
      <c r="L3812">
        <f t="shared" si="177"/>
        <v>2022</v>
      </c>
      <c r="M3812" t="str">
        <f t="shared" si="178"/>
        <v>Aug</v>
      </c>
      <c r="N3812" s="2">
        <f t="shared" si="179"/>
        <v>0.17694225858953877</v>
      </c>
    </row>
    <row r="3813" spans="1:14" x14ac:dyDescent="0.45">
      <c r="A3813" t="s">
        <v>6948</v>
      </c>
      <c r="B3813" s="1">
        <v>45262</v>
      </c>
      <c r="C3813" t="s">
        <v>6949</v>
      </c>
      <c r="D3813" t="s">
        <v>56</v>
      </c>
      <c r="E3813" t="s">
        <v>14</v>
      </c>
      <c r="F3813" t="s">
        <v>15</v>
      </c>
      <c r="G3813">
        <v>3</v>
      </c>
      <c r="H3813">
        <v>26271.06</v>
      </c>
      <c r="I3813">
        <v>4474.59</v>
      </c>
      <c r="J3813" t="s">
        <v>71</v>
      </c>
      <c r="K3813" t="s">
        <v>23</v>
      </c>
      <c r="L3813">
        <f t="shared" si="177"/>
        <v>2023</v>
      </c>
      <c r="M3813" t="str">
        <f t="shared" si="178"/>
        <v>Dec</v>
      </c>
      <c r="N3813" s="2">
        <f t="shared" si="179"/>
        <v>0.17032392297836479</v>
      </c>
    </row>
    <row r="3814" spans="1:14" x14ac:dyDescent="0.45">
      <c r="A3814" t="s">
        <v>6950</v>
      </c>
      <c r="B3814" s="1">
        <v>45180</v>
      </c>
      <c r="C3814" t="s">
        <v>6951</v>
      </c>
      <c r="D3814" t="s">
        <v>13</v>
      </c>
      <c r="E3814" t="s">
        <v>36</v>
      </c>
      <c r="F3814" t="s">
        <v>64</v>
      </c>
      <c r="G3814">
        <v>2</v>
      </c>
      <c r="H3814">
        <v>33861.85</v>
      </c>
      <c r="I3814">
        <v>7626.39</v>
      </c>
      <c r="J3814" t="s">
        <v>16</v>
      </c>
      <c r="K3814" t="s">
        <v>23</v>
      </c>
      <c r="L3814">
        <f t="shared" si="177"/>
        <v>2023</v>
      </c>
      <c r="M3814" t="str">
        <f t="shared" si="178"/>
        <v>Sep</v>
      </c>
      <c r="N3814" s="2">
        <f t="shared" si="179"/>
        <v>0.22522071298526219</v>
      </c>
    </row>
    <row r="3815" spans="1:14" x14ac:dyDescent="0.45">
      <c r="A3815" t="s">
        <v>6952</v>
      </c>
      <c r="B3815" s="1">
        <v>45650</v>
      </c>
      <c r="C3815" t="s">
        <v>6953</v>
      </c>
      <c r="D3815" t="s">
        <v>56</v>
      </c>
      <c r="E3815" t="s">
        <v>20</v>
      </c>
      <c r="F3815" t="s">
        <v>43</v>
      </c>
      <c r="G3815">
        <v>1</v>
      </c>
      <c r="H3815">
        <v>45513.41</v>
      </c>
      <c r="I3815">
        <v>7376.27</v>
      </c>
      <c r="J3815" t="s">
        <v>22</v>
      </c>
      <c r="K3815" t="s">
        <v>17</v>
      </c>
      <c r="L3815">
        <f t="shared" si="177"/>
        <v>2024</v>
      </c>
      <c r="M3815" t="str">
        <f t="shared" si="178"/>
        <v>Dec</v>
      </c>
      <c r="N3815" s="2">
        <f t="shared" si="179"/>
        <v>0.16206805862272239</v>
      </c>
    </row>
    <row r="3816" spans="1:14" x14ac:dyDescent="0.45">
      <c r="A3816" t="s">
        <v>6954</v>
      </c>
      <c r="B3816" s="1">
        <v>44675</v>
      </c>
      <c r="C3816" t="s">
        <v>498</v>
      </c>
      <c r="D3816" t="s">
        <v>13</v>
      </c>
      <c r="E3816" t="s">
        <v>14</v>
      </c>
      <c r="F3816" t="s">
        <v>15</v>
      </c>
      <c r="G3816">
        <v>1</v>
      </c>
      <c r="H3816">
        <v>21281.81</v>
      </c>
      <c r="I3816">
        <v>4716.22</v>
      </c>
      <c r="J3816" t="s">
        <v>47</v>
      </c>
      <c r="K3816" t="s">
        <v>17</v>
      </c>
      <c r="L3816">
        <f t="shared" si="177"/>
        <v>2022</v>
      </c>
      <c r="M3816" t="str">
        <f t="shared" si="178"/>
        <v>Apr</v>
      </c>
      <c r="N3816" s="2">
        <f t="shared" si="179"/>
        <v>0.22160803051996047</v>
      </c>
    </row>
    <row r="3817" spans="1:14" x14ac:dyDescent="0.45">
      <c r="A3817" t="s">
        <v>6955</v>
      </c>
      <c r="B3817" s="1">
        <v>44933</v>
      </c>
      <c r="C3817" t="s">
        <v>3548</v>
      </c>
      <c r="D3817" t="s">
        <v>56</v>
      </c>
      <c r="E3817" t="s">
        <v>14</v>
      </c>
      <c r="F3817" t="s">
        <v>32</v>
      </c>
      <c r="G3817">
        <v>3</v>
      </c>
      <c r="H3817">
        <v>45186.96</v>
      </c>
      <c r="I3817">
        <v>10354.23</v>
      </c>
      <c r="J3817" t="s">
        <v>16</v>
      </c>
      <c r="K3817" t="s">
        <v>23</v>
      </c>
      <c r="L3817">
        <f t="shared" si="177"/>
        <v>2023</v>
      </c>
      <c r="M3817" t="str">
        <f t="shared" si="178"/>
        <v>Jan</v>
      </c>
      <c r="N3817" s="2">
        <f t="shared" si="179"/>
        <v>0.22914199140637032</v>
      </c>
    </row>
    <row r="3818" spans="1:14" x14ac:dyDescent="0.45">
      <c r="A3818" t="s">
        <v>6956</v>
      </c>
      <c r="B3818" s="1">
        <v>45272</v>
      </c>
      <c r="C3818" t="s">
        <v>6291</v>
      </c>
      <c r="D3818" t="s">
        <v>56</v>
      </c>
      <c r="E3818" t="s">
        <v>14</v>
      </c>
      <c r="F3818" t="s">
        <v>40</v>
      </c>
      <c r="G3818">
        <v>1</v>
      </c>
      <c r="H3818">
        <v>29564.34</v>
      </c>
      <c r="I3818">
        <v>6521.62</v>
      </c>
      <c r="J3818" t="s">
        <v>28</v>
      </c>
      <c r="K3818" t="s">
        <v>17</v>
      </c>
      <c r="L3818">
        <f t="shared" si="177"/>
        <v>2023</v>
      </c>
      <c r="M3818" t="str">
        <f t="shared" si="178"/>
        <v>Dec</v>
      </c>
      <c r="N3818" s="2">
        <f t="shared" si="179"/>
        <v>0.22059075223732375</v>
      </c>
    </row>
    <row r="3819" spans="1:14" x14ac:dyDescent="0.45">
      <c r="A3819" t="s">
        <v>6957</v>
      </c>
      <c r="B3819" s="1">
        <v>45361</v>
      </c>
      <c r="C3819" t="s">
        <v>6958</v>
      </c>
      <c r="D3819" t="s">
        <v>26</v>
      </c>
      <c r="E3819" t="s">
        <v>36</v>
      </c>
      <c r="F3819" t="s">
        <v>53</v>
      </c>
      <c r="G3819">
        <v>3</v>
      </c>
      <c r="H3819">
        <v>33889.11</v>
      </c>
      <c r="I3819">
        <v>3805.5</v>
      </c>
      <c r="J3819" t="s">
        <v>28</v>
      </c>
      <c r="K3819" t="s">
        <v>17</v>
      </c>
      <c r="L3819">
        <f t="shared" si="177"/>
        <v>2024</v>
      </c>
      <c r="M3819" t="str">
        <f t="shared" si="178"/>
        <v>Mar</v>
      </c>
      <c r="N3819" s="2">
        <f t="shared" si="179"/>
        <v>0.11229270995903994</v>
      </c>
    </row>
    <row r="3820" spans="1:14" x14ac:dyDescent="0.45">
      <c r="A3820" t="s">
        <v>6959</v>
      </c>
      <c r="B3820" s="1">
        <v>45055</v>
      </c>
      <c r="C3820" t="s">
        <v>6960</v>
      </c>
      <c r="D3820" t="s">
        <v>13</v>
      </c>
      <c r="E3820" t="s">
        <v>20</v>
      </c>
      <c r="F3820" t="s">
        <v>43</v>
      </c>
      <c r="G3820">
        <v>5</v>
      </c>
      <c r="H3820">
        <v>15531.97</v>
      </c>
      <c r="I3820">
        <v>3409.91</v>
      </c>
      <c r="J3820" t="s">
        <v>22</v>
      </c>
      <c r="K3820" t="s">
        <v>23</v>
      </c>
      <c r="L3820">
        <f t="shared" si="177"/>
        <v>2023</v>
      </c>
      <c r="M3820" t="str">
        <f t="shared" si="178"/>
        <v>May</v>
      </c>
      <c r="N3820" s="2">
        <f t="shared" si="179"/>
        <v>0.21954137176417415</v>
      </c>
    </row>
    <row r="3821" spans="1:14" x14ac:dyDescent="0.45">
      <c r="A3821" t="s">
        <v>6961</v>
      </c>
      <c r="B3821" s="1">
        <v>45186</v>
      </c>
      <c r="C3821" t="s">
        <v>6962</v>
      </c>
      <c r="D3821" t="s">
        <v>26</v>
      </c>
      <c r="E3821" t="s">
        <v>36</v>
      </c>
      <c r="F3821" t="s">
        <v>46</v>
      </c>
      <c r="G3821">
        <v>2</v>
      </c>
      <c r="H3821">
        <v>38650.39</v>
      </c>
      <c r="I3821">
        <v>7142.66</v>
      </c>
      <c r="J3821" t="s">
        <v>22</v>
      </c>
      <c r="K3821" t="s">
        <v>17</v>
      </c>
      <c r="L3821">
        <f t="shared" si="177"/>
        <v>2023</v>
      </c>
      <c r="M3821" t="str">
        <f t="shared" si="178"/>
        <v>Sep</v>
      </c>
      <c r="N3821" s="2">
        <f t="shared" si="179"/>
        <v>0.18480175749843664</v>
      </c>
    </row>
    <row r="3822" spans="1:14" x14ac:dyDescent="0.45">
      <c r="A3822" t="s">
        <v>6963</v>
      </c>
      <c r="B3822" s="1">
        <v>45139</v>
      </c>
      <c r="C3822" t="s">
        <v>6964</v>
      </c>
      <c r="D3822" t="s">
        <v>26</v>
      </c>
      <c r="E3822" t="s">
        <v>20</v>
      </c>
      <c r="F3822" t="s">
        <v>21</v>
      </c>
      <c r="G3822">
        <v>1</v>
      </c>
      <c r="H3822">
        <v>8123.51</v>
      </c>
      <c r="I3822">
        <v>1799.51</v>
      </c>
      <c r="J3822" t="s">
        <v>16</v>
      </c>
      <c r="K3822" t="s">
        <v>33</v>
      </c>
      <c r="L3822">
        <f t="shared" si="177"/>
        <v>2023</v>
      </c>
      <c r="M3822" t="str">
        <f t="shared" si="178"/>
        <v>Aug</v>
      </c>
      <c r="N3822" s="2">
        <f t="shared" si="179"/>
        <v>0.22151877698187114</v>
      </c>
    </row>
    <row r="3823" spans="1:14" x14ac:dyDescent="0.45">
      <c r="A3823" t="s">
        <v>6965</v>
      </c>
      <c r="B3823" s="1">
        <v>45342</v>
      </c>
      <c r="C3823" t="s">
        <v>6228</v>
      </c>
      <c r="D3823" t="s">
        <v>13</v>
      </c>
      <c r="E3823" t="s">
        <v>14</v>
      </c>
      <c r="F3823" t="s">
        <v>57</v>
      </c>
      <c r="G3823">
        <v>5</v>
      </c>
      <c r="H3823">
        <v>38023.480000000003</v>
      </c>
      <c r="I3823">
        <v>2731.51</v>
      </c>
      <c r="J3823" t="s">
        <v>71</v>
      </c>
      <c r="K3823" t="s">
        <v>23</v>
      </c>
      <c r="L3823">
        <f t="shared" si="177"/>
        <v>2024</v>
      </c>
      <c r="M3823" t="str">
        <f t="shared" si="178"/>
        <v>Feb</v>
      </c>
      <c r="N3823" s="2">
        <f t="shared" si="179"/>
        <v>7.1837454120453989E-2</v>
      </c>
    </row>
    <row r="3824" spans="1:14" x14ac:dyDescent="0.45">
      <c r="A3824" t="s">
        <v>6966</v>
      </c>
      <c r="B3824" s="1">
        <v>45563</v>
      </c>
      <c r="C3824" t="s">
        <v>6967</v>
      </c>
      <c r="D3824" t="s">
        <v>56</v>
      </c>
      <c r="E3824" t="s">
        <v>36</v>
      </c>
      <c r="F3824" t="s">
        <v>53</v>
      </c>
      <c r="G3824">
        <v>2</v>
      </c>
      <c r="H3824">
        <v>46072.17</v>
      </c>
      <c r="I3824">
        <v>3898.18</v>
      </c>
      <c r="J3824" t="s">
        <v>71</v>
      </c>
      <c r="K3824" t="s">
        <v>33</v>
      </c>
      <c r="L3824">
        <f t="shared" si="177"/>
        <v>2024</v>
      </c>
      <c r="M3824" t="str">
        <f t="shared" si="178"/>
        <v>Sep</v>
      </c>
      <c r="N3824" s="2">
        <f t="shared" si="179"/>
        <v>8.461029727924689E-2</v>
      </c>
    </row>
    <row r="3825" spans="1:14" x14ac:dyDescent="0.45">
      <c r="A3825" t="s">
        <v>6968</v>
      </c>
      <c r="B3825" s="1">
        <v>45401</v>
      </c>
      <c r="C3825" t="s">
        <v>6969</v>
      </c>
      <c r="D3825" t="s">
        <v>26</v>
      </c>
      <c r="E3825" t="s">
        <v>36</v>
      </c>
      <c r="F3825" t="s">
        <v>53</v>
      </c>
      <c r="G3825">
        <v>4</v>
      </c>
      <c r="H3825">
        <v>23203.74</v>
      </c>
      <c r="I3825">
        <v>3748.13</v>
      </c>
      <c r="J3825" t="s">
        <v>47</v>
      </c>
      <c r="K3825" t="s">
        <v>17</v>
      </c>
      <c r="L3825">
        <f t="shared" si="177"/>
        <v>2024</v>
      </c>
      <c r="M3825" t="str">
        <f t="shared" si="178"/>
        <v>Apr</v>
      </c>
      <c r="N3825" s="2">
        <f t="shared" si="179"/>
        <v>0.16153128762863228</v>
      </c>
    </row>
    <row r="3826" spans="1:14" x14ac:dyDescent="0.45">
      <c r="A3826" t="s">
        <v>6970</v>
      </c>
      <c r="B3826" s="1">
        <v>45560</v>
      </c>
      <c r="C3826" t="s">
        <v>2557</v>
      </c>
      <c r="D3826" t="s">
        <v>26</v>
      </c>
      <c r="E3826" t="s">
        <v>14</v>
      </c>
      <c r="F3826" t="s">
        <v>15</v>
      </c>
      <c r="G3826">
        <v>5</v>
      </c>
      <c r="H3826">
        <v>13013.67</v>
      </c>
      <c r="I3826">
        <v>1748.18</v>
      </c>
      <c r="J3826" t="s">
        <v>71</v>
      </c>
      <c r="K3826" t="s">
        <v>17</v>
      </c>
      <c r="L3826">
        <f t="shared" si="177"/>
        <v>2024</v>
      </c>
      <c r="M3826" t="str">
        <f t="shared" si="178"/>
        <v>Sep</v>
      </c>
      <c r="N3826" s="2">
        <f t="shared" si="179"/>
        <v>0.13433412711402704</v>
      </c>
    </row>
    <row r="3827" spans="1:14" x14ac:dyDescent="0.45">
      <c r="A3827" t="s">
        <v>6971</v>
      </c>
      <c r="B3827" s="1">
        <v>45609</v>
      </c>
      <c r="C3827" t="s">
        <v>1994</v>
      </c>
      <c r="D3827" t="s">
        <v>13</v>
      </c>
      <c r="E3827" t="s">
        <v>20</v>
      </c>
      <c r="F3827" t="s">
        <v>21</v>
      </c>
      <c r="G3827">
        <v>2</v>
      </c>
      <c r="H3827">
        <v>17424.009999999998</v>
      </c>
      <c r="I3827">
        <v>2389.8200000000002</v>
      </c>
      <c r="J3827" t="s">
        <v>28</v>
      </c>
      <c r="K3827" t="s">
        <v>23</v>
      </c>
      <c r="L3827">
        <f t="shared" si="177"/>
        <v>2024</v>
      </c>
      <c r="M3827" t="str">
        <f t="shared" si="178"/>
        <v>Nov</v>
      </c>
      <c r="N3827" s="2">
        <f t="shared" si="179"/>
        <v>0.13715671650785327</v>
      </c>
    </row>
    <row r="3828" spans="1:14" x14ac:dyDescent="0.45">
      <c r="A3828" t="s">
        <v>6972</v>
      </c>
      <c r="B3828" s="1">
        <v>45656</v>
      </c>
      <c r="C3828" t="s">
        <v>6973</v>
      </c>
      <c r="D3828" t="s">
        <v>26</v>
      </c>
      <c r="E3828" t="s">
        <v>36</v>
      </c>
      <c r="F3828" t="s">
        <v>37</v>
      </c>
      <c r="G3828">
        <v>2</v>
      </c>
      <c r="H3828">
        <v>30006.55</v>
      </c>
      <c r="I3828">
        <v>6652.36</v>
      </c>
      <c r="J3828" t="s">
        <v>22</v>
      </c>
      <c r="K3828" t="s">
        <v>17</v>
      </c>
      <c r="L3828">
        <f t="shared" si="177"/>
        <v>2024</v>
      </c>
      <c r="M3828" t="str">
        <f t="shared" si="178"/>
        <v>Dec</v>
      </c>
      <c r="N3828" s="2">
        <f t="shared" si="179"/>
        <v>0.22169692950372502</v>
      </c>
    </row>
    <row r="3829" spans="1:14" x14ac:dyDescent="0.45">
      <c r="A3829" t="s">
        <v>6974</v>
      </c>
      <c r="B3829" s="1">
        <v>45542</v>
      </c>
      <c r="C3829" t="s">
        <v>6975</v>
      </c>
      <c r="D3829" t="s">
        <v>26</v>
      </c>
      <c r="E3829" t="s">
        <v>36</v>
      </c>
      <c r="F3829" t="s">
        <v>64</v>
      </c>
      <c r="G3829">
        <v>5</v>
      </c>
      <c r="H3829">
        <v>47399.98</v>
      </c>
      <c r="I3829">
        <v>10941.04</v>
      </c>
      <c r="J3829" t="s">
        <v>28</v>
      </c>
      <c r="K3829" t="s">
        <v>17</v>
      </c>
      <c r="L3829">
        <f t="shared" si="177"/>
        <v>2024</v>
      </c>
      <c r="M3829" t="str">
        <f t="shared" si="178"/>
        <v>Sep</v>
      </c>
      <c r="N3829" s="2">
        <f t="shared" si="179"/>
        <v>0.23082372608596038</v>
      </c>
    </row>
    <row r="3830" spans="1:14" x14ac:dyDescent="0.45">
      <c r="A3830" t="s">
        <v>6976</v>
      </c>
      <c r="B3830" s="1">
        <v>45276</v>
      </c>
      <c r="C3830" t="s">
        <v>6977</v>
      </c>
      <c r="D3830" t="s">
        <v>13</v>
      </c>
      <c r="E3830" t="s">
        <v>36</v>
      </c>
      <c r="F3830" t="s">
        <v>46</v>
      </c>
      <c r="G3830">
        <v>5</v>
      </c>
      <c r="H3830">
        <v>17950.41</v>
      </c>
      <c r="I3830">
        <v>2361.85</v>
      </c>
      <c r="J3830" t="s">
        <v>22</v>
      </c>
      <c r="K3830" t="s">
        <v>17</v>
      </c>
      <c r="L3830">
        <f t="shared" si="177"/>
        <v>2023</v>
      </c>
      <c r="M3830" t="str">
        <f t="shared" si="178"/>
        <v>Dec</v>
      </c>
      <c r="N3830" s="2">
        <f t="shared" si="179"/>
        <v>0.13157638182080519</v>
      </c>
    </row>
    <row r="3831" spans="1:14" x14ac:dyDescent="0.45">
      <c r="A3831" t="s">
        <v>6978</v>
      </c>
      <c r="B3831" s="1">
        <v>45347</v>
      </c>
      <c r="C3831" t="s">
        <v>6979</v>
      </c>
      <c r="D3831" t="s">
        <v>26</v>
      </c>
      <c r="E3831" t="s">
        <v>14</v>
      </c>
      <c r="F3831" t="s">
        <v>32</v>
      </c>
      <c r="G3831">
        <v>3</v>
      </c>
      <c r="H3831">
        <v>42335.27</v>
      </c>
      <c r="I3831">
        <v>9962.26</v>
      </c>
      <c r="J3831" t="s">
        <v>47</v>
      </c>
      <c r="K3831" t="s">
        <v>33</v>
      </c>
      <c r="L3831">
        <f t="shared" si="177"/>
        <v>2024</v>
      </c>
      <c r="M3831" t="str">
        <f t="shared" si="178"/>
        <v>Feb</v>
      </c>
      <c r="N3831" s="2">
        <f t="shared" si="179"/>
        <v>0.23531821103302283</v>
      </c>
    </row>
    <row r="3832" spans="1:14" x14ac:dyDescent="0.45">
      <c r="A3832" t="s">
        <v>6980</v>
      </c>
      <c r="B3832" s="1">
        <v>45043</v>
      </c>
      <c r="C3832" t="s">
        <v>1488</v>
      </c>
      <c r="D3832" t="s">
        <v>13</v>
      </c>
      <c r="E3832" t="s">
        <v>36</v>
      </c>
      <c r="F3832" t="s">
        <v>37</v>
      </c>
      <c r="G3832">
        <v>5</v>
      </c>
      <c r="H3832">
        <v>14736.37</v>
      </c>
      <c r="I3832">
        <v>1689.46</v>
      </c>
      <c r="J3832" t="s">
        <v>16</v>
      </c>
      <c r="K3832" t="s">
        <v>17</v>
      </c>
      <c r="L3832">
        <f t="shared" si="177"/>
        <v>2023</v>
      </c>
      <c r="M3832" t="str">
        <f t="shared" si="178"/>
        <v>Apr</v>
      </c>
      <c r="N3832" s="2">
        <f t="shared" si="179"/>
        <v>0.11464560132515673</v>
      </c>
    </row>
    <row r="3833" spans="1:14" x14ac:dyDescent="0.45">
      <c r="A3833" t="s">
        <v>6981</v>
      </c>
      <c r="B3833" s="1">
        <v>45575</v>
      </c>
      <c r="C3833" t="s">
        <v>6982</v>
      </c>
      <c r="D3833" t="s">
        <v>56</v>
      </c>
      <c r="E3833" t="s">
        <v>14</v>
      </c>
      <c r="F3833" t="s">
        <v>40</v>
      </c>
      <c r="G3833">
        <v>1</v>
      </c>
      <c r="H3833">
        <v>37041.49</v>
      </c>
      <c r="I3833">
        <v>7942.01</v>
      </c>
      <c r="J3833" t="s">
        <v>47</v>
      </c>
      <c r="K3833" t="s">
        <v>33</v>
      </c>
      <c r="L3833">
        <f t="shared" si="177"/>
        <v>2024</v>
      </c>
      <c r="M3833" t="str">
        <f t="shared" si="178"/>
        <v>Oct</v>
      </c>
      <c r="N3833" s="2">
        <f t="shared" si="179"/>
        <v>0.2144084916670469</v>
      </c>
    </row>
    <row r="3834" spans="1:14" x14ac:dyDescent="0.45">
      <c r="A3834" t="s">
        <v>6983</v>
      </c>
      <c r="B3834" s="1">
        <v>45068</v>
      </c>
      <c r="C3834" t="s">
        <v>6984</v>
      </c>
      <c r="D3834" t="s">
        <v>56</v>
      </c>
      <c r="E3834" t="s">
        <v>20</v>
      </c>
      <c r="F3834" t="s">
        <v>27</v>
      </c>
      <c r="G3834">
        <v>2</v>
      </c>
      <c r="H3834">
        <v>47566.31</v>
      </c>
      <c r="I3834">
        <v>8347.77</v>
      </c>
      <c r="J3834" t="s">
        <v>47</v>
      </c>
      <c r="K3834" t="s">
        <v>33</v>
      </c>
      <c r="L3834">
        <f t="shared" si="177"/>
        <v>2023</v>
      </c>
      <c r="M3834" t="str">
        <f t="shared" si="178"/>
        <v>May</v>
      </c>
      <c r="N3834" s="2">
        <f t="shared" si="179"/>
        <v>0.1754975317614505</v>
      </c>
    </row>
    <row r="3835" spans="1:14" x14ac:dyDescent="0.45">
      <c r="A3835" t="s">
        <v>6985</v>
      </c>
      <c r="B3835" s="1">
        <v>45506</v>
      </c>
      <c r="C3835" t="s">
        <v>4718</v>
      </c>
      <c r="D3835" t="s">
        <v>56</v>
      </c>
      <c r="E3835" t="s">
        <v>14</v>
      </c>
      <c r="F3835" t="s">
        <v>15</v>
      </c>
      <c r="G3835">
        <v>4</v>
      </c>
      <c r="H3835">
        <v>9800.32</v>
      </c>
      <c r="I3835">
        <v>891.47</v>
      </c>
      <c r="J3835" t="s">
        <v>47</v>
      </c>
      <c r="K3835" t="s">
        <v>33</v>
      </c>
      <c r="L3835">
        <f t="shared" si="177"/>
        <v>2024</v>
      </c>
      <c r="M3835" t="str">
        <f t="shared" si="178"/>
        <v>Aug</v>
      </c>
      <c r="N3835" s="2">
        <f t="shared" si="179"/>
        <v>9.0963356298569845E-2</v>
      </c>
    </row>
    <row r="3836" spans="1:14" x14ac:dyDescent="0.45">
      <c r="A3836" t="s">
        <v>6986</v>
      </c>
      <c r="B3836" s="1">
        <v>45360</v>
      </c>
      <c r="C3836" t="s">
        <v>6987</v>
      </c>
      <c r="D3836" t="s">
        <v>26</v>
      </c>
      <c r="E3836" t="s">
        <v>36</v>
      </c>
      <c r="F3836" t="s">
        <v>37</v>
      </c>
      <c r="G3836">
        <v>3</v>
      </c>
      <c r="H3836">
        <v>14073.11</v>
      </c>
      <c r="I3836">
        <v>1807.15</v>
      </c>
      <c r="J3836" t="s">
        <v>28</v>
      </c>
      <c r="K3836" t="s">
        <v>33</v>
      </c>
      <c r="L3836">
        <f t="shared" si="177"/>
        <v>2024</v>
      </c>
      <c r="M3836" t="str">
        <f t="shared" si="178"/>
        <v>Mar</v>
      </c>
      <c r="N3836" s="2">
        <f t="shared" si="179"/>
        <v>0.12841155934971019</v>
      </c>
    </row>
    <row r="3837" spans="1:14" x14ac:dyDescent="0.45">
      <c r="A3837" t="s">
        <v>6988</v>
      </c>
      <c r="B3837" s="1">
        <v>44780</v>
      </c>
      <c r="C3837" t="s">
        <v>6989</v>
      </c>
      <c r="D3837" t="s">
        <v>56</v>
      </c>
      <c r="E3837" t="s">
        <v>36</v>
      </c>
      <c r="F3837" t="s">
        <v>53</v>
      </c>
      <c r="G3837">
        <v>5</v>
      </c>
      <c r="H3837">
        <v>7100.96</v>
      </c>
      <c r="I3837">
        <v>1523.24</v>
      </c>
      <c r="J3837" t="s">
        <v>16</v>
      </c>
      <c r="K3837" t="s">
        <v>23</v>
      </c>
      <c r="L3837">
        <f t="shared" si="177"/>
        <v>2022</v>
      </c>
      <c r="M3837" t="str">
        <f t="shared" si="178"/>
        <v>Aug</v>
      </c>
      <c r="N3837" s="2">
        <f t="shared" si="179"/>
        <v>0.21451184065253148</v>
      </c>
    </row>
    <row r="3838" spans="1:14" x14ac:dyDescent="0.45">
      <c r="A3838" t="s">
        <v>6990</v>
      </c>
      <c r="B3838" s="1">
        <v>44584</v>
      </c>
      <c r="C3838" t="s">
        <v>5725</v>
      </c>
      <c r="D3838" t="s">
        <v>56</v>
      </c>
      <c r="E3838" t="s">
        <v>20</v>
      </c>
      <c r="F3838" t="s">
        <v>43</v>
      </c>
      <c r="G3838">
        <v>3</v>
      </c>
      <c r="H3838">
        <v>35412.03</v>
      </c>
      <c r="I3838">
        <v>2441.94</v>
      </c>
      <c r="J3838" t="s">
        <v>71</v>
      </c>
      <c r="K3838" t="s">
        <v>29</v>
      </c>
      <c r="L3838">
        <f t="shared" si="177"/>
        <v>2022</v>
      </c>
      <c r="M3838" t="str">
        <f t="shared" si="178"/>
        <v>Jan</v>
      </c>
      <c r="N3838" s="2">
        <f t="shared" si="179"/>
        <v>6.8957921926531746E-2</v>
      </c>
    </row>
    <row r="3839" spans="1:14" x14ac:dyDescent="0.45">
      <c r="A3839" t="s">
        <v>6991</v>
      </c>
      <c r="B3839" s="1">
        <v>44855</v>
      </c>
      <c r="C3839" t="s">
        <v>3756</v>
      </c>
      <c r="D3839" t="s">
        <v>56</v>
      </c>
      <c r="E3839" t="s">
        <v>36</v>
      </c>
      <c r="F3839" t="s">
        <v>53</v>
      </c>
      <c r="G3839">
        <v>1</v>
      </c>
      <c r="H3839">
        <v>14755.5</v>
      </c>
      <c r="I3839">
        <v>1323.68</v>
      </c>
      <c r="J3839" t="s">
        <v>47</v>
      </c>
      <c r="K3839" t="s">
        <v>33</v>
      </c>
      <c r="L3839">
        <f t="shared" si="177"/>
        <v>2022</v>
      </c>
      <c r="M3839" t="str">
        <f t="shared" si="178"/>
        <v>Oct</v>
      </c>
      <c r="N3839" s="2">
        <f t="shared" si="179"/>
        <v>8.9707566670055236E-2</v>
      </c>
    </row>
    <row r="3840" spans="1:14" x14ac:dyDescent="0.45">
      <c r="A3840" t="s">
        <v>6992</v>
      </c>
      <c r="B3840" s="1">
        <v>45615</v>
      </c>
      <c r="C3840" t="s">
        <v>6993</v>
      </c>
      <c r="D3840" t="s">
        <v>56</v>
      </c>
      <c r="E3840" t="s">
        <v>20</v>
      </c>
      <c r="F3840" t="s">
        <v>43</v>
      </c>
      <c r="G3840">
        <v>5</v>
      </c>
      <c r="H3840">
        <v>19145.82</v>
      </c>
      <c r="I3840">
        <v>969.82</v>
      </c>
      <c r="J3840" t="s">
        <v>47</v>
      </c>
      <c r="K3840" t="s">
        <v>33</v>
      </c>
      <c r="L3840">
        <f t="shared" si="177"/>
        <v>2024</v>
      </c>
      <c r="M3840" t="str">
        <f t="shared" si="178"/>
        <v>Nov</v>
      </c>
      <c r="N3840" s="2">
        <f t="shared" si="179"/>
        <v>5.0654398714706401E-2</v>
      </c>
    </row>
    <row r="3841" spans="1:14" x14ac:dyDescent="0.45">
      <c r="A3841" t="s">
        <v>6994</v>
      </c>
      <c r="B3841" s="1">
        <v>45607</v>
      </c>
      <c r="C3841" t="s">
        <v>6995</v>
      </c>
      <c r="D3841" t="s">
        <v>26</v>
      </c>
      <c r="E3841" t="s">
        <v>36</v>
      </c>
      <c r="F3841" t="s">
        <v>46</v>
      </c>
      <c r="G3841">
        <v>4</v>
      </c>
      <c r="H3841">
        <v>46362.18</v>
      </c>
      <c r="I3841">
        <v>10967.1</v>
      </c>
      <c r="J3841" t="s">
        <v>28</v>
      </c>
      <c r="K3841" t="s">
        <v>17</v>
      </c>
      <c r="L3841">
        <f t="shared" si="177"/>
        <v>2024</v>
      </c>
      <c r="M3841" t="str">
        <f t="shared" si="178"/>
        <v>Nov</v>
      </c>
      <c r="N3841" s="2">
        <f t="shared" si="179"/>
        <v>0.2365527246561745</v>
      </c>
    </row>
    <row r="3842" spans="1:14" x14ac:dyDescent="0.45">
      <c r="A3842" t="s">
        <v>6996</v>
      </c>
      <c r="B3842" s="1">
        <v>45188</v>
      </c>
      <c r="C3842" t="s">
        <v>6997</v>
      </c>
      <c r="D3842" t="s">
        <v>56</v>
      </c>
      <c r="E3842" t="s">
        <v>20</v>
      </c>
      <c r="F3842" t="s">
        <v>27</v>
      </c>
      <c r="G3842">
        <v>4</v>
      </c>
      <c r="H3842">
        <v>26658.19</v>
      </c>
      <c r="I3842">
        <v>2282.98</v>
      </c>
      <c r="J3842" t="s">
        <v>47</v>
      </c>
      <c r="K3842" t="s">
        <v>17</v>
      </c>
      <c r="L3842">
        <f t="shared" si="177"/>
        <v>2023</v>
      </c>
      <c r="M3842" t="str">
        <f t="shared" si="178"/>
        <v>Sep</v>
      </c>
      <c r="N3842" s="2">
        <f t="shared" si="179"/>
        <v>8.5638972488379747E-2</v>
      </c>
    </row>
    <row r="3843" spans="1:14" x14ac:dyDescent="0.45">
      <c r="A3843" t="s">
        <v>6998</v>
      </c>
      <c r="B3843" s="1">
        <v>45420</v>
      </c>
      <c r="C3843" t="s">
        <v>6999</v>
      </c>
      <c r="D3843" t="s">
        <v>56</v>
      </c>
      <c r="E3843" t="s">
        <v>36</v>
      </c>
      <c r="F3843" t="s">
        <v>64</v>
      </c>
      <c r="G3843">
        <v>3</v>
      </c>
      <c r="H3843">
        <v>45480.49</v>
      </c>
      <c r="I3843">
        <v>3550.86</v>
      </c>
      <c r="J3843" t="s">
        <v>28</v>
      </c>
      <c r="K3843" t="s">
        <v>23</v>
      </c>
      <c r="L3843">
        <f t="shared" ref="L3843:L3906" si="180">YEAR(B3843 )</f>
        <v>2024</v>
      </c>
      <c r="M3843" t="str">
        <f t="shared" ref="M3843:M3906" si="181">TEXT(B3843,"MMM")</f>
        <v>May</v>
      </c>
      <c r="N3843" s="2">
        <f t="shared" ref="N3843:N3906" si="182">I3843 / H3843</f>
        <v>7.8074356718672119E-2</v>
      </c>
    </row>
    <row r="3844" spans="1:14" x14ac:dyDescent="0.45">
      <c r="A3844" t="s">
        <v>7000</v>
      </c>
      <c r="B3844" s="1">
        <v>44954</v>
      </c>
      <c r="C3844" t="s">
        <v>1846</v>
      </c>
      <c r="D3844" t="s">
        <v>13</v>
      </c>
      <c r="E3844" t="s">
        <v>14</v>
      </c>
      <c r="F3844" t="s">
        <v>32</v>
      </c>
      <c r="G3844">
        <v>5</v>
      </c>
      <c r="H3844">
        <v>841.9</v>
      </c>
      <c r="I3844">
        <v>77.42</v>
      </c>
      <c r="J3844" t="s">
        <v>71</v>
      </c>
      <c r="K3844" t="s">
        <v>33</v>
      </c>
      <c r="L3844">
        <f t="shared" si="180"/>
        <v>2023</v>
      </c>
      <c r="M3844" t="str">
        <f t="shared" si="181"/>
        <v>Jan</v>
      </c>
      <c r="N3844" s="2">
        <f t="shared" si="182"/>
        <v>9.195866492457537E-2</v>
      </c>
    </row>
    <row r="3845" spans="1:14" x14ac:dyDescent="0.45">
      <c r="A3845" t="s">
        <v>7001</v>
      </c>
      <c r="B3845" s="1">
        <v>45548</v>
      </c>
      <c r="C3845" t="s">
        <v>7002</v>
      </c>
      <c r="D3845" t="s">
        <v>26</v>
      </c>
      <c r="E3845" t="s">
        <v>20</v>
      </c>
      <c r="F3845" t="s">
        <v>27</v>
      </c>
      <c r="G3845">
        <v>5</v>
      </c>
      <c r="H3845">
        <v>12862.15</v>
      </c>
      <c r="I3845">
        <v>974.76</v>
      </c>
      <c r="J3845" t="s">
        <v>22</v>
      </c>
      <c r="K3845" t="s">
        <v>29</v>
      </c>
      <c r="L3845">
        <f t="shared" si="180"/>
        <v>2024</v>
      </c>
      <c r="M3845" t="str">
        <f t="shared" si="181"/>
        <v>Sep</v>
      </c>
      <c r="N3845" s="2">
        <f t="shared" si="182"/>
        <v>7.5785152560030794E-2</v>
      </c>
    </row>
    <row r="3846" spans="1:14" x14ac:dyDescent="0.45">
      <c r="A3846" t="s">
        <v>7003</v>
      </c>
      <c r="B3846" s="1">
        <v>44718</v>
      </c>
      <c r="C3846" t="s">
        <v>7004</v>
      </c>
      <c r="D3846" t="s">
        <v>26</v>
      </c>
      <c r="E3846" t="s">
        <v>20</v>
      </c>
      <c r="F3846" t="s">
        <v>27</v>
      </c>
      <c r="G3846">
        <v>1</v>
      </c>
      <c r="H3846">
        <v>3881.84</v>
      </c>
      <c r="I3846">
        <v>717.47</v>
      </c>
      <c r="J3846" t="s">
        <v>22</v>
      </c>
      <c r="K3846" t="s">
        <v>29</v>
      </c>
      <c r="L3846">
        <f t="shared" si="180"/>
        <v>2022</v>
      </c>
      <c r="M3846" t="str">
        <f t="shared" si="181"/>
        <v>Jun</v>
      </c>
      <c r="N3846" s="2">
        <f t="shared" si="182"/>
        <v>0.18482729839457576</v>
      </c>
    </row>
    <row r="3847" spans="1:14" x14ac:dyDescent="0.45">
      <c r="A3847" t="s">
        <v>7005</v>
      </c>
      <c r="B3847" s="1">
        <v>44684</v>
      </c>
      <c r="C3847" t="s">
        <v>3434</v>
      </c>
      <c r="D3847" t="s">
        <v>56</v>
      </c>
      <c r="E3847" t="s">
        <v>14</v>
      </c>
      <c r="F3847" t="s">
        <v>57</v>
      </c>
      <c r="G3847">
        <v>5</v>
      </c>
      <c r="H3847">
        <v>1466.28</v>
      </c>
      <c r="I3847">
        <v>174.51</v>
      </c>
      <c r="J3847" t="s">
        <v>22</v>
      </c>
      <c r="K3847" t="s">
        <v>17</v>
      </c>
      <c r="L3847">
        <f t="shared" si="180"/>
        <v>2022</v>
      </c>
      <c r="M3847" t="str">
        <f t="shared" si="181"/>
        <v>May</v>
      </c>
      <c r="N3847" s="2">
        <f t="shared" si="182"/>
        <v>0.11901546771421556</v>
      </c>
    </row>
    <row r="3848" spans="1:14" x14ac:dyDescent="0.45">
      <c r="A3848" t="s">
        <v>7006</v>
      </c>
      <c r="B3848" s="1">
        <v>44738</v>
      </c>
      <c r="C3848" t="s">
        <v>7007</v>
      </c>
      <c r="D3848" t="s">
        <v>26</v>
      </c>
      <c r="E3848" t="s">
        <v>36</v>
      </c>
      <c r="F3848" t="s">
        <v>53</v>
      </c>
      <c r="G3848">
        <v>4</v>
      </c>
      <c r="H3848">
        <v>43113.55</v>
      </c>
      <c r="I3848">
        <v>10565.48</v>
      </c>
      <c r="J3848" t="s">
        <v>47</v>
      </c>
      <c r="K3848" t="s">
        <v>29</v>
      </c>
      <c r="L3848">
        <f t="shared" si="180"/>
        <v>2022</v>
      </c>
      <c r="M3848" t="str">
        <f t="shared" si="181"/>
        <v>Jun</v>
      </c>
      <c r="N3848" s="2">
        <f t="shared" si="182"/>
        <v>0.24506170333920541</v>
      </c>
    </row>
    <row r="3849" spans="1:14" x14ac:dyDescent="0.45">
      <c r="A3849" t="s">
        <v>7008</v>
      </c>
      <c r="B3849" s="1">
        <v>44653</v>
      </c>
      <c r="C3849" t="s">
        <v>2619</v>
      </c>
      <c r="D3849" t="s">
        <v>13</v>
      </c>
      <c r="E3849" t="s">
        <v>36</v>
      </c>
      <c r="F3849" t="s">
        <v>53</v>
      </c>
      <c r="G3849">
        <v>2</v>
      </c>
      <c r="H3849">
        <v>45354.61</v>
      </c>
      <c r="I3849">
        <v>10528.34</v>
      </c>
      <c r="J3849" t="s">
        <v>71</v>
      </c>
      <c r="K3849" t="s">
        <v>29</v>
      </c>
      <c r="L3849">
        <f t="shared" si="180"/>
        <v>2022</v>
      </c>
      <c r="M3849" t="str">
        <f t="shared" si="181"/>
        <v>Apr</v>
      </c>
      <c r="N3849" s="2">
        <f t="shared" si="182"/>
        <v>0.2321338448285632</v>
      </c>
    </row>
    <row r="3850" spans="1:14" x14ac:dyDescent="0.45">
      <c r="A3850" t="s">
        <v>7009</v>
      </c>
      <c r="B3850" s="1">
        <v>44637</v>
      </c>
      <c r="C3850" t="s">
        <v>4389</v>
      </c>
      <c r="D3850" t="s">
        <v>56</v>
      </c>
      <c r="E3850" t="s">
        <v>36</v>
      </c>
      <c r="F3850" t="s">
        <v>37</v>
      </c>
      <c r="G3850">
        <v>2</v>
      </c>
      <c r="H3850">
        <v>17490.400000000001</v>
      </c>
      <c r="I3850">
        <v>3810.35</v>
      </c>
      <c r="J3850" t="s">
        <v>16</v>
      </c>
      <c r="K3850" t="s">
        <v>33</v>
      </c>
      <c r="L3850">
        <f t="shared" si="180"/>
        <v>2022</v>
      </c>
      <c r="M3850" t="str">
        <f t="shared" si="181"/>
        <v>Mar</v>
      </c>
      <c r="N3850" s="2">
        <f t="shared" si="182"/>
        <v>0.21785379408132458</v>
      </c>
    </row>
    <row r="3851" spans="1:14" x14ac:dyDescent="0.45">
      <c r="A3851" t="s">
        <v>7010</v>
      </c>
      <c r="B3851" s="1">
        <v>44785</v>
      </c>
      <c r="C3851" t="s">
        <v>7011</v>
      </c>
      <c r="D3851" t="s">
        <v>26</v>
      </c>
      <c r="E3851" t="s">
        <v>20</v>
      </c>
      <c r="F3851" t="s">
        <v>21</v>
      </c>
      <c r="G3851">
        <v>1</v>
      </c>
      <c r="H3851">
        <v>29147.360000000001</v>
      </c>
      <c r="I3851">
        <v>3492.74</v>
      </c>
      <c r="J3851" t="s">
        <v>28</v>
      </c>
      <c r="K3851" t="s">
        <v>29</v>
      </c>
      <c r="L3851">
        <f t="shared" si="180"/>
        <v>2022</v>
      </c>
      <c r="M3851" t="str">
        <f t="shared" si="181"/>
        <v>Aug</v>
      </c>
      <c r="N3851" s="2">
        <f t="shared" si="182"/>
        <v>0.11983040659600046</v>
      </c>
    </row>
    <row r="3852" spans="1:14" x14ac:dyDescent="0.45">
      <c r="A3852" t="s">
        <v>7012</v>
      </c>
      <c r="B3852" s="1">
        <v>44992</v>
      </c>
      <c r="C3852" t="s">
        <v>7013</v>
      </c>
      <c r="D3852" t="s">
        <v>56</v>
      </c>
      <c r="E3852" t="s">
        <v>14</v>
      </c>
      <c r="F3852" t="s">
        <v>32</v>
      </c>
      <c r="G3852">
        <v>3</v>
      </c>
      <c r="H3852">
        <v>19723.7</v>
      </c>
      <c r="I3852">
        <v>3439.38</v>
      </c>
      <c r="J3852" t="s">
        <v>28</v>
      </c>
      <c r="K3852" t="s">
        <v>33</v>
      </c>
      <c r="L3852">
        <f t="shared" si="180"/>
        <v>2023</v>
      </c>
      <c r="M3852" t="str">
        <f t="shared" si="181"/>
        <v>Mar</v>
      </c>
      <c r="N3852" s="2">
        <f t="shared" si="182"/>
        <v>0.17437803251925349</v>
      </c>
    </row>
    <row r="3853" spans="1:14" x14ac:dyDescent="0.45">
      <c r="A3853" t="s">
        <v>7014</v>
      </c>
      <c r="B3853" s="1">
        <v>45309</v>
      </c>
      <c r="C3853" t="s">
        <v>7015</v>
      </c>
      <c r="D3853" t="s">
        <v>26</v>
      </c>
      <c r="E3853" t="s">
        <v>36</v>
      </c>
      <c r="F3853" t="s">
        <v>64</v>
      </c>
      <c r="G3853">
        <v>3</v>
      </c>
      <c r="H3853">
        <v>35061</v>
      </c>
      <c r="I3853">
        <v>4740.58</v>
      </c>
      <c r="J3853" t="s">
        <v>16</v>
      </c>
      <c r="K3853" t="s">
        <v>17</v>
      </c>
      <c r="L3853">
        <f t="shared" si="180"/>
        <v>2024</v>
      </c>
      <c r="M3853" t="str">
        <f t="shared" si="181"/>
        <v>Jan</v>
      </c>
      <c r="N3853" s="2">
        <f t="shared" si="182"/>
        <v>0.13520949202817945</v>
      </c>
    </row>
    <row r="3854" spans="1:14" x14ac:dyDescent="0.45">
      <c r="A3854" t="s">
        <v>7016</v>
      </c>
      <c r="B3854" s="1">
        <v>44808</v>
      </c>
      <c r="C3854" t="s">
        <v>4279</v>
      </c>
      <c r="D3854" t="s">
        <v>13</v>
      </c>
      <c r="E3854" t="s">
        <v>20</v>
      </c>
      <c r="F3854" t="s">
        <v>50</v>
      </c>
      <c r="G3854">
        <v>3</v>
      </c>
      <c r="H3854">
        <v>41820.11</v>
      </c>
      <c r="I3854">
        <v>2614.27</v>
      </c>
      <c r="J3854" t="s">
        <v>71</v>
      </c>
      <c r="K3854" t="s">
        <v>17</v>
      </c>
      <c r="L3854">
        <f t="shared" si="180"/>
        <v>2022</v>
      </c>
      <c r="M3854" t="str">
        <f t="shared" si="181"/>
        <v>Sep</v>
      </c>
      <c r="N3854" s="2">
        <f t="shared" si="182"/>
        <v>6.2512269814689631E-2</v>
      </c>
    </row>
    <row r="3855" spans="1:14" x14ac:dyDescent="0.45">
      <c r="A3855" t="s">
        <v>7017</v>
      </c>
      <c r="B3855" s="1">
        <v>44654</v>
      </c>
      <c r="C3855" t="s">
        <v>6650</v>
      </c>
      <c r="D3855" t="s">
        <v>26</v>
      </c>
      <c r="E3855" t="s">
        <v>20</v>
      </c>
      <c r="F3855" t="s">
        <v>27</v>
      </c>
      <c r="G3855">
        <v>4</v>
      </c>
      <c r="H3855">
        <v>20615.490000000002</v>
      </c>
      <c r="I3855">
        <v>2790.97</v>
      </c>
      <c r="J3855" t="s">
        <v>22</v>
      </c>
      <c r="K3855" t="s">
        <v>29</v>
      </c>
      <c r="L3855">
        <f t="shared" si="180"/>
        <v>2022</v>
      </c>
      <c r="M3855" t="str">
        <f t="shared" si="181"/>
        <v>Apr</v>
      </c>
      <c r="N3855" s="2">
        <f t="shared" si="182"/>
        <v>0.13538218106870123</v>
      </c>
    </row>
    <row r="3856" spans="1:14" x14ac:dyDescent="0.45">
      <c r="A3856" t="s">
        <v>7018</v>
      </c>
      <c r="B3856" s="1">
        <v>44802</v>
      </c>
      <c r="C3856" t="s">
        <v>598</v>
      </c>
      <c r="D3856" t="s">
        <v>56</v>
      </c>
      <c r="E3856" t="s">
        <v>20</v>
      </c>
      <c r="F3856" t="s">
        <v>21</v>
      </c>
      <c r="G3856">
        <v>3</v>
      </c>
      <c r="H3856">
        <v>20257.27</v>
      </c>
      <c r="I3856">
        <v>3177.91</v>
      </c>
      <c r="J3856" t="s">
        <v>47</v>
      </c>
      <c r="K3856" t="s">
        <v>33</v>
      </c>
      <c r="L3856">
        <f t="shared" si="180"/>
        <v>2022</v>
      </c>
      <c r="M3856" t="str">
        <f t="shared" si="181"/>
        <v>Aug</v>
      </c>
      <c r="N3856" s="2">
        <f t="shared" si="182"/>
        <v>0.15687750619900903</v>
      </c>
    </row>
    <row r="3857" spans="1:14" x14ac:dyDescent="0.45">
      <c r="A3857" t="s">
        <v>7019</v>
      </c>
      <c r="B3857" s="1">
        <v>44920</v>
      </c>
      <c r="C3857" t="s">
        <v>7020</v>
      </c>
      <c r="D3857" t="s">
        <v>56</v>
      </c>
      <c r="E3857" t="s">
        <v>36</v>
      </c>
      <c r="F3857" t="s">
        <v>53</v>
      </c>
      <c r="G3857">
        <v>2</v>
      </c>
      <c r="H3857">
        <v>8263.5</v>
      </c>
      <c r="I3857">
        <v>1653.34</v>
      </c>
      <c r="J3857" t="s">
        <v>16</v>
      </c>
      <c r="K3857" t="s">
        <v>33</v>
      </c>
      <c r="L3857">
        <f t="shared" si="180"/>
        <v>2022</v>
      </c>
      <c r="M3857" t="str">
        <f t="shared" si="181"/>
        <v>Dec</v>
      </c>
      <c r="N3857" s="2">
        <f t="shared" si="182"/>
        <v>0.20007744902281116</v>
      </c>
    </row>
    <row r="3858" spans="1:14" x14ac:dyDescent="0.45">
      <c r="A3858" t="s">
        <v>7021</v>
      </c>
      <c r="B3858" s="1">
        <v>45545</v>
      </c>
      <c r="C3858" t="s">
        <v>7022</v>
      </c>
      <c r="D3858" t="s">
        <v>56</v>
      </c>
      <c r="E3858" t="s">
        <v>20</v>
      </c>
      <c r="F3858" t="s">
        <v>50</v>
      </c>
      <c r="G3858">
        <v>5</v>
      </c>
      <c r="H3858">
        <v>32523.72</v>
      </c>
      <c r="I3858">
        <v>3774.05</v>
      </c>
      <c r="J3858" t="s">
        <v>47</v>
      </c>
      <c r="K3858" t="s">
        <v>17</v>
      </c>
      <c r="L3858">
        <f t="shared" si="180"/>
        <v>2024</v>
      </c>
      <c r="M3858" t="str">
        <f t="shared" si="181"/>
        <v>Sep</v>
      </c>
      <c r="N3858" s="2">
        <f t="shared" si="182"/>
        <v>0.116039924092324</v>
      </c>
    </row>
    <row r="3859" spans="1:14" x14ac:dyDescent="0.45">
      <c r="A3859" t="s">
        <v>7023</v>
      </c>
      <c r="B3859" s="1">
        <v>44868</v>
      </c>
      <c r="C3859" t="s">
        <v>7024</v>
      </c>
      <c r="D3859" t="s">
        <v>26</v>
      </c>
      <c r="E3859" t="s">
        <v>14</v>
      </c>
      <c r="F3859" t="s">
        <v>40</v>
      </c>
      <c r="G3859">
        <v>1</v>
      </c>
      <c r="H3859">
        <v>13990.47</v>
      </c>
      <c r="I3859">
        <v>1802.53</v>
      </c>
      <c r="J3859" t="s">
        <v>47</v>
      </c>
      <c r="K3859" t="s">
        <v>23</v>
      </c>
      <c r="L3859">
        <f t="shared" si="180"/>
        <v>2022</v>
      </c>
      <c r="M3859" t="str">
        <f t="shared" si="181"/>
        <v>Nov</v>
      </c>
      <c r="N3859" s="2">
        <f t="shared" si="182"/>
        <v>0.12883984598087128</v>
      </c>
    </row>
    <row r="3860" spans="1:14" x14ac:dyDescent="0.45">
      <c r="A3860" t="s">
        <v>7025</v>
      </c>
      <c r="B3860" s="1">
        <v>44976</v>
      </c>
      <c r="C3860" t="s">
        <v>6535</v>
      </c>
      <c r="D3860" t="s">
        <v>56</v>
      </c>
      <c r="E3860" t="s">
        <v>36</v>
      </c>
      <c r="F3860" t="s">
        <v>53</v>
      </c>
      <c r="G3860">
        <v>2</v>
      </c>
      <c r="H3860">
        <v>15164.5</v>
      </c>
      <c r="I3860">
        <v>1623.18</v>
      </c>
      <c r="J3860" t="s">
        <v>71</v>
      </c>
      <c r="K3860" t="s">
        <v>17</v>
      </c>
      <c r="L3860">
        <f t="shared" si="180"/>
        <v>2023</v>
      </c>
      <c r="M3860" t="str">
        <f t="shared" si="181"/>
        <v>Feb</v>
      </c>
      <c r="N3860" s="2">
        <f t="shared" si="182"/>
        <v>0.10703814830690099</v>
      </c>
    </row>
    <row r="3861" spans="1:14" x14ac:dyDescent="0.45">
      <c r="A3861" t="s">
        <v>7026</v>
      </c>
      <c r="B3861" s="1">
        <v>45582</v>
      </c>
      <c r="C3861" t="s">
        <v>7027</v>
      </c>
      <c r="D3861" t="s">
        <v>13</v>
      </c>
      <c r="E3861" t="s">
        <v>20</v>
      </c>
      <c r="F3861" t="s">
        <v>21</v>
      </c>
      <c r="G3861">
        <v>3</v>
      </c>
      <c r="H3861">
        <v>38894.019999999997</v>
      </c>
      <c r="I3861">
        <v>9577.19</v>
      </c>
      <c r="J3861" t="s">
        <v>22</v>
      </c>
      <c r="K3861" t="s">
        <v>33</v>
      </c>
      <c r="L3861">
        <f t="shared" si="180"/>
        <v>2024</v>
      </c>
      <c r="M3861" t="str">
        <f t="shared" si="181"/>
        <v>Oct</v>
      </c>
      <c r="N3861" s="2">
        <f t="shared" si="182"/>
        <v>0.24623811064014473</v>
      </c>
    </row>
    <row r="3862" spans="1:14" x14ac:dyDescent="0.45">
      <c r="A3862" t="s">
        <v>7028</v>
      </c>
      <c r="B3862" s="1">
        <v>45463</v>
      </c>
      <c r="C3862" t="s">
        <v>7029</v>
      </c>
      <c r="D3862" t="s">
        <v>13</v>
      </c>
      <c r="E3862" t="s">
        <v>20</v>
      </c>
      <c r="F3862" t="s">
        <v>43</v>
      </c>
      <c r="G3862">
        <v>1</v>
      </c>
      <c r="H3862">
        <v>20704.2</v>
      </c>
      <c r="I3862">
        <v>3803.6</v>
      </c>
      <c r="J3862" t="s">
        <v>28</v>
      </c>
      <c r="K3862" t="s">
        <v>29</v>
      </c>
      <c r="L3862">
        <f t="shared" si="180"/>
        <v>2024</v>
      </c>
      <c r="M3862" t="str">
        <f t="shared" si="181"/>
        <v>Jun</v>
      </c>
      <c r="N3862" s="2">
        <f t="shared" si="182"/>
        <v>0.18371151746988532</v>
      </c>
    </row>
    <row r="3863" spans="1:14" x14ac:dyDescent="0.45">
      <c r="A3863" t="s">
        <v>7030</v>
      </c>
      <c r="B3863" s="1">
        <v>45458</v>
      </c>
      <c r="C3863" t="s">
        <v>5207</v>
      </c>
      <c r="D3863" t="s">
        <v>56</v>
      </c>
      <c r="E3863" t="s">
        <v>14</v>
      </c>
      <c r="F3863" t="s">
        <v>15</v>
      </c>
      <c r="G3863">
        <v>2</v>
      </c>
      <c r="H3863">
        <v>45777.22</v>
      </c>
      <c r="I3863">
        <v>5240.62</v>
      </c>
      <c r="J3863" t="s">
        <v>22</v>
      </c>
      <c r="K3863" t="s">
        <v>17</v>
      </c>
      <c r="L3863">
        <f t="shared" si="180"/>
        <v>2024</v>
      </c>
      <c r="M3863" t="str">
        <f t="shared" si="181"/>
        <v>Jun</v>
      </c>
      <c r="N3863" s="2">
        <f t="shared" si="182"/>
        <v>0.11448095799613868</v>
      </c>
    </row>
    <row r="3864" spans="1:14" x14ac:dyDescent="0.45">
      <c r="A3864" t="s">
        <v>7031</v>
      </c>
      <c r="B3864" s="1">
        <v>45389</v>
      </c>
      <c r="C3864" t="s">
        <v>6499</v>
      </c>
      <c r="D3864" t="s">
        <v>13</v>
      </c>
      <c r="E3864" t="s">
        <v>20</v>
      </c>
      <c r="F3864" t="s">
        <v>21</v>
      </c>
      <c r="G3864">
        <v>3</v>
      </c>
      <c r="H3864">
        <v>26457.39</v>
      </c>
      <c r="I3864">
        <v>5356.25</v>
      </c>
      <c r="J3864" t="s">
        <v>22</v>
      </c>
      <c r="K3864" t="s">
        <v>17</v>
      </c>
      <c r="L3864">
        <f t="shared" si="180"/>
        <v>2024</v>
      </c>
      <c r="M3864" t="str">
        <f t="shared" si="181"/>
        <v>Apr</v>
      </c>
      <c r="N3864" s="2">
        <f t="shared" si="182"/>
        <v>0.20244816287623232</v>
      </c>
    </row>
    <row r="3865" spans="1:14" x14ac:dyDescent="0.45">
      <c r="A3865" t="s">
        <v>7032</v>
      </c>
      <c r="B3865" s="1">
        <v>44758</v>
      </c>
      <c r="C3865" t="s">
        <v>2117</v>
      </c>
      <c r="D3865" t="s">
        <v>13</v>
      </c>
      <c r="E3865" t="s">
        <v>20</v>
      </c>
      <c r="F3865" t="s">
        <v>50</v>
      </c>
      <c r="G3865">
        <v>4</v>
      </c>
      <c r="H3865">
        <v>6012.04</v>
      </c>
      <c r="I3865">
        <v>1396.33</v>
      </c>
      <c r="J3865" t="s">
        <v>22</v>
      </c>
      <c r="K3865" t="s">
        <v>29</v>
      </c>
      <c r="L3865">
        <f t="shared" si="180"/>
        <v>2022</v>
      </c>
      <c r="M3865" t="str">
        <f t="shared" si="181"/>
        <v>Jul</v>
      </c>
      <c r="N3865" s="2">
        <f t="shared" si="182"/>
        <v>0.23225560708178919</v>
      </c>
    </row>
    <row r="3866" spans="1:14" x14ac:dyDescent="0.45">
      <c r="A3866" t="s">
        <v>7033</v>
      </c>
      <c r="B3866" s="1">
        <v>44963</v>
      </c>
      <c r="C3866" t="s">
        <v>265</v>
      </c>
      <c r="D3866" t="s">
        <v>26</v>
      </c>
      <c r="E3866" t="s">
        <v>20</v>
      </c>
      <c r="F3866" t="s">
        <v>50</v>
      </c>
      <c r="G3866">
        <v>2</v>
      </c>
      <c r="H3866">
        <v>5605.48</v>
      </c>
      <c r="I3866">
        <v>678.06</v>
      </c>
      <c r="J3866" t="s">
        <v>16</v>
      </c>
      <c r="K3866" t="s">
        <v>17</v>
      </c>
      <c r="L3866">
        <f t="shared" si="180"/>
        <v>2023</v>
      </c>
      <c r="M3866" t="str">
        <f t="shared" si="181"/>
        <v>Feb</v>
      </c>
      <c r="N3866" s="2">
        <f t="shared" si="182"/>
        <v>0.12096377116678679</v>
      </c>
    </row>
    <row r="3867" spans="1:14" x14ac:dyDescent="0.45">
      <c r="A3867" t="s">
        <v>7034</v>
      </c>
      <c r="B3867" s="1">
        <v>45269</v>
      </c>
      <c r="C3867" t="s">
        <v>3947</v>
      </c>
      <c r="D3867" t="s">
        <v>13</v>
      </c>
      <c r="E3867" t="s">
        <v>36</v>
      </c>
      <c r="F3867" t="s">
        <v>64</v>
      </c>
      <c r="G3867">
        <v>4</v>
      </c>
      <c r="H3867">
        <v>34408.57</v>
      </c>
      <c r="I3867">
        <v>7195.61</v>
      </c>
      <c r="J3867" t="s">
        <v>28</v>
      </c>
      <c r="K3867" t="s">
        <v>29</v>
      </c>
      <c r="L3867">
        <f t="shared" si="180"/>
        <v>2023</v>
      </c>
      <c r="M3867" t="str">
        <f t="shared" si="181"/>
        <v>Dec</v>
      </c>
      <c r="N3867" s="2">
        <f t="shared" si="182"/>
        <v>0.20912261102393967</v>
      </c>
    </row>
    <row r="3868" spans="1:14" x14ac:dyDescent="0.45">
      <c r="A3868" t="s">
        <v>7035</v>
      </c>
      <c r="B3868" s="1">
        <v>45516</v>
      </c>
      <c r="C3868" t="s">
        <v>7036</v>
      </c>
      <c r="D3868" t="s">
        <v>26</v>
      </c>
      <c r="E3868" t="s">
        <v>36</v>
      </c>
      <c r="F3868" t="s">
        <v>37</v>
      </c>
      <c r="G3868">
        <v>4</v>
      </c>
      <c r="H3868">
        <v>6080.78</v>
      </c>
      <c r="I3868">
        <v>1113.29</v>
      </c>
      <c r="J3868" t="s">
        <v>28</v>
      </c>
      <c r="K3868" t="s">
        <v>17</v>
      </c>
      <c r="L3868">
        <f t="shared" si="180"/>
        <v>2024</v>
      </c>
      <c r="M3868" t="str">
        <f t="shared" si="181"/>
        <v>Aug</v>
      </c>
      <c r="N3868" s="2">
        <f t="shared" si="182"/>
        <v>0.18308342021911664</v>
      </c>
    </row>
    <row r="3869" spans="1:14" x14ac:dyDescent="0.45">
      <c r="A3869" t="s">
        <v>7037</v>
      </c>
      <c r="B3869" s="1">
        <v>44790</v>
      </c>
      <c r="C3869" t="s">
        <v>1013</v>
      </c>
      <c r="D3869" t="s">
        <v>13</v>
      </c>
      <c r="E3869" t="s">
        <v>36</v>
      </c>
      <c r="F3869" t="s">
        <v>46</v>
      </c>
      <c r="G3869">
        <v>2</v>
      </c>
      <c r="H3869">
        <v>47824.42</v>
      </c>
      <c r="I3869">
        <v>5466.87</v>
      </c>
      <c r="J3869" t="s">
        <v>28</v>
      </c>
      <c r="K3869" t="s">
        <v>29</v>
      </c>
      <c r="L3869">
        <f t="shared" si="180"/>
        <v>2022</v>
      </c>
      <c r="M3869" t="str">
        <f t="shared" si="181"/>
        <v>Aug</v>
      </c>
      <c r="N3869" s="2">
        <f t="shared" si="182"/>
        <v>0.11431126608540156</v>
      </c>
    </row>
    <row r="3870" spans="1:14" x14ac:dyDescent="0.45">
      <c r="A3870" t="s">
        <v>7038</v>
      </c>
      <c r="B3870" s="1">
        <v>44748</v>
      </c>
      <c r="C3870" t="s">
        <v>7039</v>
      </c>
      <c r="D3870" t="s">
        <v>56</v>
      </c>
      <c r="E3870" t="s">
        <v>20</v>
      </c>
      <c r="F3870" t="s">
        <v>21</v>
      </c>
      <c r="G3870">
        <v>4</v>
      </c>
      <c r="H3870">
        <v>9283.7999999999993</v>
      </c>
      <c r="I3870">
        <v>1795.47</v>
      </c>
      <c r="J3870" t="s">
        <v>22</v>
      </c>
      <c r="K3870" t="s">
        <v>29</v>
      </c>
      <c r="L3870">
        <f t="shared" si="180"/>
        <v>2022</v>
      </c>
      <c r="M3870" t="str">
        <f t="shared" si="181"/>
        <v>Jul</v>
      </c>
      <c r="N3870" s="2">
        <f t="shared" si="182"/>
        <v>0.19339817747043239</v>
      </c>
    </row>
    <row r="3871" spans="1:14" x14ac:dyDescent="0.45">
      <c r="A3871" t="s">
        <v>7040</v>
      </c>
      <c r="B3871" s="1">
        <v>45551</v>
      </c>
      <c r="C3871" t="s">
        <v>7041</v>
      </c>
      <c r="D3871" t="s">
        <v>13</v>
      </c>
      <c r="E3871" t="s">
        <v>20</v>
      </c>
      <c r="F3871" t="s">
        <v>43</v>
      </c>
      <c r="G3871">
        <v>3</v>
      </c>
      <c r="H3871">
        <v>49804.160000000003</v>
      </c>
      <c r="I3871">
        <v>8997.5499999999993</v>
      </c>
      <c r="J3871" t="s">
        <v>16</v>
      </c>
      <c r="K3871" t="s">
        <v>29</v>
      </c>
      <c r="L3871">
        <f t="shared" si="180"/>
        <v>2024</v>
      </c>
      <c r="M3871" t="str">
        <f t="shared" si="181"/>
        <v>Sep</v>
      </c>
      <c r="N3871" s="2">
        <f t="shared" si="182"/>
        <v>0.18065860361865352</v>
      </c>
    </row>
    <row r="3872" spans="1:14" x14ac:dyDescent="0.45">
      <c r="A3872" t="s">
        <v>7042</v>
      </c>
      <c r="B3872" s="1">
        <v>45070</v>
      </c>
      <c r="C3872" t="s">
        <v>4908</v>
      </c>
      <c r="D3872" t="s">
        <v>13</v>
      </c>
      <c r="E3872" t="s">
        <v>14</v>
      </c>
      <c r="F3872" t="s">
        <v>32</v>
      </c>
      <c r="G3872">
        <v>4</v>
      </c>
      <c r="H3872">
        <v>33769.47</v>
      </c>
      <c r="I3872">
        <v>4733.72</v>
      </c>
      <c r="J3872" t="s">
        <v>71</v>
      </c>
      <c r="K3872" t="s">
        <v>23</v>
      </c>
      <c r="L3872">
        <f t="shared" si="180"/>
        <v>2023</v>
      </c>
      <c r="M3872" t="str">
        <f t="shared" si="181"/>
        <v>May</v>
      </c>
      <c r="N3872" s="2">
        <f t="shared" si="182"/>
        <v>0.14017750352611397</v>
      </c>
    </row>
    <row r="3873" spans="1:14" x14ac:dyDescent="0.45">
      <c r="A3873" t="s">
        <v>7043</v>
      </c>
      <c r="B3873" s="1">
        <v>45035</v>
      </c>
      <c r="C3873" t="s">
        <v>3833</v>
      </c>
      <c r="D3873" t="s">
        <v>26</v>
      </c>
      <c r="E3873" t="s">
        <v>20</v>
      </c>
      <c r="F3873" t="s">
        <v>21</v>
      </c>
      <c r="G3873">
        <v>1</v>
      </c>
      <c r="H3873">
        <v>19427.189999999999</v>
      </c>
      <c r="I3873">
        <v>3610.74</v>
      </c>
      <c r="J3873" t="s">
        <v>22</v>
      </c>
      <c r="K3873" t="s">
        <v>33</v>
      </c>
      <c r="L3873">
        <f t="shared" si="180"/>
        <v>2023</v>
      </c>
      <c r="M3873" t="str">
        <f t="shared" si="181"/>
        <v>Apr</v>
      </c>
      <c r="N3873" s="2">
        <f t="shared" si="182"/>
        <v>0.18586012696638063</v>
      </c>
    </row>
    <row r="3874" spans="1:14" x14ac:dyDescent="0.45">
      <c r="A3874" t="s">
        <v>7044</v>
      </c>
      <c r="B3874" s="1">
        <v>44786</v>
      </c>
      <c r="C3874" t="s">
        <v>1026</v>
      </c>
      <c r="D3874" t="s">
        <v>56</v>
      </c>
      <c r="E3874" t="s">
        <v>36</v>
      </c>
      <c r="F3874" t="s">
        <v>46</v>
      </c>
      <c r="G3874">
        <v>5</v>
      </c>
      <c r="H3874">
        <v>46976.42</v>
      </c>
      <c r="I3874">
        <v>3893.18</v>
      </c>
      <c r="J3874" t="s">
        <v>28</v>
      </c>
      <c r="K3874" t="s">
        <v>23</v>
      </c>
      <c r="L3874">
        <f t="shared" si="180"/>
        <v>2022</v>
      </c>
      <c r="M3874" t="str">
        <f t="shared" si="181"/>
        <v>Aug</v>
      </c>
      <c r="N3874" s="2">
        <f t="shared" si="182"/>
        <v>8.2875195683281097E-2</v>
      </c>
    </row>
    <row r="3875" spans="1:14" x14ac:dyDescent="0.45">
      <c r="A3875" t="s">
        <v>7045</v>
      </c>
      <c r="B3875" s="1">
        <v>44682</v>
      </c>
      <c r="C3875" t="s">
        <v>1118</v>
      </c>
      <c r="D3875" t="s">
        <v>26</v>
      </c>
      <c r="E3875" t="s">
        <v>36</v>
      </c>
      <c r="F3875" t="s">
        <v>46</v>
      </c>
      <c r="G3875">
        <v>2</v>
      </c>
      <c r="H3875">
        <v>41996.15</v>
      </c>
      <c r="I3875">
        <v>8967.6</v>
      </c>
      <c r="J3875" t="s">
        <v>22</v>
      </c>
      <c r="K3875" t="s">
        <v>33</v>
      </c>
      <c r="L3875">
        <f t="shared" si="180"/>
        <v>2022</v>
      </c>
      <c r="M3875" t="str">
        <f t="shared" si="181"/>
        <v>May</v>
      </c>
      <c r="N3875" s="2">
        <f t="shared" si="182"/>
        <v>0.21353385965142044</v>
      </c>
    </row>
    <row r="3876" spans="1:14" x14ac:dyDescent="0.45">
      <c r="A3876" t="s">
        <v>7046</v>
      </c>
      <c r="B3876" s="1">
        <v>45368</v>
      </c>
      <c r="C3876" t="s">
        <v>7047</v>
      </c>
      <c r="D3876" t="s">
        <v>13</v>
      </c>
      <c r="E3876" t="s">
        <v>14</v>
      </c>
      <c r="F3876" t="s">
        <v>57</v>
      </c>
      <c r="G3876">
        <v>1</v>
      </c>
      <c r="H3876">
        <v>22440.79</v>
      </c>
      <c r="I3876">
        <v>1878.99</v>
      </c>
      <c r="J3876" t="s">
        <v>47</v>
      </c>
      <c r="K3876" t="s">
        <v>33</v>
      </c>
      <c r="L3876">
        <f t="shared" si="180"/>
        <v>2024</v>
      </c>
      <c r="M3876" t="str">
        <f t="shared" si="181"/>
        <v>Mar</v>
      </c>
      <c r="N3876" s="2">
        <f t="shared" si="182"/>
        <v>8.3731009469809214E-2</v>
      </c>
    </row>
    <row r="3877" spans="1:14" x14ac:dyDescent="0.45">
      <c r="A3877" t="s">
        <v>7048</v>
      </c>
      <c r="B3877" s="1">
        <v>45100</v>
      </c>
      <c r="C3877" t="s">
        <v>7049</v>
      </c>
      <c r="D3877" t="s">
        <v>56</v>
      </c>
      <c r="E3877" t="s">
        <v>20</v>
      </c>
      <c r="F3877" t="s">
        <v>27</v>
      </c>
      <c r="G3877">
        <v>4</v>
      </c>
      <c r="H3877">
        <v>38087.69</v>
      </c>
      <c r="I3877">
        <v>4068.9</v>
      </c>
      <c r="J3877" t="s">
        <v>22</v>
      </c>
      <c r="K3877" t="s">
        <v>33</v>
      </c>
      <c r="L3877">
        <f t="shared" si="180"/>
        <v>2023</v>
      </c>
      <c r="M3877" t="str">
        <f t="shared" si="181"/>
        <v>Jun</v>
      </c>
      <c r="N3877" s="2">
        <f t="shared" si="182"/>
        <v>0.10682979198791</v>
      </c>
    </row>
    <row r="3878" spans="1:14" x14ac:dyDescent="0.45">
      <c r="A3878" t="s">
        <v>7050</v>
      </c>
      <c r="B3878" s="1">
        <v>45624</v>
      </c>
      <c r="C3878" t="s">
        <v>7051</v>
      </c>
      <c r="D3878" t="s">
        <v>26</v>
      </c>
      <c r="E3878" t="s">
        <v>14</v>
      </c>
      <c r="F3878" t="s">
        <v>32</v>
      </c>
      <c r="G3878">
        <v>3</v>
      </c>
      <c r="H3878">
        <v>24369.16</v>
      </c>
      <c r="I3878">
        <v>4388.05</v>
      </c>
      <c r="J3878" t="s">
        <v>16</v>
      </c>
      <c r="K3878" t="s">
        <v>29</v>
      </c>
      <c r="L3878">
        <f t="shared" si="180"/>
        <v>2024</v>
      </c>
      <c r="M3878" t="str">
        <f t="shared" si="181"/>
        <v>Nov</v>
      </c>
      <c r="N3878" s="2">
        <f t="shared" si="182"/>
        <v>0.18006570599889368</v>
      </c>
    </row>
    <row r="3879" spans="1:14" x14ac:dyDescent="0.45">
      <c r="A3879" t="s">
        <v>7052</v>
      </c>
      <c r="B3879" s="1">
        <v>44976</v>
      </c>
      <c r="C3879" t="s">
        <v>7053</v>
      </c>
      <c r="D3879" t="s">
        <v>56</v>
      </c>
      <c r="E3879" t="s">
        <v>14</v>
      </c>
      <c r="F3879" t="s">
        <v>32</v>
      </c>
      <c r="G3879">
        <v>4</v>
      </c>
      <c r="H3879">
        <v>4037.24</v>
      </c>
      <c r="I3879">
        <v>667.03</v>
      </c>
      <c r="J3879" t="s">
        <v>71</v>
      </c>
      <c r="K3879" t="s">
        <v>33</v>
      </c>
      <c r="L3879">
        <f t="shared" si="180"/>
        <v>2023</v>
      </c>
      <c r="M3879" t="str">
        <f t="shared" si="181"/>
        <v>Feb</v>
      </c>
      <c r="N3879" s="2">
        <f t="shared" si="182"/>
        <v>0.16521930824028297</v>
      </c>
    </row>
    <row r="3880" spans="1:14" x14ac:dyDescent="0.45">
      <c r="A3880" t="s">
        <v>7054</v>
      </c>
      <c r="B3880" s="1">
        <v>45090</v>
      </c>
      <c r="C3880" t="s">
        <v>7055</v>
      </c>
      <c r="D3880" t="s">
        <v>26</v>
      </c>
      <c r="E3880" t="s">
        <v>20</v>
      </c>
      <c r="F3880" t="s">
        <v>50</v>
      </c>
      <c r="G3880">
        <v>2</v>
      </c>
      <c r="H3880">
        <v>15477.56</v>
      </c>
      <c r="I3880">
        <v>2336.02</v>
      </c>
      <c r="J3880" t="s">
        <v>16</v>
      </c>
      <c r="K3880" t="s">
        <v>23</v>
      </c>
      <c r="L3880">
        <f t="shared" si="180"/>
        <v>2023</v>
      </c>
      <c r="M3880" t="str">
        <f t="shared" si="181"/>
        <v>Jun</v>
      </c>
      <c r="N3880" s="2">
        <f t="shared" si="182"/>
        <v>0.15092947467171827</v>
      </c>
    </row>
    <row r="3881" spans="1:14" x14ac:dyDescent="0.45">
      <c r="A3881" t="s">
        <v>7056</v>
      </c>
      <c r="B3881" s="1">
        <v>44909</v>
      </c>
      <c r="C3881" t="s">
        <v>7057</v>
      </c>
      <c r="D3881" t="s">
        <v>13</v>
      </c>
      <c r="E3881" t="s">
        <v>20</v>
      </c>
      <c r="F3881" t="s">
        <v>21</v>
      </c>
      <c r="G3881">
        <v>3</v>
      </c>
      <c r="H3881">
        <v>41525.019999999997</v>
      </c>
      <c r="I3881">
        <v>4270.58</v>
      </c>
      <c r="J3881" t="s">
        <v>28</v>
      </c>
      <c r="K3881" t="s">
        <v>29</v>
      </c>
      <c r="L3881">
        <f t="shared" si="180"/>
        <v>2022</v>
      </c>
      <c r="M3881" t="str">
        <f t="shared" si="181"/>
        <v>Dec</v>
      </c>
      <c r="N3881" s="2">
        <f t="shared" si="182"/>
        <v>0.10284353866656777</v>
      </c>
    </row>
    <row r="3882" spans="1:14" x14ac:dyDescent="0.45">
      <c r="A3882" t="s">
        <v>7058</v>
      </c>
      <c r="B3882" s="1">
        <v>45164</v>
      </c>
      <c r="C3882" t="s">
        <v>7059</v>
      </c>
      <c r="D3882" t="s">
        <v>13</v>
      </c>
      <c r="E3882" t="s">
        <v>14</v>
      </c>
      <c r="F3882" t="s">
        <v>40</v>
      </c>
      <c r="G3882">
        <v>2</v>
      </c>
      <c r="H3882">
        <v>38468.29</v>
      </c>
      <c r="I3882">
        <v>5327.83</v>
      </c>
      <c r="J3882" t="s">
        <v>16</v>
      </c>
      <c r="K3882" t="s">
        <v>33</v>
      </c>
      <c r="L3882">
        <f t="shared" si="180"/>
        <v>2023</v>
      </c>
      <c r="M3882" t="str">
        <f t="shared" si="181"/>
        <v>Aug</v>
      </c>
      <c r="N3882" s="2">
        <f t="shared" si="182"/>
        <v>0.13849926783852362</v>
      </c>
    </row>
    <row r="3883" spans="1:14" x14ac:dyDescent="0.45">
      <c r="A3883" t="s">
        <v>7060</v>
      </c>
      <c r="B3883" s="1">
        <v>45502</v>
      </c>
      <c r="C3883" t="s">
        <v>7061</v>
      </c>
      <c r="D3883" t="s">
        <v>13</v>
      </c>
      <c r="E3883" t="s">
        <v>36</v>
      </c>
      <c r="F3883" t="s">
        <v>46</v>
      </c>
      <c r="G3883">
        <v>5</v>
      </c>
      <c r="H3883">
        <v>18994.63</v>
      </c>
      <c r="I3883">
        <v>2804.13</v>
      </c>
      <c r="J3883" t="s">
        <v>16</v>
      </c>
      <c r="K3883" t="s">
        <v>17</v>
      </c>
      <c r="L3883">
        <f t="shared" si="180"/>
        <v>2024</v>
      </c>
      <c r="M3883" t="str">
        <f t="shared" si="181"/>
        <v>Jul</v>
      </c>
      <c r="N3883" s="2">
        <f t="shared" si="182"/>
        <v>0.1476275136709691</v>
      </c>
    </row>
    <row r="3884" spans="1:14" x14ac:dyDescent="0.45">
      <c r="A3884" t="s">
        <v>7062</v>
      </c>
      <c r="B3884" s="1">
        <v>45200</v>
      </c>
      <c r="C3884" t="s">
        <v>7063</v>
      </c>
      <c r="D3884" t="s">
        <v>13</v>
      </c>
      <c r="E3884" t="s">
        <v>20</v>
      </c>
      <c r="F3884" t="s">
        <v>43</v>
      </c>
      <c r="G3884">
        <v>4</v>
      </c>
      <c r="H3884">
        <v>17539.61</v>
      </c>
      <c r="I3884">
        <v>4147.96</v>
      </c>
      <c r="J3884" t="s">
        <v>71</v>
      </c>
      <c r="K3884" t="s">
        <v>33</v>
      </c>
      <c r="L3884">
        <f t="shared" si="180"/>
        <v>2023</v>
      </c>
      <c r="M3884" t="str">
        <f t="shared" si="181"/>
        <v>Oct</v>
      </c>
      <c r="N3884" s="2">
        <f t="shared" si="182"/>
        <v>0.23649100521619351</v>
      </c>
    </row>
    <row r="3885" spans="1:14" x14ac:dyDescent="0.45">
      <c r="A3885" t="s">
        <v>7064</v>
      </c>
      <c r="B3885" s="1">
        <v>44658</v>
      </c>
      <c r="C3885" t="s">
        <v>7065</v>
      </c>
      <c r="D3885" t="s">
        <v>56</v>
      </c>
      <c r="E3885" t="s">
        <v>14</v>
      </c>
      <c r="F3885" t="s">
        <v>40</v>
      </c>
      <c r="G3885">
        <v>3</v>
      </c>
      <c r="H3885">
        <v>18094.55</v>
      </c>
      <c r="I3885">
        <v>2316.19</v>
      </c>
      <c r="J3885" t="s">
        <v>28</v>
      </c>
      <c r="K3885" t="s">
        <v>29</v>
      </c>
      <c r="L3885">
        <f t="shared" si="180"/>
        <v>2022</v>
      </c>
      <c r="M3885" t="str">
        <f t="shared" si="181"/>
        <v>Apr</v>
      </c>
      <c r="N3885" s="2">
        <f t="shared" si="182"/>
        <v>0.12800484123672598</v>
      </c>
    </row>
    <row r="3886" spans="1:14" x14ac:dyDescent="0.45">
      <c r="A3886" t="s">
        <v>7066</v>
      </c>
      <c r="B3886" s="1">
        <v>44793</v>
      </c>
      <c r="C3886" t="s">
        <v>7067</v>
      </c>
      <c r="D3886" t="s">
        <v>26</v>
      </c>
      <c r="E3886" t="s">
        <v>36</v>
      </c>
      <c r="F3886" t="s">
        <v>53</v>
      </c>
      <c r="G3886">
        <v>3</v>
      </c>
      <c r="H3886">
        <v>7656.54</v>
      </c>
      <c r="I3886">
        <v>1155.4100000000001</v>
      </c>
      <c r="J3886" t="s">
        <v>47</v>
      </c>
      <c r="K3886" t="s">
        <v>29</v>
      </c>
      <c r="L3886">
        <f t="shared" si="180"/>
        <v>2022</v>
      </c>
      <c r="M3886" t="str">
        <f t="shared" si="181"/>
        <v>Aug</v>
      </c>
      <c r="N3886" s="2">
        <f t="shared" si="182"/>
        <v>0.15090497796654886</v>
      </c>
    </row>
    <row r="3887" spans="1:14" x14ac:dyDescent="0.45">
      <c r="A3887" t="s">
        <v>7068</v>
      </c>
      <c r="B3887" s="1">
        <v>45441</v>
      </c>
      <c r="C3887" t="s">
        <v>7069</v>
      </c>
      <c r="D3887" t="s">
        <v>13</v>
      </c>
      <c r="E3887" t="s">
        <v>20</v>
      </c>
      <c r="F3887" t="s">
        <v>43</v>
      </c>
      <c r="G3887">
        <v>3</v>
      </c>
      <c r="H3887">
        <v>17591.72</v>
      </c>
      <c r="I3887">
        <v>1658.96</v>
      </c>
      <c r="J3887" t="s">
        <v>16</v>
      </c>
      <c r="K3887" t="s">
        <v>23</v>
      </c>
      <c r="L3887">
        <f t="shared" si="180"/>
        <v>2024</v>
      </c>
      <c r="M3887" t="str">
        <f t="shared" si="181"/>
        <v>May</v>
      </c>
      <c r="N3887" s="2">
        <f t="shared" si="182"/>
        <v>9.4303456398805802E-2</v>
      </c>
    </row>
    <row r="3888" spans="1:14" x14ac:dyDescent="0.45">
      <c r="A3888" t="s">
        <v>7070</v>
      </c>
      <c r="B3888" s="1">
        <v>45646</v>
      </c>
      <c r="C3888" t="s">
        <v>7071</v>
      </c>
      <c r="D3888" t="s">
        <v>13</v>
      </c>
      <c r="E3888" t="s">
        <v>14</v>
      </c>
      <c r="F3888" t="s">
        <v>40</v>
      </c>
      <c r="G3888">
        <v>3</v>
      </c>
      <c r="H3888">
        <v>6042.45</v>
      </c>
      <c r="I3888">
        <v>1074.77</v>
      </c>
      <c r="J3888" t="s">
        <v>22</v>
      </c>
      <c r="K3888" t="s">
        <v>29</v>
      </c>
      <c r="L3888">
        <f t="shared" si="180"/>
        <v>2024</v>
      </c>
      <c r="M3888" t="str">
        <f t="shared" si="181"/>
        <v>Dec</v>
      </c>
      <c r="N3888" s="2">
        <f t="shared" si="182"/>
        <v>0.17786990376420161</v>
      </c>
    </row>
    <row r="3889" spans="1:14" x14ac:dyDescent="0.45">
      <c r="A3889" t="s">
        <v>7072</v>
      </c>
      <c r="B3889" s="1">
        <v>45236</v>
      </c>
      <c r="C3889" t="s">
        <v>7073</v>
      </c>
      <c r="D3889" t="s">
        <v>26</v>
      </c>
      <c r="E3889" t="s">
        <v>14</v>
      </c>
      <c r="F3889" t="s">
        <v>15</v>
      </c>
      <c r="G3889">
        <v>5</v>
      </c>
      <c r="H3889">
        <v>7534.07</v>
      </c>
      <c r="I3889">
        <v>1784.37</v>
      </c>
      <c r="J3889" t="s">
        <v>47</v>
      </c>
      <c r="K3889" t="s">
        <v>23</v>
      </c>
      <c r="L3889">
        <f t="shared" si="180"/>
        <v>2023</v>
      </c>
      <c r="M3889" t="str">
        <f t="shared" si="181"/>
        <v>Nov</v>
      </c>
      <c r="N3889" s="2">
        <f t="shared" si="182"/>
        <v>0.23684011430740623</v>
      </c>
    </row>
    <row r="3890" spans="1:14" x14ac:dyDescent="0.45">
      <c r="A3890" t="s">
        <v>7074</v>
      </c>
      <c r="B3890" s="1">
        <v>44583</v>
      </c>
      <c r="C3890" t="s">
        <v>7075</v>
      </c>
      <c r="D3890" t="s">
        <v>13</v>
      </c>
      <c r="E3890" t="s">
        <v>36</v>
      </c>
      <c r="F3890" t="s">
        <v>53</v>
      </c>
      <c r="G3890">
        <v>2</v>
      </c>
      <c r="H3890">
        <v>34929.58</v>
      </c>
      <c r="I3890">
        <v>4397.26</v>
      </c>
      <c r="J3890" t="s">
        <v>22</v>
      </c>
      <c r="K3890" t="s">
        <v>17</v>
      </c>
      <c r="L3890">
        <f t="shared" si="180"/>
        <v>2022</v>
      </c>
      <c r="M3890" t="str">
        <f t="shared" si="181"/>
        <v>Jan</v>
      </c>
      <c r="N3890" s="2">
        <f t="shared" si="182"/>
        <v>0.12588928924997095</v>
      </c>
    </row>
    <row r="3891" spans="1:14" x14ac:dyDescent="0.45">
      <c r="A3891" t="s">
        <v>7076</v>
      </c>
      <c r="B3891" s="1">
        <v>44985</v>
      </c>
      <c r="C3891" t="s">
        <v>6410</v>
      </c>
      <c r="D3891" t="s">
        <v>26</v>
      </c>
      <c r="E3891" t="s">
        <v>36</v>
      </c>
      <c r="F3891" t="s">
        <v>53</v>
      </c>
      <c r="G3891">
        <v>4</v>
      </c>
      <c r="H3891">
        <v>45581.75</v>
      </c>
      <c r="I3891">
        <v>2951.34</v>
      </c>
      <c r="J3891" t="s">
        <v>71</v>
      </c>
      <c r="K3891" t="s">
        <v>17</v>
      </c>
      <c r="L3891">
        <f t="shared" si="180"/>
        <v>2023</v>
      </c>
      <c r="M3891" t="str">
        <f t="shared" si="181"/>
        <v>Feb</v>
      </c>
      <c r="N3891" s="2">
        <f t="shared" si="182"/>
        <v>6.4748281933010479E-2</v>
      </c>
    </row>
    <row r="3892" spans="1:14" x14ac:dyDescent="0.45">
      <c r="A3892" t="s">
        <v>7077</v>
      </c>
      <c r="B3892" s="1">
        <v>45101</v>
      </c>
      <c r="C3892" t="s">
        <v>7078</v>
      </c>
      <c r="D3892" t="s">
        <v>56</v>
      </c>
      <c r="E3892" t="s">
        <v>36</v>
      </c>
      <c r="F3892" t="s">
        <v>53</v>
      </c>
      <c r="G3892">
        <v>1</v>
      </c>
      <c r="H3892">
        <v>641.11</v>
      </c>
      <c r="I3892">
        <v>69.48</v>
      </c>
      <c r="J3892" t="s">
        <v>47</v>
      </c>
      <c r="K3892" t="s">
        <v>29</v>
      </c>
      <c r="L3892">
        <f t="shared" si="180"/>
        <v>2023</v>
      </c>
      <c r="M3892" t="str">
        <f t="shared" si="181"/>
        <v>Jun</v>
      </c>
      <c r="N3892" s="2">
        <f t="shared" si="182"/>
        <v>0.10837453791081095</v>
      </c>
    </row>
    <row r="3893" spans="1:14" x14ac:dyDescent="0.45">
      <c r="A3893" t="s">
        <v>7079</v>
      </c>
      <c r="B3893" s="1">
        <v>44682</v>
      </c>
      <c r="C3893" t="s">
        <v>7080</v>
      </c>
      <c r="D3893" t="s">
        <v>26</v>
      </c>
      <c r="E3893" t="s">
        <v>36</v>
      </c>
      <c r="F3893" t="s">
        <v>46</v>
      </c>
      <c r="G3893">
        <v>3</v>
      </c>
      <c r="H3893">
        <v>20766.54</v>
      </c>
      <c r="I3893">
        <v>2799.08</v>
      </c>
      <c r="J3893" t="s">
        <v>16</v>
      </c>
      <c r="K3893" t="s">
        <v>29</v>
      </c>
      <c r="L3893">
        <f t="shared" si="180"/>
        <v>2022</v>
      </c>
      <c r="M3893" t="str">
        <f t="shared" si="181"/>
        <v>May</v>
      </c>
      <c r="N3893" s="2">
        <f t="shared" si="182"/>
        <v>0.13478798105028569</v>
      </c>
    </row>
    <row r="3894" spans="1:14" x14ac:dyDescent="0.45">
      <c r="A3894" t="s">
        <v>7081</v>
      </c>
      <c r="B3894" s="1">
        <v>44673</v>
      </c>
      <c r="C3894" t="s">
        <v>1192</v>
      </c>
      <c r="D3894" t="s">
        <v>26</v>
      </c>
      <c r="E3894" t="s">
        <v>14</v>
      </c>
      <c r="F3894" t="s">
        <v>32</v>
      </c>
      <c r="G3894">
        <v>3</v>
      </c>
      <c r="H3894">
        <v>39979.269999999997</v>
      </c>
      <c r="I3894">
        <v>6868.75</v>
      </c>
      <c r="J3894" t="s">
        <v>47</v>
      </c>
      <c r="K3894" t="s">
        <v>29</v>
      </c>
      <c r="L3894">
        <f t="shared" si="180"/>
        <v>2022</v>
      </c>
      <c r="M3894" t="str">
        <f t="shared" si="181"/>
        <v>Apr</v>
      </c>
      <c r="N3894" s="2">
        <f t="shared" si="182"/>
        <v>0.17180778938684974</v>
      </c>
    </row>
    <row r="3895" spans="1:14" x14ac:dyDescent="0.45">
      <c r="A3895" t="s">
        <v>7082</v>
      </c>
      <c r="B3895" s="1">
        <v>44811</v>
      </c>
      <c r="C3895" t="s">
        <v>7083</v>
      </c>
      <c r="D3895" t="s">
        <v>13</v>
      </c>
      <c r="E3895" t="s">
        <v>14</v>
      </c>
      <c r="F3895" t="s">
        <v>32</v>
      </c>
      <c r="G3895">
        <v>4</v>
      </c>
      <c r="H3895">
        <v>16234.99</v>
      </c>
      <c r="I3895">
        <v>2612.59</v>
      </c>
      <c r="J3895" t="s">
        <v>22</v>
      </c>
      <c r="K3895" t="s">
        <v>23</v>
      </c>
      <c r="L3895">
        <f t="shared" si="180"/>
        <v>2022</v>
      </c>
      <c r="M3895" t="str">
        <f t="shared" si="181"/>
        <v>Sep</v>
      </c>
      <c r="N3895" s="2">
        <f t="shared" si="182"/>
        <v>0.16092341294943824</v>
      </c>
    </row>
    <row r="3896" spans="1:14" x14ac:dyDescent="0.45">
      <c r="A3896" t="s">
        <v>7084</v>
      </c>
      <c r="B3896" s="1">
        <v>44956</v>
      </c>
      <c r="C3896" t="s">
        <v>7085</v>
      </c>
      <c r="D3896" t="s">
        <v>26</v>
      </c>
      <c r="E3896" t="s">
        <v>36</v>
      </c>
      <c r="F3896" t="s">
        <v>37</v>
      </c>
      <c r="G3896">
        <v>1</v>
      </c>
      <c r="H3896">
        <v>13970.76</v>
      </c>
      <c r="I3896">
        <v>1165.01</v>
      </c>
      <c r="J3896" t="s">
        <v>28</v>
      </c>
      <c r="K3896" t="s">
        <v>23</v>
      </c>
      <c r="L3896">
        <f t="shared" si="180"/>
        <v>2023</v>
      </c>
      <c r="M3896" t="str">
        <f t="shared" si="181"/>
        <v>Jan</v>
      </c>
      <c r="N3896" s="2">
        <f t="shared" si="182"/>
        <v>8.3389164225854573E-2</v>
      </c>
    </row>
    <row r="3897" spans="1:14" x14ac:dyDescent="0.45">
      <c r="A3897" t="s">
        <v>7086</v>
      </c>
      <c r="B3897" s="1">
        <v>45603</v>
      </c>
      <c r="C3897" t="s">
        <v>3794</v>
      </c>
      <c r="D3897" t="s">
        <v>26</v>
      </c>
      <c r="E3897" t="s">
        <v>36</v>
      </c>
      <c r="F3897" t="s">
        <v>37</v>
      </c>
      <c r="G3897">
        <v>4</v>
      </c>
      <c r="H3897">
        <v>48113.66</v>
      </c>
      <c r="I3897">
        <v>7395.88</v>
      </c>
      <c r="J3897" t="s">
        <v>22</v>
      </c>
      <c r="K3897" t="s">
        <v>17</v>
      </c>
      <c r="L3897">
        <f t="shared" si="180"/>
        <v>2024</v>
      </c>
      <c r="M3897" t="str">
        <f t="shared" si="181"/>
        <v>Nov</v>
      </c>
      <c r="N3897" s="2">
        <f t="shared" si="182"/>
        <v>0.15371684465492752</v>
      </c>
    </row>
    <row r="3898" spans="1:14" x14ac:dyDescent="0.45">
      <c r="A3898" t="s">
        <v>7087</v>
      </c>
      <c r="B3898" s="1">
        <v>45121</v>
      </c>
      <c r="C3898" t="s">
        <v>2075</v>
      </c>
      <c r="D3898" t="s">
        <v>56</v>
      </c>
      <c r="E3898" t="s">
        <v>36</v>
      </c>
      <c r="F3898" t="s">
        <v>53</v>
      </c>
      <c r="G3898">
        <v>5</v>
      </c>
      <c r="H3898">
        <v>48971.03</v>
      </c>
      <c r="I3898">
        <v>6253.58</v>
      </c>
      <c r="J3898" t="s">
        <v>16</v>
      </c>
      <c r="K3898" t="s">
        <v>23</v>
      </c>
      <c r="L3898">
        <f t="shared" si="180"/>
        <v>2023</v>
      </c>
      <c r="M3898" t="str">
        <f t="shared" si="181"/>
        <v>Jul</v>
      </c>
      <c r="N3898" s="2">
        <f t="shared" si="182"/>
        <v>0.12769958075213039</v>
      </c>
    </row>
    <row r="3899" spans="1:14" x14ac:dyDescent="0.45">
      <c r="A3899" t="s">
        <v>7088</v>
      </c>
      <c r="B3899" s="1">
        <v>44974</v>
      </c>
      <c r="C3899" t="s">
        <v>7089</v>
      </c>
      <c r="D3899" t="s">
        <v>26</v>
      </c>
      <c r="E3899" t="s">
        <v>14</v>
      </c>
      <c r="F3899" t="s">
        <v>32</v>
      </c>
      <c r="G3899">
        <v>2</v>
      </c>
      <c r="H3899">
        <v>1431.84</v>
      </c>
      <c r="I3899">
        <v>226.52</v>
      </c>
      <c r="J3899" t="s">
        <v>22</v>
      </c>
      <c r="K3899" t="s">
        <v>23</v>
      </c>
      <c r="L3899">
        <f t="shared" si="180"/>
        <v>2023</v>
      </c>
      <c r="M3899" t="str">
        <f t="shared" si="181"/>
        <v>Feb</v>
      </c>
      <c r="N3899" s="2">
        <f t="shared" si="182"/>
        <v>0.15820203374678737</v>
      </c>
    </row>
    <row r="3900" spans="1:14" x14ac:dyDescent="0.45">
      <c r="A3900" t="s">
        <v>7090</v>
      </c>
      <c r="B3900" s="1">
        <v>44810</v>
      </c>
      <c r="C3900" t="s">
        <v>7091</v>
      </c>
      <c r="D3900" t="s">
        <v>13</v>
      </c>
      <c r="E3900" t="s">
        <v>36</v>
      </c>
      <c r="F3900" t="s">
        <v>37</v>
      </c>
      <c r="G3900">
        <v>5</v>
      </c>
      <c r="H3900">
        <v>13549.1</v>
      </c>
      <c r="I3900">
        <v>791.92</v>
      </c>
      <c r="J3900" t="s">
        <v>22</v>
      </c>
      <c r="K3900" t="s">
        <v>33</v>
      </c>
      <c r="L3900">
        <f t="shared" si="180"/>
        <v>2022</v>
      </c>
      <c r="M3900" t="str">
        <f t="shared" si="181"/>
        <v>Sep</v>
      </c>
      <c r="N3900" s="2">
        <f t="shared" si="182"/>
        <v>5.844816260858654E-2</v>
      </c>
    </row>
    <row r="3901" spans="1:14" x14ac:dyDescent="0.45">
      <c r="A3901" t="s">
        <v>7092</v>
      </c>
      <c r="B3901" s="1">
        <v>45379</v>
      </c>
      <c r="C3901" t="s">
        <v>4826</v>
      </c>
      <c r="D3901" t="s">
        <v>56</v>
      </c>
      <c r="E3901" t="s">
        <v>36</v>
      </c>
      <c r="F3901" t="s">
        <v>37</v>
      </c>
      <c r="G3901">
        <v>5</v>
      </c>
      <c r="H3901">
        <v>19703.86</v>
      </c>
      <c r="I3901">
        <v>2272.64</v>
      </c>
      <c r="J3901" t="s">
        <v>71</v>
      </c>
      <c r="K3901" t="s">
        <v>17</v>
      </c>
      <c r="L3901">
        <f t="shared" si="180"/>
        <v>2024</v>
      </c>
      <c r="M3901" t="str">
        <f t="shared" si="181"/>
        <v>Mar</v>
      </c>
      <c r="N3901" s="2">
        <f t="shared" si="182"/>
        <v>0.11533983696595489</v>
      </c>
    </row>
    <row r="3902" spans="1:14" x14ac:dyDescent="0.45">
      <c r="A3902" t="s">
        <v>7093</v>
      </c>
      <c r="B3902" s="1">
        <v>44680</v>
      </c>
      <c r="C3902" t="s">
        <v>2220</v>
      </c>
      <c r="D3902" t="s">
        <v>13</v>
      </c>
      <c r="E3902" t="s">
        <v>20</v>
      </c>
      <c r="F3902" t="s">
        <v>50</v>
      </c>
      <c r="G3902">
        <v>4</v>
      </c>
      <c r="H3902">
        <v>4232.07</v>
      </c>
      <c r="I3902">
        <v>551.72</v>
      </c>
      <c r="J3902" t="s">
        <v>22</v>
      </c>
      <c r="K3902" t="s">
        <v>23</v>
      </c>
      <c r="L3902">
        <f t="shared" si="180"/>
        <v>2022</v>
      </c>
      <c r="M3902" t="str">
        <f t="shared" si="181"/>
        <v>Apr</v>
      </c>
      <c r="N3902" s="2">
        <f t="shared" si="182"/>
        <v>0.13036646369270832</v>
      </c>
    </row>
    <row r="3903" spans="1:14" x14ac:dyDescent="0.45">
      <c r="A3903" t="s">
        <v>7094</v>
      </c>
      <c r="B3903" s="1">
        <v>44966</v>
      </c>
      <c r="C3903" t="s">
        <v>7095</v>
      </c>
      <c r="D3903" t="s">
        <v>56</v>
      </c>
      <c r="E3903" t="s">
        <v>14</v>
      </c>
      <c r="F3903" t="s">
        <v>57</v>
      </c>
      <c r="G3903">
        <v>5</v>
      </c>
      <c r="H3903">
        <v>39651.440000000002</v>
      </c>
      <c r="I3903">
        <v>8518.39</v>
      </c>
      <c r="J3903" t="s">
        <v>28</v>
      </c>
      <c r="K3903" t="s">
        <v>23</v>
      </c>
      <c r="L3903">
        <f t="shared" si="180"/>
        <v>2023</v>
      </c>
      <c r="M3903" t="str">
        <f t="shared" si="181"/>
        <v>Feb</v>
      </c>
      <c r="N3903" s="2">
        <f t="shared" si="182"/>
        <v>0.21483179425513926</v>
      </c>
    </row>
    <row r="3904" spans="1:14" x14ac:dyDescent="0.45">
      <c r="A3904" t="s">
        <v>7096</v>
      </c>
      <c r="B3904" s="1">
        <v>44632</v>
      </c>
      <c r="C3904" t="s">
        <v>7097</v>
      </c>
      <c r="D3904" t="s">
        <v>56</v>
      </c>
      <c r="E3904" t="s">
        <v>20</v>
      </c>
      <c r="F3904" t="s">
        <v>27</v>
      </c>
      <c r="G3904">
        <v>4</v>
      </c>
      <c r="H3904">
        <v>15351.37</v>
      </c>
      <c r="I3904">
        <v>1942.63</v>
      </c>
      <c r="J3904" t="s">
        <v>71</v>
      </c>
      <c r="K3904" t="s">
        <v>23</v>
      </c>
      <c r="L3904">
        <f t="shared" si="180"/>
        <v>2022</v>
      </c>
      <c r="M3904" t="str">
        <f t="shared" si="181"/>
        <v>Mar</v>
      </c>
      <c r="N3904" s="2">
        <f t="shared" si="182"/>
        <v>0.12654440613443621</v>
      </c>
    </row>
    <row r="3905" spans="1:14" x14ac:dyDescent="0.45">
      <c r="A3905" t="s">
        <v>7098</v>
      </c>
      <c r="B3905" s="1">
        <v>45485</v>
      </c>
      <c r="C3905" t="s">
        <v>4468</v>
      </c>
      <c r="D3905" t="s">
        <v>26</v>
      </c>
      <c r="E3905" t="s">
        <v>14</v>
      </c>
      <c r="F3905" t="s">
        <v>32</v>
      </c>
      <c r="G3905">
        <v>4</v>
      </c>
      <c r="H3905">
        <v>4745.6899999999996</v>
      </c>
      <c r="I3905">
        <v>679.71</v>
      </c>
      <c r="J3905" t="s">
        <v>28</v>
      </c>
      <c r="K3905" t="s">
        <v>23</v>
      </c>
      <c r="L3905">
        <f t="shared" si="180"/>
        <v>2024</v>
      </c>
      <c r="M3905" t="str">
        <f t="shared" si="181"/>
        <v>Jul</v>
      </c>
      <c r="N3905" s="2">
        <f t="shared" si="182"/>
        <v>0.1432268015820671</v>
      </c>
    </row>
    <row r="3906" spans="1:14" x14ac:dyDescent="0.45">
      <c r="A3906" t="s">
        <v>7099</v>
      </c>
      <c r="B3906" s="1">
        <v>44959</v>
      </c>
      <c r="C3906" t="s">
        <v>6506</v>
      </c>
      <c r="D3906" t="s">
        <v>56</v>
      </c>
      <c r="E3906" t="s">
        <v>14</v>
      </c>
      <c r="F3906" t="s">
        <v>40</v>
      </c>
      <c r="G3906">
        <v>2</v>
      </c>
      <c r="H3906">
        <v>39295.550000000003</v>
      </c>
      <c r="I3906">
        <v>2528.08</v>
      </c>
      <c r="J3906" t="s">
        <v>22</v>
      </c>
      <c r="K3906" t="s">
        <v>23</v>
      </c>
      <c r="L3906">
        <f t="shared" si="180"/>
        <v>2023</v>
      </c>
      <c r="M3906" t="str">
        <f t="shared" si="181"/>
        <v>Feb</v>
      </c>
      <c r="N3906" s="2">
        <f t="shared" si="182"/>
        <v>6.433502012314371E-2</v>
      </c>
    </row>
    <row r="3907" spans="1:14" x14ac:dyDescent="0.45">
      <c r="A3907" t="s">
        <v>7100</v>
      </c>
      <c r="B3907" s="1">
        <v>44611</v>
      </c>
      <c r="C3907" t="s">
        <v>1329</v>
      </c>
      <c r="D3907" t="s">
        <v>26</v>
      </c>
      <c r="E3907" t="s">
        <v>36</v>
      </c>
      <c r="F3907" t="s">
        <v>37</v>
      </c>
      <c r="G3907">
        <v>2</v>
      </c>
      <c r="H3907">
        <v>5846.05</v>
      </c>
      <c r="I3907">
        <v>341.74</v>
      </c>
      <c r="J3907" t="s">
        <v>22</v>
      </c>
      <c r="K3907" t="s">
        <v>29</v>
      </c>
      <c r="L3907">
        <f t="shared" ref="L3907:L3970" si="183">YEAR(B3907 )</f>
        <v>2022</v>
      </c>
      <c r="M3907" t="str">
        <f t="shared" ref="M3907:M3970" si="184">TEXT(B3907,"MMM")</f>
        <v>Feb</v>
      </c>
      <c r="N3907" s="2">
        <f t="shared" ref="N3907:N3970" si="185">I3907 / H3907</f>
        <v>5.845656468897803E-2</v>
      </c>
    </row>
    <row r="3908" spans="1:14" x14ac:dyDescent="0.45">
      <c r="A3908" t="s">
        <v>7101</v>
      </c>
      <c r="B3908" s="1">
        <v>45613</v>
      </c>
      <c r="C3908" t="s">
        <v>7102</v>
      </c>
      <c r="D3908" t="s">
        <v>13</v>
      </c>
      <c r="E3908" t="s">
        <v>36</v>
      </c>
      <c r="F3908" t="s">
        <v>64</v>
      </c>
      <c r="G3908">
        <v>1</v>
      </c>
      <c r="H3908">
        <v>3584.24</v>
      </c>
      <c r="I3908">
        <v>861.08</v>
      </c>
      <c r="J3908" t="s">
        <v>28</v>
      </c>
      <c r="K3908" t="s">
        <v>29</v>
      </c>
      <c r="L3908">
        <f t="shared" si="183"/>
        <v>2024</v>
      </c>
      <c r="M3908" t="str">
        <f t="shared" si="184"/>
        <v>Nov</v>
      </c>
      <c r="N3908" s="2">
        <f t="shared" si="185"/>
        <v>0.24024060888779772</v>
      </c>
    </row>
    <row r="3909" spans="1:14" x14ac:dyDescent="0.45">
      <c r="A3909" t="s">
        <v>7103</v>
      </c>
      <c r="B3909" s="1">
        <v>44782</v>
      </c>
      <c r="C3909" t="s">
        <v>7104</v>
      </c>
      <c r="D3909" t="s">
        <v>13</v>
      </c>
      <c r="E3909" t="s">
        <v>20</v>
      </c>
      <c r="F3909" t="s">
        <v>50</v>
      </c>
      <c r="G3909">
        <v>1</v>
      </c>
      <c r="H3909">
        <v>880.68</v>
      </c>
      <c r="I3909">
        <v>81.98</v>
      </c>
      <c r="J3909" t="s">
        <v>28</v>
      </c>
      <c r="K3909" t="s">
        <v>33</v>
      </c>
      <c r="L3909">
        <f t="shared" si="183"/>
        <v>2022</v>
      </c>
      <c r="M3909" t="str">
        <f t="shared" si="184"/>
        <v>Aug</v>
      </c>
      <c r="N3909" s="2">
        <f t="shared" si="185"/>
        <v>9.3087159921878562E-2</v>
      </c>
    </row>
    <row r="3910" spans="1:14" x14ac:dyDescent="0.45">
      <c r="A3910" t="s">
        <v>7105</v>
      </c>
      <c r="B3910" s="1">
        <v>45634</v>
      </c>
      <c r="C3910" t="s">
        <v>7106</v>
      </c>
      <c r="D3910" t="s">
        <v>26</v>
      </c>
      <c r="E3910" t="s">
        <v>20</v>
      </c>
      <c r="F3910" t="s">
        <v>21</v>
      </c>
      <c r="G3910">
        <v>3</v>
      </c>
      <c r="H3910">
        <v>16228.79</v>
      </c>
      <c r="I3910">
        <v>3568.65</v>
      </c>
      <c r="J3910" t="s">
        <v>22</v>
      </c>
      <c r="K3910" t="s">
        <v>29</v>
      </c>
      <c r="L3910">
        <f t="shared" si="183"/>
        <v>2024</v>
      </c>
      <c r="M3910" t="str">
        <f t="shared" si="184"/>
        <v>Dec</v>
      </c>
      <c r="N3910" s="2">
        <f t="shared" si="185"/>
        <v>0.21989624611569933</v>
      </c>
    </row>
    <row r="3911" spans="1:14" x14ac:dyDescent="0.45">
      <c r="A3911" t="s">
        <v>7107</v>
      </c>
      <c r="B3911" s="1">
        <v>44916</v>
      </c>
      <c r="C3911" t="s">
        <v>7108</v>
      </c>
      <c r="D3911" t="s">
        <v>13</v>
      </c>
      <c r="E3911" t="s">
        <v>20</v>
      </c>
      <c r="F3911" t="s">
        <v>27</v>
      </c>
      <c r="G3911">
        <v>2</v>
      </c>
      <c r="H3911">
        <v>8029.37</v>
      </c>
      <c r="I3911">
        <v>1004.37</v>
      </c>
      <c r="J3911" t="s">
        <v>71</v>
      </c>
      <c r="K3911" t="s">
        <v>23</v>
      </c>
      <c r="L3911">
        <f t="shared" si="183"/>
        <v>2022</v>
      </c>
      <c r="M3911" t="str">
        <f t="shared" si="184"/>
        <v>Dec</v>
      </c>
      <c r="N3911" s="2">
        <f t="shared" si="185"/>
        <v>0.12508702426217749</v>
      </c>
    </row>
    <row r="3912" spans="1:14" x14ac:dyDescent="0.45">
      <c r="A3912" t="s">
        <v>7109</v>
      </c>
      <c r="B3912" s="1">
        <v>44739</v>
      </c>
      <c r="C3912" t="s">
        <v>7110</v>
      </c>
      <c r="D3912" t="s">
        <v>13</v>
      </c>
      <c r="E3912" t="s">
        <v>14</v>
      </c>
      <c r="F3912" t="s">
        <v>40</v>
      </c>
      <c r="G3912">
        <v>5</v>
      </c>
      <c r="H3912">
        <v>34992.26</v>
      </c>
      <c r="I3912">
        <v>4581.32</v>
      </c>
      <c r="J3912" t="s">
        <v>28</v>
      </c>
      <c r="K3912" t="s">
        <v>23</v>
      </c>
      <c r="L3912">
        <f t="shared" si="183"/>
        <v>2022</v>
      </c>
      <c r="M3912" t="str">
        <f t="shared" si="184"/>
        <v>Jun</v>
      </c>
      <c r="N3912" s="2">
        <f t="shared" si="185"/>
        <v>0.13092381000827039</v>
      </c>
    </row>
    <row r="3913" spans="1:14" x14ac:dyDescent="0.45">
      <c r="A3913" t="s">
        <v>7111</v>
      </c>
      <c r="B3913" s="1">
        <v>44713</v>
      </c>
      <c r="C3913" t="s">
        <v>7112</v>
      </c>
      <c r="D3913" t="s">
        <v>13</v>
      </c>
      <c r="E3913" t="s">
        <v>14</v>
      </c>
      <c r="F3913" t="s">
        <v>32</v>
      </c>
      <c r="G3913">
        <v>4</v>
      </c>
      <c r="H3913">
        <v>25846.47</v>
      </c>
      <c r="I3913">
        <v>4299.97</v>
      </c>
      <c r="J3913" t="s">
        <v>22</v>
      </c>
      <c r="K3913" t="s">
        <v>29</v>
      </c>
      <c r="L3913">
        <f t="shared" si="183"/>
        <v>2022</v>
      </c>
      <c r="M3913" t="str">
        <f t="shared" si="184"/>
        <v>Jun</v>
      </c>
      <c r="N3913" s="2">
        <f t="shared" si="185"/>
        <v>0.16636585189389499</v>
      </c>
    </row>
    <row r="3914" spans="1:14" x14ac:dyDescent="0.45">
      <c r="A3914" t="s">
        <v>7113</v>
      </c>
      <c r="B3914" s="1">
        <v>44597</v>
      </c>
      <c r="C3914" t="s">
        <v>7114</v>
      </c>
      <c r="D3914" t="s">
        <v>13</v>
      </c>
      <c r="E3914" t="s">
        <v>20</v>
      </c>
      <c r="F3914" t="s">
        <v>50</v>
      </c>
      <c r="G3914">
        <v>5</v>
      </c>
      <c r="H3914">
        <v>38175.65</v>
      </c>
      <c r="I3914">
        <v>4783.82</v>
      </c>
      <c r="J3914" t="s">
        <v>16</v>
      </c>
      <c r="K3914" t="s">
        <v>17</v>
      </c>
      <c r="L3914">
        <f t="shared" si="183"/>
        <v>2022</v>
      </c>
      <c r="M3914" t="str">
        <f t="shared" si="184"/>
        <v>Feb</v>
      </c>
      <c r="N3914" s="2">
        <f t="shared" si="185"/>
        <v>0.1253107674656489</v>
      </c>
    </row>
    <row r="3915" spans="1:14" x14ac:dyDescent="0.45">
      <c r="A3915" t="s">
        <v>7115</v>
      </c>
      <c r="B3915" s="1">
        <v>45654</v>
      </c>
      <c r="C3915" t="s">
        <v>1952</v>
      </c>
      <c r="D3915" t="s">
        <v>13</v>
      </c>
      <c r="E3915" t="s">
        <v>36</v>
      </c>
      <c r="F3915" t="s">
        <v>46</v>
      </c>
      <c r="G3915">
        <v>3</v>
      </c>
      <c r="H3915">
        <v>47771.7</v>
      </c>
      <c r="I3915">
        <v>9785.6</v>
      </c>
      <c r="J3915" t="s">
        <v>47</v>
      </c>
      <c r="K3915" t="s">
        <v>17</v>
      </c>
      <c r="L3915">
        <f t="shared" si="183"/>
        <v>2024</v>
      </c>
      <c r="M3915" t="str">
        <f t="shared" si="184"/>
        <v>Dec</v>
      </c>
      <c r="N3915" s="2">
        <f t="shared" si="185"/>
        <v>0.20484094139417272</v>
      </c>
    </row>
    <row r="3916" spans="1:14" x14ac:dyDescent="0.45">
      <c r="A3916" t="s">
        <v>7116</v>
      </c>
      <c r="B3916" s="1">
        <v>44778</v>
      </c>
      <c r="C3916" t="s">
        <v>7117</v>
      </c>
      <c r="D3916" t="s">
        <v>26</v>
      </c>
      <c r="E3916" t="s">
        <v>20</v>
      </c>
      <c r="F3916" t="s">
        <v>21</v>
      </c>
      <c r="G3916">
        <v>4</v>
      </c>
      <c r="H3916">
        <v>8853.5300000000007</v>
      </c>
      <c r="I3916">
        <v>1053.8800000000001</v>
      </c>
      <c r="J3916" t="s">
        <v>71</v>
      </c>
      <c r="K3916" t="s">
        <v>17</v>
      </c>
      <c r="L3916">
        <f t="shared" si="183"/>
        <v>2022</v>
      </c>
      <c r="M3916" t="str">
        <f t="shared" si="184"/>
        <v>Aug</v>
      </c>
      <c r="N3916" s="2">
        <f t="shared" si="185"/>
        <v>0.11903500637598789</v>
      </c>
    </row>
    <row r="3917" spans="1:14" x14ac:dyDescent="0.45">
      <c r="A3917" t="s">
        <v>7118</v>
      </c>
      <c r="B3917" s="1">
        <v>44649</v>
      </c>
      <c r="C3917" t="s">
        <v>4983</v>
      </c>
      <c r="D3917" t="s">
        <v>26</v>
      </c>
      <c r="E3917" t="s">
        <v>20</v>
      </c>
      <c r="F3917" t="s">
        <v>43</v>
      </c>
      <c r="G3917">
        <v>2</v>
      </c>
      <c r="H3917">
        <v>42016.44</v>
      </c>
      <c r="I3917">
        <v>5653.32</v>
      </c>
      <c r="J3917" t="s">
        <v>71</v>
      </c>
      <c r="K3917" t="s">
        <v>33</v>
      </c>
      <c r="L3917">
        <f t="shared" si="183"/>
        <v>2022</v>
      </c>
      <c r="M3917" t="str">
        <f t="shared" si="184"/>
        <v>Mar</v>
      </c>
      <c r="N3917" s="2">
        <f t="shared" si="185"/>
        <v>0.13455019035406141</v>
      </c>
    </row>
    <row r="3918" spans="1:14" x14ac:dyDescent="0.45">
      <c r="A3918" t="s">
        <v>7119</v>
      </c>
      <c r="B3918" s="1">
        <v>45274</v>
      </c>
      <c r="C3918" t="s">
        <v>3903</v>
      </c>
      <c r="D3918" t="s">
        <v>56</v>
      </c>
      <c r="E3918" t="s">
        <v>20</v>
      </c>
      <c r="F3918" t="s">
        <v>43</v>
      </c>
      <c r="G3918">
        <v>2</v>
      </c>
      <c r="H3918">
        <v>25938.92</v>
      </c>
      <c r="I3918">
        <v>5399.24</v>
      </c>
      <c r="J3918" t="s">
        <v>47</v>
      </c>
      <c r="K3918" t="s">
        <v>29</v>
      </c>
      <c r="L3918">
        <f t="shared" si="183"/>
        <v>2023</v>
      </c>
      <c r="M3918" t="str">
        <f t="shared" si="184"/>
        <v>Dec</v>
      </c>
      <c r="N3918" s="2">
        <f t="shared" si="185"/>
        <v>0.20815207418042078</v>
      </c>
    </row>
    <row r="3919" spans="1:14" x14ac:dyDescent="0.45">
      <c r="A3919" t="s">
        <v>7120</v>
      </c>
      <c r="B3919" s="1">
        <v>45369</v>
      </c>
      <c r="C3919" t="s">
        <v>7121</v>
      </c>
      <c r="D3919" t="s">
        <v>26</v>
      </c>
      <c r="E3919" t="s">
        <v>36</v>
      </c>
      <c r="F3919" t="s">
        <v>46</v>
      </c>
      <c r="G3919">
        <v>2</v>
      </c>
      <c r="H3919">
        <v>16393.849999999999</v>
      </c>
      <c r="I3919">
        <v>1693.1</v>
      </c>
      <c r="J3919" t="s">
        <v>71</v>
      </c>
      <c r="K3919" t="s">
        <v>33</v>
      </c>
      <c r="L3919">
        <f t="shared" si="183"/>
        <v>2024</v>
      </c>
      <c r="M3919" t="str">
        <f t="shared" si="184"/>
        <v>Mar</v>
      </c>
      <c r="N3919" s="2">
        <f t="shared" si="185"/>
        <v>0.10327653357814058</v>
      </c>
    </row>
    <row r="3920" spans="1:14" x14ac:dyDescent="0.45">
      <c r="A3920" t="s">
        <v>7122</v>
      </c>
      <c r="B3920" s="1">
        <v>45303</v>
      </c>
      <c r="C3920" t="s">
        <v>7123</v>
      </c>
      <c r="D3920" t="s">
        <v>13</v>
      </c>
      <c r="E3920" t="s">
        <v>36</v>
      </c>
      <c r="F3920" t="s">
        <v>37</v>
      </c>
      <c r="G3920">
        <v>5</v>
      </c>
      <c r="H3920">
        <v>43389.08</v>
      </c>
      <c r="I3920">
        <v>3561.62</v>
      </c>
      <c r="J3920" t="s">
        <v>71</v>
      </c>
      <c r="K3920" t="s">
        <v>33</v>
      </c>
      <c r="L3920">
        <f t="shared" si="183"/>
        <v>2024</v>
      </c>
      <c r="M3920" t="str">
        <f t="shared" si="184"/>
        <v>Jan</v>
      </c>
      <c r="N3920" s="2">
        <f t="shared" si="185"/>
        <v>8.2085630762394585E-2</v>
      </c>
    </row>
    <row r="3921" spans="1:14" x14ac:dyDescent="0.45">
      <c r="A3921" t="s">
        <v>7124</v>
      </c>
      <c r="B3921" s="1">
        <v>44755</v>
      </c>
      <c r="C3921" t="s">
        <v>1190</v>
      </c>
      <c r="D3921" t="s">
        <v>56</v>
      </c>
      <c r="E3921" t="s">
        <v>14</v>
      </c>
      <c r="F3921" t="s">
        <v>15</v>
      </c>
      <c r="G3921">
        <v>3</v>
      </c>
      <c r="H3921">
        <v>14467.43</v>
      </c>
      <c r="I3921">
        <v>3171.01</v>
      </c>
      <c r="J3921" t="s">
        <v>71</v>
      </c>
      <c r="K3921" t="s">
        <v>33</v>
      </c>
      <c r="L3921">
        <f t="shared" si="183"/>
        <v>2022</v>
      </c>
      <c r="M3921" t="str">
        <f t="shared" si="184"/>
        <v>Jul</v>
      </c>
      <c r="N3921" s="2">
        <f t="shared" si="185"/>
        <v>0.2191826744625687</v>
      </c>
    </row>
    <row r="3922" spans="1:14" x14ac:dyDescent="0.45">
      <c r="A3922" t="s">
        <v>7125</v>
      </c>
      <c r="B3922" s="1">
        <v>44803</v>
      </c>
      <c r="C3922" t="s">
        <v>7126</v>
      </c>
      <c r="D3922" t="s">
        <v>26</v>
      </c>
      <c r="E3922" t="s">
        <v>36</v>
      </c>
      <c r="F3922" t="s">
        <v>46</v>
      </c>
      <c r="G3922">
        <v>4</v>
      </c>
      <c r="H3922">
        <v>7416.54</v>
      </c>
      <c r="I3922">
        <v>1096.97</v>
      </c>
      <c r="J3922" t="s">
        <v>16</v>
      </c>
      <c r="K3922" t="s">
        <v>33</v>
      </c>
      <c r="L3922">
        <f t="shared" si="183"/>
        <v>2022</v>
      </c>
      <c r="M3922" t="str">
        <f t="shared" si="184"/>
        <v>Aug</v>
      </c>
      <c r="N3922" s="2">
        <f t="shared" si="185"/>
        <v>0.14790859349507993</v>
      </c>
    </row>
    <row r="3923" spans="1:14" x14ac:dyDescent="0.45">
      <c r="A3923" t="s">
        <v>7127</v>
      </c>
      <c r="B3923" s="1">
        <v>45099</v>
      </c>
      <c r="C3923" t="s">
        <v>7128</v>
      </c>
      <c r="D3923" t="s">
        <v>13</v>
      </c>
      <c r="E3923" t="s">
        <v>20</v>
      </c>
      <c r="F3923" t="s">
        <v>21</v>
      </c>
      <c r="G3923">
        <v>4</v>
      </c>
      <c r="H3923">
        <v>21076.86</v>
      </c>
      <c r="I3923">
        <v>5198.43</v>
      </c>
      <c r="J3923" t="s">
        <v>22</v>
      </c>
      <c r="K3923" t="s">
        <v>33</v>
      </c>
      <c r="L3923">
        <f t="shared" si="183"/>
        <v>2023</v>
      </c>
      <c r="M3923" t="str">
        <f t="shared" si="184"/>
        <v>Jun</v>
      </c>
      <c r="N3923" s="2">
        <f t="shared" si="185"/>
        <v>0.24664157754048754</v>
      </c>
    </row>
    <row r="3924" spans="1:14" x14ac:dyDescent="0.45">
      <c r="A3924" t="s">
        <v>7129</v>
      </c>
      <c r="B3924" s="1">
        <v>45025</v>
      </c>
      <c r="C3924" t="s">
        <v>7130</v>
      </c>
      <c r="D3924" t="s">
        <v>13</v>
      </c>
      <c r="E3924" t="s">
        <v>36</v>
      </c>
      <c r="F3924" t="s">
        <v>53</v>
      </c>
      <c r="G3924">
        <v>1</v>
      </c>
      <c r="H3924">
        <v>20099.740000000002</v>
      </c>
      <c r="I3924">
        <v>1678.91</v>
      </c>
      <c r="J3924" t="s">
        <v>16</v>
      </c>
      <c r="K3924" t="s">
        <v>29</v>
      </c>
      <c r="L3924">
        <f t="shared" si="183"/>
        <v>2023</v>
      </c>
      <c r="M3924" t="str">
        <f t="shared" si="184"/>
        <v>Apr</v>
      </c>
      <c r="N3924" s="2">
        <f t="shared" si="185"/>
        <v>8.35289411703833E-2</v>
      </c>
    </row>
    <row r="3925" spans="1:14" x14ac:dyDescent="0.45">
      <c r="A3925" t="s">
        <v>7131</v>
      </c>
      <c r="B3925" s="1">
        <v>45392</v>
      </c>
      <c r="C3925" t="s">
        <v>7132</v>
      </c>
      <c r="D3925" t="s">
        <v>56</v>
      </c>
      <c r="E3925" t="s">
        <v>20</v>
      </c>
      <c r="F3925" t="s">
        <v>43</v>
      </c>
      <c r="G3925">
        <v>4</v>
      </c>
      <c r="H3925">
        <v>27372.82</v>
      </c>
      <c r="I3925">
        <v>5127.07</v>
      </c>
      <c r="J3925" t="s">
        <v>71</v>
      </c>
      <c r="K3925" t="s">
        <v>17</v>
      </c>
      <c r="L3925">
        <f t="shared" si="183"/>
        <v>2024</v>
      </c>
      <c r="M3925" t="str">
        <f t="shared" si="184"/>
        <v>Apr</v>
      </c>
      <c r="N3925" s="2">
        <f t="shared" si="185"/>
        <v>0.18730514430007575</v>
      </c>
    </row>
    <row r="3926" spans="1:14" x14ac:dyDescent="0.45">
      <c r="A3926" t="s">
        <v>7133</v>
      </c>
      <c r="B3926" s="1">
        <v>45207</v>
      </c>
      <c r="C3926" t="s">
        <v>7134</v>
      </c>
      <c r="D3926" t="s">
        <v>56</v>
      </c>
      <c r="E3926" t="s">
        <v>20</v>
      </c>
      <c r="F3926" t="s">
        <v>27</v>
      </c>
      <c r="G3926">
        <v>1</v>
      </c>
      <c r="H3926">
        <v>27255.59</v>
      </c>
      <c r="I3926">
        <v>5419.8</v>
      </c>
      <c r="J3926" t="s">
        <v>22</v>
      </c>
      <c r="K3926" t="s">
        <v>33</v>
      </c>
      <c r="L3926">
        <f t="shared" si="183"/>
        <v>2023</v>
      </c>
      <c r="M3926" t="str">
        <f t="shared" si="184"/>
        <v>Oct</v>
      </c>
      <c r="N3926" s="2">
        <f t="shared" si="185"/>
        <v>0.19885095130943781</v>
      </c>
    </row>
    <row r="3927" spans="1:14" x14ac:dyDescent="0.45">
      <c r="A3927" t="s">
        <v>7135</v>
      </c>
      <c r="B3927" s="1">
        <v>44919</v>
      </c>
      <c r="C3927" t="s">
        <v>7136</v>
      </c>
      <c r="D3927" t="s">
        <v>56</v>
      </c>
      <c r="E3927" t="s">
        <v>20</v>
      </c>
      <c r="F3927" t="s">
        <v>21</v>
      </c>
      <c r="G3927">
        <v>3</v>
      </c>
      <c r="H3927">
        <v>10198.32</v>
      </c>
      <c r="I3927">
        <v>1025.6099999999999</v>
      </c>
      <c r="J3927" t="s">
        <v>28</v>
      </c>
      <c r="K3927" t="s">
        <v>23</v>
      </c>
      <c r="L3927">
        <f t="shared" si="183"/>
        <v>2022</v>
      </c>
      <c r="M3927" t="str">
        <f t="shared" si="184"/>
        <v>Dec</v>
      </c>
      <c r="N3927" s="2">
        <f t="shared" si="185"/>
        <v>0.10056656390464311</v>
      </c>
    </row>
    <row r="3928" spans="1:14" x14ac:dyDescent="0.45">
      <c r="A3928" t="s">
        <v>7137</v>
      </c>
      <c r="B3928" s="1">
        <v>45304</v>
      </c>
      <c r="C3928" t="s">
        <v>6787</v>
      </c>
      <c r="D3928" t="s">
        <v>26</v>
      </c>
      <c r="E3928" t="s">
        <v>36</v>
      </c>
      <c r="F3928" t="s">
        <v>64</v>
      </c>
      <c r="G3928">
        <v>1</v>
      </c>
      <c r="H3928">
        <v>10867.44</v>
      </c>
      <c r="I3928">
        <v>2705.84</v>
      </c>
      <c r="J3928" t="s">
        <v>22</v>
      </c>
      <c r="K3928" t="s">
        <v>33</v>
      </c>
      <c r="L3928">
        <f t="shared" si="183"/>
        <v>2024</v>
      </c>
      <c r="M3928" t="str">
        <f t="shared" si="184"/>
        <v>Jan</v>
      </c>
      <c r="N3928" s="2">
        <f t="shared" si="185"/>
        <v>0.24898596173523849</v>
      </c>
    </row>
    <row r="3929" spans="1:14" x14ac:dyDescent="0.45">
      <c r="A3929" t="s">
        <v>7138</v>
      </c>
      <c r="B3929" s="1">
        <v>45368</v>
      </c>
      <c r="C3929" t="s">
        <v>7139</v>
      </c>
      <c r="D3929" t="s">
        <v>13</v>
      </c>
      <c r="E3929" t="s">
        <v>36</v>
      </c>
      <c r="F3929" t="s">
        <v>53</v>
      </c>
      <c r="G3929">
        <v>1</v>
      </c>
      <c r="H3929">
        <v>25306.43</v>
      </c>
      <c r="I3929">
        <v>4235.42</v>
      </c>
      <c r="J3929" t="s">
        <v>28</v>
      </c>
      <c r="K3929" t="s">
        <v>17</v>
      </c>
      <c r="L3929">
        <f t="shared" si="183"/>
        <v>2024</v>
      </c>
      <c r="M3929" t="str">
        <f t="shared" si="184"/>
        <v>Mar</v>
      </c>
      <c r="N3929" s="2">
        <f t="shared" si="185"/>
        <v>0.16736536919668243</v>
      </c>
    </row>
    <row r="3930" spans="1:14" x14ac:dyDescent="0.45">
      <c r="A3930" t="s">
        <v>7140</v>
      </c>
      <c r="B3930" s="1">
        <v>44940</v>
      </c>
      <c r="C3930" t="s">
        <v>7141</v>
      </c>
      <c r="D3930" t="s">
        <v>26</v>
      </c>
      <c r="E3930" t="s">
        <v>14</v>
      </c>
      <c r="F3930" t="s">
        <v>15</v>
      </c>
      <c r="G3930">
        <v>1</v>
      </c>
      <c r="H3930">
        <v>10029.68</v>
      </c>
      <c r="I3930">
        <v>517.04999999999995</v>
      </c>
      <c r="J3930" t="s">
        <v>71</v>
      </c>
      <c r="K3930" t="s">
        <v>17</v>
      </c>
      <c r="L3930">
        <f t="shared" si="183"/>
        <v>2023</v>
      </c>
      <c r="M3930" t="str">
        <f t="shared" si="184"/>
        <v>Jan</v>
      </c>
      <c r="N3930" s="2">
        <f t="shared" si="185"/>
        <v>5.155199368274959E-2</v>
      </c>
    </row>
    <row r="3931" spans="1:14" x14ac:dyDescent="0.45">
      <c r="A3931" t="s">
        <v>7142</v>
      </c>
      <c r="B3931" s="1">
        <v>45404</v>
      </c>
      <c r="C3931" t="s">
        <v>1392</v>
      </c>
      <c r="D3931" t="s">
        <v>56</v>
      </c>
      <c r="E3931" t="s">
        <v>14</v>
      </c>
      <c r="F3931" t="s">
        <v>32</v>
      </c>
      <c r="G3931">
        <v>4</v>
      </c>
      <c r="H3931">
        <v>37016.79</v>
      </c>
      <c r="I3931">
        <v>9117.84</v>
      </c>
      <c r="J3931" t="s">
        <v>47</v>
      </c>
      <c r="K3931" t="s">
        <v>17</v>
      </c>
      <c r="L3931">
        <f t="shared" si="183"/>
        <v>2024</v>
      </c>
      <c r="M3931" t="str">
        <f t="shared" si="184"/>
        <v>Apr</v>
      </c>
      <c r="N3931" s="2">
        <f t="shared" si="185"/>
        <v>0.2463163337501712</v>
      </c>
    </row>
    <row r="3932" spans="1:14" x14ac:dyDescent="0.45">
      <c r="A3932" t="s">
        <v>7143</v>
      </c>
      <c r="B3932" s="1">
        <v>44688</v>
      </c>
      <c r="C3932" t="s">
        <v>7097</v>
      </c>
      <c r="D3932" t="s">
        <v>26</v>
      </c>
      <c r="E3932" t="s">
        <v>36</v>
      </c>
      <c r="F3932" t="s">
        <v>64</v>
      </c>
      <c r="G3932">
        <v>3</v>
      </c>
      <c r="H3932">
        <v>42659.5</v>
      </c>
      <c r="I3932">
        <v>3486.83</v>
      </c>
      <c r="J3932" t="s">
        <v>16</v>
      </c>
      <c r="K3932" t="s">
        <v>23</v>
      </c>
      <c r="L3932">
        <f t="shared" si="183"/>
        <v>2022</v>
      </c>
      <c r="M3932" t="str">
        <f t="shared" si="184"/>
        <v>May</v>
      </c>
      <c r="N3932" s="2">
        <f t="shared" si="185"/>
        <v>8.173630727036181E-2</v>
      </c>
    </row>
    <row r="3933" spans="1:14" x14ac:dyDescent="0.45">
      <c r="A3933" t="s">
        <v>7144</v>
      </c>
      <c r="B3933" s="1">
        <v>44878</v>
      </c>
      <c r="C3933" t="s">
        <v>7145</v>
      </c>
      <c r="D3933" t="s">
        <v>13</v>
      </c>
      <c r="E3933" t="s">
        <v>14</v>
      </c>
      <c r="F3933" t="s">
        <v>57</v>
      </c>
      <c r="G3933">
        <v>4</v>
      </c>
      <c r="H3933">
        <v>24672.21</v>
      </c>
      <c r="I3933">
        <v>3124.13</v>
      </c>
      <c r="J3933" t="s">
        <v>22</v>
      </c>
      <c r="K3933" t="s">
        <v>23</v>
      </c>
      <c r="L3933">
        <f t="shared" si="183"/>
        <v>2022</v>
      </c>
      <c r="M3933" t="str">
        <f t="shared" si="184"/>
        <v>Nov</v>
      </c>
      <c r="N3933" s="2">
        <f t="shared" si="185"/>
        <v>0.12662546241297395</v>
      </c>
    </row>
    <row r="3934" spans="1:14" x14ac:dyDescent="0.45">
      <c r="A3934" t="s">
        <v>7146</v>
      </c>
      <c r="B3934" s="1">
        <v>44581</v>
      </c>
      <c r="C3934" t="s">
        <v>7147</v>
      </c>
      <c r="D3934" t="s">
        <v>26</v>
      </c>
      <c r="E3934" t="s">
        <v>36</v>
      </c>
      <c r="F3934" t="s">
        <v>64</v>
      </c>
      <c r="G3934">
        <v>3</v>
      </c>
      <c r="H3934">
        <v>21080.09</v>
      </c>
      <c r="I3934">
        <v>4100.7700000000004</v>
      </c>
      <c r="J3934" t="s">
        <v>22</v>
      </c>
      <c r="K3934" t="s">
        <v>33</v>
      </c>
      <c r="L3934">
        <f t="shared" si="183"/>
        <v>2022</v>
      </c>
      <c r="M3934" t="str">
        <f t="shared" si="184"/>
        <v>Jan</v>
      </c>
      <c r="N3934" s="2">
        <f t="shared" si="185"/>
        <v>0.19453285066619735</v>
      </c>
    </row>
    <row r="3935" spans="1:14" x14ac:dyDescent="0.45">
      <c r="A3935" t="s">
        <v>7148</v>
      </c>
      <c r="B3935" s="1">
        <v>45578</v>
      </c>
      <c r="C3935" t="s">
        <v>7149</v>
      </c>
      <c r="D3935" t="s">
        <v>13</v>
      </c>
      <c r="E3935" t="s">
        <v>36</v>
      </c>
      <c r="F3935" t="s">
        <v>53</v>
      </c>
      <c r="G3935">
        <v>2</v>
      </c>
      <c r="H3935">
        <v>1598.24</v>
      </c>
      <c r="I3935">
        <v>392.59</v>
      </c>
      <c r="J3935" t="s">
        <v>28</v>
      </c>
      <c r="K3935" t="s">
        <v>17</v>
      </c>
      <c r="L3935">
        <f t="shared" si="183"/>
        <v>2024</v>
      </c>
      <c r="M3935" t="str">
        <f t="shared" si="184"/>
        <v>Oct</v>
      </c>
      <c r="N3935" s="2">
        <f t="shared" si="185"/>
        <v>0.24563895284813292</v>
      </c>
    </row>
    <row r="3936" spans="1:14" x14ac:dyDescent="0.45">
      <c r="A3936" t="s">
        <v>7150</v>
      </c>
      <c r="B3936" s="1">
        <v>44712</v>
      </c>
      <c r="C3936" t="s">
        <v>4826</v>
      </c>
      <c r="D3936" t="s">
        <v>26</v>
      </c>
      <c r="E3936" t="s">
        <v>20</v>
      </c>
      <c r="F3936" t="s">
        <v>50</v>
      </c>
      <c r="G3936">
        <v>5</v>
      </c>
      <c r="H3936">
        <v>12135.03</v>
      </c>
      <c r="I3936">
        <v>1863.65</v>
      </c>
      <c r="J3936" t="s">
        <v>71</v>
      </c>
      <c r="K3936" t="s">
        <v>23</v>
      </c>
      <c r="L3936">
        <f t="shared" si="183"/>
        <v>2022</v>
      </c>
      <c r="M3936" t="str">
        <f t="shared" si="184"/>
        <v>May</v>
      </c>
      <c r="N3936" s="2">
        <f t="shared" si="185"/>
        <v>0.15357605213996176</v>
      </c>
    </row>
    <row r="3937" spans="1:14" x14ac:dyDescent="0.45">
      <c r="A3937" t="s">
        <v>7151</v>
      </c>
      <c r="B3937" s="1">
        <v>45548</v>
      </c>
      <c r="C3937" t="s">
        <v>7152</v>
      </c>
      <c r="D3937" t="s">
        <v>13</v>
      </c>
      <c r="E3937" t="s">
        <v>20</v>
      </c>
      <c r="F3937" t="s">
        <v>43</v>
      </c>
      <c r="G3937">
        <v>5</v>
      </c>
      <c r="H3937">
        <v>9796.9599999999991</v>
      </c>
      <c r="I3937">
        <v>1131.25</v>
      </c>
      <c r="J3937" t="s">
        <v>71</v>
      </c>
      <c r="K3937" t="s">
        <v>29</v>
      </c>
      <c r="L3937">
        <f t="shared" si="183"/>
        <v>2024</v>
      </c>
      <c r="M3937" t="str">
        <f t="shared" si="184"/>
        <v>Sep</v>
      </c>
      <c r="N3937" s="2">
        <f t="shared" si="185"/>
        <v>0.11546949257728929</v>
      </c>
    </row>
    <row r="3938" spans="1:14" x14ac:dyDescent="0.45">
      <c r="A3938" t="s">
        <v>7153</v>
      </c>
      <c r="B3938" s="1">
        <v>45475</v>
      </c>
      <c r="C3938" t="s">
        <v>7154</v>
      </c>
      <c r="D3938" t="s">
        <v>26</v>
      </c>
      <c r="E3938" t="s">
        <v>20</v>
      </c>
      <c r="F3938" t="s">
        <v>27</v>
      </c>
      <c r="G3938">
        <v>2</v>
      </c>
      <c r="H3938">
        <v>28943.98</v>
      </c>
      <c r="I3938">
        <v>7078.47</v>
      </c>
      <c r="J3938" t="s">
        <v>71</v>
      </c>
      <c r="K3938" t="s">
        <v>17</v>
      </c>
      <c r="L3938">
        <f t="shared" si="183"/>
        <v>2024</v>
      </c>
      <c r="M3938" t="str">
        <f t="shared" si="184"/>
        <v>Jul</v>
      </c>
      <c r="N3938" s="2">
        <f t="shared" si="185"/>
        <v>0.24455759021392359</v>
      </c>
    </row>
    <row r="3939" spans="1:14" x14ac:dyDescent="0.45">
      <c r="A3939" t="s">
        <v>7155</v>
      </c>
      <c r="B3939" s="1">
        <v>45319</v>
      </c>
      <c r="C3939" t="s">
        <v>7156</v>
      </c>
      <c r="D3939" t="s">
        <v>13</v>
      </c>
      <c r="E3939" t="s">
        <v>36</v>
      </c>
      <c r="F3939" t="s">
        <v>46</v>
      </c>
      <c r="G3939">
        <v>1</v>
      </c>
      <c r="H3939">
        <v>13610.27</v>
      </c>
      <c r="I3939">
        <v>2656.54</v>
      </c>
      <c r="J3939" t="s">
        <v>47</v>
      </c>
      <c r="K3939" t="s">
        <v>29</v>
      </c>
      <c r="L3939">
        <f t="shared" si="183"/>
        <v>2024</v>
      </c>
      <c r="M3939" t="str">
        <f t="shared" si="184"/>
        <v>Jan</v>
      </c>
      <c r="N3939" s="2">
        <f t="shared" si="185"/>
        <v>0.1951864290715761</v>
      </c>
    </row>
    <row r="3940" spans="1:14" x14ac:dyDescent="0.45">
      <c r="A3940" t="s">
        <v>7157</v>
      </c>
      <c r="B3940" s="1">
        <v>44645</v>
      </c>
      <c r="C3940" t="s">
        <v>7158</v>
      </c>
      <c r="D3940" t="s">
        <v>13</v>
      </c>
      <c r="E3940" t="s">
        <v>20</v>
      </c>
      <c r="F3940" t="s">
        <v>21</v>
      </c>
      <c r="G3940">
        <v>4</v>
      </c>
      <c r="H3940">
        <v>13339.81</v>
      </c>
      <c r="I3940">
        <v>2758.96</v>
      </c>
      <c r="J3940" t="s">
        <v>16</v>
      </c>
      <c r="K3940" t="s">
        <v>17</v>
      </c>
      <c r="L3940">
        <f t="shared" si="183"/>
        <v>2022</v>
      </c>
      <c r="M3940" t="str">
        <f t="shared" si="184"/>
        <v>Mar</v>
      </c>
      <c r="N3940" s="2">
        <f t="shared" si="185"/>
        <v>0.20682153643867493</v>
      </c>
    </row>
    <row r="3941" spans="1:14" x14ac:dyDescent="0.45">
      <c r="A3941" t="s">
        <v>7159</v>
      </c>
      <c r="B3941" s="1">
        <v>45643</v>
      </c>
      <c r="C3941" t="s">
        <v>7160</v>
      </c>
      <c r="D3941" t="s">
        <v>26</v>
      </c>
      <c r="E3941" t="s">
        <v>14</v>
      </c>
      <c r="F3941" t="s">
        <v>57</v>
      </c>
      <c r="G3941">
        <v>5</v>
      </c>
      <c r="H3941">
        <v>40210.68</v>
      </c>
      <c r="I3941">
        <v>5336.78</v>
      </c>
      <c r="J3941" t="s">
        <v>22</v>
      </c>
      <c r="K3941" t="s">
        <v>23</v>
      </c>
      <c r="L3941">
        <f t="shared" si="183"/>
        <v>2024</v>
      </c>
      <c r="M3941" t="str">
        <f t="shared" si="184"/>
        <v>Dec</v>
      </c>
      <c r="N3941" s="2">
        <f t="shared" si="185"/>
        <v>0.13272046133017396</v>
      </c>
    </row>
    <row r="3942" spans="1:14" x14ac:dyDescent="0.45">
      <c r="A3942" t="s">
        <v>7161</v>
      </c>
      <c r="B3942" s="1">
        <v>45583</v>
      </c>
      <c r="C3942" t="s">
        <v>1272</v>
      </c>
      <c r="D3942" t="s">
        <v>13</v>
      </c>
      <c r="E3942" t="s">
        <v>20</v>
      </c>
      <c r="F3942" t="s">
        <v>50</v>
      </c>
      <c r="G3942">
        <v>2</v>
      </c>
      <c r="H3942">
        <v>18804.169999999998</v>
      </c>
      <c r="I3942">
        <v>952.89</v>
      </c>
      <c r="J3942" t="s">
        <v>71</v>
      </c>
      <c r="K3942" t="s">
        <v>33</v>
      </c>
      <c r="L3942">
        <f t="shared" si="183"/>
        <v>2024</v>
      </c>
      <c r="M3942" t="str">
        <f t="shared" si="184"/>
        <v>Oct</v>
      </c>
      <c r="N3942" s="2">
        <f t="shared" si="185"/>
        <v>5.0674398285061241E-2</v>
      </c>
    </row>
    <row r="3943" spans="1:14" x14ac:dyDescent="0.45">
      <c r="A3943" t="s">
        <v>7162</v>
      </c>
      <c r="B3943" s="1">
        <v>45622</v>
      </c>
      <c r="C3943" t="s">
        <v>7163</v>
      </c>
      <c r="D3943" t="s">
        <v>56</v>
      </c>
      <c r="E3943" t="s">
        <v>20</v>
      </c>
      <c r="F3943" t="s">
        <v>50</v>
      </c>
      <c r="G3943">
        <v>4</v>
      </c>
      <c r="H3943">
        <v>48103.88</v>
      </c>
      <c r="I3943">
        <v>4182.76</v>
      </c>
      <c r="J3943" t="s">
        <v>28</v>
      </c>
      <c r="K3943" t="s">
        <v>17</v>
      </c>
      <c r="L3943">
        <f t="shared" si="183"/>
        <v>2024</v>
      </c>
      <c r="M3943" t="str">
        <f t="shared" si="184"/>
        <v>Nov</v>
      </c>
      <c r="N3943" s="2">
        <f t="shared" si="185"/>
        <v>8.6952653299484373E-2</v>
      </c>
    </row>
    <row r="3944" spans="1:14" x14ac:dyDescent="0.45">
      <c r="A3944" t="s">
        <v>7164</v>
      </c>
      <c r="B3944" s="1">
        <v>45136</v>
      </c>
      <c r="C3944" t="s">
        <v>7165</v>
      </c>
      <c r="D3944" t="s">
        <v>56</v>
      </c>
      <c r="E3944" t="s">
        <v>20</v>
      </c>
      <c r="F3944" t="s">
        <v>43</v>
      </c>
      <c r="G3944">
        <v>1</v>
      </c>
      <c r="H3944">
        <v>49184.21</v>
      </c>
      <c r="I3944">
        <v>11040.69</v>
      </c>
      <c r="J3944" t="s">
        <v>16</v>
      </c>
      <c r="K3944" t="s">
        <v>23</v>
      </c>
      <c r="L3944">
        <f t="shared" si="183"/>
        <v>2023</v>
      </c>
      <c r="M3944" t="str">
        <f t="shared" si="184"/>
        <v>Jul</v>
      </c>
      <c r="N3944" s="2">
        <f t="shared" si="185"/>
        <v>0.22447631058829653</v>
      </c>
    </row>
    <row r="3945" spans="1:14" x14ac:dyDescent="0.45">
      <c r="A3945" t="s">
        <v>7166</v>
      </c>
      <c r="B3945" s="1">
        <v>45494</v>
      </c>
      <c r="C3945" t="s">
        <v>4136</v>
      </c>
      <c r="D3945" t="s">
        <v>13</v>
      </c>
      <c r="E3945" t="s">
        <v>14</v>
      </c>
      <c r="F3945" t="s">
        <v>40</v>
      </c>
      <c r="G3945">
        <v>5</v>
      </c>
      <c r="H3945">
        <v>28689.73</v>
      </c>
      <c r="I3945">
        <v>3487.64</v>
      </c>
      <c r="J3945" t="s">
        <v>16</v>
      </c>
      <c r="K3945" t="s">
        <v>23</v>
      </c>
      <c r="L3945">
        <f t="shared" si="183"/>
        <v>2024</v>
      </c>
      <c r="M3945" t="str">
        <f t="shared" si="184"/>
        <v>Jul</v>
      </c>
      <c r="N3945" s="2">
        <f t="shared" si="185"/>
        <v>0.12156405793989696</v>
      </c>
    </row>
    <row r="3946" spans="1:14" x14ac:dyDescent="0.45">
      <c r="A3946" t="s">
        <v>7167</v>
      </c>
      <c r="B3946" s="1">
        <v>44829</v>
      </c>
      <c r="C3946" t="s">
        <v>7168</v>
      </c>
      <c r="D3946" t="s">
        <v>13</v>
      </c>
      <c r="E3946" t="s">
        <v>14</v>
      </c>
      <c r="F3946" t="s">
        <v>57</v>
      </c>
      <c r="G3946">
        <v>5</v>
      </c>
      <c r="H3946">
        <v>29984.55</v>
      </c>
      <c r="I3946">
        <v>3854.96</v>
      </c>
      <c r="J3946" t="s">
        <v>22</v>
      </c>
      <c r="K3946" t="s">
        <v>17</v>
      </c>
      <c r="L3946">
        <f t="shared" si="183"/>
        <v>2022</v>
      </c>
      <c r="M3946" t="str">
        <f t="shared" si="184"/>
        <v>Sep</v>
      </c>
      <c r="N3946" s="2">
        <f t="shared" si="185"/>
        <v>0.12856487757861965</v>
      </c>
    </row>
    <row r="3947" spans="1:14" x14ac:dyDescent="0.45">
      <c r="A3947" t="s">
        <v>7169</v>
      </c>
      <c r="B3947" s="1">
        <v>44963</v>
      </c>
      <c r="C3947" t="s">
        <v>2627</v>
      </c>
      <c r="D3947" t="s">
        <v>26</v>
      </c>
      <c r="E3947" t="s">
        <v>36</v>
      </c>
      <c r="F3947" t="s">
        <v>64</v>
      </c>
      <c r="G3947">
        <v>4</v>
      </c>
      <c r="H3947">
        <v>40934.46</v>
      </c>
      <c r="I3947">
        <v>3862.33</v>
      </c>
      <c r="J3947" t="s">
        <v>71</v>
      </c>
      <c r="K3947" t="s">
        <v>29</v>
      </c>
      <c r="L3947">
        <f t="shared" si="183"/>
        <v>2023</v>
      </c>
      <c r="M3947" t="str">
        <f t="shared" si="184"/>
        <v>Feb</v>
      </c>
      <c r="N3947" s="2">
        <f t="shared" si="185"/>
        <v>9.4353999051166176E-2</v>
      </c>
    </row>
    <row r="3948" spans="1:14" x14ac:dyDescent="0.45">
      <c r="A3948" t="s">
        <v>7170</v>
      </c>
      <c r="B3948" s="1">
        <v>44948</v>
      </c>
      <c r="C3948" t="s">
        <v>7171</v>
      </c>
      <c r="D3948" t="s">
        <v>26</v>
      </c>
      <c r="E3948" t="s">
        <v>20</v>
      </c>
      <c r="F3948" t="s">
        <v>50</v>
      </c>
      <c r="G3948">
        <v>4</v>
      </c>
      <c r="H3948">
        <v>7887.27</v>
      </c>
      <c r="I3948">
        <v>446.49</v>
      </c>
      <c r="J3948" t="s">
        <v>22</v>
      </c>
      <c r="K3948" t="s">
        <v>17</v>
      </c>
      <c r="L3948">
        <f t="shared" si="183"/>
        <v>2023</v>
      </c>
      <c r="M3948" t="str">
        <f t="shared" si="184"/>
        <v>Jan</v>
      </c>
      <c r="N3948" s="2">
        <f t="shared" si="185"/>
        <v>5.660894073614825E-2</v>
      </c>
    </row>
    <row r="3949" spans="1:14" x14ac:dyDescent="0.45">
      <c r="A3949" t="s">
        <v>7172</v>
      </c>
      <c r="B3949" s="1">
        <v>45324</v>
      </c>
      <c r="C3949" t="s">
        <v>1988</v>
      </c>
      <c r="D3949" t="s">
        <v>26</v>
      </c>
      <c r="E3949" t="s">
        <v>14</v>
      </c>
      <c r="F3949" t="s">
        <v>32</v>
      </c>
      <c r="G3949">
        <v>3</v>
      </c>
      <c r="H3949">
        <v>2406.48</v>
      </c>
      <c r="I3949">
        <v>139.84</v>
      </c>
      <c r="J3949" t="s">
        <v>71</v>
      </c>
      <c r="K3949" t="s">
        <v>17</v>
      </c>
      <c r="L3949">
        <f t="shared" si="183"/>
        <v>2024</v>
      </c>
      <c r="M3949" t="str">
        <f t="shared" si="184"/>
        <v>Feb</v>
      </c>
      <c r="N3949" s="2">
        <f t="shared" si="185"/>
        <v>5.8109770286892057E-2</v>
      </c>
    </row>
    <row r="3950" spans="1:14" x14ac:dyDescent="0.45">
      <c r="A3950" t="s">
        <v>7173</v>
      </c>
      <c r="B3950" s="1">
        <v>45216</v>
      </c>
      <c r="C3950" t="s">
        <v>3150</v>
      </c>
      <c r="D3950" t="s">
        <v>26</v>
      </c>
      <c r="E3950" t="s">
        <v>20</v>
      </c>
      <c r="F3950" t="s">
        <v>50</v>
      </c>
      <c r="G3950">
        <v>4</v>
      </c>
      <c r="H3950">
        <v>17999.16</v>
      </c>
      <c r="I3950">
        <v>2644.84</v>
      </c>
      <c r="J3950" t="s">
        <v>47</v>
      </c>
      <c r="K3950" t="s">
        <v>29</v>
      </c>
      <c r="L3950">
        <f t="shared" si="183"/>
        <v>2023</v>
      </c>
      <c r="M3950" t="str">
        <f t="shared" si="184"/>
        <v>Oct</v>
      </c>
      <c r="N3950" s="2">
        <f t="shared" si="185"/>
        <v>0.14694241286815607</v>
      </c>
    </row>
    <row r="3951" spans="1:14" x14ac:dyDescent="0.45">
      <c r="A3951" t="s">
        <v>7174</v>
      </c>
      <c r="B3951" s="1">
        <v>45488</v>
      </c>
      <c r="C3951" t="s">
        <v>4765</v>
      </c>
      <c r="D3951" t="s">
        <v>26</v>
      </c>
      <c r="E3951" t="s">
        <v>36</v>
      </c>
      <c r="F3951" t="s">
        <v>64</v>
      </c>
      <c r="G3951">
        <v>3</v>
      </c>
      <c r="H3951">
        <v>10078.870000000001</v>
      </c>
      <c r="I3951">
        <v>2075.8000000000002</v>
      </c>
      <c r="J3951" t="s">
        <v>22</v>
      </c>
      <c r="K3951" t="s">
        <v>29</v>
      </c>
      <c r="L3951">
        <f t="shared" si="183"/>
        <v>2024</v>
      </c>
      <c r="M3951" t="str">
        <f t="shared" si="184"/>
        <v>Jul</v>
      </c>
      <c r="N3951" s="2">
        <f t="shared" si="185"/>
        <v>0.20595562796226163</v>
      </c>
    </row>
    <row r="3952" spans="1:14" x14ac:dyDescent="0.45">
      <c r="A3952" t="s">
        <v>7175</v>
      </c>
      <c r="B3952" s="1">
        <v>45383</v>
      </c>
      <c r="C3952" t="s">
        <v>7176</v>
      </c>
      <c r="D3952" t="s">
        <v>56</v>
      </c>
      <c r="E3952" t="s">
        <v>20</v>
      </c>
      <c r="F3952" t="s">
        <v>50</v>
      </c>
      <c r="G3952">
        <v>3</v>
      </c>
      <c r="H3952">
        <v>24223.51</v>
      </c>
      <c r="I3952">
        <v>1814.17</v>
      </c>
      <c r="J3952" t="s">
        <v>16</v>
      </c>
      <c r="K3952" t="s">
        <v>23</v>
      </c>
      <c r="L3952">
        <f t="shared" si="183"/>
        <v>2024</v>
      </c>
      <c r="M3952" t="str">
        <f t="shared" si="184"/>
        <v>Apr</v>
      </c>
      <c r="N3952" s="2">
        <f t="shared" si="185"/>
        <v>7.4892944911781986E-2</v>
      </c>
    </row>
    <row r="3953" spans="1:14" x14ac:dyDescent="0.45">
      <c r="A3953" t="s">
        <v>7177</v>
      </c>
      <c r="B3953" s="1">
        <v>44823</v>
      </c>
      <c r="C3953" t="s">
        <v>7178</v>
      </c>
      <c r="D3953" t="s">
        <v>26</v>
      </c>
      <c r="E3953" t="s">
        <v>14</v>
      </c>
      <c r="F3953" t="s">
        <v>15</v>
      </c>
      <c r="G3953">
        <v>2</v>
      </c>
      <c r="H3953">
        <v>21684.85</v>
      </c>
      <c r="I3953">
        <v>2957.16</v>
      </c>
      <c r="J3953" t="s">
        <v>16</v>
      </c>
      <c r="K3953" t="s">
        <v>17</v>
      </c>
      <c r="L3953">
        <f t="shared" si="183"/>
        <v>2022</v>
      </c>
      <c r="M3953" t="str">
        <f t="shared" si="184"/>
        <v>Sep</v>
      </c>
      <c r="N3953" s="2">
        <f t="shared" si="185"/>
        <v>0.13636986190819858</v>
      </c>
    </row>
    <row r="3954" spans="1:14" x14ac:dyDescent="0.45">
      <c r="A3954" t="s">
        <v>7179</v>
      </c>
      <c r="B3954" s="1">
        <v>45540</v>
      </c>
      <c r="C3954" t="s">
        <v>7180</v>
      </c>
      <c r="D3954" t="s">
        <v>26</v>
      </c>
      <c r="E3954" t="s">
        <v>36</v>
      </c>
      <c r="F3954" t="s">
        <v>46</v>
      </c>
      <c r="G3954">
        <v>1</v>
      </c>
      <c r="H3954">
        <v>781.18</v>
      </c>
      <c r="I3954">
        <v>182.87</v>
      </c>
      <c r="J3954" t="s">
        <v>16</v>
      </c>
      <c r="K3954" t="s">
        <v>29</v>
      </c>
      <c r="L3954">
        <f t="shared" si="183"/>
        <v>2024</v>
      </c>
      <c r="M3954" t="str">
        <f t="shared" si="184"/>
        <v>Sep</v>
      </c>
      <c r="N3954" s="2">
        <f t="shared" si="185"/>
        <v>0.23409457487390872</v>
      </c>
    </row>
    <row r="3955" spans="1:14" x14ac:dyDescent="0.45">
      <c r="A3955" t="s">
        <v>7181</v>
      </c>
      <c r="B3955" s="1">
        <v>45189</v>
      </c>
      <c r="C3955" t="s">
        <v>7182</v>
      </c>
      <c r="D3955" t="s">
        <v>13</v>
      </c>
      <c r="E3955" t="s">
        <v>14</v>
      </c>
      <c r="F3955" t="s">
        <v>32</v>
      </c>
      <c r="G3955">
        <v>1</v>
      </c>
      <c r="H3955">
        <v>35710.36</v>
      </c>
      <c r="I3955">
        <v>6536.27</v>
      </c>
      <c r="J3955" t="s">
        <v>22</v>
      </c>
      <c r="K3955" t="s">
        <v>29</v>
      </c>
      <c r="L3955">
        <f t="shared" si="183"/>
        <v>2023</v>
      </c>
      <c r="M3955" t="str">
        <f t="shared" si="184"/>
        <v>Sep</v>
      </c>
      <c r="N3955" s="2">
        <f t="shared" si="185"/>
        <v>0.18303567928186668</v>
      </c>
    </row>
    <row r="3956" spans="1:14" x14ac:dyDescent="0.45">
      <c r="A3956" t="s">
        <v>7183</v>
      </c>
      <c r="B3956" s="1">
        <v>45554</v>
      </c>
      <c r="C3956" t="s">
        <v>1766</v>
      </c>
      <c r="D3956" t="s">
        <v>13</v>
      </c>
      <c r="E3956" t="s">
        <v>36</v>
      </c>
      <c r="F3956" t="s">
        <v>64</v>
      </c>
      <c r="G3956">
        <v>1</v>
      </c>
      <c r="H3956">
        <v>36648.46</v>
      </c>
      <c r="I3956">
        <v>7026.72</v>
      </c>
      <c r="J3956" t="s">
        <v>16</v>
      </c>
      <c r="K3956" t="s">
        <v>29</v>
      </c>
      <c r="L3956">
        <f t="shared" si="183"/>
        <v>2024</v>
      </c>
      <c r="M3956" t="str">
        <f t="shared" si="184"/>
        <v>Sep</v>
      </c>
      <c r="N3956" s="2">
        <f t="shared" si="185"/>
        <v>0.19173302234254866</v>
      </c>
    </row>
    <row r="3957" spans="1:14" x14ac:dyDescent="0.45">
      <c r="A3957" t="s">
        <v>7184</v>
      </c>
      <c r="B3957" s="1">
        <v>44784</v>
      </c>
      <c r="C3957" t="s">
        <v>7185</v>
      </c>
      <c r="D3957" t="s">
        <v>56</v>
      </c>
      <c r="E3957" t="s">
        <v>20</v>
      </c>
      <c r="F3957" t="s">
        <v>43</v>
      </c>
      <c r="G3957">
        <v>1</v>
      </c>
      <c r="H3957">
        <v>37468.97</v>
      </c>
      <c r="I3957">
        <v>7303.76</v>
      </c>
      <c r="J3957" t="s">
        <v>16</v>
      </c>
      <c r="K3957" t="s">
        <v>33</v>
      </c>
      <c r="L3957">
        <f t="shared" si="183"/>
        <v>2022</v>
      </c>
      <c r="M3957" t="str">
        <f t="shared" si="184"/>
        <v>Aug</v>
      </c>
      <c r="N3957" s="2">
        <f t="shared" si="185"/>
        <v>0.19492822994600598</v>
      </c>
    </row>
    <row r="3958" spans="1:14" x14ac:dyDescent="0.45">
      <c r="A3958" t="s">
        <v>7186</v>
      </c>
      <c r="B3958" s="1">
        <v>45021</v>
      </c>
      <c r="C3958" t="s">
        <v>7187</v>
      </c>
      <c r="D3958" t="s">
        <v>26</v>
      </c>
      <c r="E3958" t="s">
        <v>20</v>
      </c>
      <c r="F3958" t="s">
        <v>50</v>
      </c>
      <c r="G3958">
        <v>4</v>
      </c>
      <c r="H3958">
        <v>879.03</v>
      </c>
      <c r="I3958">
        <v>57.91</v>
      </c>
      <c r="J3958" t="s">
        <v>28</v>
      </c>
      <c r="K3958" t="s">
        <v>29</v>
      </c>
      <c r="L3958">
        <f t="shared" si="183"/>
        <v>2023</v>
      </c>
      <c r="M3958" t="str">
        <f t="shared" si="184"/>
        <v>Apr</v>
      </c>
      <c r="N3958" s="2">
        <f t="shared" si="185"/>
        <v>6.5879435286622753E-2</v>
      </c>
    </row>
    <row r="3959" spans="1:14" x14ac:dyDescent="0.45">
      <c r="A3959" t="s">
        <v>7188</v>
      </c>
      <c r="B3959" s="1">
        <v>45103</v>
      </c>
      <c r="C3959" t="s">
        <v>6438</v>
      </c>
      <c r="D3959" t="s">
        <v>26</v>
      </c>
      <c r="E3959" t="s">
        <v>36</v>
      </c>
      <c r="F3959" t="s">
        <v>46</v>
      </c>
      <c r="G3959">
        <v>5</v>
      </c>
      <c r="H3959">
        <v>29771.78</v>
      </c>
      <c r="I3959">
        <v>6449.6</v>
      </c>
      <c r="J3959" t="s">
        <v>16</v>
      </c>
      <c r="K3959" t="s">
        <v>33</v>
      </c>
      <c r="L3959">
        <f t="shared" si="183"/>
        <v>2023</v>
      </c>
      <c r="M3959" t="str">
        <f t="shared" si="184"/>
        <v>Jun</v>
      </c>
      <c r="N3959" s="2">
        <f t="shared" si="185"/>
        <v>0.21663467888047006</v>
      </c>
    </row>
    <row r="3960" spans="1:14" x14ac:dyDescent="0.45">
      <c r="A3960" t="s">
        <v>7189</v>
      </c>
      <c r="B3960" s="1">
        <v>45306</v>
      </c>
      <c r="C3960" t="s">
        <v>7190</v>
      </c>
      <c r="D3960" t="s">
        <v>56</v>
      </c>
      <c r="E3960" t="s">
        <v>14</v>
      </c>
      <c r="F3960" t="s">
        <v>40</v>
      </c>
      <c r="G3960">
        <v>4</v>
      </c>
      <c r="H3960">
        <v>40116.92</v>
      </c>
      <c r="I3960">
        <v>6420.72</v>
      </c>
      <c r="J3960" t="s">
        <v>47</v>
      </c>
      <c r="K3960" t="s">
        <v>33</v>
      </c>
      <c r="L3960">
        <f t="shared" si="183"/>
        <v>2024</v>
      </c>
      <c r="M3960" t="str">
        <f t="shared" si="184"/>
        <v>Jan</v>
      </c>
      <c r="N3960" s="2">
        <f t="shared" si="185"/>
        <v>0.1600501733433175</v>
      </c>
    </row>
    <row r="3961" spans="1:14" x14ac:dyDescent="0.45">
      <c r="A3961" t="s">
        <v>7191</v>
      </c>
      <c r="B3961" s="1">
        <v>44832</v>
      </c>
      <c r="C3961" t="s">
        <v>5719</v>
      </c>
      <c r="D3961" t="s">
        <v>13</v>
      </c>
      <c r="E3961" t="s">
        <v>14</v>
      </c>
      <c r="F3961" t="s">
        <v>57</v>
      </c>
      <c r="G3961">
        <v>5</v>
      </c>
      <c r="H3961">
        <v>47636.800000000003</v>
      </c>
      <c r="I3961">
        <v>9979.1</v>
      </c>
      <c r="J3961" t="s">
        <v>47</v>
      </c>
      <c r="K3961" t="s">
        <v>29</v>
      </c>
      <c r="L3961">
        <f t="shared" si="183"/>
        <v>2022</v>
      </c>
      <c r="M3961" t="str">
        <f t="shared" si="184"/>
        <v>Sep</v>
      </c>
      <c r="N3961" s="2">
        <f t="shared" si="185"/>
        <v>0.20948300473583448</v>
      </c>
    </row>
    <row r="3962" spans="1:14" x14ac:dyDescent="0.45">
      <c r="A3962" t="s">
        <v>7192</v>
      </c>
      <c r="B3962" s="1">
        <v>45276</v>
      </c>
      <c r="C3962" t="s">
        <v>7193</v>
      </c>
      <c r="D3962" t="s">
        <v>56</v>
      </c>
      <c r="E3962" t="s">
        <v>20</v>
      </c>
      <c r="F3962" t="s">
        <v>50</v>
      </c>
      <c r="G3962">
        <v>4</v>
      </c>
      <c r="H3962">
        <v>36594.699999999997</v>
      </c>
      <c r="I3962">
        <v>8869.7999999999993</v>
      </c>
      <c r="J3962" t="s">
        <v>16</v>
      </c>
      <c r="K3962" t="s">
        <v>33</v>
      </c>
      <c r="L3962">
        <f t="shared" si="183"/>
        <v>2023</v>
      </c>
      <c r="M3962" t="str">
        <f t="shared" si="184"/>
        <v>Dec</v>
      </c>
      <c r="N3962" s="2">
        <f t="shared" si="185"/>
        <v>0.24237936094571072</v>
      </c>
    </row>
    <row r="3963" spans="1:14" x14ac:dyDescent="0.45">
      <c r="A3963" t="s">
        <v>7194</v>
      </c>
      <c r="B3963" s="1">
        <v>45560</v>
      </c>
      <c r="C3963" t="s">
        <v>7195</v>
      </c>
      <c r="D3963" t="s">
        <v>26</v>
      </c>
      <c r="E3963" t="s">
        <v>20</v>
      </c>
      <c r="F3963" t="s">
        <v>21</v>
      </c>
      <c r="G3963">
        <v>5</v>
      </c>
      <c r="H3963">
        <v>22309.69</v>
      </c>
      <c r="I3963">
        <v>2811.17</v>
      </c>
      <c r="J3963" t="s">
        <v>16</v>
      </c>
      <c r="K3963" t="s">
        <v>29</v>
      </c>
      <c r="L3963">
        <f t="shared" si="183"/>
        <v>2024</v>
      </c>
      <c r="M3963" t="str">
        <f t="shared" si="184"/>
        <v>Sep</v>
      </c>
      <c r="N3963" s="2">
        <f t="shared" si="185"/>
        <v>0.12600668140166899</v>
      </c>
    </row>
    <row r="3964" spans="1:14" x14ac:dyDescent="0.45">
      <c r="A3964" t="s">
        <v>7196</v>
      </c>
      <c r="B3964" s="1">
        <v>45315</v>
      </c>
      <c r="C3964" t="s">
        <v>7197</v>
      </c>
      <c r="D3964" t="s">
        <v>13</v>
      </c>
      <c r="E3964" t="s">
        <v>20</v>
      </c>
      <c r="F3964" t="s">
        <v>27</v>
      </c>
      <c r="G3964">
        <v>1</v>
      </c>
      <c r="H3964">
        <v>37060.620000000003</v>
      </c>
      <c r="I3964">
        <v>3839.54</v>
      </c>
      <c r="J3964" t="s">
        <v>16</v>
      </c>
      <c r="K3964" t="s">
        <v>29</v>
      </c>
      <c r="L3964">
        <f t="shared" si="183"/>
        <v>2024</v>
      </c>
      <c r="M3964" t="str">
        <f t="shared" si="184"/>
        <v>Jan</v>
      </c>
      <c r="N3964" s="2">
        <f t="shared" si="185"/>
        <v>0.10360161270912359</v>
      </c>
    </row>
    <row r="3965" spans="1:14" x14ac:dyDescent="0.45">
      <c r="A3965" t="s">
        <v>7198</v>
      </c>
      <c r="B3965" s="1">
        <v>45490</v>
      </c>
      <c r="C3965" t="s">
        <v>7199</v>
      </c>
      <c r="D3965" t="s">
        <v>56</v>
      </c>
      <c r="E3965" t="s">
        <v>20</v>
      </c>
      <c r="F3965" t="s">
        <v>27</v>
      </c>
      <c r="G3965">
        <v>2</v>
      </c>
      <c r="H3965">
        <v>5727.54</v>
      </c>
      <c r="I3965">
        <v>482.92</v>
      </c>
      <c r="J3965" t="s">
        <v>22</v>
      </c>
      <c r="K3965" t="s">
        <v>23</v>
      </c>
      <c r="L3965">
        <f t="shared" si="183"/>
        <v>2024</v>
      </c>
      <c r="M3965" t="str">
        <f t="shared" si="184"/>
        <v>Jul</v>
      </c>
      <c r="N3965" s="2">
        <f t="shared" si="185"/>
        <v>8.4315430359281643E-2</v>
      </c>
    </row>
    <row r="3966" spans="1:14" x14ac:dyDescent="0.45">
      <c r="A3966" t="s">
        <v>7200</v>
      </c>
      <c r="B3966" s="1">
        <v>44710</v>
      </c>
      <c r="C3966" t="s">
        <v>7201</v>
      </c>
      <c r="D3966" t="s">
        <v>13</v>
      </c>
      <c r="E3966" t="s">
        <v>14</v>
      </c>
      <c r="F3966" t="s">
        <v>32</v>
      </c>
      <c r="G3966">
        <v>1</v>
      </c>
      <c r="H3966">
        <v>22647.43</v>
      </c>
      <c r="I3966">
        <v>1917.37</v>
      </c>
      <c r="J3966" t="s">
        <v>47</v>
      </c>
      <c r="K3966" t="s">
        <v>33</v>
      </c>
      <c r="L3966">
        <f t="shared" si="183"/>
        <v>2022</v>
      </c>
      <c r="M3966" t="str">
        <f t="shared" si="184"/>
        <v>May</v>
      </c>
      <c r="N3966" s="2">
        <f t="shared" si="185"/>
        <v>8.4661703336758293E-2</v>
      </c>
    </row>
    <row r="3967" spans="1:14" x14ac:dyDescent="0.45">
      <c r="A3967" t="s">
        <v>7202</v>
      </c>
      <c r="B3967" s="1">
        <v>45636</v>
      </c>
      <c r="C3967" t="s">
        <v>7203</v>
      </c>
      <c r="D3967" t="s">
        <v>13</v>
      </c>
      <c r="E3967" t="s">
        <v>20</v>
      </c>
      <c r="F3967" t="s">
        <v>27</v>
      </c>
      <c r="G3967">
        <v>1</v>
      </c>
      <c r="H3967">
        <v>15584.23</v>
      </c>
      <c r="I3967">
        <v>1562.06</v>
      </c>
      <c r="J3967" t="s">
        <v>47</v>
      </c>
      <c r="K3967" t="s">
        <v>33</v>
      </c>
      <c r="L3967">
        <f t="shared" si="183"/>
        <v>2024</v>
      </c>
      <c r="M3967" t="str">
        <f t="shared" si="184"/>
        <v>Dec</v>
      </c>
      <c r="N3967" s="2">
        <f t="shared" si="185"/>
        <v>0.10023337694579713</v>
      </c>
    </row>
    <row r="3968" spans="1:14" x14ac:dyDescent="0.45">
      <c r="A3968" t="s">
        <v>7204</v>
      </c>
      <c r="B3968" s="1">
        <v>44842</v>
      </c>
      <c r="C3968" t="s">
        <v>7205</v>
      </c>
      <c r="D3968" t="s">
        <v>13</v>
      </c>
      <c r="E3968" t="s">
        <v>20</v>
      </c>
      <c r="F3968" t="s">
        <v>21</v>
      </c>
      <c r="G3968">
        <v>2</v>
      </c>
      <c r="H3968">
        <v>5304.97</v>
      </c>
      <c r="I3968">
        <v>1073.77</v>
      </c>
      <c r="J3968" t="s">
        <v>16</v>
      </c>
      <c r="K3968" t="s">
        <v>17</v>
      </c>
      <c r="L3968">
        <f t="shared" si="183"/>
        <v>2022</v>
      </c>
      <c r="M3968" t="str">
        <f t="shared" si="184"/>
        <v>Oct</v>
      </c>
      <c r="N3968" s="2">
        <f t="shared" si="185"/>
        <v>0.20240830768128754</v>
      </c>
    </row>
    <row r="3969" spans="1:14" x14ac:dyDescent="0.45">
      <c r="A3969" t="s">
        <v>7206</v>
      </c>
      <c r="B3969" s="1">
        <v>45292</v>
      </c>
      <c r="C3969" t="s">
        <v>6650</v>
      </c>
      <c r="D3969" t="s">
        <v>13</v>
      </c>
      <c r="E3969" t="s">
        <v>36</v>
      </c>
      <c r="F3969" t="s">
        <v>46</v>
      </c>
      <c r="G3969">
        <v>4</v>
      </c>
      <c r="H3969">
        <v>39942.81</v>
      </c>
      <c r="I3969">
        <v>9356.86</v>
      </c>
      <c r="J3969" t="s">
        <v>71</v>
      </c>
      <c r="K3969" t="s">
        <v>33</v>
      </c>
      <c r="L3969">
        <f t="shared" si="183"/>
        <v>2024</v>
      </c>
      <c r="M3969" t="str">
        <f t="shared" si="184"/>
        <v>Jan</v>
      </c>
      <c r="N3969" s="2">
        <f t="shared" si="185"/>
        <v>0.2342564281281162</v>
      </c>
    </row>
    <row r="3970" spans="1:14" x14ac:dyDescent="0.45">
      <c r="A3970" t="s">
        <v>7207</v>
      </c>
      <c r="B3970" s="1">
        <v>45121</v>
      </c>
      <c r="C3970" t="s">
        <v>7208</v>
      </c>
      <c r="D3970" t="s">
        <v>13</v>
      </c>
      <c r="E3970" t="s">
        <v>20</v>
      </c>
      <c r="F3970" t="s">
        <v>50</v>
      </c>
      <c r="G3970">
        <v>3</v>
      </c>
      <c r="H3970">
        <v>31152.22</v>
      </c>
      <c r="I3970">
        <v>6982.09</v>
      </c>
      <c r="J3970" t="s">
        <v>16</v>
      </c>
      <c r="K3970" t="s">
        <v>23</v>
      </c>
      <c r="L3970">
        <f t="shared" si="183"/>
        <v>2023</v>
      </c>
      <c r="M3970" t="str">
        <f t="shared" si="184"/>
        <v>Jul</v>
      </c>
      <c r="N3970" s="2">
        <f t="shared" si="185"/>
        <v>0.22412816807277297</v>
      </c>
    </row>
    <row r="3971" spans="1:14" x14ac:dyDescent="0.45">
      <c r="A3971" t="s">
        <v>7209</v>
      </c>
      <c r="B3971" s="1">
        <v>45053</v>
      </c>
      <c r="C3971" t="s">
        <v>7210</v>
      </c>
      <c r="D3971" t="s">
        <v>13</v>
      </c>
      <c r="E3971" t="s">
        <v>14</v>
      </c>
      <c r="F3971" t="s">
        <v>32</v>
      </c>
      <c r="G3971">
        <v>1</v>
      </c>
      <c r="H3971">
        <v>33001.08</v>
      </c>
      <c r="I3971">
        <v>1948.52</v>
      </c>
      <c r="J3971" t="s">
        <v>22</v>
      </c>
      <c r="K3971" t="s">
        <v>29</v>
      </c>
      <c r="L3971">
        <f t="shared" ref="L3971:L4034" si="186">YEAR(B3971 )</f>
        <v>2023</v>
      </c>
      <c r="M3971" t="str">
        <f t="shared" ref="M3971:M4034" si="187">TEXT(B3971,"MMM")</f>
        <v>May</v>
      </c>
      <c r="N3971" s="2">
        <f t="shared" ref="N3971:N4034" si="188">I3971 / H3971</f>
        <v>5.9044128252772332E-2</v>
      </c>
    </row>
    <row r="3972" spans="1:14" x14ac:dyDescent="0.45">
      <c r="A3972" t="s">
        <v>7211</v>
      </c>
      <c r="B3972" s="1">
        <v>44916</v>
      </c>
      <c r="C3972" t="s">
        <v>4661</v>
      </c>
      <c r="D3972" t="s">
        <v>13</v>
      </c>
      <c r="E3972" t="s">
        <v>36</v>
      </c>
      <c r="F3972" t="s">
        <v>53</v>
      </c>
      <c r="G3972">
        <v>4</v>
      </c>
      <c r="H3972">
        <v>11364.21</v>
      </c>
      <c r="I3972">
        <v>2657.33</v>
      </c>
      <c r="J3972" t="s">
        <v>16</v>
      </c>
      <c r="K3972" t="s">
        <v>17</v>
      </c>
      <c r="L3972">
        <f t="shared" si="186"/>
        <v>2022</v>
      </c>
      <c r="M3972" t="str">
        <f t="shared" si="187"/>
        <v>Dec</v>
      </c>
      <c r="N3972" s="2">
        <f t="shared" si="188"/>
        <v>0.23383323609824178</v>
      </c>
    </row>
    <row r="3973" spans="1:14" x14ac:dyDescent="0.45">
      <c r="A3973" t="s">
        <v>7212</v>
      </c>
      <c r="B3973" s="1">
        <v>44832</v>
      </c>
      <c r="C3973" t="s">
        <v>7213</v>
      </c>
      <c r="D3973" t="s">
        <v>26</v>
      </c>
      <c r="E3973" t="s">
        <v>14</v>
      </c>
      <c r="F3973" t="s">
        <v>32</v>
      </c>
      <c r="G3973">
        <v>3</v>
      </c>
      <c r="H3973">
        <v>35291.96</v>
      </c>
      <c r="I3973">
        <v>5201.76</v>
      </c>
      <c r="J3973" t="s">
        <v>16</v>
      </c>
      <c r="K3973" t="s">
        <v>17</v>
      </c>
      <c r="L3973">
        <f t="shared" si="186"/>
        <v>2022</v>
      </c>
      <c r="M3973" t="str">
        <f t="shared" si="187"/>
        <v>Sep</v>
      </c>
      <c r="N3973" s="2">
        <f t="shared" si="188"/>
        <v>0.14739221057713997</v>
      </c>
    </row>
    <row r="3974" spans="1:14" x14ac:dyDescent="0.45">
      <c r="A3974" t="s">
        <v>7214</v>
      </c>
      <c r="B3974" s="1">
        <v>44816</v>
      </c>
      <c r="C3974" t="s">
        <v>512</v>
      </c>
      <c r="D3974" t="s">
        <v>56</v>
      </c>
      <c r="E3974" t="s">
        <v>36</v>
      </c>
      <c r="F3974" t="s">
        <v>46</v>
      </c>
      <c r="G3974">
        <v>5</v>
      </c>
      <c r="H3974">
        <v>1315.65</v>
      </c>
      <c r="I3974">
        <v>293.35000000000002</v>
      </c>
      <c r="J3974" t="s">
        <v>28</v>
      </c>
      <c r="K3974" t="s">
        <v>33</v>
      </c>
      <c r="L3974">
        <f t="shared" si="186"/>
        <v>2022</v>
      </c>
      <c r="M3974" t="str">
        <f t="shared" si="187"/>
        <v>Sep</v>
      </c>
      <c r="N3974" s="2">
        <f t="shared" si="188"/>
        <v>0.22296963478128681</v>
      </c>
    </row>
    <row r="3975" spans="1:14" x14ac:dyDescent="0.45">
      <c r="A3975" t="s">
        <v>7215</v>
      </c>
      <c r="B3975" s="1">
        <v>45013</v>
      </c>
      <c r="C3975" t="s">
        <v>7002</v>
      </c>
      <c r="D3975" t="s">
        <v>56</v>
      </c>
      <c r="E3975" t="s">
        <v>14</v>
      </c>
      <c r="F3975" t="s">
        <v>32</v>
      </c>
      <c r="G3975">
        <v>3</v>
      </c>
      <c r="H3975">
        <v>45831</v>
      </c>
      <c r="I3975">
        <v>9493.52</v>
      </c>
      <c r="J3975" t="s">
        <v>28</v>
      </c>
      <c r="K3975" t="s">
        <v>17</v>
      </c>
      <c r="L3975">
        <f t="shared" si="186"/>
        <v>2023</v>
      </c>
      <c r="M3975" t="str">
        <f t="shared" si="187"/>
        <v>Mar</v>
      </c>
      <c r="N3975" s="2">
        <f t="shared" si="188"/>
        <v>0.20714189085989834</v>
      </c>
    </row>
    <row r="3976" spans="1:14" x14ac:dyDescent="0.45">
      <c r="A3976" t="s">
        <v>7216</v>
      </c>
      <c r="B3976" s="1">
        <v>45185</v>
      </c>
      <c r="C3976" t="s">
        <v>7217</v>
      </c>
      <c r="D3976" t="s">
        <v>56</v>
      </c>
      <c r="E3976" t="s">
        <v>20</v>
      </c>
      <c r="F3976" t="s">
        <v>27</v>
      </c>
      <c r="G3976">
        <v>1</v>
      </c>
      <c r="H3976">
        <v>48159.89</v>
      </c>
      <c r="I3976">
        <v>4527.1099999999997</v>
      </c>
      <c r="J3976" t="s">
        <v>71</v>
      </c>
      <c r="K3976" t="s">
        <v>29</v>
      </c>
      <c r="L3976">
        <f t="shared" si="186"/>
        <v>2023</v>
      </c>
      <c r="M3976" t="str">
        <f t="shared" si="187"/>
        <v>Sep</v>
      </c>
      <c r="N3976" s="2">
        <f t="shared" si="188"/>
        <v>9.4001668193179011E-2</v>
      </c>
    </row>
    <row r="3977" spans="1:14" x14ac:dyDescent="0.45">
      <c r="A3977" t="s">
        <v>7218</v>
      </c>
      <c r="B3977" s="1">
        <v>45440</v>
      </c>
      <c r="C3977" t="s">
        <v>1677</v>
      </c>
      <c r="D3977" t="s">
        <v>26</v>
      </c>
      <c r="E3977" t="s">
        <v>14</v>
      </c>
      <c r="F3977" t="s">
        <v>40</v>
      </c>
      <c r="G3977">
        <v>4</v>
      </c>
      <c r="H3977">
        <v>19532.490000000002</v>
      </c>
      <c r="I3977">
        <v>4752.58</v>
      </c>
      <c r="J3977" t="s">
        <v>71</v>
      </c>
      <c r="K3977" t="s">
        <v>29</v>
      </c>
      <c r="L3977">
        <f t="shared" si="186"/>
        <v>2024</v>
      </c>
      <c r="M3977" t="str">
        <f t="shared" si="187"/>
        <v>May</v>
      </c>
      <c r="N3977" s="2">
        <f t="shared" si="188"/>
        <v>0.24331664831263192</v>
      </c>
    </row>
    <row r="3978" spans="1:14" x14ac:dyDescent="0.45">
      <c r="A3978" t="s">
        <v>7219</v>
      </c>
      <c r="B3978" s="1">
        <v>45149</v>
      </c>
      <c r="C3978" t="s">
        <v>2909</v>
      </c>
      <c r="D3978" t="s">
        <v>56</v>
      </c>
      <c r="E3978" t="s">
        <v>14</v>
      </c>
      <c r="F3978" t="s">
        <v>32</v>
      </c>
      <c r="G3978">
        <v>4</v>
      </c>
      <c r="H3978">
        <v>7011.35</v>
      </c>
      <c r="I3978">
        <v>437.59</v>
      </c>
      <c r="J3978" t="s">
        <v>16</v>
      </c>
      <c r="K3978" t="s">
        <v>23</v>
      </c>
      <c r="L3978">
        <f t="shared" si="186"/>
        <v>2023</v>
      </c>
      <c r="M3978" t="str">
        <f t="shared" si="187"/>
        <v>Aug</v>
      </c>
      <c r="N3978" s="2">
        <f t="shared" si="188"/>
        <v>6.2411661092371645E-2</v>
      </c>
    </row>
    <row r="3979" spans="1:14" x14ac:dyDescent="0.45">
      <c r="A3979" t="s">
        <v>7220</v>
      </c>
      <c r="B3979" s="1">
        <v>44983</v>
      </c>
      <c r="C3979" t="s">
        <v>6178</v>
      </c>
      <c r="D3979" t="s">
        <v>26</v>
      </c>
      <c r="E3979" t="s">
        <v>20</v>
      </c>
      <c r="F3979" t="s">
        <v>50</v>
      </c>
      <c r="G3979">
        <v>4</v>
      </c>
      <c r="H3979">
        <v>32746.92</v>
      </c>
      <c r="I3979">
        <v>7991.56</v>
      </c>
      <c r="J3979" t="s">
        <v>47</v>
      </c>
      <c r="K3979" t="s">
        <v>17</v>
      </c>
      <c r="L3979">
        <f t="shared" si="186"/>
        <v>2023</v>
      </c>
      <c r="M3979" t="str">
        <f t="shared" si="187"/>
        <v>Feb</v>
      </c>
      <c r="N3979" s="2">
        <f t="shared" si="188"/>
        <v>0.24404005017876493</v>
      </c>
    </row>
    <row r="3980" spans="1:14" x14ac:dyDescent="0.45">
      <c r="A3980" t="s">
        <v>7221</v>
      </c>
      <c r="B3980" s="1">
        <v>44981</v>
      </c>
      <c r="C3980" t="s">
        <v>7222</v>
      </c>
      <c r="D3980" t="s">
        <v>56</v>
      </c>
      <c r="E3980" t="s">
        <v>36</v>
      </c>
      <c r="F3980" t="s">
        <v>53</v>
      </c>
      <c r="G3980">
        <v>5</v>
      </c>
      <c r="H3980">
        <v>20215.240000000002</v>
      </c>
      <c r="I3980">
        <v>3006.63</v>
      </c>
      <c r="J3980" t="s">
        <v>16</v>
      </c>
      <c r="K3980" t="s">
        <v>23</v>
      </c>
      <c r="L3980">
        <f t="shared" si="186"/>
        <v>2023</v>
      </c>
      <c r="M3980" t="str">
        <f t="shared" si="187"/>
        <v>Feb</v>
      </c>
      <c r="N3980" s="2">
        <f t="shared" si="188"/>
        <v>0.14873085850081422</v>
      </c>
    </row>
    <row r="3981" spans="1:14" x14ac:dyDescent="0.45">
      <c r="A3981" t="s">
        <v>7223</v>
      </c>
      <c r="B3981" s="1">
        <v>45292</v>
      </c>
      <c r="C3981" t="s">
        <v>7224</v>
      </c>
      <c r="D3981" t="s">
        <v>56</v>
      </c>
      <c r="E3981" t="s">
        <v>20</v>
      </c>
      <c r="F3981" t="s">
        <v>27</v>
      </c>
      <c r="G3981">
        <v>4</v>
      </c>
      <c r="H3981">
        <v>37002.22</v>
      </c>
      <c r="I3981">
        <v>8382.24</v>
      </c>
      <c r="J3981" t="s">
        <v>28</v>
      </c>
      <c r="K3981" t="s">
        <v>29</v>
      </c>
      <c r="L3981">
        <f t="shared" si="186"/>
        <v>2024</v>
      </c>
      <c r="M3981" t="str">
        <f t="shared" si="187"/>
        <v>Jan</v>
      </c>
      <c r="N3981" s="2">
        <f t="shared" si="188"/>
        <v>0.22653343502092577</v>
      </c>
    </row>
    <row r="3982" spans="1:14" x14ac:dyDescent="0.45">
      <c r="A3982" t="s">
        <v>7225</v>
      </c>
      <c r="B3982" s="1">
        <v>45390</v>
      </c>
      <c r="C3982" t="s">
        <v>7226</v>
      </c>
      <c r="D3982" t="s">
        <v>26</v>
      </c>
      <c r="E3982" t="s">
        <v>14</v>
      </c>
      <c r="F3982" t="s">
        <v>40</v>
      </c>
      <c r="G3982">
        <v>5</v>
      </c>
      <c r="H3982">
        <v>30081.78</v>
      </c>
      <c r="I3982">
        <v>4478.47</v>
      </c>
      <c r="J3982" t="s">
        <v>47</v>
      </c>
      <c r="K3982" t="s">
        <v>33</v>
      </c>
      <c r="L3982">
        <f t="shared" si="186"/>
        <v>2024</v>
      </c>
      <c r="M3982" t="str">
        <f t="shared" si="187"/>
        <v>Apr</v>
      </c>
      <c r="N3982" s="2">
        <f t="shared" si="188"/>
        <v>0.1488764960052231</v>
      </c>
    </row>
    <row r="3983" spans="1:14" x14ac:dyDescent="0.45">
      <c r="A3983" t="s">
        <v>7227</v>
      </c>
      <c r="B3983" s="1">
        <v>45208</v>
      </c>
      <c r="C3983" t="s">
        <v>7228</v>
      </c>
      <c r="D3983" t="s">
        <v>13</v>
      </c>
      <c r="E3983" t="s">
        <v>14</v>
      </c>
      <c r="F3983" t="s">
        <v>57</v>
      </c>
      <c r="G3983">
        <v>2</v>
      </c>
      <c r="H3983">
        <v>34537.870000000003</v>
      </c>
      <c r="I3983">
        <v>4453.05</v>
      </c>
      <c r="J3983" t="s">
        <v>22</v>
      </c>
      <c r="K3983" t="s">
        <v>29</v>
      </c>
      <c r="L3983">
        <f t="shared" si="186"/>
        <v>2023</v>
      </c>
      <c r="M3983" t="str">
        <f t="shared" si="187"/>
        <v>Oct</v>
      </c>
      <c r="N3983" s="2">
        <f t="shared" si="188"/>
        <v>0.12893238639209656</v>
      </c>
    </row>
    <row r="3984" spans="1:14" x14ac:dyDescent="0.45">
      <c r="A3984" t="s">
        <v>7229</v>
      </c>
      <c r="B3984" s="1">
        <v>45225</v>
      </c>
      <c r="C3984" t="s">
        <v>7230</v>
      </c>
      <c r="D3984" t="s">
        <v>13</v>
      </c>
      <c r="E3984" t="s">
        <v>36</v>
      </c>
      <c r="F3984" t="s">
        <v>53</v>
      </c>
      <c r="G3984">
        <v>3</v>
      </c>
      <c r="H3984">
        <v>23107.1</v>
      </c>
      <c r="I3984">
        <v>3347.63</v>
      </c>
      <c r="J3984" t="s">
        <v>71</v>
      </c>
      <c r="K3984" t="s">
        <v>29</v>
      </c>
      <c r="L3984">
        <f t="shared" si="186"/>
        <v>2023</v>
      </c>
      <c r="M3984" t="str">
        <f t="shared" si="187"/>
        <v>Oct</v>
      </c>
      <c r="N3984" s="2">
        <f t="shared" si="188"/>
        <v>0.14487451908720697</v>
      </c>
    </row>
    <row r="3985" spans="1:14" x14ac:dyDescent="0.45">
      <c r="A3985" t="s">
        <v>7231</v>
      </c>
      <c r="B3985" s="1">
        <v>45206</v>
      </c>
      <c r="C3985" t="s">
        <v>7232</v>
      </c>
      <c r="D3985" t="s">
        <v>56</v>
      </c>
      <c r="E3985" t="s">
        <v>14</v>
      </c>
      <c r="F3985" t="s">
        <v>57</v>
      </c>
      <c r="G3985">
        <v>3</v>
      </c>
      <c r="H3985">
        <v>39053.410000000003</v>
      </c>
      <c r="I3985">
        <v>9455.6299999999992</v>
      </c>
      <c r="J3985" t="s">
        <v>22</v>
      </c>
      <c r="K3985" t="s">
        <v>17</v>
      </c>
      <c r="L3985">
        <f t="shared" si="186"/>
        <v>2023</v>
      </c>
      <c r="M3985" t="str">
        <f t="shared" si="187"/>
        <v>Oct</v>
      </c>
      <c r="N3985" s="2">
        <f t="shared" si="188"/>
        <v>0.24212047040194437</v>
      </c>
    </row>
    <row r="3986" spans="1:14" x14ac:dyDescent="0.45">
      <c r="A3986" t="s">
        <v>7233</v>
      </c>
      <c r="B3986" s="1">
        <v>45246</v>
      </c>
      <c r="C3986" t="s">
        <v>3523</v>
      </c>
      <c r="D3986" t="s">
        <v>26</v>
      </c>
      <c r="E3986" t="s">
        <v>36</v>
      </c>
      <c r="F3986" t="s">
        <v>37</v>
      </c>
      <c r="G3986">
        <v>2</v>
      </c>
      <c r="H3986">
        <v>29702.28</v>
      </c>
      <c r="I3986">
        <v>2760.89</v>
      </c>
      <c r="J3986" t="s">
        <v>71</v>
      </c>
      <c r="K3986" t="s">
        <v>23</v>
      </c>
      <c r="L3986">
        <f t="shared" si="186"/>
        <v>2023</v>
      </c>
      <c r="M3986" t="str">
        <f t="shared" si="187"/>
        <v>Nov</v>
      </c>
      <c r="N3986" s="2">
        <f t="shared" si="188"/>
        <v>9.2952123540684412E-2</v>
      </c>
    </row>
    <row r="3987" spans="1:14" x14ac:dyDescent="0.45">
      <c r="A3987" t="s">
        <v>7234</v>
      </c>
      <c r="B3987" s="1">
        <v>45065</v>
      </c>
      <c r="C3987" t="s">
        <v>7235</v>
      </c>
      <c r="D3987" t="s">
        <v>13</v>
      </c>
      <c r="E3987" t="s">
        <v>36</v>
      </c>
      <c r="F3987" t="s">
        <v>46</v>
      </c>
      <c r="G3987">
        <v>3</v>
      </c>
      <c r="H3987">
        <v>11898.09</v>
      </c>
      <c r="I3987">
        <v>1992.3</v>
      </c>
      <c r="J3987" t="s">
        <v>28</v>
      </c>
      <c r="K3987" t="s">
        <v>29</v>
      </c>
      <c r="L3987">
        <f t="shared" si="186"/>
        <v>2023</v>
      </c>
      <c r="M3987" t="str">
        <f t="shared" si="187"/>
        <v>May</v>
      </c>
      <c r="N3987" s="2">
        <f t="shared" si="188"/>
        <v>0.16744704402135133</v>
      </c>
    </row>
    <row r="3988" spans="1:14" x14ac:dyDescent="0.45">
      <c r="A3988" t="s">
        <v>7236</v>
      </c>
      <c r="B3988" s="1">
        <v>44853</v>
      </c>
      <c r="C3988" t="s">
        <v>6882</v>
      </c>
      <c r="D3988" t="s">
        <v>26</v>
      </c>
      <c r="E3988" t="s">
        <v>20</v>
      </c>
      <c r="F3988" t="s">
        <v>27</v>
      </c>
      <c r="G3988">
        <v>3</v>
      </c>
      <c r="H3988">
        <v>15953.67</v>
      </c>
      <c r="I3988">
        <v>1818.8</v>
      </c>
      <c r="J3988" t="s">
        <v>28</v>
      </c>
      <c r="K3988" t="s">
        <v>29</v>
      </c>
      <c r="L3988">
        <f t="shared" si="186"/>
        <v>2022</v>
      </c>
      <c r="M3988" t="str">
        <f t="shared" si="187"/>
        <v>Oct</v>
      </c>
      <c r="N3988" s="2">
        <f t="shared" si="188"/>
        <v>0.11400511606420341</v>
      </c>
    </row>
    <row r="3989" spans="1:14" x14ac:dyDescent="0.45">
      <c r="A3989" t="s">
        <v>7237</v>
      </c>
      <c r="B3989" s="1">
        <v>45597</v>
      </c>
      <c r="C3989" t="s">
        <v>7238</v>
      </c>
      <c r="D3989" t="s">
        <v>13</v>
      </c>
      <c r="E3989" t="s">
        <v>20</v>
      </c>
      <c r="F3989" t="s">
        <v>27</v>
      </c>
      <c r="G3989">
        <v>1</v>
      </c>
      <c r="H3989">
        <v>29181.14</v>
      </c>
      <c r="I3989">
        <v>6992.74</v>
      </c>
      <c r="J3989" t="s">
        <v>28</v>
      </c>
      <c r="K3989" t="s">
        <v>29</v>
      </c>
      <c r="L3989">
        <f t="shared" si="186"/>
        <v>2024</v>
      </c>
      <c r="M3989" t="str">
        <f t="shared" si="187"/>
        <v>Nov</v>
      </c>
      <c r="N3989" s="2">
        <f t="shared" si="188"/>
        <v>0.23963217338321943</v>
      </c>
    </row>
    <row r="3990" spans="1:14" x14ac:dyDescent="0.45">
      <c r="A3990" t="s">
        <v>7239</v>
      </c>
      <c r="B3990" s="1">
        <v>44675</v>
      </c>
      <c r="C3990" t="s">
        <v>1141</v>
      </c>
      <c r="D3990" t="s">
        <v>56</v>
      </c>
      <c r="E3990" t="s">
        <v>20</v>
      </c>
      <c r="F3990" t="s">
        <v>43</v>
      </c>
      <c r="G3990">
        <v>5</v>
      </c>
      <c r="H3990">
        <v>42259.62</v>
      </c>
      <c r="I3990">
        <v>9719.2900000000009</v>
      </c>
      <c r="J3990" t="s">
        <v>28</v>
      </c>
      <c r="K3990" t="s">
        <v>33</v>
      </c>
      <c r="L3990">
        <f t="shared" si="186"/>
        <v>2022</v>
      </c>
      <c r="M3990" t="str">
        <f t="shared" si="187"/>
        <v>Apr</v>
      </c>
      <c r="N3990" s="2">
        <f t="shared" si="188"/>
        <v>0.22998999991007965</v>
      </c>
    </row>
    <row r="3991" spans="1:14" x14ac:dyDescent="0.45">
      <c r="A3991" t="s">
        <v>7240</v>
      </c>
      <c r="B3991" s="1">
        <v>45353</v>
      </c>
      <c r="C3991" t="s">
        <v>2836</v>
      </c>
      <c r="D3991" t="s">
        <v>56</v>
      </c>
      <c r="E3991" t="s">
        <v>14</v>
      </c>
      <c r="F3991" t="s">
        <v>32</v>
      </c>
      <c r="G3991">
        <v>2</v>
      </c>
      <c r="H3991">
        <v>3574.29</v>
      </c>
      <c r="I3991">
        <v>627.77</v>
      </c>
      <c r="J3991" t="s">
        <v>22</v>
      </c>
      <c r="K3991" t="s">
        <v>33</v>
      </c>
      <c r="L3991">
        <f t="shared" si="186"/>
        <v>2024</v>
      </c>
      <c r="M3991" t="str">
        <f t="shared" si="187"/>
        <v>Mar</v>
      </c>
      <c r="N3991" s="2">
        <f t="shared" si="188"/>
        <v>0.17563488133307595</v>
      </c>
    </row>
    <row r="3992" spans="1:14" x14ac:dyDescent="0.45">
      <c r="A3992" t="s">
        <v>7241</v>
      </c>
      <c r="B3992" s="1">
        <v>45173</v>
      </c>
      <c r="C3992" t="s">
        <v>7242</v>
      </c>
      <c r="D3992" t="s">
        <v>26</v>
      </c>
      <c r="E3992" t="s">
        <v>36</v>
      </c>
      <c r="F3992" t="s">
        <v>37</v>
      </c>
      <c r="G3992">
        <v>2</v>
      </c>
      <c r="H3992">
        <v>18989.32</v>
      </c>
      <c r="I3992">
        <v>3321.32</v>
      </c>
      <c r="J3992" t="s">
        <v>47</v>
      </c>
      <c r="K3992" t="s">
        <v>17</v>
      </c>
      <c r="L3992">
        <f t="shared" si="186"/>
        <v>2023</v>
      </c>
      <c r="M3992" t="str">
        <f t="shared" si="187"/>
        <v>Sep</v>
      </c>
      <c r="N3992" s="2">
        <f t="shared" si="188"/>
        <v>0.17490463060288627</v>
      </c>
    </row>
    <row r="3993" spans="1:14" x14ac:dyDescent="0.45">
      <c r="A3993" t="s">
        <v>7243</v>
      </c>
      <c r="B3993" s="1">
        <v>44566</v>
      </c>
      <c r="C3993" t="s">
        <v>980</v>
      </c>
      <c r="D3993" t="s">
        <v>56</v>
      </c>
      <c r="E3993" t="s">
        <v>36</v>
      </c>
      <c r="F3993" t="s">
        <v>46</v>
      </c>
      <c r="G3993">
        <v>5</v>
      </c>
      <c r="H3993">
        <v>34581.26</v>
      </c>
      <c r="I3993">
        <v>6824.72</v>
      </c>
      <c r="J3993" t="s">
        <v>47</v>
      </c>
      <c r="K3993" t="s">
        <v>23</v>
      </c>
      <c r="L3993">
        <f t="shared" si="186"/>
        <v>2022</v>
      </c>
      <c r="M3993" t="str">
        <f t="shared" si="187"/>
        <v>Jan</v>
      </c>
      <c r="N3993" s="2">
        <f t="shared" si="188"/>
        <v>0.19735313288179782</v>
      </c>
    </row>
    <row r="3994" spans="1:14" x14ac:dyDescent="0.45">
      <c r="A3994" t="s">
        <v>7244</v>
      </c>
      <c r="B3994" s="1">
        <v>44574</v>
      </c>
      <c r="C3994" t="s">
        <v>2559</v>
      </c>
      <c r="D3994" t="s">
        <v>13</v>
      </c>
      <c r="E3994" t="s">
        <v>36</v>
      </c>
      <c r="F3994" t="s">
        <v>37</v>
      </c>
      <c r="G3994">
        <v>3</v>
      </c>
      <c r="H3994">
        <v>43389.93</v>
      </c>
      <c r="I3994">
        <v>9555.15</v>
      </c>
      <c r="J3994" t="s">
        <v>16</v>
      </c>
      <c r="K3994" t="s">
        <v>33</v>
      </c>
      <c r="L3994">
        <f t="shared" si="186"/>
        <v>2022</v>
      </c>
      <c r="M3994" t="str">
        <f t="shared" si="187"/>
        <v>Jan</v>
      </c>
      <c r="N3994" s="2">
        <f t="shared" si="188"/>
        <v>0.22021584270820441</v>
      </c>
    </row>
    <row r="3995" spans="1:14" x14ac:dyDescent="0.45">
      <c r="A3995" t="s">
        <v>7245</v>
      </c>
      <c r="B3995" s="1">
        <v>45039</v>
      </c>
      <c r="C3995" t="s">
        <v>3955</v>
      </c>
      <c r="D3995" t="s">
        <v>13</v>
      </c>
      <c r="E3995" t="s">
        <v>14</v>
      </c>
      <c r="F3995" t="s">
        <v>57</v>
      </c>
      <c r="G3995">
        <v>3</v>
      </c>
      <c r="H3995">
        <v>807.81</v>
      </c>
      <c r="I3995">
        <v>111.29</v>
      </c>
      <c r="J3995" t="s">
        <v>22</v>
      </c>
      <c r="K3995" t="s">
        <v>23</v>
      </c>
      <c r="L3995">
        <f t="shared" si="186"/>
        <v>2023</v>
      </c>
      <c r="M3995" t="str">
        <f t="shared" si="187"/>
        <v>Apr</v>
      </c>
      <c r="N3995" s="2">
        <f t="shared" si="188"/>
        <v>0.13776754434829974</v>
      </c>
    </row>
    <row r="3996" spans="1:14" x14ac:dyDescent="0.45">
      <c r="A3996" t="s">
        <v>7246</v>
      </c>
      <c r="B3996" s="1">
        <v>44935</v>
      </c>
      <c r="C3996" t="s">
        <v>70</v>
      </c>
      <c r="D3996" t="s">
        <v>13</v>
      </c>
      <c r="E3996" t="s">
        <v>36</v>
      </c>
      <c r="F3996" t="s">
        <v>46</v>
      </c>
      <c r="G3996">
        <v>3</v>
      </c>
      <c r="H3996">
        <v>19347.12</v>
      </c>
      <c r="I3996">
        <v>3926.22</v>
      </c>
      <c r="J3996" t="s">
        <v>16</v>
      </c>
      <c r="K3996" t="s">
        <v>29</v>
      </c>
      <c r="L3996">
        <f t="shared" si="186"/>
        <v>2023</v>
      </c>
      <c r="M3996" t="str">
        <f t="shared" si="187"/>
        <v>Jan</v>
      </c>
      <c r="N3996" s="2">
        <f t="shared" si="188"/>
        <v>0.20293563072953494</v>
      </c>
    </row>
    <row r="3997" spans="1:14" x14ac:dyDescent="0.45">
      <c r="A3997" t="s">
        <v>7247</v>
      </c>
      <c r="B3997" s="1">
        <v>44937</v>
      </c>
      <c r="C3997" t="s">
        <v>7248</v>
      </c>
      <c r="D3997" t="s">
        <v>56</v>
      </c>
      <c r="E3997" t="s">
        <v>14</v>
      </c>
      <c r="F3997" t="s">
        <v>32</v>
      </c>
      <c r="G3997">
        <v>2</v>
      </c>
      <c r="H3997">
        <v>34183.660000000003</v>
      </c>
      <c r="I3997">
        <v>3221.33</v>
      </c>
      <c r="J3997" t="s">
        <v>22</v>
      </c>
      <c r="K3997" t="s">
        <v>29</v>
      </c>
      <c r="L3997">
        <f t="shared" si="186"/>
        <v>2023</v>
      </c>
      <c r="M3997" t="str">
        <f t="shared" si="187"/>
        <v>Jan</v>
      </c>
      <c r="N3997" s="2">
        <f t="shared" si="188"/>
        <v>9.4235959519840748E-2</v>
      </c>
    </row>
    <row r="3998" spans="1:14" x14ac:dyDescent="0.45">
      <c r="A3998" t="s">
        <v>7249</v>
      </c>
      <c r="B3998" s="1">
        <v>45555</v>
      </c>
      <c r="C3998" t="s">
        <v>7250</v>
      </c>
      <c r="D3998" t="s">
        <v>56</v>
      </c>
      <c r="E3998" t="s">
        <v>36</v>
      </c>
      <c r="F3998" t="s">
        <v>53</v>
      </c>
      <c r="G3998">
        <v>2</v>
      </c>
      <c r="H3998">
        <v>28972.55</v>
      </c>
      <c r="I3998">
        <v>1781.13</v>
      </c>
      <c r="J3998" t="s">
        <v>22</v>
      </c>
      <c r="K3998" t="s">
        <v>33</v>
      </c>
      <c r="L3998">
        <f t="shared" si="186"/>
        <v>2024</v>
      </c>
      <c r="M3998" t="str">
        <f t="shared" si="187"/>
        <v>Sep</v>
      </c>
      <c r="N3998" s="2">
        <f t="shared" si="188"/>
        <v>6.1476466517444969E-2</v>
      </c>
    </row>
    <row r="3999" spans="1:14" x14ac:dyDescent="0.45">
      <c r="A3999" t="s">
        <v>7251</v>
      </c>
      <c r="B3999" s="1">
        <v>44955</v>
      </c>
      <c r="C3999" t="s">
        <v>7252</v>
      </c>
      <c r="D3999" t="s">
        <v>13</v>
      </c>
      <c r="E3999" t="s">
        <v>14</v>
      </c>
      <c r="F3999" t="s">
        <v>32</v>
      </c>
      <c r="G3999">
        <v>1</v>
      </c>
      <c r="H3999">
        <v>17419.88</v>
      </c>
      <c r="I3999">
        <v>3864.02</v>
      </c>
      <c r="J3999" t="s">
        <v>16</v>
      </c>
      <c r="K3999" t="s">
        <v>33</v>
      </c>
      <c r="L3999">
        <f t="shared" si="186"/>
        <v>2023</v>
      </c>
      <c r="M3999" t="str">
        <f t="shared" si="187"/>
        <v>Jan</v>
      </c>
      <c r="N3999" s="2">
        <f t="shared" si="188"/>
        <v>0.2218166830081493</v>
      </c>
    </row>
    <row r="4000" spans="1:14" x14ac:dyDescent="0.45">
      <c r="A4000" t="s">
        <v>7253</v>
      </c>
      <c r="B4000" s="1">
        <v>45254</v>
      </c>
      <c r="C4000" t="s">
        <v>6320</v>
      </c>
      <c r="D4000" t="s">
        <v>26</v>
      </c>
      <c r="E4000" t="s">
        <v>14</v>
      </c>
      <c r="F4000" t="s">
        <v>32</v>
      </c>
      <c r="G4000">
        <v>3</v>
      </c>
      <c r="H4000">
        <v>36981.75</v>
      </c>
      <c r="I4000">
        <v>6070.49</v>
      </c>
      <c r="J4000" t="s">
        <v>71</v>
      </c>
      <c r="K4000" t="s">
        <v>23</v>
      </c>
      <c r="L4000">
        <f t="shared" si="186"/>
        <v>2023</v>
      </c>
      <c r="M4000" t="str">
        <f t="shared" si="187"/>
        <v>Nov</v>
      </c>
      <c r="N4000" s="2">
        <f t="shared" si="188"/>
        <v>0.16414826231857604</v>
      </c>
    </row>
    <row r="4001" spans="1:14" x14ac:dyDescent="0.45">
      <c r="A4001" t="s">
        <v>7254</v>
      </c>
      <c r="B4001" s="1">
        <v>45230</v>
      </c>
      <c r="C4001" t="s">
        <v>7230</v>
      </c>
      <c r="D4001" t="s">
        <v>56</v>
      </c>
      <c r="E4001" t="s">
        <v>20</v>
      </c>
      <c r="F4001" t="s">
        <v>27</v>
      </c>
      <c r="G4001">
        <v>3</v>
      </c>
      <c r="H4001">
        <v>40879.32</v>
      </c>
      <c r="I4001">
        <v>4656.63</v>
      </c>
      <c r="J4001" t="s">
        <v>71</v>
      </c>
      <c r="K4001" t="s">
        <v>23</v>
      </c>
      <c r="L4001">
        <f t="shared" si="186"/>
        <v>2023</v>
      </c>
      <c r="M4001" t="str">
        <f t="shared" si="187"/>
        <v>Oct</v>
      </c>
      <c r="N4001" s="2">
        <f t="shared" si="188"/>
        <v>0.11391163062399277</v>
      </c>
    </row>
    <row r="4002" spans="1:14" x14ac:dyDescent="0.45">
      <c r="A4002" t="s">
        <v>7255</v>
      </c>
      <c r="B4002" s="1">
        <v>45201</v>
      </c>
      <c r="C4002" t="s">
        <v>7256</v>
      </c>
      <c r="D4002" t="s">
        <v>56</v>
      </c>
      <c r="E4002" t="s">
        <v>36</v>
      </c>
      <c r="F4002" t="s">
        <v>53</v>
      </c>
      <c r="G4002">
        <v>4</v>
      </c>
      <c r="H4002">
        <v>33423.11</v>
      </c>
      <c r="I4002">
        <v>6885.93</v>
      </c>
      <c r="J4002" t="s">
        <v>22</v>
      </c>
      <c r="K4002" t="s">
        <v>23</v>
      </c>
      <c r="L4002">
        <f t="shared" si="186"/>
        <v>2023</v>
      </c>
      <c r="M4002" t="str">
        <f t="shared" si="187"/>
        <v>Oct</v>
      </c>
      <c r="N4002" s="2">
        <f t="shared" si="188"/>
        <v>0.2060230182050683</v>
      </c>
    </row>
    <row r="4003" spans="1:14" x14ac:dyDescent="0.45">
      <c r="A4003" t="s">
        <v>7257</v>
      </c>
      <c r="B4003" s="1">
        <v>45421</v>
      </c>
      <c r="C4003" t="s">
        <v>7258</v>
      </c>
      <c r="D4003" t="s">
        <v>56</v>
      </c>
      <c r="E4003" t="s">
        <v>14</v>
      </c>
      <c r="F4003" t="s">
        <v>40</v>
      </c>
      <c r="G4003">
        <v>2</v>
      </c>
      <c r="H4003">
        <v>44370.97</v>
      </c>
      <c r="I4003">
        <v>8444.91</v>
      </c>
      <c r="J4003" t="s">
        <v>16</v>
      </c>
      <c r="K4003" t="s">
        <v>29</v>
      </c>
      <c r="L4003">
        <f t="shared" si="186"/>
        <v>2024</v>
      </c>
      <c r="M4003" t="str">
        <f t="shared" si="187"/>
        <v>May</v>
      </c>
      <c r="N4003" s="2">
        <f t="shared" si="188"/>
        <v>0.19032511572318567</v>
      </c>
    </row>
    <row r="4004" spans="1:14" x14ac:dyDescent="0.45">
      <c r="A4004" t="s">
        <v>7259</v>
      </c>
      <c r="B4004" s="1">
        <v>44705</v>
      </c>
      <c r="C4004" t="s">
        <v>4165</v>
      </c>
      <c r="D4004" t="s">
        <v>26</v>
      </c>
      <c r="E4004" t="s">
        <v>20</v>
      </c>
      <c r="F4004" t="s">
        <v>43</v>
      </c>
      <c r="G4004">
        <v>1</v>
      </c>
      <c r="H4004">
        <v>5594.38</v>
      </c>
      <c r="I4004">
        <v>750.31</v>
      </c>
      <c r="J4004" t="s">
        <v>22</v>
      </c>
      <c r="K4004" t="s">
        <v>33</v>
      </c>
      <c r="L4004">
        <f t="shared" si="186"/>
        <v>2022</v>
      </c>
      <c r="M4004" t="str">
        <f t="shared" si="187"/>
        <v>May</v>
      </c>
      <c r="N4004" s="2">
        <f t="shared" si="188"/>
        <v>0.13411852609225686</v>
      </c>
    </row>
    <row r="4005" spans="1:14" x14ac:dyDescent="0.45">
      <c r="A4005" t="s">
        <v>7260</v>
      </c>
      <c r="B4005" s="1">
        <v>45108</v>
      </c>
      <c r="C4005" t="s">
        <v>7261</v>
      </c>
      <c r="D4005" t="s">
        <v>13</v>
      </c>
      <c r="E4005" t="s">
        <v>20</v>
      </c>
      <c r="F4005" t="s">
        <v>50</v>
      </c>
      <c r="G4005">
        <v>4</v>
      </c>
      <c r="H4005">
        <v>17807.52</v>
      </c>
      <c r="I4005">
        <v>3463.91</v>
      </c>
      <c r="J4005" t="s">
        <v>22</v>
      </c>
      <c r="K4005" t="s">
        <v>29</v>
      </c>
      <c r="L4005">
        <f t="shared" si="186"/>
        <v>2023</v>
      </c>
      <c r="M4005" t="str">
        <f t="shared" si="187"/>
        <v>Jul</v>
      </c>
      <c r="N4005" s="2">
        <f t="shared" si="188"/>
        <v>0.19451950636584991</v>
      </c>
    </row>
    <row r="4006" spans="1:14" x14ac:dyDescent="0.45">
      <c r="A4006" t="s">
        <v>7262</v>
      </c>
      <c r="B4006" s="1">
        <v>44675</v>
      </c>
      <c r="C4006" t="s">
        <v>7263</v>
      </c>
      <c r="D4006" t="s">
        <v>13</v>
      </c>
      <c r="E4006" t="s">
        <v>20</v>
      </c>
      <c r="F4006" t="s">
        <v>50</v>
      </c>
      <c r="G4006">
        <v>3</v>
      </c>
      <c r="H4006">
        <v>39415.51</v>
      </c>
      <c r="I4006">
        <v>4045.52</v>
      </c>
      <c r="J4006" t="s">
        <v>71</v>
      </c>
      <c r="K4006" t="s">
        <v>17</v>
      </c>
      <c r="L4006">
        <f t="shared" si="186"/>
        <v>2022</v>
      </c>
      <c r="M4006" t="str">
        <f t="shared" si="187"/>
        <v>Apr</v>
      </c>
      <c r="N4006" s="2">
        <f t="shared" si="188"/>
        <v>0.10263776873621576</v>
      </c>
    </row>
    <row r="4007" spans="1:14" x14ac:dyDescent="0.45">
      <c r="A4007" t="s">
        <v>7264</v>
      </c>
      <c r="B4007" s="1">
        <v>44774</v>
      </c>
      <c r="C4007" t="s">
        <v>7265</v>
      </c>
      <c r="D4007" t="s">
        <v>56</v>
      </c>
      <c r="E4007" t="s">
        <v>20</v>
      </c>
      <c r="F4007" t="s">
        <v>27</v>
      </c>
      <c r="G4007">
        <v>4</v>
      </c>
      <c r="H4007">
        <v>20081.75</v>
      </c>
      <c r="I4007">
        <v>2391.71</v>
      </c>
      <c r="J4007" t="s">
        <v>16</v>
      </c>
      <c r="K4007" t="s">
        <v>23</v>
      </c>
      <c r="L4007">
        <f t="shared" si="186"/>
        <v>2022</v>
      </c>
      <c r="M4007" t="str">
        <f t="shared" si="187"/>
        <v>Aug</v>
      </c>
      <c r="N4007" s="2">
        <f t="shared" si="188"/>
        <v>0.11909868412862425</v>
      </c>
    </row>
    <row r="4008" spans="1:14" x14ac:dyDescent="0.45">
      <c r="A4008" t="s">
        <v>7266</v>
      </c>
      <c r="B4008" s="1">
        <v>45617</v>
      </c>
      <c r="C4008" t="s">
        <v>7267</v>
      </c>
      <c r="D4008" t="s">
        <v>56</v>
      </c>
      <c r="E4008" t="s">
        <v>36</v>
      </c>
      <c r="F4008" t="s">
        <v>46</v>
      </c>
      <c r="G4008">
        <v>2</v>
      </c>
      <c r="H4008">
        <v>29208.14</v>
      </c>
      <c r="I4008">
        <v>1734.62</v>
      </c>
      <c r="J4008" t="s">
        <v>22</v>
      </c>
      <c r="K4008" t="s">
        <v>23</v>
      </c>
      <c r="L4008">
        <f t="shared" si="186"/>
        <v>2024</v>
      </c>
      <c r="M4008" t="str">
        <f t="shared" si="187"/>
        <v>Nov</v>
      </c>
      <c r="N4008" s="2">
        <f t="shared" si="188"/>
        <v>5.9388239031995874E-2</v>
      </c>
    </row>
    <row r="4009" spans="1:14" x14ac:dyDescent="0.45">
      <c r="A4009" t="s">
        <v>7268</v>
      </c>
      <c r="B4009" s="1">
        <v>45557</v>
      </c>
      <c r="C4009" t="s">
        <v>7269</v>
      </c>
      <c r="D4009" t="s">
        <v>13</v>
      </c>
      <c r="E4009" t="s">
        <v>36</v>
      </c>
      <c r="F4009" t="s">
        <v>64</v>
      </c>
      <c r="G4009">
        <v>1</v>
      </c>
      <c r="H4009">
        <v>41418.71</v>
      </c>
      <c r="I4009">
        <v>6875.89</v>
      </c>
      <c r="J4009" t="s">
        <v>71</v>
      </c>
      <c r="K4009" t="s">
        <v>33</v>
      </c>
      <c r="L4009">
        <f t="shared" si="186"/>
        <v>2024</v>
      </c>
      <c r="M4009" t="str">
        <f t="shared" si="187"/>
        <v>Sep</v>
      </c>
      <c r="N4009" s="2">
        <f t="shared" si="188"/>
        <v>0.1660092745524909</v>
      </c>
    </row>
    <row r="4010" spans="1:14" x14ac:dyDescent="0.45">
      <c r="A4010" t="s">
        <v>7270</v>
      </c>
      <c r="B4010" s="1">
        <v>44843</v>
      </c>
      <c r="C4010" t="s">
        <v>7271</v>
      </c>
      <c r="D4010" t="s">
        <v>26</v>
      </c>
      <c r="E4010" t="s">
        <v>36</v>
      </c>
      <c r="F4010" t="s">
        <v>53</v>
      </c>
      <c r="G4010">
        <v>2</v>
      </c>
      <c r="H4010">
        <v>19668.59</v>
      </c>
      <c r="I4010">
        <v>1045.8599999999999</v>
      </c>
      <c r="J4010" t="s">
        <v>47</v>
      </c>
      <c r="K4010" t="s">
        <v>33</v>
      </c>
      <c r="L4010">
        <f t="shared" si="186"/>
        <v>2022</v>
      </c>
      <c r="M4010" t="str">
        <f t="shared" si="187"/>
        <v>Oct</v>
      </c>
      <c r="N4010" s="2">
        <f t="shared" si="188"/>
        <v>5.3174121785038983E-2</v>
      </c>
    </row>
    <row r="4011" spans="1:14" x14ac:dyDescent="0.45">
      <c r="A4011" t="s">
        <v>7272</v>
      </c>
      <c r="B4011" s="1">
        <v>45409</v>
      </c>
      <c r="C4011" t="s">
        <v>7273</v>
      </c>
      <c r="D4011" t="s">
        <v>26</v>
      </c>
      <c r="E4011" t="s">
        <v>36</v>
      </c>
      <c r="F4011" t="s">
        <v>64</v>
      </c>
      <c r="G4011">
        <v>1</v>
      </c>
      <c r="H4011">
        <v>45866.49</v>
      </c>
      <c r="I4011">
        <v>10250.81</v>
      </c>
      <c r="J4011" t="s">
        <v>71</v>
      </c>
      <c r="K4011" t="s">
        <v>17</v>
      </c>
      <c r="L4011">
        <f t="shared" si="186"/>
        <v>2024</v>
      </c>
      <c r="M4011" t="str">
        <f t="shared" si="187"/>
        <v>Apr</v>
      </c>
      <c r="N4011" s="2">
        <f t="shared" si="188"/>
        <v>0.22349235792841354</v>
      </c>
    </row>
    <row r="4012" spans="1:14" x14ac:dyDescent="0.45">
      <c r="A4012" t="s">
        <v>7274</v>
      </c>
      <c r="B4012" s="1">
        <v>45451</v>
      </c>
      <c r="C4012" t="s">
        <v>1317</v>
      </c>
      <c r="D4012" t="s">
        <v>26</v>
      </c>
      <c r="E4012" t="s">
        <v>36</v>
      </c>
      <c r="F4012" t="s">
        <v>53</v>
      </c>
      <c r="G4012">
        <v>1</v>
      </c>
      <c r="H4012">
        <v>7932.6</v>
      </c>
      <c r="I4012">
        <v>1760.22</v>
      </c>
      <c r="J4012" t="s">
        <v>22</v>
      </c>
      <c r="K4012" t="s">
        <v>23</v>
      </c>
      <c r="L4012">
        <f t="shared" si="186"/>
        <v>2024</v>
      </c>
      <c r="M4012" t="str">
        <f t="shared" si="187"/>
        <v>Jun</v>
      </c>
      <c r="N4012" s="2">
        <f t="shared" si="188"/>
        <v>0.22189698207397321</v>
      </c>
    </row>
    <row r="4013" spans="1:14" x14ac:dyDescent="0.45">
      <c r="A4013" t="s">
        <v>7275</v>
      </c>
      <c r="B4013" s="1">
        <v>45427</v>
      </c>
      <c r="C4013" t="s">
        <v>7276</v>
      </c>
      <c r="D4013" t="s">
        <v>56</v>
      </c>
      <c r="E4013" t="s">
        <v>20</v>
      </c>
      <c r="F4013" t="s">
        <v>43</v>
      </c>
      <c r="G4013">
        <v>3</v>
      </c>
      <c r="H4013">
        <v>34083.800000000003</v>
      </c>
      <c r="I4013">
        <v>7793.93</v>
      </c>
      <c r="J4013" t="s">
        <v>71</v>
      </c>
      <c r="K4013" t="s">
        <v>29</v>
      </c>
      <c r="L4013">
        <f t="shared" si="186"/>
        <v>2024</v>
      </c>
      <c r="M4013" t="str">
        <f t="shared" si="187"/>
        <v>May</v>
      </c>
      <c r="N4013" s="2">
        <f t="shared" si="188"/>
        <v>0.22866963190724038</v>
      </c>
    </row>
    <row r="4014" spans="1:14" x14ac:dyDescent="0.45">
      <c r="A4014" t="s">
        <v>7277</v>
      </c>
      <c r="B4014" s="1">
        <v>45443</v>
      </c>
      <c r="C4014" t="s">
        <v>7278</v>
      </c>
      <c r="D4014" t="s">
        <v>56</v>
      </c>
      <c r="E4014" t="s">
        <v>20</v>
      </c>
      <c r="F4014" t="s">
        <v>43</v>
      </c>
      <c r="G4014">
        <v>3</v>
      </c>
      <c r="H4014">
        <v>47260.09</v>
      </c>
      <c r="I4014">
        <v>7425.29</v>
      </c>
      <c r="J4014" t="s">
        <v>47</v>
      </c>
      <c r="K4014" t="s">
        <v>23</v>
      </c>
      <c r="L4014">
        <f t="shared" si="186"/>
        <v>2024</v>
      </c>
      <c r="M4014" t="str">
        <f t="shared" si="187"/>
        <v>May</v>
      </c>
      <c r="N4014" s="2">
        <f t="shared" si="188"/>
        <v>0.15711544349576992</v>
      </c>
    </row>
    <row r="4015" spans="1:14" x14ac:dyDescent="0.45">
      <c r="A4015" t="s">
        <v>7279</v>
      </c>
      <c r="B4015" s="1">
        <v>45123</v>
      </c>
      <c r="C4015" t="s">
        <v>7280</v>
      </c>
      <c r="D4015" t="s">
        <v>56</v>
      </c>
      <c r="E4015" t="s">
        <v>20</v>
      </c>
      <c r="F4015" t="s">
        <v>50</v>
      </c>
      <c r="G4015">
        <v>1</v>
      </c>
      <c r="H4015">
        <v>43158.68</v>
      </c>
      <c r="I4015">
        <v>9788.91</v>
      </c>
      <c r="J4015" t="s">
        <v>22</v>
      </c>
      <c r="K4015" t="s">
        <v>23</v>
      </c>
      <c r="L4015">
        <f t="shared" si="186"/>
        <v>2023</v>
      </c>
      <c r="M4015" t="str">
        <f t="shared" si="187"/>
        <v>Jul</v>
      </c>
      <c r="N4015" s="2">
        <f t="shared" si="188"/>
        <v>0.22681208044360948</v>
      </c>
    </row>
    <row r="4016" spans="1:14" x14ac:dyDescent="0.45">
      <c r="A4016" t="s">
        <v>7281</v>
      </c>
      <c r="B4016" s="1">
        <v>44981</v>
      </c>
      <c r="C4016" t="s">
        <v>632</v>
      </c>
      <c r="D4016" t="s">
        <v>13</v>
      </c>
      <c r="E4016" t="s">
        <v>36</v>
      </c>
      <c r="F4016" t="s">
        <v>53</v>
      </c>
      <c r="G4016">
        <v>3</v>
      </c>
      <c r="H4016">
        <v>49778.13</v>
      </c>
      <c r="I4016">
        <v>11225.53</v>
      </c>
      <c r="J4016" t="s">
        <v>28</v>
      </c>
      <c r="K4016" t="s">
        <v>23</v>
      </c>
      <c r="L4016">
        <f t="shared" si="186"/>
        <v>2023</v>
      </c>
      <c r="M4016" t="str">
        <f t="shared" si="187"/>
        <v>Feb</v>
      </c>
      <c r="N4016" s="2">
        <f t="shared" si="188"/>
        <v>0.2255112837706037</v>
      </c>
    </row>
    <row r="4017" spans="1:14" x14ac:dyDescent="0.45">
      <c r="A4017" t="s">
        <v>7282</v>
      </c>
      <c r="B4017" s="1">
        <v>44847</v>
      </c>
      <c r="C4017" t="s">
        <v>7283</v>
      </c>
      <c r="D4017" t="s">
        <v>26</v>
      </c>
      <c r="E4017" t="s">
        <v>20</v>
      </c>
      <c r="F4017" t="s">
        <v>27</v>
      </c>
      <c r="G4017">
        <v>3</v>
      </c>
      <c r="H4017">
        <v>27979</v>
      </c>
      <c r="I4017">
        <v>5567.62</v>
      </c>
      <c r="J4017" t="s">
        <v>22</v>
      </c>
      <c r="K4017" t="s">
        <v>29</v>
      </c>
      <c r="L4017">
        <f t="shared" si="186"/>
        <v>2022</v>
      </c>
      <c r="M4017" t="str">
        <f t="shared" si="187"/>
        <v>Oct</v>
      </c>
      <c r="N4017" s="2">
        <f t="shared" si="188"/>
        <v>0.19899281604060187</v>
      </c>
    </row>
    <row r="4018" spans="1:14" x14ac:dyDescent="0.45">
      <c r="A4018" t="s">
        <v>7284</v>
      </c>
      <c r="B4018" s="1">
        <v>45240</v>
      </c>
      <c r="C4018" t="s">
        <v>7285</v>
      </c>
      <c r="D4018" t="s">
        <v>26</v>
      </c>
      <c r="E4018" t="s">
        <v>14</v>
      </c>
      <c r="F4018" t="s">
        <v>15</v>
      </c>
      <c r="G4018">
        <v>3</v>
      </c>
      <c r="H4018">
        <v>22035.279999999999</v>
      </c>
      <c r="I4018">
        <v>1703.18</v>
      </c>
      <c r="J4018" t="s">
        <v>16</v>
      </c>
      <c r="K4018" t="s">
        <v>23</v>
      </c>
      <c r="L4018">
        <f t="shared" si="186"/>
        <v>2023</v>
      </c>
      <c r="M4018" t="str">
        <f t="shared" si="187"/>
        <v>Nov</v>
      </c>
      <c r="N4018" s="2">
        <f t="shared" si="188"/>
        <v>7.7293322344894194E-2</v>
      </c>
    </row>
    <row r="4019" spans="1:14" x14ac:dyDescent="0.45">
      <c r="A4019" t="s">
        <v>7286</v>
      </c>
      <c r="B4019" s="1">
        <v>44988</v>
      </c>
      <c r="C4019" t="s">
        <v>7287</v>
      </c>
      <c r="D4019" t="s">
        <v>56</v>
      </c>
      <c r="E4019" t="s">
        <v>20</v>
      </c>
      <c r="F4019" t="s">
        <v>27</v>
      </c>
      <c r="G4019">
        <v>1</v>
      </c>
      <c r="H4019">
        <v>44061.53</v>
      </c>
      <c r="I4019">
        <v>9573.2199999999993</v>
      </c>
      <c r="J4019" t="s">
        <v>22</v>
      </c>
      <c r="K4019" t="s">
        <v>23</v>
      </c>
      <c r="L4019">
        <f t="shared" si="186"/>
        <v>2023</v>
      </c>
      <c r="M4019" t="str">
        <f t="shared" si="187"/>
        <v>Mar</v>
      </c>
      <c r="N4019" s="2">
        <f t="shared" si="188"/>
        <v>0.2172693503834297</v>
      </c>
    </row>
    <row r="4020" spans="1:14" x14ac:dyDescent="0.45">
      <c r="A4020" t="s">
        <v>7288</v>
      </c>
      <c r="B4020" s="1">
        <v>44898</v>
      </c>
      <c r="C4020" t="s">
        <v>7289</v>
      </c>
      <c r="D4020" t="s">
        <v>56</v>
      </c>
      <c r="E4020" t="s">
        <v>36</v>
      </c>
      <c r="F4020" t="s">
        <v>37</v>
      </c>
      <c r="G4020">
        <v>1</v>
      </c>
      <c r="H4020">
        <v>3297.25</v>
      </c>
      <c r="I4020">
        <v>772.95</v>
      </c>
      <c r="J4020" t="s">
        <v>22</v>
      </c>
      <c r="K4020" t="s">
        <v>33</v>
      </c>
      <c r="L4020">
        <f t="shared" si="186"/>
        <v>2022</v>
      </c>
      <c r="M4020" t="str">
        <f t="shared" si="187"/>
        <v>Dec</v>
      </c>
      <c r="N4020" s="2">
        <f t="shared" si="188"/>
        <v>0.23442262491470167</v>
      </c>
    </row>
    <row r="4021" spans="1:14" x14ac:dyDescent="0.45">
      <c r="A4021" t="s">
        <v>7290</v>
      </c>
      <c r="B4021" s="1">
        <v>45461</v>
      </c>
      <c r="C4021" t="s">
        <v>7291</v>
      </c>
      <c r="D4021" t="s">
        <v>26</v>
      </c>
      <c r="E4021" t="s">
        <v>14</v>
      </c>
      <c r="F4021" t="s">
        <v>15</v>
      </c>
      <c r="G4021">
        <v>3</v>
      </c>
      <c r="H4021">
        <v>45831.4</v>
      </c>
      <c r="I4021">
        <v>6014.44</v>
      </c>
      <c r="J4021" t="s">
        <v>28</v>
      </c>
      <c r="K4021" t="s">
        <v>33</v>
      </c>
      <c r="L4021">
        <f t="shared" si="186"/>
        <v>2024</v>
      </c>
      <c r="M4021" t="str">
        <f t="shared" si="187"/>
        <v>Jun</v>
      </c>
      <c r="N4021" s="2">
        <f t="shared" si="188"/>
        <v>0.13122968096108781</v>
      </c>
    </row>
    <row r="4022" spans="1:14" x14ac:dyDescent="0.45">
      <c r="A4022" t="s">
        <v>7292</v>
      </c>
      <c r="B4022" s="1">
        <v>45068</v>
      </c>
      <c r="C4022" t="s">
        <v>7293</v>
      </c>
      <c r="D4022" t="s">
        <v>56</v>
      </c>
      <c r="E4022" t="s">
        <v>36</v>
      </c>
      <c r="F4022" t="s">
        <v>37</v>
      </c>
      <c r="G4022">
        <v>3</v>
      </c>
      <c r="H4022">
        <v>40853.050000000003</v>
      </c>
      <c r="I4022">
        <v>9226.42</v>
      </c>
      <c r="J4022" t="s">
        <v>22</v>
      </c>
      <c r="K4022" t="s">
        <v>17</v>
      </c>
      <c r="L4022">
        <f t="shared" si="186"/>
        <v>2023</v>
      </c>
      <c r="M4022" t="str">
        <f t="shared" si="187"/>
        <v>May</v>
      </c>
      <c r="N4022" s="2">
        <f t="shared" si="188"/>
        <v>0.22584409242394385</v>
      </c>
    </row>
    <row r="4023" spans="1:14" x14ac:dyDescent="0.45">
      <c r="A4023" t="s">
        <v>7294</v>
      </c>
      <c r="B4023" s="1">
        <v>45575</v>
      </c>
      <c r="C4023" t="s">
        <v>7295</v>
      </c>
      <c r="D4023" t="s">
        <v>13</v>
      </c>
      <c r="E4023" t="s">
        <v>14</v>
      </c>
      <c r="F4023" t="s">
        <v>32</v>
      </c>
      <c r="G4023">
        <v>1</v>
      </c>
      <c r="H4023">
        <v>44887.76</v>
      </c>
      <c r="I4023">
        <v>5432.06</v>
      </c>
      <c r="J4023" t="s">
        <v>22</v>
      </c>
      <c r="K4023" t="s">
        <v>29</v>
      </c>
      <c r="L4023">
        <f t="shared" si="186"/>
        <v>2024</v>
      </c>
      <c r="M4023" t="str">
        <f t="shared" si="187"/>
        <v>Oct</v>
      </c>
      <c r="N4023" s="2">
        <f t="shared" si="188"/>
        <v>0.12101428095320417</v>
      </c>
    </row>
    <row r="4024" spans="1:14" x14ac:dyDescent="0.45">
      <c r="A4024" t="s">
        <v>7296</v>
      </c>
      <c r="B4024" s="1">
        <v>44594</v>
      </c>
      <c r="C4024" t="s">
        <v>7297</v>
      </c>
      <c r="D4024" t="s">
        <v>13</v>
      </c>
      <c r="E4024" t="s">
        <v>20</v>
      </c>
      <c r="F4024" t="s">
        <v>50</v>
      </c>
      <c r="G4024">
        <v>1</v>
      </c>
      <c r="H4024">
        <v>26757.71</v>
      </c>
      <c r="I4024">
        <v>5056.09</v>
      </c>
      <c r="J4024" t="s">
        <v>28</v>
      </c>
      <c r="K4024" t="s">
        <v>29</v>
      </c>
      <c r="L4024">
        <f t="shared" si="186"/>
        <v>2022</v>
      </c>
      <c r="M4024" t="str">
        <f t="shared" si="187"/>
        <v>Feb</v>
      </c>
      <c r="N4024" s="2">
        <f t="shared" si="188"/>
        <v>0.18895824792181395</v>
      </c>
    </row>
    <row r="4025" spans="1:14" x14ac:dyDescent="0.45">
      <c r="A4025" t="s">
        <v>7298</v>
      </c>
      <c r="B4025" s="1">
        <v>44974</v>
      </c>
      <c r="C4025" t="s">
        <v>7299</v>
      </c>
      <c r="D4025" t="s">
        <v>26</v>
      </c>
      <c r="E4025" t="s">
        <v>36</v>
      </c>
      <c r="F4025" t="s">
        <v>53</v>
      </c>
      <c r="G4025">
        <v>1</v>
      </c>
      <c r="H4025">
        <v>43212.74</v>
      </c>
      <c r="I4025">
        <v>6214.53</v>
      </c>
      <c r="J4025" t="s">
        <v>71</v>
      </c>
      <c r="K4025" t="s">
        <v>17</v>
      </c>
      <c r="L4025">
        <f t="shared" si="186"/>
        <v>2023</v>
      </c>
      <c r="M4025" t="str">
        <f t="shared" si="187"/>
        <v>Feb</v>
      </c>
      <c r="N4025" s="2">
        <f t="shared" si="188"/>
        <v>0.14381244975440113</v>
      </c>
    </row>
    <row r="4026" spans="1:14" x14ac:dyDescent="0.45">
      <c r="A4026" t="s">
        <v>7300</v>
      </c>
      <c r="B4026" s="1">
        <v>45474</v>
      </c>
      <c r="C4026" t="s">
        <v>7280</v>
      </c>
      <c r="D4026" t="s">
        <v>26</v>
      </c>
      <c r="E4026" t="s">
        <v>14</v>
      </c>
      <c r="F4026" t="s">
        <v>15</v>
      </c>
      <c r="G4026">
        <v>4</v>
      </c>
      <c r="H4026">
        <v>13617.55</v>
      </c>
      <c r="I4026">
        <v>2577.0300000000002</v>
      </c>
      <c r="J4026" t="s">
        <v>22</v>
      </c>
      <c r="K4026" t="s">
        <v>29</v>
      </c>
      <c r="L4026">
        <f t="shared" si="186"/>
        <v>2024</v>
      </c>
      <c r="M4026" t="str">
        <f t="shared" si="187"/>
        <v>Jul</v>
      </c>
      <c r="N4026" s="2">
        <f t="shared" si="188"/>
        <v>0.18924329266277709</v>
      </c>
    </row>
    <row r="4027" spans="1:14" x14ac:dyDescent="0.45">
      <c r="A4027" t="s">
        <v>7301</v>
      </c>
      <c r="B4027" s="1">
        <v>44947</v>
      </c>
      <c r="C4027" t="s">
        <v>7302</v>
      </c>
      <c r="D4027" t="s">
        <v>56</v>
      </c>
      <c r="E4027" t="s">
        <v>20</v>
      </c>
      <c r="F4027" t="s">
        <v>50</v>
      </c>
      <c r="G4027">
        <v>1</v>
      </c>
      <c r="H4027">
        <v>30640.66</v>
      </c>
      <c r="I4027">
        <v>3591.52</v>
      </c>
      <c r="J4027" t="s">
        <v>28</v>
      </c>
      <c r="K4027" t="s">
        <v>33</v>
      </c>
      <c r="L4027">
        <f t="shared" si="186"/>
        <v>2023</v>
      </c>
      <c r="M4027" t="str">
        <f t="shared" si="187"/>
        <v>Jan</v>
      </c>
      <c r="N4027" s="2">
        <f t="shared" si="188"/>
        <v>0.11721418533412792</v>
      </c>
    </row>
    <row r="4028" spans="1:14" x14ac:dyDescent="0.45">
      <c r="A4028" t="s">
        <v>7303</v>
      </c>
      <c r="B4028" s="1">
        <v>45105</v>
      </c>
      <c r="C4028" t="s">
        <v>7304</v>
      </c>
      <c r="D4028" t="s">
        <v>26</v>
      </c>
      <c r="E4028" t="s">
        <v>14</v>
      </c>
      <c r="F4028" t="s">
        <v>57</v>
      </c>
      <c r="G4028">
        <v>3</v>
      </c>
      <c r="H4028">
        <v>40655.47</v>
      </c>
      <c r="I4028">
        <v>3121.49</v>
      </c>
      <c r="J4028" t="s">
        <v>28</v>
      </c>
      <c r="K4028" t="s">
        <v>23</v>
      </c>
      <c r="L4028">
        <f t="shared" si="186"/>
        <v>2023</v>
      </c>
      <c r="M4028" t="str">
        <f t="shared" si="187"/>
        <v>Jun</v>
      </c>
      <c r="N4028" s="2">
        <f t="shared" si="188"/>
        <v>7.6779090242961145E-2</v>
      </c>
    </row>
    <row r="4029" spans="1:14" x14ac:dyDescent="0.45">
      <c r="A4029" t="s">
        <v>7305</v>
      </c>
      <c r="B4029" s="1">
        <v>45426</v>
      </c>
      <c r="C4029" t="s">
        <v>1061</v>
      </c>
      <c r="D4029" t="s">
        <v>13</v>
      </c>
      <c r="E4029" t="s">
        <v>20</v>
      </c>
      <c r="F4029" t="s">
        <v>27</v>
      </c>
      <c r="G4029">
        <v>5</v>
      </c>
      <c r="H4029">
        <v>22419.27</v>
      </c>
      <c r="I4029">
        <v>1673.84</v>
      </c>
      <c r="J4029" t="s">
        <v>47</v>
      </c>
      <c r="K4029" t="s">
        <v>33</v>
      </c>
      <c r="L4029">
        <f t="shared" si="186"/>
        <v>2024</v>
      </c>
      <c r="M4029" t="str">
        <f t="shared" si="187"/>
        <v>May</v>
      </c>
      <c r="N4029" s="2">
        <f t="shared" si="188"/>
        <v>7.4660771737884407E-2</v>
      </c>
    </row>
    <row r="4030" spans="1:14" x14ac:dyDescent="0.45">
      <c r="A4030" t="s">
        <v>7306</v>
      </c>
      <c r="B4030" s="1">
        <v>44726</v>
      </c>
      <c r="C4030" t="s">
        <v>7307</v>
      </c>
      <c r="D4030" t="s">
        <v>56</v>
      </c>
      <c r="E4030" t="s">
        <v>36</v>
      </c>
      <c r="F4030" t="s">
        <v>53</v>
      </c>
      <c r="G4030">
        <v>2</v>
      </c>
      <c r="H4030">
        <v>42355.88</v>
      </c>
      <c r="I4030">
        <v>7523.84</v>
      </c>
      <c r="J4030" t="s">
        <v>16</v>
      </c>
      <c r="K4030" t="s">
        <v>17</v>
      </c>
      <c r="L4030">
        <f t="shared" si="186"/>
        <v>2022</v>
      </c>
      <c r="M4030" t="str">
        <f t="shared" si="187"/>
        <v>Jun</v>
      </c>
      <c r="N4030" s="2">
        <f t="shared" si="188"/>
        <v>0.17763389640352178</v>
      </c>
    </row>
    <row r="4031" spans="1:14" x14ac:dyDescent="0.45">
      <c r="A4031" t="s">
        <v>7308</v>
      </c>
      <c r="B4031" s="1">
        <v>45139</v>
      </c>
      <c r="C4031" t="s">
        <v>7309</v>
      </c>
      <c r="D4031" t="s">
        <v>13</v>
      </c>
      <c r="E4031" t="s">
        <v>36</v>
      </c>
      <c r="F4031" t="s">
        <v>46</v>
      </c>
      <c r="G4031">
        <v>5</v>
      </c>
      <c r="H4031">
        <v>44766.53</v>
      </c>
      <c r="I4031">
        <v>7382.68</v>
      </c>
      <c r="J4031" t="s">
        <v>47</v>
      </c>
      <c r="K4031" t="s">
        <v>23</v>
      </c>
      <c r="L4031">
        <f t="shared" si="186"/>
        <v>2023</v>
      </c>
      <c r="M4031" t="str">
        <f t="shared" si="187"/>
        <v>Aug</v>
      </c>
      <c r="N4031" s="2">
        <f t="shared" si="188"/>
        <v>0.16491517211631102</v>
      </c>
    </row>
    <row r="4032" spans="1:14" x14ac:dyDescent="0.45">
      <c r="A4032" t="s">
        <v>7310</v>
      </c>
      <c r="B4032" s="1">
        <v>44647</v>
      </c>
      <c r="C4032" t="s">
        <v>7311</v>
      </c>
      <c r="D4032" t="s">
        <v>56</v>
      </c>
      <c r="E4032" t="s">
        <v>20</v>
      </c>
      <c r="F4032" t="s">
        <v>21</v>
      </c>
      <c r="G4032">
        <v>4</v>
      </c>
      <c r="H4032">
        <v>32731.49</v>
      </c>
      <c r="I4032">
        <v>7940.48</v>
      </c>
      <c r="J4032" t="s">
        <v>16</v>
      </c>
      <c r="K4032" t="s">
        <v>23</v>
      </c>
      <c r="L4032">
        <f t="shared" si="186"/>
        <v>2022</v>
      </c>
      <c r="M4032" t="str">
        <f t="shared" si="187"/>
        <v>Mar</v>
      </c>
      <c r="N4032" s="2">
        <f t="shared" si="188"/>
        <v>0.24259451677879618</v>
      </c>
    </row>
    <row r="4033" spans="1:14" x14ac:dyDescent="0.45">
      <c r="A4033" t="s">
        <v>7312</v>
      </c>
      <c r="B4033" s="1">
        <v>45337</v>
      </c>
      <c r="C4033" t="s">
        <v>7313</v>
      </c>
      <c r="D4033" t="s">
        <v>26</v>
      </c>
      <c r="E4033" t="s">
        <v>36</v>
      </c>
      <c r="F4033" t="s">
        <v>64</v>
      </c>
      <c r="G4033">
        <v>1</v>
      </c>
      <c r="H4033">
        <v>25904.49</v>
      </c>
      <c r="I4033">
        <v>4849.76</v>
      </c>
      <c r="J4033" t="s">
        <v>71</v>
      </c>
      <c r="K4033" t="s">
        <v>23</v>
      </c>
      <c r="L4033">
        <f t="shared" si="186"/>
        <v>2024</v>
      </c>
      <c r="M4033" t="str">
        <f t="shared" si="187"/>
        <v>Feb</v>
      </c>
      <c r="N4033" s="2">
        <f t="shared" si="188"/>
        <v>0.18721696508983576</v>
      </c>
    </row>
    <row r="4034" spans="1:14" x14ac:dyDescent="0.45">
      <c r="A4034" t="s">
        <v>7314</v>
      </c>
      <c r="B4034" s="1">
        <v>45425</v>
      </c>
      <c r="C4034" t="s">
        <v>7315</v>
      </c>
      <c r="D4034" t="s">
        <v>56</v>
      </c>
      <c r="E4034" t="s">
        <v>20</v>
      </c>
      <c r="F4034" t="s">
        <v>21</v>
      </c>
      <c r="G4034">
        <v>3</v>
      </c>
      <c r="H4034">
        <v>29737.02</v>
      </c>
      <c r="I4034">
        <v>4978.57</v>
      </c>
      <c r="J4034" t="s">
        <v>47</v>
      </c>
      <c r="K4034" t="s">
        <v>29</v>
      </c>
      <c r="L4034">
        <f t="shared" si="186"/>
        <v>2024</v>
      </c>
      <c r="M4034" t="str">
        <f t="shared" si="187"/>
        <v>May</v>
      </c>
      <c r="N4034" s="2">
        <f t="shared" si="188"/>
        <v>0.16741993649666306</v>
      </c>
    </row>
    <row r="4035" spans="1:14" x14ac:dyDescent="0.45">
      <c r="A4035" t="s">
        <v>7316</v>
      </c>
      <c r="B4035" s="1">
        <v>44745</v>
      </c>
      <c r="C4035" t="s">
        <v>4974</v>
      </c>
      <c r="D4035" t="s">
        <v>26</v>
      </c>
      <c r="E4035" t="s">
        <v>14</v>
      </c>
      <c r="F4035" t="s">
        <v>32</v>
      </c>
      <c r="G4035">
        <v>4</v>
      </c>
      <c r="H4035">
        <v>7747.7</v>
      </c>
      <c r="I4035">
        <v>874.56</v>
      </c>
      <c r="J4035" t="s">
        <v>16</v>
      </c>
      <c r="K4035" t="s">
        <v>17</v>
      </c>
      <c r="L4035">
        <f t="shared" ref="L4035:L4098" si="189">YEAR(B4035 )</f>
        <v>2022</v>
      </c>
      <c r="M4035" t="str">
        <f t="shared" ref="M4035:M4098" si="190">TEXT(B4035,"MMM")</f>
        <v>Jul</v>
      </c>
      <c r="N4035" s="2">
        <f t="shared" ref="N4035:N4098" si="191">I4035 / H4035</f>
        <v>0.11287995146946836</v>
      </c>
    </row>
    <row r="4036" spans="1:14" x14ac:dyDescent="0.45">
      <c r="A4036" t="s">
        <v>7317</v>
      </c>
      <c r="B4036" s="1">
        <v>44569</v>
      </c>
      <c r="C4036" t="s">
        <v>7318</v>
      </c>
      <c r="D4036" t="s">
        <v>13</v>
      </c>
      <c r="E4036" t="s">
        <v>20</v>
      </c>
      <c r="F4036" t="s">
        <v>50</v>
      </c>
      <c r="G4036">
        <v>5</v>
      </c>
      <c r="H4036">
        <v>29964.17</v>
      </c>
      <c r="I4036">
        <v>6107.52</v>
      </c>
      <c r="J4036" t="s">
        <v>22</v>
      </c>
      <c r="K4036" t="s">
        <v>33</v>
      </c>
      <c r="L4036">
        <f t="shared" si="189"/>
        <v>2022</v>
      </c>
      <c r="M4036" t="str">
        <f t="shared" si="190"/>
        <v>Jan</v>
      </c>
      <c r="N4036" s="2">
        <f t="shared" si="191"/>
        <v>0.20382743790333591</v>
      </c>
    </row>
    <row r="4037" spans="1:14" x14ac:dyDescent="0.45">
      <c r="A4037" t="s">
        <v>7319</v>
      </c>
      <c r="B4037" s="1">
        <v>44978</v>
      </c>
      <c r="C4037" t="s">
        <v>7320</v>
      </c>
      <c r="D4037" t="s">
        <v>13</v>
      </c>
      <c r="E4037" t="s">
        <v>14</v>
      </c>
      <c r="F4037" t="s">
        <v>15</v>
      </c>
      <c r="G4037">
        <v>5</v>
      </c>
      <c r="H4037">
        <v>26274.15</v>
      </c>
      <c r="I4037">
        <v>2788.45</v>
      </c>
      <c r="J4037" t="s">
        <v>47</v>
      </c>
      <c r="K4037" t="s">
        <v>29</v>
      </c>
      <c r="L4037">
        <f t="shared" si="189"/>
        <v>2023</v>
      </c>
      <c r="M4037" t="str">
        <f t="shared" si="190"/>
        <v>Feb</v>
      </c>
      <c r="N4037" s="2">
        <f t="shared" si="191"/>
        <v>0.10612902796094259</v>
      </c>
    </row>
    <row r="4038" spans="1:14" x14ac:dyDescent="0.45">
      <c r="A4038" t="s">
        <v>7321</v>
      </c>
      <c r="B4038" s="1">
        <v>45170</v>
      </c>
      <c r="C4038" t="s">
        <v>881</v>
      </c>
      <c r="D4038" t="s">
        <v>26</v>
      </c>
      <c r="E4038" t="s">
        <v>20</v>
      </c>
      <c r="F4038" t="s">
        <v>27</v>
      </c>
      <c r="G4038">
        <v>3</v>
      </c>
      <c r="H4038">
        <v>3933.9</v>
      </c>
      <c r="I4038">
        <v>543.36</v>
      </c>
      <c r="J4038" t="s">
        <v>28</v>
      </c>
      <c r="K4038" t="s">
        <v>17</v>
      </c>
      <c r="L4038">
        <f t="shared" si="189"/>
        <v>2023</v>
      </c>
      <c r="M4038" t="str">
        <f t="shared" si="190"/>
        <v>Sep</v>
      </c>
      <c r="N4038" s="2">
        <f t="shared" si="191"/>
        <v>0.13812247388088156</v>
      </c>
    </row>
    <row r="4039" spans="1:14" x14ac:dyDescent="0.45">
      <c r="A4039" t="s">
        <v>7322</v>
      </c>
      <c r="B4039" s="1">
        <v>45282</v>
      </c>
      <c r="C4039" t="s">
        <v>7323</v>
      </c>
      <c r="D4039" t="s">
        <v>13</v>
      </c>
      <c r="E4039" t="s">
        <v>36</v>
      </c>
      <c r="F4039" t="s">
        <v>37</v>
      </c>
      <c r="G4039">
        <v>1</v>
      </c>
      <c r="H4039">
        <v>29930.32</v>
      </c>
      <c r="I4039">
        <v>3899.44</v>
      </c>
      <c r="J4039" t="s">
        <v>28</v>
      </c>
      <c r="K4039" t="s">
        <v>33</v>
      </c>
      <c r="L4039">
        <f t="shared" si="189"/>
        <v>2023</v>
      </c>
      <c r="M4039" t="str">
        <f t="shared" si="190"/>
        <v>Dec</v>
      </c>
      <c r="N4039" s="2">
        <f t="shared" si="191"/>
        <v>0.13028393949680458</v>
      </c>
    </row>
    <row r="4040" spans="1:14" x14ac:dyDescent="0.45">
      <c r="A4040" t="s">
        <v>7324</v>
      </c>
      <c r="B4040" s="1">
        <v>45379</v>
      </c>
      <c r="C4040" t="s">
        <v>7325</v>
      </c>
      <c r="D4040" t="s">
        <v>56</v>
      </c>
      <c r="E4040" t="s">
        <v>14</v>
      </c>
      <c r="F4040" t="s">
        <v>40</v>
      </c>
      <c r="G4040">
        <v>3</v>
      </c>
      <c r="H4040">
        <v>14524.39</v>
      </c>
      <c r="I4040">
        <v>1398.05</v>
      </c>
      <c r="J4040" t="s">
        <v>47</v>
      </c>
      <c r="K4040" t="s">
        <v>29</v>
      </c>
      <c r="L4040">
        <f t="shared" si="189"/>
        <v>2024</v>
      </c>
      <c r="M4040" t="str">
        <f t="shared" si="190"/>
        <v>Mar</v>
      </c>
      <c r="N4040" s="2">
        <f t="shared" si="191"/>
        <v>9.6255333270450605E-2</v>
      </c>
    </row>
    <row r="4041" spans="1:14" x14ac:dyDescent="0.45">
      <c r="A4041" t="s">
        <v>7326</v>
      </c>
      <c r="B4041" s="1">
        <v>45088</v>
      </c>
      <c r="C4041" t="s">
        <v>712</v>
      </c>
      <c r="D4041" t="s">
        <v>26</v>
      </c>
      <c r="E4041" t="s">
        <v>14</v>
      </c>
      <c r="F4041" t="s">
        <v>57</v>
      </c>
      <c r="G4041">
        <v>5</v>
      </c>
      <c r="H4041">
        <v>38398.6</v>
      </c>
      <c r="I4041">
        <v>7675.62</v>
      </c>
      <c r="J4041" t="s">
        <v>47</v>
      </c>
      <c r="K4041" t="s">
        <v>17</v>
      </c>
      <c r="L4041">
        <f t="shared" si="189"/>
        <v>2023</v>
      </c>
      <c r="M4041" t="str">
        <f t="shared" si="190"/>
        <v>Jun</v>
      </c>
      <c r="N4041" s="2">
        <f t="shared" si="191"/>
        <v>0.19989322527383813</v>
      </c>
    </row>
    <row r="4042" spans="1:14" x14ac:dyDescent="0.45">
      <c r="A4042" t="s">
        <v>7327</v>
      </c>
      <c r="B4042" s="1">
        <v>44943</v>
      </c>
      <c r="C4042" t="s">
        <v>7328</v>
      </c>
      <c r="D4042" t="s">
        <v>13</v>
      </c>
      <c r="E4042" t="s">
        <v>20</v>
      </c>
      <c r="F4042" t="s">
        <v>43</v>
      </c>
      <c r="G4042">
        <v>2</v>
      </c>
      <c r="H4042">
        <v>21437.03</v>
      </c>
      <c r="I4042">
        <v>3253.36</v>
      </c>
      <c r="J4042" t="s">
        <v>47</v>
      </c>
      <c r="K4042" t="s">
        <v>17</v>
      </c>
      <c r="L4042">
        <f t="shared" si="189"/>
        <v>2023</v>
      </c>
      <c r="M4042" t="str">
        <f t="shared" si="190"/>
        <v>Jan</v>
      </c>
      <c r="N4042" s="2">
        <f t="shared" si="191"/>
        <v>0.15176356053053994</v>
      </c>
    </row>
    <row r="4043" spans="1:14" x14ac:dyDescent="0.45">
      <c r="A4043" t="s">
        <v>7329</v>
      </c>
      <c r="B4043" s="1">
        <v>45112</v>
      </c>
      <c r="C4043" t="s">
        <v>7330</v>
      </c>
      <c r="D4043" t="s">
        <v>56</v>
      </c>
      <c r="E4043" t="s">
        <v>36</v>
      </c>
      <c r="F4043" t="s">
        <v>37</v>
      </c>
      <c r="G4043">
        <v>2</v>
      </c>
      <c r="H4043">
        <v>44893.38</v>
      </c>
      <c r="I4043">
        <v>9052.43</v>
      </c>
      <c r="J4043" t="s">
        <v>28</v>
      </c>
      <c r="K4043" t="s">
        <v>23</v>
      </c>
      <c r="L4043">
        <f t="shared" si="189"/>
        <v>2023</v>
      </c>
      <c r="M4043" t="str">
        <f t="shared" si="190"/>
        <v>Jul</v>
      </c>
      <c r="N4043" s="2">
        <f t="shared" si="191"/>
        <v>0.20164287028510663</v>
      </c>
    </row>
    <row r="4044" spans="1:14" x14ac:dyDescent="0.45">
      <c r="A4044" t="s">
        <v>7331</v>
      </c>
      <c r="B4044" s="1">
        <v>44929</v>
      </c>
      <c r="C4044" t="s">
        <v>7332</v>
      </c>
      <c r="D4044" t="s">
        <v>13</v>
      </c>
      <c r="E4044" t="s">
        <v>14</v>
      </c>
      <c r="F4044" t="s">
        <v>32</v>
      </c>
      <c r="G4044">
        <v>3</v>
      </c>
      <c r="H4044">
        <v>27101.7</v>
      </c>
      <c r="I4044">
        <v>2734.17</v>
      </c>
      <c r="J4044" t="s">
        <v>28</v>
      </c>
      <c r="K4044" t="s">
        <v>29</v>
      </c>
      <c r="L4044">
        <f t="shared" si="189"/>
        <v>2023</v>
      </c>
      <c r="M4044" t="str">
        <f t="shared" si="190"/>
        <v>Jan</v>
      </c>
      <c r="N4044" s="2">
        <f t="shared" si="191"/>
        <v>0.10088555330477424</v>
      </c>
    </row>
    <row r="4045" spans="1:14" x14ac:dyDescent="0.45">
      <c r="A4045" t="s">
        <v>7333</v>
      </c>
      <c r="B4045" s="1">
        <v>44631</v>
      </c>
      <c r="C4045" t="s">
        <v>6662</v>
      </c>
      <c r="D4045" t="s">
        <v>56</v>
      </c>
      <c r="E4045" t="s">
        <v>20</v>
      </c>
      <c r="F4045" t="s">
        <v>21</v>
      </c>
      <c r="G4045">
        <v>1</v>
      </c>
      <c r="H4045">
        <v>31397.81</v>
      </c>
      <c r="I4045">
        <v>2063.42</v>
      </c>
      <c r="J4045" t="s">
        <v>71</v>
      </c>
      <c r="K4045" t="s">
        <v>29</v>
      </c>
      <c r="L4045">
        <f t="shared" si="189"/>
        <v>2022</v>
      </c>
      <c r="M4045" t="str">
        <f t="shared" si="190"/>
        <v>Mar</v>
      </c>
      <c r="N4045" s="2">
        <f t="shared" si="191"/>
        <v>6.5718596297002885E-2</v>
      </c>
    </row>
    <row r="4046" spans="1:14" x14ac:dyDescent="0.45">
      <c r="A4046" t="s">
        <v>7334</v>
      </c>
      <c r="B4046" s="1">
        <v>45121</v>
      </c>
      <c r="C4046" t="s">
        <v>1370</v>
      </c>
      <c r="D4046" t="s">
        <v>13</v>
      </c>
      <c r="E4046" t="s">
        <v>36</v>
      </c>
      <c r="F4046" t="s">
        <v>37</v>
      </c>
      <c r="G4046">
        <v>3</v>
      </c>
      <c r="H4046">
        <v>26731.57</v>
      </c>
      <c r="I4046">
        <v>2700.74</v>
      </c>
      <c r="J4046" t="s">
        <v>22</v>
      </c>
      <c r="K4046" t="s">
        <v>29</v>
      </c>
      <c r="L4046">
        <f t="shared" si="189"/>
        <v>2023</v>
      </c>
      <c r="M4046" t="str">
        <f t="shared" si="190"/>
        <v>Jul</v>
      </c>
      <c r="N4046" s="2">
        <f t="shared" si="191"/>
        <v>0.10103185110339571</v>
      </c>
    </row>
    <row r="4047" spans="1:14" x14ac:dyDescent="0.45">
      <c r="A4047" t="s">
        <v>7335</v>
      </c>
      <c r="B4047" s="1">
        <v>45366</v>
      </c>
      <c r="C4047" t="s">
        <v>7336</v>
      </c>
      <c r="D4047" t="s">
        <v>56</v>
      </c>
      <c r="E4047" t="s">
        <v>14</v>
      </c>
      <c r="F4047" t="s">
        <v>32</v>
      </c>
      <c r="G4047">
        <v>4</v>
      </c>
      <c r="H4047">
        <v>12326.19</v>
      </c>
      <c r="I4047">
        <v>1715.02</v>
      </c>
      <c r="J4047" t="s">
        <v>22</v>
      </c>
      <c r="K4047" t="s">
        <v>17</v>
      </c>
      <c r="L4047">
        <f t="shared" si="189"/>
        <v>2024</v>
      </c>
      <c r="M4047" t="str">
        <f t="shared" si="190"/>
        <v>Mar</v>
      </c>
      <c r="N4047" s="2">
        <f t="shared" si="191"/>
        <v>0.1391362618943891</v>
      </c>
    </row>
    <row r="4048" spans="1:14" x14ac:dyDescent="0.45">
      <c r="A4048" t="s">
        <v>7337</v>
      </c>
      <c r="B4048" s="1">
        <v>45274</v>
      </c>
      <c r="C4048" t="s">
        <v>7338</v>
      </c>
      <c r="D4048" t="s">
        <v>26</v>
      </c>
      <c r="E4048" t="s">
        <v>20</v>
      </c>
      <c r="F4048" t="s">
        <v>50</v>
      </c>
      <c r="G4048">
        <v>1</v>
      </c>
      <c r="H4048">
        <v>47751.81</v>
      </c>
      <c r="I4048">
        <v>11387.69</v>
      </c>
      <c r="J4048" t="s">
        <v>47</v>
      </c>
      <c r="K4048" t="s">
        <v>33</v>
      </c>
      <c r="L4048">
        <f t="shared" si="189"/>
        <v>2023</v>
      </c>
      <c r="M4048" t="str">
        <f t="shared" si="190"/>
        <v>Dec</v>
      </c>
      <c r="N4048" s="2">
        <f t="shared" si="191"/>
        <v>0.23847661481313484</v>
      </c>
    </row>
    <row r="4049" spans="1:14" x14ac:dyDescent="0.45">
      <c r="A4049" t="s">
        <v>7339</v>
      </c>
      <c r="B4049" s="1">
        <v>45258</v>
      </c>
      <c r="C4049" t="s">
        <v>7340</v>
      </c>
      <c r="D4049" t="s">
        <v>26</v>
      </c>
      <c r="E4049" t="s">
        <v>20</v>
      </c>
      <c r="F4049" t="s">
        <v>21</v>
      </c>
      <c r="G4049">
        <v>2</v>
      </c>
      <c r="H4049">
        <v>38558.379999999997</v>
      </c>
      <c r="I4049">
        <v>6008.26</v>
      </c>
      <c r="J4049" t="s">
        <v>16</v>
      </c>
      <c r="K4049" t="s">
        <v>33</v>
      </c>
      <c r="L4049">
        <f t="shared" si="189"/>
        <v>2023</v>
      </c>
      <c r="M4049" t="str">
        <f t="shared" si="190"/>
        <v>Nov</v>
      </c>
      <c r="N4049" s="2">
        <f t="shared" si="191"/>
        <v>0.15582241785054249</v>
      </c>
    </row>
    <row r="4050" spans="1:14" x14ac:dyDescent="0.45">
      <c r="A4050" t="s">
        <v>7341</v>
      </c>
      <c r="B4050" s="1">
        <v>45037</v>
      </c>
      <c r="C4050" t="s">
        <v>5781</v>
      </c>
      <c r="D4050" t="s">
        <v>56</v>
      </c>
      <c r="E4050" t="s">
        <v>20</v>
      </c>
      <c r="F4050" t="s">
        <v>21</v>
      </c>
      <c r="G4050">
        <v>4</v>
      </c>
      <c r="H4050">
        <v>2880.05</v>
      </c>
      <c r="I4050">
        <v>226.41</v>
      </c>
      <c r="J4050" t="s">
        <v>28</v>
      </c>
      <c r="K4050" t="s">
        <v>17</v>
      </c>
      <c r="L4050">
        <f t="shared" si="189"/>
        <v>2023</v>
      </c>
      <c r="M4050" t="str">
        <f t="shared" si="190"/>
        <v>Apr</v>
      </c>
      <c r="N4050" s="2">
        <f t="shared" si="191"/>
        <v>7.8613218520511785E-2</v>
      </c>
    </row>
    <row r="4051" spans="1:14" x14ac:dyDescent="0.45">
      <c r="A4051" t="s">
        <v>7342</v>
      </c>
      <c r="B4051" s="1">
        <v>45607</v>
      </c>
      <c r="C4051" t="s">
        <v>7343</v>
      </c>
      <c r="D4051" t="s">
        <v>56</v>
      </c>
      <c r="E4051" t="s">
        <v>36</v>
      </c>
      <c r="F4051" t="s">
        <v>53</v>
      </c>
      <c r="G4051">
        <v>2</v>
      </c>
      <c r="H4051">
        <v>8280.02</v>
      </c>
      <c r="I4051">
        <v>1614.61</v>
      </c>
      <c r="J4051" t="s">
        <v>22</v>
      </c>
      <c r="K4051" t="s">
        <v>33</v>
      </c>
      <c r="L4051">
        <f t="shared" si="189"/>
        <v>2024</v>
      </c>
      <c r="M4051" t="str">
        <f t="shared" si="190"/>
        <v>Nov</v>
      </c>
      <c r="N4051" s="2">
        <f t="shared" si="191"/>
        <v>0.19500073671319632</v>
      </c>
    </row>
    <row r="4052" spans="1:14" x14ac:dyDescent="0.45">
      <c r="A4052" t="s">
        <v>7344</v>
      </c>
      <c r="B4052" s="1">
        <v>45343</v>
      </c>
      <c r="C4052" t="s">
        <v>7345</v>
      </c>
      <c r="D4052" t="s">
        <v>26</v>
      </c>
      <c r="E4052" t="s">
        <v>36</v>
      </c>
      <c r="F4052" t="s">
        <v>64</v>
      </c>
      <c r="G4052">
        <v>1</v>
      </c>
      <c r="H4052">
        <v>6795.33</v>
      </c>
      <c r="I4052">
        <v>1139.69</v>
      </c>
      <c r="J4052" t="s">
        <v>28</v>
      </c>
      <c r="K4052" t="s">
        <v>29</v>
      </c>
      <c r="L4052">
        <f t="shared" si="189"/>
        <v>2024</v>
      </c>
      <c r="M4052" t="str">
        <f t="shared" si="190"/>
        <v>Feb</v>
      </c>
      <c r="N4052" s="2">
        <f t="shared" si="191"/>
        <v>0.1677166524657375</v>
      </c>
    </row>
    <row r="4053" spans="1:14" x14ac:dyDescent="0.45">
      <c r="A4053" t="s">
        <v>7346</v>
      </c>
      <c r="B4053" s="1">
        <v>44641</v>
      </c>
      <c r="C4053" t="s">
        <v>7347</v>
      </c>
      <c r="D4053" t="s">
        <v>26</v>
      </c>
      <c r="E4053" t="s">
        <v>20</v>
      </c>
      <c r="F4053" t="s">
        <v>21</v>
      </c>
      <c r="G4053">
        <v>2</v>
      </c>
      <c r="H4053">
        <v>28704.880000000001</v>
      </c>
      <c r="I4053">
        <v>5331.44</v>
      </c>
      <c r="J4053" t="s">
        <v>28</v>
      </c>
      <c r="K4053" t="s">
        <v>29</v>
      </c>
      <c r="L4053">
        <f t="shared" si="189"/>
        <v>2022</v>
      </c>
      <c r="M4053" t="str">
        <f t="shared" si="190"/>
        <v>Mar</v>
      </c>
      <c r="N4053" s="2">
        <f t="shared" si="191"/>
        <v>0.18573287886937689</v>
      </c>
    </row>
    <row r="4054" spans="1:14" x14ac:dyDescent="0.45">
      <c r="A4054" t="s">
        <v>7348</v>
      </c>
      <c r="B4054" s="1">
        <v>45594</v>
      </c>
      <c r="C4054" t="s">
        <v>4261</v>
      </c>
      <c r="D4054" t="s">
        <v>26</v>
      </c>
      <c r="E4054" t="s">
        <v>14</v>
      </c>
      <c r="F4054" t="s">
        <v>32</v>
      </c>
      <c r="G4054">
        <v>1</v>
      </c>
      <c r="H4054">
        <v>11964.68</v>
      </c>
      <c r="I4054">
        <v>913.38</v>
      </c>
      <c r="J4054" t="s">
        <v>16</v>
      </c>
      <c r="K4054" t="s">
        <v>17</v>
      </c>
      <c r="L4054">
        <f t="shared" si="189"/>
        <v>2024</v>
      </c>
      <c r="M4054" t="str">
        <f t="shared" si="190"/>
        <v>Oct</v>
      </c>
      <c r="N4054" s="2">
        <f t="shared" si="191"/>
        <v>7.6339693163544692E-2</v>
      </c>
    </row>
    <row r="4055" spans="1:14" x14ac:dyDescent="0.45">
      <c r="A4055" t="s">
        <v>7349</v>
      </c>
      <c r="B4055" s="1">
        <v>44856</v>
      </c>
      <c r="C4055" t="s">
        <v>7350</v>
      </c>
      <c r="D4055" t="s">
        <v>56</v>
      </c>
      <c r="E4055" t="s">
        <v>36</v>
      </c>
      <c r="F4055" t="s">
        <v>46</v>
      </c>
      <c r="G4055">
        <v>2</v>
      </c>
      <c r="H4055">
        <v>36532</v>
      </c>
      <c r="I4055">
        <v>4539.41</v>
      </c>
      <c r="J4055" t="s">
        <v>28</v>
      </c>
      <c r="K4055" t="s">
        <v>33</v>
      </c>
      <c r="L4055">
        <f t="shared" si="189"/>
        <v>2022</v>
      </c>
      <c r="M4055" t="str">
        <f t="shared" si="190"/>
        <v>Oct</v>
      </c>
      <c r="N4055" s="2">
        <f t="shared" si="191"/>
        <v>0.12425845833789553</v>
      </c>
    </row>
    <row r="4056" spans="1:14" x14ac:dyDescent="0.45">
      <c r="A4056" t="s">
        <v>7351</v>
      </c>
      <c r="B4056" s="1">
        <v>44783</v>
      </c>
      <c r="C4056" t="s">
        <v>7352</v>
      </c>
      <c r="D4056" t="s">
        <v>13</v>
      </c>
      <c r="E4056" t="s">
        <v>20</v>
      </c>
      <c r="F4056" t="s">
        <v>50</v>
      </c>
      <c r="G4056">
        <v>1</v>
      </c>
      <c r="H4056">
        <v>22675.17</v>
      </c>
      <c r="I4056">
        <v>3452.23</v>
      </c>
      <c r="J4056" t="s">
        <v>28</v>
      </c>
      <c r="K4056" t="s">
        <v>33</v>
      </c>
      <c r="L4056">
        <f t="shared" si="189"/>
        <v>2022</v>
      </c>
      <c r="M4056" t="str">
        <f t="shared" si="190"/>
        <v>Aug</v>
      </c>
      <c r="N4056" s="2">
        <f t="shared" si="191"/>
        <v>0.15224714963548236</v>
      </c>
    </row>
    <row r="4057" spans="1:14" x14ac:dyDescent="0.45">
      <c r="A4057" t="s">
        <v>7353</v>
      </c>
      <c r="B4057" s="1">
        <v>45217</v>
      </c>
      <c r="C4057" t="s">
        <v>7354</v>
      </c>
      <c r="D4057" t="s">
        <v>56</v>
      </c>
      <c r="E4057" t="s">
        <v>14</v>
      </c>
      <c r="F4057" t="s">
        <v>32</v>
      </c>
      <c r="G4057">
        <v>1</v>
      </c>
      <c r="H4057">
        <v>1532.84</v>
      </c>
      <c r="I4057">
        <v>228.51</v>
      </c>
      <c r="J4057" t="s">
        <v>71</v>
      </c>
      <c r="K4057" t="s">
        <v>17</v>
      </c>
      <c r="L4057">
        <f t="shared" si="189"/>
        <v>2023</v>
      </c>
      <c r="M4057" t="str">
        <f t="shared" si="190"/>
        <v>Oct</v>
      </c>
      <c r="N4057" s="2">
        <f t="shared" si="191"/>
        <v>0.14907622452441222</v>
      </c>
    </row>
    <row r="4058" spans="1:14" x14ac:dyDescent="0.45">
      <c r="A4058" t="s">
        <v>7355</v>
      </c>
      <c r="B4058" s="1">
        <v>45356</v>
      </c>
      <c r="C4058" t="s">
        <v>7356</v>
      </c>
      <c r="D4058" t="s">
        <v>56</v>
      </c>
      <c r="E4058" t="s">
        <v>14</v>
      </c>
      <c r="F4058" t="s">
        <v>40</v>
      </c>
      <c r="G4058">
        <v>3</v>
      </c>
      <c r="H4058">
        <v>36019.83</v>
      </c>
      <c r="I4058">
        <v>8682.57</v>
      </c>
      <c r="J4058" t="s">
        <v>22</v>
      </c>
      <c r="K4058" t="s">
        <v>29</v>
      </c>
      <c r="L4058">
        <f t="shared" si="189"/>
        <v>2024</v>
      </c>
      <c r="M4058" t="str">
        <f t="shared" si="190"/>
        <v>Mar</v>
      </c>
      <c r="N4058" s="2">
        <f t="shared" si="191"/>
        <v>0.24104972177825379</v>
      </c>
    </row>
    <row r="4059" spans="1:14" x14ac:dyDescent="0.45">
      <c r="A4059" t="s">
        <v>7357</v>
      </c>
      <c r="B4059" s="1">
        <v>45275</v>
      </c>
      <c r="C4059" t="s">
        <v>7358</v>
      </c>
      <c r="D4059" t="s">
        <v>56</v>
      </c>
      <c r="E4059" t="s">
        <v>20</v>
      </c>
      <c r="F4059" t="s">
        <v>50</v>
      </c>
      <c r="G4059">
        <v>2</v>
      </c>
      <c r="H4059">
        <v>29081.35</v>
      </c>
      <c r="I4059">
        <v>1592.16</v>
      </c>
      <c r="J4059" t="s">
        <v>16</v>
      </c>
      <c r="K4059" t="s">
        <v>29</v>
      </c>
      <c r="L4059">
        <f t="shared" si="189"/>
        <v>2023</v>
      </c>
      <c r="M4059" t="str">
        <f t="shared" si="190"/>
        <v>Dec</v>
      </c>
      <c r="N4059" s="2">
        <f t="shared" si="191"/>
        <v>5.4748490011639769E-2</v>
      </c>
    </row>
    <row r="4060" spans="1:14" x14ac:dyDescent="0.45">
      <c r="A4060" t="s">
        <v>7359</v>
      </c>
      <c r="B4060" s="1">
        <v>44861</v>
      </c>
      <c r="C4060" t="s">
        <v>1024</v>
      </c>
      <c r="D4060" t="s">
        <v>13</v>
      </c>
      <c r="E4060" t="s">
        <v>20</v>
      </c>
      <c r="F4060" t="s">
        <v>21</v>
      </c>
      <c r="G4060">
        <v>3</v>
      </c>
      <c r="H4060">
        <v>34186.660000000003</v>
      </c>
      <c r="I4060">
        <v>4024.28</v>
      </c>
      <c r="J4060" t="s">
        <v>22</v>
      </c>
      <c r="K4060" t="s">
        <v>29</v>
      </c>
      <c r="L4060">
        <f t="shared" si="189"/>
        <v>2022</v>
      </c>
      <c r="M4060" t="str">
        <f t="shared" si="190"/>
        <v>Oct</v>
      </c>
      <c r="N4060" s="2">
        <f t="shared" si="191"/>
        <v>0.11771492155127175</v>
      </c>
    </row>
    <row r="4061" spans="1:14" x14ac:dyDescent="0.45">
      <c r="A4061" t="s">
        <v>7360</v>
      </c>
      <c r="B4061" s="1">
        <v>44833</v>
      </c>
      <c r="C4061" t="s">
        <v>7361</v>
      </c>
      <c r="D4061" t="s">
        <v>26</v>
      </c>
      <c r="E4061" t="s">
        <v>36</v>
      </c>
      <c r="F4061" t="s">
        <v>64</v>
      </c>
      <c r="G4061">
        <v>5</v>
      </c>
      <c r="H4061">
        <v>19628.25</v>
      </c>
      <c r="I4061">
        <v>2734.76</v>
      </c>
      <c r="J4061" t="s">
        <v>16</v>
      </c>
      <c r="K4061" t="s">
        <v>23</v>
      </c>
      <c r="L4061">
        <f t="shared" si="189"/>
        <v>2022</v>
      </c>
      <c r="M4061" t="str">
        <f t="shared" si="190"/>
        <v>Sep</v>
      </c>
      <c r="N4061" s="2">
        <f t="shared" si="191"/>
        <v>0.13932775463935909</v>
      </c>
    </row>
    <row r="4062" spans="1:14" x14ac:dyDescent="0.45">
      <c r="A4062" t="s">
        <v>7362</v>
      </c>
      <c r="B4062" s="1">
        <v>45492</v>
      </c>
      <c r="C4062" t="s">
        <v>612</v>
      </c>
      <c r="D4062" t="s">
        <v>26</v>
      </c>
      <c r="E4062" t="s">
        <v>36</v>
      </c>
      <c r="F4062" t="s">
        <v>37</v>
      </c>
      <c r="G4062">
        <v>4</v>
      </c>
      <c r="H4062">
        <v>28144.080000000002</v>
      </c>
      <c r="I4062">
        <v>6747.41</v>
      </c>
      <c r="J4062" t="s">
        <v>16</v>
      </c>
      <c r="K4062" t="s">
        <v>33</v>
      </c>
      <c r="L4062">
        <f t="shared" si="189"/>
        <v>2024</v>
      </c>
      <c r="M4062" t="str">
        <f t="shared" si="190"/>
        <v>Jul</v>
      </c>
      <c r="N4062" s="2">
        <f t="shared" si="191"/>
        <v>0.23974526792135326</v>
      </c>
    </row>
    <row r="4063" spans="1:14" x14ac:dyDescent="0.45">
      <c r="A4063" t="s">
        <v>7363</v>
      </c>
      <c r="B4063" s="1">
        <v>45233</v>
      </c>
      <c r="C4063" t="s">
        <v>3563</v>
      </c>
      <c r="D4063" t="s">
        <v>13</v>
      </c>
      <c r="E4063" t="s">
        <v>14</v>
      </c>
      <c r="F4063" t="s">
        <v>40</v>
      </c>
      <c r="G4063">
        <v>4</v>
      </c>
      <c r="H4063">
        <v>21648.11</v>
      </c>
      <c r="I4063">
        <v>4095.54</v>
      </c>
      <c r="J4063" t="s">
        <v>47</v>
      </c>
      <c r="K4063" t="s">
        <v>23</v>
      </c>
      <c r="L4063">
        <f t="shared" si="189"/>
        <v>2023</v>
      </c>
      <c r="M4063" t="str">
        <f t="shared" si="190"/>
        <v>Nov</v>
      </c>
      <c r="N4063" s="2">
        <f t="shared" si="191"/>
        <v>0.18918695442696845</v>
      </c>
    </row>
    <row r="4064" spans="1:14" x14ac:dyDescent="0.45">
      <c r="A4064" t="s">
        <v>7364</v>
      </c>
      <c r="B4064" s="1">
        <v>45538</v>
      </c>
      <c r="C4064" t="s">
        <v>7365</v>
      </c>
      <c r="D4064" t="s">
        <v>26</v>
      </c>
      <c r="E4064" t="s">
        <v>14</v>
      </c>
      <c r="F4064" t="s">
        <v>40</v>
      </c>
      <c r="G4064">
        <v>5</v>
      </c>
      <c r="H4064">
        <v>6277.68</v>
      </c>
      <c r="I4064">
        <v>788.84</v>
      </c>
      <c r="J4064" t="s">
        <v>28</v>
      </c>
      <c r="K4064" t="s">
        <v>17</v>
      </c>
      <c r="L4064">
        <f t="shared" si="189"/>
        <v>2024</v>
      </c>
      <c r="M4064" t="str">
        <f t="shared" si="190"/>
        <v>Sep</v>
      </c>
      <c r="N4064" s="2">
        <f t="shared" si="191"/>
        <v>0.12565788635292019</v>
      </c>
    </row>
    <row r="4065" spans="1:14" x14ac:dyDescent="0.45">
      <c r="A4065" t="s">
        <v>7366</v>
      </c>
      <c r="B4065" s="1">
        <v>45103</v>
      </c>
      <c r="C4065" t="s">
        <v>7358</v>
      </c>
      <c r="D4065" t="s">
        <v>13</v>
      </c>
      <c r="E4065" t="s">
        <v>20</v>
      </c>
      <c r="F4065" t="s">
        <v>27</v>
      </c>
      <c r="G4065">
        <v>2</v>
      </c>
      <c r="H4065">
        <v>41352.61</v>
      </c>
      <c r="I4065">
        <v>5675.6</v>
      </c>
      <c r="J4065" t="s">
        <v>71</v>
      </c>
      <c r="K4065" t="s">
        <v>17</v>
      </c>
      <c r="L4065">
        <f t="shared" si="189"/>
        <v>2023</v>
      </c>
      <c r="M4065" t="str">
        <f t="shared" si="190"/>
        <v>Jun</v>
      </c>
      <c r="N4065" s="2">
        <f t="shared" si="191"/>
        <v>0.13724889432613807</v>
      </c>
    </row>
    <row r="4066" spans="1:14" x14ac:dyDescent="0.45">
      <c r="A4066" t="s">
        <v>7367</v>
      </c>
      <c r="B4066" s="1">
        <v>44579</v>
      </c>
      <c r="C4066" t="s">
        <v>7368</v>
      </c>
      <c r="D4066" t="s">
        <v>26</v>
      </c>
      <c r="E4066" t="s">
        <v>36</v>
      </c>
      <c r="F4066" t="s">
        <v>37</v>
      </c>
      <c r="G4066">
        <v>4</v>
      </c>
      <c r="H4066">
        <v>16297.48</v>
      </c>
      <c r="I4066">
        <v>2158.5100000000002</v>
      </c>
      <c r="J4066" t="s">
        <v>28</v>
      </c>
      <c r="K4066" t="s">
        <v>33</v>
      </c>
      <c r="L4066">
        <f t="shared" si="189"/>
        <v>2022</v>
      </c>
      <c r="M4066" t="str">
        <f t="shared" si="190"/>
        <v>Jan</v>
      </c>
      <c r="N4066" s="2">
        <f t="shared" si="191"/>
        <v>0.13244440244749497</v>
      </c>
    </row>
    <row r="4067" spans="1:14" x14ac:dyDescent="0.45">
      <c r="A4067" t="s">
        <v>7369</v>
      </c>
      <c r="B4067" s="1">
        <v>44876</v>
      </c>
      <c r="C4067" t="s">
        <v>7370</v>
      </c>
      <c r="D4067" t="s">
        <v>56</v>
      </c>
      <c r="E4067" t="s">
        <v>36</v>
      </c>
      <c r="F4067" t="s">
        <v>53</v>
      </c>
      <c r="G4067">
        <v>1</v>
      </c>
      <c r="H4067">
        <v>43994.59</v>
      </c>
      <c r="I4067">
        <v>10020.93</v>
      </c>
      <c r="J4067" t="s">
        <v>71</v>
      </c>
      <c r="K4067" t="s">
        <v>33</v>
      </c>
      <c r="L4067">
        <f t="shared" si="189"/>
        <v>2022</v>
      </c>
      <c r="M4067" t="str">
        <f t="shared" si="190"/>
        <v>Nov</v>
      </c>
      <c r="N4067" s="2">
        <f t="shared" si="191"/>
        <v>0.22777641523650979</v>
      </c>
    </row>
    <row r="4068" spans="1:14" x14ac:dyDescent="0.45">
      <c r="A4068" t="s">
        <v>7371</v>
      </c>
      <c r="B4068" s="1">
        <v>45037</v>
      </c>
      <c r="C4068" t="s">
        <v>7372</v>
      </c>
      <c r="D4068" t="s">
        <v>56</v>
      </c>
      <c r="E4068" t="s">
        <v>36</v>
      </c>
      <c r="F4068" t="s">
        <v>46</v>
      </c>
      <c r="G4068">
        <v>2</v>
      </c>
      <c r="H4068">
        <v>3247.73</v>
      </c>
      <c r="I4068">
        <v>597.38</v>
      </c>
      <c r="J4068" t="s">
        <v>16</v>
      </c>
      <c r="K4068" t="s">
        <v>29</v>
      </c>
      <c r="L4068">
        <f t="shared" si="189"/>
        <v>2023</v>
      </c>
      <c r="M4068" t="str">
        <f t="shared" si="190"/>
        <v>Apr</v>
      </c>
      <c r="N4068" s="2">
        <f t="shared" si="191"/>
        <v>0.18393770418107416</v>
      </c>
    </row>
    <row r="4069" spans="1:14" x14ac:dyDescent="0.45">
      <c r="A4069" t="s">
        <v>7373</v>
      </c>
      <c r="B4069" s="1">
        <v>45109</v>
      </c>
      <c r="C4069" t="s">
        <v>7374</v>
      </c>
      <c r="D4069" t="s">
        <v>13</v>
      </c>
      <c r="E4069" t="s">
        <v>14</v>
      </c>
      <c r="F4069" t="s">
        <v>15</v>
      </c>
      <c r="G4069">
        <v>3</v>
      </c>
      <c r="H4069">
        <v>30755.42</v>
      </c>
      <c r="I4069">
        <v>6285.13</v>
      </c>
      <c r="J4069" t="s">
        <v>28</v>
      </c>
      <c r="K4069" t="s">
        <v>23</v>
      </c>
      <c r="L4069">
        <f t="shared" si="189"/>
        <v>2023</v>
      </c>
      <c r="M4069" t="str">
        <f t="shared" si="190"/>
        <v>Jul</v>
      </c>
      <c r="N4069" s="2">
        <f t="shared" si="191"/>
        <v>0.20435845129086191</v>
      </c>
    </row>
    <row r="4070" spans="1:14" x14ac:dyDescent="0.45">
      <c r="A4070" t="s">
        <v>7375</v>
      </c>
      <c r="B4070" s="1">
        <v>45626</v>
      </c>
      <c r="C4070" t="s">
        <v>7376</v>
      </c>
      <c r="D4070" t="s">
        <v>13</v>
      </c>
      <c r="E4070" t="s">
        <v>20</v>
      </c>
      <c r="F4070" t="s">
        <v>50</v>
      </c>
      <c r="G4070">
        <v>2</v>
      </c>
      <c r="H4070">
        <v>47705.61</v>
      </c>
      <c r="I4070">
        <v>11476.75</v>
      </c>
      <c r="J4070" t="s">
        <v>47</v>
      </c>
      <c r="K4070" t="s">
        <v>17</v>
      </c>
      <c r="L4070">
        <f t="shared" si="189"/>
        <v>2024</v>
      </c>
      <c r="M4070" t="str">
        <f t="shared" si="190"/>
        <v>Nov</v>
      </c>
      <c r="N4070" s="2">
        <f t="shared" si="191"/>
        <v>0.24057443139286971</v>
      </c>
    </row>
    <row r="4071" spans="1:14" x14ac:dyDescent="0.45">
      <c r="A4071" t="s">
        <v>7377</v>
      </c>
      <c r="B4071" s="1">
        <v>44883</v>
      </c>
      <c r="C4071" t="s">
        <v>1884</v>
      </c>
      <c r="D4071" t="s">
        <v>56</v>
      </c>
      <c r="E4071" t="s">
        <v>14</v>
      </c>
      <c r="F4071" t="s">
        <v>32</v>
      </c>
      <c r="G4071">
        <v>4</v>
      </c>
      <c r="H4071">
        <v>21629.74</v>
      </c>
      <c r="I4071">
        <v>2117.81</v>
      </c>
      <c r="J4071" t="s">
        <v>16</v>
      </c>
      <c r="K4071" t="s">
        <v>29</v>
      </c>
      <c r="L4071">
        <f t="shared" si="189"/>
        <v>2022</v>
      </c>
      <c r="M4071" t="str">
        <f t="shared" si="190"/>
        <v>Nov</v>
      </c>
      <c r="N4071" s="2">
        <f t="shared" si="191"/>
        <v>9.7911949010945104E-2</v>
      </c>
    </row>
    <row r="4072" spans="1:14" x14ac:dyDescent="0.45">
      <c r="A4072" t="s">
        <v>7378</v>
      </c>
      <c r="B4072" s="1">
        <v>44689</v>
      </c>
      <c r="C4072" t="s">
        <v>7379</v>
      </c>
      <c r="D4072" t="s">
        <v>26</v>
      </c>
      <c r="E4072" t="s">
        <v>36</v>
      </c>
      <c r="F4072" t="s">
        <v>37</v>
      </c>
      <c r="G4072">
        <v>4</v>
      </c>
      <c r="H4072">
        <v>15122.08</v>
      </c>
      <c r="I4072">
        <v>1751.05</v>
      </c>
      <c r="J4072" t="s">
        <v>28</v>
      </c>
      <c r="K4072" t="s">
        <v>23</v>
      </c>
      <c r="L4072">
        <f t="shared" si="189"/>
        <v>2022</v>
      </c>
      <c r="M4072" t="str">
        <f t="shared" si="190"/>
        <v>May</v>
      </c>
      <c r="N4072" s="2">
        <f t="shared" si="191"/>
        <v>0.11579425581666014</v>
      </c>
    </row>
    <row r="4073" spans="1:14" x14ac:dyDescent="0.45">
      <c r="A4073" t="s">
        <v>7380</v>
      </c>
      <c r="B4073" s="1">
        <v>45262</v>
      </c>
      <c r="C4073" t="s">
        <v>7381</v>
      </c>
      <c r="D4073" t="s">
        <v>26</v>
      </c>
      <c r="E4073" t="s">
        <v>14</v>
      </c>
      <c r="F4073" t="s">
        <v>32</v>
      </c>
      <c r="G4073">
        <v>2</v>
      </c>
      <c r="H4073">
        <v>33510.04</v>
      </c>
      <c r="I4073">
        <v>3601.3</v>
      </c>
      <c r="J4073" t="s">
        <v>28</v>
      </c>
      <c r="K4073" t="s">
        <v>29</v>
      </c>
      <c r="L4073">
        <f t="shared" si="189"/>
        <v>2023</v>
      </c>
      <c r="M4073" t="str">
        <f t="shared" si="190"/>
        <v>Dec</v>
      </c>
      <c r="N4073" s="2">
        <f t="shared" si="191"/>
        <v>0.10746928383254691</v>
      </c>
    </row>
    <row r="4074" spans="1:14" x14ac:dyDescent="0.45">
      <c r="A4074" t="s">
        <v>7382</v>
      </c>
      <c r="B4074" s="1">
        <v>44821</v>
      </c>
      <c r="C4074" t="s">
        <v>7383</v>
      </c>
      <c r="D4074" t="s">
        <v>26</v>
      </c>
      <c r="E4074" t="s">
        <v>36</v>
      </c>
      <c r="F4074" t="s">
        <v>37</v>
      </c>
      <c r="G4074">
        <v>5</v>
      </c>
      <c r="H4074">
        <v>11420.58</v>
      </c>
      <c r="I4074">
        <v>2505.4</v>
      </c>
      <c r="J4074" t="s">
        <v>28</v>
      </c>
      <c r="K4074" t="s">
        <v>23</v>
      </c>
      <c r="L4074">
        <f t="shared" si="189"/>
        <v>2022</v>
      </c>
      <c r="M4074" t="str">
        <f t="shared" si="190"/>
        <v>Sep</v>
      </c>
      <c r="N4074" s="2">
        <f t="shared" si="191"/>
        <v>0.21937589859709403</v>
      </c>
    </row>
    <row r="4075" spans="1:14" x14ac:dyDescent="0.45">
      <c r="A4075" t="s">
        <v>7384</v>
      </c>
      <c r="B4075" s="1">
        <v>45466</v>
      </c>
      <c r="C4075" t="s">
        <v>7385</v>
      </c>
      <c r="D4075" t="s">
        <v>13</v>
      </c>
      <c r="E4075" t="s">
        <v>36</v>
      </c>
      <c r="F4075" t="s">
        <v>64</v>
      </c>
      <c r="G4075">
        <v>1</v>
      </c>
      <c r="H4075">
        <v>15531.18</v>
      </c>
      <c r="I4075">
        <v>2730.03</v>
      </c>
      <c r="J4075" t="s">
        <v>28</v>
      </c>
      <c r="K4075" t="s">
        <v>33</v>
      </c>
      <c r="L4075">
        <f t="shared" si="189"/>
        <v>2024</v>
      </c>
      <c r="M4075" t="str">
        <f t="shared" si="190"/>
        <v>Jun</v>
      </c>
      <c r="N4075" s="2">
        <f t="shared" si="191"/>
        <v>0.1757773717129027</v>
      </c>
    </row>
    <row r="4076" spans="1:14" x14ac:dyDescent="0.45">
      <c r="A4076" t="s">
        <v>7386</v>
      </c>
      <c r="B4076" s="1">
        <v>44691</v>
      </c>
      <c r="C4076" t="s">
        <v>7387</v>
      </c>
      <c r="D4076" t="s">
        <v>13</v>
      </c>
      <c r="E4076" t="s">
        <v>14</v>
      </c>
      <c r="F4076" t="s">
        <v>32</v>
      </c>
      <c r="G4076">
        <v>3</v>
      </c>
      <c r="H4076">
        <v>31325.39</v>
      </c>
      <c r="I4076">
        <v>4828.8999999999996</v>
      </c>
      <c r="J4076" t="s">
        <v>16</v>
      </c>
      <c r="K4076" t="s">
        <v>23</v>
      </c>
      <c r="L4076">
        <f t="shared" si="189"/>
        <v>2022</v>
      </c>
      <c r="M4076" t="str">
        <f t="shared" si="190"/>
        <v>May</v>
      </c>
      <c r="N4076" s="2">
        <f t="shared" si="191"/>
        <v>0.15415290918963817</v>
      </c>
    </row>
    <row r="4077" spans="1:14" x14ac:dyDescent="0.45">
      <c r="A4077" t="s">
        <v>7388</v>
      </c>
      <c r="B4077" s="1">
        <v>44816</v>
      </c>
      <c r="C4077" t="s">
        <v>7389</v>
      </c>
      <c r="D4077" t="s">
        <v>56</v>
      </c>
      <c r="E4077" t="s">
        <v>20</v>
      </c>
      <c r="F4077" t="s">
        <v>27</v>
      </c>
      <c r="G4077">
        <v>1</v>
      </c>
      <c r="H4077">
        <v>34894.239999999998</v>
      </c>
      <c r="I4077">
        <v>7399.24</v>
      </c>
      <c r="J4077" t="s">
        <v>71</v>
      </c>
      <c r="K4077" t="s">
        <v>33</v>
      </c>
      <c r="L4077">
        <f t="shared" si="189"/>
        <v>2022</v>
      </c>
      <c r="M4077" t="str">
        <f t="shared" si="190"/>
        <v>Sep</v>
      </c>
      <c r="N4077" s="2">
        <f t="shared" si="191"/>
        <v>0.21204760441837966</v>
      </c>
    </row>
    <row r="4078" spans="1:14" x14ac:dyDescent="0.45">
      <c r="A4078" t="s">
        <v>7390</v>
      </c>
      <c r="B4078" s="1">
        <v>45123</v>
      </c>
      <c r="C4078" t="s">
        <v>7391</v>
      </c>
      <c r="D4078" t="s">
        <v>26</v>
      </c>
      <c r="E4078" t="s">
        <v>14</v>
      </c>
      <c r="F4078" t="s">
        <v>15</v>
      </c>
      <c r="G4078">
        <v>4</v>
      </c>
      <c r="H4078">
        <v>43703.48</v>
      </c>
      <c r="I4078">
        <v>10310.14</v>
      </c>
      <c r="J4078" t="s">
        <v>28</v>
      </c>
      <c r="K4078" t="s">
        <v>29</v>
      </c>
      <c r="L4078">
        <f t="shared" si="189"/>
        <v>2023</v>
      </c>
      <c r="M4078" t="str">
        <f t="shared" si="190"/>
        <v>Jul</v>
      </c>
      <c r="N4078" s="2">
        <f t="shared" si="191"/>
        <v>0.2359111905962637</v>
      </c>
    </row>
    <row r="4079" spans="1:14" x14ac:dyDescent="0.45">
      <c r="A4079" t="s">
        <v>7392</v>
      </c>
      <c r="B4079" s="1">
        <v>44994</v>
      </c>
      <c r="C4079" t="s">
        <v>7393</v>
      </c>
      <c r="D4079" t="s">
        <v>13</v>
      </c>
      <c r="E4079" t="s">
        <v>36</v>
      </c>
      <c r="F4079" t="s">
        <v>64</v>
      </c>
      <c r="G4079">
        <v>4</v>
      </c>
      <c r="H4079">
        <v>46029.2</v>
      </c>
      <c r="I4079">
        <v>5899.74</v>
      </c>
      <c r="J4079" t="s">
        <v>16</v>
      </c>
      <c r="K4079" t="s">
        <v>29</v>
      </c>
      <c r="L4079">
        <f t="shared" si="189"/>
        <v>2023</v>
      </c>
      <c r="M4079" t="str">
        <f t="shared" si="190"/>
        <v>Mar</v>
      </c>
      <c r="N4079" s="2">
        <f t="shared" si="191"/>
        <v>0.12817385485735142</v>
      </c>
    </row>
    <row r="4080" spans="1:14" x14ac:dyDescent="0.45">
      <c r="A4080" t="s">
        <v>7394</v>
      </c>
      <c r="B4080" s="1">
        <v>45415</v>
      </c>
      <c r="C4080" t="s">
        <v>349</v>
      </c>
      <c r="D4080" t="s">
        <v>56</v>
      </c>
      <c r="E4080" t="s">
        <v>14</v>
      </c>
      <c r="F4080" t="s">
        <v>32</v>
      </c>
      <c r="G4080">
        <v>4</v>
      </c>
      <c r="H4080">
        <v>4367.8599999999997</v>
      </c>
      <c r="I4080">
        <v>762.02</v>
      </c>
      <c r="J4080" t="s">
        <v>22</v>
      </c>
      <c r="K4080" t="s">
        <v>17</v>
      </c>
      <c r="L4080">
        <f t="shared" si="189"/>
        <v>2024</v>
      </c>
      <c r="M4080" t="str">
        <f t="shared" si="190"/>
        <v>May</v>
      </c>
      <c r="N4080" s="2">
        <f t="shared" si="191"/>
        <v>0.17446071989486844</v>
      </c>
    </row>
    <row r="4081" spans="1:14" x14ac:dyDescent="0.45">
      <c r="A4081" t="s">
        <v>7395</v>
      </c>
      <c r="B4081" s="1">
        <v>45225</v>
      </c>
      <c r="C4081" t="s">
        <v>7396</v>
      </c>
      <c r="D4081" t="s">
        <v>26</v>
      </c>
      <c r="E4081" t="s">
        <v>20</v>
      </c>
      <c r="F4081" t="s">
        <v>21</v>
      </c>
      <c r="G4081">
        <v>4</v>
      </c>
      <c r="H4081">
        <v>28447.27</v>
      </c>
      <c r="I4081">
        <v>6283.51</v>
      </c>
      <c r="J4081" t="s">
        <v>28</v>
      </c>
      <c r="K4081" t="s">
        <v>23</v>
      </c>
      <c r="L4081">
        <f t="shared" si="189"/>
        <v>2023</v>
      </c>
      <c r="M4081" t="str">
        <f t="shared" si="190"/>
        <v>Oct</v>
      </c>
      <c r="N4081" s="2">
        <f t="shared" si="191"/>
        <v>0.22088270684673786</v>
      </c>
    </row>
    <row r="4082" spans="1:14" x14ac:dyDescent="0.45">
      <c r="A4082" t="s">
        <v>7397</v>
      </c>
      <c r="B4082" s="1">
        <v>44705</v>
      </c>
      <c r="C4082" t="s">
        <v>7398</v>
      </c>
      <c r="D4082" t="s">
        <v>13</v>
      </c>
      <c r="E4082" t="s">
        <v>14</v>
      </c>
      <c r="F4082" t="s">
        <v>15</v>
      </c>
      <c r="G4082">
        <v>2</v>
      </c>
      <c r="H4082">
        <v>17657.18</v>
      </c>
      <c r="I4082">
        <v>1646.15</v>
      </c>
      <c r="J4082" t="s">
        <v>28</v>
      </c>
      <c r="K4082" t="s">
        <v>29</v>
      </c>
      <c r="L4082">
        <f t="shared" si="189"/>
        <v>2022</v>
      </c>
      <c r="M4082" t="str">
        <f t="shared" si="190"/>
        <v>May</v>
      </c>
      <c r="N4082" s="2">
        <f t="shared" si="191"/>
        <v>9.322836375910537E-2</v>
      </c>
    </row>
    <row r="4083" spans="1:14" x14ac:dyDescent="0.45">
      <c r="A4083" t="s">
        <v>7399</v>
      </c>
      <c r="B4083" s="1">
        <v>45217</v>
      </c>
      <c r="C4083" t="s">
        <v>7400</v>
      </c>
      <c r="D4083" t="s">
        <v>13</v>
      </c>
      <c r="E4083" t="s">
        <v>20</v>
      </c>
      <c r="F4083" t="s">
        <v>27</v>
      </c>
      <c r="G4083">
        <v>4</v>
      </c>
      <c r="H4083">
        <v>26237.64</v>
      </c>
      <c r="I4083">
        <v>4234.16</v>
      </c>
      <c r="J4083" t="s">
        <v>47</v>
      </c>
      <c r="K4083" t="s">
        <v>29</v>
      </c>
      <c r="L4083">
        <f t="shared" si="189"/>
        <v>2023</v>
      </c>
      <c r="M4083" t="str">
        <f t="shared" si="190"/>
        <v>Oct</v>
      </c>
      <c r="N4083" s="2">
        <f t="shared" si="191"/>
        <v>0.16137731899667807</v>
      </c>
    </row>
    <row r="4084" spans="1:14" x14ac:dyDescent="0.45">
      <c r="A4084" t="s">
        <v>7401</v>
      </c>
      <c r="B4084" s="1">
        <v>44774</v>
      </c>
      <c r="C4084" t="s">
        <v>7402</v>
      </c>
      <c r="D4084" t="s">
        <v>26</v>
      </c>
      <c r="E4084" t="s">
        <v>36</v>
      </c>
      <c r="F4084" t="s">
        <v>46</v>
      </c>
      <c r="G4084">
        <v>2</v>
      </c>
      <c r="H4084">
        <v>38251.129999999997</v>
      </c>
      <c r="I4084">
        <v>6668.85</v>
      </c>
      <c r="J4084" t="s">
        <v>71</v>
      </c>
      <c r="K4084" t="s">
        <v>33</v>
      </c>
      <c r="L4084">
        <f t="shared" si="189"/>
        <v>2022</v>
      </c>
      <c r="M4084" t="str">
        <f t="shared" si="190"/>
        <v>Aug</v>
      </c>
      <c r="N4084" s="2">
        <f t="shared" si="191"/>
        <v>0.1743438690569403</v>
      </c>
    </row>
    <row r="4085" spans="1:14" x14ac:dyDescent="0.45">
      <c r="A4085" t="s">
        <v>7403</v>
      </c>
      <c r="B4085" s="1">
        <v>45080</v>
      </c>
      <c r="C4085" t="s">
        <v>7404</v>
      </c>
      <c r="D4085" t="s">
        <v>13</v>
      </c>
      <c r="E4085" t="s">
        <v>36</v>
      </c>
      <c r="F4085" t="s">
        <v>53</v>
      </c>
      <c r="G4085">
        <v>5</v>
      </c>
      <c r="H4085">
        <v>17850.95</v>
      </c>
      <c r="I4085">
        <v>2635.67</v>
      </c>
      <c r="J4085" t="s">
        <v>47</v>
      </c>
      <c r="K4085" t="s">
        <v>29</v>
      </c>
      <c r="L4085">
        <f t="shared" si="189"/>
        <v>2023</v>
      </c>
      <c r="M4085" t="str">
        <f t="shared" si="190"/>
        <v>Jun</v>
      </c>
      <c r="N4085" s="2">
        <f t="shared" si="191"/>
        <v>0.14764872457768355</v>
      </c>
    </row>
    <row r="4086" spans="1:14" x14ac:dyDescent="0.45">
      <c r="A4086" t="s">
        <v>7405</v>
      </c>
      <c r="B4086" s="1">
        <v>45129</v>
      </c>
      <c r="C4086" t="s">
        <v>7406</v>
      </c>
      <c r="D4086" t="s">
        <v>56</v>
      </c>
      <c r="E4086" t="s">
        <v>36</v>
      </c>
      <c r="F4086" t="s">
        <v>53</v>
      </c>
      <c r="G4086">
        <v>4</v>
      </c>
      <c r="H4086">
        <v>47024.639999999999</v>
      </c>
      <c r="I4086">
        <v>7488.18</v>
      </c>
      <c r="J4086" t="s">
        <v>28</v>
      </c>
      <c r="K4086" t="s">
        <v>17</v>
      </c>
      <c r="L4086">
        <f t="shared" si="189"/>
        <v>2023</v>
      </c>
      <c r="M4086" t="str">
        <f t="shared" si="190"/>
        <v>Jul</v>
      </c>
      <c r="N4086" s="2">
        <f t="shared" si="191"/>
        <v>0.15923949657030867</v>
      </c>
    </row>
    <row r="4087" spans="1:14" x14ac:dyDescent="0.45">
      <c r="A4087" t="s">
        <v>7407</v>
      </c>
      <c r="B4087" s="1">
        <v>45197</v>
      </c>
      <c r="C4087" t="s">
        <v>4720</v>
      </c>
      <c r="D4087" t="s">
        <v>26</v>
      </c>
      <c r="E4087" t="s">
        <v>14</v>
      </c>
      <c r="F4087" t="s">
        <v>40</v>
      </c>
      <c r="G4087">
        <v>4</v>
      </c>
      <c r="H4087">
        <v>41562.89</v>
      </c>
      <c r="I4087">
        <v>7238.32</v>
      </c>
      <c r="J4087" t="s">
        <v>71</v>
      </c>
      <c r="K4087" t="s">
        <v>17</v>
      </c>
      <c r="L4087">
        <f t="shared" si="189"/>
        <v>2023</v>
      </c>
      <c r="M4087" t="str">
        <f t="shared" si="190"/>
        <v>Sep</v>
      </c>
      <c r="N4087" s="2">
        <f t="shared" si="191"/>
        <v>0.17415343350763143</v>
      </c>
    </row>
    <row r="4088" spans="1:14" x14ac:dyDescent="0.45">
      <c r="A4088" t="s">
        <v>7408</v>
      </c>
      <c r="B4088" s="1">
        <v>45326</v>
      </c>
      <c r="C4088" t="s">
        <v>7409</v>
      </c>
      <c r="D4088" t="s">
        <v>26</v>
      </c>
      <c r="E4088" t="s">
        <v>36</v>
      </c>
      <c r="F4088" t="s">
        <v>37</v>
      </c>
      <c r="G4088">
        <v>3</v>
      </c>
      <c r="H4088">
        <v>14435.94</v>
      </c>
      <c r="I4088">
        <v>1295.6500000000001</v>
      </c>
      <c r="J4088" t="s">
        <v>47</v>
      </c>
      <c r="K4088" t="s">
        <v>29</v>
      </c>
      <c r="L4088">
        <f t="shared" si="189"/>
        <v>2024</v>
      </c>
      <c r="M4088" t="str">
        <f t="shared" si="190"/>
        <v>Feb</v>
      </c>
      <c r="N4088" s="2">
        <f t="shared" si="191"/>
        <v>8.9751689186848935E-2</v>
      </c>
    </row>
    <row r="4089" spans="1:14" x14ac:dyDescent="0.45">
      <c r="A4089" t="s">
        <v>7410</v>
      </c>
      <c r="B4089" s="1">
        <v>45286</v>
      </c>
      <c r="C4089" t="s">
        <v>3804</v>
      </c>
      <c r="D4089" t="s">
        <v>56</v>
      </c>
      <c r="E4089" t="s">
        <v>14</v>
      </c>
      <c r="F4089" t="s">
        <v>40</v>
      </c>
      <c r="G4089">
        <v>1</v>
      </c>
      <c r="H4089">
        <v>12450.94</v>
      </c>
      <c r="I4089">
        <v>1751.47</v>
      </c>
      <c r="J4089" t="s">
        <v>16</v>
      </c>
      <c r="K4089" t="s">
        <v>23</v>
      </c>
      <c r="L4089">
        <f t="shared" si="189"/>
        <v>2023</v>
      </c>
      <c r="M4089" t="str">
        <f t="shared" si="190"/>
        <v>Dec</v>
      </c>
      <c r="N4089" s="2">
        <f t="shared" si="191"/>
        <v>0.14066970044028804</v>
      </c>
    </row>
    <row r="4090" spans="1:14" x14ac:dyDescent="0.45">
      <c r="A4090" t="s">
        <v>7411</v>
      </c>
      <c r="B4090" s="1">
        <v>45255</v>
      </c>
      <c r="C4090" t="s">
        <v>7412</v>
      </c>
      <c r="D4090" t="s">
        <v>13</v>
      </c>
      <c r="E4090" t="s">
        <v>36</v>
      </c>
      <c r="F4090" t="s">
        <v>64</v>
      </c>
      <c r="G4090">
        <v>4</v>
      </c>
      <c r="H4090">
        <v>18398.080000000002</v>
      </c>
      <c r="I4090">
        <v>3208.62</v>
      </c>
      <c r="J4090" t="s">
        <v>28</v>
      </c>
      <c r="K4090" t="s">
        <v>17</v>
      </c>
      <c r="L4090">
        <f t="shared" si="189"/>
        <v>2023</v>
      </c>
      <c r="M4090" t="str">
        <f t="shared" si="190"/>
        <v>Nov</v>
      </c>
      <c r="N4090" s="2">
        <f t="shared" si="191"/>
        <v>0.17439971997077955</v>
      </c>
    </row>
    <row r="4091" spans="1:14" x14ac:dyDescent="0.45">
      <c r="A4091" t="s">
        <v>7413</v>
      </c>
      <c r="B4091" s="1">
        <v>45618</v>
      </c>
      <c r="C4091" t="s">
        <v>7414</v>
      </c>
      <c r="D4091" t="s">
        <v>56</v>
      </c>
      <c r="E4091" t="s">
        <v>14</v>
      </c>
      <c r="F4091" t="s">
        <v>32</v>
      </c>
      <c r="G4091">
        <v>3</v>
      </c>
      <c r="H4091">
        <v>41935.18</v>
      </c>
      <c r="I4091">
        <v>7002.41</v>
      </c>
      <c r="J4091" t="s">
        <v>28</v>
      </c>
      <c r="K4091" t="s">
        <v>17</v>
      </c>
      <c r="L4091">
        <f t="shared" si="189"/>
        <v>2024</v>
      </c>
      <c r="M4091" t="str">
        <f t="shared" si="190"/>
        <v>Nov</v>
      </c>
      <c r="N4091" s="2">
        <f t="shared" si="191"/>
        <v>0.16698175612934057</v>
      </c>
    </row>
    <row r="4092" spans="1:14" x14ac:dyDescent="0.45">
      <c r="A4092" t="s">
        <v>7415</v>
      </c>
      <c r="B4092" s="1">
        <v>44878</v>
      </c>
      <c r="C4092" t="s">
        <v>2445</v>
      </c>
      <c r="D4092" t="s">
        <v>13</v>
      </c>
      <c r="E4092" t="s">
        <v>14</v>
      </c>
      <c r="F4092" t="s">
        <v>32</v>
      </c>
      <c r="G4092">
        <v>2</v>
      </c>
      <c r="H4092">
        <v>24104.12</v>
      </c>
      <c r="I4092">
        <v>2155.1</v>
      </c>
      <c r="J4092" t="s">
        <v>47</v>
      </c>
      <c r="K4092" t="s">
        <v>29</v>
      </c>
      <c r="L4092">
        <f t="shared" si="189"/>
        <v>2022</v>
      </c>
      <c r="M4092" t="str">
        <f t="shared" si="190"/>
        <v>Nov</v>
      </c>
      <c r="N4092" s="2">
        <f t="shared" si="191"/>
        <v>8.9407951835619809E-2</v>
      </c>
    </row>
    <row r="4093" spans="1:14" x14ac:dyDescent="0.45">
      <c r="A4093" t="s">
        <v>7416</v>
      </c>
      <c r="B4093" s="1">
        <v>44615</v>
      </c>
      <c r="C4093" t="s">
        <v>4136</v>
      </c>
      <c r="D4093" t="s">
        <v>56</v>
      </c>
      <c r="E4093" t="s">
        <v>20</v>
      </c>
      <c r="F4093" t="s">
        <v>27</v>
      </c>
      <c r="G4093">
        <v>5</v>
      </c>
      <c r="H4093">
        <v>17828.95</v>
      </c>
      <c r="I4093">
        <v>4308.4399999999996</v>
      </c>
      <c r="J4093" t="s">
        <v>22</v>
      </c>
      <c r="K4093" t="s">
        <v>33</v>
      </c>
      <c r="L4093">
        <f t="shared" si="189"/>
        <v>2022</v>
      </c>
      <c r="M4093" t="str">
        <f t="shared" si="190"/>
        <v>Feb</v>
      </c>
      <c r="N4093" s="2">
        <f t="shared" si="191"/>
        <v>0.24165416359348135</v>
      </c>
    </row>
    <row r="4094" spans="1:14" x14ac:dyDescent="0.45">
      <c r="A4094" t="s">
        <v>7417</v>
      </c>
      <c r="B4094" s="1">
        <v>45100</v>
      </c>
      <c r="C4094" t="s">
        <v>2486</v>
      </c>
      <c r="D4094" t="s">
        <v>13</v>
      </c>
      <c r="E4094" t="s">
        <v>36</v>
      </c>
      <c r="F4094" t="s">
        <v>46</v>
      </c>
      <c r="G4094">
        <v>5</v>
      </c>
      <c r="H4094">
        <v>5007.97</v>
      </c>
      <c r="I4094">
        <v>392.54</v>
      </c>
      <c r="J4094" t="s">
        <v>71</v>
      </c>
      <c r="K4094" t="s">
        <v>33</v>
      </c>
      <c r="L4094">
        <f t="shared" si="189"/>
        <v>2023</v>
      </c>
      <c r="M4094" t="str">
        <f t="shared" si="190"/>
        <v>Jun</v>
      </c>
      <c r="N4094" s="2">
        <f t="shared" si="191"/>
        <v>7.8383057406494053E-2</v>
      </c>
    </row>
    <row r="4095" spans="1:14" x14ac:dyDescent="0.45">
      <c r="A4095" t="s">
        <v>7418</v>
      </c>
      <c r="B4095" s="1">
        <v>44581</v>
      </c>
      <c r="C4095" t="s">
        <v>7419</v>
      </c>
      <c r="D4095" t="s">
        <v>56</v>
      </c>
      <c r="E4095" t="s">
        <v>14</v>
      </c>
      <c r="F4095" t="s">
        <v>32</v>
      </c>
      <c r="G4095">
        <v>1</v>
      </c>
      <c r="H4095">
        <v>9103.4599999999991</v>
      </c>
      <c r="I4095">
        <v>1016.58</v>
      </c>
      <c r="J4095" t="s">
        <v>71</v>
      </c>
      <c r="K4095" t="s">
        <v>23</v>
      </c>
      <c r="L4095">
        <f t="shared" si="189"/>
        <v>2022</v>
      </c>
      <c r="M4095" t="str">
        <f t="shared" si="190"/>
        <v>Jan</v>
      </c>
      <c r="N4095" s="2">
        <f t="shared" si="191"/>
        <v>0.11166962891032642</v>
      </c>
    </row>
    <row r="4096" spans="1:14" x14ac:dyDescent="0.45">
      <c r="A4096" t="s">
        <v>7420</v>
      </c>
      <c r="B4096" s="1">
        <v>44997</v>
      </c>
      <c r="C4096" t="s">
        <v>7421</v>
      </c>
      <c r="D4096" t="s">
        <v>13</v>
      </c>
      <c r="E4096" t="s">
        <v>14</v>
      </c>
      <c r="F4096" t="s">
        <v>57</v>
      </c>
      <c r="G4096">
        <v>2</v>
      </c>
      <c r="H4096">
        <v>7722.73</v>
      </c>
      <c r="I4096">
        <v>1149.6199999999999</v>
      </c>
      <c r="J4096" t="s">
        <v>47</v>
      </c>
      <c r="K4096" t="s">
        <v>29</v>
      </c>
      <c r="L4096">
        <f t="shared" si="189"/>
        <v>2023</v>
      </c>
      <c r="M4096" t="str">
        <f t="shared" si="190"/>
        <v>Mar</v>
      </c>
      <c r="N4096" s="2">
        <f t="shared" si="191"/>
        <v>0.14886186620534447</v>
      </c>
    </row>
    <row r="4097" spans="1:14" x14ac:dyDescent="0.45">
      <c r="A4097" t="s">
        <v>7422</v>
      </c>
      <c r="B4097" s="1">
        <v>44749</v>
      </c>
      <c r="C4097" t="s">
        <v>7423</v>
      </c>
      <c r="D4097" t="s">
        <v>56</v>
      </c>
      <c r="E4097" t="s">
        <v>36</v>
      </c>
      <c r="F4097" t="s">
        <v>37</v>
      </c>
      <c r="G4097">
        <v>2</v>
      </c>
      <c r="H4097">
        <v>5399.64</v>
      </c>
      <c r="I4097">
        <v>623.42999999999995</v>
      </c>
      <c r="J4097" t="s">
        <v>71</v>
      </c>
      <c r="K4097" t="s">
        <v>17</v>
      </c>
      <c r="L4097">
        <f t="shared" si="189"/>
        <v>2022</v>
      </c>
      <c r="M4097" t="str">
        <f t="shared" si="190"/>
        <v>Jul</v>
      </c>
      <c r="N4097" s="2">
        <f t="shared" si="191"/>
        <v>0.11545769717981197</v>
      </c>
    </row>
    <row r="4098" spans="1:14" x14ac:dyDescent="0.45">
      <c r="A4098" t="s">
        <v>7424</v>
      </c>
      <c r="B4098" s="1">
        <v>45122</v>
      </c>
      <c r="C4098" t="s">
        <v>7425</v>
      </c>
      <c r="D4098" t="s">
        <v>26</v>
      </c>
      <c r="E4098" t="s">
        <v>14</v>
      </c>
      <c r="F4098" t="s">
        <v>40</v>
      </c>
      <c r="G4098">
        <v>5</v>
      </c>
      <c r="H4098">
        <v>13769.77</v>
      </c>
      <c r="I4098">
        <v>839.12</v>
      </c>
      <c r="J4098" t="s">
        <v>47</v>
      </c>
      <c r="K4098" t="s">
        <v>23</v>
      </c>
      <c r="L4098">
        <f t="shared" si="189"/>
        <v>2023</v>
      </c>
      <c r="M4098" t="str">
        <f t="shared" si="190"/>
        <v>Jul</v>
      </c>
      <c r="N4098" s="2">
        <f t="shared" si="191"/>
        <v>6.0939289472518421E-2</v>
      </c>
    </row>
    <row r="4099" spans="1:14" x14ac:dyDescent="0.45">
      <c r="A4099" t="s">
        <v>7426</v>
      </c>
      <c r="B4099" s="1">
        <v>44855</v>
      </c>
      <c r="C4099" t="s">
        <v>7427</v>
      </c>
      <c r="D4099" t="s">
        <v>56</v>
      </c>
      <c r="E4099" t="s">
        <v>20</v>
      </c>
      <c r="F4099" t="s">
        <v>21</v>
      </c>
      <c r="G4099">
        <v>3</v>
      </c>
      <c r="H4099">
        <v>2491.46</v>
      </c>
      <c r="I4099">
        <v>240.37</v>
      </c>
      <c r="J4099" t="s">
        <v>28</v>
      </c>
      <c r="K4099" t="s">
        <v>23</v>
      </c>
      <c r="L4099">
        <f t="shared" ref="L4099:L4162" si="192">YEAR(B4099 )</f>
        <v>2022</v>
      </c>
      <c r="M4099" t="str">
        <f t="shared" ref="M4099:M4162" si="193">TEXT(B4099,"MMM")</f>
        <v>Oct</v>
      </c>
      <c r="N4099" s="2">
        <f t="shared" ref="N4099:N4162" si="194">I4099 / H4099</f>
        <v>9.647756737013638E-2</v>
      </c>
    </row>
    <row r="4100" spans="1:14" x14ac:dyDescent="0.45">
      <c r="A4100" t="s">
        <v>7428</v>
      </c>
      <c r="B4100" s="1">
        <v>45301</v>
      </c>
      <c r="C4100" t="s">
        <v>7429</v>
      </c>
      <c r="D4100" t="s">
        <v>13</v>
      </c>
      <c r="E4100" t="s">
        <v>20</v>
      </c>
      <c r="F4100" t="s">
        <v>43</v>
      </c>
      <c r="G4100">
        <v>5</v>
      </c>
      <c r="H4100">
        <v>4619.67</v>
      </c>
      <c r="I4100">
        <v>1061.05</v>
      </c>
      <c r="J4100" t="s">
        <v>71</v>
      </c>
      <c r="K4100" t="s">
        <v>23</v>
      </c>
      <c r="L4100">
        <f t="shared" si="192"/>
        <v>2024</v>
      </c>
      <c r="M4100" t="str">
        <f t="shared" si="193"/>
        <v>Jan</v>
      </c>
      <c r="N4100" s="2">
        <f t="shared" si="194"/>
        <v>0.22968090794364099</v>
      </c>
    </row>
    <row r="4101" spans="1:14" x14ac:dyDescent="0.45">
      <c r="A4101" t="s">
        <v>7430</v>
      </c>
      <c r="B4101" s="1">
        <v>44637</v>
      </c>
      <c r="C4101" t="s">
        <v>6832</v>
      </c>
      <c r="D4101" t="s">
        <v>13</v>
      </c>
      <c r="E4101" t="s">
        <v>14</v>
      </c>
      <c r="F4101" t="s">
        <v>57</v>
      </c>
      <c r="G4101">
        <v>3</v>
      </c>
      <c r="H4101">
        <v>49995.62</v>
      </c>
      <c r="I4101">
        <v>5415.52</v>
      </c>
      <c r="J4101" t="s">
        <v>47</v>
      </c>
      <c r="K4101" t="s">
        <v>17</v>
      </c>
      <c r="L4101">
        <f t="shared" si="192"/>
        <v>2022</v>
      </c>
      <c r="M4101" t="str">
        <f t="shared" si="193"/>
        <v>Mar</v>
      </c>
      <c r="N4101" s="2">
        <f t="shared" si="194"/>
        <v>0.10831988882226083</v>
      </c>
    </row>
    <row r="4102" spans="1:14" x14ac:dyDescent="0.45">
      <c r="A4102" t="s">
        <v>7431</v>
      </c>
      <c r="B4102" s="1">
        <v>44623</v>
      </c>
      <c r="C4102" t="s">
        <v>3385</v>
      </c>
      <c r="D4102" t="s">
        <v>26</v>
      </c>
      <c r="E4102" t="s">
        <v>36</v>
      </c>
      <c r="F4102" t="s">
        <v>46</v>
      </c>
      <c r="G4102">
        <v>1</v>
      </c>
      <c r="H4102">
        <v>22807.31</v>
      </c>
      <c r="I4102">
        <v>4152.68</v>
      </c>
      <c r="J4102" t="s">
        <v>47</v>
      </c>
      <c r="K4102" t="s">
        <v>29</v>
      </c>
      <c r="L4102">
        <f t="shared" si="192"/>
        <v>2022</v>
      </c>
      <c r="M4102" t="str">
        <f t="shared" si="193"/>
        <v>Mar</v>
      </c>
      <c r="N4102" s="2">
        <f t="shared" si="194"/>
        <v>0.18207671137017037</v>
      </c>
    </row>
    <row r="4103" spans="1:14" x14ac:dyDescent="0.45">
      <c r="A4103" t="s">
        <v>7432</v>
      </c>
      <c r="B4103" s="1">
        <v>44735</v>
      </c>
      <c r="C4103" t="s">
        <v>7433</v>
      </c>
      <c r="D4103" t="s">
        <v>26</v>
      </c>
      <c r="E4103" t="s">
        <v>14</v>
      </c>
      <c r="F4103" t="s">
        <v>32</v>
      </c>
      <c r="G4103">
        <v>1</v>
      </c>
      <c r="H4103">
        <v>2108.7600000000002</v>
      </c>
      <c r="I4103">
        <v>506.2</v>
      </c>
      <c r="J4103" t="s">
        <v>28</v>
      </c>
      <c r="K4103" t="s">
        <v>17</v>
      </c>
      <c r="L4103">
        <f t="shared" si="192"/>
        <v>2022</v>
      </c>
      <c r="M4103" t="str">
        <f t="shared" si="193"/>
        <v>Jun</v>
      </c>
      <c r="N4103" s="2">
        <f t="shared" si="194"/>
        <v>0.24004628312373144</v>
      </c>
    </row>
    <row r="4104" spans="1:14" x14ac:dyDescent="0.45">
      <c r="A4104" t="s">
        <v>7434</v>
      </c>
      <c r="B4104" s="1">
        <v>45230</v>
      </c>
      <c r="C4104" t="s">
        <v>7435</v>
      </c>
      <c r="D4104" t="s">
        <v>56</v>
      </c>
      <c r="E4104" t="s">
        <v>20</v>
      </c>
      <c r="F4104" t="s">
        <v>27</v>
      </c>
      <c r="G4104">
        <v>1</v>
      </c>
      <c r="H4104">
        <v>21609.93</v>
      </c>
      <c r="I4104">
        <v>3311.99</v>
      </c>
      <c r="J4104" t="s">
        <v>28</v>
      </c>
      <c r="K4104" t="s">
        <v>17</v>
      </c>
      <c r="L4104">
        <f t="shared" si="192"/>
        <v>2023</v>
      </c>
      <c r="M4104" t="str">
        <f t="shared" si="193"/>
        <v>Oct</v>
      </c>
      <c r="N4104" s="2">
        <f t="shared" si="194"/>
        <v>0.15326241223363518</v>
      </c>
    </row>
    <row r="4105" spans="1:14" x14ac:dyDescent="0.45">
      <c r="A4105" t="s">
        <v>7436</v>
      </c>
      <c r="B4105" s="1">
        <v>45268</v>
      </c>
      <c r="C4105" t="s">
        <v>7437</v>
      </c>
      <c r="D4105" t="s">
        <v>26</v>
      </c>
      <c r="E4105" t="s">
        <v>20</v>
      </c>
      <c r="F4105" t="s">
        <v>21</v>
      </c>
      <c r="G4105">
        <v>4</v>
      </c>
      <c r="H4105">
        <v>47518.62</v>
      </c>
      <c r="I4105">
        <v>5230.0600000000004</v>
      </c>
      <c r="J4105" t="s">
        <v>28</v>
      </c>
      <c r="K4105" t="s">
        <v>33</v>
      </c>
      <c r="L4105">
        <f t="shared" si="192"/>
        <v>2023</v>
      </c>
      <c r="M4105" t="str">
        <f t="shared" si="193"/>
        <v>Dec</v>
      </c>
      <c r="N4105" s="2">
        <f t="shared" si="194"/>
        <v>0.11006338147025313</v>
      </c>
    </row>
    <row r="4106" spans="1:14" x14ac:dyDescent="0.45">
      <c r="A4106" t="s">
        <v>7438</v>
      </c>
      <c r="B4106" s="1">
        <v>45204</v>
      </c>
      <c r="C4106" t="s">
        <v>7439</v>
      </c>
      <c r="D4106" t="s">
        <v>26</v>
      </c>
      <c r="E4106" t="s">
        <v>20</v>
      </c>
      <c r="F4106" t="s">
        <v>21</v>
      </c>
      <c r="G4106">
        <v>3</v>
      </c>
      <c r="H4106">
        <v>30548.639999999999</v>
      </c>
      <c r="I4106">
        <v>2414.4299999999998</v>
      </c>
      <c r="J4106" t="s">
        <v>16</v>
      </c>
      <c r="K4106" t="s">
        <v>29</v>
      </c>
      <c r="L4106">
        <f t="shared" si="192"/>
        <v>2023</v>
      </c>
      <c r="M4106" t="str">
        <f t="shared" si="193"/>
        <v>Oct</v>
      </c>
      <c r="N4106" s="2">
        <f t="shared" si="194"/>
        <v>7.9035597002026933E-2</v>
      </c>
    </row>
    <row r="4107" spans="1:14" x14ac:dyDescent="0.45">
      <c r="A4107" t="s">
        <v>7440</v>
      </c>
      <c r="B4107" s="1">
        <v>45124</v>
      </c>
      <c r="C4107" t="s">
        <v>7441</v>
      </c>
      <c r="D4107" t="s">
        <v>26</v>
      </c>
      <c r="E4107" t="s">
        <v>14</v>
      </c>
      <c r="F4107" t="s">
        <v>32</v>
      </c>
      <c r="G4107">
        <v>2</v>
      </c>
      <c r="H4107">
        <v>46333.58</v>
      </c>
      <c r="I4107">
        <v>8244.17</v>
      </c>
      <c r="J4107" t="s">
        <v>22</v>
      </c>
      <c r="K4107" t="s">
        <v>33</v>
      </c>
      <c r="L4107">
        <f t="shared" si="192"/>
        <v>2023</v>
      </c>
      <c r="M4107" t="str">
        <f t="shared" si="193"/>
        <v>Jul</v>
      </c>
      <c r="N4107" s="2">
        <f t="shared" si="194"/>
        <v>0.17793077936131851</v>
      </c>
    </row>
    <row r="4108" spans="1:14" x14ac:dyDescent="0.45">
      <c r="A4108" t="s">
        <v>7442</v>
      </c>
      <c r="B4108" s="1">
        <v>44937</v>
      </c>
      <c r="C4108" t="s">
        <v>7443</v>
      </c>
      <c r="D4108" t="s">
        <v>13</v>
      </c>
      <c r="E4108" t="s">
        <v>14</v>
      </c>
      <c r="F4108" t="s">
        <v>40</v>
      </c>
      <c r="G4108">
        <v>2</v>
      </c>
      <c r="H4108">
        <v>38532.5</v>
      </c>
      <c r="I4108">
        <v>5608.51</v>
      </c>
      <c r="J4108" t="s">
        <v>16</v>
      </c>
      <c r="K4108" t="s">
        <v>33</v>
      </c>
      <c r="L4108">
        <f t="shared" si="192"/>
        <v>2023</v>
      </c>
      <c r="M4108" t="str">
        <f t="shared" si="193"/>
        <v>Jan</v>
      </c>
      <c r="N4108" s="2">
        <f t="shared" si="194"/>
        <v>0.14555271524038149</v>
      </c>
    </row>
    <row r="4109" spans="1:14" x14ac:dyDescent="0.45">
      <c r="A4109" t="s">
        <v>7444</v>
      </c>
      <c r="B4109" s="1">
        <v>44573</v>
      </c>
      <c r="C4109" t="s">
        <v>7445</v>
      </c>
      <c r="D4109" t="s">
        <v>56</v>
      </c>
      <c r="E4109" t="s">
        <v>14</v>
      </c>
      <c r="F4109" t="s">
        <v>32</v>
      </c>
      <c r="G4109">
        <v>2</v>
      </c>
      <c r="H4109">
        <v>31022.99</v>
      </c>
      <c r="I4109">
        <v>3501.61</v>
      </c>
      <c r="J4109" t="s">
        <v>16</v>
      </c>
      <c r="K4109" t="s">
        <v>23</v>
      </c>
      <c r="L4109">
        <f t="shared" si="192"/>
        <v>2022</v>
      </c>
      <c r="M4109" t="str">
        <f t="shared" si="193"/>
        <v>Jan</v>
      </c>
      <c r="N4109" s="2">
        <f t="shared" si="194"/>
        <v>0.11287145436336085</v>
      </c>
    </row>
    <row r="4110" spans="1:14" x14ac:dyDescent="0.45">
      <c r="A4110" t="s">
        <v>7446</v>
      </c>
      <c r="B4110" s="1">
        <v>45372</v>
      </c>
      <c r="C4110" t="s">
        <v>5530</v>
      </c>
      <c r="D4110" t="s">
        <v>26</v>
      </c>
      <c r="E4110" t="s">
        <v>36</v>
      </c>
      <c r="F4110" t="s">
        <v>64</v>
      </c>
      <c r="G4110">
        <v>5</v>
      </c>
      <c r="H4110">
        <v>12569.24</v>
      </c>
      <c r="I4110">
        <v>1823.32</v>
      </c>
      <c r="J4110" t="s">
        <v>22</v>
      </c>
      <c r="K4110" t="s">
        <v>23</v>
      </c>
      <c r="L4110">
        <f t="shared" si="192"/>
        <v>2024</v>
      </c>
      <c r="M4110" t="str">
        <f t="shared" si="193"/>
        <v>Mar</v>
      </c>
      <c r="N4110" s="2">
        <f t="shared" si="194"/>
        <v>0.14506207216983683</v>
      </c>
    </row>
    <row r="4111" spans="1:14" x14ac:dyDescent="0.45">
      <c r="A4111" t="s">
        <v>7447</v>
      </c>
      <c r="B4111" s="1">
        <v>45240</v>
      </c>
      <c r="C4111" t="s">
        <v>7448</v>
      </c>
      <c r="D4111" t="s">
        <v>26</v>
      </c>
      <c r="E4111" t="s">
        <v>36</v>
      </c>
      <c r="F4111" t="s">
        <v>64</v>
      </c>
      <c r="G4111">
        <v>3</v>
      </c>
      <c r="H4111">
        <v>26213.34</v>
      </c>
      <c r="I4111">
        <v>3474.84</v>
      </c>
      <c r="J4111" t="s">
        <v>16</v>
      </c>
      <c r="K4111" t="s">
        <v>33</v>
      </c>
      <c r="L4111">
        <f t="shared" si="192"/>
        <v>2023</v>
      </c>
      <c r="M4111" t="str">
        <f t="shared" si="193"/>
        <v>Nov</v>
      </c>
      <c r="N4111" s="2">
        <f t="shared" si="194"/>
        <v>0.13255998663276028</v>
      </c>
    </row>
    <row r="4112" spans="1:14" x14ac:dyDescent="0.45">
      <c r="A4112" t="s">
        <v>7449</v>
      </c>
      <c r="B4112" s="1">
        <v>45283</v>
      </c>
      <c r="C4112" t="s">
        <v>5292</v>
      </c>
      <c r="D4112" t="s">
        <v>56</v>
      </c>
      <c r="E4112" t="s">
        <v>20</v>
      </c>
      <c r="F4112" t="s">
        <v>27</v>
      </c>
      <c r="G4112">
        <v>3</v>
      </c>
      <c r="H4112">
        <v>47570.96</v>
      </c>
      <c r="I4112">
        <v>3969.94</v>
      </c>
      <c r="J4112" t="s">
        <v>22</v>
      </c>
      <c r="K4112" t="s">
        <v>23</v>
      </c>
      <c r="L4112">
        <f t="shared" si="192"/>
        <v>2023</v>
      </c>
      <c r="M4112" t="str">
        <f t="shared" si="193"/>
        <v>Dec</v>
      </c>
      <c r="N4112" s="2">
        <f t="shared" si="194"/>
        <v>8.3453014191851499E-2</v>
      </c>
    </row>
    <row r="4113" spans="1:14" x14ac:dyDescent="0.45">
      <c r="A4113" t="s">
        <v>7450</v>
      </c>
      <c r="B4113" s="1">
        <v>45570</v>
      </c>
      <c r="C4113" t="s">
        <v>3634</v>
      </c>
      <c r="D4113" t="s">
        <v>13</v>
      </c>
      <c r="E4113" t="s">
        <v>14</v>
      </c>
      <c r="F4113" t="s">
        <v>57</v>
      </c>
      <c r="G4113">
        <v>2</v>
      </c>
      <c r="H4113">
        <v>31852.83</v>
      </c>
      <c r="I4113">
        <v>3569.17</v>
      </c>
      <c r="J4113" t="s">
        <v>16</v>
      </c>
      <c r="K4113" t="s">
        <v>23</v>
      </c>
      <c r="L4113">
        <f t="shared" si="192"/>
        <v>2024</v>
      </c>
      <c r="M4113" t="str">
        <f t="shared" si="193"/>
        <v>Oct</v>
      </c>
      <c r="N4113" s="2">
        <f t="shared" si="194"/>
        <v>0.11205189617374657</v>
      </c>
    </row>
    <row r="4114" spans="1:14" x14ac:dyDescent="0.45">
      <c r="A4114" t="s">
        <v>7451</v>
      </c>
      <c r="B4114" s="1">
        <v>45551</v>
      </c>
      <c r="C4114" t="s">
        <v>4289</v>
      </c>
      <c r="D4114" t="s">
        <v>26</v>
      </c>
      <c r="E4114" t="s">
        <v>20</v>
      </c>
      <c r="F4114" t="s">
        <v>50</v>
      </c>
      <c r="G4114">
        <v>3</v>
      </c>
      <c r="H4114">
        <v>21802.28</v>
      </c>
      <c r="I4114">
        <v>3365.29</v>
      </c>
      <c r="J4114" t="s">
        <v>71</v>
      </c>
      <c r="K4114" t="s">
        <v>23</v>
      </c>
      <c r="L4114">
        <f t="shared" si="192"/>
        <v>2024</v>
      </c>
      <c r="M4114" t="str">
        <f t="shared" si="193"/>
        <v>Sep</v>
      </c>
      <c r="N4114" s="2">
        <f t="shared" si="194"/>
        <v>0.15435495737143087</v>
      </c>
    </row>
    <row r="4115" spans="1:14" x14ac:dyDescent="0.45">
      <c r="A4115" t="s">
        <v>7452</v>
      </c>
      <c r="B4115" s="1">
        <v>44781</v>
      </c>
      <c r="C4115" t="s">
        <v>1802</v>
      </c>
      <c r="D4115" t="s">
        <v>56</v>
      </c>
      <c r="E4115" t="s">
        <v>14</v>
      </c>
      <c r="F4115" t="s">
        <v>15</v>
      </c>
      <c r="G4115">
        <v>2</v>
      </c>
      <c r="H4115">
        <v>39983.910000000003</v>
      </c>
      <c r="I4115">
        <v>2494.46</v>
      </c>
      <c r="J4115" t="s">
        <v>47</v>
      </c>
      <c r="K4115" t="s">
        <v>29</v>
      </c>
      <c r="L4115">
        <f t="shared" si="192"/>
        <v>2022</v>
      </c>
      <c r="M4115" t="str">
        <f t="shared" si="193"/>
        <v>Aug</v>
      </c>
      <c r="N4115" s="2">
        <f t="shared" si="194"/>
        <v>6.2386595007841897E-2</v>
      </c>
    </row>
    <row r="4116" spans="1:14" x14ac:dyDescent="0.45">
      <c r="A4116" t="s">
        <v>7453</v>
      </c>
      <c r="B4116" s="1">
        <v>44684</v>
      </c>
      <c r="C4116" t="s">
        <v>7454</v>
      </c>
      <c r="D4116" t="s">
        <v>26</v>
      </c>
      <c r="E4116" t="s">
        <v>14</v>
      </c>
      <c r="F4116" t="s">
        <v>40</v>
      </c>
      <c r="G4116">
        <v>1</v>
      </c>
      <c r="H4116">
        <v>15422.7</v>
      </c>
      <c r="I4116">
        <v>3315.5</v>
      </c>
      <c r="J4116" t="s">
        <v>22</v>
      </c>
      <c r="K4116" t="s">
        <v>29</v>
      </c>
      <c r="L4116">
        <f t="shared" si="192"/>
        <v>2022</v>
      </c>
      <c r="M4116" t="str">
        <f t="shared" si="193"/>
        <v>May</v>
      </c>
      <c r="N4116" s="2">
        <f t="shared" si="194"/>
        <v>0.21497532857411478</v>
      </c>
    </row>
    <row r="4117" spans="1:14" x14ac:dyDescent="0.45">
      <c r="A4117" t="s">
        <v>7455</v>
      </c>
      <c r="B4117" s="1">
        <v>45236</v>
      </c>
      <c r="C4117" t="s">
        <v>5138</v>
      </c>
      <c r="D4117" t="s">
        <v>56</v>
      </c>
      <c r="E4117" t="s">
        <v>20</v>
      </c>
      <c r="F4117" t="s">
        <v>50</v>
      </c>
      <c r="G4117">
        <v>1</v>
      </c>
      <c r="H4117">
        <v>40848.36</v>
      </c>
      <c r="I4117">
        <v>7966.44</v>
      </c>
      <c r="J4117" t="s">
        <v>28</v>
      </c>
      <c r="K4117" t="s">
        <v>17</v>
      </c>
      <c r="L4117">
        <f t="shared" si="192"/>
        <v>2023</v>
      </c>
      <c r="M4117" t="str">
        <f t="shared" si="193"/>
        <v>Nov</v>
      </c>
      <c r="N4117" s="2">
        <f t="shared" si="194"/>
        <v>0.19502472069870122</v>
      </c>
    </row>
    <row r="4118" spans="1:14" x14ac:dyDescent="0.45">
      <c r="A4118" t="s">
        <v>7456</v>
      </c>
      <c r="B4118" s="1">
        <v>45376</v>
      </c>
      <c r="C4118" t="s">
        <v>7457</v>
      </c>
      <c r="D4118" t="s">
        <v>26</v>
      </c>
      <c r="E4118" t="s">
        <v>20</v>
      </c>
      <c r="F4118" t="s">
        <v>21</v>
      </c>
      <c r="G4118">
        <v>1</v>
      </c>
      <c r="H4118">
        <v>3692.29</v>
      </c>
      <c r="I4118">
        <v>312.35000000000002</v>
      </c>
      <c r="J4118" t="s">
        <v>28</v>
      </c>
      <c r="K4118" t="s">
        <v>23</v>
      </c>
      <c r="L4118">
        <f t="shared" si="192"/>
        <v>2024</v>
      </c>
      <c r="M4118" t="str">
        <f t="shared" si="193"/>
        <v>Mar</v>
      </c>
      <c r="N4118" s="2">
        <f t="shared" si="194"/>
        <v>8.4595197018652382E-2</v>
      </c>
    </row>
    <row r="4119" spans="1:14" x14ac:dyDescent="0.45">
      <c r="A4119" t="s">
        <v>7458</v>
      </c>
      <c r="B4119" s="1">
        <v>44900</v>
      </c>
      <c r="C4119" t="s">
        <v>5406</v>
      </c>
      <c r="D4119" t="s">
        <v>26</v>
      </c>
      <c r="E4119" t="s">
        <v>14</v>
      </c>
      <c r="F4119" t="s">
        <v>40</v>
      </c>
      <c r="G4119">
        <v>5</v>
      </c>
      <c r="H4119">
        <v>24574.080000000002</v>
      </c>
      <c r="I4119">
        <v>2207.59</v>
      </c>
      <c r="J4119" t="s">
        <v>16</v>
      </c>
      <c r="K4119" t="s">
        <v>29</v>
      </c>
      <c r="L4119">
        <f t="shared" si="192"/>
        <v>2022</v>
      </c>
      <c r="M4119" t="str">
        <f t="shared" si="193"/>
        <v>Dec</v>
      </c>
      <c r="N4119" s="2">
        <f t="shared" si="194"/>
        <v>8.9834085345209258E-2</v>
      </c>
    </row>
    <row r="4120" spans="1:14" x14ac:dyDescent="0.45">
      <c r="A4120" t="s">
        <v>7459</v>
      </c>
      <c r="B4120" s="1">
        <v>45510</v>
      </c>
      <c r="C4120" t="s">
        <v>3199</v>
      </c>
      <c r="D4120" t="s">
        <v>26</v>
      </c>
      <c r="E4120" t="s">
        <v>14</v>
      </c>
      <c r="F4120" t="s">
        <v>15</v>
      </c>
      <c r="G4120">
        <v>4</v>
      </c>
      <c r="H4120">
        <v>19408.060000000001</v>
      </c>
      <c r="I4120">
        <v>988.64</v>
      </c>
      <c r="J4120" t="s">
        <v>16</v>
      </c>
      <c r="K4120" t="s">
        <v>17</v>
      </c>
      <c r="L4120">
        <f t="shared" si="192"/>
        <v>2024</v>
      </c>
      <c r="M4120" t="str">
        <f t="shared" si="193"/>
        <v>Aug</v>
      </c>
      <c r="N4120" s="2">
        <f t="shared" si="194"/>
        <v>5.0939661151088771E-2</v>
      </c>
    </row>
    <row r="4121" spans="1:14" x14ac:dyDescent="0.45">
      <c r="A4121" t="s">
        <v>7460</v>
      </c>
      <c r="B4121" s="1">
        <v>44926</v>
      </c>
      <c r="C4121" t="s">
        <v>5372</v>
      </c>
      <c r="D4121" t="s">
        <v>26</v>
      </c>
      <c r="E4121" t="s">
        <v>14</v>
      </c>
      <c r="F4121" t="s">
        <v>15</v>
      </c>
      <c r="G4121">
        <v>4</v>
      </c>
      <c r="H4121">
        <v>15992.4</v>
      </c>
      <c r="I4121">
        <v>2217.9299999999998</v>
      </c>
      <c r="J4121" t="s">
        <v>16</v>
      </c>
      <c r="K4121" t="s">
        <v>29</v>
      </c>
      <c r="L4121">
        <f t="shared" si="192"/>
        <v>2022</v>
      </c>
      <c r="M4121" t="str">
        <f t="shared" si="193"/>
        <v>Dec</v>
      </c>
      <c r="N4121" s="2">
        <f t="shared" si="194"/>
        <v>0.13868650108801681</v>
      </c>
    </row>
    <row r="4122" spans="1:14" x14ac:dyDescent="0.45">
      <c r="A4122" t="s">
        <v>7461</v>
      </c>
      <c r="B4122" s="1">
        <v>44832</v>
      </c>
      <c r="C4122" t="s">
        <v>7462</v>
      </c>
      <c r="D4122" t="s">
        <v>56</v>
      </c>
      <c r="E4122" t="s">
        <v>36</v>
      </c>
      <c r="F4122" t="s">
        <v>37</v>
      </c>
      <c r="G4122">
        <v>4</v>
      </c>
      <c r="H4122">
        <v>49322.8</v>
      </c>
      <c r="I4122">
        <v>6954.42</v>
      </c>
      <c r="J4122" t="s">
        <v>47</v>
      </c>
      <c r="K4122" t="s">
        <v>33</v>
      </c>
      <c r="L4122">
        <f t="shared" si="192"/>
        <v>2022</v>
      </c>
      <c r="M4122" t="str">
        <f t="shared" si="193"/>
        <v>Sep</v>
      </c>
      <c r="N4122" s="2">
        <f t="shared" si="194"/>
        <v>0.14099807796799857</v>
      </c>
    </row>
    <row r="4123" spans="1:14" x14ac:dyDescent="0.45">
      <c r="A4123" t="s">
        <v>7463</v>
      </c>
      <c r="B4123" s="1">
        <v>44934</v>
      </c>
      <c r="C4123" t="s">
        <v>7464</v>
      </c>
      <c r="D4123" t="s">
        <v>26</v>
      </c>
      <c r="E4123" t="s">
        <v>36</v>
      </c>
      <c r="F4123" t="s">
        <v>37</v>
      </c>
      <c r="G4123">
        <v>4</v>
      </c>
      <c r="H4123">
        <v>32946.86</v>
      </c>
      <c r="I4123">
        <v>2125.0500000000002</v>
      </c>
      <c r="J4123" t="s">
        <v>71</v>
      </c>
      <c r="K4123" t="s">
        <v>17</v>
      </c>
      <c r="L4123">
        <f t="shared" si="192"/>
        <v>2023</v>
      </c>
      <c r="M4123" t="str">
        <f t="shared" si="193"/>
        <v>Jan</v>
      </c>
      <c r="N4123" s="2">
        <f t="shared" si="194"/>
        <v>6.4499317992670627E-2</v>
      </c>
    </row>
    <row r="4124" spans="1:14" x14ac:dyDescent="0.45">
      <c r="A4124" t="s">
        <v>7465</v>
      </c>
      <c r="B4124" s="1">
        <v>45277</v>
      </c>
      <c r="C4124" t="s">
        <v>7466</v>
      </c>
      <c r="D4124" t="s">
        <v>13</v>
      </c>
      <c r="E4124" t="s">
        <v>20</v>
      </c>
      <c r="F4124" t="s">
        <v>27</v>
      </c>
      <c r="G4124">
        <v>5</v>
      </c>
      <c r="H4124">
        <v>46361.38</v>
      </c>
      <c r="I4124">
        <v>10032.450000000001</v>
      </c>
      <c r="J4124" t="s">
        <v>16</v>
      </c>
      <c r="K4124" t="s">
        <v>23</v>
      </c>
      <c r="L4124">
        <f t="shared" si="192"/>
        <v>2023</v>
      </c>
      <c r="M4124" t="str">
        <f t="shared" si="193"/>
        <v>Dec</v>
      </c>
      <c r="N4124" s="2">
        <f t="shared" si="194"/>
        <v>0.2163967077770334</v>
      </c>
    </row>
    <row r="4125" spans="1:14" x14ac:dyDescent="0.45">
      <c r="A4125" t="s">
        <v>7467</v>
      </c>
      <c r="B4125" s="1">
        <v>45595</v>
      </c>
      <c r="C4125" t="s">
        <v>1161</v>
      </c>
      <c r="D4125" t="s">
        <v>56</v>
      </c>
      <c r="E4125" t="s">
        <v>14</v>
      </c>
      <c r="F4125" t="s">
        <v>15</v>
      </c>
      <c r="G4125">
        <v>1</v>
      </c>
      <c r="H4125">
        <v>12047.78</v>
      </c>
      <c r="I4125">
        <v>2365.06</v>
      </c>
      <c r="J4125" t="s">
        <v>71</v>
      </c>
      <c r="K4125" t="s">
        <v>33</v>
      </c>
      <c r="L4125">
        <f t="shared" si="192"/>
        <v>2024</v>
      </c>
      <c r="M4125" t="str">
        <f t="shared" si="193"/>
        <v>Oct</v>
      </c>
      <c r="N4125" s="2">
        <f t="shared" si="194"/>
        <v>0.1963067054677293</v>
      </c>
    </row>
    <row r="4126" spans="1:14" x14ac:dyDescent="0.45">
      <c r="A4126" t="s">
        <v>7468</v>
      </c>
      <c r="B4126" s="1">
        <v>45048</v>
      </c>
      <c r="C4126" t="s">
        <v>7469</v>
      </c>
      <c r="D4126" t="s">
        <v>56</v>
      </c>
      <c r="E4126" t="s">
        <v>36</v>
      </c>
      <c r="F4126" t="s">
        <v>64</v>
      </c>
      <c r="G4126">
        <v>4</v>
      </c>
      <c r="H4126">
        <v>2662.59</v>
      </c>
      <c r="I4126">
        <v>263.92</v>
      </c>
      <c r="J4126" t="s">
        <v>28</v>
      </c>
      <c r="K4126" t="s">
        <v>29</v>
      </c>
      <c r="L4126">
        <f t="shared" si="192"/>
        <v>2023</v>
      </c>
      <c r="M4126" t="str">
        <f t="shared" si="193"/>
        <v>May</v>
      </c>
      <c r="N4126" s="2">
        <f t="shared" si="194"/>
        <v>9.912153204210937E-2</v>
      </c>
    </row>
    <row r="4127" spans="1:14" x14ac:dyDescent="0.45">
      <c r="A4127" t="s">
        <v>7470</v>
      </c>
      <c r="B4127" s="1">
        <v>44896</v>
      </c>
      <c r="C4127" t="s">
        <v>7471</v>
      </c>
      <c r="D4127" t="s">
        <v>26</v>
      </c>
      <c r="E4127" t="s">
        <v>14</v>
      </c>
      <c r="F4127" t="s">
        <v>40</v>
      </c>
      <c r="G4127">
        <v>5</v>
      </c>
      <c r="H4127">
        <v>22143.17</v>
      </c>
      <c r="I4127">
        <v>2179.6</v>
      </c>
      <c r="J4127" t="s">
        <v>22</v>
      </c>
      <c r="K4127" t="s">
        <v>17</v>
      </c>
      <c r="L4127">
        <f t="shared" si="192"/>
        <v>2022</v>
      </c>
      <c r="M4127" t="str">
        <f t="shared" si="193"/>
        <v>Dec</v>
      </c>
      <c r="N4127" s="2">
        <f t="shared" si="194"/>
        <v>9.8432157635966314E-2</v>
      </c>
    </row>
    <row r="4128" spans="1:14" x14ac:dyDescent="0.45">
      <c r="A4128" t="s">
        <v>7472</v>
      </c>
      <c r="B4128" s="1">
        <v>45064</v>
      </c>
      <c r="C4128" t="s">
        <v>1583</v>
      </c>
      <c r="D4128" t="s">
        <v>13</v>
      </c>
      <c r="E4128" t="s">
        <v>36</v>
      </c>
      <c r="F4128" t="s">
        <v>46</v>
      </c>
      <c r="G4128">
        <v>5</v>
      </c>
      <c r="H4128">
        <v>26319.21</v>
      </c>
      <c r="I4128">
        <v>5415.87</v>
      </c>
      <c r="J4128" t="s">
        <v>71</v>
      </c>
      <c r="K4128" t="s">
        <v>17</v>
      </c>
      <c r="L4128">
        <f t="shared" si="192"/>
        <v>2023</v>
      </c>
      <c r="M4128" t="str">
        <f t="shared" si="193"/>
        <v>May</v>
      </c>
      <c r="N4128" s="2">
        <f t="shared" si="194"/>
        <v>0.20577631319481093</v>
      </c>
    </row>
    <row r="4129" spans="1:14" x14ac:dyDescent="0.45">
      <c r="A4129" t="s">
        <v>7473</v>
      </c>
      <c r="B4129" s="1">
        <v>44707</v>
      </c>
      <c r="C4129" t="s">
        <v>3699</v>
      </c>
      <c r="D4129" t="s">
        <v>56</v>
      </c>
      <c r="E4129" t="s">
        <v>36</v>
      </c>
      <c r="F4129" t="s">
        <v>53</v>
      </c>
      <c r="G4129">
        <v>1</v>
      </c>
      <c r="H4129">
        <v>48453.51</v>
      </c>
      <c r="I4129">
        <v>6734.53</v>
      </c>
      <c r="J4129" t="s">
        <v>71</v>
      </c>
      <c r="K4129" t="s">
        <v>23</v>
      </c>
      <c r="L4129">
        <f t="shared" si="192"/>
        <v>2022</v>
      </c>
      <c r="M4129" t="str">
        <f t="shared" si="193"/>
        <v>May</v>
      </c>
      <c r="N4129" s="2">
        <f t="shared" si="194"/>
        <v>0.13898951799363968</v>
      </c>
    </row>
    <row r="4130" spans="1:14" x14ac:dyDescent="0.45">
      <c r="A4130" t="s">
        <v>7474</v>
      </c>
      <c r="B4130" s="1">
        <v>45017</v>
      </c>
      <c r="C4130" t="s">
        <v>7475</v>
      </c>
      <c r="D4130" t="s">
        <v>56</v>
      </c>
      <c r="E4130" t="s">
        <v>36</v>
      </c>
      <c r="F4130" t="s">
        <v>53</v>
      </c>
      <c r="G4130">
        <v>4</v>
      </c>
      <c r="H4130">
        <v>11375.49</v>
      </c>
      <c r="I4130">
        <v>2204.5100000000002</v>
      </c>
      <c r="J4130" t="s">
        <v>16</v>
      </c>
      <c r="K4130" t="s">
        <v>23</v>
      </c>
      <c r="L4130">
        <f t="shared" si="192"/>
        <v>2023</v>
      </c>
      <c r="M4130" t="str">
        <f t="shared" si="193"/>
        <v>Apr</v>
      </c>
      <c r="N4130" s="2">
        <f t="shared" si="194"/>
        <v>0.19379472884244989</v>
      </c>
    </row>
    <row r="4131" spans="1:14" x14ac:dyDescent="0.45">
      <c r="A4131" t="s">
        <v>7476</v>
      </c>
      <c r="B4131" s="1">
        <v>45095</v>
      </c>
      <c r="C4131" t="s">
        <v>2580</v>
      </c>
      <c r="D4131" t="s">
        <v>56</v>
      </c>
      <c r="E4131" t="s">
        <v>14</v>
      </c>
      <c r="F4131" t="s">
        <v>32</v>
      </c>
      <c r="G4131">
        <v>1</v>
      </c>
      <c r="H4131">
        <v>38532.699999999997</v>
      </c>
      <c r="I4131">
        <v>7602.61</v>
      </c>
      <c r="J4131" t="s">
        <v>28</v>
      </c>
      <c r="K4131" t="s">
        <v>17</v>
      </c>
      <c r="L4131">
        <f t="shared" si="192"/>
        <v>2023</v>
      </c>
      <c r="M4131" t="str">
        <f t="shared" si="193"/>
        <v>Jun</v>
      </c>
      <c r="N4131" s="2">
        <f t="shared" si="194"/>
        <v>0.19730281034030836</v>
      </c>
    </row>
    <row r="4132" spans="1:14" x14ac:dyDescent="0.45">
      <c r="A4132" t="s">
        <v>7477</v>
      </c>
      <c r="B4132" s="1">
        <v>44856</v>
      </c>
      <c r="C4132" t="s">
        <v>7478</v>
      </c>
      <c r="D4132" t="s">
        <v>56</v>
      </c>
      <c r="E4132" t="s">
        <v>14</v>
      </c>
      <c r="F4132" t="s">
        <v>32</v>
      </c>
      <c r="G4132">
        <v>4</v>
      </c>
      <c r="H4132">
        <v>30830.59</v>
      </c>
      <c r="I4132">
        <v>7670.21</v>
      </c>
      <c r="J4132" t="s">
        <v>22</v>
      </c>
      <c r="K4132" t="s">
        <v>23</v>
      </c>
      <c r="L4132">
        <f t="shared" si="192"/>
        <v>2022</v>
      </c>
      <c r="M4132" t="str">
        <f t="shared" si="193"/>
        <v>Oct</v>
      </c>
      <c r="N4132" s="2">
        <f t="shared" si="194"/>
        <v>0.24878570277117629</v>
      </c>
    </row>
    <row r="4133" spans="1:14" x14ac:dyDescent="0.45">
      <c r="A4133" t="s">
        <v>7479</v>
      </c>
      <c r="B4133" s="1">
        <v>45649</v>
      </c>
      <c r="C4133" t="s">
        <v>317</v>
      </c>
      <c r="D4133" t="s">
        <v>13</v>
      </c>
      <c r="E4133" t="s">
        <v>14</v>
      </c>
      <c r="F4133" t="s">
        <v>57</v>
      </c>
      <c r="G4133">
        <v>2</v>
      </c>
      <c r="H4133">
        <v>4805.76</v>
      </c>
      <c r="I4133">
        <v>792.65</v>
      </c>
      <c r="J4133" t="s">
        <v>47</v>
      </c>
      <c r="K4133" t="s">
        <v>17</v>
      </c>
      <c r="L4133">
        <f t="shared" si="192"/>
        <v>2024</v>
      </c>
      <c r="M4133" t="str">
        <f t="shared" si="193"/>
        <v>Dec</v>
      </c>
      <c r="N4133" s="2">
        <f t="shared" si="194"/>
        <v>0.16493749167665467</v>
      </c>
    </row>
    <row r="4134" spans="1:14" x14ac:dyDescent="0.45">
      <c r="A4134" t="s">
        <v>7480</v>
      </c>
      <c r="B4134" s="1">
        <v>44892</v>
      </c>
      <c r="C4134" t="s">
        <v>7481</v>
      </c>
      <c r="D4134" t="s">
        <v>13</v>
      </c>
      <c r="E4134" t="s">
        <v>14</v>
      </c>
      <c r="F4134" t="s">
        <v>57</v>
      </c>
      <c r="G4134">
        <v>5</v>
      </c>
      <c r="H4134">
        <v>42953.37</v>
      </c>
      <c r="I4134">
        <v>2513.81</v>
      </c>
      <c r="J4134" t="s">
        <v>71</v>
      </c>
      <c r="K4134" t="s">
        <v>33</v>
      </c>
      <c r="L4134">
        <f t="shared" si="192"/>
        <v>2022</v>
      </c>
      <c r="M4134" t="str">
        <f t="shared" si="193"/>
        <v>Nov</v>
      </c>
      <c r="N4134" s="2">
        <f t="shared" si="194"/>
        <v>5.8524162364908733E-2</v>
      </c>
    </row>
    <row r="4135" spans="1:14" x14ac:dyDescent="0.45">
      <c r="A4135" t="s">
        <v>7482</v>
      </c>
      <c r="B4135" s="1">
        <v>45221</v>
      </c>
      <c r="C4135" t="s">
        <v>7483</v>
      </c>
      <c r="D4135" t="s">
        <v>26</v>
      </c>
      <c r="E4135" t="s">
        <v>36</v>
      </c>
      <c r="F4135" t="s">
        <v>46</v>
      </c>
      <c r="G4135">
        <v>5</v>
      </c>
      <c r="H4135">
        <v>35673.019999999997</v>
      </c>
      <c r="I4135">
        <v>2834.05</v>
      </c>
      <c r="J4135" t="s">
        <v>16</v>
      </c>
      <c r="K4135" t="s">
        <v>29</v>
      </c>
      <c r="L4135">
        <f t="shared" si="192"/>
        <v>2023</v>
      </c>
      <c r="M4135" t="str">
        <f t="shared" si="193"/>
        <v>Oct</v>
      </c>
      <c r="N4135" s="2">
        <f t="shared" si="194"/>
        <v>7.9445194155134624E-2</v>
      </c>
    </row>
    <row r="4136" spans="1:14" x14ac:dyDescent="0.45">
      <c r="A4136" t="s">
        <v>7484</v>
      </c>
      <c r="B4136" s="1">
        <v>45455</v>
      </c>
      <c r="C4136" t="s">
        <v>7485</v>
      </c>
      <c r="D4136" t="s">
        <v>56</v>
      </c>
      <c r="E4136" t="s">
        <v>36</v>
      </c>
      <c r="F4136" t="s">
        <v>53</v>
      </c>
      <c r="G4136">
        <v>3</v>
      </c>
      <c r="H4136">
        <v>34895.65</v>
      </c>
      <c r="I4136">
        <v>2579.06</v>
      </c>
      <c r="J4136" t="s">
        <v>28</v>
      </c>
      <c r="K4136" t="s">
        <v>17</v>
      </c>
      <c r="L4136">
        <f t="shared" si="192"/>
        <v>2024</v>
      </c>
      <c r="M4136" t="str">
        <f t="shared" si="193"/>
        <v>Jun</v>
      </c>
      <c r="N4136" s="2">
        <f t="shared" si="194"/>
        <v>7.390777933639292E-2</v>
      </c>
    </row>
    <row r="4137" spans="1:14" x14ac:dyDescent="0.45">
      <c r="A4137" t="s">
        <v>7486</v>
      </c>
      <c r="B4137" s="1">
        <v>45464</v>
      </c>
      <c r="C4137" t="s">
        <v>7487</v>
      </c>
      <c r="D4137" t="s">
        <v>26</v>
      </c>
      <c r="E4137" t="s">
        <v>20</v>
      </c>
      <c r="F4137" t="s">
        <v>21</v>
      </c>
      <c r="G4137">
        <v>4</v>
      </c>
      <c r="H4137">
        <v>34829.71</v>
      </c>
      <c r="I4137">
        <v>6829.94</v>
      </c>
      <c r="J4137" t="s">
        <v>22</v>
      </c>
      <c r="K4137" t="s">
        <v>23</v>
      </c>
      <c r="L4137">
        <f t="shared" si="192"/>
        <v>2024</v>
      </c>
      <c r="M4137" t="str">
        <f t="shared" si="193"/>
        <v>Jun</v>
      </c>
      <c r="N4137" s="2">
        <f t="shared" si="194"/>
        <v>0.19609523019284397</v>
      </c>
    </row>
    <row r="4138" spans="1:14" x14ac:dyDescent="0.45">
      <c r="A4138" t="s">
        <v>7488</v>
      </c>
      <c r="B4138" s="1">
        <v>45210</v>
      </c>
      <c r="C4138" t="s">
        <v>7489</v>
      </c>
      <c r="D4138" t="s">
        <v>13</v>
      </c>
      <c r="E4138" t="s">
        <v>36</v>
      </c>
      <c r="F4138" t="s">
        <v>53</v>
      </c>
      <c r="G4138">
        <v>2</v>
      </c>
      <c r="H4138">
        <v>1081.17</v>
      </c>
      <c r="I4138">
        <v>233.96</v>
      </c>
      <c r="J4138" t="s">
        <v>22</v>
      </c>
      <c r="K4138" t="s">
        <v>17</v>
      </c>
      <c r="L4138">
        <f t="shared" si="192"/>
        <v>2023</v>
      </c>
      <c r="M4138" t="str">
        <f t="shared" si="193"/>
        <v>Oct</v>
      </c>
      <c r="N4138" s="2">
        <f t="shared" si="194"/>
        <v>0.21639520149467706</v>
      </c>
    </row>
    <row r="4139" spans="1:14" x14ac:dyDescent="0.45">
      <c r="A4139" t="s">
        <v>7490</v>
      </c>
      <c r="B4139" s="1">
        <v>44602</v>
      </c>
      <c r="C4139" t="s">
        <v>7491</v>
      </c>
      <c r="D4139" t="s">
        <v>13</v>
      </c>
      <c r="E4139" t="s">
        <v>36</v>
      </c>
      <c r="F4139" t="s">
        <v>37</v>
      </c>
      <c r="G4139">
        <v>2</v>
      </c>
      <c r="H4139">
        <v>13290.98</v>
      </c>
      <c r="I4139">
        <v>856.26</v>
      </c>
      <c r="J4139" t="s">
        <v>22</v>
      </c>
      <c r="K4139" t="s">
        <v>33</v>
      </c>
      <c r="L4139">
        <f t="shared" si="192"/>
        <v>2022</v>
      </c>
      <c r="M4139" t="str">
        <f t="shared" si="193"/>
        <v>Feb</v>
      </c>
      <c r="N4139" s="2">
        <f t="shared" si="194"/>
        <v>6.4424143291164387E-2</v>
      </c>
    </row>
    <row r="4140" spans="1:14" x14ac:dyDescent="0.45">
      <c r="A4140" t="s">
        <v>7492</v>
      </c>
      <c r="B4140" s="1">
        <v>44596</v>
      </c>
      <c r="C4140" t="s">
        <v>6906</v>
      </c>
      <c r="D4140" t="s">
        <v>56</v>
      </c>
      <c r="E4140" t="s">
        <v>20</v>
      </c>
      <c r="F4140" t="s">
        <v>43</v>
      </c>
      <c r="G4140">
        <v>5</v>
      </c>
      <c r="H4140">
        <v>47140.5</v>
      </c>
      <c r="I4140">
        <v>3692.15</v>
      </c>
      <c r="J4140" t="s">
        <v>16</v>
      </c>
      <c r="K4140" t="s">
        <v>29</v>
      </c>
      <c r="L4140">
        <f t="shared" si="192"/>
        <v>2022</v>
      </c>
      <c r="M4140" t="str">
        <f t="shared" si="193"/>
        <v>Feb</v>
      </c>
      <c r="N4140" s="2">
        <f t="shared" si="194"/>
        <v>7.8322249445805625E-2</v>
      </c>
    </row>
    <row r="4141" spans="1:14" x14ac:dyDescent="0.45">
      <c r="A4141" t="s">
        <v>7493</v>
      </c>
      <c r="B4141" s="1">
        <v>45111</v>
      </c>
      <c r="C4141" t="s">
        <v>1157</v>
      </c>
      <c r="D4141" t="s">
        <v>13</v>
      </c>
      <c r="E4141" t="s">
        <v>36</v>
      </c>
      <c r="F4141" t="s">
        <v>53</v>
      </c>
      <c r="G4141">
        <v>1</v>
      </c>
      <c r="H4141">
        <v>29986.799999999999</v>
      </c>
      <c r="I4141">
        <v>6754.18</v>
      </c>
      <c r="J4141" t="s">
        <v>47</v>
      </c>
      <c r="K4141" t="s">
        <v>23</v>
      </c>
      <c r="L4141">
        <f t="shared" si="192"/>
        <v>2023</v>
      </c>
      <c r="M4141" t="str">
        <f t="shared" si="193"/>
        <v>Jul</v>
      </c>
      <c r="N4141" s="2">
        <f t="shared" si="194"/>
        <v>0.22523843824616166</v>
      </c>
    </row>
    <row r="4142" spans="1:14" x14ac:dyDescent="0.45">
      <c r="A4142" t="s">
        <v>7494</v>
      </c>
      <c r="B4142" s="1">
        <v>45410</v>
      </c>
      <c r="C4142" t="s">
        <v>7495</v>
      </c>
      <c r="D4142" t="s">
        <v>26</v>
      </c>
      <c r="E4142" t="s">
        <v>14</v>
      </c>
      <c r="F4142" t="s">
        <v>15</v>
      </c>
      <c r="G4142">
        <v>3</v>
      </c>
      <c r="H4142">
        <v>28769.54</v>
      </c>
      <c r="I4142">
        <v>6018.29</v>
      </c>
      <c r="J4142" t="s">
        <v>28</v>
      </c>
      <c r="K4142" t="s">
        <v>33</v>
      </c>
      <c r="L4142">
        <f t="shared" si="192"/>
        <v>2024</v>
      </c>
      <c r="M4142" t="str">
        <f t="shared" si="193"/>
        <v>Apr</v>
      </c>
      <c r="N4142" s="2">
        <f t="shared" si="194"/>
        <v>0.20918964988665095</v>
      </c>
    </row>
    <row r="4143" spans="1:14" x14ac:dyDescent="0.45">
      <c r="A4143" t="s">
        <v>7496</v>
      </c>
      <c r="B4143" s="1">
        <v>45384</v>
      </c>
      <c r="C4143" t="s">
        <v>5865</v>
      </c>
      <c r="D4143" t="s">
        <v>13</v>
      </c>
      <c r="E4143" t="s">
        <v>14</v>
      </c>
      <c r="F4143" t="s">
        <v>57</v>
      </c>
      <c r="G4143">
        <v>1</v>
      </c>
      <c r="H4143">
        <v>44468.81</v>
      </c>
      <c r="I4143">
        <v>6301.28</v>
      </c>
      <c r="J4143" t="s">
        <v>22</v>
      </c>
      <c r="K4143" t="s">
        <v>29</v>
      </c>
      <c r="L4143">
        <f t="shared" si="192"/>
        <v>2024</v>
      </c>
      <c r="M4143" t="str">
        <f t="shared" si="193"/>
        <v>Apr</v>
      </c>
      <c r="N4143" s="2">
        <f t="shared" si="194"/>
        <v>0.14170111590573259</v>
      </c>
    </row>
    <row r="4144" spans="1:14" x14ac:dyDescent="0.45">
      <c r="A4144" t="s">
        <v>7497</v>
      </c>
      <c r="B4144" s="1">
        <v>45267</v>
      </c>
      <c r="C4144" t="s">
        <v>7498</v>
      </c>
      <c r="D4144" t="s">
        <v>13</v>
      </c>
      <c r="E4144" t="s">
        <v>20</v>
      </c>
      <c r="F4144" t="s">
        <v>21</v>
      </c>
      <c r="G4144">
        <v>5</v>
      </c>
      <c r="H4144">
        <v>2900.11</v>
      </c>
      <c r="I4144">
        <v>309.19</v>
      </c>
      <c r="J4144" t="s">
        <v>47</v>
      </c>
      <c r="K4144" t="s">
        <v>33</v>
      </c>
      <c r="L4144">
        <f t="shared" si="192"/>
        <v>2023</v>
      </c>
      <c r="M4144" t="str">
        <f t="shared" si="193"/>
        <v>Dec</v>
      </c>
      <c r="N4144" s="2">
        <f t="shared" si="194"/>
        <v>0.10661319743044229</v>
      </c>
    </row>
    <row r="4145" spans="1:14" x14ac:dyDescent="0.45">
      <c r="A4145" t="s">
        <v>7499</v>
      </c>
      <c r="B4145" s="1">
        <v>45639</v>
      </c>
      <c r="C4145" t="s">
        <v>7500</v>
      </c>
      <c r="D4145" t="s">
        <v>26</v>
      </c>
      <c r="E4145" t="s">
        <v>36</v>
      </c>
      <c r="F4145" t="s">
        <v>46</v>
      </c>
      <c r="G4145">
        <v>2</v>
      </c>
      <c r="H4145">
        <v>32504.33</v>
      </c>
      <c r="I4145">
        <v>5060.57</v>
      </c>
      <c r="J4145" t="s">
        <v>28</v>
      </c>
      <c r="K4145" t="s">
        <v>33</v>
      </c>
      <c r="L4145">
        <f t="shared" si="192"/>
        <v>2024</v>
      </c>
      <c r="M4145" t="str">
        <f t="shared" si="193"/>
        <v>Dec</v>
      </c>
      <c r="N4145" s="2">
        <f t="shared" si="194"/>
        <v>0.15568910357481602</v>
      </c>
    </row>
    <row r="4146" spans="1:14" x14ac:dyDescent="0.45">
      <c r="A4146" t="s">
        <v>7501</v>
      </c>
      <c r="B4146" s="1">
        <v>44644</v>
      </c>
      <c r="C4146" t="s">
        <v>7502</v>
      </c>
      <c r="D4146" t="s">
        <v>56</v>
      </c>
      <c r="E4146" t="s">
        <v>20</v>
      </c>
      <c r="F4146" t="s">
        <v>43</v>
      </c>
      <c r="G4146">
        <v>4</v>
      </c>
      <c r="H4146">
        <v>9794.52</v>
      </c>
      <c r="I4146">
        <v>2255.21</v>
      </c>
      <c r="J4146" t="s">
        <v>71</v>
      </c>
      <c r="K4146" t="s">
        <v>23</v>
      </c>
      <c r="L4146">
        <f t="shared" si="192"/>
        <v>2022</v>
      </c>
      <c r="M4146" t="str">
        <f t="shared" si="193"/>
        <v>Mar</v>
      </c>
      <c r="N4146" s="2">
        <f t="shared" si="194"/>
        <v>0.23025222267145301</v>
      </c>
    </row>
    <row r="4147" spans="1:14" x14ac:dyDescent="0.45">
      <c r="A4147" t="s">
        <v>7503</v>
      </c>
      <c r="B4147" s="1">
        <v>45221</v>
      </c>
      <c r="C4147" t="s">
        <v>7504</v>
      </c>
      <c r="D4147" t="s">
        <v>26</v>
      </c>
      <c r="E4147" t="s">
        <v>14</v>
      </c>
      <c r="F4147" t="s">
        <v>57</v>
      </c>
      <c r="G4147">
        <v>3</v>
      </c>
      <c r="H4147">
        <v>34782.949999999997</v>
      </c>
      <c r="I4147">
        <v>1978.9</v>
      </c>
      <c r="J4147" t="s">
        <v>16</v>
      </c>
      <c r="K4147" t="s">
        <v>29</v>
      </c>
      <c r="L4147">
        <f t="shared" si="192"/>
        <v>2023</v>
      </c>
      <c r="M4147" t="str">
        <f t="shared" si="193"/>
        <v>Oct</v>
      </c>
      <c r="N4147" s="2">
        <f t="shared" si="194"/>
        <v>5.6892816739235755E-2</v>
      </c>
    </row>
    <row r="4148" spans="1:14" x14ac:dyDescent="0.45">
      <c r="A4148" t="s">
        <v>7505</v>
      </c>
      <c r="B4148" s="1">
        <v>45276</v>
      </c>
      <c r="C4148" t="s">
        <v>7506</v>
      </c>
      <c r="D4148" t="s">
        <v>26</v>
      </c>
      <c r="E4148" t="s">
        <v>20</v>
      </c>
      <c r="F4148" t="s">
        <v>43</v>
      </c>
      <c r="G4148">
        <v>4</v>
      </c>
      <c r="H4148">
        <v>31706.2</v>
      </c>
      <c r="I4148">
        <v>4539.46</v>
      </c>
      <c r="J4148" t="s">
        <v>28</v>
      </c>
      <c r="K4148" t="s">
        <v>29</v>
      </c>
      <c r="L4148">
        <f t="shared" si="192"/>
        <v>2023</v>
      </c>
      <c r="M4148" t="str">
        <f t="shared" si="193"/>
        <v>Dec</v>
      </c>
      <c r="N4148" s="2">
        <f t="shared" si="194"/>
        <v>0.14317262869722641</v>
      </c>
    </row>
    <row r="4149" spans="1:14" x14ac:dyDescent="0.45">
      <c r="A4149" t="s">
        <v>7507</v>
      </c>
      <c r="B4149" s="1">
        <v>45017</v>
      </c>
      <c r="C4149" t="s">
        <v>6710</v>
      </c>
      <c r="D4149" t="s">
        <v>26</v>
      </c>
      <c r="E4149" t="s">
        <v>36</v>
      </c>
      <c r="F4149" t="s">
        <v>64</v>
      </c>
      <c r="G4149">
        <v>1</v>
      </c>
      <c r="H4149">
        <v>11208.26</v>
      </c>
      <c r="I4149">
        <v>1551.21</v>
      </c>
      <c r="J4149" t="s">
        <v>28</v>
      </c>
      <c r="K4149" t="s">
        <v>23</v>
      </c>
      <c r="L4149">
        <f t="shared" si="192"/>
        <v>2023</v>
      </c>
      <c r="M4149" t="str">
        <f t="shared" si="193"/>
        <v>Apr</v>
      </c>
      <c r="N4149" s="2">
        <f t="shared" si="194"/>
        <v>0.13839882372464593</v>
      </c>
    </row>
    <row r="4150" spans="1:14" x14ac:dyDescent="0.45">
      <c r="A4150" t="s">
        <v>7508</v>
      </c>
      <c r="B4150" s="1">
        <v>45293</v>
      </c>
      <c r="C4150" t="s">
        <v>339</v>
      </c>
      <c r="D4150" t="s">
        <v>26</v>
      </c>
      <c r="E4150" t="s">
        <v>20</v>
      </c>
      <c r="F4150" t="s">
        <v>21</v>
      </c>
      <c r="G4150">
        <v>2</v>
      </c>
      <c r="H4150">
        <v>17504.169999999998</v>
      </c>
      <c r="I4150">
        <v>3104.65</v>
      </c>
      <c r="J4150" t="s">
        <v>22</v>
      </c>
      <c r="K4150" t="s">
        <v>17</v>
      </c>
      <c r="L4150">
        <f t="shared" si="192"/>
        <v>2024</v>
      </c>
      <c r="M4150" t="str">
        <f t="shared" si="193"/>
        <v>Jan</v>
      </c>
      <c r="N4150" s="2">
        <f t="shared" si="194"/>
        <v>0.17736630757128161</v>
      </c>
    </row>
    <row r="4151" spans="1:14" x14ac:dyDescent="0.45">
      <c r="A4151" t="s">
        <v>7509</v>
      </c>
      <c r="B4151" s="1">
        <v>44975</v>
      </c>
      <c r="C4151" t="s">
        <v>7510</v>
      </c>
      <c r="D4151" t="s">
        <v>13</v>
      </c>
      <c r="E4151" t="s">
        <v>14</v>
      </c>
      <c r="F4151" t="s">
        <v>40</v>
      </c>
      <c r="G4151">
        <v>4</v>
      </c>
      <c r="H4151">
        <v>30951.71</v>
      </c>
      <c r="I4151">
        <v>4688.7</v>
      </c>
      <c r="J4151" t="s">
        <v>28</v>
      </c>
      <c r="K4151" t="s">
        <v>23</v>
      </c>
      <c r="L4151">
        <f t="shared" si="192"/>
        <v>2023</v>
      </c>
      <c r="M4151" t="str">
        <f t="shared" si="193"/>
        <v>Feb</v>
      </c>
      <c r="N4151" s="2">
        <f t="shared" si="194"/>
        <v>0.15148436063790982</v>
      </c>
    </row>
    <row r="4152" spans="1:14" x14ac:dyDescent="0.45">
      <c r="A4152" t="s">
        <v>7511</v>
      </c>
      <c r="B4152" s="1">
        <v>45095</v>
      </c>
      <c r="C4152" t="s">
        <v>7512</v>
      </c>
      <c r="D4152" t="s">
        <v>56</v>
      </c>
      <c r="E4152" t="s">
        <v>14</v>
      </c>
      <c r="F4152" t="s">
        <v>15</v>
      </c>
      <c r="G4152">
        <v>4</v>
      </c>
      <c r="H4152">
        <v>26286.03</v>
      </c>
      <c r="I4152">
        <v>6224.97</v>
      </c>
      <c r="J4152" t="s">
        <v>28</v>
      </c>
      <c r="K4152" t="s">
        <v>23</v>
      </c>
      <c r="L4152">
        <f t="shared" si="192"/>
        <v>2023</v>
      </c>
      <c r="M4152" t="str">
        <f t="shared" si="193"/>
        <v>Jun</v>
      </c>
      <c r="N4152" s="2">
        <f t="shared" si="194"/>
        <v>0.23681666649547309</v>
      </c>
    </row>
    <row r="4153" spans="1:14" x14ac:dyDescent="0.45">
      <c r="A4153" t="s">
        <v>7513</v>
      </c>
      <c r="B4153" s="1">
        <v>45495</v>
      </c>
      <c r="C4153" t="s">
        <v>7514</v>
      </c>
      <c r="D4153" t="s">
        <v>56</v>
      </c>
      <c r="E4153" t="s">
        <v>36</v>
      </c>
      <c r="F4153" t="s">
        <v>46</v>
      </c>
      <c r="G4153">
        <v>3</v>
      </c>
      <c r="H4153">
        <v>19823.689999999999</v>
      </c>
      <c r="I4153">
        <v>1899.1</v>
      </c>
      <c r="J4153" t="s">
        <v>28</v>
      </c>
      <c r="K4153" t="s">
        <v>23</v>
      </c>
      <c r="L4153">
        <f t="shared" si="192"/>
        <v>2024</v>
      </c>
      <c r="M4153" t="str">
        <f t="shared" si="193"/>
        <v>Jul</v>
      </c>
      <c r="N4153" s="2">
        <f t="shared" si="194"/>
        <v>9.5799520674506117E-2</v>
      </c>
    </row>
    <row r="4154" spans="1:14" x14ac:dyDescent="0.45">
      <c r="A4154" t="s">
        <v>7515</v>
      </c>
      <c r="B4154" s="1">
        <v>45149</v>
      </c>
      <c r="C4154" t="s">
        <v>3519</v>
      </c>
      <c r="D4154" t="s">
        <v>13</v>
      </c>
      <c r="E4154" t="s">
        <v>14</v>
      </c>
      <c r="F4154" t="s">
        <v>15</v>
      </c>
      <c r="G4154">
        <v>1</v>
      </c>
      <c r="H4154">
        <v>31871.7</v>
      </c>
      <c r="I4154">
        <v>1709.53</v>
      </c>
      <c r="J4154" t="s">
        <v>16</v>
      </c>
      <c r="K4154" t="s">
        <v>17</v>
      </c>
      <c r="L4154">
        <f t="shared" si="192"/>
        <v>2023</v>
      </c>
      <c r="M4154" t="str">
        <f t="shared" si="193"/>
        <v>Aug</v>
      </c>
      <c r="N4154" s="2">
        <f t="shared" si="194"/>
        <v>5.3637866822290617E-2</v>
      </c>
    </row>
    <row r="4155" spans="1:14" x14ac:dyDescent="0.45">
      <c r="A4155" t="s">
        <v>7516</v>
      </c>
      <c r="B4155" s="1">
        <v>45611</v>
      </c>
      <c r="C4155" t="s">
        <v>4136</v>
      </c>
      <c r="D4155" t="s">
        <v>13</v>
      </c>
      <c r="E4155" t="s">
        <v>14</v>
      </c>
      <c r="F4155" t="s">
        <v>32</v>
      </c>
      <c r="G4155">
        <v>5</v>
      </c>
      <c r="H4155">
        <v>10668.62</v>
      </c>
      <c r="I4155">
        <v>1206.26</v>
      </c>
      <c r="J4155" t="s">
        <v>71</v>
      </c>
      <c r="K4155" t="s">
        <v>17</v>
      </c>
      <c r="L4155">
        <f t="shared" si="192"/>
        <v>2024</v>
      </c>
      <c r="M4155" t="str">
        <f t="shared" si="193"/>
        <v>Nov</v>
      </c>
      <c r="N4155" s="2">
        <f t="shared" si="194"/>
        <v>0.11306616975766312</v>
      </c>
    </row>
    <row r="4156" spans="1:14" x14ac:dyDescent="0.45">
      <c r="A4156" t="s">
        <v>7517</v>
      </c>
      <c r="B4156" s="1">
        <v>44578</v>
      </c>
      <c r="C4156" t="s">
        <v>7518</v>
      </c>
      <c r="D4156" t="s">
        <v>56</v>
      </c>
      <c r="E4156" t="s">
        <v>36</v>
      </c>
      <c r="F4156" t="s">
        <v>53</v>
      </c>
      <c r="G4156">
        <v>3</v>
      </c>
      <c r="H4156">
        <v>43544.32</v>
      </c>
      <c r="I4156">
        <v>9784.86</v>
      </c>
      <c r="J4156" t="s">
        <v>22</v>
      </c>
      <c r="K4156" t="s">
        <v>23</v>
      </c>
      <c r="L4156">
        <f t="shared" si="192"/>
        <v>2022</v>
      </c>
      <c r="M4156" t="str">
        <f t="shared" si="193"/>
        <v>Jan</v>
      </c>
      <c r="N4156" s="2">
        <f t="shared" si="194"/>
        <v>0.22471036406125991</v>
      </c>
    </row>
    <row r="4157" spans="1:14" x14ac:dyDescent="0.45">
      <c r="A4157" t="s">
        <v>7519</v>
      </c>
      <c r="B4157" s="1">
        <v>44899</v>
      </c>
      <c r="C4157" t="s">
        <v>7520</v>
      </c>
      <c r="D4157" t="s">
        <v>13</v>
      </c>
      <c r="E4157" t="s">
        <v>20</v>
      </c>
      <c r="F4157" t="s">
        <v>21</v>
      </c>
      <c r="G4157">
        <v>1</v>
      </c>
      <c r="H4157">
        <v>21904.6</v>
      </c>
      <c r="I4157">
        <v>2389.2399999999998</v>
      </c>
      <c r="J4157" t="s">
        <v>22</v>
      </c>
      <c r="K4157" t="s">
        <v>23</v>
      </c>
      <c r="L4157">
        <f t="shared" si="192"/>
        <v>2022</v>
      </c>
      <c r="M4157" t="str">
        <f t="shared" si="193"/>
        <v>Dec</v>
      </c>
      <c r="N4157" s="2">
        <f t="shared" si="194"/>
        <v>0.10907480620508934</v>
      </c>
    </row>
    <row r="4158" spans="1:14" x14ac:dyDescent="0.45">
      <c r="A4158" t="s">
        <v>7521</v>
      </c>
      <c r="B4158" s="1">
        <v>44726</v>
      </c>
      <c r="C4158" t="s">
        <v>7522</v>
      </c>
      <c r="D4158" t="s">
        <v>56</v>
      </c>
      <c r="E4158" t="s">
        <v>36</v>
      </c>
      <c r="F4158" t="s">
        <v>64</v>
      </c>
      <c r="G4158">
        <v>1</v>
      </c>
      <c r="H4158">
        <v>14706.82</v>
      </c>
      <c r="I4158">
        <v>3016.86</v>
      </c>
      <c r="J4158" t="s">
        <v>22</v>
      </c>
      <c r="K4158" t="s">
        <v>29</v>
      </c>
      <c r="L4158">
        <f t="shared" si="192"/>
        <v>2022</v>
      </c>
      <c r="M4158" t="str">
        <f t="shared" si="193"/>
        <v>Jun</v>
      </c>
      <c r="N4158" s="2">
        <f t="shared" si="194"/>
        <v>0.20513340069437175</v>
      </c>
    </row>
    <row r="4159" spans="1:14" x14ac:dyDescent="0.45">
      <c r="A4159" t="s">
        <v>7523</v>
      </c>
      <c r="B4159" s="1">
        <v>45222</v>
      </c>
      <c r="C4159" t="s">
        <v>7524</v>
      </c>
      <c r="D4159" t="s">
        <v>56</v>
      </c>
      <c r="E4159" t="s">
        <v>20</v>
      </c>
      <c r="F4159" t="s">
        <v>43</v>
      </c>
      <c r="G4159">
        <v>5</v>
      </c>
      <c r="H4159">
        <v>28558.720000000001</v>
      </c>
      <c r="I4159">
        <v>5294.92</v>
      </c>
      <c r="J4159" t="s">
        <v>28</v>
      </c>
      <c r="K4159" t="s">
        <v>23</v>
      </c>
      <c r="L4159">
        <f t="shared" si="192"/>
        <v>2023</v>
      </c>
      <c r="M4159" t="str">
        <f t="shared" si="193"/>
        <v>Oct</v>
      </c>
      <c r="N4159" s="2">
        <f t="shared" si="194"/>
        <v>0.18540466799632477</v>
      </c>
    </row>
    <row r="4160" spans="1:14" x14ac:dyDescent="0.45">
      <c r="A4160" t="s">
        <v>7525</v>
      </c>
      <c r="B4160" s="1">
        <v>45587</v>
      </c>
      <c r="C4160" t="s">
        <v>7526</v>
      </c>
      <c r="D4160" t="s">
        <v>26</v>
      </c>
      <c r="E4160" t="s">
        <v>36</v>
      </c>
      <c r="F4160" t="s">
        <v>46</v>
      </c>
      <c r="G4160">
        <v>2</v>
      </c>
      <c r="H4160">
        <v>38882.39</v>
      </c>
      <c r="I4160">
        <v>7115.55</v>
      </c>
      <c r="J4160" t="s">
        <v>47</v>
      </c>
      <c r="K4160" t="s">
        <v>23</v>
      </c>
      <c r="L4160">
        <f t="shared" si="192"/>
        <v>2024</v>
      </c>
      <c r="M4160" t="str">
        <f t="shared" si="193"/>
        <v>Oct</v>
      </c>
      <c r="N4160" s="2">
        <f t="shared" si="194"/>
        <v>0.18300186794073101</v>
      </c>
    </row>
    <row r="4161" spans="1:14" x14ac:dyDescent="0.45">
      <c r="A4161" t="s">
        <v>7527</v>
      </c>
      <c r="B4161" s="1">
        <v>44966</v>
      </c>
      <c r="C4161" t="s">
        <v>7528</v>
      </c>
      <c r="D4161" t="s">
        <v>26</v>
      </c>
      <c r="E4161" t="s">
        <v>20</v>
      </c>
      <c r="F4161" t="s">
        <v>50</v>
      </c>
      <c r="G4161">
        <v>2</v>
      </c>
      <c r="H4161">
        <v>6534.27</v>
      </c>
      <c r="I4161">
        <v>880.36</v>
      </c>
      <c r="J4161" t="s">
        <v>22</v>
      </c>
      <c r="K4161" t="s">
        <v>23</v>
      </c>
      <c r="L4161">
        <f t="shared" si="192"/>
        <v>2023</v>
      </c>
      <c r="M4161" t="str">
        <f t="shared" si="193"/>
        <v>Feb</v>
      </c>
      <c r="N4161" s="2">
        <f t="shared" si="194"/>
        <v>0.13472966375738987</v>
      </c>
    </row>
    <row r="4162" spans="1:14" x14ac:dyDescent="0.45">
      <c r="A4162" t="s">
        <v>7529</v>
      </c>
      <c r="B4162" s="1">
        <v>45231</v>
      </c>
      <c r="C4162" t="s">
        <v>7530</v>
      </c>
      <c r="D4162" t="s">
        <v>13</v>
      </c>
      <c r="E4162" t="s">
        <v>20</v>
      </c>
      <c r="F4162" t="s">
        <v>27</v>
      </c>
      <c r="G4162">
        <v>4</v>
      </c>
      <c r="H4162">
        <v>32069.75</v>
      </c>
      <c r="I4162">
        <v>6510.16</v>
      </c>
      <c r="J4162" t="s">
        <v>16</v>
      </c>
      <c r="K4162" t="s">
        <v>29</v>
      </c>
      <c r="L4162">
        <f t="shared" si="192"/>
        <v>2023</v>
      </c>
      <c r="M4162" t="str">
        <f t="shared" si="193"/>
        <v>Nov</v>
      </c>
      <c r="N4162" s="2">
        <f t="shared" si="194"/>
        <v>0.20300002338652468</v>
      </c>
    </row>
    <row r="4163" spans="1:14" x14ac:dyDescent="0.45">
      <c r="A4163" t="s">
        <v>7531</v>
      </c>
      <c r="B4163" s="1">
        <v>45449</v>
      </c>
      <c r="C4163" t="s">
        <v>7532</v>
      </c>
      <c r="D4163" t="s">
        <v>56</v>
      </c>
      <c r="E4163" t="s">
        <v>20</v>
      </c>
      <c r="F4163" t="s">
        <v>43</v>
      </c>
      <c r="G4163">
        <v>3</v>
      </c>
      <c r="H4163">
        <v>45815.38</v>
      </c>
      <c r="I4163">
        <v>5864.37</v>
      </c>
      <c r="J4163" t="s">
        <v>71</v>
      </c>
      <c r="K4163" t="s">
        <v>33</v>
      </c>
      <c r="L4163">
        <f t="shared" ref="L4163:L4226" si="195">YEAR(B4163 )</f>
        <v>2024</v>
      </c>
      <c r="M4163" t="str">
        <f t="shared" ref="M4163:M4226" si="196">TEXT(B4163,"MMM")</f>
        <v>Jun</v>
      </c>
      <c r="N4163" s="2">
        <f t="shared" ref="N4163:N4226" si="197">I4163 / H4163</f>
        <v>0.12800002968435492</v>
      </c>
    </row>
    <row r="4164" spans="1:14" x14ac:dyDescent="0.45">
      <c r="A4164" t="s">
        <v>7533</v>
      </c>
      <c r="B4164" s="1">
        <v>45246</v>
      </c>
      <c r="C4164" t="s">
        <v>7534</v>
      </c>
      <c r="D4164" t="s">
        <v>26</v>
      </c>
      <c r="E4164" t="s">
        <v>20</v>
      </c>
      <c r="F4164" t="s">
        <v>43</v>
      </c>
      <c r="G4164">
        <v>2</v>
      </c>
      <c r="H4164">
        <v>34787.31</v>
      </c>
      <c r="I4164">
        <v>7361.82</v>
      </c>
      <c r="J4164" t="s">
        <v>28</v>
      </c>
      <c r="K4164" t="s">
        <v>17</v>
      </c>
      <c r="L4164">
        <f t="shared" si="195"/>
        <v>2023</v>
      </c>
      <c r="M4164" t="str">
        <f t="shared" si="196"/>
        <v>Nov</v>
      </c>
      <c r="N4164" s="2">
        <f t="shared" si="197"/>
        <v>0.2116237214087551</v>
      </c>
    </row>
    <row r="4165" spans="1:14" x14ac:dyDescent="0.45">
      <c r="A4165" t="s">
        <v>7535</v>
      </c>
      <c r="B4165" s="1">
        <v>44917</v>
      </c>
      <c r="C4165" t="s">
        <v>7536</v>
      </c>
      <c r="D4165" t="s">
        <v>26</v>
      </c>
      <c r="E4165" t="s">
        <v>20</v>
      </c>
      <c r="F4165" t="s">
        <v>43</v>
      </c>
      <c r="G4165">
        <v>4</v>
      </c>
      <c r="H4165">
        <v>45710.41</v>
      </c>
      <c r="I4165">
        <v>5279.69</v>
      </c>
      <c r="J4165" t="s">
        <v>71</v>
      </c>
      <c r="K4165" t="s">
        <v>29</v>
      </c>
      <c r="L4165">
        <f t="shared" si="195"/>
        <v>2022</v>
      </c>
      <c r="M4165" t="str">
        <f t="shared" si="196"/>
        <v>Dec</v>
      </c>
      <c r="N4165" s="2">
        <f t="shared" si="197"/>
        <v>0.11550301123967165</v>
      </c>
    </row>
    <row r="4166" spans="1:14" x14ac:dyDescent="0.45">
      <c r="A4166" t="s">
        <v>7537</v>
      </c>
      <c r="B4166" s="1">
        <v>45155</v>
      </c>
      <c r="C4166" t="s">
        <v>4118</v>
      </c>
      <c r="D4166" t="s">
        <v>13</v>
      </c>
      <c r="E4166" t="s">
        <v>36</v>
      </c>
      <c r="F4166" t="s">
        <v>37</v>
      </c>
      <c r="G4166">
        <v>1</v>
      </c>
      <c r="H4166">
        <v>47996.34</v>
      </c>
      <c r="I4166">
        <v>11965.21</v>
      </c>
      <c r="J4166" t="s">
        <v>16</v>
      </c>
      <c r="K4166" t="s">
        <v>17</v>
      </c>
      <c r="L4166">
        <f t="shared" si="195"/>
        <v>2023</v>
      </c>
      <c r="M4166" t="str">
        <f t="shared" si="196"/>
        <v>Aug</v>
      </c>
      <c r="N4166" s="2">
        <f t="shared" si="197"/>
        <v>0.24929421701738091</v>
      </c>
    </row>
    <row r="4167" spans="1:14" x14ac:dyDescent="0.45">
      <c r="A4167" t="s">
        <v>7538</v>
      </c>
      <c r="B4167" s="1">
        <v>44726</v>
      </c>
      <c r="C4167" t="s">
        <v>1344</v>
      </c>
      <c r="D4167" t="s">
        <v>26</v>
      </c>
      <c r="E4167" t="s">
        <v>14</v>
      </c>
      <c r="F4167" t="s">
        <v>15</v>
      </c>
      <c r="G4167">
        <v>5</v>
      </c>
      <c r="H4167">
        <v>21528.78</v>
      </c>
      <c r="I4167">
        <v>5078.18</v>
      </c>
      <c r="J4167" t="s">
        <v>71</v>
      </c>
      <c r="K4167" t="s">
        <v>23</v>
      </c>
      <c r="L4167">
        <f t="shared" si="195"/>
        <v>2022</v>
      </c>
      <c r="M4167" t="str">
        <f t="shared" si="196"/>
        <v>Jun</v>
      </c>
      <c r="N4167" s="2">
        <f t="shared" si="197"/>
        <v>0.23587867031945148</v>
      </c>
    </row>
    <row r="4168" spans="1:14" x14ac:dyDescent="0.45">
      <c r="A4168" t="s">
        <v>7539</v>
      </c>
      <c r="B4168" s="1">
        <v>45368</v>
      </c>
      <c r="C4168" t="s">
        <v>5612</v>
      </c>
      <c r="D4168" t="s">
        <v>26</v>
      </c>
      <c r="E4168" t="s">
        <v>14</v>
      </c>
      <c r="F4168" t="s">
        <v>40</v>
      </c>
      <c r="G4168">
        <v>2</v>
      </c>
      <c r="H4168">
        <v>43012.91</v>
      </c>
      <c r="I4168">
        <v>5714.82</v>
      </c>
      <c r="J4168" t="s">
        <v>22</v>
      </c>
      <c r="K4168" t="s">
        <v>33</v>
      </c>
      <c r="L4168">
        <f t="shared" si="195"/>
        <v>2024</v>
      </c>
      <c r="M4168" t="str">
        <f t="shared" si="196"/>
        <v>Mar</v>
      </c>
      <c r="N4168" s="2">
        <f t="shared" si="197"/>
        <v>0.13286290092904662</v>
      </c>
    </row>
    <row r="4169" spans="1:14" x14ac:dyDescent="0.45">
      <c r="A4169" t="s">
        <v>7540</v>
      </c>
      <c r="B4169" s="1">
        <v>44896</v>
      </c>
      <c r="C4169" t="s">
        <v>7541</v>
      </c>
      <c r="D4169" t="s">
        <v>13</v>
      </c>
      <c r="E4169" t="s">
        <v>36</v>
      </c>
      <c r="F4169" t="s">
        <v>46</v>
      </c>
      <c r="G4169">
        <v>1</v>
      </c>
      <c r="H4169">
        <v>26220.240000000002</v>
      </c>
      <c r="I4169">
        <v>1558.77</v>
      </c>
      <c r="J4169" t="s">
        <v>47</v>
      </c>
      <c r="K4169" t="s">
        <v>23</v>
      </c>
      <c r="L4169">
        <f t="shared" si="195"/>
        <v>2022</v>
      </c>
      <c r="M4169" t="str">
        <f t="shared" si="196"/>
        <v>Dec</v>
      </c>
      <c r="N4169" s="2">
        <f t="shared" si="197"/>
        <v>5.9449112593935059E-2</v>
      </c>
    </row>
    <row r="4170" spans="1:14" x14ac:dyDescent="0.45">
      <c r="A4170" t="s">
        <v>7542</v>
      </c>
      <c r="B4170" s="1">
        <v>44946</v>
      </c>
      <c r="C4170" t="s">
        <v>7543</v>
      </c>
      <c r="D4170" t="s">
        <v>13</v>
      </c>
      <c r="E4170" t="s">
        <v>14</v>
      </c>
      <c r="F4170" t="s">
        <v>32</v>
      </c>
      <c r="G4170">
        <v>3</v>
      </c>
      <c r="H4170">
        <v>5247.25</v>
      </c>
      <c r="I4170">
        <v>859.8</v>
      </c>
      <c r="J4170" t="s">
        <v>16</v>
      </c>
      <c r="K4170" t="s">
        <v>17</v>
      </c>
      <c r="L4170">
        <f t="shared" si="195"/>
        <v>2023</v>
      </c>
      <c r="M4170" t="str">
        <f t="shared" si="196"/>
        <v>Jan</v>
      </c>
      <c r="N4170" s="2">
        <f t="shared" si="197"/>
        <v>0.16385725856400971</v>
      </c>
    </row>
    <row r="4171" spans="1:14" x14ac:dyDescent="0.45">
      <c r="A4171" t="s">
        <v>7544</v>
      </c>
      <c r="B4171" s="1">
        <v>45378</v>
      </c>
      <c r="C4171" t="s">
        <v>2497</v>
      </c>
      <c r="D4171" t="s">
        <v>56</v>
      </c>
      <c r="E4171" t="s">
        <v>36</v>
      </c>
      <c r="F4171" t="s">
        <v>37</v>
      </c>
      <c r="G4171">
        <v>5</v>
      </c>
      <c r="H4171">
        <v>9567.76</v>
      </c>
      <c r="I4171">
        <v>1481.86</v>
      </c>
      <c r="J4171" t="s">
        <v>16</v>
      </c>
      <c r="K4171" t="s">
        <v>23</v>
      </c>
      <c r="L4171">
        <f t="shared" si="195"/>
        <v>2024</v>
      </c>
      <c r="M4171" t="str">
        <f t="shared" si="196"/>
        <v>Mar</v>
      </c>
      <c r="N4171" s="2">
        <f t="shared" si="197"/>
        <v>0.15488055720461213</v>
      </c>
    </row>
    <row r="4172" spans="1:14" x14ac:dyDescent="0.45">
      <c r="A4172" t="s">
        <v>7545</v>
      </c>
      <c r="B4172" s="1">
        <v>45431</v>
      </c>
      <c r="C4172" t="s">
        <v>3570</v>
      </c>
      <c r="D4172" t="s">
        <v>26</v>
      </c>
      <c r="E4172" t="s">
        <v>20</v>
      </c>
      <c r="F4172" t="s">
        <v>21</v>
      </c>
      <c r="G4172">
        <v>4</v>
      </c>
      <c r="H4172">
        <v>1796.72</v>
      </c>
      <c r="I4172">
        <v>416.71</v>
      </c>
      <c r="J4172" t="s">
        <v>22</v>
      </c>
      <c r="K4172" t="s">
        <v>29</v>
      </c>
      <c r="L4172">
        <f t="shared" si="195"/>
        <v>2024</v>
      </c>
      <c r="M4172" t="str">
        <f t="shared" si="196"/>
        <v>May</v>
      </c>
      <c r="N4172" s="2">
        <f t="shared" si="197"/>
        <v>0.23192818023954762</v>
      </c>
    </row>
    <row r="4173" spans="1:14" x14ac:dyDescent="0.45">
      <c r="A4173" t="s">
        <v>7546</v>
      </c>
      <c r="B4173" s="1">
        <v>44704</v>
      </c>
      <c r="C4173" t="s">
        <v>7547</v>
      </c>
      <c r="D4173" t="s">
        <v>13</v>
      </c>
      <c r="E4173" t="s">
        <v>36</v>
      </c>
      <c r="F4173" t="s">
        <v>37</v>
      </c>
      <c r="G4173">
        <v>4</v>
      </c>
      <c r="H4173">
        <v>23501.32</v>
      </c>
      <c r="I4173">
        <v>4567.1499999999996</v>
      </c>
      <c r="J4173" t="s">
        <v>22</v>
      </c>
      <c r="K4173" t="s">
        <v>17</v>
      </c>
      <c r="L4173">
        <f t="shared" si="195"/>
        <v>2022</v>
      </c>
      <c r="M4173" t="str">
        <f t="shared" si="196"/>
        <v>May</v>
      </c>
      <c r="N4173" s="2">
        <f t="shared" si="197"/>
        <v>0.19433589262220163</v>
      </c>
    </row>
    <row r="4174" spans="1:14" x14ac:dyDescent="0.45">
      <c r="A4174" t="s">
        <v>7548</v>
      </c>
      <c r="B4174" s="1">
        <v>45013</v>
      </c>
      <c r="C4174" t="s">
        <v>7549</v>
      </c>
      <c r="D4174" t="s">
        <v>26</v>
      </c>
      <c r="E4174" t="s">
        <v>36</v>
      </c>
      <c r="F4174" t="s">
        <v>37</v>
      </c>
      <c r="G4174">
        <v>1</v>
      </c>
      <c r="H4174">
        <v>14179.11</v>
      </c>
      <c r="I4174">
        <v>1184.3499999999999</v>
      </c>
      <c r="J4174" t="s">
        <v>47</v>
      </c>
      <c r="K4174" t="s">
        <v>33</v>
      </c>
      <c r="L4174">
        <f t="shared" si="195"/>
        <v>2023</v>
      </c>
      <c r="M4174" t="str">
        <f t="shared" si="196"/>
        <v>Mar</v>
      </c>
      <c r="N4174" s="2">
        <f t="shared" si="197"/>
        <v>8.3527809573379422E-2</v>
      </c>
    </row>
    <row r="4175" spans="1:14" x14ac:dyDescent="0.45">
      <c r="A4175" t="s">
        <v>7550</v>
      </c>
      <c r="B4175" s="1">
        <v>45227</v>
      </c>
      <c r="C4175" t="s">
        <v>7551</v>
      </c>
      <c r="D4175" t="s">
        <v>13</v>
      </c>
      <c r="E4175" t="s">
        <v>36</v>
      </c>
      <c r="F4175" t="s">
        <v>64</v>
      </c>
      <c r="G4175">
        <v>1</v>
      </c>
      <c r="H4175">
        <v>2897.23</v>
      </c>
      <c r="I4175">
        <v>522.32000000000005</v>
      </c>
      <c r="J4175" t="s">
        <v>28</v>
      </c>
      <c r="K4175" t="s">
        <v>33</v>
      </c>
      <c r="L4175">
        <f t="shared" si="195"/>
        <v>2023</v>
      </c>
      <c r="M4175" t="str">
        <f t="shared" si="196"/>
        <v>Oct</v>
      </c>
      <c r="N4175" s="2">
        <f t="shared" si="197"/>
        <v>0.18028254574196734</v>
      </c>
    </row>
    <row r="4176" spans="1:14" x14ac:dyDescent="0.45">
      <c r="A4176" t="s">
        <v>7552</v>
      </c>
      <c r="B4176" s="1">
        <v>44912</v>
      </c>
      <c r="C4176" t="s">
        <v>7553</v>
      </c>
      <c r="D4176" t="s">
        <v>13</v>
      </c>
      <c r="E4176" t="s">
        <v>36</v>
      </c>
      <c r="F4176" t="s">
        <v>37</v>
      </c>
      <c r="G4176">
        <v>1</v>
      </c>
      <c r="H4176">
        <v>26161.05</v>
      </c>
      <c r="I4176">
        <v>5723.03</v>
      </c>
      <c r="J4176" t="s">
        <v>47</v>
      </c>
      <c r="K4176" t="s">
        <v>17</v>
      </c>
      <c r="L4176">
        <f t="shared" si="195"/>
        <v>2022</v>
      </c>
      <c r="M4176" t="str">
        <f t="shared" si="196"/>
        <v>Dec</v>
      </c>
      <c r="N4176" s="2">
        <f t="shared" si="197"/>
        <v>0.21876147937487217</v>
      </c>
    </row>
    <row r="4177" spans="1:14" x14ac:dyDescent="0.45">
      <c r="A4177" t="s">
        <v>7554</v>
      </c>
      <c r="B4177" s="1">
        <v>44879</v>
      </c>
      <c r="C4177" t="s">
        <v>4118</v>
      </c>
      <c r="D4177" t="s">
        <v>56</v>
      </c>
      <c r="E4177" t="s">
        <v>20</v>
      </c>
      <c r="F4177" t="s">
        <v>43</v>
      </c>
      <c r="G4177">
        <v>1</v>
      </c>
      <c r="H4177">
        <v>44599.71</v>
      </c>
      <c r="I4177">
        <v>9152.67</v>
      </c>
      <c r="J4177" t="s">
        <v>28</v>
      </c>
      <c r="K4177" t="s">
        <v>29</v>
      </c>
      <c r="L4177">
        <f t="shared" si="195"/>
        <v>2022</v>
      </c>
      <c r="M4177" t="str">
        <f t="shared" si="196"/>
        <v>Nov</v>
      </c>
      <c r="N4177" s="2">
        <f t="shared" si="197"/>
        <v>0.20521815052160652</v>
      </c>
    </row>
    <row r="4178" spans="1:14" x14ac:dyDescent="0.45">
      <c r="A4178" t="s">
        <v>7555</v>
      </c>
      <c r="B4178" s="1">
        <v>44985</v>
      </c>
      <c r="C4178" t="s">
        <v>708</v>
      </c>
      <c r="D4178" t="s">
        <v>13</v>
      </c>
      <c r="E4178" t="s">
        <v>36</v>
      </c>
      <c r="F4178" t="s">
        <v>46</v>
      </c>
      <c r="G4178">
        <v>2</v>
      </c>
      <c r="H4178">
        <v>9153.64</v>
      </c>
      <c r="I4178">
        <v>1086.55</v>
      </c>
      <c r="J4178" t="s">
        <v>22</v>
      </c>
      <c r="K4178" t="s">
        <v>29</v>
      </c>
      <c r="L4178">
        <f t="shared" si="195"/>
        <v>2023</v>
      </c>
      <c r="M4178" t="str">
        <f t="shared" si="196"/>
        <v>Feb</v>
      </c>
      <c r="N4178" s="2">
        <f t="shared" si="197"/>
        <v>0.11870141277131284</v>
      </c>
    </row>
    <row r="4179" spans="1:14" x14ac:dyDescent="0.45">
      <c r="A4179" t="s">
        <v>7556</v>
      </c>
      <c r="B4179" s="1">
        <v>44822</v>
      </c>
      <c r="C4179" t="s">
        <v>7383</v>
      </c>
      <c r="D4179" t="s">
        <v>26</v>
      </c>
      <c r="E4179" t="s">
        <v>36</v>
      </c>
      <c r="F4179" t="s">
        <v>53</v>
      </c>
      <c r="G4179">
        <v>5</v>
      </c>
      <c r="H4179">
        <v>2266.13</v>
      </c>
      <c r="I4179">
        <v>340.77</v>
      </c>
      <c r="J4179" t="s">
        <v>28</v>
      </c>
      <c r="K4179" t="s">
        <v>33</v>
      </c>
      <c r="L4179">
        <f t="shared" si="195"/>
        <v>2022</v>
      </c>
      <c r="M4179" t="str">
        <f t="shared" si="196"/>
        <v>Sep</v>
      </c>
      <c r="N4179" s="2">
        <f t="shared" si="197"/>
        <v>0.15037530944826641</v>
      </c>
    </row>
    <row r="4180" spans="1:14" x14ac:dyDescent="0.45">
      <c r="A4180" t="s">
        <v>7557</v>
      </c>
      <c r="B4180" s="1">
        <v>44635</v>
      </c>
      <c r="C4180" t="s">
        <v>5190</v>
      </c>
      <c r="D4180" t="s">
        <v>13</v>
      </c>
      <c r="E4180" t="s">
        <v>36</v>
      </c>
      <c r="F4180" t="s">
        <v>64</v>
      </c>
      <c r="G4180">
        <v>1</v>
      </c>
      <c r="H4180">
        <v>22784.47</v>
      </c>
      <c r="I4180">
        <v>4227.07</v>
      </c>
      <c r="J4180" t="s">
        <v>71</v>
      </c>
      <c r="K4180" t="s">
        <v>33</v>
      </c>
      <c r="L4180">
        <f t="shared" si="195"/>
        <v>2022</v>
      </c>
      <c r="M4180" t="str">
        <f t="shared" si="196"/>
        <v>Mar</v>
      </c>
      <c r="N4180" s="2">
        <f t="shared" si="197"/>
        <v>0.18552417501921262</v>
      </c>
    </row>
    <row r="4181" spans="1:14" x14ac:dyDescent="0.45">
      <c r="A4181" t="s">
        <v>7558</v>
      </c>
      <c r="B4181" s="1">
        <v>45597</v>
      </c>
      <c r="C4181" t="s">
        <v>7559</v>
      </c>
      <c r="D4181" t="s">
        <v>26</v>
      </c>
      <c r="E4181" t="s">
        <v>20</v>
      </c>
      <c r="F4181" t="s">
        <v>50</v>
      </c>
      <c r="G4181">
        <v>2</v>
      </c>
      <c r="H4181">
        <v>7428.6</v>
      </c>
      <c r="I4181">
        <v>843.26</v>
      </c>
      <c r="J4181" t="s">
        <v>28</v>
      </c>
      <c r="K4181" t="s">
        <v>17</v>
      </c>
      <c r="L4181">
        <f t="shared" si="195"/>
        <v>2024</v>
      </c>
      <c r="M4181" t="str">
        <f t="shared" si="196"/>
        <v>Nov</v>
      </c>
      <c r="N4181" s="2">
        <f t="shared" si="197"/>
        <v>0.11351533263333602</v>
      </c>
    </row>
    <row r="4182" spans="1:14" x14ac:dyDescent="0.45">
      <c r="A4182" t="s">
        <v>7560</v>
      </c>
      <c r="B4182" s="1">
        <v>44764</v>
      </c>
      <c r="C4182" t="s">
        <v>1504</v>
      </c>
      <c r="D4182" t="s">
        <v>56</v>
      </c>
      <c r="E4182" t="s">
        <v>14</v>
      </c>
      <c r="F4182" t="s">
        <v>15</v>
      </c>
      <c r="G4182">
        <v>3</v>
      </c>
      <c r="H4182">
        <v>3405.54</v>
      </c>
      <c r="I4182">
        <v>747.06</v>
      </c>
      <c r="J4182" t="s">
        <v>47</v>
      </c>
      <c r="K4182" t="s">
        <v>33</v>
      </c>
      <c r="L4182">
        <f t="shared" si="195"/>
        <v>2022</v>
      </c>
      <c r="M4182" t="str">
        <f t="shared" si="196"/>
        <v>Jul</v>
      </c>
      <c r="N4182" s="2">
        <f t="shared" si="197"/>
        <v>0.21936609172113672</v>
      </c>
    </row>
    <row r="4183" spans="1:14" x14ac:dyDescent="0.45">
      <c r="A4183" t="s">
        <v>7561</v>
      </c>
      <c r="B4183" s="1">
        <v>44849</v>
      </c>
      <c r="C4183" t="s">
        <v>2574</v>
      </c>
      <c r="D4183" t="s">
        <v>26</v>
      </c>
      <c r="E4183" t="s">
        <v>36</v>
      </c>
      <c r="F4183" t="s">
        <v>37</v>
      </c>
      <c r="G4183">
        <v>3</v>
      </c>
      <c r="H4183">
        <v>15970.3</v>
      </c>
      <c r="I4183">
        <v>1803.89</v>
      </c>
      <c r="J4183" t="s">
        <v>28</v>
      </c>
      <c r="K4183" t="s">
        <v>17</v>
      </c>
      <c r="L4183">
        <f t="shared" si="195"/>
        <v>2022</v>
      </c>
      <c r="M4183" t="str">
        <f t="shared" si="196"/>
        <v>Oct</v>
      </c>
      <c r="N4183" s="2">
        <f t="shared" si="197"/>
        <v>0.112952793623163</v>
      </c>
    </row>
    <row r="4184" spans="1:14" x14ac:dyDescent="0.45">
      <c r="A4184" t="s">
        <v>7562</v>
      </c>
      <c r="B4184" s="1">
        <v>44975</v>
      </c>
      <c r="C4184" t="s">
        <v>1354</v>
      </c>
      <c r="D4184" t="s">
        <v>56</v>
      </c>
      <c r="E4184" t="s">
        <v>20</v>
      </c>
      <c r="F4184" t="s">
        <v>27</v>
      </c>
      <c r="G4184">
        <v>1</v>
      </c>
      <c r="H4184">
        <v>35503.46</v>
      </c>
      <c r="I4184">
        <v>7515.67</v>
      </c>
      <c r="J4184" t="s">
        <v>47</v>
      </c>
      <c r="K4184" t="s">
        <v>33</v>
      </c>
      <c r="L4184">
        <f t="shared" si="195"/>
        <v>2023</v>
      </c>
      <c r="M4184" t="str">
        <f t="shared" si="196"/>
        <v>Feb</v>
      </c>
      <c r="N4184" s="2">
        <f t="shared" si="197"/>
        <v>0.21168838192108602</v>
      </c>
    </row>
    <row r="4185" spans="1:14" x14ac:dyDescent="0.45">
      <c r="A4185" t="s">
        <v>7563</v>
      </c>
      <c r="B4185" s="1">
        <v>44891</v>
      </c>
      <c r="C4185" t="s">
        <v>7564</v>
      </c>
      <c r="D4185" t="s">
        <v>26</v>
      </c>
      <c r="E4185" t="s">
        <v>14</v>
      </c>
      <c r="F4185" t="s">
        <v>15</v>
      </c>
      <c r="G4185">
        <v>5</v>
      </c>
      <c r="H4185">
        <v>28426.81</v>
      </c>
      <c r="I4185">
        <v>3888.74</v>
      </c>
      <c r="J4185" t="s">
        <v>22</v>
      </c>
      <c r="K4185" t="s">
        <v>29</v>
      </c>
      <c r="L4185">
        <f t="shared" si="195"/>
        <v>2022</v>
      </c>
      <c r="M4185" t="str">
        <f t="shared" si="196"/>
        <v>Nov</v>
      </c>
      <c r="N4185" s="2">
        <f t="shared" si="197"/>
        <v>0.13679832524296603</v>
      </c>
    </row>
    <row r="4186" spans="1:14" x14ac:dyDescent="0.45">
      <c r="A4186" t="s">
        <v>7565</v>
      </c>
      <c r="B4186" s="1">
        <v>45472</v>
      </c>
      <c r="C4186" t="s">
        <v>3572</v>
      </c>
      <c r="D4186" t="s">
        <v>13</v>
      </c>
      <c r="E4186" t="s">
        <v>20</v>
      </c>
      <c r="F4186" t="s">
        <v>21</v>
      </c>
      <c r="G4186">
        <v>4</v>
      </c>
      <c r="H4186">
        <v>45330.76</v>
      </c>
      <c r="I4186">
        <v>10179.620000000001</v>
      </c>
      <c r="J4186" t="s">
        <v>22</v>
      </c>
      <c r="K4186" t="s">
        <v>29</v>
      </c>
      <c r="L4186">
        <f t="shared" si="195"/>
        <v>2024</v>
      </c>
      <c r="M4186" t="str">
        <f t="shared" si="196"/>
        <v>Jun</v>
      </c>
      <c r="N4186" s="2">
        <f t="shared" si="197"/>
        <v>0.22456318843981438</v>
      </c>
    </row>
    <row r="4187" spans="1:14" x14ac:dyDescent="0.45">
      <c r="A4187" t="s">
        <v>7566</v>
      </c>
      <c r="B4187" s="1">
        <v>45350</v>
      </c>
      <c r="C4187" t="s">
        <v>724</v>
      </c>
      <c r="D4187" t="s">
        <v>26</v>
      </c>
      <c r="E4187" t="s">
        <v>14</v>
      </c>
      <c r="F4187" t="s">
        <v>57</v>
      </c>
      <c r="G4187">
        <v>5</v>
      </c>
      <c r="H4187">
        <v>29807.62</v>
      </c>
      <c r="I4187">
        <v>7371.5</v>
      </c>
      <c r="J4187" t="s">
        <v>47</v>
      </c>
      <c r="K4187" t="s">
        <v>23</v>
      </c>
      <c r="L4187">
        <f t="shared" si="195"/>
        <v>2024</v>
      </c>
      <c r="M4187" t="str">
        <f t="shared" si="196"/>
        <v>Feb</v>
      </c>
      <c r="N4187" s="2">
        <f t="shared" si="197"/>
        <v>0.24730253539195682</v>
      </c>
    </row>
    <row r="4188" spans="1:14" x14ac:dyDescent="0.45">
      <c r="A4188" t="s">
        <v>7567</v>
      </c>
      <c r="B4188" s="1">
        <v>44938</v>
      </c>
      <c r="C4188" t="s">
        <v>7568</v>
      </c>
      <c r="D4188" t="s">
        <v>13</v>
      </c>
      <c r="E4188" t="s">
        <v>36</v>
      </c>
      <c r="F4188" t="s">
        <v>46</v>
      </c>
      <c r="G4188">
        <v>3</v>
      </c>
      <c r="H4188">
        <v>44495.26</v>
      </c>
      <c r="I4188">
        <v>3668.15</v>
      </c>
      <c r="J4188" t="s">
        <v>22</v>
      </c>
      <c r="K4188" t="s">
        <v>29</v>
      </c>
      <c r="L4188">
        <f t="shared" si="195"/>
        <v>2023</v>
      </c>
      <c r="M4188" t="str">
        <f t="shared" si="196"/>
        <v>Jan</v>
      </c>
      <c r="N4188" s="2">
        <f t="shared" si="197"/>
        <v>8.2439118234166969E-2</v>
      </c>
    </row>
    <row r="4189" spans="1:14" x14ac:dyDescent="0.45">
      <c r="A4189" t="s">
        <v>7569</v>
      </c>
      <c r="B4189" s="1">
        <v>44839</v>
      </c>
      <c r="C4189" t="s">
        <v>7570</v>
      </c>
      <c r="D4189" t="s">
        <v>13</v>
      </c>
      <c r="E4189" t="s">
        <v>36</v>
      </c>
      <c r="F4189" t="s">
        <v>64</v>
      </c>
      <c r="G4189">
        <v>4</v>
      </c>
      <c r="H4189">
        <v>16599.73</v>
      </c>
      <c r="I4189">
        <v>1820.57</v>
      </c>
      <c r="J4189" t="s">
        <v>47</v>
      </c>
      <c r="K4189" t="s">
        <v>17</v>
      </c>
      <c r="L4189">
        <f t="shared" si="195"/>
        <v>2022</v>
      </c>
      <c r="M4189" t="str">
        <f t="shared" si="196"/>
        <v>Oct</v>
      </c>
      <c r="N4189" s="2">
        <f t="shared" si="197"/>
        <v>0.10967467543146786</v>
      </c>
    </row>
    <row r="4190" spans="1:14" x14ac:dyDescent="0.45">
      <c r="A4190" t="s">
        <v>7571</v>
      </c>
      <c r="B4190" s="1">
        <v>44860</v>
      </c>
      <c r="C4190" t="s">
        <v>2336</v>
      </c>
      <c r="D4190" t="s">
        <v>26</v>
      </c>
      <c r="E4190" t="s">
        <v>14</v>
      </c>
      <c r="F4190" t="s">
        <v>15</v>
      </c>
      <c r="G4190">
        <v>4</v>
      </c>
      <c r="H4190">
        <v>44132.27</v>
      </c>
      <c r="I4190">
        <v>2455.39</v>
      </c>
      <c r="J4190" t="s">
        <v>16</v>
      </c>
      <c r="K4190" t="s">
        <v>29</v>
      </c>
      <c r="L4190">
        <f t="shared" si="195"/>
        <v>2022</v>
      </c>
      <c r="M4190" t="str">
        <f t="shared" si="196"/>
        <v>Oct</v>
      </c>
      <c r="N4190" s="2">
        <f t="shared" si="197"/>
        <v>5.5637065575824672E-2</v>
      </c>
    </row>
    <row r="4191" spans="1:14" x14ac:dyDescent="0.45">
      <c r="A4191" t="s">
        <v>7572</v>
      </c>
      <c r="B4191" s="1">
        <v>45396</v>
      </c>
      <c r="C4191" t="s">
        <v>6038</v>
      </c>
      <c r="D4191" t="s">
        <v>13</v>
      </c>
      <c r="E4191" t="s">
        <v>14</v>
      </c>
      <c r="F4191" t="s">
        <v>57</v>
      </c>
      <c r="G4191">
        <v>1</v>
      </c>
      <c r="H4191">
        <v>21601.53</v>
      </c>
      <c r="I4191">
        <v>1572.1</v>
      </c>
      <c r="J4191" t="s">
        <v>22</v>
      </c>
      <c r="K4191" t="s">
        <v>17</v>
      </c>
      <c r="L4191">
        <f t="shared" si="195"/>
        <v>2024</v>
      </c>
      <c r="M4191" t="str">
        <f t="shared" si="196"/>
        <v>Apr</v>
      </c>
      <c r="N4191" s="2">
        <f t="shared" si="197"/>
        <v>7.2777252352032473E-2</v>
      </c>
    </row>
    <row r="4192" spans="1:14" x14ac:dyDescent="0.45">
      <c r="A4192" t="s">
        <v>7573</v>
      </c>
      <c r="B4192" s="1">
        <v>45109</v>
      </c>
      <c r="C4192" t="s">
        <v>6031</v>
      </c>
      <c r="D4192" t="s">
        <v>26</v>
      </c>
      <c r="E4192" t="s">
        <v>20</v>
      </c>
      <c r="F4192" t="s">
        <v>43</v>
      </c>
      <c r="G4192">
        <v>2</v>
      </c>
      <c r="H4192">
        <v>38533.81</v>
      </c>
      <c r="I4192">
        <v>4456.4799999999996</v>
      </c>
      <c r="J4192" t="s">
        <v>71</v>
      </c>
      <c r="K4192" t="s">
        <v>17</v>
      </c>
      <c r="L4192">
        <f t="shared" si="195"/>
        <v>2023</v>
      </c>
      <c r="M4192" t="str">
        <f t="shared" si="196"/>
        <v>Jul</v>
      </c>
      <c r="N4192" s="2">
        <f t="shared" si="197"/>
        <v>0.1156511645227918</v>
      </c>
    </row>
    <row r="4193" spans="1:14" x14ac:dyDescent="0.45">
      <c r="A4193" t="s">
        <v>7574</v>
      </c>
      <c r="B4193" s="1">
        <v>45495</v>
      </c>
      <c r="C4193" t="s">
        <v>7575</v>
      </c>
      <c r="D4193" t="s">
        <v>13</v>
      </c>
      <c r="E4193" t="s">
        <v>14</v>
      </c>
      <c r="F4193" t="s">
        <v>40</v>
      </c>
      <c r="G4193">
        <v>1</v>
      </c>
      <c r="H4193">
        <v>12554.48</v>
      </c>
      <c r="I4193">
        <v>992.2</v>
      </c>
      <c r="J4193" t="s">
        <v>16</v>
      </c>
      <c r="K4193" t="s">
        <v>33</v>
      </c>
      <c r="L4193">
        <f t="shared" si="195"/>
        <v>2024</v>
      </c>
      <c r="M4193" t="str">
        <f t="shared" si="196"/>
        <v>Jul</v>
      </c>
      <c r="N4193" s="2">
        <f t="shared" si="197"/>
        <v>7.9031548897286072E-2</v>
      </c>
    </row>
    <row r="4194" spans="1:14" x14ac:dyDescent="0.45">
      <c r="A4194" t="s">
        <v>7576</v>
      </c>
      <c r="B4194" s="1">
        <v>45339</v>
      </c>
      <c r="C4194" t="s">
        <v>7577</v>
      </c>
      <c r="D4194" t="s">
        <v>56</v>
      </c>
      <c r="E4194" t="s">
        <v>14</v>
      </c>
      <c r="F4194" t="s">
        <v>57</v>
      </c>
      <c r="G4194">
        <v>4</v>
      </c>
      <c r="H4194">
        <v>13194.24</v>
      </c>
      <c r="I4194">
        <v>842.64</v>
      </c>
      <c r="J4194" t="s">
        <v>47</v>
      </c>
      <c r="K4194" t="s">
        <v>17</v>
      </c>
      <c r="L4194">
        <f t="shared" si="195"/>
        <v>2024</v>
      </c>
      <c r="M4194" t="str">
        <f t="shared" si="196"/>
        <v>Feb</v>
      </c>
      <c r="N4194" s="2">
        <f t="shared" si="197"/>
        <v>6.386423166472642E-2</v>
      </c>
    </row>
    <row r="4195" spans="1:14" x14ac:dyDescent="0.45">
      <c r="A4195" t="s">
        <v>7578</v>
      </c>
      <c r="B4195" s="1">
        <v>45451</v>
      </c>
      <c r="C4195" t="s">
        <v>7579</v>
      </c>
      <c r="D4195" t="s">
        <v>13</v>
      </c>
      <c r="E4195" t="s">
        <v>14</v>
      </c>
      <c r="F4195" t="s">
        <v>40</v>
      </c>
      <c r="G4195">
        <v>2</v>
      </c>
      <c r="H4195">
        <v>48509.74</v>
      </c>
      <c r="I4195">
        <v>10059.16</v>
      </c>
      <c r="J4195" t="s">
        <v>71</v>
      </c>
      <c r="K4195" t="s">
        <v>23</v>
      </c>
      <c r="L4195">
        <f t="shared" si="195"/>
        <v>2024</v>
      </c>
      <c r="M4195" t="str">
        <f t="shared" si="196"/>
        <v>Jun</v>
      </c>
      <c r="N4195" s="2">
        <f t="shared" si="197"/>
        <v>0.20736371705970802</v>
      </c>
    </row>
    <row r="4196" spans="1:14" x14ac:dyDescent="0.45">
      <c r="A4196" t="s">
        <v>7580</v>
      </c>
      <c r="B4196" s="1">
        <v>45143</v>
      </c>
      <c r="C4196" t="s">
        <v>3910</v>
      </c>
      <c r="D4196" t="s">
        <v>56</v>
      </c>
      <c r="E4196" t="s">
        <v>14</v>
      </c>
      <c r="F4196" t="s">
        <v>32</v>
      </c>
      <c r="G4196">
        <v>1</v>
      </c>
      <c r="H4196">
        <v>32562.55</v>
      </c>
      <c r="I4196">
        <v>2530.9299999999998</v>
      </c>
      <c r="J4196" t="s">
        <v>22</v>
      </c>
      <c r="K4196" t="s">
        <v>23</v>
      </c>
      <c r="L4196">
        <f t="shared" si="195"/>
        <v>2023</v>
      </c>
      <c r="M4196" t="str">
        <f t="shared" si="196"/>
        <v>Aug</v>
      </c>
      <c r="N4196" s="2">
        <f t="shared" si="197"/>
        <v>7.7725178157116076E-2</v>
      </c>
    </row>
    <row r="4197" spans="1:14" x14ac:dyDescent="0.45">
      <c r="A4197" t="s">
        <v>7581</v>
      </c>
      <c r="B4197" s="1">
        <v>45406</v>
      </c>
      <c r="C4197" t="s">
        <v>7582</v>
      </c>
      <c r="D4197" t="s">
        <v>26</v>
      </c>
      <c r="E4197" t="s">
        <v>20</v>
      </c>
      <c r="F4197" t="s">
        <v>27</v>
      </c>
      <c r="G4197">
        <v>5</v>
      </c>
      <c r="H4197">
        <v>23296.959999999999</v>
      </c>
      <c r="I4197">
        <v>2084.2600000000002</v>
      </c>
      <c r="J4197" t="s">
        <v>71</v>
      </c>
      <c r="K4197" t="s">
        <v>17</v>
      </c>
      <c r="L4197">
        <f t="shared" si="195"/>
        <v>2024</v>
      </c>
      <c r="M4197" t="str">
        <f t="shared" si="196"/>
        <v>Apr</v>
      </c>
      <c r="N4197" s="2">
        <f t="shared" si="197"/>
        <v>8.9464891556666634E-2</v>
      </c>
    </row>
    <row r="4198" spans="1:14" x14ac:dyDescent="0.45">
      <c r="A4198" t="s">
        <v>7583</v>
      </c>
      <c r="B4198" s="1">
        <v>45246</v>
      </c>
      <c r="C4198" t="s">
        <v>1179</v>
      </c>
      <c r="D4198" t="s">
        <v>56</v>
      </c>
      <c r="E4198" t="s">
        <v>20</v>
      </c>
      <c r="F4198" t="s">
        <v>21</v>
      </c>
      <c r="G4198">
        <v>5</v>
      </c>
      <c r="H4198">
        <v>43232</v>
      </c>
      <c r="I4198">
        <v>2897.02</v>
      </c>
      <c r="J4198" t="s">
        <v>47</v>
      </c>
      <c r="K4198" t="s">
        <v>33</v>
      </c>
      <c r="L4198">
        <f t="shared" si="195"/>
        <v>2023</v>
      </c>
      <c r="M4198" t="str">
        <f t="shared" si="196"/>
        <v>Nov</v>
      </c>
      <c r="N4198" s="2">
        <f t="shared" si="197"/>
        <v>6.7011010362694301E-2</v>
      </c>
    </row>
    <row r="4199" spans="1:14" x14ac:dyDescent="0.45">
      <c r="A4199" t="s">
        <v>7584</v>
      </c>
      <c r="B4199" s="1">
        <v>45286</v>
      </c>
      <c r="C4199" t="s">
        <v>7585</v>
      </c>
      <c r="D4199" t="s">
        <v>13</v>
      </c>
      <c r="E4199" t="s">
        <v>20</v>
      </c>
      <c r="F4199" t="s">
        <v>21</v>
      </c>
      <c r="G4199">
        <v>5</v>
      </c>
      <c r="H4199">
        <v>43847.92</v>
      </c>
      <c r="I4199">
        <v>7226.13</v>
      </c>
      <c r="J4199" t="s">
        <v>16</v>
      </c>
      <c r="K4199" t="s">
        <v>33</v>
      </c>
      <c r="L4199">
        <f t="shared" si="195"/>
        <v>2023</v>
      </c>
      <c r="M4199" t="str">
        <f t="shared" si="196"/>
        <v>Dec</v>
      </c>
      <c r="N4199" s="2">
        <f t="shared" si="197"/>
        <v>0.16479983543119037</v>
      </c>
    </row>
    <row r="4200" spans="1:14" x14ac:dyDescent="0.45">
      <c r="A4200" t="s">
        <v>7586</v>
      </c>
      <c r="B4200" s="1">
        <v>44650</v>
      </c>
      <c r="C4200" t="s">
        <v>960</v>
      </c>
      <c r="D4200" t="s">
        <v>26</v>
      </c>
      <c r="E4200" t="s">
        <v>36</v>
      </c>
      <c r="F4200" t="s">
        <v>64</v>
      </c>
      <c r="G4200">
        <v>4</v>
      </c>
      <c r="H4200">
        <v>6930.45</v>
      </c>
      <c r="I4200">
        <v>1371.41</v>
      </c>
      <c r="J4200" t="s">
        <v>47</v>
      </c>
      <c r="K4200" t="s">
        <v>33</v>
      </c>
      <c r="L4200">
        <f t="shared" si="195"/>
        <v>2022</v>
      </c>
      <c r="M4200" t="str">
        <f t="shared" si="196"/>
        <v>Mar</v>
      </c>
      <c r="N4200" s="2">
        <f t="shared" si="197"/>
        <v>0.19788181142638647</v>
      </c>
    </row>
    <row r="4201" spans="1:14" x14ac:dyDescent="0.45">
      <c r="A4201" t="s">
        <v>7587</v>
      </c>
      <c r="B4201" s="1">
        <v>45425</v>
      </c>
      <c r="C4201" t="s">
        <v>7588</v>
      </c>
      <c r="D4201" t="s">
        <v>13</v>
      </c>
      <c r="E4201" t="s">
        <v>36</v>
      </c>
      <c r="F4201" t="s">
        <v>64</v>
      </c>
      <c r="G4201">
        <v>3</v>
      </c>
      <c r="H4201">
        <v>7331.02</v>
      </c>
      <c r="I4201">
        <v>849.31</v>
      </c>
      <c r="J4201" t="s">
        <v>47</v>
      </c>
      <c r="K4201" t="s">
        <v>33</v>
      </c>
      <c r="L4201">
        <f t="shared" si="195"/>
        <v>2024</v>
      </c>
      <c r="M4201" t="str">
        <f t="shared" si="196"/>
        <v>May</v>
      </c>
      <c r="N4201" s="2">
        <f t="shared" si="197"/>
        <v>0.11585154589675105</v>
      </c>
    </row>
    <row r="4202" spans="1:14" x14ac:dyDescent="0.45">
      <c r="A4202" t="s">
        <v>7589</v>
      </c>
      <c r="B4202" s="1">
        <v>44614</v>
      </c>
      <c r="C4202" t="s">
        <v>2834</v>
      </c>
      <c r="D4202" t="s">
        <v>26</v>
      </c>
      <c r="E4202" t="s">
        <v>14</v>
      </c>
      <c r="F4202" t="s">
        <v>15</v>
      </c>
      <c r="G4202">
        <v>4</v>
      </c>
      <c r="H4202">
        <v>47732.77</v>
      </c>
      <c r="I4202">
        <v>3580.9</v>
      </c>
      <c r="J4202" t="s">
        <v>22</v>
      </c>
      <c r="K4202" t="s">
        <v>33</v>
      </c>
      <c r="L4202">
        <f t="shared" si="195"/>
        <v>2022</v>
      </c>
      <c r="M4202" t="str">
        <f t="shared" si="196"/>
        <v>Feb</v>
      </c>
      <c r="N4202" s="2">
        <f t="shared" si="197"/>
        <v>7.5019740107268029E-2</v>
      </c>
    </row>
    <row r="4203" spans="1:14" x14ac:dyDescent="0.45">
      <c r="A4203" t="s">
        <v>7590</v>
      </c>
      <c r="B4203" s="1">
        <v>45138</v>
      </c>
      <c r="C4203" t="s">
        <v>7591</v>
      </c>
      <c r="D4203" t="s">
        <v>56</v>
      </c>
      <c r="E4203" t="s">
        <v>36</v>
      </c>
      <c r="F4203" t="s">
        <v>53</v>
      </c>
      <c r="G4203">
        <v>5</v>
      </c>
      <c r="H4203">
        <v>49978.39</v>
      </c>
      <c r="I4203">
        <v>3419.61</v>
      </c>
      <c r="J4203" t="s">
        <v>47</v>
      </c>
      <c r="K4203" t="s">
        <v>33</v>
      </c>
      <c r="L4203">
        <f t="shared" si="195"/>
        <v>2023</v>
      </c>
      <c r="M4203" t="str">
        <f t="shared" si="196"/>
        <v>Jul</v>
      </c>
      <c r="N4203" s="2">
        <f t="shared" si="197"/>
        <v>6.8421771889810773E-2</v>
      </c>
    </row>
    <row r="4204" spans="1:14" x14ac:dyDescent="0.45">
      <c r="A4204" t="s">
        <v>7592</v>
      </c>
      <c r="B4204" s="1">
        <v>45563</v>
      </c>
      <c r="C4204" t="s">
        <v>468</v>
      </c>
      <c r="D4204" t="s">
        <v>56</v>
      </c>
      <c r="E4204" t="s">
        <v>36</v>
      </c>
      <c r="F4204" t="s">
        <v>64</v>
      </c>
      <c r="G4204">
        <v>2</v>
      </c>
      <c r="H4204">
        <v>32285.8</v>
      </c>
      <c r="I4204">
        <v>2443.5100000000002</v>
      </c>
      <c r="J4204" t="s">
        <v>71</v>
      </c>
      <c r="K4204" t="s">
        <v>33</v>
      </c>
      <c r="L4204">
        <f t="shared" si="195"/>
        <v>2024</v>
      </c>
      <c r="M4204" t="str">
        <f t="shared" si="196"/>
        <v>Sep</v>
      </c>
      <c r="N4204" s="2">
        <f t="shared" si="197"/>
        <v>7.5683737122821809E-2</v>
      </c>
    </row>
    <row r="4205" spans="1:14" x14ac:dyDescent="0.45">
      <c r="A4205" t="s">
        <v>7593</v>
      </c>
      <c r="B4205" s="1">
        <v>44873</v>
      </c>
      <c r="C4205" t="s">
        <v>7594</v>
      </c>
      <c r="D4205" t="s">
        <v>13</v>
      </c>
      <c r="E4205" t="s">
        <v>20</v>
      </c>
      <c r="F4205" t="s">
        <v>43</v>
      </c>
      <c r="G4205">
        <v>3</v>
      </c>
      <c r="H4205">
        <v>6752.62</v>
      </c>
      <c r="I4205">
        <v>611.12</v>
      </c>
      <c r="J4205" t="s">
        <v>71</v>
      </c>
      <c r="K4205" t="s">
        <v>17</v>
      </c>
      <c r="L4205">
        <f t="shared" si="195"/>
        <v>2022</v>
      </c>
      <c r="M4205" t="str">
        <f t="shared" si="196"/>
        <v>Nov</v>
      </c>
      <c r="N4205" s="2">
        <f t="shared" si="197"/>
        <v>9.0501168435362864E-2</v>
      </c>
    </row>
    <row r="4206" spans="1:14" x14ac:dyDescent="0.45">
      <c r="A4206" t="s">
        <v>7595</v>
      </c>
      <c r="B4206" s="1">
        <v>44798</v>
      </c>
      <c r="C4206" t="s">
        <v>7596</v>
      </c>
      <c r="D4206" t="s">
        <v>26</v>
      </c>
      <c r="E4206" t="s">
        <v>20</v>
      </c>
      <c r="F4206" t="s">
        <v>43</v>
      </c>
      <c r="G4206">
        <v>4</v>
      </c>
      <c r="H4206">
        <v>44052.91</v>
      </c>
      <c r="I4206">
        <v>3147.5</v>
      </c>
      <c r="J4206" t="s">
        <v>16</v>
      </c>
      <c r="K4206" t="s">
        <v>33</v>
      </c>
      <c r="L4206">
        <f t="shared" si="195"/>
        <v>2022</v>
      </c>
      <c r="M4206" t="str">
        <f t="shared" si="196"/>
        <v>Aug</v>
      </c>
      <c r="N4206" s="2">
        <f t="shared" si="197"/>
        <v>7.1448174479279564E-2</v>
      </c>
    </row>
    <row r="4207" spans="1:14" x14ac:dyDescent="0.45">
      <c r="A4207" t="s">
        <v>7597</v>
      </c>
      <c r="B4207" s="1">
        <v>45492</v>
      </c>
      <c r="C4207" t="s">
        <v>7598</v>
      </c>
      <c r="D4207" t="s">
        <v>56</v>
      </c>
      <c r="E4207" t="s">
        <v>36</v>
      </c>
      <c r="F4207" t="s">
        <v>53</v>
      </c>
      <c r="G4207">
        <v>3</v>
      </c>
      <c r="H4207">
        <v>34710.400000000001</v>
      </c>
      <c r="I4207">
        <v>7739.06</v>
      </c>
      <c r="J4207" t="s">
        <v>22</v>
      </c>
      <c r="K4207" t="s">
        <v>29</v>
      </c>
      <c r="L4207">
        <f t="shared" si="195"/>
        <v>2024</v>
      </c>
      <c r="M4207" t="str">
        <f t="shared" si="196"/>
        <v>Jul</v>
      </c>
      <c r="N4207" s="2">
        <f t="shared" si="197"/>
        <v>0.22296084170738453</v>
      </c>
    </row>
    <row r="4208" spans="1:14" x14ac:dyDescent="0.45">
      <c r="A4208" t="s">
        <v>7599</v>
      </c>
      <c r="B4208" s="1">
        <v>44870</v>
      </c>
      <c r="C4208" t="s">
        <v>5216</v>
      </c>
      <c r="D4208" t="s">
        <v>26</v>
      </c>
      <c r="E4208" t="s">
        <v>14</v>
      </c>
      <c r="F4208" t="s">
        <v>57</v>
      </c>
      <c r="G4208">
        <v>3</v>
      </c>
      <c r="H4208">
        <v>30933.119999999999</v>
      </c>
      <c r="I4208">
        <v>2398.1799999999998</v>
      </c>
      <c r="J4208" t="s">
        <v>16</v>
      </c>
      <c r="K4208" t="s">
        <v>17</v>
      </c>
      <c r="L4208">
        <f t="shared" si="195"/>
        <v>2022</v>
      </c>
      <c r="M4208" t="str">
        <f t="shared" si="196"/>
        <v>Nov</v>
      </c>
      <c r="N4208" s="2">
        <f t="shared" si="197"/>
        <v>7.7527905364864577E-2</v>
      </c>
    </row>
    <row r="4209" spans="1:14" x14ac:dyDescent="0.45">
      <c r="A4209" t="s">
        <v>7600</v>
      </c>
      <c r="B4209" s="1">
        <v>45046</v>
      </c>
      <c r="C4209" t="s">
        <v>3217</v>
      </c>
      <c r="D4209" t="s">
        <v>13</v>
      </c>
      <c r="E4209" t="s">
        <v>20</v>
      </c>
      <c r="F4209" t="s">
        <v>27</v>
      </c>
      <c r="G4209">
        <v>4</v>
      </c>
      <c r="H4209">
        <v>45288.59</v>
      </c>
      <c r="I4209">
        <v>6004.18</v>
      </c>
      <c r="J4209" t="s">
        <v>28</v>
      </c>
      <c r="K4209" t="s">
        <v>23</v>
      </c>
      <c r="L4209">
        <f t="shared" si="195"/>
        <v>2023</v>
      </c>
      <c r="M4209" t="str">
        <f t="shared" si="196"/>
        <v>Apr</v>
      </c>
      <c r="N4209" s="2">
        <f t="shared" si="197"/>
        <v>0.1325759976188263</v>
      </c>
    </row>
    <row r="4210" spans="1:14" x14ac:dyDescent="0.45">
      <c r="A4210" t="s">
        <v>7601</v>
      </c>
      <c r="B4210" s="1">
        <v>45254</v>
      </c>
      <c r="C4210" t="s">
        <v>1911</v>
      </c>
      <c r="D4210" t="s">
        <v>26</v>
      </c>
      <c r="E4210" t="s">
        <v>36</v>
      </c>
      <c r="F4210" t="s">
        <v>37</v>
      </c>
      <c r="G4210">
        <v>2</v>
      </c>
      <c r="H4210">
        <v>31437.57</v>
      </c>
      <c r="I4210">
        <v>3430.32</v>
      </c>
      <c r="J4210" t="s">
        <v>16</v>
      </c>
      <c r="K4210" t="s">
        <v>29</v>
      </c>
      <c r="L4210">
        <f t="shared" si="195"/>
        <v>2023</v>
      </c>
      <c r="M4210" t="str">
        <f t="shared" si="196"/>
        <v>Nov</v>
      </c>
      <c r="N4210" s="2">
        <f t="shared" si="197"/>
        <v>0.1091153037591646</v>
      </c>
    </row>
    <row r="4211" spans="1:14" x14ac:dyDescent="0.45">
      <c r="A4211" t="s">
        <v>7602</v>
      </c>
      <c r="B4211" s="1">
        <v>44664</v>
      </c>
      <c r="C4211" t="s">
        <v>7603</v>
      </c>
      <c r="D4211" t="s">
        <v>13</v>
      </c>
      <c r="E4211" t="s">
        <v>14</v>
      </c>
      <c r="F4211" t="s">
        <v>15</v>
      </c>
      <c r="G4211">
        <v>4</v>
      </c>
      <c r="H4211">
        <v>25601.24</v>
      </c>
      <c r="I4211">
        <v>5006.46</v>
      </c>
      <c r="J4211" t="s">
        <v>47</v>
      </c>
      <c r="K4211" t="s">
        <v>17</v>
      </c>
      <c r="L4211">
        <f t="shared" si="195"/>
        <v>2022</v>
      </c>
      <c r="M4211" t="str">
        <f t="shared" si="196"/>
        <v>Apr</v>
      </c>
      <c r="N4211" s="2">
        <f t="shared" si="197"/>
        <v>0.19555537153669117</v>
      </c>
    </row>
    <row r="4212" spans="1:14" x14ac:dyDescent="0.45">
      <c r="A4212" t="s">
        <v>7604</v>
      </c>
      <c r="B4212" s="1">
        <v>45530</v>
      </c>
      <c r="C4212" t="s">
        <v>7605</v>
      </c>
      <c r="D4212" t="s">
        <v>13</v>
      </c>
      <c r="E4212" t="s">
        <v>14</v>
      </c>
      <c r="F4212" t="s">
        <v>57</v>
      </c>
      <c r="G4212">
        <v>1</v>
      </c>
      <c r="H4212">
        <v>32251.16</v>
      </c>
      <c r="I4212">
        <v>4164.3100000000004</v>
      </c>
      <c r="J4212" t="s">
        <v>16</v>
      </c>
      <c r="K4212" t="s">
        <v>17</v>
      </c>
      <c r="L4212">
        <f t="shared" si="195"/>
        <v>2024</v>
      </c>
      <c r="M4212" t="str">
        <f t="shared" si="196"/>
        <v>Aug</v>
      </c>
      <c r="N4212" s="2">
        <f t="shared" si="197"/>
        <v>0.12912124711173181</v>
      </c>
    </row>
    <row r="4213" spans="1:14" x14ac:dyDescent="0.45">
      <c r="A4213" t="s">
        <v>7606</v>
      </c>
      <c r="B4213" s="1">
        <v>44993</v>
      </c>
      <c r="C4213" t="s">
        <v>7607</v>
      </c>
      <c r="D4213" t="s">
        <v>13</v>
      </c>
      <c r="E4213" t="s">
        <v>36</v>
      </c>
      <c r="F4213" t="s">
        <v>53</v>
      </c>
      <c r="G4213">
        <v>2</v>
      </c>
      <c r="H4213">
        <v>18740.990000000002</v>
      </c>
      <c r="I4213">
        <v>4169.75</v>
      </c>
      <c r="J4213" t="s">
        <v>28</v>
      </c>
      <c r="K4213" t="s">
        <v>23</v>
      </c>
      <c r="L4213">
        <f t="shared" si="195"/>
        <v>2023</v>
      </c>
      <c r="M4213" t="str">
        <f t="shared" si="196"/>
        <v>Mar</v>
      </c>
      <c r="N4213" s="2">
        <f t="shared" si="197"/>
        <v>0.22249358224939023</v>
      </c>
    </row>
    <row r="4214" spans="1:14" x14ac:dyDescent="0.45">
      <c r="A4214" t="s">
        <v>7608</v>
      </c>
      <c r="B4214" s="1">
        <v>45526</v>
      </c>
      <c r="C4214" t="s">
        <v>7609</v>
      </c>
      <c r="D4214" t="s">
        <v>13</v>
      </c>
      <c r="E4214" t="s">
        <v>20</v>
      </c>
      <c r="F4214" t="s">
        <v>50</v>
      </c>
      <c r="G4214">
        <v>5</v>
      </c>
      <c r="H4214">
        <v>19716.13</v>
      </c>
      <c r="I4214">
        <v>4395.7299999999996</v>
      </c>
      <c r="J4214" t="s">
        <v>22</v>
      </c>
      <c r="K4214" t="s">
        <v>29</v>
      </c>
      <c r="L4214">
        <f t="shared" si="195"/>
        <v>2024</v>
      </c>
      <c r="M4214" t="str">
        <f t="shared" si="196"/>
        <v>Aug</v>
      </c>
      <c r="N4214" s="2">
        <f t="shared" si="197"/>
        <v>0.22295095437086282</v>
      </c>
    </row>
    <row r="4215" spans="1:14" x14ac:dyDescent="0.45">
      <c r="A4215" t="s">
        <v>7610</v>
      </c>
      <c r="B4215" s="1">
        <v>45017</v>
      </c>
      <c r="C4215" t="s">
        <v>7611</v>
      </c>
      <c r="D4215" t="s">
        <v>26</v>
      </c>
      <c r="E4215" t="s">
        <v>36</v>
      </c>
      <c r="F4215" t="s">
        <v>53</v>
      </c>
      <c r="G4215">
        <v>4</v>
      </c>
      <c r="H4215">
        <v>46959.3</v>
      </c>
      <c r="I4215">
        <v>10998.6</v>
      </c>
      <c r="J4215" t="s">
        <v>47</v>
      </c>
      <c r="K4215" t="s">
        <v>29</v>
      </c>
      <c r="L4215">
        <f t="shared" si="195"/>
        <v>2023</v>
      </c>
      <c r="M4215" t="str">
        <f t="shared" si="196"/>
        <v>Apr</v>
      </c>
      <c r="N4215" s="2">
        <f t="shared" si="197"/>
        <v>0.23421558668889869</v>
      </c>
    </row>
    <row r="4216" spans="1:14" x14ac:dyDescent="0.45">
      <c r="A4216" t="s">
        <v>7612</v>
      </c>
      <c r="B4216" s="1">
        <v>44748</v>
      </c>
      <c r="C4216" t="s">
        <v>7613</v>
      </c>
      <c r="D4216" t="s">
        <v>13</v>
      </c>
      <c r="E4216" t="s">
        <v>20</v>
      </c>
      <c r="F4216" t="s">
        <v>43</v>
      </c>
      <c r="G4216">
        <v>2</v>
      </c>
      <c r="H4216">
        <v>40217.97</v>
      </c>
      <c r="I4216">
        <v>3249.25</v>
      </c>
      <c r="J4216" t="s">
        <v>22</v>
      </c>
      <c r="K4216" t="s">
        <v>17</v>
      </c>
      <c r="L4216">
        <f t="shared" si="195"/>
        <v>2022</v>
      </c>
      <c r="M4216" t="str">
        <f t="shared" si="196"/>
        <v>Jul</v>
      </c>
      <c r="N4216" s="2">
        <f t="shared" si="197"/>
        <v>8.0790999645183478E-2</v>
      </c>
    </row>
    <row r="4217" spans="1:14" x14ac:dyDescent="0.45">
      <c r="A4217" t="s">
        <v>7614</v>
      </c>
      <c r="B4217" s="1">
        <v>44650</v>
      </c>
      <c r="C4217" t="s">
        <v>7615</v>
      </c>
      <c r="D4217" t="s">
        <v>26</v>
      </c>
      <c r="E4217" t="s">
        <v>20</v>
      </c>
      <c r="F4217" t="s">
        <v>50</v>
      </c>
      <c r="G4217">
        <v>1</v>
      </c>
      <c r="H4217">
        <v>28085.84</v>
      </c>
      <c r="I4217">
        <v>2974.04</v>
      </c>
      <c r="J4217" t="s">
        <v>47</v>
      </c>
      <c r="K4217" t="s">
        <v>23</v>
      </c>
      <c r="L4217">
        <f t="shared" si="195"/>
        <v>2022</v>
      </c>
      <c r="M4217" t="str">
        <f t="shared" si="196"/>
        <v>Mar</v>
      </c>
      <c r="N4217" s="2">
        <f t="shared" si="197"/>
        <v>0.10589108248142125</v>
      </c>
    </row>
    <row r="4218" spans="1:14" x14ac:dyDescent="0.45">
      <c r="A4218" t="s">
        <v>7616</v>
      </c>
      <c r="B4218" s="1">
        <v>44785</v>
      </c>
      <c r="C4218" t="s">
        <v>3033</v>
      </c>
      <c r="D4218" t="s">
        <v>13</v>
      </c>
      <c r="E4218" t="s">
        <v>36</v>
      </c>
      <c r="F4218" t="s">
        <v>53</v>
      </c>
      <c r="G4218">
        <v>4</v>
      </c>
      <c r="H4218">
        <v>11784</v>
      </c>
      <c r="I4218">
        <v>2792.64</v>
      </c>
      <c r="J4218" t="s">
        <v>22</v>
      </c>
      <c r="K4218" t="s">
        <v>29</v>
      </c>
      <c r="L4218">
        <f t="shared" si="195"/>
        <v>2022</v>
      </c>
      <c r="M4218" t="str">
        <f t="shared" si="196"/>
        <v>Aug</v>
      </c>
      <c r="N4218" s="2">
        <f t="shared" si="197"/>
        <v>0.23698574338085537</v>
      </c>
    </row>
    <row r="4219" spans="1:14" x14ac:dyDescent="0.45">
      <c r="A4219" t="s">
        <v>7617</v>
      </c>
      <c r="B4219" s="1">
        <v>45170</v>
      </c>
      <c r="C4219" t="s">
        <v>7618</v>
      </c>
      <c r="D4219" t="s">
        <v>26</v>
      </c>
      <c r="E4219" t="s">
        <v>14</v>
      </c>
      <c r="F4219" t="s">
        <v>15</v>
      </c>
      <c r="G4219">
        <v>2</v>
      </c>
      <c r="H4219">
        <v>38408.46</v>
      </c>
      <c r="I4219">
        <v>2289.52</v>
      </c>
      <c r="J4219" t="s">
        <v>22</v>
      </c>
      <c r="K4219" t="s">
        <v>17</v>
      </c>
      <c r="L4219">
        <f t="shared" si="195"/>
        <v>2023</v>
      </c>
      <c r="M4219" t="str">
        <f t="shared" si="196"/>
        <v>Sep</v>
      </c>
      <c r="N4219" s="2">
        <f t="shared" si="197"/>
        <v>5.9609783886154247E-2</v>
      </c>
    </row>
    <row r="4220" spans="1:14" x14ac:dyDescent="0.45">
      <c r="A4220" t="s">
        <v>7619</v>
      </c>
      <c r="B4220" s="1">
        <v>44947</v>
      </c>
      <c r="C4220" t="s">
        <v>7620</v>
      </c>
      <c r="D4220" t="s">
        <v>26</v>
      </c>
      <c r="E4220" t="s">
        <v>36</v>
      </c>
      <c r="F4220" t="s">
        <v>64</v>
      </c>
      <c r="G4220">
        <v>1</v>
      </c>
      <c r="H4220">
        <v>6392.45</v>
      </c>
      <c r="I4220">
        <v>1532.98</v>
      </c>
      <c r="J4220" t="s">
        <v>71</v>
      </c>
      <c r="K4220" t="s">
        <v>23</v>
      </c>
      <c r="L4220">
        <f t="shared" si="195"/>
        <v>2023</v>
      </c>
      <c r="M4220" t="str">
        <f t="shared" si="196"/>
        <v>Jan</v>
      </c>
      <c r="N4220" s="2">
        <f t="shared" si="197"/>
        <v>0.23981102707099783</v>
      </c>
    </row>
    <row r="4221" spans="1:14" x14ac:dyDescent="0.45">
      <c r="A4221" t="s">
        <v>7621</v>
      </c>
      <c r="B4221" s="1">
        <v>45274</v>
      </c>
      <c r="C4221" t="s">
        <v>614</v>
      </c>
      <c r="D4221" t="s">
        <v>56</v>
      </c>
      <c r="E4221" t="s">
        <v>14</v>
      </c>
      <c r="F4221" t="s">
        <v>57</v>
      </c>
      <c r="G4221">
        <v>4</v>
      </c>
      <c r="H4221">
        <v>2845.79</v>
      </c>
      <c r="I4221">
        <v>149.76</v>
      </c>
      <c r="J4221" t="s">
        <v>47</v>
      </c>
      <c r="K4221" t="s">
        <v>23</v>
      </c>
      <c r="L4221">
        <f t="shared" si="195"/>
        <v>2023</v>
      </c>
      <c r="M4221" t="str">
        <f t="shared" si="196"/>
        <v>Dec</v>
      </c>
      <c r="N4221" s="2">
        <f t="shared" si="197"/>
        <v>5.2625105858127269E-2</v>
      </c>
    </row>
    <row r="4222" spans="1:14" x14ac:dyDescent="0.45">
      <c r="A4222" t="s">
        <v>7622</v>
      </c>
      <c r="B4222" s="1">
        <v>45498</v>
      </c>
      <c r="C4222" t="s">
        <v>7623</v>
      </c>
      <c r="D4222" t="s">
        <v>26</v>
      </c>
      <c r="E4222" t="s">
        <v>20</v>
      </c>
      <c r="F4222" t="s">
        <v>21</v>
      </c>
      <c r="G4222">
        <v>5</v>
      </c>
      <c r="H4222">
        <v>1928.83</v>
      </c>
      <c r="I4222">
        <v>329.95</v>
      </c>
      <c r="J4222" t="s">
        <v>71</v>
      </c>
      <c r="K4222" t="s">
        <v>29</v>
      </c>
      <c r="L4222">
        <f t="shared" si="195"/>
        <v>2024</v>
      </c>
      <c r="M4222" t="str">
        <f t="shared" si="196"/>
        <v>Jul</v>
      </c>
      <c r="N4222" s="2">
        <f t="shared" si="197"/>
        <v>0.1710622501723843</v>
      </c>
    </row>
    <row r="4223" spans="1:14" x14ac:dyDescent="0.45">
      <c r="A4223" t="s">
        <v>7624</v>
      </c>
      <c r="B4223" s="1">
        <v>45011</v>
      </c>
      <c r="C4223" t="s">
        <v>2342</v>
      </c>
      <c r="D4223" t="s">
        <v>56</v>
      </c>
      <c r="E4223" t="s">
        <v>36</v>
      </c>
      <c r="F4223" t="s">
        <v>64</v>
      </c>
      <c r="G4223">
        <v>4</v>
      </c>
      <c r="H4223">
        <v>32714.51</v>
      </c>
      <c r="I4223">
        <v>6834.01</v>
      </c>
      <c r="J4223" t="s">
        <v>28</v>
      </c>
      <c r="K4223" t="s">
        <v>17</v>
      </c>
      <c r="L4223">
        <f t="shared" si="195"/>
        <v>2023</v>
      </c>
      <c r="M4223" t="str">
        <f t="shared" si="196"/>
        <v>Mar</v>
      </c>
      <c r="N4223" s="2">
        <f t="shared" si="197"/>
        <v>0.20889843680984371</v>
      </c>
    </row>
    <row r="4224" spans="1:14" x14ac:dyDescent="0.45">
      <c r="A4224" t="s">
        <v>7625</v>
      </c>
      <c r="B4224" s="1">
        <v>45271</v>
      </c>
      <c r="C4224" t="s">
        <v>2827</v>
      </c>
      <c r="D4224" t="s">
        <v>56</v>
      </c>
      <c r="E4224" t="s">
        <v>20</v>
      </c>
      <c r="F4224" t="s">
        <v>43</v>
      </c>
      <c r="G4224">
        <v>1</v>
      </c>
      <c r="H4224">
        <v>758.66</v>
      </c>
      <c r="I4224">
        <v>127.08</v>
      </c>
      <c r="J4224" t="s">
        <v>47</v>
      </c>
      <c r="K4224" t="s">
        <v>29</v>
      </c>
      <c r="L4224">
        <f t="shared" si="195"/>
        <v>2023</v>
      </c>
      <c r="M4224" t="str">
        <f t="shared" si="196"/>
        <v>Dec</v>
      </c>
      <c r="N4224" s="2">
        <f t="shared" si="197"/>
        <v>0.16750586560514591</v>
      </c>
    </row>
    <row r="4225" spans="1:14" x14ac:dyDescent="0.45">
      <c r="A4225" t="s">
        <v>7626</v>
      </c>
      <c r="B4225" s="1">
        <v>45494</v>
      </c>
      <c r="C4225" t="s">
        <v>4923</v>
      </c>
      <c r="D4225" t="s">
        <v>13</v>
      </c>
      <c r="E4225" t="s">
        <v>14</v>
      </c>
      <c r="F4225" t="s">
        <v>32</v>
      </c>
      <c r="G4225">
        <v>1</v>
      </c>
      <c r="H4225">
        <v>44269.06</v>
      </c>
      <c r="I4225">
        <v>5807.74</v>
      </c>
      <c r="J4225" t="s">
        <v>28</v>
      </c>
      <c r="K4225" t="s">
        <v>17</v>
      </c>
      <c r="L4225">
        <f t="shared" si="195"/>
        <v>2024</v>
      </c>
      <c r="M4225" t="str">
        <f t="shared" si="196"/>
        <v>Jul</v>
      </c>
      <c r="N4225" s="2">
        <f t="shared" si="197"/>
        <v>0.13119185272964912</v>
      </c>
    </row>
    <row r="4226" spans="1:14" x14ac:dyDescent="0.45">
      <c r="A4226" t="s">
        <v>7627</v>
      </c>
      <c r="B4226" s="1">
        <v>45105</v>
      </c>
      <c r="C4226" t="s">
        <v>7628</v>
      </c>
      <c r="D4226" t="s">
        <v>13</v>
      </c>
      <c r="E4226" t="s">
        <v>20</v>
      </c>
      <c r="F4226" t="s">
        <v>43</v>
      </c>
      <c r="G4226">
        <v>5</v>
      </c>
      <c r="H4226">
        <v>44832.79</v>
      </c>
      <c r="I4226">
        <v>10707.36</v>
      </c>
      <c r="J4226" t="s">
        <v>28</v>
      </c>
      <c r="K4226" t="s">
        <v>23</v>
      </c>
      <c r="L4226">
        <f t="shared" si="195"/>
        <v>2023</v>
      </c>
      <c r="M4226" t="str">
        <f t="shared" si="196"/>
        <v>Jun</v>
      </c>
      <c r="N4226" s="2">
        <f t="shared" si="197"/>
        <v>0.23882876796202065</v>
      </c>
    </row>
    <row r="4227" spans="1:14" x14ac:dyDescent="0.45">
      <c r="A4227" t="s">
        <v>7629</v>
      </c>
      <c r="B4227" s="1">
        <v>44658</v>
      </c>
      <c r="C4227" t="s">
        <v>2165</v>
      </c>
      <c r="D4227" t="s">
        <v>56</v>
      </c>
      <c r="E4227" t="s">
        <v>20</v>
      </c>
      <c r="F4227" t="s">
        <v>43</v>
      </c>
      <c r="G4227">
        <v>1</v>
      </c>
      <c r="H4227">
        <v>21494.7</v>
      </c>
      <c r="I4227">
        <v>3898.24</v>
      </c>
      <c r="J4227" t="s">
        <v>47</v>
      </c>
      <c r="K4227" t="s">
        <v>17</v>
      </c>
      <c r="L4227">
        <f t="shared" ref="L4227:L4290" si="198">YEAR(B4227 )</f>
        <v>2022</v>
      </c>
      <c r="M4227" t="str">
        <f t="shared" ref="M4227:M4290" si="199">TEXT(B4227,"MMM")</f>
        <v>Apr</v>
      </c>
      <c r="N4227" s="2">
        <f t="shared" ref="N4227:N4290" si="200">I4227 / H4227</f>
        <v>0.18135819527604477</v>
      </c>
    </row>
    <row r="4228" spans="1:14" x14ac:dyDescent="0.45">
      <c r="A4228" t="s">
        <v>7630</v>
      </c>
      <c r="B4228" s="1">
        <v>44628</v>
      </c>
      <c r="C4228" t="s">
        <v>7631</v>
      </c>
      <c r="D4228" t="s">
        <v>26</v>
      </c>
      <c r="E4228" t="s">
        <v>20</v>
      </c>
      <c r="F4228" t="s">
        <v>27</v>
      </c>
      <c r="G4228">
        <v>3</v>
      </c>
      <c r="H4228">
        <v>31962.9</v>
      </c>
      <c r="I4228">
        <v>1895.49</v>
      </c>
      <c r="J4228" t="s">
        <v>16</v>
      </c>
      <c r="K4228" t="s">
        <v>23</v>
      </c>
      <c r="L4228">
        <f t="shared" si="198"/>
        <v>2022</v>
      </c>
      <c r="M4228" t="str">
        <f t="shared" si="199"/>
        <v>Mar</v>
      </c>
      <c r="N4228" s="2">
        <f t="shared" si="200"/>
        <v>5.9302816703115172E-2</v>
      </c>
    </row>
    <row r="4229" spans="1:14" x14ac:dyDescent="0.45">
      <c r="A4229" t="s">
        <v>7632</v>
      </c>
      <c r="B4229" s="1">
        <v>45317</v>
      </c>
      <c r="C4229" t="s">
        <v>2860</v>
      </c>
      <c r="D4229" t="s">
        <v>56</v>
      </c>
      <c r="E4229" t="s">
        <v>20</v>
      </c>
      <c r="F4229" t="s">
        <v>21</v>
      </c>
      <c r="G4229">
        <v>2</v>
      </c>
      <c r="H4229">
        <v>42013.26</v>
      </c>
      <c r="I4229">
        <v>3242.41</v>
      </c>
      <c r="J4229" t="s">
        <v>22</v>
      </c>
      <c r="K4229" t="s">
        <v>17</v>
      </c>
      <c r="L4229">
        <f t="shared" si="198"/>
        <v>2024</v>
      </c>
      <c r="M4229" t="str">
        <f t="shared" si="199"/>
        <v>Jan</v>
      </c>
      <c r="N4229" s="2">
        <f t="shared" si="200"/>
        <v>7.7175872569755347E-2</v>
      </c>
    </row>
    <row r="4230" spans="1:14" x14ac:dyDescent="0.45">
      <c r="A4230" t="s">
        <v>7633</v>
      </c>
      <c r="B4230" s="1">
        <v>45067</v>
      </c>
      <c r="C4230" t="s">
        <v>7634</v>
      </c>
      <c r="D4230" t="s">
        <v>56</v>
      </c>
      <c r="E4230" t="s">
        <v>36</v>
      </c>
      <c r="F4230" t="s">
        <v>46</v>
      </c>
      <c r="G4230">
        <v>2</v>
      </c>
      <c r="H4230">
        <v>24090.37</v>
      </c>
      <c r="I4230">
        <v>3898.05</v>
      </c>
      <c r="J4230" t="s">
        <v>28</v>
      </c>
      <c r="K4230" t="s">
        <v>17</v>
      </c>
      <c r="L4230">
        <f t="shared" si="198"/>
        <v>2023</v>
      </c>
      <c r="M4230" t="str">
        <f t="shared" si="199"/>
        <v>May</v>
      </c>
      <c r="N4230" s="2">
        <f t="shared" si="200"/>
        <v>0.16180946992511946</v>
      </c>
    </row>
    <row r="4231" spans="1:14" x14ac:dyDescent="0.45">
      <c r="A4231" t="s">
        <v>7635</v>
      </c>
      <c r="B4231" s="1">
        <v>44765</v>
      </c>
      <c r="C4231" t="s">
        <v>7636</v>
      </c>
      <c r="D4231" t="s">
        <v>26</v>
      </c>
      <c r="E4231" t="s">
        <v>36</v>
      </c>
      <c r="F4231" t="s">
        <v>53</v>
      </c>
      <c r="G4231">
        <v>3</v>
      </c>
      <c r="H4231">
        <v>27117.26</v>
      </c>
      <c r="I4231">
        <v>4859.75</v>
      </c>
      <c r="J4231" t="s">
        <v>71</v>
      </c>
      <c r="K4231" t="s">
        <v>23</v>
      </c>
      <c r="L4231">
        <f t="shared" si="198"/>
        <v>2022</v>
      </c>
      <c r="M4231" t="str">
        <f t="shared" si="199"/>
        <v>Jul</v>
      </c>
      <c r="N4231" s="2">
        <f t="shared" si="200"/>
        <v>0.17921242780428406</v>
      </c>
    </row>
    <row r="4232" spans="1:14" x14ac:dyDescent="0.45">
      <c r="A4232" t="s">
        <v>7637</v>
      </c>
      <c r="B4232" s="1">
        <v>45342</v>
      </c>
      <c r="C4232" t="s">
        <v>7638</v>
      </c>
      <c r="D4232" t="s">
        <v>26</v>
      </c>
      <c r="E4232" t="s">
        <v>20</v>
      </c>
      <c r="F4232" t="s">
        <v>27</v>
      </c>
      <c r="G4232">
        <v>5</v>
      </c>
      <c r="H4232">
        <v>1027.02</v>
      </c>
      <c r="I4232">
        <v>60.3</v>
      </c>
      <c r="J4232" t="s">
        <v>47</v>
      </c>
      <c r="K4232" t="s">
        <v>23</v>
      </c>
      <c r="L4232">
        <f t="shared" si="198"/>
        <v>2024</v>
      </c>
      <c r="M4232" t="str">
        <f t="shared" si="199"/>
        <v>Feb</v>
      </c>
      <c r="N4232" s="2">
        <f t="shared" si="200"/>
        <v>5.871355961909213E-2</v>
      </c>
    </row>
    <row r="4233" spans="1:14" x14ac:dyDescent="0.45">
      <c r="A4233" t="s">
        <v>7639</v>
      </c>
      <c r="B4233" s="1">
        <v>44885</v>
      </c>
      <c r="C4233" t="s">
        <v>7640</v>
      </c>
      <c r="D4233" t="s">
        <v>56</v>
      </c>
      <c r="E4233" t="s">
        <v>20</v>
      </c>
      <c r="F4233" t="s">
        <v>21</v>
      </c>
      <c r="G4233">
        <v>2</v>
      </c>
      <c r="H4233">
        <v>27033.88</v>
      </c>
      <c r="I4233">
        <v>3609.07</v>
      </c>
      <c r="J4233" t="s">
        <v>71</v>
      </c>
      <c r="K4233" t="s">
        <v>17</v>
      </c>
      <c r="L4233">
        <f t="shared" si="198"/>
        <v>2022</v>
      </c>
      <c r="M4233" t="str">
        <f t="shared" si="199"/>
        <v>Nov</v>
      </c>
      <c r="N4233" s="2">
        <f t="shared" si="200"/>
        <v>0.13350173929898335</v>
      </c>
    </row>
    <row r="4234" spans="1:14" x14ac:dyDescent="0.45">
      <c r="A4234" t="s">
        <v>7641</v>
      </c>
      <c r="B4234" s="1">
        <v>45065</v>
      </c>
      <c r="C4234" t="s">
        <v>6797</v>
      </c>
      <c r="D4234" t="s">
        <v>26</v>
      </c>
      <c r="E4234" t="s">
        <v>20</v>
      </c>
      <c r="F4234" t="s">
        <v>27</v>
      </c>
      <c r="G4234">
        <v>1</v>
      </c>
      <c r="H4234">
        <v>1703.35</v>
      </c>
      <c r="I4234">
        <v>98.7</v>
      </c>
      <c r="J4234" t="s">
        <v>47</v>
      </c>
      <c r="K4234" t="s">
        <v>33</v>
      </c>
      <c r="L4234">
        <f t="shared" si="198"/>
        <v>2023</v>
      </c>
      <c r="M4234" t="str">
        <f t="shared" si="199"/>
        <v>May</v>
      </c>
      <c r="N4234" s="2">
        <f t="shared" si="200"/>
        <v>5.7944638506472544E-2</v>
      </c>
    </row>
    <row r="4235" spans="1:14" x14ac:dyDescent="0.45">
      <c r="A4235" t="s">
        <v>7642</v>
      </c>
      <c r="B4235" s="1">
        <v>45235</v>
      </c>
      <c r="C4235" t="s">
        <v>7643</v>
      </c>
      <c r="D4235" t="s">
        <v>56</v>
      </c>
      <c r="E4235" t="s">
        <v>20</v>
      </c>
      <c r="F4235" t="s">
        <v>21</v>
      </c>
      <c r="G4235">
        <v>1</v>
      </c>
      <c r="H4235">
        <v>13822.99</v>
      </c>
      <c r="I4235">
        <v>2105.56</v>
      </c>
      <c r="J4235" t="s">
        <v>47</v>
      </c>
      <c r="K4235" t="s">
        <v>33</v>
      </c>
      <c r="L4235">
        <f t="shared" si="198"/>
        <v>2023</v>
      </c>
      <c r="M4235" t="str">
        <f t="shared" si="199"/>
        <v>Nov</v>
      </c>
      <c r="N4235" s="2">
        <f t="shared" si="200"/>
        <v>0.15232305022285336</v>
      </c>
    </row>
    <row r="4236" spans="1:14" x14ac:dyDescent="0.45">
      <c r="A4236" t="s">
        <v>7644</v>
      </c>
      <c r="B4236" s="1">
        <v>45263</v>
      </c>
      <c r="C4236" t="s">
        <v>974</v>
      </c>
      <c r="D4236" t="s">
        <v>13</v>
      </c>
      <c r="E4236" t="s">
        <v>20</v>
      </c>
      <c r="F4236" t="s">
        <v>27</v>
      </c>
      <c r="G4236">
        <v>2</v>
      </c>
      <c r="H4236">
        <v>22852.89</v>
      </c>
      <c r="I4236">
        <v>2111.36</v>
      </c>
      <c r="J4236" t="s">
        <v>47</v>
      </c>
      <c r="K4236" t="s">
        <v>23</v>
      </c>
      <c r="L4236">
        <f t="shared" si="198"/>
        <v>2023</v>
      </c>
      <c r="M4236" t="str">
        <f t="shared" si="199"/>
        <v>Dec</v>
      </c>
      <c r="N4236" s="2">
        <f t="shared" si="200"/>
        <v>9.2389190163694845E-2</v>
      </c>
    </row>
    <row r="4237" spans="1:14" x14ac:dyDescent="0.45">
      <c r="A4237" t="s">
        <v>7645</v>
      </c>
      <c r="B4237" s="1">
        <v>45098</v>
      </c>
      <c r="C4237" t="s">
        <v>6529</v>
      </c>
      <c r="D4237" t="s">
        <v>56</v>
      </c>
      <c r="E4237" t="s">
        <v>20</v>
      </c>
      <c r="F4237" t="s">
        <v>50</v>
      </c>
      <c r="G4237">
        <v>2</v>
      </c>
      <c r="H4237">
        <v>24661.02</v>
      </c>
      <c r="I4237">
        <v>1234.82</v>
      </c>
      <c r="J4237" t="s">
        <v>16</v>
      </c>
      <c r="K4237" t="s">
        <v>29</v>
      </c>
      <c r="L4237">
        <f t="shared" si="198"/>
        <v>2023</v>
      </c>
      <c r="M4237" t="str">
        <f t="shared" si="199"/>
        <v>Jun</v>
      </c>
      <c r="N4237" s="2">
        <f t="shared" si="200"/>
        <v>5.0071732637173967E-2</v>
      </c>
    </row>
    <row r="4238" spans="1:14" x14ac:dyDescent="0.45">
      <c r="A4238" t="s">
        <v>7646</v>
      </c>
      <c r="B4238" s="1">
        <v>44680</v>
      </c>
      <c r="C4238" t="s">
        <v>6585</v>
      </c>
      <c r="D4238" t="s">
        <v>13</v>
      </c>
      <c r="E4238" t="s">
        <v>20</v>
      </c>
      <c r="F4238" t="s">
        <v>43</v>
      </c>
      <c r="G4238">
        <v>2</v>
      </c>
      <c r="H4238">
        <v>17379.18</v>
      </c>
      <c r="I4238">
        <v>1184.78</v>
      </c>
      <c r="J4238" t="s">
        <v>16</v>
      </c>
      <c r="K4238" t="s">
        <v>33</v>
      </c>
      <c r="L4238">
        <f t="shared" si="198"/>
        <v>2022</v>
      </c>
      <c r="M4238" t="str">
        <f t="shared" si="199"/>
        <v>Apr</v>
      </c>
      <c r="N4238" s="2">
        <f t="shared" si="200"/>
        <v>6.8172376372187871E-2</v>
      </c>
    </row>
    <row r="4239" spans="1:14" x14ac:dyDescent="0.45">
      <c r="A4239" t="s">
        <v>7647</v>
      </c>
      <c r="B4239" s="1">
        <v>45475</v>
      </c>
      <c r="C4239" t="s">
        <v>7648</v>
      </c>
      <c r="D4239" t="s">
        <v>13</v>
      </c>
      <c r="E4239" t="s">
        <v>14</v>
      </c>
      <c r="F4239" t="s">
        <v>15</v>
      </c>
      <c r="G4239">
        <v>1</v>
      </c>
      <c r="H4239">
        <v>47943.4</v>
      </c>
      <c r="I4239">
        <v>5892.02</v>
      </c>
      <c r="J4239" t="s">
        <v>22</v>
      </c>
      <c r="K4239" t="s">
        <v>17</v>
      </c>
      <c r="L4239">
        <f t="shared" si="198"/>
        <v>2024</v>
      </c>
      <c r="M4239" t="str">
        <f t="shared" si="199"/>
        <v>Jul</v>
      </c>
      <c r="N4239" s="2">
        <f t="shared" si="200"/>
        <v>0.12289533074416917</v>
      </c>
    </row>
    <row r="4240" spans="1:14" x14ac:dyDescent="0.45">
      <c r="A4240" t="s">
        <v>7649</v>
      </c>
      <c r="B4240" s="1">
        <v>44589</v>
      </c>
      <c r="C4240" t="s">
        <v>2408</v>
      </c>
      <c r="D4240" t="s">
        <v>13</v>
      </c>
      <c r="E4240" t="s">
        <v>20</v>
      </c>
      <c r="F4240" t="s">
        <v>27</v>
      </c>
      <c r="G4240">
        <v>4</v>
      </c>
      <c r="H4240">
        <v>48540.59</v>
      </c>
      <c r="I4240">
        <v>3819.12</v>
      </c>
      <c r="J4240" t="s">
        <v>71</v>
      </c>
      <c r="K4240" t="s">
        <v>23</v>
      </c>
      <c r="L4240">
        <f t="shared" si="198"/>
        <v>2022</v>
      </c>
      <c r="M4240" t="str">
        <f t="shared" si="199"/>
        <v>Jan</v>
      </c>
      <c r="N4240" s="2">
        <f t="shared" si="200"/>
        <v>7.8678895332751422E-2</v>
      </c>
    </row>
    <row r="4241" spans="1:14" x14ac:dyDescent="0.45">
      <c r="A4241" t="s">
        <v>7650</v>
      </c>
      <c r="B4241" s="1">
        <v>45040</v>
      </c>
      <c r="C4241" t="s">
        <v>7651</v>
      </c>
      <c r="D4241" t="s">
        <v>26</v>
      </c>
      <c r="E4241" t="s">
        <v>20</v>
      </c>
      <c r="F4241" t="s">
        <v>43</v>
      </c>
      <c r="G4241">
        <v>1</v>
      </c>
      <c r="H4241">
        <v>48006.19</v>
      </c>
      <c r="I4241">
        <v>9296.56</v>
      </c>
      <c r="J4241" t="s">
        <v>71</v>
      </c>
      <c r="K4241" t="s">
        <v>23</v>
      </c>
      <c r="L4241">
        <f t="shared" si="198"/>
        <v>2023</v>
      </c>
      <c r="M4241" t="str">
        <f t="shared" si="199"/>
        <v>Apr</v>
      </c>
      <c r="N4241" s="2">
        <f t="shared" si="200"/>
        <v>0.19365336011876799</v>
      </c>
    </row>
    <row r="4242" spans="1:14" x14ac:dyDescent="0.45">
      <c r="A4242" t="s">
        <v>7652</v>
      </c>
      <c r="B4242" s="1">
        <v>45622</v>
      </c>
      <c r="C4242" t="s">
        <v>6728</v>
      </c>
      <c r="D4242" t="s">
        <v>13</v>
      </c>
      <c r="E4242" t="s">
        <v>20</v>
      </c>
      <c r="F4242" t="s">
        <v>43</v>
      </c>
      <c r="G4242">
        <v>2</v>
      </c>
      <c r="H4242">
        <v>33485.06</v>
      </c>
      <c r="I4242">
        <v>4577.96</v>
      </c>
      <c r="J4242" t="s">
        <v>71</v>
      </c>
      <c r="K4242" t="s">
        <v>17</v>
      </c>
      <c r="L4242">
        <f t="shared" si="198"/>
        <v>2024</v>
      </c>
      <c r="M4242" t="str">
        <f t="shared" si="199"/>
        <v>Nov</v>
      </c>
      <c r="N4242" s="2">
        <f t="shared" si="200"/>
        <v>0.13671649386323334</v>
      </c>
    </row>
    <row r="4243" spans="1:14" x14ac:dyDescent="0.45">
      <c r="A4243" t="s">
        <v>7653</v>
      </c>
      <c r="B4243" s="1">
        <v>45120</v>
      </c>
      <c r="C4243" t="s">
        <v>1675</v>
      </c>
      <c r="D4243" t="s">
        <v>56</v>
      </c>
      <c r="E4243" t="s">
        <v>36</v>
      </c>
      <c r="F4243" t="s">
        <v>64</v>
      </c>
      <c r="G4243">
        <v>5</v>
      </c>
      <c r="H4243">
        <v>39949.160000000003</v>
      </c>
      <c r="I4243">
        <v>6683.5</v>
      </c>
      <c r="J4243" t="s">
        <v>22</v>
      </c>
      <c r="K4243" t="s">
        <v>17</v>
      </c>
      <c r="L4243">
        <f t="shared" si="198"/>
        <v>2023</v>
      </c>
      <c r="M4243" t="str">
        <f t="shared" si="199"/>
        <v>Jul</v>
      </c>
      <c r="N4243" s="2">
        <f t="shared" si="200"/>
        <v>0.16730013847600297</v>
      </c>
    </row>
    <row r="4244" spans="1:14" x14ac:dyDescent="0.45">
      <c r="A4244" t="s">
        <v>7654</v>
      </c>
      <c r="B4244" s="1">
        <v>45083</v>
      </c>
      <c r="C4244" t="s">
        <v>4436</v>
      </c>
      <c r="D4244" t="s">
        <v>13</v>
      </c>
      <c r="E4244" t="s">
        <v>36</v>
      </c>
      <c r="F4244" t="s">
        <v>53</v>
      </c>
      <c r="G4244">
        <v>2</v>
      </c>
      <c r="H4244">
        <v>23079.37</v>
      </c>
      <c r="I4244">
        <v>1376.23</v>
      </c>
      <c r="J4244" t="s">
        <v>22</v>
      </c>
      <c r="K4244" t="s">
        <v>29</v>
      </c>
      <c r="L4244">
        <f t="shared" si="198"/>
        <v>2023</v>
      </c>
      <c r="M4244" t="str">
        <f t="shared" si="199"/>
        <v>Jun</v>
      </c>
      <c r="N4244" s="2">
        <f t="shared" si="200"/>
        <v>5.9630310532739851E-2</v>
      </c>
    </row>
    <row r="4245" spans="1:14" x14ac:dyDescent="0.45">
      <c r="A4245" t="s">
        <v>7655</v>
      </c>
      <c r="B4245" s="1">
        <v>44711</v>
      </c>
      <c r="C4245" t="s">
        <v>2222</v>
      </c>
      <c r="D4245" t="s">
        <v>26</v>
      </c>
      <c r="E4245" t="s">
        <v>20</v>
      </c>
      <c r="F4245" t="s">
        <v>27</v>
      </c>
      <c r="G4245">
        <v>5</v>
      </c>
      <c r="H4245">
        <v>37781.57</v>
      </c>
      <c r="I4245">
        <v>6202.81</v>
      </c>
      <c r="J4245" t="s">
        <v>47</v>
      </c>
      <c r="K4245" t="s">
        <v>33</v>
      </c>
      <c r="L4245">
        <f t="shared" si="198"/>
        <v>2022</v>
      </c>
      <c r="M4245" t="str">
        <f t="shared" si="199"/>
        <v>May</v>
      </c>
      <c r="N4245" s="2">
        <f t="shared" si="200"/>
        <v>0.16417554908385226</v>
      </c>
    </row>
    <row r="4246" spans="1:14" x14ac:dyDescent="0.45">
      <c r="A4246" t="s">
        <v>7656</v>
      </c>
      <c r="B4246" s="1">
        <v>44729</v>
      </c>
      <c r="C4246" t="s">
        <v>7657</v>
      </c>
      <c r="D4246" t="s">
        <v>56</v>
      </c>
      <c r="E4246" t="s">
        <v>14</v>
      </c>
      <c r="F4246" t="s">
        <v>32</v>
      </c>
      <c r="G4246">
        <v>1</v>
      </c>
      <c r="H4246">
        <v>44471.39</v>
      </c>
      <c r="I4246">
        <v>2569.56</v>
      </c>
      <c r="J4246" t="s">
        <v>28</v>
      </c>
      <c r="K4246" t="s">
        <v>29</v>
      </c>
      <c r="L4246">
        <f t="shared" si="198"/>
        <v>2022</v>
      </c>
      <c r="M4246" t="str">
        <f t="shared" si="199"/>
        <v>Jun</v>
      </c>
      <c r="N4246" s="2">
        <f t="shared" si="200"/>
        <v>5.7780069388431526E-2</v>
      </c>
    </row>
    <row r="4247" spans="1:14" x14ac:dyDescent="0.45">
      <c r="A4247" t="s">
        <v>7658</v>
      </c>
      <c r="B4247" s="1">
        <v>45312</v>
      </c>
      <c r="C4247" t="s">
        <v>7659</v>
      </c>
      <c r="D4247" t="s">
        <v>56</v>
      </c>
      <c r="E4247" t="s">
        <v>20</v>
      </c>
      <c r="F4247" t="s">
        <v>27</v>
      </c>
      <c r="G4247">
        <v>5</v>
      </c>
      <c r="H4247">
        <v>44203</v>
      </c>
      <c r="I4247">
        <v>7719.8</v>
      </c>
      <c r="J4247" t="s">
        <v>16</v>
      </c>
      <c r="K4247" t="s">
        <v>23</v>
      </c>
      <c r="L4247">
        <f t="shared" si="198"/>
        <v>2024</v>
      </c>
      <c r="M4247" t="str">
        <f t="shared" si="199"/>
        <v>Jan</v>
      </c>
      <c r="N4247" s="2">
        <f t="shared" si="200"/>
        <v>0.1746442549148248</v>
      </c>
    </row>
    <row r="4248" spans="1:14" x14ac:dyDescent="0.45">
      <c r="A4248" t="s">
        <v>7660</v>
      </c>
      <c r="B4248" s="1">
        <v>44773</v>
      </c>
      <c r="C4248" t="s">
        <v>7661</v>
      </c>
      <c r="D4248" t="s">
        <v>13</v>
      </c>
      <c r="E4248" t="s">
        <v>14</v>
      </c>
      <c r="F4248" t="s">
        <v>57</v>
      </c>
      <c r="G4248">
        <v>5</v>
      </c>
      <c r="H4248">
        <v>45771.79</v>
      </c>
      <c r="I4248">
        <v>4448.5</v>
      </c>
      <c r="J4248" t="s">
        <v>16</v>
      </c>
      <c r="K4248" t="s">
        <v>23</v>
      </c>
      <c r="L4248">
        <f t="shared" si="198"/>
        <v>2022</v>
      </c>
      <c r="M4248" t="str">
        <f t="shared" si="199"/>
        <v>Jul</v>
      </c>
      <c r="N4248" s="2">
        <f t="shared" si="200"/>
        <v>9.7188683247913174E-2</v>
      </c>
    </row>
    <row r="4249" spans="1:14" x14ac:dyDescent="0.45">
      <c r="A4249" t="s">
        <v>7662</v>
      </c>
      <c r="B4249" s="1">
        <v>45593</v>
      </c>
      <c r="C4249" t="s">
        <v>7663</v>
      </c>
      <c r="D4249" t="s">
        <v>26</v>
      </c>
      <c r="E4249" t="s">
        <v>14</v>
      </c>
      <c r="F4249" t="s">
        <v>15</v>
      </c>
      <c r="G4249">
        <v>5</v>
      </c>
      <c r="H4249">
        <v>31869.9</v>
      </c>
      <c r="I4249">
        <v>5954.2</v>
      </c>
      <c r="J4249" t="s">
        <v>28</v>
      </c>
      <c r="K4249" t="s">
        <v>33</v>
      </c>
      <c r="L4249">
        <f t="shared" si="198"/>
        <v>2024</v>
      </c>
      <c r="M4249" t="str">
        <f t="shared" si="199"/>
        <v>Oct</v>
      </c>
      <c r="N4249" s="2">
        <f t="shared" si="200"/>
        <v>0.18682832390437371</v>
      </c>
    </row>
    <row r="4250" spans="1:14" x14ac:dyDescent="0.45">
      <c r="A4250" t="s">
        <v>7664</v>
      </c>
      <c r="B4250" s="1">
        <v>45469</v>
      </c>
      <c r="C4250" t="s">
        <v>7665</v>
      </c>
      <c r="D4250" t="s">
        <v>26</v>
      </c>
      <c r="E4250" t="s">
        <v>36</v>
      </c>
      <c r="F4250" t="s">
        <v>46</v>
      </c>
      <c r="G4250">
        <v>4</v>
      </c>
      <c r="H4250">
        <v>49377.08</v>
      </c>
      <c r="I4250">
        <v>6520.85</v>
      </c>
      <c r="J4250" t="s">
        <v>47</v>
      </c>
      <c r="K4250" t="s">
        <v>29</v>
      </c>
      <c r="L4250">
        <f t="shared" si="198"/>
        <v>2024</v>
      </c>
      <c r="M4250" t="str">
        <f t="shared" si="199"/>
        <v>Jun</v>
      </c>
      <c r="N4250" s="2">
        <f t="shared" si="200"/>
        <v>0.13206228476856063</v>
      </c>
    </row>
    <row r="4251" spans="1:14" x14ac:dyDescent="0.45">
      <c r="A4251" t="s">
        <v>7666</v>
      </c>
      <c r="B4251" s="1">
        <v>45260</v>
      </c>
      <c r="C4251" t="s">
        <v>7667</v>
      </c>
      <c r="D4251" t="s">
        <v>13</v>
      </c>
      <c r="E4251" t="s">
        <v>20</v>
      </c>
      <c r="F4251" t="s">
        <v>27</v>
      </c>
      <c r="G4251">
        <v>4</v>
      </c>
      <c r="H4251">
        <v>1716.6</v>
      </c>
      <c r="I4251">
        <v>406.79</v>
      </c>
      <c r="J4251" t="s">
        <v>71</v>
      </c>
      <c r="K4251" t="s">
        <v>33</v>
      </c>
      <c r="L4251">
        <f t="shared" si="198"/>
        <v>2023</v>
      </c>
      <c r="M4251" t="str">
        <f t="shared" si="199"/>
        <v>Nov</v>
      </c>
      <c r="N4251" s="2">
        <f t="shared" si="200"/>
        <v>0.23697425142723991</v>
      </c>
    </row>
    <row r="4252" spans="1:14" x14ac:dyDescent="0.45">
      <c r="A4252" t="s">
        <v>7668</v>
      </c>
      <c r="B4252" s="1">
        <v>45044</v>
      </c>
      <c r="C4252" t="s">
        <v>6797</v>
      </c>
      <c r="D4252" t="s">
        <v>26</v>
      </c>
      <c r="E4252" t="s">
        <v>14</v>
      </c>
      <c r="F4252" t="s">
        <v>40</v>
      </c>
      <c r="G4252">
        <v>2</v>
      </c>
      <c r="H4252">
        <v>22733.33</v>
      </c>
      <c r="I4252">
        <v>4109.12</v>
      </c>
      <c r="J4252" t="s">
        <v>28</v>
      </c>
      <c r="K4252" t="s">
        <v>29</v>
      </c>
      <c r="L4252">
        <f t="shared" si="198"/>
        <v>2023</v>
      </c>
      <c r="M4252" t="str">
        <f t="shared" si="199"/>
        <v>Apr</v>
      </c>
      <c r="N4252" s="2">
        <f t="shared" si="200"/>
        <v>0.18075310568227354</v>
      </c>
    </row>
    <row r="4253" spans="1:14" x14ac:dyDescent="0.45">
      <c r="A4253" t="s">
        <v>7669</v>
      </c>
      <c r="B4253" s="1">
        <v>45020</v>
      </c>
      <c r="C4253" t="s">
        <v>867</v>
      </c>
      <c r="D4253" t="s">
        <v>56</v>
      </c>
      <c r="E4253" t="s">
        <v>14</v>
      </c>
      <c r="F4253" t="s">
        <v>40</v>
      </c>
      <c r="G4253">
        <v>1</v>
      </c>
      <c r="H4253">
        <v>45349.37</v>
      </c>
      <c r="I4253">
        <v>7541.61</v>
      </c>
      <c r="J4253" t="s">
        <v>71</v>
      </c>
      <c r="K4253" t="s">
        <v>29</v>
      </c>
      <c r="L4253">
        <f t="shared" si="198"/>
        <v>2023</v>
      </c>
      <c r="M4253" t="str">
        <f t="shared" si="199"/>
        <v>Apr</v>
      </c>
      <c r="N4253" s="2">
        <f t="shared" si="200"/>
        <v>0.16630021541644346</v>
      </c>
    </row>
    <row r="4254" spans="1:14" x14ac:dyDescent="0.45">
      <c r="A4254" t="s">
        <v>7670</v>
      </c>
      <c r="B4254" s="1">
        <v>44702</v>
      </c>
      <c r="C4254" t="s">
        <v>7671</v>
      </c>
      <c r="D4254" t="s">
        <v>56</v>
      </c>
      <c r="E4254" t="s">
        <v>36</v>
      </c>
      <c r="F4254" t="s">
        <v>53</v>
      </c>
      <c r="G4254">
        <v>3</v>
      </c>
      <c r="H4254">
        <v>28435.31</v>
      </c>
      <c r="I4254">
        <v>6127.43</v>
      </c>
      <c r="J4254" t="s">
        <v>22</v>
      </c>
      <c r="K4254" t="s">
        <v>33</v>
      </c>
      <c r="L4254">
        <f t="shared" si="198"/>
        <v>2022</v>
      </c>
      <c r="M4254" t="str">
        <f t="shared" si="199"/>
        <v>May</v>
      </c>
      <c r="N4254" s="2">
        <f t="shared" si="200"/>
        <v>0.21548666077493089</v>
      </c>
    </row>
    <row r="4255" spans="1:14" x14ac:dyDescent="0.45">
      <c r="A4255" t="s">
        <v>7672</v>
      </c>
      <c r="B4255" s="1">
        <v>44814</v>
      </c>
      <c r="C4255" t="s">
        <v>7673</v>
      </c>
      <c r="D4255" t="s">
        <v>13</v>
      </c>
      <c r="E4255" t="s">
        <v>36</v>
      </c>
      <c r="F4255" t="s">
        <v>37</v>
      </c>
      <c r="G4255">
        <v>5</v>
      </c>
      <c r="H4255">
        <v>48759.11</v>
      </c>
      <c r="I4255">
        <v>11379.06</v>
      </c>
      <c r="J4255" t="s">
        <v>71</v>
      </c>
      <c r="K4255" t="s">
        <v>29</v>
      </c>
      <c r="L4255">
        <f t="shared" si="198"/>
        <v>2022</v>
      </c>
      <c r="M4255" t="str">
        <f t="shared" si="199"/>
        <v>Sep</v>
      </c>
      <c r="N4255" s="2">
        <f t="shared" si="200"/>
        <v>0.23337300455238005</v>
      </c>
    </row>
    <row r="4256" spans="1:14" x14ac:dyDescent="0.45">
      <c r="A4256" t="s">
        <v>7674</v>
      </c>
      <c r="B4256" s="1">
        <v>44777</v>
      </c>
      <c r="C4256" t="s">
        <v>7675</v>
      </c>
      <c r="D4256" t="s">
        <v>56</v>
      </c>
      <c r="E4256" t="s">
        <v>20</v>
      </c>
      <c r="F4256" t="s">
        <v>43</v>
      </c>
      <c r="G4256">
        <v>3</v>
      </c>
      <c r="H4256">
        <v>19840.48</v>
      </c>
      <c r="I4256">
        <v>1876.79</v>
      </c>
      <c r="J4256" t="s">
        <v>22</v>
      </c>
      <c r="K4256" t="s">
        <v>29</v>
      </c>
      <c r="L4256">
        <f t="shared" si="198"/>
        <v>2022</v>
      </c>
      <c r="M4256" t="str">
        <f t="shared" si="199"/>
        <v>Aug</v>
      </c>
      <c r="N4256" s="2">
        <f t="shared" si="200"/>
        <v>9.459398159721942E-2</v>
      </c>
    </row>
    <row r="4257" spans="1:14" x14ac:dyDescent="0.45">
      <c r="A4257" t="s">
        <v>7676</v>
      </c>
      <c r="B4257" s="1">
        <v>44608</v>
      </c>
      <c r="C4257" t="s">
        <v>7677</v>
      </c>
      <c r="D4257" t="s">
        <v>56</v>
      </c>
      <c r="E4257" t="s">
        <v>36</v>
      </c>
      <c r="F4257" t="s">
        <v>46</v>
      </c>
      <c r="G4257">
        <v>5</v>
      </c>
      <c r="H4257">
        <v>13051.52</v>
      </c>
      <c r="I4257">
        <v>1933.45</v>
      </c>
      <c r="J4257" t="s">
        <v>28</v>
      </c>
      <c r="K4257" t="s">
        <v>33</v>
      </c>
      <c r="L4257">
        <f t="shared" si="198"/>
        <v>2022</v>
      </c>
      <c r="M4257" t="str">
        <f t="shared" si="199"/>
        <v>Feb</v>
      </c>
      <c r="N4257" s="2">
        <f t="shared" si="200"/>
        <v>0.14813983352130633</v>
      </c>
    </row>
    <row r="4258" spans="1:14" x14ac:dyDescent="0.45">
      <c r="A4258" t="s">
        <v>7678</v>
      </c>
      <c r="B4258" s="1">
        <v>45263</v>
      </c>
      <c r="C4258" t="s">
        <v>7679</v>
      </c>
      <c r="D4258" t="s">
        <v>13</v>
      </c>
      <c r="E4258" t="s">
        <v>20</v>
      </c>
      <c r="F4258" t="s">
        <v>27</v>
      </c>
      <c r="G4258">
        <v>4</v>
      </c>
      <c r="H4258">
        <v>46350.6</v>
      </c>
      <c r="I4258">
        <v>9916.0300000000007</v>
      </c>
      <c r="J4258" t="s">
        <v>16</v>
      </c>
      <c r="K4258" t="s">
        <v>17</v>
      </c>
      <c r="L4258">
        <f t="shared" si="198"/>
        <v>2023</v>
      </c>
      <c r="M4258" t="str">
        <f t="shared" si="199"/>
        <v>Dec</v>
      </c>
      <c r="N4258" s="2">
        <f t="shared" si="200"/>
        <v>0.21393531043826836</v>
      </c>
    </row>
    <row r="4259" spans="1:14" x14ac:dyDescent="0.45">
      <c r="A4259" t="s">
        <v>7680</v>
      </c>
      <c r="B4259" s="1">
        <v>44769</v>
      </c>
      <c r="C4259" t="s">
        <v>7681</v>
      </c>
      <c r="D4259" t="s">
        <v>56</v>
      </c>
      <c r="E4259" t="s">
        <v>36</v>
      </c>
      <c r="F4259" t="s">
        <v>37</v>
      </c>
      <c r="G4259">
        <v>5</v>
      </c>
      <c r="H4259">
        <v>14605.46</v>
      </c>
      <c r="I4259">
        <v>1170.6600000000001</v>
      </c>
      <c r="J4259" t="s">
        <v>28</v>
      </c>
      <c r="K4259" t="s">
        <v>29</v>
      </c>
      <c r="L4259">
        <f t="shared" si="198"/>
        <v>2022</v>
      </c>
      <c r="M4259" t="str">
        <f t="shared" si="199"/>
        <v>Jul</v>
      </c>
      <c r="N4259" s="2">
        <f t="shared" si="200"/>
        <v>8.0152217047597285E-2</v>
      </c>
    </row>
    <row r="4260" spans="1:14" x14ac:dyDescent="0.45">
      <c r="A4260" t="s">
        <v>7682</v>
      </c>
      <c r="B4260" s="1">
        <v>44597</v>
      </c>
      <c r="C4260" t="s">
        <v>7683</v>
      </c>
      <c r="D4260" t="s">
        <v>56</v>
      </c>
      <c r="E4260" t="s">
        <v>14</v>
      </c>
      <c r="F4260" t="s">
        <v>32</v>
      </c>
      <c r="G4260">
        <v>1</v>
      </c>
      <c r="H4260">
        <v>31756.63</v>
      </c>
      <c r="I4260">
        <v>3801.2</v>
      </c>
      <c r="J4260" t="s">
        <v>71</v>
      </c>
      <c r="K4260" t="s">
        <v>23</v>
      </c>
      <c r="L4260">
        <f t="shared" si="198"/>
        <v>2022</v>
      </c>
      <c r="M4260" t="str">
        <f t="shared" si="199"/>
        <v>Feb</v>
      </c>
      <c r="N4260" s="2">
        <f t="shared" si="200"/>
        <v>0.11969783947478053</v>
      </c>
    </row>
    <row r="4261" spans="1:14" x14ac:dyDescent="0.45">
      <c r="A4261" t="s">
        <v>7684</v>
      </c>
      <c r="B4261" s="1">
        <v>44872</v>
      </c>
      <c r="C4261" t="s">
        <v>7685</v>
      </c>
      <c r="D4261" t="s">
        <v>26</v>
      </c>
      <c r="E4261" t="s">
        <v>14</v>
      </c>
      <c r="F4261" t="s">
        <v>40</v>
      </c>
      <c r="G4261">
        <v>1</v>
      </c>
      <c r="H4261">
        <v>26998.959999999999</v>
      </c>
      <c r="I4261">
        <v>2294.37</v>
      </c>
      <c r="J4261" t="s">
        <v>28</v>
      </c>
      <c r="K4261" t="s">
        <v>29</v>
      </c>
      <c r="L4261">
        <f t="shared" si="198"/>
        <v>2022</v>
      </c>
      <c r="M4261" t="str">
        <f t="shared" si="199"/>
        <v>Nov</v>
      </c>
      <c r="N4261" s="2">
        <f t="shared" si="200"/>
        <v>8.4979939968058027E-2</v>
      </c>
    </row>
    <row r="4262" spans="1:14" x14ac:dyDescent="0.45">
      <c r="A4262" t="s">
        <v>7686</v>
      </c>
      <c r="B4262" s="1">
        <v>44697</v>
      </c>
      <c r="C4262" t="s">
        <v>7687</v>
      </c>
      <c r="D4262" t="s">
        <v>26</v>
      </c>
      <c r="E4262" t="s">
        <v>14</v>
      </c>
      <c r="F4262" t="s">
        <v>57</v>
      </c>
      <c r="G4262">
        <v>5</v>
      </c>
      <c r="H4262">
        <v>10885.77</v>
      </c>
      <c r="I4262">
        <v>2346.5700000000002</v>
      </c>
      <c r="J4262" t="s">
        <v>28</v>
      </c>
      <c r="K4262" t="s">
        <v>33</v>
      </c>
      <c r="L4262">
        <f t="shared" si="198"/>
        <v>2022</v>
      </c>
      <c r="M4262" t="str">
        <f t="shared" si="199"/>
        <v>May</v>
      </c>
      <c r="N4262" s="2">
        <f t="shared" si="200"/>
        <v>0.21556306995279159</v>
      </c>
    </row>
    <row r="4263" spans="1:14" x14ac:dyDescent="0.45">
      <c r="A4263" t="s">
        <v>7688</v>
      </c>
      <c r="B4263" s="1">
        <v>45503</v>
      </c>
      <c r="C4263" t="s">
        <v>7689</v>
      </c>
      <c r="D4263" t="s">
        <v>56</v>
      </c>
      <c r="E4263" t="s">
        <v>14</v>
      </c>
      <c r="F4263" t="s">
        <v>32</v>
      </c>
      <c r="G4263">
        <v>2</v>
      </c>
      <c r="H4263">
        <v>40231.129999999997</v>
      </c>
      <c r="I4263">
        <v>6307.59</v>
      </c>
      <c r="J4263" t="s">
        <v>28</v>
      </c>
      <c r="K4263" t="s">
        <v>23</v>
      </c>
      <c r="L4263">
        <f t="shared" si="198"/>
        <v>2024</v>
      </c>
      <c r="M4263" t="str">
        <f t="shared" si="199"/>
        <v>Jul</v>
      </c>
      <c r="N4263" s="2">
        <f t="shared" si="200"/>
        <v>0.1567838139271753</v>
      </c>
    </row>
    <row r="4264" spans="1:14" x14ac:dyDescent="0.45">
      <c r="A4264" t="s">
        <v>7690</v>
      </c>
      <c r="B4264" s="1">
        <v>45279</v>
      </c>
      <c r="C4264" t="s">
        <v>7691</v>
      </c>
      <c r="D4264" t="s">
        <v>13</v>
      </c>
      <c r="E4264" t="s">
        <v>14</v>
      </c>
      <c r="F4264" t="s">
        <v>32</v>
      </c>
      <c r="G4264">
        <v>4</v>
      </c>
      <c r="H4264">
        <v>48888.91</v>
      </c>
      <c r="I4264">
        <v>11673.74</v>
      </c>
      <c r="J4264" t="s">
        <v>16</v>
      </c>
      <c r="K4264" t="s">
        <v>29</v>
      </c>
      <c r="L4264">
        <f t="shared" si="198"/>
        <v>2023</v>
      </c>
      <c r="M4264" t="str">
        <f t="shared" si="199"/>
        <v>Dec</v>
      </c>
      <c r="N4264" s="2">
        <f t="shared" si="200"/>
        <v>0.23878094234459304</v>
      </c>
    </row>
    <row r="4265" spans="1:14" x14ac:dyDescent="0.45">
      <c r="A4265" t="s">
        <v>7692</v>
      </c>
      <c r="B4265" s="1">
        <v>45485</v>
      </c>
      <c r="C4265" t="s">
        <v>7693</v>
      </c>
      <c r="D4265" t="s">
        <v>13</v>
      </c>
      <c r="E4265" t="s">
        <v>14</v>
      </c>
      <c r="F4265" t="s">
        <v>32</v>
      </c>
      <c r="G4265">
        <v>3</v>
      </c>
      <c r="H4265">
        <v>2803.25</v>
      </c>
      <c r="I4265">
        <v>219.62</v>
      </c>
      <c r="J4265" t="s">
        <v>47</v>
      </c>
      <c r="K4265" t="s">
        <v>23</v>
      </c>
      <c r="L4265">
        <f t="shared" si="198"/>
        <v>2024</v>
      </c>
      <c r="M4265" t="str">
        <f t="shared" si="199"/>
        <v>Jul</v>
      </c>
      <c r="N4265" s="2">
        <f t="shared" si="200"/>
        <v>7.8344778382234914E-2</v>
      </c>
    </row>
    <row r="4266" spans="1:14" x14ac:dyDescent="0.45">
      <c r="A4266" t="s">
        <v>7694</v>
      </c>
      <c r="B4266" s="1">
        <v>44956</v>
      </c>
      <c r="C4266" t="s">
        <v>7695</v>
      </c>
      <c r="D4266" t="s">
        <v>26</v>
      </c>
      <c r="E4266" t="s">
        <v>36</v>
      </c>
      <c r="F4266" t="s">
        <v>53</v>
      </c>
      <c r="G4266">
        <v>3</v>
      </c>
      <c r="H4266">
        <v>29949.62</v>
      </c>
      <c r="I4266">
        <v>4378.9799999999996</v>
      </c>
      <c r="J4266" t="s">
        <v>16</v>
      </c>
      <c r="K4266" t="s">
        <v>17</v>
      </c>
      <c r="L4266">
        <f t="shared" si="198"/>
        <v>2023</v>
      </c>
      <c r="M4266" t="str">
        <f t="shared" si="199"/>
        <v>Jan</v>
      </c>
      <c r="N4266" s="2">
        <f t="shared" si="200"/>
        <v>0.14621153790932906</v>
      </c>
    </row>
    <row r="4267" spans="1:14" x14ac:dyDescent="0.45">
      <c r="A4267" t="s">
        <v>7696</v>
      </c>
      <c r="B4267" s="1">
        <v>45378</v>
      </c>
      <c r="C4267" t="s">
        <v>7697</v>
      </c>
      <c r="D4267" t="s">
        <v>26</v>
      </c>
      <c r="E4267" t="s">
        <v>36</v>
      </c>
      <c r="F4267" t="s">
        <v>46</v>
      </c>
      <c r="G4267">
        <v>2</v>
      </c>
      <c r="H4267">
        <v>46030.97</v>
      </c>
      <c r="I4267">
        <v>2604.42</v>
      </c>
      <c r="J4267" t="s">
        <v>71</v>
      </c>
      <c r="K4267" t="s">
        <v>33</v>
      </c>
      <c r="L4267">
        <f t="shared" si="198"/>
        <v>2024</v>
      </c>
      <c r="M4267" t="str">
        <f t="shared" si="199"/>
        <v>Mar</v>
      </c>
      <c r="N4267" s="2">
        <f t="shared" si="200"/>
        <v>5.6579733166605008E-2</v>
      </c>
    </row>
    <row r="4268" spans="1:14" x14ac:dyDescent="0.45">
      <c r="A4268" t="s">
        <v>7698</v>
      </c>
      <c r="B4268" s="1">
        <v>45654</v>
      </c>
      <c r="C4268" t="s">
        <v>7699</v>
      </c>
      <c r="D4268" t="s">
        <v>26</v>
      </c>
      <c r="E4268" t="s">
        <v>20</v>
      </c>
      <c r="F4268" t="s">
        <v>43</v>
      </c>
      <c r="G4268">
        <v>1</v>
      </c>
      <c r="H4268">
        <v>1295.69</v>
      </c>
      <c r="I4268">
        <v>131.96</v>
      </c>
      <c r="J4268" t="s">
        <v>22</v>
      </c>
      <c r="K4268" t="s">
        <v>29</v>
      </c>
      <c r="L4268">
        <f t="shared" si="198"/>
        <v>2024</v>
      </c>
      <c r="M4268" t="str">
        <f t="shared" si="199"/>
        <v>Dec</v>
      </c>
      <c r="N4268" s="2">
        <f t="shared" si="200"/>
        <v>0.10184534881028641</v>
      </c>
    </row>
    <row r="4269" spans="1:14" x14ac:dyDescent="0.45">
      <c r="A4269" t="s">
        <v>7700</v>
      </c>
      <c r="B4269" s="1">
        <v>44662</v>
      </c>
      <c r="C4269" t="s">
        <v>2453</v>
      </c>
      <c r="D4269" t="s">
        <v>56</v>
      </c>
      <c r="E4269" t="s">
        <v>20</v>
      </c>
      <c r="F4269" t="s">
        <v>27</v>
      </c>
      <c r="G4269">
        <v>5</v>
      </c>
      <c r="H4269">
        <v>15083.12</v>
      </c>
      <c r="I4269">
        <v>1466.73</v>
      </c>
      <c r="J4269" t="s">
        <v>47</v>
      </c>
      <c r="K4269" t="s">
        <v>17</v>
      </c>
      <c r="L4269">
        <f t="shared" si="198"/>
        <v>2022</v>
      </c>
      <c r="M4269" t="str">
        <f t="shared" si="199"/>
        <v>Apr</v>
      </c>
      <c r="N4269" s="2">
        <f t="shared" si="200"/>
        <v>9.7243143328436019E-2</v>
      </c>
    </row>
    <row r="4270" spans="1:14" x14ac:dyDescent="0.45">
      <c r="A4270" t="s">
        <v>7701</v>
      </c>
      <c r="B4270" s="1">
        <v>44627</v>
      </c>
      <c r="C4270" t="s">
        <v>7702</v>
      </c>
      <c r="D4270" t="s">
        <v>56</v>
      </c>
      <c r="E4270" t="s">
        <v>20</v>
      </c>
      <c r="F4270" t="s">
        <v>50</v>
      </c>
      <c r="G4270">
        <v>3</v>
      </c>
      <c r="H4270">
        <v>18760.04</v>
      </c>
      <c r="I4270">
        <v>4523.9799999999996</v>
      </c>
      <c r="J4270" t="s">
        <v>16</v>
      </c>
      <c r="K4270" t="s">
        <v>29</v>
      </c>
      <c r="L4270">
        <f t="shared" si="198"/>
        <v>2022</v>
      </c>
      <c r="M4270" t="str">
        <f t="shared" si="199"/>
        <v>Mar</v>
      </c>
      <c r="N4270" s="2">
        <f t="shared" si="200"/>
        <v>0.24114980565073418</v>
      </c>
    </row>
    <row r="4271" spans="1:14" x14ac:dyDescent="0.45">
      <c r="A4271" t="s">
        <v>7703</v>
      </c>
      <c r="B4271" s="1">
        <v>45027</v>
      </c>
      <c r="C4271" t="s">
        <v>7704</v>
      </c>
      <c r="D4271" t="s">
        <v>13</v>
      </c>
      <c r="E4271" t="s">
        <v>36</v>
      </c>
      <c r="F4271" t="s">
        <v>53</v>
      </c>
      <c r="G4271">
        <v>4</v>
      </c>
      <c r="H4271">
        <v>47561.19</v>
      </c>
      <c r="I4271">
        <v>4450.82</v>
      </c>
      <c r="J4271" t="s">
        <v>47</v>
      </c>
      <c r="K4271" t="s">
        <v>17</v>
      </c>
      <c r="L4271">
        <f t="shared" si="198"/>
        <v>2023</v>
      </c>
      <c r="M4271" t="str">
        <f t="shared" si="199"/>
        <v>Apr</v>
      </c>
      <c r="N4271" s="2">
        <f t="shared" si="200"/>
        <v>9.3580921755742438E-2</v>
      </c>
    </row>
    <row r="4272" spans="1:14" x14ac:dyDescent="0.45">
      <c r="A4272" t="s">
        <v>7705</v>
      </c>
      <c r="B4272" s="1">
        <v>44634</v>
      </c>
      <c r="C4272" t="s">
        <v>7706</v>
      </c>
      <c r="D4272" t="s">
        <v>56</v>
      </c>
      <c r="E4272" t="s">
        <v>36</v>
      </c>
      <c r="F4272" t="s">
        <v>37</v>
      </c>
      <c r="G4272">
        <v>1</v>
      </c>
      <c r="H4272">
        <v>44883.57</v>
      </c>
      <c r="I4272">
        <v>3363.74</v>
      </c>
      <c r="J4272" t="s">
        <v>16</v>
      </c>
      <c r="K4272" t="s">
        <v>29</v>
      </c>
      <c r="L4272">
        <f t="shared" si="198"/>
        <v>2022</v>
      </c>
      <c r="M4272" t="str">
        <f t="shared" si="199"/>
        <v>Mar</v>
      </c>
      <c r="N4272" s="2">
        <f t="shared" si="200"/>
        <v>7.4943682064506009E-2</v>
      </c>
    </row>
    <row r="4273" spans="1:14" x14ac:dyDescent="0.45">
      <c r="A4273" t="s">
        <v>7707</v>
      </c>
      <c r="B4273" s="1">
        <v>45202</v>
      </c>
      <c r="C4273" t="s">
        <v>7708</v>
      </c>
      <c r="D4273" t="s">
        <v>13</v>
      </c>
      <c r="E4273" t="s">
        <v>36</v>
      </c>
      <c r="F4273" t="s">
        <v>37</v>
      </c>
      <c r="G4273">
        <v>1</v>
      </c>
      <c r="H4273">
        <v>1511.17</v>
      </c>
      <c r="I4273">
        <v>192.65</v>
      </c>
      <c r="J4273" t="s">
        <v>28</v>
      </c>
      <c r="K4273" t="s">
        <v>29</v>
      </c>
      <c r="L4273">
        <f t="shared" si="198"/>
        <v>2023</v>
      </c>
      <c r="M4273" t="str">
        <f t="shared" si="199"/>
        <v>Oct</v>
      </c>
      <c r="N4273" s="2">
        <f t="shared" si="200"/>
        <v>0.12748400246166877</v>
      </c>
    </row>
    <row r="4274" spans="1:14" x14ac:dyDescent="0.45">
      <c r="A4274" t="s">
        <v>7709</v>
      </c>
      <c r="B4274" s="1">
        <v>45613</v>
      </c>
      <c r="C4274" t="s">
        <v>4120</v>
      </c>
      <c r="D4274" t="s">
        <v>26</v>
      </c>
      <c r="E4274" t="s">
        <v>14</v>
      </c>
      <c r="F4274" t="s">
        <v>40</v>
      </c>
      <c r="G4274">
        <v>5</v>
      </c>
      <c r="H4274">
        <v>27396.57</v>
      </c>
      <c r="I4274">
        <v>6716.49</v>
      </c>
      <c r="J4274" t="s">
        <v>22</v>
      </c>
      <c r="K4274" t="s">
        <v>17</v>
      </c>
      <c r="L4274">
        <f t="shared" si="198"/>
        <v>2024</v>
      </c>
      <c r="M4274" t="str">
        <f t="shared" si="199"/>
        <v>Nov</v>
      </c>
      <c r="N4274" s="2">
        <f t="shared" si="200"/>
        <v>0.24515806175736596</v>
      </c>
    </row>
    <row r="4275" spans="1:14" x14ac:dyDescent="0.45">
      <c r="A4275" t="s">
        <v>7710</v>
      </c>
      <c r="B4275" s="1">
        <v>45227</v>
      </c>
      <c r="C4275" t="s">
        <v>7711</v>
      </c>
      <c r="D4275" t="s">
        <v>56</v>
      </c>
      <c r="E4275" t="s">
        <v>36</v>
      </c>
      <c r="F4275" t="s">
        <v>46</v>
      </c>
      <c r="G4275">
        <v>5</v>
      </c>
      <c r="H4275">
        <v>7274.66</v>
      </c>
      <c r="I4275">
        <v>1393.79</v>
      </c>
      <c r="J4275" t="s">
        <v>28</v>
      </c>
      <c r="K4275" t="s">
        <v>33</v>
      </c>
      <c r="L4275">
        <f t="shared" si="198"/>
        <v>2023</v>
      </c>
      <c r="M4275" t="str">
        <f t="shared" si="199"/>
        <v>Oct</v>
      </c>
      <c r="N4275" s="2">
        <f t="shared" si="200"/>
        <v>0.19159520857332163</v>
      </c>
    </row>
    <row r="4276" spans="1:14" x14ac:dyDescent="0.45">
      <c r="A4276" t="s">
        <v>7712</v>
      </c>
      <c r="B4276" s="1">
        <v>44975</v>
      </c>
      <c r="C4276" t="s">
        <v>4206</v>
      </c>
      <c r="D4276" t="s">
        <v>13</v>
      </c>
      <c r="E4276" t="s">
        <v>14</v>
      </c>
      <c r="F4276" t="s">
        <v>15</v>
      </c>
      <c r="G4276">
        <v>4</v>
      </c>
      <c r="H4276">
        <v>18642.09</v>
      </c>
      <c r="I4276">
        <v>1295.45</v>
      </c>
      <c r="J4276" t="s">
        <v>47</v>
      </c>
      <c r="K4276" t="s">
        <v>29</v>
      </c>
      <c r="L4276">
        <f t="shared" si="198"/>
        <v>2023</v>
      </c>
      <c r="M4276" t="str">
        <f t="shared" si="199"/>
        <v>Feb</v>
      </c>
      <c r="N4276" s="2">
        <f t="shared" si="200"/>
        <v>6.9490598961811686E-2</v>
      </c>
    </row>
    <row r="4277" spans="1:14" x14ac:dyDescent="0.45">
      <c r="A4277" t="s">
        <v>7713</v>
      </c>
      <c r="B4277" s="1">
        <v>45617</v>
      </c>
      <c r="C4277" t="s">
        <v>7714</v>
      </c>
      <c r="D4277" t="s">
        <v>26</v>
      </c>
      <c r="E4277" t="s">
        <v>14</v>
      </c>
      <c r="F4277" t="s">
        <v>40</v>
      </c>
      <c r="G4277">
        <v>5</v>
      </c>
      <c r="H4277">
        <v>20079.2</v>
      </c>
      <c r="I4277">
        <v>4641.3</v>
      </c>
      <c r="J4277" t="s">
        <v>71</v>
      </c>
      <c r="K4277" t="s">
        <v>29</v>
      </c>
      <c r="L4277">
        <f t="shared" si="198"/>
        <v>2024</v>
      </c>
      <c r="M4277" t="str">
        <f t="shared" si="199"/>
        <v>Nov</v>
      </c>
      <c r="N4277" s="2">
        <f t="shared" si="200"/>
        <v>0.23114964739631061</v>
      </c>
    </row>
    <row r="4278" spans="1:14" x14ac:dyDescent="0.45">
      <c r="A4278" t="s">
        <v>7715</v>
      </c>
      <c r="B4278" s="1">
        <v>44845</v>
      </c>
      <c r="C4278" t="s">
        <v>3197</v>
      </c>
      <c r="D4278" t="s">
        <v>13</v>
      </c>
      <c r="E4278" t="s">
        <v>36</v>
      </c>
      <c r="F4278" t="s">
        <v>37</v>
      </c>
      <c r="G4278">
        <v>4</v>
      </c>
      <c r="H4278">
        <v>5914.12</v>
      </c>
      <c r="I4278">
        <v>585.48</v>
      </c>
      <c r="J4278" t="s">
        <v>47</v>
      </c>
      <c r="K4278" t="s">
        <v>29</v>
      </c>
      <c r="L4278">
        <f t="shared" si="198"/>
        <v>2022</v>
      </c>
      <c r="M4278" t="str">
        <f t="shared" si="199"/>
        <v>Oct</v>
      </c>
      <c r="N4278" s="2">
        <f t="shared" si="200"/>
        <v>9.8996976726884137E-2</v>
      </c>
    </row>
    <row r="4279" spans="1:14" x14ac:dyDescent="0.45">
      <c r="A4279" t="s">
        <v>7716</v>
      </c>
      <c r="B4279" s="1">
        <v>44819</v>
      </c>
      <c r="C4279" t="s">
        <v>7717</v>
      </c>
      <c r="D4279" t="s">
        <v>56</v>
      </c>
      <c r="E4279" t="s">
        <v>36</v>
      </c>
      <c r="F4279" t="s">
        <v>46</v>
      </c>
      <c r="G4279">
        <v>2</v>
      </c>
      <c r="H4279">
        <v>26364.71</v>
      </c>
      <c r="I4279">
        <v>1477.24</v>
      </c>
      <c r="J4279" t="s">
        <v>16</v>
      </c>
      <c r="K4279" t="s">
        <v>33</v>
      </c>
      <c r="L4279">
        <f t="shared" si="198"/>
        <v>2022</v>
      </c>
      <c r="M4279" t="str">
        <f t="shared" si="199"/>
        <v>Sep</v>
      </c>
      <c r="N4279" s="2">
        <f t="shared" si="200"/>
        <v>5.6030959566784541E-2</v>
      </c>
    </row>
    <row r="4280" spans="1:14" x14ac:dyDescent="0.45">
      <c r="A4280" t="s">
        <v>7718</v>
      </c>
      <c r="B4280" s="1">
        <v>45100</v>
      </c>
      <c r="C4280" t="s">
        <v>7719</v>
      </c>
      <c r="D4280" t="s">
        <v>13</v>
      </c>
      <c r="E4280" t="s">
        <v>36</v>
      </c>
      <c r="F4280" t="s">
        <v>37</v>
      </c>
      <c r="G4280">
        <v>2</v>
      </c>
      <c r="H4280">
        <v>14222.04</v>
      </c>
      <c r="I4280">
        <v>2346.1799999999998</v>
      </c>
      <c r="J4280" t="s">
        <v>28</v>
      </c>
      <c r="K4280" t="s">
        <v>23</v>
      </c>
      <c r="L4280">
        <f t="shared" si="198"/>
        <v>2023</v>
      </c>
      <c r="M4280" t="str">
        <f t="shared" si="199"/>
        <v>Jun</v>
      </c>
      <c r="N4280" s="2">
        <f t="shared" si="200"/>
        <v>0.16496789490115341</v>
      </c>
    </row>
    <row r="4281" spans="1:14" x14ac:dyDescent="0.45">
      <c r="A4281" t="s">
        <v>7720</v>
      </c>
      <c r="B4281" s="1">
        <v>44861</v>
      </c>
      <c r="C4281" t="s">
        <v>7721</v>
      </c>
      <c r="D4281" t="s">
        <v>56</v>
      </c>
      <c r="E4281" t="s">
        <v>36</v>
      </c>
      <c r="F4281" t="s">
        <v>46</v>
      </c>
      <c r="G4281">
        <v>4</v>
      </c>
      <c r="H4281">
        <v>22499.71</v>
      </c>
      <c r="I4281">
        <v>4511.8900000000003</v>
      </c>
      <c r="J4281" t="s">
        <v>16</v>
      </c>
      <c r="K4281" t="s">
        <v>17</v>
      </c>
      <c r="L4281">
        <f t="shared" si="198"/>
        <v>2022</v>
      </c>
      <c r="M4281" t="str">
        <f t="shared" si="199"/>
        <v>Oct</v>
      </c>
      <c r="N4281" s="2">
        <f t="shared" si="200"/>
        <v>0.20053102906659689</v>
      </c>
    </row>
    <row r="4282" spans="1:14" x14ac:dyDescent="0.45">
      <c r="A4282" t="s">
        <v>7722</v>
      </c>
      <c r="B4282" s="1">
        <v>45514</v>
      </c>
      <c r="C4282" t="s">
        <v>6864</v>
      </c>
      <c r="D4282" t="s">
        <v>26</v>
      </c>
      <c r="E4282" t="s">
        <v>20</v>
      </c>
      <c r="F4282" t="s">
        <v>43</v>
      </c>
      <c r="G4282">
        <v>3</v>
      </c>
      <c r="H4282">
        <v>46567.77</v>
      </c>
      <c r="I4282">
        <v>6026.28</v>
      </c>
      <c r="J4282" t="s">
        <v>22</v>
      </c>
      <c r="K4282" t="s">
        <v>17</v>
      </c>
      <c r="L4282">
        <f t="shared" si="198"/>
        <v>2024</v>
      </c>
      <c r="M4282" t="str">
        <f t="shared" si="199"/>
        <v>Aug</v>
      </c>
      <c r="N4282" s="2">
        <f t="shared" si="200"/>
        <v>0.12940881644107072</v>
      </c>
    </row>
    <row r="4283" spans="1:14" x14ac:dyDescent="0.45">
      <c r="A4283" t="s">
        <v>7723</v>
      </c>
      <c r="B4283" s="1">
        <v>44722</v>
      </c>
      <c r="C4283" t="s">
        <v>7724</v>
      </c>
      <c r="D4283" t="s">
        <v>56</v>
      </c>
      <c r="E4283" t="s">
        <v>36</v>
      </c>
      <c r="F4283" t="s">
        <v>46</v>
      </c>
      <c r="G4283">
        <v>5</v>
      </c>
      <c r="H4283">
        <v>15277.12</v>
      </c>
      <c r="I4283">
        <v>2104.89</v>
      </c>
      <c r="J4283" t="s">
        <v>22</v>
      </c>
      <c r="K4283" t="s">
        <v>23</v>
      </c>
      <c r="L4283">
        <f t="shared" si="198"/>
        <v>2022</v>
      </c>
      <c r="M4283" t="str">
        <f t="shared" si="199"/>
        <v>Jun</v>
      </c>
      <c r="N4283" s="2">
        <f t="shared" si="200"/>
        <v>0.13778055026078212</v>
      </c>
    </row>
    <row r="4284" spans="1:14" x14ac:dyDescent="0.45">
      <c r="A4284" t="s">
        <v>7725</v>
      </c>
      <c r="B4284" s="1">
        <v>45583</v>
      </c>
      <c r="C4284" t="s">
        <v>7726</v>
      </c>
      <c r="D4284" t="s">
        <v>56</v>
      </c>
      <c r="E4284" t="s">
        <v>20</v>
      </c>
      <c r="F4284" t="s">
        <v>21</v>
      </c>
      <c r="G4284">
        <v>1</v>
      </c>
      <c r="H4284">
        <v>49673.57</v>
      </c>
      <c r="I4284">
        <v>6885.62</v>
      </c>
      <c r="J4284" t="s">
        <v>28</v>
      </c>
      <c r="K4284" t="s">
        <v>23</v>
      </c>
      <c r="L4284">
        <f t="shared" si="198"/>
        <v>2024</v>
      </c>
      <c r="M4284" t="str">
        <f t="shared" si="199"/>
        <v>Oct</v>
      </c>
      <c r="N4284" s="2">
        <f t="shared" si="200"/>
        <v>0.13861737741015998</v>
      </c>
    </row>
    <row r="4285" spans="1:14" x14ac:dyDescent="0.45">
      <c r="A4285" t="s">
        <v>7727</v>
      </c>
      <c r="B4285" s="1">
        <v>45614</v>
      </c>
      <c r="C4285" t="s">
        <v>7728</v>
      </c>
      <c r="D4285" t="s">
        <v>26</v>
      </c>
      <c r="E4285" t="s">
        <v>14</v>
      </c>
      <c r="F4285" t="s">
        <v>15</v>
      </c>
      <c r="G4285">
        <v>2</v>
      </c>
      <c r="H4285">
        <v>16484.150000000001</v>
      </c>
      <c r="I4285">
        <v>3517.57</v>
      </c>
      <c r="J4285" t="s">
        <v>16</v>
      </c>
      <c r="K4285" t="s">
        <v>33</v>
      </c>
      <c r="L4285">
        <f t="shared" si="198"/>
        <v>2024</v>
      </c>
      <c r="M4285" t="str">
        <f t="shared" si="199"/>
        <v>Nov</v>
      </c>
      <c r="N4285" s="2">
        <f t="shared" si="200"/>
        <v>0.21339104533749084</v>
      </c>
    </row>
    <row r="4286" spans="1:14" x14ac:dyDescent="0.45">
      <c r="A4286" t="s">
        <v>7729</v>
      </c>
      <c r="B4286" s="1">
        <v>44961</v>
      </c>
      <c r="C4286" t="s">
        <v>7730</v>
      </c>
      <c r="D4286" t="s">
        <v>26</v>
      </c>
      <c r="E4286" t="s">
        <v>36</v>
      </c>
      <c r="F4286" t="s">
        <v>53</v>
      </c>
      <c r="G4286">
        <v>1</v>
      </c>
      <c r="H4286">
        <v>19501.07</v>
      </c>
      <c r="I4286">
        <v>3653.03</v>
      </c>
      <c r="J4286" t="s">
        <v>71</v>
      </c>
      <c r="K4286" t="s">
        <v>23</v>
      </c>
      <c r="L4286">
        <f t="shared" si="198"/>
        <v>2023</v>
      </c>
      <c r="M4286" t="str">
        <f t="shared" si="199"/>
        <v>Feb</v>
      </c>
      <c r="N4286" s="2">
        <f t="shared" si="200"/>
        <v>0.18732459295823256</v>
      </c>
    </row>
    <row r="4287" spans="1:14" x14ac:dyDescent="0.45">
      <c r="A4287" t="s">
        <v>7731</v>
      </c>
      <c r="B4287" s="1">
        <v>45477</v>
      </c>
      <c r="C4287" t="s">
        <v>7732</v>
      </c>
      <c r="D4287" t="s">
        <v>26</v>
      </c>
      <c r="E4287" t="s">
        <v>14</v>
      </c>
      <c r="F4287" t="s">
        <v>32</v>
      </c>
      <c r="G4287">
        <v>3</v>
      </c>
      <c r="H4287">
        <v>9993.39</v>
      </c>
      <c r="I4287">
        <v>1680.85</v>
      </c>
      <c r="J4287" t="s">
        <v>22</v>
      </c>
      <c r="K4287" t="s">
        <v>29</v>
      </c>
      <c r="L4287">
        <f t="shared" si="198"/>
        <v>2024</v>
      </c>
      <c r="M4287" t="str">
        <f t="shared" si="199"/>
        <v>Jul</v>
      </c>
      <c r="N4287" s="2">
        <f t="shared" si="200"/>
        <v>0.16819617767344214</v>
      </c>
    </row>
    <row r="4288" spans="1:14" x14ac:dyDescent="0.45">
      <c r="A4288" t="s">
        <v>7733</v>
      </c>
      <c r="B4288" s="1">
        <v>44831</v>
      </c>
      <c r="C4288" t="s">
        <v>7734</v>
      </c>
      <c r="D4288" t="s">
        <v>56</v>
      </c>
      <c r="E4288" t="s">
        <v>36</v>
      </c>
      <c r="F4288" t="s">
        <v>64</v>
      </c>
      <c r="G4288">
        <v>2</v>
      </c>
      <c r="H4288">
        <v>28712.62</v>
      </c>
      <c r="I4288">
        <v>5895.32</v>
      </c>
      <c r="J4288" t="s">
        <v>16</v>
      </c>
      <c r="K4288" t="s">
        <v>33</v>
      </c>
      <c r="L4288">
        <f t="shared" si="198"/>
        <v>2022</v>
      </c>
      <c r="M4288" t="str">
        <f t="shared" si="199"/>
        <v>Sep</v>
      </c>
      <c r="N4288" s="2">
        <f t="shared" si="200"/>
        <v>0.20532156243491537</v>
      </c>
    </row>
    <row r="4289" spans="1:14" x14ac:dyDescent="0.45">
      <c r="A4289" t="s">
        <v>7735</v>
      </c>
      <c r="B4289" s="1">
        <v>45099</v>
      </c>
      <c r="C4289" t="s">
        <v>4355</v>
      </c>
      <c r="D4289" t="s">
        <v>56</v>
      </c>
      <c r="E4289" t="s">
        <v>20</v>
      </c>
      <c r="F4289" t="s">
        <v>43</v>
      </c>
      <c r="G4289">
        <v>2</v>
      </c>
      <c r="H4289">
        <v>3394.7</v>
      </c>
      <c r="I4289">
        <v>170.41</v>
      </c>
      <c r="J4289" t="s">
        <v>47</v>
      </c>
      <c r="K4289" t="s">
        <v>29</v>
      </c>
      <c r="L4289">
        <f t="shared" si="198"/>
        <v>2023</v>
      </c>
      <c r="M4289" t="str">
        <f t="shared" si="199"/>
        <v>Jun</v>
      </c>
      <c r="N4289" s="2">
        <f t="shared" si="200"/>
        <v>5.0198839367248949E-2</v>
      </c>
    </row>
    <row r="4290" spans="1:14" x14ac:dyDescent="0.45">
      <c r="A4290" t="s">
        <v>7736</v>
      </c>
      <c r="B4290" s="1">
        <v>45378</v>
      </c>
      <c r="C4290" t="s">
        <v>5982</v>
      </c>
      <c r="D4290" t="s">
        <v>26</v>
      </c>
      <c r="E4290" t="s">
        <v>20</v>
      </c>
      <c r="F4290" t="s">
        <v>43</v>
      </c>
      <c r="G4290">
        <v>3</v>
      </c>
      <c r="H4290">
        <v>42023.39</v>
      </c>
      <c r="I4290">
        <v>4126.3100000000004</v>
      </c>
      <c r="J4290" t="s">
        <v>22</v>
      </c>
      <c r="K4290" t="s">
        <v>17</v>
      </c>
      <c r="L4290">
        <f t="shared" si="198"/>
        <v>2024</v>
      </c>
      <c r="M4290" t="str">
        <f t="shared" si="199"/>
        <v>Mar</v>
      </c>
      <c r="N4290" s="2">
        <f t="shared" si="200"/>
        <v>9.8190793270128862E-2</v>
      </c>
    </row>
    <row r="4291" spans="1:14" x14ac:dyDescent="0.45">
      <c r="A4291" t="s">
        <v>7737</v>
      </c>
      <c r="B4291" s="1">
        <v>44827</v>
      </c>
      <c r="C4291" t="s">
        <v>2953</v>
      </c>
      <c r="D4291" t="s">
        <v>56</v>
      </c>
      <c r="E4291" t="s">
        <v>14</v>
      </c>
      <c r="F4291" t="s">
        <v>32</v>
      </c>
      <c r="G4291">
        <v>5</v>
      </c>
      <c r="H4291">
        <v>44191.24</v>
      </c>
      <c r="I4291">
        <v>5316.7</v>
      </c>
      <c r="J4291" t="s">
        <v>22</v>
      </c>
      <c r="K4291" t="s">
        <v>29</v>
      </c>
      <c r="L4291">
        <f t="shared" ref="L4291:L4354" si="201">YEAR(B4291 )</f>
        <v>2022</v>
      </c>
      <c r="M4291" t="str">
        <f t="shared" ref="M4291:M4354" si="202">TEXT(B4291,"MMM")</f>
        <v>Sep</v>
      </c>
      <c r="N4291" s="2">
        <f t="shared" ref="N4291:N4354" si="203">I4291 / H4291</f>
        <v>0.12031117479391844</v>
      </c>
    </row>
    <row r="4292" spans="1:14" x14ac:dyDescent="0.45">
      <c r="A4292" t="s">
        <v>7738</v>
      </c>
      <c r="B4292" s="1">
        <v>45561</v>
      </c>
      <c r="C4292" t="s">
        <v>6097</v>
      </c>
      <c r="D4292" t="s">
        <v>26</v>
      </c>
      <c r="E4292" t="s">
        <v>14</v>
      </c>
      <c r="F4292" t="s">
        <v>40</v>
      </c>
      <c r="G4292">
        <v>5</v>
      </c>
      <c r="H4292">
        <v>5945</v>
      </c>
      <c r="I4292">
        <v>1169.57</v>
      </c>
      <c r="J4292" t="s">
        <v>47</v>
      </c>
      <c r="K4292" t="s">
        <v>17</v>
      </c>
      <c r="L4292">
        <f t="shared" si="201"/>
        <v>2024</v>
      </c>
      <c r="M4292" t="str">
        <f t="shared" si="202"/>
        <v>Sep</v>
      </c>
      <c r="N4292" s="2">
        <f t="shared" si="203"/>
        <v>0.19673170731707315</v>
      </c>
    </row>
    <row r="4293" spans="1:14" x14ac:dyDescent="0.45">
      <c r="A4293" t="s">
        <v>7739</v>
      </c>
      <c r="B4293" s="1">
        <v>45322</v>
      </c>
      <c r="C4293" t="s">
        <v>4240</v>
      </c>
      <c r="D4293" t="s">
        <v>13</v>
      </c>
      <c r="E4293" t="s">
        <v>14</v>
      </c>
      <c r="F4293" t="s">
        <v>15</v>
      </c>
      <c r="G4293">
        <v>2</v>
      </c>
      <c r="H4293">
        <v>1171.3800000000001</v>
      </c>
      <c r="I4293">
        <v>229.57</v>
      </c>
      <c r="J4293" t="s">
        <v>71</v>
      </c>
      <c r="K4293" t="s">
        <v>23</v>
      </c>
      <c r="L4293">
        <f t="shared" si="201"/>
        <v>2024</v>
      </c>
      <c r="M4293" t="str">
        <f t="shared" si="202"/>
        <v>Jan</v>
      </c>
      <c r="N4293" s="2">
        <f t="shared" si="203"/>
        <v>0.19598251634823879</v>
      </c>
    </row>
    <row r="4294" spans="1:14" x14ac:dyDescent="0.45">
      <c r="A4294" t="s">
        <v>7740</v>
      </c>
      <c r="B4294" s="1">
        <v>45343</v>
      </c>
      <c r="C4294" t="s">
        <v>3886</v>
      </c>
      <c r="D4294" t="s">
        <v>13</v>
      </c>
      <c r="E4294" t="s">
        <v>14</v>
      </c>
      <c r="F4294" t="s">
        <v>32</v>
      </c>
      <c r="G4294">
        <v>1</v>
      </c>
      <c r="H4294">
        <v>13498.99</v>
      </c>
      <c r="I4294">
        <v>1707.04</v>
      </c>
      <c r="J4294" t="s">
        <v>22</v>
      </c>
      <c r="K4294" t="s">
        <v>23</v>
      </c>
      <c r="L4294">
        <f t="shared" si="201"/>
        <v>2024</v>
      </c>
      <c r="M4294" t="str">
        <f t="shared" si="202"/>
        <v>Feb</v>
      </c>
      <c r="N4294" s="2">
        <f t="shared" si="203"/>
        <v>0.12645686825458793</v>
      </c>
    </row>
    <row r="4295" spans="1:14" x14ac:dyDescent="0.45">
      <c r="A4295" t="s">
        <v>7741</v>
      </c>
      <c r="B4295" s="1">
        <v>44778</v>
      </c>
      <c r="C4295" t="s">
        <v>7742</v>
      </c>
      <c r="D4295" t="s">
        <v>26</v>
      </c>
      <c r="E4295" t="s">
        <v>14</v>
      </c>
      <c r="F4295" t="s">
        <v>57</v>
      </c>
      <c r="G4295">
        <v>1</v>
      </c>
      <c r="H4295">
        <v>21143.85</v>
      </c>
      <c r="I4295">
        <v>4319.32</v>
      </c>
      <c r="J4295" t="s">
        <v>16</v>
      </c>
      <c r="K4295" t="s">
        <v>17</v>
      </c>
      <c r="L4295">
        <f t="shared" si="201"/>
        <v>2022</v>
      </c>
      <c r="M4295" t="str">
        <f t="shared" si="202"/>
        <v>Aug</v>
      </c>
      <c r="N4295" s="2">
        <f t="shared" si="203"/>
        <v>0.20428256916313728</v>
      </c>
    </row>
    <row r="4296" spans="1:14" x14ac:dyDescent="0.45">
      <c r="A4296" t="s">
        <v>7743</v>
      </c>
      <c r="B4296" s="1">
        <v>44949</v>
      </c>
      <c r="C4296" t="s">
        <v>7744</v>
      </c>
      <c r="D4296" t="s">
        <v>26</v>
      </c>
      <c r="E4296" t="s">
        <v>14</v>
      </c>
      <c r="F4296" t="s">
        <v>40</v>
      </c>
      <c r="G4296">
        <v>4</v>
      </c>
      <c r="H4296">
        <v>38470.769999999997</v>
      </c>
      <c r="I4296">
        <v>4078.88</v>
      </c>
      <c r="J4296" t="s">
        <v>47</v>
      </c>
      <c r="K4296" t="s">
        <v>29</v>
      </c>
      <c r="L4296">
        <f t="shared" si="201"/>
        <v>2023</v>
      </c>
      <c r="M4296" t="str">
        <f t="shared" si="202"/>
        <v>Jan</v>
      </c>
      <c r="N4296" s="2">
        <f t="shared" si="203"/>
        <v>0.10602543177586517</v>
      </c>
    </row>
    <row r="4297" spans="1:14" x14ac:dyDescent="0.45">
      <c r="A4297" t="s">
        <v>7745</v>
      </c>
      <c r="B4297" s="1">
        <v>44714</v>
      </c>
      <c r="C4297" t="s">
        <v>7746</v>
      </c>
      <c r="D4297" t="s">
        <v>13</v>
      </c>
      <c r="E4297" t="s">
        <v>36</v>
      </c>
      <c r="F4297" t="s">
        <v>64</v>
      </c>
      <c r="G4297">
        <v>5</v>
      </c>
      <c r="H4297">
        <v>29536.71</v>
      </c>
      <c r="I4297">
        <v>4726.13</v>
      </c>
      <c r="J4297" t="s">
        <v>47</v>
      </c>
      <c r="K4297" t="s">
        <v>23</v>
      </c>
      <c r="L4297">
        <f t="shared" si="201"/>
        <v>2022</v>
      </c>
      <c r="M4297" t="str">
        <f t="shared" si="202"/>
        <v>Jun</v>
      </c>
      <c r="N4297" s="2">
        <f t="shared" si="203"/>
        <v>0.16000868072307309</v>
      </c>
    </row>
    <row r="4298" spans="1:14" x14ac:dyDescent="0.45">
      <c r="A4298" t="s">
        <v>7747</v>
      </c>
      <c r="B4298" s="1">
        <v>45640</v>
      </c>
      <c r="C4298" t="s">
        <v>7748</v>
      </c>
      <c r="D4298" t="s">
        <v>13</v>
      </c>
      <c r="E4298" t="s">
        <v>14</v>
      </c>
      <c r="F4298" t="s">
        <v>57</v>
      </c>
      <c r="G4298">
        <v>4</v>
      </c>
      <c r="H4298">
        <v>44301.82</v>
      </c>
      <c r="I4298">
        <v>10164.24</v>
      </c>
      <c r="J4298" t="s">
        <v>28</v>
      </c>
      <c r="K4298" t="s">
        <v>17</v>
      </c>
      <c r="L4298">
        <f t="shared" si="201"/>
        <v>2024</v>
      </c>
      <c r="M4298" t="str">
        <f t="shared" si="202"/>
        <v>Dec</v>
      </c>
      <c r="N4298" s="2">
        <f t="shared" si="203"/>
        <v>0.22943165766101709</v>
      </c>
    </row>
    <row r="4299" spans="1:14" x14ac:dyDescent="0.45">
      <c r="A4299" t="s">
        <v>7749</v>
      </c>
      <c r="B4299" s="1">
        <v>45105</v>
      </c>
      <c r="C4299" t="s">
        <v>7750</v>
      </c>
      <c r="D4299" t="s">
        <v>56</v>
      </c>
      <c r="E4299" t="s">
        <v>36</v>
      </c>
      <c r="F4299" t="s">
        <v>46</v>
      </c>
      <c r="G4299">
        <v>3</v>
      </c>
      <c r="H4299">
        <v>29751.56</v>
      </c>
      <c r="I4299">
        <v>1662.82</v>
      </c>
      <c r="J4299" t="s">
        <v>22</v>
      </c>
      <c r="K4299" t="s">
        <v>23</v>
      </c>
      <c r="L4299">
        <f t="shared" si="201"/>
        <v>2023</v>
      </c>
      <c r="M4299" t="str">
        <f t="shared" si="202"/>
        <v>Jun</v>
      </c>
      <c r="N4299" s="2">
        <f t="shared" si="203"/>
        <v>5.5890178531814799E-2</v>
      </c>
    </row>
    <row r="4300" spans="1:14" x14ac:dyDescent="0.45">
      <c r="A4300" t="s">
        <v>7751</v>
      </c>
      <c r="B4300" s="1">
        <v>45079</v>
      </c>
      <c r="C4300" t="s">
        <v>5686</v>
      </c>
      <c r="D4300" t="s">
        <v>26</v>
      </c>
      <c r="E4300" t="s">
        <v>20</v>
      </c>
      <c r="F4300" t="s">
        <v>43</v>
      </c>
      <c r="G4300">
        <v>5</v>
      </c>
      <c r="H4300">
        <v>23682.57</v>
      </c>
      <c r="I4300">
        <v>3924.51</v>
      </c>
      <c r="J4300" t="s">
        <v>47</v>
      </c>
      <c r="K4300" t="s">
        <v>33</v>
      </c>
      <c r="L4300">
        <f t="shared" si="201"/>
        <v>2023</v>
      </c>
      <c r="M4300" t="str">
        <f t="shared" si="202"/>
        <v>Jun</v>
      </c>
      <c r="N4300" s="2">
        <f t="shared" si="203"/>
        <v>0.16571301172127856</v>
      </c>
    </row>
    <row r="4301" spans="1:14" x14ac:dyDescent="0.45">
      <c r="A4301" t="s">
        <v>7752</v>
      </c>
      <c r="B4301" s="1">
        <v>45074</v>
      </c>
      <c r="C4301" t="s">
        <v>644</v>
      </c>
      <c r="D4301" t="s">
        <v>13</v>
      </c>
      <c r="E4301" t="s">
        <v>36</v>
      </c>
      <c r="F4301" t="s">
        <v>64</v>
      </c>
      <c r="G4301">
        <v>3</v>
      </c>
      <c r="H4301">
        <v>44095.19</v>
      </c>
      <c r="I4301">
        <v>8717.35</v>
      </c>
      <c r="J4301" t="s">
        <v>47</v>
      </c>
      <c r="K4301" t="s">
        <v>29</v>
      </c>
      <c r="L4301">
        <f t="shared" si="201"/>
        <v>2023</v>
      </c>
      <c r="M4301" t="str">
        <f t="shared" si="202"/>
        <v>May</v>
      </c>
      <c r="N4301" s="2">
        <f t="shared" si="203"/>
        <v>0.19769389813265348</v>
      </c>
    </row>
    <row r="4302" spans="1:14" x14ac:dyDescent="0.45">
      <c r="A4302" t="s">
        <v>7753</v>
      </c>
      <c r="B4302" s="1">
        <v>44618</v>
      </c>
      <c r="C4302" t="s">
        <v>7754</v>
      </c>
      <c r="D4302" t="s">
        <v>13</v>
      </c>
      <c r="E4302" t="s">
        <v>20</v>
      </c>
      <c r="F4302" t="s">
        <v>27</v>
      </c>
      <c r="G4302">
        <v>2</v>
      </c>
      <c r="H4302">
        <v>28229.24</v>
      </c>
      <c r="I4302">
        <v>1707.35</v>
      </c>
      <c r="J4302" t="s">
        <v>16</v>
      </c>
      <c r="K4302" t="s">
        <v>23</v>
      </c>
      <c r="L4302">
        <f t="shared" si="201"/>
        <v>2022</v>
      </c>
      <c r="M4302" t="str">
        <f t="shared" si="202"/>
        <v>Feb</v>
      </c>
      <c r="N4302" s="2">
        <f t="shared" si="203"/>
        <v>6.0481614099423146E-2</v>
      </c>
    </row>
    <row r="4303" spans="1:14" x14ac:dyDescent="0.45">
      <c r="A4303" t="s">
        <v>7755</v>
      </c>
      <c r="B4303" s="1">
        <v>44747</v>
      </c>
      <c r="C4303" t="s">
        <v>7350</v>
      </c>
      <c r="D4303" t="s">
        <v>26</v>
      </c>
      <c r="E4303" t="s">
        <v>36</v>
      </c>
      <c r="F4303" t="s">
        <v>64</v>
      </c>
      <c r="G4303">
        <v>1</v>
      </c>
      <c r="H4303">
        <v>48270.31</v>
      </c>
      <c r="I4303">
        <v>9493.51</v>
      </c>
      <c r="J4303" t="s">
        <v>28</v>
      </c>
      <c r="K4303" t="s">
        <v>23</v>
      </c>
      <c r="L4303">
        <f t="shared" si="201"/>
        <v>2022</v>
      </c>
      <c r="M4303" t="str">
        <f t="shared" si="202"/>
        <v>Jul</v>
      </c>
      <c r="N4303" s="2">
        <f t="shared" si="203"/>
        <v>0.19667389747445171</v>
      </c>
    </row>
    <row r="4304" spans="1:14" x14ac:dyDescent="0.45">
      <c r="A4304" t="s">
        <v>7756</v>
      </c>
      <c r="B4304" s="1">
        <v>45080</v>
      </c>
      <c r="C4304" t="s">
        <v>255</v>
      </c>
      <c r="D4304" t="s">
        <v>56</v>
      </c>
      <c r="E4304" t="s">
        <v>14</v>
      </c>
      <c r="F4304" t="s">
        <v>15</v>
      </c>
      <c r="G4304">
        <v>4</v>
      </c>
      <c r="H4304">
        <v>14317.9</v>
      </c>
      <c r="I4304">
        <v>3549.05</v>
      </c>
      <c r="J4304" t="s">
        <v>28</v>
      </c>
      <c r="K4304" t="s">
        <v>29</v>
      </c>
      <c r="L4304">
        <f t="shared" si="201"/>
        <v>2023</v>
      </c>
      <c r="M4304" t="str">
        <f t="shared" si="202"/>
        <v>Jun</v>
      </c>
      <c r="N4304" s="2">
        <f t="shared" si="203"/>
        <v>0.24787503754042145</v>
      </c>
    </row>
    <row r="4305" spans="1:14" x14ac:dyDescent="0.45">
      <c r="A4305" t="s">
        <v>7757</v>
      </c>
      <c r="B4305" s="1">
        <v>45006</v>
      </c>
      <c r="C4305" t="s">
        <v>5058</v>
      </c>
      <c r="D4305" t="s">
        <v>13</v>
      </c>
      <c r="E4305" t="s">
        <v>36</v>
      </c>
      <c r="F4305" t="s">
        <v>64</v>
      </c>
      <c r="G4305">
        <v>3</v>
      </c>
      <c r="H4305">
        <v>9405.02</v>
      </c>
      <c r="I4305">
        <v>1220.83</v>
      </c>
      <c r="J4305" t="s">
        <v>47</v>
      </c>
      <c r="K4305" t="s">
        <v>23</v>
      </c>
      <c r="L4305">
        <f t="shared" si="201"/>
        <v>2023</v>
      </c>
      <c r="M4305" t="str">
        <f t="shared" si="202"/>
        <v>Mar</v>
      </c>
      <c r="N4305" s="2">
        <f t="shared" si="203"/>
        <v>0.12980620987515176</v>
      </c>
    </row>
    <row r="4306" spans="1:14" x14ac:dyDescent="0.45">
      <c r="A4306" t="s">
        <v>7758</v>
      </c>
      <c r="B4306" s="1">
        <v>44817</v>
      </c>
      <c r="C4306" t="s">
        <v>7759</v>
      </c>
      <c r="D4306" t="s">
        <v>13</v>
      </c>
      <c r="E4306" t="s">
        <v>20</v>
      </c>
      <c r="F4306" t="s">
        <v>43</v>
      </c>
      <c r="G4306">
        <v>1</v>
      </c>
      <c r="H4306">
        <v>49239.22</v>
      </c>
      <c r="I4306">
        <v>10705.19</v>
      </c>
      <c r="J4306" t="s">
        <v>71</v>
      </c>
      <c r="K4306" t="s">
        <v>17</v>
      </c>
      <c r="L4306">
        <f t="shared" si="201"/>
        <v>2022</v>
      </c>
      <c r="M4306" t="str">
        <f t="shared" si="202"/>
        <v>Sep</v>
      </c>
      <c r="N4306" s="2">
        <f t="shared" si="203"/>
        <v>0.21741185177181929</v>
      </c>
    </row>
    <row r="4307" spans="1:14" x14ac:dyDescent="0.45">
      <c r="A4307" t="s">
        <v>7760</v>
      </c>
      <c r="B4307" s="1">
        <v>44622</v>
      </c>
      <c r="C4307" t="s">
        <v>7761</v>
      </c>
      <c r="D4307" t="s">
        <v>56</v>
      </c>
      <c r="E4307" t="s">
        <v>20</v>
      </c>
      <c r="F4307" t="s">
        <v>21</v>
      </c>
      <c r="G4307">
        <v>1</v>
      </c>
      <c r="H4307">
        <v>37647.800000000003</v>
      </c>
      <c r="I4307">
        <v>6470.16</v>
      </c>
      <c r="J4307" t="s">
        <v>22</v>
      </c>
      <c r="K4307" t="s">
        <v>17</v>
      </c>
      <c r="L4307">
        <f t="shared" si="201"/>
        <v>2022</v>
      </c>
      <c r="M4307" t="str">
        <f t="shared" si="202"/>
        <v>Mar</v>
      </c>
      <c r="N4307" s="2">
        <f t="shared" si="203"/>
        <v>0.17186024150149543</v>
      </c>
    </row>
    <row r="4308" spans="1:14" x14ac:dyDescent="0.45">
      <c r="A4308" t="s">
        <v>7762</v>
      </c>
      <c r="B4308" s="1">
        <v>45228</v>
      </c>
      <c r="C4308" t="s">
        <v>7763</v>
      </c>
      <c r="D4308" t="s">
        <v>13</v>
      </c>
      <c r="E4308" t="s">
        <v>14</v>
      </c>
      <c r="F4308" t="s">
        <v>40</v>
      </c>
      <c r="G4308">
        <v>1</v>
      </c>
      <c r="H4308">
        <v>26606.37</v>
      </c>
      <c r="I4308">
        <v>4074.74</v>
      </c>
      <c r="J4308" t="s">
        <v>22</v>
      </c>
      <c r="K4308" t="s">
        <v>29</v>
      </c>
      <c r="L4308">
        <f t="shared" si="201"/>
        <v>2023</v>
      </c>
      <c r="M4308" t="str">
        <f t="shared" si="202"/>
        <v>Oct</v>
      </c>
      <c r="N4308" s="2">
        <f t="shared" si="203"/>
        <v>0.15314903912108266</v>
      </c>
    </row>
    <row r="4309" spans="1:14" x14ac:dyDescent="0.45">
      <c r="A4309" t="s">
        <v>7764</v>
      </c>
      <c r="B4309" s="1">
        <v>44720</v>
      </c>
      <c r="C4309" t="s">
        <v>7765</v>
      </c>
      <c r="D4309" t="s">
        <v>13</v>
      </c>
      <c r="E4309" t="s">
        <v>14</v>
      </c>
      <c r="F4309" t="s">
        <v>32</v>
      </c>
      <c r="G4309">
        <v>1</v>
      </c>
      <c r="H4309">
        <v>29221.439999999999</v>
      </c>
      <c r="I4309">
        <v>6854.23</v>
      </c>
      <c r="J4309" t="s">
        <v>22</v>
      </c>
      <c r="K4309" t="s">
        <v>33</v>
      </c>
      <c r="L4309">
        <f t="shared" si="201"/>
        <v>2022</v>
      </c>
      <c r="M4309" t="str">
        <f t="shared" si="202"/>
        <v>Jun</v>
      </c>
      <c r="N4309" s="2">
        <f t="shared" si="203"/>
        <v>0.23456167800081035</v>
      </c>
    </row>
    <row r="4310" spans="1:14" x14ac:dyDescent="0.45">
      <c r="A4310" t="s">
        <v>7766</v>
      </c>
      <c r="B4310" s="1">
        <v>45393</v>
      </c>
      <c r="C4310" t="s">
        <v>5132</v>
      </c>
      <c r="D4310" t="s">
        <v>56</v>
      </c>
      <c r="E4310" t="s">
        <v>36</v>
      </c>
      <c r="F4310" t="s">
        <v>53</v>
      </c>
      <c r="G4310">
        <v>3</v>
      </c>
      <c r="H4310">
        <v>35033.67</v>
      </c>
      <c r="I4310">
        <v>4741.08</v>
      </c>
      <c r="J4310" t="s">
        <v>47</v>
      </c>
      <c r="K4310" t="s">
        <v>17</v>
      </c>
      <c r="L4310">
        <f t="shared" si="201"/>
        <v>2024</v>
      </c>
      <c r="M4310" t="str">
        <f t="shared" si="202"/>
        <v>Apr</v>
      </c>
      <c r="N4310" s="2">
        <f t="shared" si="203"/>
        <v>0.13532924184077774</v>
      </c>
    </row>
    <row r="4311" spans="1:14" x14ac:dyDescent="0.45">
      <c r="A4311" t="s">
        <v>7767</v>
      </c>
      <c r="B4311" s="1">
        <v>44860</v>
      </c>
      <c r="C4311" t="s">
        <v>7768</v>
      </c>
      <c r="D4311" t="s">
        <v>56</v>
      </c>
      <c r="E4311" t="s">
        <v>14</v>
      </c>
      <c r="F4311" t="s">
        <v>32</v>
      </c>
      <c r="G4311">
        <v>2</v>
      </c>
      <c r="H4311">
        <v>13627.5</v>
      </c>
      <c r="I4311">
        <v>2472.1999999999998</v>
      </c>
      <c r="J4311" t="s">
        <v>71</v>
      </c>
      <c r="K4311" t="s">
        <v>33</v>
      </c>
      <c r="L4311">
        <f t="shared" si="201"/>
        <v>2022</v>
      </c>
      <c r="M4311" t="str">
        <f t="shared" si="202"/>
        <v>Oct</v>
      </c>
      <c r="N4311" s="2">
        <f t="shared" si="203"/>
        <v>0.18141258484681708</v>
      </c>
    </row>
    <row r="4312" spans="1:14" x14ac:dyDescent="0.45">
      <c r="A4312" t="s">
        <v>7769</v>
      </c>
      <c r="B4312" s="1">
        <v>44587</v>
      </c>
      <c r="C4312" t="s">
        <v>7073</v>
      </c>
      <c r="D4312" t="s">
        <v>56</v>
      </c>
      <c r="E4312" t="s">
        <v>14</v>
      </c>
      <c r="F4312" t="s">
        <v>32</v>
      </c>
      <c r="G4312">
        <v>1</v>
      </c>
      <c r="H4312">
        <v>22703.34</v>
      </c>
      <c r="I4312">
        <v>3111.1</v>
      </c>
      <c r="J4312" t="s">
        <v>16</v>
      </c>
      <c r="K4312" t="s">
        <v>23</v>
      </c>
      <c r="L4312">
        <f t="shared" si="201"/>
        <v>2022</v>
      </c>
      <c r="M4312" t="str">
        <f t="shared" si="202"/>
        <v>Jan</v>
      </c>
      <c r="N4312" s="2">
        <f t="shared" si="203"/>
        <v>0.13703270091537192</v>
      </c>
    </row>
    <row r="4313" spans="1:14" x14ac:dyDescent="0.45">
      <c r="A4313" t="s">
        <v>7770</v>
      </c>
      <c r="B4313" s="1">
        <v>44694</v>
      </c>
      <c r="C4313" t="s">
        <v>7771</v>
      </c>
      <c r="D4313" t="s">
        <v>13</v>
      </c>
      <c r="E4313" t="s">
        <v>36</v>
      </c>
      <c r="F4313" t="s">
        <v>64</v>
      </c>
      <c r="G4313">
        <v>4</v>
      </c>
      <c r="H4313">
        <v>39033.39</v>
      </c>
      <c r="I4313">
        <v>2963.4</v>
      </c>
      <c r="J4313" t="s">
        <v>22</v>
      </c>
      <c r="K4313" t="s">
        <v>23</v>
      </c>
      <c r="L4313">
        <f t="shared" si="201"/>
        <v>2022</v>
      </c>
      <c r="M4313" t="str">
        <f t="shared" si="202"/>
        <v>May</v>
      </c>
      <c r="N4313" s="2">
        <f t="shared" si="203"/>
        <v>7.5919616512939311E-2</v>
      </c>
    </row>
    <row r="4314" spans="1:14" x14ac:dyDescent="0.45">
      <c r="A4314" t="s">
        <v>7772</v>
      </c>
      <c r="B4314" s="1">
        <v>44975</v>
      </c>
      <c r="C4314" t="s">
        <v>2779</v>
      </c>
      <c r="D4314" t="s">
        <v>56</v>
      </c>
      <c r="E4314" t="s">
        <v>36</v>
      </c>
      <c r="F4314" t="s">
        <v>37</v>
      </c>
      <c r="G4314">
        <v>3</v>
      </c>
      <c r="H4314">
        <v>20576.86</v>
      </c>
      <c r="I4314">
        <v>3271.61</v>
      </c>
      <c r="J4314" t="s">
        <v>28</v>
      </c>
      <c r="K4314" t="s">
        <v>29</v>
      </c>
      <c r="L4314">
        <f t="shared" si="201"/>
        <v>2023</v>
      </c>
      <c r="M4314" t="str">
        <f t="shared" si="202"/>
        <v>Feb</v>
      </c>
      <c r="N4314" s="2">
        <f t="shared" si="203"/>
        <v>0.15899461822649325</v>
      </c>
    </row>
    <row r="4315" spans="1:14" x14ac:dyDescent="0.45">
      <c r="A4315" t="s">
        <v>7773</v>
      </c>
      <c r="B4315" s="1">
        <v>45313</v>
      </c>
      <c r="C4315" t="s">
        <v>7774</v>
      </c>
      <c r="D4315" t="s">
        <v>56</v>
      </c>
      <c r="E4315" t="s">
        <v>14</v>
      </c>
      <c r="F4315" t="s">
        <v>57</v>
      </c>
      <c r="G4315">
        <v>4</v>
      </c>
      <c r="H4315">
        <v>6879.18</v>
      </c>
      <c r="I4315">
        <v>780.12</v>
      </c>
      <c r="J4315" t="s">
        <v>71</v>
      </c>
      <c r="K4315" t="s">
        <v>29</v>
      </c>
      <c r="L4315">
        <f t="shared" si="201"/>
        <v>2024</v>
      </c>
      <c r="M4315" t="str">
        <f t="shared" si="202"/>
        <v>Jan</v>
      </c>
      <c r="N4315" s="2">
        <f t="shared" si="203"/>
        <v>0.11340305094502542</v>
      </c>
    </row>
    <row r="4316" spans="1:14" x14ac:dyDescent="0.45">
      <c r="A4316" t="s">
        <v>7775</v>
      </c>
      <c r="B4316" s="1">
        <v>45309</v>
      </c>
      <c r="C4316" t="s">
        <v>7776</v>
      </c>
      <c r="D4316" t="s">
        <v>26</v>
      </c>
      <c r="E4316" t="s">
        <v>14</v>
      </c>
      <c r="F4316" t="s">
        <v>57</v>
      </c>
      <c r="G4316">
        <v>2</v>
      </c>
      <c r="H4316">
        <v>38821.47</v>
      </c>
      <c r="I4316">
        <v>8902.69</v>
      </c>
      <c r="J4316" t="s">
        <v>22</v>
      </c>
      <c r="K4316" t="s">
        <v>17</v>
      </c>
      <c r="L4316">
        <f t="shared" si="201"/>
        <v>2024</v>
      </c>
      <c r="M4316" t="str">
        <f t="shared" si="202"/>
        <v>Jan</v>
      </c>
      <c r="N4316" s="2">
        <f t="shared" si="203"/>
        <v>0.22932387671049037</v>
      </c>
    </row>
    <row r="4317" spans="1:14" x14ac:dyDescent="0.45">
      <c r="A4317" t="s">
        <v>7777</v>
      </c>
      <c r="B4317" s="1">
        <v>44608</v>
      </c>
      <c r="C4317" t="s">
        <v>7778</v>
      </c>
      <c r="D4317" t="s">
        <v>56</v>
      </c>
      <c r="E4317" t="s">
        <v>36</v>
      </c>
      <c r="F4317" t="s">
        <v>46</v>
      </c>
      <c r="G4317">
        <v>4</v>
      </c>
      <c r="H4317">
        <v>23564.34</v>
      </c>
      <c r="I4317">
        <v>1699.9</v>
      </c>
      <c r="J4317" t="s">
        <v>47</v>
      </c>
      <c r="K4317" t="s">
        <v>17</v>
      </c>
      <c r="L4317">
        <f t="shared" si="201"/>
        <v>2022</v>
      </c>
      <c r="M4317" t="str">
        <f t="shared" si="202"/>
        <v>Feb</v>
      </c>
      <c r="N4317" s="2">
        <f t="shared" si="203"/>
        <v>7.2138663760580604E-2</v>
      </c>
    </row>
    <row r="4318" spans="1:14" x14ac:dyDescent="0.45">
      <c r="A4318" t="s">
        <v>7779</v>
      </c>
      <c r="B4318" s="1">
        <v>45018</v>
      </c>
      <c r="C4318" t="s">
        <v>7780</v>
      </c>
      <c r="D4318" t="s">
        <v>56</v>
      </c>
      <c r="E4318" t="s">
        <v>36</v>
      </c>
      <c r="F4318" t="s">
        <v>37</v>
      </c>
      <c r="G4318">
        <v>1</v>
      </c>
      <c r="H4318">
        <v>14800.51</v>
      </c>
      <c r="I4318">
        <v>1566.98</v>
      </c>
      <c r="J4318" t="s">
        <v>22</v>
      </c>
      <c r="K4318" t="s">
        <v>23</v>
      </c>
      <c r="L4318">
        <f t="shared" si="201"/>
        <v>2023</v>
      </c>
      <c r="M4318" t="str">
        <f t="shared" si="202"/>
        <v>Apr</v>
      </c>
      <c r="N4318" s="2">
        <f t="shared" si="203"/>
        <v>0.10587337868762631</v>
      </c>
    </row>
    <row r="4319" spans="1:14" x14ac:dyDescent="0.45">
      <c r="A4319" t="s">
        <v>7781</v>
      </c>
      <c r="B4319" s="1">
        <v>45149</v>
      </c>
      <c r="C4319" t="s">
        <v>7782</v>
      </c>
      <c r="D4319" t="s">
        <v>26</v>
      </c>
      <c r="E4319" t="s">
        <v>36</v>
      </c>
      <c r="F4319" t="s">
        <v>64</v>
      </c>
      <c r="G4319">
        <v>3</v>
      </c>
      <c r="H4319">
        <v>48475.02</v>
      </c>
      <c r="I4319">
        <v>6232.57</v>
      </c>
      <c r="J4319" t="s">
        <v>47</v>
      </c>
      <c r="K4319" t="s">
        <v>23</v>
      </c>
      <c r="L4319">
        <f t="shared" si="201"/>
        <v>2023</v>
      </c>
      <c r="M4319" t="str">
        <f t="shared" si="202"/>
        <v>Aug</v>
      </c>
      <c r="N4319" s="2">
        <f t="shared" si="203"/>
        <v>0.12857281956768662</v>
      </c>
    </row>
    <row r="4320" spans="1:14" x14ac:dyDescent="0.45">
      <c r="A4320" t="s">
        <v>7783</v>
      </c>
      <c r="B4320" s="1">
        <v>44738</v>
      </c>
      <c r="C4320" t="s">
        <v>7784</v>
      </c>
      <c r="D4320" t="s">
        <v>13</v>
      </c>
      <c r="E4320" t="s">
        <v>14</v>
      </c>
      <c r="F4320" t="s">
        <v>32</v>
      </c>
      <c r="G4320">
        <v>4</v>
      </c>
      <c r="H4320">
        <v>43798.18</v>
      </c>
      <c r="I4320">
        <v>5535.23</v>
      </c>
      <c r="J4320" t="s">
        <v>28</v>
      </c>
      <c r="K4320" t="s">
        <v>33</v>
      </c>
      <c r="L4320">
        <f t="shared" si="201"/>
        <v>2022</v>
      </c>
      <c r="M4320" t="str">
        <f t="shared" si="202"/>
        <v>Jun</v>
      </c>
      <c r="N4320" s="2">
        <f t="shared" si="203"/>
        <v>0.12638036557683446</v>
      </c>
    </row>
    <row r="4321" spans="1:14" x14ac:dyDescent="0.45">
      <c r="A4321" t="s">
        <v>7785</v>
      </c>
      <c r="B4321" s="1">
        <v>45546</v>
      </c>
      <c r="C4321" t="s">
        <v>7786</v>
      </c>
      <c r="D4321" t="s">
        <v>13</v>
      </c>
      <c r="E4321" t="s">
        <v>20</v>
      </c>
      <c r="F4321" t="s">
        <v>21</v>
      </c>
      <c r="G4321">
        <v>1</v>
      </c>
      <c r="H4321">
        <v>41414.28</v>
      </c>
      <c r="I4321">
        <v>6856.64</v>
      </c>
      <c r="J4321" t="s">
        <v>16</v>
      </c>
      <c r="K4321" t="s">
        <v>33</v>
      </c>
      <c r="L4321">
        <f t="shared" si="201"/>
        <v>2024</v>
      </c>
      <c r="M4321" t="str">
        <f t="shared" si="202"/>
        <v>Sep</v>
      </c>
      <c r="N4321" s="2">
        <f t="shared" si="203"/>
        <v>0.16556221670399679</v>
      </c>
    </row>
    <row r="4322" spans="1:14" x14ac:dyDescent="0.45">
      <c r="A4322" t="s">
        <v>7787</v>
      </c>
      <c r="B4322" s="1">
        <v>44903</v>
      </c>
      <c r="C4322" t="s">
        <v>7788</v>
      </c>
      <c r="D4322" t="s">
        <v>13</v>
      </c>
      <c r="E4322" t="s">
        <v>36</v>
      </c>
      <c r="F4322" t="s">
        <v>53</v>
      </c>
      <c r="G4322">
        <v>2</v>
      </c>
      <c r="H4322">
        <v>37735.67</v>
      </c>
      <c r="I4322">
        <v>8414.44</v>
      </c>
      <c r="J4322" t="s">
        <v>28</v>
      </c>
      <c r="K4322" t="s">
        <v>33</v>
      </c>
      <c r="L4322">
        <f t="shared" si="201"/>
        <v>2022</v>
      </c>
      <c r="M4322" t="str">
        <f t="shared" si="202"/>
        <v>Dec</v>
      </c>
      <c r="N4322" s="2">
        <f t="shared" si="203"/>
        <v>0.2229837180577422</v>
      </c>
    </row>
    <row r="4323" spans="1:14" x14ac:dyDescent="0.45">
      <c r="A4323" t="s">
        <v>7789</v>
      </c>
      <c r="B4323" s="1">
        <v>45335</v>
      </c>
      <c r="C4323" t="s">
        <v>3206</v>
      </c>
      <c r="D4323" t="s">
        <v>13</v>
      </c>
      <c r="E4323" t="s">
        <v>14</v>
      </c>
      <c r="F4323" t="s">
        <v>57</v>
      </c>
      <c r="G4323">
        <v>4</v>
      </c>
      <c r="H4323">
        <v>3340.86</v>
      </c>
      <c r="I4323">
        <v>509.65</v>
      </c>
      <c r="J4323" t="s">
        <v>22</v>
      </c>
      <c r="K4323" t="s">
        <v>29</v>
      </c>
      <c r="L4323">
        <f t="shared" si="201"/>
        <v>2024</v>
      </c>
      <c r="M4323" t="str">
        <f t="shared" si="202"/>
        <v>Feb</v>
      </c>
      <c r="N4323" s="2">
        <f t="shared" si="203"/>
        <v>0.15255054087869588</v>
      </c>
    </row>
    <row r="4324" spans="1:14" x14ac:dyDescent="0.45">
      <c r="A4324" t="s">
        <v>7790</v>
      </c>
      <c r="B4324" s="1">
        <v>45560</v>
      </c>
      <c r="C4324" t="s">
        <v>7791</v>
      </c>
      <c r="D4324" t="s">
        <v>56</v>
      </c>
      <c r="E4324" t="s">
        <v>20</v>
      </c>
      <c r="F4324" t="s">
        <v>50</v>
      </c>
      <c r="G4324">
        <v>5</v>
      </c>
      <c r="H4324">
        <v>47152.22</v>
      </c>
      <c r="I4324">
        <v>9550.3799999999992</v>
      </c>
      <c r="J4324" t="s">
        <v>28</v>
      </c>
      <c r="K4324" t="s">
        <v>23</v>
      </c>
      <c r="L4324">
        <f t="shared" si="201"/>
        <v>2024</v>
      </c>
      <c r="M4324" t="str">
        <f t="shared" si="202"/>
        <v>Sep</v>
      </c>
      <c r="N4324" s="2">
        <f t="shared" si="203"/>
        <v>0.20254359179695036</v>
      </c>
    </row>
    <row r="4325" spans="1:14" x14ac:dyDescent="0.45">
      <c r="A4325" t="s">
        <v>7792</v>
      </c>
      <c r="B4325" s="1">
        <v>45061</v>
      </c>
      <c r="C4325" t="s">
        <v>7230</v>
      </c>
      <c r="D4325" t="s">
        <v>56</v>
      </c>
      <c r="E4325" t="s">
        <v>36</v>
      </c>
      <c r="F4325" t="s">
        <v>37</v>
      </c>
      <c r="G4325">
        <v>3</v>
      </c>
      <c r="H4325">
        <v>43337.32</v>
      </c>
      <c r="I4325">
        <v>4061.36</v>
      </c>
      <c r="J4325" t="s">
        <v>71</v>
      </c>
      <c r="K4325" t="s">
        <v>23</v>
      </c>
      <c r="L4325">
        <f t="shared" si="201"/>
        <v>2023</v>
      </c>
      <c r="M4325" t="str">
        <f t="shared" si="202"/>
        <v>May</v>
      </c>
      <c r="N4325" s="2">
        <f t="shared" si="203"/>
        <v>9.3715070521204355E-2</v>
      </c>
    </row>
    <row r="4326" spans="1:14" x14ac:dyDescent="0.45">
      <c r="A4326" t="s">
        <v>7793</v>
      </c>
      <c r="B4326" s="1">
        <v>45405</v>
      </c>
      <c r="C4326" t="s">
        <v>6381</v>
      </c>
      <c r="D4326" t="s">
        <v>26</v>
      </c>
      <c r="E4326" t="s">
        <v>36</v>
      </c>
      <c r="F4326" t="s">
        <v>64</v>
      </c>
      <c r="G4326">
        <v>4</v>
      </c>
      <c r="H4326">
        <v>36953.81</v>
      </c>
      <c r="I4326">
        <v>8596.5400000000009</v>
      </c>
      <c r="J4326" t="s">
        <v>22</v>
      </c>
      <c r="K4326" t="s">
        <v>17</v>
      </c>
      <c r="L4326">
        <f t="shared" si="201"/>
        <v>2024</v>
      </c>
      <c r="M4326" t="str">
        <f t="shared" si="202"/>
        <v>Apr</v>
      </c>
      <c r="N4326" s="2">
        <f t="shared" si="203"/>
        <v>0.23262932834259853</v>
      </c>
    </row>
    <row r="4327" spans="1:14" x14ac:dyDescent="0.45">
      <c r="A4327" t="s">
        <v>7794</v>
      </c>
      <c r="B4327" s="1">
        <v>44720</v>
      </c>
      <c r="C4327" t="s">
        <v>7795</v>
      </c>
      <c r="D4327" t="s">
        <v>56</v>
      </c>
      <c r="E4327" t="s">
        <v>20</v>
      </c>
      <c r="F4327" t="s">
        <v>50</v>
      </c>
      <c r="G4327">
        <v>3</v>
      </c>
      <c r="H4327">
        <v>28752.99</v>
      </c>
      <c r="I4327">
        <v>6613.02</v>
      </c>
      <c r="J4327" t="s">
        <v>47</v>
      </c>
      <c r="K4327" t="s">
        <v>17</v>
      </c>
      <c r="L4327">
        <f t="shared" si="201"/>
        <v>2022</v>
      </c>
      <c r="M4327" t="str">
        <f t="shared" si="202"/>
        <v>Jun</v>
      </c>
      <c r="N4327" s="2">
        <f t="shared" si="203"/>
        <v>0.22999416756309518</v>
      </c>
    </row>
    <row r="4328" spans="1:14" x14ac:dyDescent="0.45">
      <c r="A4328" t="s">
        <v>7796</v>
      </c>
      <c r="B4328" s="1">
        <v>44607</v>
      </c>
      <c r="C4328" t="s">
        <v>7797</v>
      </c>
      <c r="D4328" t="s">
        <v>56</v>
      </c>
      <c r="E4328" t="s">
        <v>14</v>
      </c>
      <c r="F4328" t="s">
        <v>15</v>
      </c>
      <c r="G4328">
        <v>4</v>
      </c>
      <c r="H4328">
        <v>13172.87</v>
      </c>
      <c r="I4328">
        <v>2456.73</v>
      </c>
      <c r="J4328" t="s">
        <v>22</v>
      </c>
      <c r="K4328" t="s">
        <v>33</v>
      </c>
      <c r="L4328">
        <f t="shared" si="201"/>
        <v>2022</v>
      </c>
      <c r="M4328" t="str">
        <f t="shared" si="202"/>
        <v>Feb</v>
      </c>
      <c r="N4328" s="2">
        <f t="shared" si="203"/>
        <v>0.18649922150601955</v>
      </c>
    </row>
    <row r="4329" spans="1:14" x14ac:dyDescent="0.45">
      <c r="A4329" t="s">
        <v>7798</v>
      </c>
      <c r="B4329" s="1">
        <v>45472</v>
      </c>
      <c r="C4329" t="s">
        <v>3615</v>
      </c>
      <c r="D4329" t="s">
        <v>13</v>
      </c>
      <c r="E4329" t="s">
        <v>14</v>
      </c>
      <c r="F4329" t="s">
        <v>15</v>
      </c>
      <c r="G4329">
        <v>1</v>
      </c>
      <c r="H4329">
        <v>18372.37</v>
      </c>
      <c r="I4329">
        <v>1183.23</v>
      </c>
      <c r="J4329" t="s">
        <v>47</v>
      </c>
      <c r="K4329" t="s">
        <v>33</v>
      </c>
      <c r="L4329">
        <f t="shared" si="201"/>
        <v>2024</v>
      </c>
      <c r="M4329" t="str">
        <f t="shared" si="202"/>
        <v>Jun</v>
      </c>
      <c r="N4329" s="2">
        <f t="shared" si="203"/>
        <v>6.4402687296195318E-2</v>
      </c>
    </row>
    <row r="4330" spans="1:14" x14ac:dyDescent="0.45">
      <c r="A4330" t="s">
        <v>7799</v>
      </c>
      <c r="B4330" s="1">
        <v>45215</v>
      </c>
      <c r="C4330" t="s">
        <v>7800</v>
      </c>
      <c r="D4330" t="s">
        <v>26</v>
      </c>
      <c r="E4330" t="s">
        <v>14</v>
      </c>
      <c r="F4330" t="s">
        <v>57</v>
      </c>
      <c r="G4330">
        <v>5</v>
      </c>
      <c r="H4330">
        <v>14590.6</v>
      </c>
      <c r="I4330">
        <v>2852.24</v>
      </c>
      <c r="J4330" t="s">
        <v>28</v>
      </c>
      <c r="K4330" t="s">
        <v>29</v>
      </c>
      <c r="L4330">
        <f t="shared" si="201"/>
        <v>2023</v>
      </c>
      <c r="M4330" t="str">
        <f t="shared" si="202"/>
        <v>Oct</v>
      </c>
      <c r="N4330" s="2">
        <f t="shared" si="203"/>
        <v>0.19548476416322835</v>
      </c>
    </row>
    <row r="4331" spans="1:14" x14ac:dyDescent="0.45">
      <c r="A4331" t="s">
        <v>7801</v>
      </c>
      <c r="B4331" s="1">
        <v>45098</v>
      </c>
      <c r="C4331" t="s">
        <v>7802</v>
      </c>
      <c r="D4331" t="s">
        <v>13</v>
      </c>
      <c r="E4331" t="s">
        <v>20</v>
      </c>
      <c r="F4331" t="s">
        <v>43</v>
      </c>
      <c r="G4331">
        <v>2</v>
      </c>
      <c r="H4331">
        <v>28141.84</v>
      </c>
      <c r="I4331">
        <v>6081.78</v>
      </c>
      <c r="J4331" t="s">
        <v>28</v>
      </c>
      <c r="K4331" t="s">
        <v>23</v>
      </c>
      <c r="L4331">
        <f t="shared" si="201"/>
        <v>2023</v>
      </c>
      <c r="M4331" t="str">
        <f t="shared" si="202"/>
        <v>Jun</v>
      </c>
      <c r="N4331" s="2">
        <f t="shared" si="203"/>
        <v>0.21611166860446934</v>
      </c>
    </row>
    <row r="4332" spans="1:14" x14ac:dyDescent="0.45">
      <c r="A4332" t="s">
        <v>7803</v>
      </c>
      <c r="B4332" s="1">
        <v>45217</v>
      </c>
      <c r="C4332" t="s">
        <v>1175</v>
      </c>
      <c r="D4332" t="s">
        <v>56</v>
      </c>
      <c r="E4332" t="s">
        <v>36</v>
      </c>
      <c r="F4332" t="s">
        <v>64</v>
      </c>
      <c r="G4332">
        <v>1</v>
      </c>
      <c r="H4332">
        <v>42850.29</v>
      </c>
      <c r="I4332">
        <v>3440.24</v>
      </c>
      <c r="J4332" t="s">
        <v>71</v>
      </c>
      <c r="K4332" t="s">
        <v>17</v>
      </c>
      <c r="L4332">
        <f t="shared" si="201"/>
        <v>2023</v>
      </c>
      <c r="M4332" t="str">
        <f t="shared" si="202"/>
        <v>Oct</v>
      </c>
      <c r="N4332" s="2">
        <f t="shared" si="203"/>
        <v>8.0285104254837009E-2</v>
      </c>
    </row>
    <row r="4333" spans="1:14" x14ac:dyDescent="0.45">
      <c r="A4333" t="s">
        <v>7804</v>
      </c>
      <c r="B4333" s="1">
        <v>44851</v>
      </c>
      <c r="C4333" t="s">
        <v>4616</v>
      </c>
      <c r="D4333" t="s">
        <v>13</v>
      </c>
      <c r="E4333" t="s">
        <v>36</v>
      </c>
      <c r="F4333" t="s">
        <v>53</v>
      </c>
      <c r="G4333">
        <v>1</v>
      </c>
      <c r="H4333">
        <v>7227.17</v>
      </c>
      <c r="I4333">
        <v>1192.94</v>
      </c>
      <c r="J4333" t="s">
        <v>16</v>
      </c>
      <c r="K4333" t="s">
        <v>33</v>
      </c>
      <c r="L4333">
        <f t="shared" si="201"/>
        <v>2022</v>
      </c>
      <c r="M4333" t="str">
        <f t="shared" si="202"/>
        <v>Oct</v>
      </c>
      <c r="N4333" s="2">
        <f t="shared" si="203"/>
        <v>0.16506322668485729</v>
      </c>
    </row>
    <row r="4334" spans="1:14" x14ac:dyDescent="0.45">
      <c r="A4334" t="s">
        <v>7805</v>
      </c>
      <c r="B4334" s="1">
        <v>45299</v>
      </c>
      <c r="C4334" t="s">
        <v>7806</v>
      </c>
      <c r="D4334" t="s">
        <v>26</v>
      </c>
      <c r="E4334" t="s">
        <v>20</v>
      </c>
      <c r="F4334" t="s">
        <v>50</v>
      </c>
      <c r="G4334">
        <v>4</v>
      </c>
      <c r="H4334">
        <v>5070.21</v>
      </c>
      <c r="I4334">
        <v>717.88</v>
      </c>
      <c r="J4334" t="s">
        <v>22</v>
      </c>
      <c r="K4334" t="s">
        <v>33</v>
      </c>
      <c r="L4334">
        <f t="shared" si="201"/>
        <v>2024</v>
      </c>
      <c r="M4334" t="str">
        <f t="shared" si="202"/>
        <v>Jan</v>
      </c>
      <c r="N4334" s="2">
        <f t="shared" si="203"/>
        <v>0.14158782377850226</v>
      </c>
    </row>
    <row r="4335" spans="1:14" x14ac:dyDescent="0.45">
      <c r="A4335" t="s">
        <v>7807</v>
      </c>
      <c r="B4335" s="1">
        <v>45363</v>
      </c>
      <c r="C4335" t="s">
        <v>6033</v>
      </c>
      <c r="D4335" t="s">
        <v>26</v>
      </c>
      <c r="E4335" t="s">
        <v>20</v>
      </c>
      <c r="F4335" t="s">
        <v>50</v>
      </c>
      <c r="G4335">
        <v>1</v>
      </c>
      <c r="H4335">
        <v>34811.339999999997</v>
      </c>
      <c r="I4335">
        <v>3168.82</v>
      </c>
      <c r="J4335" t="s">
        <v>28</v>
      </c>
      <c r="K4335" t="s">
        <v>33</v>
      </c>
      <c r="L4335">
        <f t="shared" si="201"/>
        <v>2024</v>
      </c>
      <c r="M4335" t="str">
        <f t="shared" si="202"/>
        <v>Mar</v>
      </c>
      <c r="N4335" s="2">
        <f t="shared" si="203"/>
        <v>9.1028383279701405E-2</v>
      </c>
    </row>
    <row r="4336" spans="1:14" x14ac:dyDescent="0.45">
      <c r="A4336" t="s">
        <v>7808</v>
      </c>
      <c r="B4336" s="1">
        <v>45159</v>
      </c>
      <c r="C4336" t="s">
        <v>7809</v>
      </c>
      <c r="D4336" t="s">
        <v>26</v>
      </c>
      <c r="E4336" t="s">
        <v>20</v>
      </c>
      <c r="F4336" t="s">
        <v>43</v>
      </c>
      <c r="G4336">
        <v>4</v>
      </c>
      <c r="H4336">
        <v>35737.94</v>
      </c>
      <c r="I4336">
        <v>3457.46</v>
      </c>
      <c r="J4336" t="s">
        <v>22</v>
      </c>
      <c r="K4336" t="s">
        <v>23</v>
      </c>
      <c r="L4336">
        <f t="shared" si="201"/>
        <v>2023</v>
      </c>
      <c r="M4336" t="str">
        <f t="shared" si="202"/>
        <v>Aug</v>
      </c>
      <c r="N4336" s="2">
        <f t="shared" si="203"/>
        <v>9.6744803981427013E-2</v>
      </c>
    </row>
    <row r="4337" spans="1:14" x14ac:dyDescent="0.45">
      <c r="A4337" t="s">
        <v>7810</v>
      </c>
      <c r="B4337" s="1">
        <v>45074</v>
      </c>
      <c r="C4337" t="s">
        <v>265</v>
      </c>
      <c r="D4337" t="s">
        <v>26</v>
      </c>
      <c r="E4337" t="s">
        <v>20</v>
      </c>
      <c r="F4337" t="s">
        <v>43</v>
      </c>
      <c r="G4337">
        <v>4</v>
      </c>
      <c r="H4337">
        <v>21950.7</v>
      </c>
      <c r="I4337">
        <v>4535.45</v>
      </c>
      <c r="J4337" t="s">
        <v>22</v>
      </c>
      <c r="K4337" t="s">
        <v>29</v>
      </c>
      <c r="L4337">
        <f t="shared" si="201"/>
        <v>2023</v>
      </c>
      <c r="M4337" t="str">
        <f t="shared" si="202"/>
        <v>May</v>
      </c>
      <c r="N4337" s="2">
        <f t="shared" si="203"/>
        <v>0.20661983444719301</v>
      </c>
    </row>
    <row r="4338" spans="1:14" x14ac:dyDescent="0.45">
      <c r="A4338" t="s">
        <v>7811</v>
      </c>
      <c r="B4338" s="1">
        <v>45541</v>
      </c>
      <c r="C4338" t="s">
        <v>7812</v>
      </c>
      <c r="D4338" t="s">
        <v>13</v>
      </c>
      <c r="E4338" t="s">
        <v>36</v>
      </c>
      <c r="F4338" t="s">
        <v>53</v>
      </c>
      <c r="G4338">
        <v>3</v>
      </c>
      <c r="H4338">
        <v>10109.44</v>
      </c>
      <c r="I4338">
        <v>1121.42</v>
      </c>
      <c r="J4338" t="s">
        <v>28</v>
      </c>
      <c r="K4338" t="s">
        <v>29</v>
      </c>
      <c r="L4338">
        <f t="shared" si="201"/>
        <v>2024</v>
      </c>
      <c r="M4338" t="str">
        <f t="shared" si="202"/>
        <v>Sep</v>
      </c>
      <c r="N4338" s="2">
        <f t="shared" si="203"/>
        <v>0.11092800392504432</v>
      </c>
    </row>
    <row r="4339" spans="1:14" x14ac:dyDescent="0.45">
      <c r="A4339" t="s">
        <v>7813</v>
      </c>
      <c r="B4339" s="1">
        <v>44640</v>
      </c>
      <c r="C4339" t="s">
        <v>7814</v>
      </c>
      <c r="D4339" t="s">
        <v>26</v>
      </c>
      <c r="E4339" t="s">
        <v>36</v>
      </c>
      <c r="F4339" t="s">
        <v>37</v>
      </c>
      <c r="G4339">
        <v>3</v>
      </c>
      <c r="H4339">
        <v>42280.59</v>
      </c>
      <c r="I4339">
        <v>3737.71</v>
      </c>
      <c r="J4339" t="s">
        <v>71</v>
      </c>
      <c r="K4339" t="s">
        <v>33</v>
      </c>
      <c r="L4339">
        <f t="shared" si="201"/>
        <v>2022</v>
      </c>
      <c r="M4339" t="str">
        <f t="shared" si="202"/>
        <v>Mar</v>
      </c>
      <c r="N4339" s="2">
        <f t="shared" si="203"/>
        <v>8.8402503370932153E-2</v>
      </c>
    </row>
    <row r="4340" spans="1:14" x14ac:dyDescent="0.45">
      <c r="A4340" t="s">
        <v>7815</v>
      </c>
      <c r="B4340" s="1">
        <v>45607</v>
      </c>
      <c r="C4340" t="s">
        <v>7816</v>
      </c>
      <c r="D4340" t="s">
        <v>13</v>
      </c>
      <c r="E4340" t="s">
        <v>14</v>
      </c>
      <c r="F4340" t="s">
        <v>40</v>
      </c>
      <c r="G4340">
        <v>3</v>
      </c>
      <c r="H4340">
        <v>14508.01</v>
      </c>
      <c r="I4340">
        <v>2426.81</v>
      </c>
      <c r="J4340" t="s">
        <v>28</v>
      </c>
      <c r="K4340" t="s">
        <v>17</v>
      </c>
      <c r="L4340">
        <f t="shared" si="201"/>
        <v>2024</v>
      </c>
      <c r="M4340" t="str">
        <f t="shared" si="202"/>
        <v>Nov</v>
      </c>
      <c r="N4340" s="2">
        <f t="shared" si="203"/>
        <v>0.16727380254080332</v>
      </c>
    </row>
    <row r="4341" spans="1:14" x14ac:dyDescent="0.45">
      <c r="A4341" t="s">
        <v>7817</v>
      </c>
      <c r="B4341" s="1">
        <v>45319</v>
      </c>
      <c r="C4341" t="s">
        <v>6591</v>
      </c>
      <c r="D4341" t="s">
        <v>13</v>
      </c>
      <c r="E4341" t="s">
        <v>20</v>
      </c>
      <c r="F4341" t="s">
        <v>27</v>
      </c>
      <c r="G4341">
        <v>4</v>
      </c>
      <c r="H4341">
        <v>47486.03</v>
      </c>
      <c r="I4341">
        <v>9633.51</v>
      </c>
      <c r="J4341" t="s">
        <v>16</v>
      </c>
      <c r="K4341" t="s">
        <v>17</v>
      </c>
      <c r="L4341">
        <f t="shared" si="201"/>
        <v>2024</v>
      </c>
      <c r="M4341" t="str">
        <f t="shared" si="202"/>
        <v>Jan</v>
      </c>
      <c r="N4341" s="2">
        <f t="shared" si="203"/>
        <v>0.20287040209510041</v>
      </c>
    </row>
    <row r="4342" spans="1:14" x14ac:dyDescent="0.45">
      <c r="A4342" t="s">
        <v>7818</v>
      </c>
      <c r="B4342" s="1">
        <v>44836</v>
      </c>
      <c r="C4342" t="s">
        <v>7819</v>
      </c>
      <c r="D4342" t="s">
        <v>26</v>
      </c>
      <c r="E4342" t="s">
        <v>14</v>
      </c>
      <c r="F4342" t="s">
        <v>15</v>
      </c>
      <c r="G4342">
        <v>2</v>
      </c>
      <c r="H4342">
        <v>28233.03</v>
      </c>
      <c r="I4342">
        <v>4826.96</v>
      </c>
      <c r="J4342" t="s">
        <v>28</v>
      </c>
      <c r="K4342" t="s">
        <v>23</v>
      </c>
      <c r="L4342">
        <f t="shared" si="201"/>
        <v>2022</v>
      </c>
      <c r="M4342" t="str">
        <f t="shared" si="202"/>
        <v>Oct</v>
      </c>
      <c r="N4342" s="2">
        <f t="shared" si="203"/>
        <v>0.17096854287336499</v>
      </c>
    </row>
    <row r="4343" spans="1:14" x14ac:dyDescent="0.45">
      <c r="A4343" t="s">
        <v>7820</v>
      </c>
      <c r="B4343" s="1">
        <v>45489</v>
      </c>
      <c r="C4343" t="s">
        <v>7821</v>
      </c>
      <c r="D4343" t="s">
        <v>56</v>
      </c>
      <c r="E4343" t="s">
        <v>20</v>
      </c>
      <c r="F4343" t="s">
        <v>50</v>
      </c>
      <c r="G4343">
        <v>2</v>
      </c>
      <c r="H4343">
        <v>32444.560000000001</v>
      </c>
      <c r="I4343">
        <v>7428.81</v>
      </c>
      <c r="J4343" t="s">
        <v>47</v>
      </c>
      <c r="K4343" t="s">
        <v>17</v>
      </c>
      <c r="L4343">
        <f t="shared" si="201"/>
        <v>2024</v>
      </c>
      <c r="M4343" t="str">
        <f t="shared" si="202"/>
        <v>Jul</v>
      </c>
      <c r="N4343" s="2">
        <f t="shared" si="203"/>
        <v>0.22896935572558236</v>
      </c>
    </row>
    <row r="4344" spans="1:14" x14ac:dyDescent="0.45">
      <c r="A4344" t="s">
        <v>7822</v>
      </c>
      <c r="B4344" s="1">
        <v>44887</v>
      </c>
      <c r="C4344" t="s">
        <v>4839</v>
      </c>
      <c r="D4344" t="s">
        <v>56</v>
      </c>
      <c r="E4344" t="s">
        <v>14</v>
      </c>
      <c r="F4344" t="s">
        <v>57</v>
      </c>
      <c r="G4344">
        <v>5</v>
      </c>
      <c r="H4344">
        <v>49585.32</v>
      </c>
      <c r="I4344">
        <v>2545.7399999999998</v>
      </c>
      <c r="J4344" t="s">
        <v>16</v>
      </c>
      <c r="K4344" t="s">
        <v>33</v>
      </c>
      <c r="L4344">
        <f t="shared" si="201"/>
        <v>2022</v>
      </c>
      <c r="M4344" t="str">
        <f t="shared" si="202"/>
        <v>Nov</v>
      </c>
      <c r="N4344" s="2">
        <f t="shared" si="203"/>
        <v>5.1340598386780602E-2</v>
      </c>
    </row>
    <row r="4345" spans="1:14" x14ac:dyDescent="0.45">
      <c r="A4345" t="s">
        <v>7823</v>
      </c>
      <c r="B4345" s="1">
        <v>44882</v>
      </c>
      <c r="C4345" t="s">
        <v>946</v>
      </c>
      <c r="D4345" t="s">
        <v>13</v>
      </c>
      <c r="E4345" t="s">
        <v>14</v>
      </c>
      <c r="F4345" t="s">
        <v>15</v>
      </c>
      <c r="G4345">
        <v>5</v>
      </c>
      <c r="H4345">
        <v>2503.44</v>
      </c>
      <c r="I4345">
        <v>522.17999999999995</v>
      </c>
      <c r="J4345" t="s">
        <v>16</v>
      </c>
      <c r="K4345" t="s">
        <v>17</v>
      </c>
      <c r="L4345">
        <f t="shared" si="201"/>
        <v>2022</v>
      </c>
      <c r="M4345" t="str">
        <f t="shared" si="202"/>
        <v>Nov</v>
      </c>
      <c r="N4345" s="2">
        <f t="shared" si="203"/>
        <v>0.20858498705780842</v>
      </c>
    </row>
    <row r="4346" spans="1:14" x14ac:dyDescent="0.45">
      <c r="A4346" t="s">
        <v>7824</v>
      </c>
      <c r="B4346" s="1">
        <v>45384</v>
      </c>
      <c r="C4346" t="s">
        <v>7825</v>
      </c>
      <c r="D4346" t="s">
        <v>13</v>
      </c>
      <c r="E4346" t="s">
        <v>36</v>
      </c>
      <c r="F4346" t="s">
        <v>46</v>
      </c>
      <c r="G4346">
        <v>2</v>
      </c>
      <c r="H4346">
        <v>23931.3</v>
      </c>
      <c r="I4346">
        <v>4444.8</v>
      </c>
      <c r="J4346" t="s">
        <v>22</v>
      </c>
      <c r="K4346" t="s">
        <v>33</v>
      </c>
      <c r="L4346">
        <f t="shared" si="201"/>
        <v>2024</v>
      </c>
      <c r="M4346" t="str">
        <f t="shared" si="202"/>
        <v>Apr</v>
      </c>
      <c r="N4346" s="2">
        <f t="shared" si="203"/>
        <v>0.18573165686778403</v>
      </c>
    </row>
    <row r="4347" spans="1:14" x14ac:dyDescent="0.45">
      <c r="A4347" t="s">
        <v>7826</v>
      </c>
      <c r="B4347" s="1">
        <v>45055</v>
      </c>
      <c r="C4347" t="s">
        <v>7827</v>
      </c>
      <c r="D4347" t="s">
        <v>26</v>
      </c>
      <c r="E4347" t="s">
        <v>36</v>
      </c>
      <c r="F4347" t="s">
        <v>37</v>
      </c>
      <c r="G4347">
        <v>2</v>
      </c>
      <c r="H4347">
        <v>35857.89</v>
      </c>
      <c r="I4347">
        <v>7399.21</v>
      </c>
      <c r="J4347" t="s">
        <v>22</v>
      </c>
      <c r="K4347" t="s">
        <v>33</v>
      </c>
      <c r="L4347">
        <f t="shared" si="201"/>
        <v>2023</v>
      </c>
      <c r="M4347" t="str">
        <f t="shared" si="202"/>
        <v>May</v>
      </c>
      <c r="N4347" s="2">
        <f t="shared" si="203"/>
        <v>0.20634817051421597</v>
      </c>
    </row>
    <row r="4348" spans="1:14" x14ac:dyDescent="0.45">
      <c r="A4348" t="s">
        <v>7828</v>
      </c>
      <c r="B4348" s="1">
        <v>45003</v>
      </c>
      <c r="C4348" t="s">
        <v>7829</v>
      </c>
      <c r="D4348" t="s">
        <v>13</v>
      </c>
      <c r="E4348" t="s">
        <v>14</v>
      </c>
      <c r="F4348" t="s">
        <v>57</v>
      </c>
      <c r="G4348">
        <v>4</v>
      </c>
      <c r="H4348">
        <v>49462.42</v>
      </c>
      <c r="I4348">
        <v>3672.08</v>
      </c>
      <c r="J4348" t="s">
        <v>28</v>
      </c>
      <c r="K4348" t="s">
        <v>17</v>
      </c>
      <c r="L4348">
        <f t="shared" si="201"/>
        <v>2023</v>
      </c>
      <c r="M4348" t="str">
        <f t="shared" si="202"/>
        <v>Mar</v>
      </c>
      <c r="N4348" s="2">
        <f t="shared" si="203"/>
        <v>7.4239796597093316E-2</v>
      </c>
    </row>
    <row r="4349" spans="1:14" x14ac:dyDescent="0.45">
      <c r="A4349" t="s">
        <v>7830</v>
      </c>
      <c r="B4349" s="1">
        <v>45128</v>
      </c>
      <c r="C4349" t="s">
        <v>7831</v>
      </c>
      <c r="D4349" t="s">
        <v>56</v>
      </c>
      <c r="E4349" t="s">
        <v>20</v>
      </c>
      <c r="F4349" t="s">
        <v>21</v>
      </c>
      <c r="G4349">
        <v>1</v>
      </c>
      <c r="H4349">
        <v>30013.89</v>
      </c>
      <c r="I4349">
        <v>3278.66</v>
      </c>
      <c r="J4349" t="s">
        <v>28</v>
      </c>
      <c r="K4349" t="s">
        <v>29</v>
      </c>
      <c r="L4349">
        <f t="shared" si="201"/>
        <v>2023</v>
      </c>
      <c r="M4349" t="str">
        <f t="shared" si="202"/>
        <v>Jul</v>
      </c>
      <c r="N4349" s="2">
        <f t="shared" si="203"/>
        <v>0.10923808943126</v>
      </c>
    </row>
    <row r="4350" spans="1:14" x14ac:dyDescent="0.45">
      <c r="A4350" t="s">
        <v>7832</v>
      </c>
      <c r="B4350" s="1">
        <v>45273</v>
      </c>
      <c r="C4350" t="s">
        <v>7833</v>
      </c>
      <c r="D4350" t="s">
        <v>13</v>
      </c>
      <c r="E4350" t="s">
        <v>36</v>
      </c>
      <c r="F4350" t="s">
        <v>37</v>
      </c>
      <c r="G4350">
        <v>4</v>
      </c>
      <c r="H4350">
        <v>40974.71</v>
      </c>
      <c r="I4350">
        <v>3647.14</v>
      </c>
      <c r="J4350" t="s">
        <v>22</v>
      </c>
      <c r="K4350" t="s">
        <v>23</v>
      </c>
      <c r="L4350">
        <f t="shared" si="201"/>
        <v>2023</v>
      </c>
      <c r="M4350" t="str">
        <f t="shared" si="202"/>
        <v>Dec</v>
      </c>
      <c r="N4350" s="2">
        <f t="shared" si="203"/>
        <v>8.9009537834434951E-2</v>
      </c>
    </row>
    <row r="4351" spans="1:14" x14ac:dyDescent="0.45">
      <c r="A4351" t="s">
        <v>7834</v>
      </c>
      <c r="B4351" s="1">
        <v>45205</v>
      </c>
      <c r="C4351" t="s">
        <v>7835</v>
      </c>
      <c r="D4351" t="s">
        <v>56</v>
      </c>
      <c r="E4351" t="s">
        <v>14</v>
      </c>
      <c r="F4351" t="s">
        <v>40</v>
      </c>
      <c r="G4351">
        <v>3</v>
      </c>
      <c r="H4351">
        <v>34699.910000000003</v>
      </c>
      <c r="I4351">
        <v>6782.9</v>
      </c>
      <c r="J4351" t="s">
        <v>28</v>
      </c>
      <c r="K4351" t="s">
        <v>33</v>
      </c>
      <c r="L4351">
        <f t="shared" si="201"/>
        <v>2023</v>
      </c>
      <c r="M4351" t="str">
        <f t="shared" si="202"/>
        <v>Oct</v>
      </c>
      <c r="N4351" s="2">
        <f t="shared" si="203"/>
        <v>0.19547312946921186</v>
      </c>
    </row>
    <row r="4352" spans="1:14" x14ac:dyDescent="0.45">
      <c r="A4352" t="s">
        <v>7836</v>
      </c>
      <c r="B4352" s="1">
        <v>44703</v>
      </c>
      <c r="C4352" t="s">
        <v>7837</v>
      </c>
      <c r="D4352" t="s">
        <v>56</v>
      </c>
      <c r="E4352" t="s">
        <v>20</v>
      </c>
      <c r="F4352" t="s">
        <v>21</v>
      </c>
      <c r="G4352">
        <v>4</v>
      </c>
      <c r="H4352">
        <v>38529.480000000003</v>
      </c>
      <c r="I4352">
        <v>9368.2099999999991</v>
      </c>
      <c r="J4352" t="s">
        <v>16</v>
      </c>
      <c r="K4352" t="s">
        <v>23</v>
      </c>
      <c r="L4352">
        <f t="shared" si="201"/>
        <v>2022</v>
      </c>
      <c r="M4352" t="str">
        <f t="shared" si="202"/>
        <v>May</v>
      </c>
      <c r="N4352" s="2">
        <f t="shared" si="203"/>
        <v>0.24314395107330797</v>
      </c>
    </row>
    <row r="4353" spans="1:14" x14ac:dyDescent="0.45">
      <c r="A4353" t="s">
        <v>7838</v>
      </c>
      <c r="B4353" s="1">
        <v>45496</v>
      </c>
      <c r="C4353" t="s">
        <v>658</v>
      </c>
      <c r="D4353" t="s">
        <v>26</v>
      </c>
      <c r="E4353" t="s">
        <v>14</v>
      </c>
      <c r="F4353" t="s">
        <v>32</v>
      </c>
      <c r="G4353">
        <v>2</v>
      </c>
      <c r="H4353">
        <v>22058.18</v>
      </c>
      <c r="I4353">
        <v>4008.05</v>
      </c>
      <c r="J4353" t="s">
        <v>71</v>
      </c>
      <c r="K4353" t="s">
        <v>23</v>
      </c>
      <c r="L4353">
        <f t="shared" si="201"/>
        <v>2024</v>
      </c>
      <c r="M4353" t="str">
        <f t="shared" si="202"/>
        <v>Jul</v>
      </c>
      <c r="N4353" s="2">
        <f t="shared" si="203"/>
        <v>0.18170356756541112</v>
      </c>
    </row>
    <row r="4354" spans="1:14" x14ac:dyDescent="0.45">
      <c r="A4354" t="s">
        <v>7839</v>
      </c>
      <c r="B4354" s="1">
        <v>45169</v>
      </c>
      <c r="C4354" t="s">
        <v>2945</v>
      </c>
      <c r="D4354" t="s">
        <v>13</v>
      </c>
      <c r="E4354" t="s">
        <v>20</v>
      </c>
      <c r="F4354" t="s">
        <v>27</v>
      </c>
      <c r="G4354">
        <v>5</v>
      </c>
      <c r="H4354">
        <v>21888.1</v>
      </c>
      <c r="I4354">
        <v>3140.88</v>
      </c>
      <c r="J4354" t="s">
        <v>16</v>
      </c>
      <c r="K4354" t="s">
        <v>17</v>
      </c>
      <c r="L4354">
        <f t="shared" si="201"/>
        <v>2023</v>
      </c>
      <c r="M4354" t="str">
        <f t="shared" si="202"/>
        <v>Aug</v>
      </c>
      <c r="N4354" s="2">
        <f t="shared" si="203"/>
        <v>0.1434971514201781</v>
      </c>
    </row>
    <row r="4355" spans="1:14" x14ac:dyDescent="0.45">
      <c r="A4355" t="s">
        <v>7840</v>
      </c>
      <c r="B4355" s="1">
        <v>45101</v>
      </c>
      <c r="C4355" t="s">
        <v>7841</v>
      </c>
      <c r="D4355" t="s">
        <v>56</v>
      </c>
      <c r="E4355" t="s">
        <v>36</v>
      </c>
      <c r="F4355" t="s">
        <v>53</v>
      </c>
      <c r="G4355">
        <v>3</v>
      </c>
      <c r="H4355">
        <v>13931.33</v>
      </c>
      <c r="I4355">
        <v>1589.91</v>
      </c>
      <c r="J4355" t="s">
        <v>47</v>
      </c>
      <c r="K4355" t="s">
        <v>33</v>
      </c>
      <c r="L4355">
        <f t="shared" ref="L4355:L4418" si="204">YEAR(B4355 )</f>
        <v>2023</v>
      </c>
      <c r="M4355" t="str">
        <f t="shared" ref="M4355:M4418" si="205">TEXT(B4355,"MMM")</f>
        <v>Jun</v>
      </c>
      <c r="N4355" s="2">
        <f t="shared" ref="N4355:N4418" si="206">I4355 / H4355</f>
        <v>0.11412478205598461</v>
      </c>
    </row>
    <row r="4356" spans="1:14" x14ac:dyDescent="0.45">
      <c r="A4356" t="s">
        <v>7842</v>
      </c>
      <c r="B4356" s="1">
        <v>45187</v>
      </c>
      <c r="C4356" t="s">
        <v>7843</v>
      </c>
      <c r="D4356" t="s">
        <v>13</v>
      </c>
      <c r="E4356" t="s">
        <v>20</v>
      </c>
      <c r="F4356" t="s">
        <v>50</v>
      </c>
      <c r="G4356">
        <v>2</v>
      </c>
      <c r="H4356">
        <v>48230.61</v>
      </c>
      <c r="I4356">
        <v>5770.8</v>
      </c>
      <c r="J4356" t="s">
        <v>22</v>
      </c>
      <c r="K4356" t="s">
        <v>17</v>
      </c>
      <c r="L4356">
        <f t="shared" si="204"/>
        <v>2023</v>
      </c>
      <c r="M4356" t="str">
        <f t="shared" si="205"/>
        <v>Sep</v>
      </c>
      <c r="N4356" s="2">
        <f t="shared" si="206"/>
        <v>0.11965015578281096</v>
      </c>
    </row>
    <row r="4357" spans="1:14" x14ac:dyDescent="0.45">
      <c r="A4357" t="s">
        <v>7844</v>
      </c>
      <c r="B4357" s="1">
        <v>45505</v>
      </c>
      <c r="C4357" t="s">
        <v>7845</v>
      </c>
      <c r="D4357" t="s">
        <v>26</v>
      </c>
      <c r="E4357" t="s">
        <v>36</v>
      </c>
      <c r="F4357" t="s">
        <v>37</v>
      </c>
      <c r="G4357">
        <v>2</v>
      </c>
      <c r="H4357">
        <v>47757.8</v>
      </c>
      <c r="I4357">
        <v>6806.04</v>
      </c>
      <c r="J4357" t="s">
        <v>28</v>
      </c>
      <c r="K4357" t="s">
        <v>17</v>
      </c>
      <c r="L4357">
        <f t="shared" si="204"/>
        <v>2024</v>
      </c>
      <c r="M4357" t="str">
        <f t="shared" si="205"/>
        <v>Aug</v>
      </c>
      <c r="N4357" s="2">
        <f t="shared" si="206"/>
        <v>0.14251158972984518</v>
      </c>
    </row>
    <row r="4358" spans="1:14" x14ac:dyDescent="0.45">
      <c r="A4358" t="s">
        <v>7846</v>
      </c>
      <c r="B4358" s="1">
        <v>45646</v>
      </c>
      <c r="C4358" t="s">
        <v>7847</v>
      </c>
      <c r="D4358" t="s">
        <v>26</v>
      </c>
      <c r="E4358" t="s">
        <v>14</v>
      </c>
      <c r="F4358" t="s">
        <v>32</v>
      </c>
      <c r="G4358">
        <v>4</v>
      </c>
      <c r="H4358">
        <v>20223.47</v>
      </c>
      <c r="I4358">
        <v>3592.45</v>
      </c>
      <c r="J4358" t="s">
        <v>71</v>
      </c>
      <c r="K4358" t="s">
        <v>17</v>
      </c>
      <c r="L4358">
        <f t="shared" si="204"/>
        <v>2024</v>
      </c>
      <c r="M4358" t="str">
        <f t="shared" si="205"/>
        <v>Dec</v>
      </c>
      <c r="N4358" s="2">
        <f t="shared" si="206"/>
        <v>0.17763766554404362</v>
      </c>
    </row>
    <row r="4359" spans="1:14" x14ac:dyDescent="0.45">
      <c r="A4359" t="s">
        <v>7848</v>
      </c>
      <c r="B4359" s="1">
        <v>44834</v>
      </c>
      <c r="C4359" t="s">
        <v>7849</v>
      </c>
      <c r="D4359" t="s">
        <v>26</v>
      </c>
      <c r="E4359" t="s">
        <v>20</v>
      </c>
      <c r="F4359" t="s">
        <v>21</v>
      </c>
      <c r="G4359">
        <v>5</v>
      </c>
      <c r="H4359">
        <v>46284.42</v>
      </c>
      <c r="I4359">
        <v>4808.3599999999997</v>
      </c>
      <c r="J4359" t="s">
        <v>71</v>
      </c>
      <c r="K4359" t="s">
        <v>17</v>
      </c>
      <c r="L4359">
        <f t="shared" si="204"/>
        <v>2022</v>
      </c>
      <c r="M4359" t="str">
        <f t="shared" si="205"/>
        <v>Sep</v>
      </c>
      <c r="N4359" s="2">
        <f t="shared" si="206"/>
        <v>0.10388722598230679</v>
      </c>
    </row>
    <row r="4360" spans="1:14" x14ac:dyDescent="0.45">
      <c r="A4360" t="s">
        <v>7850</v>
      </c>
      <c r="B4360" s="1">
        <v>45173</v>
      </c>
      <c r="C4360" t="s">
        <v>1838</v>
      </c>
      <c r="D4360" t="s">
        <v>13</v>
      </c>
      <c r="E4360" t="s">
        <v>20</v>
      </c>
      <c r="F4360" t="s">
        <v>43</v>
      </c>
      <c r="G4360">
        <v>3</v>
      </c>
      <c r="H4360">
        <v>27572.18</v>
      </c>
      <c r="I4360">
        <v>1515.7</v>
      </c>
      <c r="J4360" t="s">
        <v>71</v>
      </c>
      <c r="K4360" t="s">
        <v>33</v>
      </c>
      <c r="L4360">
        <f t="shared" si="204"/>
        <v>2023</v>
      </c>
      <c r="M4360" t="str">
        <f t="shared" si="205"/>
        <v>Sep</v>
      </c>
      <c r="N4360" s="2">
        <f t="shared" si="206"/>
        <v>5.4972076926815362E-2</v>
      </c>
    </row>
    <row r="4361" spans="1:14" x14ac:dyDescent="0.45">
      <c r="A4361" t="s">
        <v>7851</v>
      </c>
      <c r="B4361" s="1">
        <v>44571</v>
      </c>
      <c r="C4361" t="s">
        <v>7852</v>
      </c>
      <c r="D4361" t="s">
        <v>56</v>
      </c>
      <c r="E4361" t="s">
        <v>20</v>
      </c>
      <c r="F4361" t="s">
        <v>50</v>
      </c>
      <c r="G4361">
        <v>2</v>
      </c>
      <c r="H4361">
        <v>20827.509999999998</v>
      </c>
      <c r="I4361">
        <v>4771.33</v>
      </c>
      <c r="J4361" t="s">
        <v>28</v>
      </c>
      <c r="K4361" t="s">
        <v>23</v>
      </c>
      <c r="L4361">
        <f t="shared" si="204"/>
        <v>2022</v>
      </c>
      <c r="M4361" t="str">
        <f t="shared" si="205"/>
        <v>Jan</v>
      </c>
      <c r="N4361" s="2">
        <f t="shared" si="206"/>
        <v>0.22908787464272015</v>
      </c>
    </row>
    <row r="4362" spans="1:14" x14ac:dyDescent="0.45">
      <c r="A4362" t="s">
        <v>7853</v>
      </c>
      <c r="B4362" s="1">
        <v>45271</v>
      </c>
      <c r="C4362" t="s">
        <v>7854</v>
      </c>
      <c r="D4362" t="s">
        <v>56</v>
      </c>
      <c r="E4362" t="s">
        <v>14</v>
      </c>
      <c r="F4362" t="s">
        <v>40</v>
      </c>
      <c r="G4362">
        <v>3</v>
      </c>
      <c r="H4362">
        <v>5830.78</v>
      </c>
      <c r="I4362">
        <v>1041.78</v>
      </c>
      <c r="J4362" t="s">
        <v>47</v>
      </c>
      <c r="K4362" t="s">
        <v>33</v>
      </c>
      <c r="L4362">
        <f t="shared" si="204"/>
        <v>2023</v>
      </c>
      <c r="M4362" t="str">
        <f t="shared" si="205"/>
        <v>Dec</v>
      </c>
      <c r="N4362" s="2">
        <f t="shared" si="206"/>
        <v>0.17866906314421055</v>
      </c>
    </row>
    <row r="4363" spans="1:14" x14ac:dyDescent="0.45">
      <c r="A4363" t="s">
        <v>7855</v>
      </c>
      <c r="B4363" s="1">
        <v>45167</v>
      </c>
      <c r="C4363" t="s">
        <v>5695</v>
      </c>
      <c r="D4363" t="s">
        <v>13</v>
      </c>
      <c r="E4363" t="s">
        <v>14</v>
      </c>
      <c r="F4363" t="s">
        <v>32</v>
      </c>
      <c r="G4363">
        <v>3</v>
      </c>
      <c r="H4363">
        <v>47307.49</v>
      </c>
      <c r="I4363">
        <v>4218.13</v>
      </c>
      <c r="J4363" t="s">
        <v>16</v>
      </c>
      <c r="K4363" t="s">
        <v>29</v>
      </c>
      <c r="L4363">
        <f t="shared" si="204"/>
        <v>2023</v>
      </c>
      <c r="M4363" t="str">
        <f t="shared" si="205"/>
        <v>Aug</v>
      </c>
      <c r="N4363" s="2">
        <f t="shared" si="206"/>
        <v>8.9164104880643635E-2</v>
      </c>
    </row>
    <row r="4364" spans="1:14" x14ac:dyDescent="0.45">
      <c r="A4364" t="s">
        <v>7856</v>
      </c>
      <c r="B4364" s="1">
        <v>44873</v>
      </c>
      <c r="C4364" t="s">
        <v>7857</v>
      </c>
      <c r="D4364" t="s">
        <v>56</v>
      </c>
      <c r="E4364" t="s">
        <v>36</v>
      </c>
      <c r="F4364" t="s">
        <v>64</v>
      </c>
      <c r="G4364">
        <v>1</v>
      </c>
      <c r="H4364">
        <v>28767.3</v>
      </c>
      <c r="I4364">
        <v>2548.6799999999998</v>
      </c>
      <c r="J4364" t="s">
        <v>16</v>
      </c>
      <c r="K4364" t="s">
        <v>23</v>
      </c>
      <c r="L4364">
        <f t="shared" si="204"/>
        <v>2022</v>
      </c>
      <c r="M4364" t="str">
        <f t="shared" si="205"/>
        <v>Nov</v>
      </c>
      <c r="N4364" s="2">
        <f t="shared" si="206"/>
        <v>8.8596427193375807E-2</v>
      </c>
    </row>
    <row r="4365" spans="1:14" x14ac:dyDescent="0.45">
      <c r="A4365" t="s">
        <v>7858</v>
      </c>
      <c r="B4365" s="1">
        <v>44868</v>
      </c>
      <c r="C4365" t="s">
        <v>6151</v>
      </c>
      <c r="D4365" t="s">
        <v>56</v>
      </c>
      <c r="E4365" t="s">
        <v>36</v>
      </c>
      <c r="F4365" t="s">
        <v>46</v>
      </c>
      <c r="G4365">
        <v>2</v>
      </c>
      <c r="H4365">
        <v>17687.47</v>
      </c>
      <c r="I4365">
        <v>4142.92</v>
      </c>
      <c r="J4365" t="s">
        <v>22</v>
      </c>
      <c r="K4365" t="s">
        <v>33</v>
      </c>
      <c r="L4365">
        <f t="shared" si="204"/>
        <v>2022</v>
      </c>
      <c r="M4365" t="str">
        <f t="shared" si="205"/>
        <v>Nov</v>
      </c>
      <c r="N4365" s="2">
        <f t="shared" si="206"/>
        <v>0.23422908985852695</v>
      </c>
    </row>
    <row r="4366" spans="1:14" x14ac:dyDescent="0.45">
      <c r="A4366" t="s">
        <v>7859</v>
      </c>
      <c r="B4366" s="1">
        <v>44873</v>
      </c>
      <c r="C4366" t="s">
        <v>7860</v>
      </c>
      <c r="D4366" t="s">
        <v>13</v>
      </c>
      <c r="E4366" t="s">
        <v>36</v>
      </c>
      <c r="F4366" t="s">
        <v>64</v>
      </c>
      <c r="G4366">
        <v>4</v>
      </c>
      <c r="H4366">
        <v>49136.49</v>
      </c>
      <c r="I4366">
        <v>12174.09</v>
      </c>
      <c r="J4366" t="s">
        <v>47</v>
      </c>
      <c r="K4366" t="s">
        <v>29</v>
      </c>
      <c r="L4366">
        <f t="shared" si="204"/>
        <v>2022</v>
      </c>
      <c r="M4366" t="str">
        <f t="shared" si="205"/>
        <v>Nov</v>
      </c>
      <c r="N4366" s="2">
        <f t="shared" si="206"/>
        <v>0.24776067643415312</v>
      </c>
    </row>
    <row r="4367" spans="1:14" x14ac:dyDescent="0.45">
      <c r="A4367" t="s">
        <v>7861</v>
      </c>
      <c r="B4367" s="1">
        <v>45361</v>
      </c>
      <c r="C4367" t="s">
        <v>7862</v>
      </c>
      <c r="D4367" t="s">
        <v>26</v>
      </c>
      <c r="E4367" t="s">
        <v>20</v>
      </c>
      <c r="F4367" t="s">
        <v>21</v>
      </c>
      <c r="G4367">
        <v>4</v>
      </c>
      <c r="H4367">
        <v>39569.519999999997</v>
      </c>
      <c r="I4367">
        <v>8826.3700000000008</v>
      </c>
      <c r="J4367" t="s">
        <v>28</v>
      </c>
      <c r="K4367" t="s">
        <v>17</v>
      </c>
      <c r="L4367">
        <f t="shared" si="204"/>
        <v>2024</v>
      </c>
      <c r="M4367" t="str">
        <f t="shared" si="205"/>
        <v>Mar</v>
      </c>
      <c r="N4367" s="2">
        <f t="shared" si="206"/>
        <v>0.22305981978047754</v>
      </c>
    </row>
    <row r="4368" spans="1:14" x14ac:dyDescent="0.45">
      <c r="A4368" t="s">
        <v>7863</v>
      </c>
      <c r="B4368" s="1">
        <v>45391</v>
      </c>
      <c r="C4368" t="s">
        <v>7864</v>
      </c>
      <c r="D4368" t="s">
        <v>56</v>
      </c>
      <c r="E4368" t="s">
        <v>14</v>
      </c>
      <c r="F4368" t="s">
        <v>57</v>
      </c>
      <c r="G4368">
        <v>3</v>
      </c>
      <c r="H4368">
        <v>3239.22</v>
      </c>
      <c r="I4368">
        <v>308.61</v>
      </c>
      <c r="J4368" t="s">
        <v>71</v>
      </c>
      <c r="K4368" t="s">
        <v>29</v>
      </c>
      <c r="L4368">
        <f t="shared" si="204"/>
        <v>2024</v>
      </c>
      <c r="M4368" t="str">
        <f t="shared" si="205"/>
        <v>Apr</v>
      </c>
      <c r="N4368" s="2">
        <f t="shared" si="206"/>
        <v>9.5272936077203788E-2</v>
      </c>
    </row>
    <row r="4369" spans="1:14" x14ac:dyDescent="0.45">
      <c r="A4369" t="s">
        <v>7865</v>
      </c>
      <c r="B4369" s="1">
        <v>44818</v>
      </c>
      <c r="C4369" t="s">
        <v>7866</v>
      </c>
      <c r="D4369" t="s">
        <v>13</v>
      </c>
      <c r="E4369" t="s">
        <v>20</v>
      </c>
      <c r="F4369" t="s">
        <v>50</v>
      </c>
      <c r="G4369">
        <v>4</v>
      </c>
      <c r="H4369">
        <v>27643.66</v>
      </c>
      <c r="I4369">
        <v>2065.73</v>
      </c>
      <c r="J4369" t="s">
        <v>47</v>
      </c>
      <c r="K4369" t="s">
        <v>29</v>
      </c>
      <c r="L4369">
        <f t="shared" si="204"/>
        <v>2022</v>
      </c>
      <c r="M4369" t="str">
        <f t="shared" si="205"/>
        <v>Sep</v>
      </c>
      <c r="N4369" s="2">
        <f t="shared" si="206"/>
        <v>7.472708027808185E-2</v>
      </c>
    </row>
    <row r="4370" spans="1:14" x14ac:dyDescent="0.45">
      <c r="A4370" t="s">
        <v>7867</v>
      </c>
      <c r="B4370" s="1">
        <v>44739</v>
      </c>
      <c r="C4370" t="s">
        <v>7868</v>
      </c>
      <c r="D4370" t="s">
        <v>56</v>
      </c>
      <c r="E4370" t="s">
        <v>36</v>
      </c>
      <c r="F4370" t="s">
        <v>64</v>
      </c>
      <c r="G4370">
        <v>5</v>
      </c>
      <c r="H4370">
        <v>47239.38</v>
      </c>
      <c r="I4370">
        <v>9397.02</v>
      </c>
      <c r="J4370" t="s">
        <v>22</v>
      </c>
      <c r="K4370" t="s">
        <v>17</v>
      </c>
      <c r="L4370">
        <f t="shared" si="204"/>
        <v>2022</v>
      </c>
      <c r="M4370" t="str">
        <f t="shared" si="205"/>
        <v>Jun</v>
      </c>
      <c r="N4370" s="2">
        <f t="shared" si="206"/>
        <v>0.1989234405701345</v>
      </c>
    </row>
    <row r="4371" spans="1:14" x14ac:dyDescent="0.45">
      <c r="A4371" t="s">
        <v>7869</v>
      </c>
      <c r="B4371" s="1">
        <v>45485</v>
      </c>
      <c r="C4371" t="s">
        <v>7870</v>
      </c>
      <c r="D4371" t="s">
        <v>56</v>
      </c>
      <c r="E4371" t="s">
        <v>20</v>
      </c>
      <c r="F4371" t="s">
        <v>50</v>
      </c>
      <c r="G4371">
        <v>2</v>
      </c>
      <c r="H4371">
        <v>11956.34</v>
      </c>
      <c r="I4371">
        <v>2155.2800000000002</v>
      </c>
      <c r="J4371" t="s">
        <v>22</v>
      </c>
      <c r="K4371" t="s">
        <v>17</v>
      </c>
      <c r="L4371">
        <f t="shared" si="204"/>
        <v>2024</v>
      </c>
      <c r="M4371" t="str">
        <f t="shared" si="205"/>
        <v>Jul</v>
      </c>
      <c r="N4371" s="2">
        <f t="shared" si="206"/>
        <v>0.18026252180851332</v>
      </c>
    </row>
    <row r="4372" spans="1:14" x14ac:dyDescent="0.45">
      <c r="A4372" t="s">
        <v>7871</v>
      </c>
      <c r="B4372" s="1">
        <v>44960</v>
      </c>
      <c r="C4372" t="s">
        <v>7872</v>
      </c>
      <c r="D4372" t="s">
        <v>13</v>
      </c>
      <c r="E4372" t="s">
        <v>36</v>
      </c>
      <c r="F4372" t="s">
        <v>37</v>
      </c>
      <c r="G4372">
        <v>3</v>
      </c>
      <c r="H4372">
        <v>16941.71</v>
      </c>
      <c r="I4372">
        <v>1457.39</v>
      </c>
      <c r="J4372" t="s">
        <v>16</v>
      </c>
      <c r="K4372" t="s">
        <v>17</v>
      </c>
      <c r="L4372">
        <f t="shared" si="204"/>
        <v>2023</v>
      </c>
      <c r="M4372" t="str">
        <f t="shared" si="205"/>
        <v>Feb</v>
      </c>
      <c r="N4372" s="2">
        <f t="shared" si="206"/>
        <v>8.6023783903749984E-2</v>
      </c>
    </row>
    <row r="4373" spans="1:14" x14ac:dyDescent="0.45">
      <c r="A4373" t="s">
        <v>7873</v>
      </c>
      <c r="B4373" s="1">
        <v>45502</v>
      </c>
      <c r="C4373" t="s">
        <v>7874</v>
      </c>
      <c r="D4373" t="s">
        <v>13</v>
      </c>
      <c r="E4373" t="s">
        <v>36</v>
      </c>
      <c r="F4373" t="s">
        <v>46</v>
      </c>
      <c r="G4373">
        <v>5</v>
      </c>
      <c r="H4373">
        <v>44657.63</v>
      </c>
      <c r="I4373">
        <v>9881.93</v>
      </c>
      <c r="J4373" t="s">
        <v>28</v>
      </c>
      <c r="K4373" t="s">
        <v>17</v>
      </c>
      <c r="L4373">
        <f t="shared" si="204"/>
        <v>2024</v>
      </c>
      <c r="M4373" t="str">
        <f t="shared" si="205"/>
        <v>Jul</v>
      </c>
      <c r="N4373" s="2">
        <f t="shared" si="206"/>
        <v>0.22128200712845714</v>
      </c>
    </row>
    <row r="4374" spans="1:14" x14ac:dyDescent="0.45">
      <c r="A4374" t="s">
        <v>7875</v>
      </c>
      <c r="B4374" s="1">
        <v>44723</v>
      </c>
      <c r="C4374" t="s">
        <v>7876</v>
      </c>
      <c r="D4374" t="s">
        <v>56</v>
      </c>
      <c r="E4374" t="s">
        <v>36</v>
      </c>
      <c r="F4374" t="s">
        <v>37</v>
      </c>
      <c r="G4374">
        <v>3</v>
      </c>
      <c r="H4374">
        <v>41308.21</v>
      </c>
      <c r="I4374">
        <v>5887</v>
      </c>
      <c r="J4374" t="s">
        <v>28</v>
      </c>
      <c r="K4374" t="s">
        <v>23</v>
      </c>
      <c r="L4374">
        <f t="shared" si="204"/>
        <v>2022</v>
      </c>
      <c r="M4374" t="str">
        <f t="shared" si="205"/>
        <v>Jun</v>
      </c>
      <c r="N4374" s="2">
        <f t="shared" si="206"/>
        <v>0.14251404260799488</v>
      </c>
    </row>
    <row r="4375" spans="1:14" x14ac:dyDescent="0.45">
      <c r="A4375" t="s">
        <v>7877</v>
      </c>
      <c r="B4375" s="1">
        <v>45222</v>
      </c>
      <c r="C4375" t="s">
        <v>415</v>
      </c>
      <c r="D4375" t="s">
        <v>13</v>
      </c>
      <c r="E4375" t="s">
        <v>14</v>
      </c>
      <c r="F4375" t="s">
        <v>32</v>
      </c>
      <c r="G4375">
        <v>1</v>
      </c>
      <c r="H4375">
        <v>3432.31</v>
      </c>
      <c r="I4375">
        <v>546.91999999999996</v>
      </c>
      <c r="J4375" t="s">
        <v>28</v>
      </c>
      <c r="K4375" t="s">
        <v>29</v>
      </c>
      <c r="L4375">
        <f t="shared" si="204"/>
        <v>2023</v>
      </c>
      <c r="M4375" t="str">
        <f t="shared" si="205"/>
        <v>Oct</v>
      </c>
      <c r="N4375" s="2">
        <f t="shared" si="206"/>
        <v>0.15934458134609053</v>
      </c>
    </row>
    <row r="4376" spans="1:14" x14ac:dyDescent="0.45">
      <c r="A4376" t="s">
        <v>7878</v>
      </c>
      <c r="B4376" s="1">
        <v>44786</v>
      </c>
      <c r="C4376" t="s">
        <v>1746</v>
      </c>
      <c r="D4376" t="s">
        <v>26</v>
      </c>
      <c r="E4376" t="s">
        <v>36</v>
      </c>
      <c r="F4376" t="s">
        <v>46</v>
      </c>
      <c r="G4376">
        <v>2</v>
      </c>
      <c r="H4376">
        <v>2540.15</v>
      </c>
      <c r="I4376">
        <v>508.03</v>
      </c>
      <c r="J4376" t="s">
        <v>47</v>
      </c>
      <c r="K4376" t="s">
        <v>17</v>
      </c>
      <c r="L4376">
        <f t="shared" si="204"/>
        <v>2022</v>
      </c>
      <c r="M4376" t="str">
        <f t="shared" si="205"/>
        <v>Aug</v>
      </c>
      <c r="N4376" s="2">
        <f t="shared" si="206"/>
        <v>0.19999999999999998</v>
      </c>
    </row>
    <row r="4377" spans="1:14" x14ac:dyDescent="0.45">
      <c r="A4377" t="s">
        <v>7879</v>
      </c>
      <c r="B4377" s="1">
        <v>45159</v>
      </c>
      <c r="C4377" t="s">
        <v>1561</v>
      </c>
      <c r="D4377" t="s">
        <v>26</v>
      </c>
      <c r="E4377" t="s">
        <v>36</v>
      </c>
      <c r="F4377" t="s">
        <v>64</v>
      </c>
      <c r="G4377">
        <v>2</v>
      </c>
      <c r="H4377">
        <v>5939.19</v>
      </c>
      <c r="I4377">
        <v>1109.45</v>
      </c>
      <c r="J4377" t="s">
        <v>28</v>
      </c>
      <c r="K4377" t="s">
        <v>17</v>
      </c>
      <c r="L4377">
        <f t="shared" si="204"/>
        <v>2023</v>
      </c>
      <c r="M4377" t="str">
        <f t="shared" si="205"/>
        <v>Aug</v>
      </c>
      <c r="N4377" s="2">
        <f t="shared" si="206"/>
        <v>0.18680156721707844</v>
      </c>
    </row>
    <row r="4378" spans="1:14" x14ac:dyDescent="0.45">
      <c r="A4378" t="s">
        <v>7880</v>
      </c>
      <c r="B4378" s="1">
        <v>44700</v>
      </c>
      <c r="C4378" t="s">
        <v>4032</v>
      </c>
      <c r="D4378" t="s">
        <v>13</v>
      </c>
      <c r="E4378" t="s">
        <v>36</v>
      </c>
      <c r="F4378" t="s">
        <v>64</v>
      </c>
      <c r="G4378">
        <v>3</v>
      </c>
      <c r="H4378">
        <v>44784.87</v>
      </c>
      <c r="I4378">
        <v>10759.36</v>
      </c>
      <c r="J4378" t="s">
        <v>16</v>
      </c>
      <c r="K4378" t="s">
        <v>17</v>
      </c>
      <c r="L4378">
        <f t="shared" si="204"/>
        <v>2022</v>
      </c>
      <c r="M4378" t="str">
        <f t="shared" si="205"/>
        <v>May</v>
      </c>
      <c r="N4378" s="2">
        <f t="shared" si="206"/>
        <v>0.24024542217047856</v>
      </c>
    </row>
    <row r="4379" spans="1:14" x14ac:dyDescent="0.45">
      <c r="A4379" t="s">
        <v>7881</v>
      </c>
      <c r="B4379" s="1">
        <v>44912</v>
      </c>
      <c r="C4379" t="s">
        <v>7882</v>
      </c>
      <c r="D4379" t="s">
        <v>13</v>
      </c>
      <c r="E4379" t="s">
        <v>14</v>
      </c>
      <c r="F4379" t="s">
        <v>40</v>
      </c>
      <c r="G4379">
        <v>5</v>
      </c>
      <c r="H4379">
        <v>24463.39</v>
      </c>
      <c r="I4379">
        <v>1672.09</v>
      </c>
      <c r="J4379" t="s">
        <v>47</v>
      </c>
      <c r="K4379" t="s">
        <v>29</v>
      </c>
      <c r="L4379">
        <f t="shared" si="204"/>
        <v>2022</v>
      </c>
      <c r="M4379" t="str">
        <f t="shared" si="205"/>
        <v>Dec</v>
      </c>
      <c r="N4379" s="2">
        <f t="shared" si="206"/>
        <v>6.8350706913473558E-2</v>
      </c>
    </row>
    <row r="4380" spans="1:14" x14ac:dyDescent="0.45">
      <c r="A4380" t="s">
        <v>7883</v>
      </c>
      <c r="B4380" s="1">
        <v>45356</v>
      </c>
      <c r="C4380" t="s">
        <v>7884</v>
      </c>
      <c r="D4380" t="s">
        <v>26</v>
      </c>
      <c r="E4380" t="s">
        <v>36</v>
      </c>
      <c r="F4380" t="s">
        <v>53</v>
      </c>
      <c r="G4380">
        <v>1</v>
      </c>
      <c r="H4380">
        <v>36260.74</v>
      </c>
      <c r="I4380">
        <v>7546.76</v>
      </c>
      <c r="J4380" t="s">
        <v>47</v>
      </c>
      <c r="K4380" t="s">
        <v>23</v>
      </c>
      <c r="L4380">
        <f t="shared" si="204"/>
        <v>2024</v>
      </c>
      <c r="M4380" t="str">
        <f t="shared" si="205"/>
        <v>Mar</v>
      </c>
      <c r="N4380" s="2">
        <f t="shared" si="206"/>
        <v>0.20812482039803934</v>
      </c>
    </row>
    <row r="4381" spans="1:14" x14ac:dyDescent="0.45">
      <c r="A4381" t="s">
        <v>7885</v>
      </c>
      <c r="B4381" s="1">
        <v>45081</v>
      </c>
      <c r="C4381" t="s">
        <v>7886</v>
      </c>
      <c r="D4381" t="s">
        <v>26</v>
      </c>
      <c r="E4381" t="s">
        <v>14</v>
      </c>
      <c r="F4381" t="s">
        <v>40</v>
      </c>
      <c r="G4381">
        <v>3</v>
      </c>
      <c r="H4381">
        <v>28420.7</v>
      </c>
      <c r="I4381">
        <v>3823.73</v>
      </c>
      <c r="J4381" t="s">
        <v>28</v>
      </c>
      <c r="K4381" t="s">
        <v>29</v>
      </c>
      <c r="L4381">
        <f t="shared" si="204"/>
        <v>2023</v>
      </c>
      <c r="M4381" t="str">
        <f t="shared" si="205"/>
        <v>Jun</v>
      </c>
      <c r="N4381" s="2">
        <f t="shared" si="206"/>
        <v>0.1345403174446794</v>
      </c>
    </row>
    <row r="4382" spans="1:14" x14ac:dyDescent="0.45">
      <c r="A4382" t="s">
        <v>7887</v>
      </c>
      <c r="B4382" s="1">
        <v>45083</v>
      </c>
      <c r="C4382" t="s">
        <v>7888</v>
      </c>
      <c r="D4382" t="s">
        <v>26</v>
      </c>
      <c r="E4382" t="s">
        <v>14</v>
      </c>
      <c r="F4382" t="s">
        <v>57</v>
      </c>
      <c r="G4382">
        <v>4</v>
      </c>
      <c r="H4382">
        <v>1596.19</v>
      </c>
      <c r="I4382">
        <v>166.93</v>
      </c>
      <c r="J4382" t="s">
        <v>16</v>
      </c>
      <c r="K4382" t="s">
        <v>29</v>
      </c>
      <c r="L4382">
        <f t="shared" si="204"/>
        <v>2023</v>
      </c>
      <c r="M4382" t="str">
        <f t="shared" si="205"/>
        <v>Jun</v>
      </c>
      <c r="N4382" s="2">
        <f t="shared" si="206"/>
        <v>0.10458028179602678</v>
      </c>
    </row>
    <row r="4383" spans="1:14" x14ac:dyDescent="0.45">
      <c r="A4383" t="s">
        <v>7889</v>
      </c>
      <c r="B4383" s="1">
        <v>45460</v>
      </c>
      <c r="C4383" t="s">
        <v>2706</v>
      </c>
      <c r="D4383" t="s">
        <v>13</v>
      </c>
      <c r="E4383" t="s">
        <v>20</v>
      </c>
      <c r="F4383" t="s">
        <v>50</v>
      </c>
      <c r="G4383">
        <v>4</v>
      </c>
      <c r="H4383">
        <v>42616.74</v>
      </c>
      <c r="I4383">
        <v>5678.68</v>
      </c>
      <c r="J4383" t="s">
        <v>16</v>
      </c>
      <c r="K4383" t="s">
        <v>33</v>
      </c>
      <c r="L4383">
        <f t="shared" si="204"/>
        <v>2024</v>
      </c>
      <c r="M4383" t="str">
        <f t="shared" si="205"/>
        <v>Jun</v>
      </c>
      <c r="N4383" s="2">
        <f t="shared" si="206"/>
        <v>0.13324998580370062</v>
      </c>
    </row>
    <row r="4384" spans="1:14" x14ac:dyDescent="0.45">
      <c r="A4384" t="s">
        <v>7890</v>
      </c>
      <c r="B4384" s="1">
        <v>45442</v>
      </c>
      <c r="C4384" t="s">
        <v>4190</v>
      </c>
      <c r="D4384" t="s">
        <v>13</v>
      </c>
      <c r="E4384" t="s">
        <v>20</v>
      </c>
      <c r="F4384" t="s">
        <v>27</v>
      </c>
      <c r="G4384">
        <v>5</v>
      </c>
      <c r="H4384">
        <v>666.93</v>
      </c>
      <c r="I4384">
        <v>154.41999999999999</v>
      </c>
      <c r="J4384" t="s">
        <v>16</v>
      </c>
      <c r="K4384" t="s">
        <v>29</v>
      </c>
      <c r="L4384">
        <f t="shared" si="204"/>
        <v>2024</v>
      </c>
      <c r="M4384" t="str">
        <f t="shared" si="205"/>
        <v>May</v>
      </c>
      <c r="N4384" s="2">
        <f t="shared" si="206"/>
        <v>0.23153854227580106</v>
      </c>
    </row>
    <row r="4385" spans="1:14" x14ac:dyDescent="0.45">
      <c r="A4385" t="s">
        <v>7891</v>
      </c>
      <c r="B4385" s="1">
        <v>45631</v>
      </c>
      <c r="C4385" t="s">
        <v>7892</v>
      </c>
      <c r="D4385" t="s">
        <v>56</v>
      </c>
      <c r="E4385" t="s">
        <v>36</v>
      </c>
      <c r="F4385" t="s">
        <v>46</v>
      </c>
      <c r="G4385">
        <v>4</v>
      </c>
      <c r="H4385">
        <v>35435.519999999997</v>
      </c>
      <c r="I4385">
        <v>5721.32</v>
      </c>
      <c r="J4385" t="s">
        <v>22</v>
      </c>
      <c r="K4385" t="s">
        <v>33</v>
      </c>
      <c r="L4385">
        <f t="shared" si="204"/>
        <v>2024</v>
      </c>
      <c r="M4385" t="str">
        <f t="shared" si="205"/>
        <v>Dec</v>
      </c>
      <c r="N4385" s="2">
        <f t="shared" si="206"/>
        <v>0.16145720452246787</v>
      </c>
    </row>
    <row r="4386" spans="1:14" x14ac:dyDescent="0.45">
      <c r="A4386" t="s">
        <v>7893</v>
      </c>
      <c r="B4386" s="1">
        <v>45349</v>
      </c>
      <c r="C4386" t="s">
        <v>2652</v>
      </c>
      <c r="D4386" t="s">
        <v>26</v>
      </c>
      <c r="E4386" t="s">
        <v>14</v>
      </c>
      <c r="F4386" t="s">
        <v>32</v>
      </c>
      <c r="G4386">
        <v>1</v>
      </c>
      <c r="H4386">
        <v>19066.77</v>
      </c>
      <c r="I4386">
        <v>3971.01</v>
      </c>
      <c r="J4386" t="s">
        <v>71</v>
      </c>
      <c r="K4386" t="s">
        <v>33</v>
      </c>
      <c r="L4386">
        <f t="shared" si="204"/>
        <v>2024</v>
      </c>
      <c r="M4386" t="str">
        <f t="shared" si="205"/>
        <v>Feb</v>
      </c>
      <c r="N4386" s="2">
        <f t="shared" si="206"/>
        <v>0.20826862651618497</v>
      </c>
    </row>
    <row r="4387" spans="1:14" x14ac:dyDescent="0.45">
      <c r="A4387" t="s">
        <v>7894</v>
      </c>
      <c r="B4387" s="1">
        <v>45639</v>
      </c>
      <c r="C4387" t="s">
        <v>1986</v>
      </c>
      <c r="D4387" t="s">
        <v>56</v>
      </c>
      <c r="E4387" t="s">
        <v>20</v>
      </c>
      <c r="F4387" t="s">
        <v>21</v>
      </c>
      <c r="G4387">
        <v>2</v>
      </c>
      <c r="H4387">
        <v>41943.5</v>
      </c>
      <c r="I4387">
        <v>8665.83</v>
      </c>
      <c r="J4387" t="s">
        <v>71</v>
      </c>
      <c r="K4387" t="s">
        <v>29</v>
      </c>
      <c r="L4387">
        <f t="shared" si="204"/>
        <v>2024</v>
      </c>
      <c r="M4387" t="str">
        <f t="shared" si="205"/>
        <v>Dec</v>
      </c>
      <c r="N4387" s="2">
        <f t="shared" si="206"/>
        <v>0.20660722161955963</v>
      </c>
    </row>
    <row r="4388" spans="1:14" x14ac:dyDescent="0.45">
      <c r="A4388" t="s">
        <v>7895</v>
      </c>
      <c r="B4388" s="1">
        <v>45178</v>
      </c>
      <c r="C4388" t="s">
        <v>7896</v>
      </c>
      <c r="D4388" t="s">
        <v>56</v>
      </c>
      <c r="E4388" t="s">
        <v>20</v>
      </c>
      <c r="F4388" t="s">
        <v>27</v>
      </c>
      <c r="G4388">
        <v>5</v>
      </c>
      <c r="H4388">
        <v>38154.25</v>
      </c>
      <c r="I4388">
        <v>7864.11</v>
      </c>
      <c r="J4388" t="s">
        <v>28</v>
      </c>
      <c r="K4388" t="s">
        <v>33</v>
      </c>
      <c r="L4388">
        <f t="shared" si="204"/>
        <v>2023</v>
      </c>
      <c r="M4388" t="str">
        <f t="shared" si="205"/>
        <v>Sep</v>
      </c>
      <c r="N4388" s="2">
        <f t="shared" si="206"/>
        <v>0.20611360464430567</v>
      </c>
    </row>
    <row r="4389" spans="1:14" x14ac:dyDescent="0.45">
      <c r="A4389" t="s">
        <v>7897</v>
      </c>
      <c r="B4389" s="1">
        <v>45367</v>
      </c>
      <c r="C4389" t="s">
        <v>7898</v>
      </c>
      <c r="D4389" t="s">
        <v>13</v>
      </c>
      <c r="E4389" t="s">
        <v>14</v>
      </c>
      <c r="F4389" t="s">
        <v>32</v>
      </c>
      <c r="G4389">
        <v>1</v>
      </c>
      <c r="H4389">
        <v>4702.1899999999996</v>
      </c>
      <c r="I4389">
        <v>596.44000000000005</v>
      </c>
      <c r="J4389" t="s">
        <v>71</v>
      </c>
      <c r="K4389" t="s">
        <v>33</v>
      </c>
      <c r="L4389">
        <f t="shared" si="204"/>
        <v>2024</v>
      </c>
      <c r="M4389" t="str">
        <f t="shared" si="205"/>
        <v>Mar</v>
      </c>
      <c r="N4389" s="2">
        <f t="shared" si="206"/>
        <v>0.12684302420786911</v>
      </c>
    </row>
    <row r="4390" spans="1:14" x14ac:dyDescent="0.45">
      <c r="A4390" t="s">
        <v>7899</v>
      </c>
      <c r="B4390" s="1">
        <v>44731</v>
      </c>
      <c r="C4390" t="s">
        <v>7900</v>
      </c>
      <c r="D4390" t="s">
        <v>26</v>
      </c>
      <c r="E4390" t="s">
        <v>20</v>
      </c>
      <c r="F4390" t="s">
        <v>21</v>
      </c>
      <c r="G4390">
        <v>2</v>
      </c>
      <c r="H4390">
        <v>7058.81</v>
      </c>
      <c r="I4390">
        <v>1419.05</v>
      </c>
      <c r="J4390" t="s">
        <v>28</v>
      </c>
      <c r="K4390" t="s">
        <v>29</v>
      </c>
      <c r="L4390">
        <f t="shared" si="204"/>
        <v>2022</v>
      </c>
      <c r="M4390" t="str">
        <f t="shared" si="205"/>
        <v>Jun</v>
      </c>
      <c r="N4390" s="2">
        <f t="shared" si="206"/>
        <v>0.2010324686455649</v>
      </c>
    </row>
    <row r="4391" spans="1:14" x14ac:dyDescent="0.45">
      <c r="A4391" t="s">
        <v>7901</v>
      </c>
      <c r="B4391" s="1">
        <v>45446</v>
      </c>
      <c r="C4391" t="s">
        <v>7902</v>
      </c>
      <c r="D4391" t="s">
        <v>13</v>
      </c>
      <c r="E4391" t="s">
        <v>20</v>
      </c>
      <c r="F4391" t="s">
        <v>43</v>
      </c>
      <c r="G4391">
        <v>1</v>
      </c>
      <c r="H4391">
        <v>40392.949999999997</v>
      </c>
      <c r="I4391">
        <v>6161.78</v>
      </c>
      <c r="J4391" t="s">
        <v>22</v>
      </c>
      <c r="K4391" t="s">
        <v>33</v>
      </c>
      <c r="L4391">
        <f t="shared" si="204"/>
        <v>2024</v>
      </c>
      <c r="M4391" t="str">
        <f t="shared" si="205"/>
        <v>Jun</v>
      </c>
      <c r="N4391" s="2">
        <f t="shared" si="206"/>
        <v>0.15254592695012373</v>
      </c>
    </row>
    <row r="4392" spans="1:14" x14ac:dyDescent="0.45">
      <c r="A4392" t="s">
        <v>7903</v>
      </c>
      <c r="B4392" s="1">
        <v>45213</v>
      </c>
      <c r="C4392" t="s">
        <v>2475</v>
      </c>
      <c r="D4392" t="s">
        <v>26</v>
      </c>
      <c r="E4392" t="s">
        <v>36</v>
      </c>
      <c r="F4392" t="s">
        <v>37</v>
      </c>
      <c r="G4392">
        <v>2</v>
      </c>
      <c r="H4392">
        <v>48980.33</v>
      </c>
      <c r="I4392">
        <v>11004.3</v>
      </c>
      <c r="J4392" t="s">
        <v>71</v>
      </c>
      <c r="K4392" t="s">
        <v>23</v>
      </c>
      <c r="L4392">
        <f t="shared" si="204"/>
        <v>2023</v>
      </c>
      <c r="M4392" t="str">
        <f t="shared" si="205"/>
        <v>Oct</v>
      </c>
      <c r="N4392" s="2">
        <f t="shared" si="206"/>
        <v>0.22466773906994908</v>
      </c>
    </row>
    <row r="4393" spans="1:14" x14ac:dyDescent="0.45">
      <c r="A4393" t="s">
        <v>7904</v>
      </c>
      <c r="B4393" s="1">
        <v>45517</v>
      </c>
      <c r="C4393" t="s">
        <v>7905</v>
      </c>
      <c r="D4393" t="s">
        <v>26</v>
      </c>
      <c r="E4393" t="s">
        <v>20</v>
      </c>
      <c r="F4393" t="s">
        <v>27</v>
      </c>
      <c r="G4393">
        <v>1</v>
      </c>
      <c r="H4393">
        <v>31817.21</v>
      </c>
      <c r="I4393">
        <v>2720.26</v>
      </c>
      <c r="J4393" t="s">
        <v>28</v>
      </c>
      <c r="K4393" t="s">
        <v>29</v>
      </c>
      <c r="L4393">
        <f t="shared" si="204"/>
        <v>2024</v>
      </c>
      <c r="M4393" t="str">
        <f t="shared" si="205"/>
        <v>Aug</v>
      </c>
      <c r="N4393" s="2">
        <f t="shared" si="206"/>
        <v>8.5496497021580464E-2</v>
      </c>
    </row>
    <row r="4394" spans="1:14" x14ac:dyDescent="0.45">
      <c r="A4394" t="s">
        <v>7906</v>
      </c>
      <c r="B4394" s="1">
        <v>44634</v>
      </c>
      <c r="C4394" t="s">
        <v>7907</v>
      </c>
      <c r="D4394" t="s">
        <v>13</v>
      </c>
      <c r="E4394" t="s">
        <v>14</v>
      </c>
      <c r="F4394" t="s">
        <v>40</v>
      </c>
      <c r="G4394">
        <v>1</v>
      </c>
      <c r="H4394">
        <v>44761.53</v>
      </c>
      <c r="I4394">
        <v>10779.75</v>
      </c>
      <c r="J4394" t="s">
        <v>16</v>
      </c>
      <c r="K4394" t="s">
        <v>23</v>
      </c>
      <c r="L4394">
        <f t="shared" si="204"/>
        <v>2022</v>
      </c>
      <c r="M4394" t="str">
        <f t="shared" si="205"/>
        <v>Mar</v>
      </c>
      <c r="N4394" s="2">
        <f t="shared" si="206"/>
        <v>0.24082621840674348</v>
      </c>
    </row>
    <row r="4395" spans="1:14" x14ac:dyDescent="0.45">
      <c r="A4395" t="s">
        <v>7908</v>
      </c>
      <c r="B4395" s="1">
        <v>44624</v>
      </c>
      <c r="C4395" t="s">
        <v>7909</v>
      </c>
      <c r="D4395" t="s">
        <v>26</v>
      </c>
      <c r="E4395" t="s">
        <v>36</v>
      </c>
      <c r="F4395" t="s">
        <v>37</v>
      </c>
      <c r="G4395">
        <v>2</v>
      </c>
      <c r="H4395">
        <v>24070.78</v>
      </c>
      <c r="I4395">
        <v>1316.48</v>
      </c>
      <c r="J4395" t="s">
        <v>28</v>
      </c>
      <c r="K4395" t="s">
        <v>23</v>
      </c>
      <c r="L4395">
        <f t="shared" si="204"/>
        <v>2022</v>
      </c>
      <c r="M4395" t="str">
        <f t="shared" si="205"/>
        <v>Mar</v>
      </c>
      <c r="N4395" s="2">
        <f t="shared" si="206"/>
        <v>5.4692037399702048E-2</v>
      </c>
    </row>
    <row r="4396" spans="1:14" x14ac:dyDescent="0.45">
      <c r="A4396" t="s">
        <v>7910</v>
      </c>
      <c r="B4396" s="1">
        <v>44812</v>
      </c>
      <c r="C4396" t="s">
        <v>7911</v>
      </c>
      <c r="D4396" t="s">
        <v>56</v>
      </c>
      <c r="E4396" t="s">
        <v>20</v>
      </c>
      <c r="F4396" t="s">
        <v>21</v>
      </c>
      <c r="G4396">
        <v>5</v>
      </c>
      <c r="H4396">
        <v>35952.660000000003</v>
      </c>
      <c r="I4396">
        <v>7207.46</v>
      </c>
      <c r="J4396" t="s">
        <v>71</v>
      </c>
      <c r="K4396" t="s">
        <v>33</v>
      </c>
      <c r="L4396">
        <f t="shared" si="204"/>
        <v>2022</v>
      </c>
      <c r="M4396" t="str">
        <f t="shared" si="205"/>
        <v>Sep</v>
      </c>
      <c r="N4396" s="2">
        <f t="shared" si="206"/>
        <v>0.20047084137863511</v>
      </c>
    </row>
    <row r="4397" spans="1:14" x14ac:dyDescent="0.45">
      <c r="A4397" t="s">
        <v>7912</v>
      </c>
      <c r="B4397" s="1">
        <v>45191</v>
      </c>
      <c r="C4397" t="s">
        <v>6564</v>
      </c>
      <c r="D4397" t="s">
        <v>56</v>
      </c>
      <c r="E4397" t="s">
        <v>20</v>
      </c>
      <c r="F4397" t="s">
        <v>50</v>
      </c>
      <c r="G4397">
        <v>5</v>
      </c>
      <c r="H4397">
        <v>35153.74</v>
      </c>
      <c r="I4397">
        <v>5141.08</v>
      </c>
      <c r="J4397" t="s">
        <v>16</v>
      </c>
      <c r="K4397" t="s">
        <v>17</v>
      </c>
      <c r="L4397">
        <f t="shared" si="204"/>
        <v>2023</v>
      </c>
      <c r="M4397" t="str">
        <f t="shared" si="205"/>
        <v>Sep</v>
      </c>
      <c r="N4397" s="2">
        <f t="shared" si="206"/>
        <v>0.14624560573071316</v>
      </c>
    </row>
    <row r="4398" spans="1:14" x14ac:dyDescent="0.45">
      <c r="A4398" t="s">
        <v>7913</v>
      </c>
      <c r="B4398" s="1">
        <v>44878</v>
      </c>
      <c r="C4398" t="s">
        <v>7914</v>
      </c>
      <c r="D4398" t="s">
        <v>56</v>
      </c>
      <c r="E4398" t="s">
        <v>14</v>
      </c>
      <c r="F4398" t="s">
        <v>32</v>
      </c>
      <c r="G4398">
        <v>3</v>
      </c>
      <c r="H4398">
        <v>32272.7</v>
      </c>
      <c r="I4398">
        <v>6881.71</v>
      </c>
      <c r="J4398" t="s">
        <v>16</v>
      </c>
      <c r="K4398" t="s">
        <v>17</v>
      </c>
      <c r="L4398">
        <f t="shared" si="204"/>
        <v>2022</v>
      </c>
      <c r="M4398" t="str">
        <f t="shared" si="205"/>
        <v>Nov</v>
      </c>
      <c r="N4398" s="2">
        <f t="shared" si="206"/>
        <v>0.21323626470670257</v>
      </c>
    </row>
    <row r="4399" spans="1:14" x14ac:dyDescent="0.45">
      <c r="A4399" t="s">
        <v>7915</v>
      </c>
      <c r="B4399" s="1">
        <v>45638</v>
      </c>
      <c r="C4399" t="s">
        <v>508</v>
      </c>
      <c r="D4399" t="s">
        <v>13</v>
      </c>
      <c r="E4399" t="s">
        <v>36</v>
      </c>
      <c r="F4399" t="s">
        <v>53</v>
      </c>
      <c r="G4399">
        <v>1</v>
      </c>
      <c r="H4399">
        <v>7057.22</v>
      </c>
      <c r="I4399">
        <v>1572.02</v>
      </c>
      <c r="J4399" t="s">
        <v>28</v>
      </c>
      <c r="K4399" t="s">
        <v>33</v>
      </c>
      <c r="L4399">
        <f t="shared" si="204"/>
        <v>2024</v>
      </c>
      <c r="M4399" t="str">
        <f t="shared" si="205"/>
        <v>Dec</v>
      </c>
      <c r="N4399" s="2">
        <f t="shared" si="206"/>
        <v>0.22275343548876186</v>
      </c>
    </row>
    <row r="4400" spans="1:14" x14ac:dyDescent="0.45">
      <c r="A4400" t="s">
        <v>7916</v>
      </c>
      <c r="B4400" s="1">
        <v>45294</v>
      </c>
      <c r="C4400" t="s">
        <v>1561</v>
      </c>
      <c r="D4400" t="s">
        <v>26</v>
      </c>
      <c r="E4400" t="s">
        <v>14</v>
      </c>
      <c r="F4400" t="s">
        <v>57</v>
      </c>
      <c r="G4400">
        <v>4</v>
      </c>
      <c r="H4400">
        <v>36224.14</v>
      </c>
      <c r="I4400">
        <v>5363.41</v>
      </c>
      <c r="J4400" t="s">
        <v>47</v>
      </c>
      <c r="K4400" t="s">
        <v>17</v>
      </c>
      <c r="L4400">
        <f t="shared" si="204"/>
        <v>2024</v>
      </c>
      <c r="M4400" t="str">
        <f t="shared" si="205"/>
        <v>Jan</v>
      </c>
      <c r="N4400" s="2">
        <f t="shared" si="206"/>
        <v>0.14806176212879035</v>
      </c>
    </row>
    <row r="4401" spans="1:14" x14ac:dyDescent="0.45">
      <c r="A4401" t="s">
        <v>7917</v>
      </c>
      <c r="B4401" s="1">
        <v>44993</v>
      </c>
      <c r="C4401" t="s">
        <v>2529</v>
      </c>
      <c r="D4401" t="s">
        <v>26</v>
      </c>
      <c r="E4401" t="s">
        <v>20</v>
      </c>
      <c r="F4401" t="s">
        <v>50</v>
      </c>
      <c r="G4401">
        <v>1</v>
      </c>
      <c r="H4401">
        <v>2804.13</v>
      </c>
      <c r="I4401">
        <v>572.04</v>
      </c>
      <c r="J4401" t="s">
        <v>47</v>
      </c>
      <c r="K4401" t="s">
        <v>29</v>
      </c>
      <c r="L4401">
        <f t="shared" si="204"/>
        <v>2023</v>
      </c>
      <c r="M4401" t="str">
        <f t="shared" si="205"/>
        <v>Mar</v>
      </c>
      <c r="N4401" s="2">
        <f t="shared" si="206"/>
        <v>0.2039991013255448</v>
      </c>
    </row>
    <row r="4402" spans="1:14" x14ac:dyDescent="0.45">
      <c r="A4402" t="s">
        <v>7918</v>
      </c>
      <c r="B4402" s="1">
        <v>44729</v>
      </c>
      <c r="C4402" t="s">
        <v>7613</v>
      </c>
      <c r="D4402" t="s">
        <v>26</v>
      </c>
      <c r="E4402" t="s">
        <v>36</v>
      </c>
      <c r="F4402" t="s">
        <v>64</v>
      </c>
      <c r="G4402">
        <v>5</v>
      </c>
      <c r="H4402">
        <v>20746.11</v>
      </c>
      <c r="I4402">
        <v>4707.18</v>
      </c>
      <c r="J4402" t="s">
        <v>71</v>
      </c>
      <c r="K4402" t="s">
        <v>23</v>
      </c>
      <c r="L4402">
        <f t="shared" si="204"/>
        <v>2022</v>
      </c>
      <c r="M4402" t="str">
        <f t="shared" si="205"/>
        <v>Jun</v>
      </c>
      <c r="N4402" s="2">
        <f t="shared" si="206"/>
        <v>0.22689458409311433</v>
      </c>
    </row>
    <row r="4403" spans="1:14" x14ac:dyDescent="0.45">
      <c r="A4403" t="s">
        <v>7919</v>
      </c>
      <c r="B4403" s="1">
        <v>45138</v>
      </c>
      <c r="C4403" t="s">
        <v>7920</v>
      </c>
      <c r="D4403" t="s">
        <v>26</v>
      </c>
      <c r="E4403" t="s">
        <v>14</v>
      </c>
      <c r="F4403" t="s">
        <v>40</v>
      </c>
      <c r="G4403">
        <v>1</v>
      </c>
      <c r="H4403">
        <v>32976.239999999998</v>
      </c>
      <c r="I4403">
        <v>7673.26</v>
      </c>
      <c r="J4403" t="s">
        <v>16</v>
      </c>
      <c r="K4403" t="s">
        <v>29</v>
      </c>
      <c r="L4403">
        <f t="shared" si="204"/>
        <v>2023</v>
      </c>
      <c r="M4403" t="str">
        <f t="shared" si="205"/>
        <v>Jul</v>
      </c>
      <c r="N4403" s="2">
        <f t="shared" si="206"/>
        <v>0.23269056751163869</v>
      </c>
    </row>
    <row r="4404" spans="1:14" x14ac:dyDescent="0.45">
      <c r="A4404" t="s">
        <v>7921</v>
      </c>
      <c r="B4404" s="1">
        <v>44813</v>
      </c>
      <c r="C4404" t="s">
        <v>7922</v>
      </c>
      <c r="D4404" t="s">
        <v>56</v>
      </c>
      <c r="E4404" t="s">
        <v>14</v>
      </c>
      <c r="F4404" t="s">
        <v>32</v>
      </c>
      <c r="G4404">
        <v>3</v>
      </c>
      <c r="H4404">
        <v>43854.61</v>
      </c>
      <c r="I4404">
        <v>5439.48</v>
      </c>
      <c r="J4404" t="s">
        <v>47</v>
      </c>
      <c r="K4404" t="s">
        <v>17</v>
      </c>
      <c r="L4404">
        <f t="shared" si="204"/>
        <v>2022</v>
      </c>
      <c r="M4404" t="str">
        <f t="shared" si="205"/>
        <v>Sep</v>
      </c>
      <c r="N4404" s="2">
        <f t="shared" si="206"/>
        <v>0.12403439455965974</v>
      </c>
    </row>
    <row r="4405" spans="1:14" x14ac:dyDescent="0.45">
      <c r="A4405" t="s">
        <v>7923</v>
      </c>
      <c r="B4405" s="1">
        <v>45241</v>
      </c>
      <c r="C4405" t="s">
        <v>7924</v>
      </c>
      <c r="D4405" t="s">
        <v>26</v>
      </c>
      <c r="E4405" t="s">
        <v>20</v>
      </c>
      <c r="F4405" t="s">
        <v>43</v>
      </c>
      <c r="G4405">
        <v>2</v>
      </c>
      <c r="H4405">
        <v>8053.22</v>
      </c>
      <c r="I4405">
        <v>811.79</v>
      </c>
      <c r="J4405" t="s">
        <v>28</v>
      </c>
      <c r="K4405" t="s">
        <v>17</v>
      </c>
      <c r="L4405">
        <f t="shared" si="204"/>
        <v>2023</v>
      </c>
      <c r="M4405" t="str">
        <f t="shared" si="205"/>
        <v>Nov</v>
      </c>
      <c r="N4405" s="2">
        <f t="shared" si="206"/>
        <v>0.10080315699807033</v>
      </c>
    </row>
    <row r="4406" spans="1:14" x14ac:dyDescent="0.45">
      <c r="A4406" t="s">
        <v>7925</v>
      </c>
      <c r="B4406" s="1">
        <v>45090</v>
      </c>
      <c r="C4406" t="s">
        <v>7886</v>
      </c>
      <c r="D4406" t="s">
        <v>26</v>
      </c>
      <c r="E4406" t="s">
        <v>20</v>
      </c>
      <c r="F4406" t="s">
        <v>43</v>
      </c>
      <c r="G4406">
        <v>5</v>
      </c>
      <c r="H4406">
        <v>2616.54</v>
      </c>
      <c r="I4406">
        <v>631.17999999999995</v>
      </c>
      <c r="J4406" t="s">
        <v>16</v>
      </c>
      <c r="K4406" t="s">
        <v>29</v>
      </c>
      <c r="L4406">
        <f t="shared" si="204"/>
        <v>2023</v>
      </c>
      <c r="M4406" t="str">
        <f t="shared" si="205"/>
        <v>Jun</v>
      </c>
      <c r="N4406" s="2">
        <f t="shared" si="206"/>
        <v>0.24122696385302728</v>
      </c>
    </row>
    <row r="4407" spans="1:14" x14ac:dyDescent="0.45">
      <c r="A4407" t="s">
        <v>7926</v>
      </c>
      <c r="B4407" s="1">
        <v>45148</v>
      </c>
      <c r="C4407" t="s">
        <v>7927</v>
      </c>
      <c r="D4407" t="s">
        <v>26</v>
      </c>
      <c r="E4407" t="s">
        <v>14</v>
      </c>
      <c r="F4407" t="s">
        <v>40</v>
      </c>
      <c r="G4407">
        <v>3</v>
      </c>
      <c r="H4407">
        <v>39389.47</v>
      </c>
      <c r="I4407">
        <v>6502.39</v>
      </c>
      <c r="J4407" t="s">
        <v>22</v>
      </c>
      <c r="K4407" t="s">
        <v>23</v>
      </c>
      <c r="L4407">
        <f t="shared" si="204"/>
        <v>2023</v>
      </c>
      <c r="M4407" t="str">
        <f t="shared" si="205"/>
        <v>Aug</v>
      </c>
      <c r="N4407" s="2">
        <f t="shared" si="206"/>
        <v>0.16507939812340711</v>
      </c>
    </row>
    <row r="4408" spans="1:14" x14ac:dyDescent="0.45">
      <c r="A4408" t="s">
        <v>7928</v>
      </c>
      <c r="B4408" s="1">
        <v>45097</v>
      </c>
      <c r="C4408" t="s">
        <v>7929</v>
      </c>
      <c r="D4408" t="s">
        <v>26</v>
      </c>
      <c r="E4408" t="s">
        <v>36</v>
      </c>
      <c r="F4408" t="s">
        <v>37</v>
      </c>
      <c r="G4408">
        <v>4</v>
      </c>
      <c r="H4408">
        <v>10229.209999999999</v>
      </c>
      <c r="I4408">
        <v>2207.62</v>
      </c>
      <c r="J4408" t="s">
        <v>47</v>
      </c>
      <c r="K4408" t="s">
        <v>29</v>
      </c>
      <c r="L4408">
        <f t="shared" si="204"/>
        <v>2023</v>
      </c>
      <c r="M4408" t="str">
        <f t="shared" si="205"/>
        <v>Jun</v>
      </c>
      <c r="N4408" s="2">
        <f t="shared" si="206"/>
        <v>0.21581529756452356</v>
      </c>
    </row>
    <row r="4409" spans="1:14" x14ac:dyDescent="0.45">
      <c r="A4409" t="s">
        <v>7930</v>
      </c>
      <c r="B4409" s="1">
        <v>45434</v>
      </c>
      <c r="C4409" t="s">
        <v>7931</v>
      </c>
      <c r="D4409" t="s">
        <v>13</v>
      </c>
      <c r="E4409" t="s">
        <v>14</v>
      </c>
      <c r="F4409" t="s">
        <v>57</v>
      </c>
      <c r="G4409">
        <v>3</v>
      </c>
      <c r="H4409">
        <v>34075.69</v>
      </c>
      <c r="I4409">
        <v>6749.59</v>
      </c>
      <c r="J4409" t="s">
        <v>28</v>
      </c>
      <c r="K4409" t="s">
        <v>17</v>
      </c>
      <c r="L4409">
        <f t="shared" si="204"/>
        <v>2024</v>
      </c>
      <c r="M4409" t="str">
        <f t="shared" si="205"/>
        <v>May</v>
      </c>
      <c r="N4409" s="2">
        <f t="shared" si="206"/>
        <v>0.19807639992029508</v>
      </c>
    </row>
    <row r="4410" spans="1:14" x14ac:dyDescent="0.45">
      <c r="A4410" t="s">
        <v>7932</v>
      </c>
      <c r="B4410" s="1">
        <v>44998</v>
      </c>
      <c r="C4410" t="s">
        <v>7933</v>
      </c>
      <c r="D4410" t="s">
        <v>26</v>
      </c>
      <c r="E4410" t="s">
        <v>36</v>
      </c>
      <c r="F4410" t="s">
        <v>46</v>
      </c>
      <c r="G4410">
        <v>4</v>
      </c>
      <c r="H4410">
        <v>17070.28</v>
      </c>
      <c r="I4410">
        <v>4146.32</v>
      </c>
      <c r="J4410" t="s">
        <v>22</v>
      </c>
      <c r="K4410" t="s">
        <v>29</v>
      </c>
      <c r="L4410">
        <f t="shared" si="204"/>
        <v>2023</v>
      </c>
      <c r="M4410" t="str">
        <f t="shared" si="205"/>
        <v>Mar</v>
      </c>
      <c r="N4410" s="2">
        <f t="shared" si="206"/>
        <v>0.24289701164831509</v>
      </c>
    </row>
    <row r="4411" spans="1:14" x14ac:dyDescent="0.45">
      <c r="A4411" t="s">
        <v>7934</v>
      </c>
      <c r="B4411" s="1">
        <v>45046</v>
      </c>
      <c r="C4411" t="s">
        <v>7935</v>
      </c>
      <c r="D4411" t="s">
        <v>26</v>
      </c>
      <c r="E4411" t="s">
        <v>14</v>
      </c>
      <c r="F4411" t="s">
        <v>32</v>
      </c>
      <c r="G4411">
        <v>1</v>
      </c>
      <c r="H4411">
        <v>6594.27</v>
      </c>
      <c r="I4411">
        <v>1265.48</v>
      </c>
      <c r="J4411" t="s">
        <v>22</v>
      </c>
      <c r="K4411" t="s">
        <v>29</v>
      </c>
      <c r="L4411">
        <f t="shared" si="204"/>
        <v>2023</v>
      </c>
      <c r="M4411" t="str">
        <f t="shared" si="205"/>
        <v>Apr</v>
      </c>
      <c r="N4411" s="2">
        <f t="shared" si="206"/>
        <v>0.19190600324220874</v>
      </c>
    </row>
    <row r="4412" spans="1:14" x14ac:dyDescent="0.45">
      <c r="A4412" t="s">
        <v>7936</v>
      </c>
      <c r="B4412" s="1">
        <v>44948</v>
      </c>
      <c r="C4412" t="s">
        <v>4818</v>
      </c>
      <c r="D4412" t="s">
        <v>13</v>
      </c>
      <c r="E4412" t="s">
        <v>36</v>
      </c>
      <c r="F4412" t="s">
        <v>64</v>
      </c>
      <c r="G4412">
        <v>3</v>
      </c>
      <c r="H4412">
        <v>15033.62</v>
      </c>
      <c r="I4412">
        <v>963.22</v>
      </c>
      <c r="J4412" t="s">
        <v>47</v>
      </c>
      <c r="K4412" t="s">
        <v>29</v>
      </c>
      <c r="L4412">
        <f t="shared" si="204"/>
        <v>2023</v>
      </c>
      <c r="M4412" t="str">
        <f t="shared" si="205"/>
        <v>Jan</v>
      </c>
      <c r="N4412" s="2">
        <f t="shared" si="206"/>
        <v>6.4071062059570486E-2</v>
      </c>
    </row>
    <row r="4413" spans="1:14" x14ac:dyDescent="0.45">
      <c r="A4413" t="s">
        <v>7937</v>
      </c>
      <c r="B4413" s="1">
        <v>44934</v>
      </c>
      <c r="C4413" t="s">
        <v>7938</v>
      </c>
      <c r="D4413" t="s">
        <v>13</v>
      </c>
      <c r="E4413" t="s">
        <v>36</v>
      </c>
      <c r="F4413" t="s">
        <v>46</v>
      </c>
      <c r="G4413">
        <v>4</v>
      </c>
      <c r="H4413">
        <v>23108.49</v>
      </c>
      <c r="I4413">
        <v>3838.66</v>
      </c>
      <c r="J4413" t="s">
        <v>22</v>
      </c>
      <c r="K4413" t="s">
        <v>17</v>
      </c>
      <c r="L4413">
        <f t="shared" si="204"/>
        <v>2023</v>
      </c>
      <c r="M4413" t="str">
        <f t="shared" si="205"/>
        <v>Jan</v>
      </c>
      <c r="N4413" s="2">
        <f t="shared" si="206"/>
        <v>0.16611470502832507</v>
      </c>
    </row>
    <row r="4414" spans="1:14" x14ac:dyDescent="0.45">
      <c r="A4414" t="s">
        <v>7939</v>
      </c>
      <c r="B4414" s="1">
        <v>45222</v>
      </c>
      <c r="C4414" t="s">
        <v>7940</v>
      </c>
      <c r="D4414" t="s">
        <v>13</v>
      </c>
      <c r="E4414" t="s">
        <v>14</v>
      </c>
      <c r="F4414" t="s">
        <v>32</v>
      </c>
      <c r="G4414">
        <v>2</v>
      </c>
      <c r="H4414">
        <v>14192.03</v>
      </c>
      <c r="I4414">
        <v>2647.83</v>
      </c>
      <c r="J4414" t="s">
        <v>71</v>
      </c>
      <c r="K4414" t="s">
        <v>17</v>
      </c>
      <c r="L4414">
        <f t="shared" si="204"/>
        <v>2023</v>
      </c>
      <c r="M4414" t="str">
        <f t="shared" si="205"/>
        <v>Oct</v>
      </c>
      <c r="N4414" s="2">
        <f t="shared" si="206"/>
        <v>0.18657161801377251</v>
      </c>
    </row>
    <row r="4415" spans="1:14" x14ac:dyDescent="0.45">
      <c r="A4415" t="s">
        <v>7941</v>
      </c>
      <c r="B4415" s="1">
        <v>45619</v>
      </c>
      <c r="C4415" t="s">
        <v>7942</v>
      </c>
      <c r="D4415" t="s">
        <v>26</v>
      </c>
      <c r="E4415" t="s">
        <v>20</v>
      </c>
      <c r="F4415" t="s">
        <v>21</v>
      </c>
      <c r="G4415">
        <v>3</v>
      </c>
      <c r="H4415">
        <v>32259.1</v>
      </c>
      <c r="I4415">
        <v>6510.26</v>
      </c>
      <c r="J4415" t="s">
        <v>71</v>
      </c>
      <c r="K4415" t="s">
        <v>33</v>
      </c>
      <c r="L4415">
        <f t="shared" si="204"/>
        <v>2024</v>
      </c>
      <c r="M4415" t="str">
        <f t="shared" si="205"/>
        <v>Nov</v>
      </c>
      <c r="N4415" s="2">
        <f t="shared" si="206"/>
        <v>0.20181158184822268</v>
      </c>
    </row>
    <row r="4416" spans="1:14" x14ac:dyDescent="0.45">
      <c r="A4416" t="s">
        <v>7943</v>
      </c>
      <c r="B4416" s="1">
        <v>45309</v>
      </c>
      <c r="C4416" t="s">
        <v>7944</v>
      </c>
      <c r="D4416" t="s">
        <v>26</v>
      </c>
      <c r="E4416" t="s">
        <v>20</v>
      </c>
      <c r="F4416" t="s">
        <v>43</v>
      </c>
      <c r="G4416">
        <v>2</v>
      </c>
      <c r="H4416">
        <v>45165.64</v>
      </c>
      <c r="I4416">
        <v>2710.41</v>
      </c>
      <c r="J4416" t="s">
        <v>22</v>
      </c>
      <c r="K4416" t="s">
        <v>17</v>
      </c>
      <c r="L4416">
        <f t="shared" si="204"/>
        <v>2024</v>
      </c>
      <c r="M4416" t="str">
        <f t="shared" si="205"/>
        <v>Jan</v>
      </c>
      <c r="N4416" s="2">
        <f t="shared" si="206"/>
        <v>6.001044156575662E-2</v>
      </c>
    </row>
    <row r="4417" spans="1:14" x14ac:dyDescent="0.45">
      <c r="A4417" t="s">
        <v>7945</v>
      </c>
      <c r="B4417" s="1">
        <v>45386</v>
      </c>
      <c r="C4417" t="s">
        <v>7946</v>
      </c>
      <c r="D4417" t="s">
        <v>56</v>
      </c>
      <c r="E4417" t="s">
        <v>14</v>
      </c>
      <c r="F4417" t="s">
        <v>32</v>
      </c>
      <c r="G4417">
        <v>4</v>
      </c>
      <c r="H4417">
        <v>1129.3900000000001</v>
      </c>
      <c r="I4417">
        <v>165.39</v>
      </c>
      <c r="J4417" t="s">
        <v>22</v>
      </c>
      <c r="K4417" t="s">
        <v>17</v>
      </c>
      <c r="L4417">
        <f t="shared" si="204"/>
        <v>2024</v>
      </c>
      <c r="M4417" t="str">
        <f t="shared" si="205"/>
        <v>Apr</v>
      </c>
      <c r="N4417" s="2">
        <f t="shared" si="206"/>
        <v>0.14644188455715029</v>
      </c>
    </row>
    <row r="4418" spans="1:14" x14ac:dyDescent="0.45">
      <c r="A4418" t="s">
        <v>7947</v>
      </c>
      <c r="B4418" s="1">
        <v>44577</v>
      </c>
      <c r="C4418" t="s">
        <v>7948</v>
      </c>
      <c r="D4418" t="s">
        <v>13</v>
      </c>
      <c r="E4418" t="s">
        <v>14</v>
      </c>
      <c r="F4418" t="s">
        <v>15</v>
      </c>
      <c r="G4418">
        <v>4</v>
      </c>
      <c r="H4418">
        <v>38728.86</v>
      </c>
      <c r="I4418">
        <v>6248</v>
      </c>
      <c r="J4418" t="s">
        <v>28</v>
      </c>
      <c r="K4418" t="s">
        <v>33</v>
      </c>
      <c r="L4418">
        <f t="shared" si="204"/>
        <v>2022</v>
      </c>
      <c r="M4418" t="str">
        <f t="shared" si="205"/>
        <v>Jan</v>
      </c>
      <c r="N4418" s="2">
        <f t="shared" si="206"/>
        <v>0.16132672120997107</v>
      </c>
    </row>
    <row r="4419" spans="1:14" x14ac:dyDescent="0.45">
      <c r="A4419" t="s">
        <v>7949</v>
      </c>
      <c r="B4419" s="1">
        <v>44903</v>
      </c>
      <c r="C4419" t="s">
        <v>7950</v>
      </c>
      <c r="D4419" t="s">
        <v>56</v>
      </c>
      <c r="E4419" t="s">
        <v>14</v>
      </c>
      <c r="F4419" t="s">
        <v>57</v>
      </c>
      <c r="G4419">
        <v>1</v>
      </c>
      <c r="H4419">
        <v>26347.78</v>
      </c>
      <c r="I4419">
        <v>4659.8599999999997</v>
      </c>
      <c r="J4419" t="s">
        <v>71</v>
      </c>
      <c r="K4419" t="s">
        <v>29</v>
      </c>
      <c r="L4419">
        <f t="shared" ref="L4419:L4482" si="207">YEAR(B4419 )</f>
        <v>2022</v>
      </c>
      <c r="M4419" t="str">
        <f t="shared" ref="M4419:M4482" si="208">TEXT(B4419,"MMM")</f>
        <v>Dec</v>
      </c>
      <c r="N4419" s="2">
        <f t="shared" ref="N4419:N4482" si="209">I4419 / H4419</f>
        <v>0.17685968229581392</v>
      </c>
    </row>
    <row r="4420" spans="1:14" x14ac:dyDescent="0.45">
      <c r="A4420" t="s">
        <v>7951</v>
      </c>
      <c r="B4420" s="1">
        <v>45137</v>
      </c>
      <c r="C4420" t="s">
        <v>7952</v>
      </c>
      <c r="D4420" t="s">
        <v>56</v>
      </c>
      <c r="E4420" t="s">
        <v>36</v>
      </c>
      <c r="F4420" t="s">
        <v>46</v>
      </c>
      <c r="G4420">
        <v>1</v>
      </c>
      <c r="H4420">
        <v>47574.71</v>
      </c>
      <c r="I4420">
        <v>6203.97</v>
      </c>
      <c r="J4420" t="s">
        <v>16</v>
      </c>
      <c r="K4420" t="s">
        <v>29</v>
      </c>
      <c r="L4420">
        <f t="shared" si="207"/>
        <v>2023</v>
      </c>
      <c r="M4420" t="str">
        <f t="shared" si="208"/>
        <v>Jul</v>
      </c>
      <c r="N4420" s="2">
        <f t="shared" si="209"/>
        <v>0.13040478859461258</v>
      </c>
    </row>
    <row r="4421" spans="1:14" x14ac:dyDescent="0.45">
      <c r="A4421" t="s">
        <v>7953</v>
      </c>
      <c r="B4421" s="1">
        <v>45391</v>
      </c>
      <c r="C4421" t="s">
        <v>7954</v>
      </c>
      <c r="D4421" t="s">
        <v>56</v>
      </c>
      <c r="E4421" t="s">
        <v>20</v>
      </c>
      <c r="F4421" t="s">
        <v>50</v>
      </c>
      <c r="G4421">
        <v>1</v>
      </c>
      <c r="H4421">
        <v>46150.3</v>
      </c>
      <c r="I4421">
        <v>6292.95</v>
      </c>
      <c r="J4421" t="s">
        <v>47</v>
      </c>
      <c r="K4421" t="s">
        <v>17</v>
      </c>
      <c r="L4421">
        <f t="shared" si="207"/>
        <v>2024</v>
      </c>
      <c r="M4421" t="str">
        <f t="shared" si="208"/>
        <v>Apr</v>
      </c>
      <c r="N4421" s="2">
        <f t="shared" si="209"/>
        <v>0.13635772681867722</v>
      </c>
    </row>
    <row r="4422" spans="1:14" x14ac:dyDescent="0.45">
      <c r="A4422" t="s">
        <v>7955</v>
      </c>
      <c r="B4422" s="1">
        <v>45226</v>
      </c>
      <c r="C4422" t="s">
        <v>7956</v>
      </c>
      <c r="D4422" t="s">
        <v>26</v>
      </c>
      <c r="E4422" t="s">
        <v>14</v>
      </c>
      <c r="F4422" t="s">
        <v>57</v>
      </c>
      <c r="G4422">
        <v>3</v>
      </c>
      <c r="H4422">
        <v>21351.97</v>
      </c>
      <c r="I4422">
        <v>2146.06</v>
      </c>
      <c r="J4422" t="s">
        <v>71</v>
      </c>
      <c r="K4422" t="s">
        <v>29</v>
      </c>
      <c r="L4422">
        <f t="shared" si="207"/>
        <v>2023</v>
      </c>
      <c r="M4422" t="str">
        <f t="shared" si="208"/>
        <v>Oct</v>
      </c>
      <c r="N4422" s="2">
        <f t="shared" si="209"/>
        <v>0.10050875867659985</v>
      </c>
    </row>
    <row r="4423" spans="1:14" x14ac:dyDescent="0.45">
      <c r="A4423" t="s">
        <v>7957</v>
      </c>
      <c r="B4423" s="1">
        <v>44603</v>
      </c>
      <c r="C4423" t="s">
        <v>7958</v>
      </c>
      <c r="D4423" t="s">
        <v>56</v>
      </c>
      <c r="E4423" t="s">
        <v>36</v>
      </c>
      <c r="F4423" t="s">
        <v>64</v>
      </c>
      <c r="G4423">
        <v>4</v>
      </c>
      <c r="H4423">
        <v>8777.1200000000008</v>
      </c>
      <c r="I4423">
        <v>739.94</v>
      </c>
      <c r="J4423" t="s">
        <v>71</v>
      </c>
      <c r="K4423" t="s">
        <v>29</v>
      </c>
      <c r="L4423">
        <f t="shared" si="207"/>
        <v>2022</v>
      </c>
      <c r="M4423" t="str">
        <f t="shared" si="208"/>
        <v>Feb</v>
      </c>
      <c r="N4423" s="2">
        <f t="shared" si="209"/>
        <v>8.4303279435623532E-2</v>
      </c>
    </row>
    <row r="4424" spans="1:14" x14ac:dyDescent="0.45">
      <c r="A4424" t="s">
        <v>7959</v>
      </c>
      <c r="B4424" s="1">
        <v>45425</v>
      </c>
      <c r="C4424" t="s">
        <v>3296</v>
      </c>
      <c r="D4424" t="s">
        <v>13</v>
      </c>
      <c r="E4424" t="s">
        <v>14</v>
      </c>
      <c r="F4424" t="s">
        <v>32</v>
      </c>
      <c r="G4424">
        <v>5</v>
      </c>
      <c r="H4424">
        <v>11844.56</v>
      </c>
      <c r="I4424">
        <v>2068.56</v>
      </c>
      <c r="J4424" t="s">
        <v>16</v>
      </c>
      <c r="K4424" t="s">
        <v>17</v>
      </c>
      <c r="L4424">
        <f t="shared" si="207"/>
        <v>2024</v>
      </c>
      <c r="M4424" t="str">
        <f t="shared" si="208"/>
        <v>May</v>
      </c>
      <c r="N4424" s="2">
        <f t="shared" si="209"/>
        <v>0.17464219861269648</v>
      </c>
    </row>
    <row r="4425" spans="1:14" x14ac:dyDescent="0.45">
      <c r="A4425" t="s">
        <v>7960</v>
      </c>
      <c r="B4425" s="1">
        <v>45350</v>
      </c>
      <c r="C4425" t="s">
        <v>3530</v>
      </c>
      <c r="D4425" t="s">
        <v>56</v>
      </c>
      <c r="E4425" t="s">
        <v>20</v>
      </c>
      <c r="F4425" t="s">
        <v>27</v>
      </c>
      <c r="G4425">
        <v>1</v>
      </c>
      <c r="H4425">
        <v>26425.68</v>
      </c>
      <c r="I4425">
        <v>2292.29</v>
      </c>
      <c r="J4425" t="s">
        <v>47</v>
      </c>
      <c r="K4425" t="s">
        <v>33</v>
      </c>
      <c r="L4425">
        <f t="shared" si="207"/>
        <v>2024</v>
      </c>
      <c r="M4425" t="str">
        <f t="shared" si="208"/>
        <v>Feb</v>
      </c>
      <c r="N4425" s="2">
        <f t="shared" si="209"/>
        <v>8.67447876459565E-2</v>
      </c>
    </row>
    <row r="4426" spans="1:14" x14ac:dyDescent="0.45">
      <c r="A4426" t="s">
        <v>7961</v>
      </c>
      <c r="B4426" s="1">
        <v>44566</v>
      </c>
      <c r="C4426" t="s">
        <v>7962</v>
      </c>
      <c r="D4426" t="s">
        <v>56</v>
      </c>
      <c r="E4426" t="s">
        <v>36</v>
      </c>
      <c r="F4426" t="s">
        <v>64</v>
      </c>
      <c r="G4426">
        <v>5</v>
      </c>
      <c r="H4426">
        <v>14603.93</v>
      </c>
      <c r="I4426">
        <v>2705.55</v>
      </c>
      <c r="J4426" t="s">
        <v>28</v>
      </c>
      <c r="K4426" t="s">
        <v>33</v>
      </c>
      <c r="L4426">
        <f t="shared" si="207"/>
        <v>2022</v>
      </c>
      <c r="M4426" t="str">
        <f t="shared" si="208"/>
        <v>Jan</v>
      </c>
      <c r="N4426" s="2">
        <f t="shared" si="209"/>
        <v>0.18526177542620378</v>
      </c>
    </row>
    <row r="4427" spans="1:14" x14ac:dyDescent="0.45">
      <c r="A4427" t="s">
        <v>7963</v>
      </c>
      <c r="B4427" s="1">
        <v>45066</v>
      </c>
      <c r="C4427" t="s">
        <v>1784</v>
      </c>
      <c r="D4427" t="s">
        <v>56</v>
      </c>
      <c r="E4427" t="s">
        <v>20</v>
      </c>
      <c r="F4427" t="s">
        <v>43</v>
      </c>
      <c r="G4427">
        <v>3</v>
      </c>
      <c r="H4427">
        <v>18265.14</v>
      </c>
      <c r="I4427">
        <v>1676.52</v>
      </c>
      <c r="J4427" t="s">
        <v>71</v>
      </c>
      <c r="K4427" t="s">
        <v>23</v>
      </c>
      <c r="L4427">
        <f t="shared" si="207"/>
        <v>2023</v>
      </c>
      <c r="M4427" t="str">
        <f t="shared" si="208"/>
        <v>May</v>
      </c>
      <c r="N4427" s="2">
        <f t="shared" si="209"/>
        <v>9.178796330058242E-2</v>
      </c>
    </row>
    <row r="4428" spans="1:14" x14ac:dyDescent="0.45">
      <c r="A4428" t="s">
        <v>7964</v>
      </c>
      <c r="B4428" s="1">
        <v>45504</v>
      </c>
      <c r="C4428" t="s">
        <v>7965</v>
      </c>
      <c r="D4428" t="s">
        <v>13</v>
      </c>
      <c r="E4428" t="s">
        <v>20</v>
      </c>
      <c r="F4428" t="s">
        <v>21</v>
      </c>
      <c r="G4428">
        <v>2</v>
      </c>
      <c r="H4428">
        <v>23259.65</v>
      </c>
      <c r="I4428">
        <v>1714.41</v>
      </c>
      <c r="J4428" t="s">
        <v>71</v>
      </c>
      <c r="K4428" t="s">
        <v>17</v>
      </c>
      <c r="L4428">
        <f t="shared" si="207"/>
        <v>2024</v>
      </c>
      <c r="M4428" t="str">
        <f t="shared" si="208"/>
        <v>Jul</v>
      </c>
      <c r="N4428" s="2">
        <f t="shared" si="209"/>
        <v>7.3707471952501435E-2</v>
      </c>
    </row>
    <row r="4429" spans="1:14" x14ac:dyDescent="0.45">
      <c r="A4429" t="s">
        <v>7966</v>
      </c>
      <c r="B4429" s="1">
        <v>44989</v>
      </c>
      <c r="C4429" t="s">
        <v>716</v>
      </c>
      <c r="D4429" t="s">
        <v>26</v>
      </c>
      <c r="E4429" t="s">
        <v>36</v>
      </c>
      <c r="F4429" t="s">
        <v>37</v>
      </c>
      <c r="G4429">
        <v>5</v>
      </c>
      <c r="H4429">
        <v>6181.08</v>
      </c>
      <c r="I4429">
        <v>696.48</v>
      </c>
      <c r="J4429" t="s">
        <v>47</v>
      </c>
      <c r="K4429" t="s">
        <v>23</v>
      </c>
      <c r="L4429">
        <f t="shared" si="207"/>
        <v>2023</v>
      </c>
      <c r="M4429" t="str">
        <f t="shared" si="208"/>
        <v>Mar</v>
      </c>
      <c r="N4429" s="2">
        <f t="shared" si="209"/>
        <v>0.11267933759148888</v>
      </c>
    </row>
    <row r="4430" spans="1:14" x14ac:dyDescent="0.45">
      <c r="A4430" t="s">
        <v>7967</v>
      </c>
      <c r="B4430" s="1">
        <v>45599</v>
      </c>
      <c r="C4430" t="s">
        <v>4026</v>
      </c>
      <c r="D4430" t="s">
        <v>26</v>
      </c>
      <c r="E4430" t="s">
        <v>20</v>
      </c>
      <c r="F4430" t="s">
        <v>50</v>
      </c>
      <c r="G4430">
        <v>2</v>
      </c>
      <c r="H4430">
        <v>33010.67</v>
      </c>
      <c r="I4430">
        <v>4046.63</v>
      </c>
      <c r="J4430" t="s">
        <v>16</v>
      </c>
      <c r="K4430" t="s">
        <v>29</v>
      </c>
      <c r="L4430">
        <f t="shared" si="207"/>
        <v>2024</v>
      </c>
      <c r="M4430" t="str">
        <f t="shared" si="208"/>
        <v>Nov</v>
      </c>
      <c r="N4430" s="2">
        <f t="shared" si="209"/>
        <v>0.12258551553179624</v>
      </c>
    </row>
    <row r="4431" spans="1:14" x14ac:dyDescent="0.45">
      <c r="A4431" t="s">
        <v>7968</v>
      </c>
      <c r="B4431" s="1">
        <v>44812</v>
      </c>
      <c r="C4431" t="s">
        <v>7969</v>
      </c>
      <c r="D4431" t="s">
        <v>26</v>
      </c>
      <c r="E4431" t="s">
        <v>14</v>
      </c>
      <c r="F4431" t="s">
        <v>57</v>
      </c>
      <c r="G4431">
        <v>4</v>
      </c>
      <c r="H4431">
        <v>33434.89</v>
      </c>
      <c r="I4431">
        <v>3134.57</v>
      </c>
      <c r="J4431" t="s">
        <v>22</v>
      </c>
      <c r="K4431" t="s">
        <v>29</v>
      </c>
      <c r="L4431">
        <f t="shared" si="207"/>
        <v>2022</v>
      </c>
      <c r="M4431" t="str">
        <f t="shared" si="208"/>
        <v>Sep</v>
      </c>
      <c r="N4431" s="2">
        <f t="shared" si="209"/>
        <v>9.375146740425945E-2</v>
      </c>
    </row>
    <row r="4432" spans="1:14" x14ac:dyDescent="0.45">
      <c r="A4432" t="s">
        <v>7970</v>
      </c>
      <c r="B4432" s="1">
        <v>45221</v>
      </c>
      <c r="C4432" t="s">
        <v>7971</v>
      </c>
      <c r="D4432" t="s">
        <v>56</v>
      </c>
      <c r="E4432" t="s">
        <v>20</v>
      </c>
      <c r="F4432" t="s">
        <v>27</v>
      </c>
      <c r="G4432">
        <v>3</v>
      </c>
      <c r="H4432">
        <v>9696.2199999999993</v>
      </c>
      <c r="I4432">
        <v>485.01</v>
      </c>
      <c r="J4432" t="s">
        <v>47</v>
      </c>
      <c r="K4432" t="s">
        <v>29</v>
      </c>
      <c r="L4432">
        <f t="shared" si="207"/>
        <v>2023</v>
      </c>
      <c r="M4432" t="str">
        <f t="shared" si="208"/>
        <v>Oct</v>
      </c>
      <c r="N4432" s="2">
        <f t="shared" si="209"/>
        <v>5.0020523461720139E-2</v>
      </c>
    </row>
    <row r="4433" spans="1:14" x14ac:dyDescent="0.45">
      <c r="A4433" t="s">
        <v>7972</v>
      </c>
      <c r="B4433" s="1">
        <v>44647</v>
      </c>
      <c r="C4433" t="s">
        <v>7973</v>
      </c>
      <c r="D4433" t="s">
        <v>13</v>
      </c>
      <c r="E4433" t="s">
        <v>36</v>
      </c>
      <c r="F4433" t="s">
        <v>46</v>
      </c>
      <c r="G4433">
        <v>4</v>
      </c>
      <c r="H4433">
        <v>5606.07</v>
      </c>
      <c r="I4433">
        <v>1271.8599999999999</v>
      </c>
      <c r="J4433" t="s">
        <v>28</v>
      </c>
      <c r="K4433" t="s">
        <v>17</v>
      </c>
      <c r="L4433">
        <f t="shared" si="207"/>
        <v>2022</v>
      </c>
      <c r="M4433" t="str">
        <f t="shared" si="208"/>
        <v>Mar</v>
      </c>
      <c r="N4433" s="2">
        <f t="shared" si="209"/>
        <v>0.226871944160526</v>
      </c>
    </row>
    <row r="4434" spans="1:14" x14ac:dyDescent="0.45">
      <c r="A4434" t="s">
        <v>7974</v>
      </c>
      <c r="B4434" s="1">
        <v>45424</v>
      </c>
      <c r="C4434" t="s">
        <v>7975</v>
      </c>
      <c r="D4434" t="s">
        <v>26</v>
      </c>
      <c r="E4434" t="s">
        <v>14</v>
      </c>
      <c r="F4434" t="s">
        <v>57</v>
      </c>
      <c r="G4434">
        <v>3</v>
      </c>
      <c r="H4434">
        <v>18911.97</v>
      </c>
      <c r="I4434">
        <v>1169.94</v>
      </c>
      <c r="J4434" t="s">
        <v>47</v>
      </c>
      <c r="K4434" t="s">
        <v>23</v>
      </c>
      <c r="L4434">
        <f t="shared" si="207"/>
        <v>2024</v>
      </c>
      <c r="M4434" t="str">
        <f t="shared" si="208"/>
        <v>May</v>
      </c>
      <c r="N4434" s="2">
        <f t="shared" si="209"/>
        <v>6.1862407776662083E-2</v>
      </c>
    </row>
    <row r="4435" spans="1:14" x14ac:dyDescent="0.45">
      <c r="A4435" t="s">
        <v>7976</v>
      </c>
      <c r="B4435" s="1">
        <v>44992</v>
      </c>
      <c r="C4435" t="s">
        <v>7977</v>
      </c>
      <c r="D4435" t="s">
        <v>13</v>
      </c>
      <c r="E4435" t="s">
        <v>36</v>
      </c>
      <c r="F4435" t="s">
        <v>53</v>
      </c>
      <c r="G4435">
        <v>1</v>
      </c>
      <c r="H4435">
        <v>33318.5</v>
      </c>
      <c r="I4435">
        <v>3086.32</v>
      </c>
      <c r="J4435" t="s">
        <v>47</v>
      </c>
      <c r="K4435" t="s">
        <v>23</v>
      </c>
      <c r="L4435">
        <f t="shared" si="207"/>
        <v>2023</v>
      </c>
      <c r="M4435" t="str">
        <f t="shared" si="208"/>
        <v>Mar</v>
      </c>
      <c r="N4435" s="2">
        <f t="shared" si="209"/>
        <v>9.2630820715218276E-2</v>
      </c>
    </row>
    <row r="4436" spans="1:14" x14ac:dyDescent="0.45">
      <c r="A4436" t="s">
        <v>7978</v>
      </c>
      <c r="B4436" s="1">
        <v>45044</v>
      </c>
      <c r="C4436" t="s">
        <v>7979</v>
      </c>
      <c r="D4436" t="s">
        <v>26</v>
      </c>
      <c r="E4436" t="s">
        <v>14</v>
      </c>
      <c r="F4436" t="s">
        <v>40</v>
      </c>
      <c r="G4436">
        <v>2</v>
      </c>
      <c r="H4436">
        <v>44250.51</v>
      </c>
      <c r="I4436">
        <v>3581.51</v>
      </c>
      <c r="J4436" t="s">
        <v>16</v>
      </c>
      <c r="K4436" t="s">
        <v>17</v>
      </c>
      <c r="L4436">
        <f t="shared" si="207"/>
        <v>2023</v>
      </c>
      <c r="M4436" t="str">
        <f t="shared" si="208"/>
        <v>Apr</v>
      </c>
      <c r="N4436" s="2">
        <f t="shared" si="209"/>
        <v>8.093714626113914E-2</v>
      </c>
    </row>
    <row r="4437" spans="1:14" x14ac:dyDescent="0.45">
      <c r="A4437" t="s">
        <v>7980</v>
      </c>
      <c r="B4437" s="1">
        <v>44820</v>
      </c>
      <c r="C4437" t="s">
        <v>3794</v>
      </c>
      <c r="D4437" t="s">
        <v>13</v>
      </c>
      <c r="E4437" t="s">
        <v>14</v>
      </c>
      <c r="F4437" t="s">
        <v>15</v>
      </c>
      <c r="G4437">
        <v>5</v>
      </c>
      <c r="H4437">
        <v>3543</v>
      </c>
      <c r="I4437">
        <v>407.07</v>
      </c>
      <c r="J4437" t="s">
        <v>22</v>
      </c>
      <c r="K4437" t="s">
        <v>33</v>
      </c>
      <c r="L4437">
        <f t="shared" si="207"/>
        <v>2022</v>
      </c>
      <c r="M4437" t="str">
        <f t="shared" si="208"/>
        <v>Sep</v>
      </c>
      <c r="N4437" s="2">
        <f t="shared" si="209"/>
        <v>0.11489415749364945</v>
      </c>
    </row>
    <row r="4438" spans="1:14" x14ac:dyDescent="0.45">
      <c r="A4438" t="s">
        <v>7981</v>
      </c>
      <c r="B4438" s="1">
        <v>44730</v>
      </c>
      <c r="C4438" t="s">
        <v>7982</v>
      </c>
      <c r="D4438" t="s">
        <v>26</v>
      </c>
      <c r="E4438" t="s">
        <v>36</v>
      </c>
      <c r="F4438" t="s">
        <v>53</v>
      </c>
      <c r="G4438">
        <v>3</v>
      </c>
      <c r="H4438">
        <v>9628.18</v>
      </c>
      <c r="I4438">
        <v>2076.08</v>
      </c>
      <c r="J4438" t="s">
        <v>47</v>
      </c>
      <c r="K4438" t="s">
        <v>33</v>
      </c>
      <c r="L4438">
        <f t="shared" si="207"/>
        <v>2022</v>
      </c>
      <c r="M4438" t="str">
        <f t="shared" si="208"/>
        <v>Jun</v>
      </c>
      <c r="N4438" s="2">
        <f t="shared" si="209"/>
        <v>0.21562538299034706</v>
      </c>
    </row>
    <row r="4439" spans="1:14" x14ac:dyDescent="0.45">
      <c r="A4439" t="s">
        <v>7983</v>
      </c>
      <c r="B4439" s="1">
        <v>44732</v>
      </c>
      <c r="C4439" t="s">
        <v>2614</v>
      </c>
      <c r="D4439" t="s">
        <v>26</v>
      </c>
      <c r="E4439" t="s">
        <v>14</v>
      </c>
      <c r="F4439" t="s">
        <v>40</v>
      </c>
      <c r="G4439">
        <v>5</v>
      </c>
      <c r="H4439">
        <v>13324.03</v>
      </c>
      <c r="I4439">
        <v>2799.58</v>
      </c>
      <c r="J4439" t="s">
        <v>28</v>
      </c>
      <c r="K4439" t="s">
        <v>17</v>
      </c>
      <c r="L4439">
        <f t="shared" si="207"/>
        <v>2022</v>
      </c>
      <c r="M4439" t="str">
        <f t="shared" si="208"/>
        <v>Jun</v>
      </c>
      <c r="N4439" s="2">
        <f t="shared" si="209"/>
        <v>0.21011510781647894</v>
      </c>
    </row>
    <row r="4440" spans="1:14" x14ac:dyDescent="0.45">
      <c r="A4440" t="s">
        <v>7984</v>
      </c>
      <c r="B4440" s="1">
        <v>45229</v>
      </c>
      <c r="C4440" t="s">
        <v>5879</v>
      </c>
      <c r="D4440" t="s">
        <v>26</v>
      </c>
      <c r="E4440" t="s">
        <v>14</v>
      </c>
      <c r="F4440" t="s">
        <v>57</v>
      </c>
      <c r="G4440">
        <v>5</v>
      </c>
      <c r="H4440">
        <v>4847.6499999999996</v>
      </c>
      <c r="I4440">
        <v>395.25</v>
      </c>
      <c r="J4440" t="s">
        <v>22</v>
      </c>
      <c r="K4440" t="s">
        <v>29</v>
      </c>
      <c r="L4440">
        <f t="shared" si="207"/>
        <v>2023</v>
      </c>
      <c r="M4440" t="str">
        <f t="shared" si="208"/>
        <v>Oct</v>
      </c>
      <c r="N4440" s="2">
        <f t="shared" si="209"/>
        <v>8.1534351696182686E-2</v>
      </c>
    </row>
    <row r="4441" spans="1:14" x14ac:dyDescent="0.45">
      <c r="A4441" t="s">
        <v>7985</v>
      </c>
      <c r="B4441" s="1">
        <v>45648</v>
      </c>
      <c r="C4441" t="s">
        <v>7986</v>
      </c>
      <c r="D4441" t="s">
        <v>56</v>
      </c>
      <c r="E4441" t="s">
        <v>36</v>
      </c>
      <c r="F4441" t="s">
        <v>64</v>
      </c>
      <c r="G4441">
        <v>4</v>
      </c>
      <c r="H4441">
        <v>39747.519999999997</v>
      </c>
      <c r="I4441">
        <v>6435.32</v>
      </c>
      <c r="J4441" t="s">
        <v>22</v>
      </c>
      <c r="K4441" t="s">
        <v>33</v>
      </c>
      <c r="L4441">
        <f t="shared" si="207"/>
        <v>2024</v>
      </c>
      <c r="M4441" t="str">
        <f t="shared" si="208"/>
        <v>Dec</v>
      </c>
      <c r="N4441" s="2">
        <f t="shared" si="209"/>
        <v>0.16190494400656946</v>
      </c>
    </row>
    <row r="4442" spans="1:14" x14ac:dyDescent="0.45">
      <c r="A4442" t="s">
        <v>7987</v>
      </c>
      <c r="B4442" s="1">
        <v>45537</v>
      </c>
      <c r="C4442" t="s">
        <v>7988</v>
      </c>
      <c r="D4442" t="s">
        <v>26</v>
      </c>
      <c r="E4442" t="s">
        <v>14</v>
      </c>
      <c r="F4442" t="s">
        <v>32</v>
      </c>
      <c r="G4442">
        <v>2</v>
      </c>
      <c r="H4442">
        <v>7032.81</v>
      </c>
      <c r="I4442">
        <v>1584.11</v>
      </c>
      <c r="J4442" t="s">
        <v>22</v>
      </c>
      <c r="K4442" t="s">
        <v>23</v>
      </c>
      <c r="L4442">
        <f t="shared" si="207"/>
        <v>2024</v>
      </c>
      <c r="M4442" t="str">
        <f t="shared" si="208"/>
        <v>Sep</v>
      </c>
      <c r="N4442" s="2">
        <f t="shared" si="209"/>
        <v>0.22524566993847406</v>
      </c>
    </row>
    <row r="4443" spans="1:14" x14ac:dyDescent="0.45">
      <c r="A4443" t="s">
        <v>7989</v>
      </c>
      <c r="B4443" s="1">
        <v>45413</v>
      </c>
      <c r="C4443" t="s">
        <v>1358</v>
      </c>
      <c r="D4443" t="s">
        <v>26</v>
      </c>
      <c r="E4443" t="s">
        <v>14</v>
      </c>
      <c r="F4443" t="s">
        <v>57</v>
      </c>
      <c r="G4443">
        <v>5</v>
      </c>
      <c r="H4443">
        <v>30886.7</v>
      </c>
      <c r="I4443">
        <v>3875.18</v>
      </c>
      <c r="J4443" t="s">
        <v>28</v>
      </c>
      <c r="K4443" t="s">
        <v>23</v>
      </c>
      <c r="L4443">
        <f t="shared" si="207"/>
        <v>2024</v>
      </c>
      <c r="M4443" t="str">
        <f t="shared" si="208"/>
        <v>May</v>
      </c>
      <c r="N4443" s="2">
        <f t="shared" si="209"/>
        <v>0.12546435844554452</v>
      </c>
    </row>
    <row r="4444" spans="1:14" x14ac:dyDescent="0.45">
      <c r="A4444" t="s">
        <v>7990</v>
      </c>
      <c r="B4444" s="1">
        <v>45191</v>
      </c>
      <c r="C4444" t="s">
        <v>7991</v>
      </c>
      <c r="D4444" t="s">
        <v>26</v>
      </c>
      <c r="E4444" t="s">
        <v>20</v>
      </c>
      <c r="F4444" t="s">
        <v>50</v>
      </c>
      <c r="G4444">
        <v>4</v>
      </c>
      <c r="H4444">
        <v>13284.11</v>
      </c>
      <c r="I4444">
        <v>3080.29</v>
      </c>
      <c r="J4444" t="s">
        <v>28</v>
      </c>
      <c r="K4444" t="s">
        <v>29</v>
      </c>
      <c r="L4444">
        <f t="shared" si="207"/>
        <v>2023</v>
      </c>
      <c r="M4444" t="str">
        <f t="shared" si="208"/>
        <v>Sep</v>
      </c>
      <c r="N4444" s="2">
        <f t="shared" si="209"/>
        <v>0.23187778481207999</v>
      </c>
    </row>
    <row r="4445" spans="1:14" x14ac:dyDescent="0.45">
      <c r="A4445" t="s">
        <v>7992</v>
      </c>
      <c r="B4445" s="1">
        <v>44819</v>
      </c>
      <c r="C4445" t="s">
        <v>7993</v>
      </c>
      <c r="D4445" t="s">
        <v>13</v>
      </c>
      <c r="E4445" t="s">
        <v>20</v>
      </c>
      <c r="F4445" t="s">
        <v>27</v>
      </c>
      <c r="G4445">
        <v>4</v>
      </c>
      <c r="H4445">
        <v>15288.86</v>
      </c>
      <c r="I4445">
        <v>1485.7</v>
      </c>
      <c r="J4445" t="s">
        <v>16</v>
      </c>
      <c r="K4445" t="s">
        <v>17</v>
      </c>
      <c r="L4445">
        <f t="shared" si="207"/>
        <v>2022</v>
      </c>
      <c r="M4445" t="str">
        <f t="shared" si="208"/>
        <v>Sep</v>
      </c>
      <c r="N4445" s="2">
        <f t="shared" si="209"/>
        <v>9.7175328965011132E-2</v>
      </c>
    </row>
    <row r="4446" spans="1:14" x14ac:dyDescent="0.45">
      <c r="A4446" t="s">
        <v>7994</v>
      </c>
      <c r="B4446" s="1">
        <v>45287</v>
      </c>
      <c r="C4446" t="s">
        <v>7995</v>
      </c>
      <c r="D4446" t="s">
        <v>56</v>
      </c>
      <c r="E4446" t="s">
        <v>36</v>
      </c>
      <c r="F4446" t="s">
        <v>53</v>
      </c>
      <c r="G4446">
        <v>5</v>
      </c>
      <c r="H4446">
        <v>20765.88</v>
      </c>
      <c r="I4446">
        <v>3911.13</v>
      </c>
      <c r="J4446" t="s">
        <v>71</v>
      </c>
      <c r="K4446" t="s">
        <v>17</v>
      </c>
      <c r="L4446">
        <f t="shared" si="207"/>
        <v>2023</v>
      </c>
      <c r="M4446" t="str">
        <f t="shared" si="208"/>
        <v>Dec</v>
      </c>
      <c r="N4446" s="2">
        <f t="shared" si="209"/>
        <v>0.18834405284052494</v>
      </c>
    </row>
    <row r="4447" spans="1:14" x14ac:dyDescent="0.45">
      <c r="A4447" t="s">
        <v>7996</v>
      </c>
      <c r="B4447" s="1">
        <v>44800</v>
      </c>
      <c r="C4447" t="s">
        <v>6806</v>
      </c>
      <c r="D4447" t="s">
        <v>56</v>
      </c>
      <c r="E4447" t="s">
        <v>14</v>
      </c>
      <c r="F4447" t="s">
        <v>57</v>
      </c>
      <c r="G4447">
        <v>3</v>
      </c>
      <c r="H4447">
        <v>28016.49</v>
      </c>
      <c r="I4447">
        <v>5736.01</v>
      </c>
      <c r="J4447" t="s">
        <v>47</v>
      </c>
      <c r="K4447" t="s">
        <v>29</v>
      </c>
      <c r="L4447">
        <f t="shared" si="207"/>
        <v>2022</v>
      </c>
      <c r="M4447" t="str">
        <f t="shared" si="208"/>
        <v>Aug</v>
      </c>
      <c r="N4447" s="2">
        <f t="shared" si="209"/>
        <v>0.20473692457549109</v>
      </c>
    </row>
    <row r="4448" spans="1:14" x14ac:dyDescent="0.45">
      <c r="A4448" t="s">
        <v>7997</v>
      </c>
      <c r="B4448" s="1">
        <v>44903</v>
      </c>
      <c r="C4448" t="s">
        <v>881</v>
      </c>
      <c r="D4448" t="s">
        <v>26</v>
      </c>
      <c r="E4448" t="s">
        <v>14</v>
      </c>
      <c r="F4448" t="s">
        <v>32</v>
      </c>
      <c r="G4448">
        <v>4</v>
      </c>
      <c r="H4448">
        <v>5518.43</v>
      </c>
      <c r="I4448">
        <v>346.39</v>
      </c>
      <c r="J4448" t="s">
        <v>71</v>
      </c>
      <c r="K4448" t="s">
        <v>23</v>
      </c>
      <c r="L4448">
        <f t="shared" si="207"/>
        <v>2022</v>
      </c>
      <c r="M4448" t="str">
        <f t="shared" si="208"/>
        <v>Dec</v>
      </c>
      <c r="N4448" s="2">
        <f t="shared" si="209"/>
        <v>6.2769664560391264E-2</v>
      </c>
    </row>
    <row r="4449" spans="1:14" x14ac:dyDescent="0.45">
      <c r="A4449" t="s">
        <v>7998</v>
      </c>
      <c r="B4449" s="1">
        <v>44938</v>
      </c>
      <c r="C4449" t="s">
        <v>7999</v>
      </c>
      <c r="D4449" t="s">
        <v>26</v>
      </c>
      <c r="E4449" t="s">
        <v>20</v>
      </c>
      <c r="F4449" t="s">
        <v>50</v>
      </c>
      <c r="G4449">
        <v>3</v>
      </c>
      <c r="H4449">
        <v>38455.31</v>
      </c>
      <c r="I4449">
        <v>6121.16</v>
      </c>
      <c r="J4449" t="s">
        <v>28</v>
      </c>
      <c r="K4449" t="s">
        <v>33</v>
      </c>
      <c r="L4449">
        <f t="shared" si="207"/>
        <v>2023</v>
      </c>
      <c r="M4449" t="str">
        <f t="shared" si="208"/>
        <v>Jan</v>
      </c>
      <c r="N4449" s="2">
        <f t="shared" si="209"/>
        <v>0.15917593695122989</v>
      </c>
    </row>
    <row r="4450" spans="1:14" x14ac:dyDescent="0.45">
      <c r="A4450" t="s">
        <v>8000</v>
      </c>
      <c r="B4450" s="1">
        <v>45622</v>
      </c>
      <c r="C4450" t="s">
        <v>4737</v>
      </c>
      <c r="D4450" t="s">
        <v>13</v>
      </c>
      <c r="E4450" t="s">
        <v>36</v>
      </c>
      <c r="F4450" t="s">
        <v>64</v>
      </c>
      <c r="G4450">
        <v>2</v>
      </c>
      <c r="H4450">
        <v>18750.84</v>
      </c>
      <c r="I4450">
        <v>2627.93</v>
      </c>
      <c r="J4450" t="s">
        <v>16</v>
      </c>
      <c r="K4450" t="s">
        <v>29</v>
      </c>
      <c r="L4450">
        <f t="shared" si="207"/>
        <v>2024</v>
      </c>
      <c r="M4450" t="str">
        <f t="shared" si="208"/>
        <v>Nov</v>
      </c>
      <c r="N4450" s="2">
        <f t="shared" si="209"/>
        <v>0.14014998794720662</v>
      </c>
    </row>
    <row r="4451" spans="1:14" x14ac:dyDescent="0.45">
      <c r="A4451" t="s">
        <v>8001</v>
      </c>
      <c r="B4451" s="1">
        <v>45515</v>
      </c>
      <c r="C4451" t="s">
        <v>8002</v>
      </c>
      <c r="D4451" t="s">
        <v>13</v>
      </c>
      <c r="E4451" t="s">
        <v>14</v>
      </c>
      <c r="F4451" t="s">
        <v>40</v>
      </c>
      <c r="G4451">
        <v>3</v>
      </c>
      <c r="H4451">
        <v>25174.97</v>
      </c>
      <c r="I4451">
        <v>5397.65</v>
      </c>
      <c r="J4451" t="s">
        <v>71</v>
      </c>
      <c r="K4451" t="s">
        <v>23</v>
      </c>
      <c r="L4451">
        <f t="shared" si="207"/>
        <v>2024</v>
      </c>
      <c r="M4451" t="str">
        <f t="shared" si="208"/>
        <v>Aug</v>
      </c>
      <c r="N4451" s="2">
        <f t="shared" si="209"/>
        <v>0.21440541935104587</v>
      </c>
    </row>
    <row r="4452" spans="1:14" x14ac:dyDescent="0.45">
      <c r="A4452" t="s">
        <v>8003</v>
      </c>
      <c r="B4452" s="1">
        <v>44663</v>
      </c>
      <c r="C4452" t="s">
        <v>8004</v>
      </c>
      <c r="D4452" t="s">
        <v>56</v>
      </c>
      <c r="E4452" t="s">
        <v>36</v>
      </c>
      <c r="F4452" t="s">
        <v>46</v>
      </c>
      <c r="G4452">
        <v>5</v>
      </c>
      <c r="H4452">
        <v>4147.99</v>
      </c>
      <c r="I4452">
        <v>441.4</v>
      </c>
      <c r="J4452" t="s">
        <v>22</v>
      </c>
      <c r="K4452" t="s">
        <v>23</v>
      </c>
      <c r="L4452">
        <f t="shared" si="207"/>
        <v>2022</v>
      </c>
      <c r="M4452" t="str">
        <f t="shared" si="208"/>
        <v>Apr</v>
      </c>
      <c r="N4452" s="2">
        <f t="shared" si="209"/>
        <v>0.10641298556650329</v>
      </c>
    </row>
    <row r="4453" spans="1:14" x14ac:dyDescent="0.45">
      <c r="A4453" t="s">
        <v>8005</v>
      </c>
      <c r="B4453" s="1">
        <v>45048</v>
      </c>
      <c r="C4453" t="s">
        <v>8006</v>
      </c>
      <c r="D4453" t="s">
        <v>56</v>
      </c>
      <c r="E4453" t="s">
        <v>20</v>
      </c>
      <c r="F4453" t="s">
        <v>21</v>
      </c>
      <c r="G4453">
        <v>3</v>
      </c>
      <c r="H4453">
        <v>43014.98</v>
      </c>
      <c r="I4453">
        <v>9814.9599999999991</v>
      </c>
      <c r="J4453" t="s">
        <v>16</v>
      </c>
      <c r="K4453" t="s">
        <v>23</v>
      </c>
      <c r="L4453">
        <f t="shared" si="207"/>
        <v>2023</v>
      </c>
      <c r="M4453" t="str">
        <f t="shared" si="208"/>
        <v>May</v>
      </c>
      <c r="N4453" s="2">
        <f t="shared" si="209"/>
        <v>0.22817539378142215</v>
      </c>
    </row>
    <row r="4454" spans="1:14" x14ac:dyDescent="0.45">
      <c r="A4454" t="s">
        <v>8007</v>
      </c>
      <c r="B4454" s="1">
        <v>44579</v>
      </c>
      <c r="C4454" t="s">
        <v>8008</v>
      </c>
      <c r="D4454" t="s">
        <v>56</v>
      </c>
      <c r="E4454" t="s">
        <v>20</v>
      </c>
      <c r="F4454" t="s">
        <v>27</v>
      </c>
      <c r="G4454">
        <v>1</v>
      </c>
      <c r="H4454">
        <v>16629.32</v>
      </c>
      <c r="I4454">
        <v>3475.94</v>
      </c>
      <c r="J4454" t="s">
        <v>71</v>
      </c>
      <c r="K4454" t="s">
        <v>23</v>
      </c>
      <c r="L4454">
        <f t="shared" si="207"/>
        <v>2022</v>
      </c>
      <c r="M4454" t="str">
        <f t="shared" si="208"/>
        <v>Jan</v>
      </c>
      <c r="N4454" s="2">
        <f t="shared" si="209"/>
        <v>0.20902478273314845</v>
      </c>
    </row>
    <row r="4455" spans="1:14" x14ac:dyDescent="0.45">
      <c r="A4455" t="s">
        <v>8009</v>
      </c>
      <c r="B4455" s="1">
        <v>44653</v>
      </c>
      <c r="C4455" t="s">
        <v>8010</v>
      </c>
      <c r="D4455" t="s">
        <v>26</v>
      </c>
      <c r="E4455" t="s">
        <v>14</v>
      </c>
      <c r="F4455" t="s">
        <v>57</v>
      </c>
      <c r="G4455">
        <v>2</v>
      </c>
      <c r="H4455">
        <v>47287.38</v>
      </c>
      <c r="I4455">
        <v>10383.61</v>
      </c>
      <c r="J4455" t="s">
        <v>16</v>
      </c>
      <c r="K4455" t="s">
        <v>17</v>
      </c>
      <c r="L4455">
        <f t="shared" si="207"/>
        <v>2022</v>
      </c>
      <c r="M4455" t="str">
        <f t="shared" si="208"/>
        <v>Apr</v>
      </c>
      <c r="N4455" s="2">
        <f t="shared" si="209"/>
        <v>0.21958522548722303</v>
      </c>
    </row>
    <row r="4456" spans="1:14" x14ac:dyDescent="0.45">
      <c r="A4456" t="s">
        <v>8011</v>
      </c>
      <c r="B4456" s="1">
        <v>45313</v>
      </c>
      <c r="C4456" t="s">
        <v>8012</v>
      </c>
      <c r="D4456" t="s">
        <v>26</v>
      </c>
      <c r="E4456" t="s">
        <v>36</v>
      </c>
      <c r="F4456" t="s">
        <v>46</v>
      </c>
      <c r="G4456">
        <v>2</v>
      </c>
      <c r="H4456">
        <v>43419.78</v>
      </c>
      <c r="I4456">
        <v>10196.719999999999</v>
      </c>
      <c r="J4456" t="s">
        <v>47</v>
      </c>
      <c r="K4456" t="s">
        <v>33</v>
      </c>
      <c r="L4456">
        <f t="shared" si="207"/>
        <v>2024</v>
      </c>
      <c r="M4456" t="str">
        <f t="shared" si="208"/>
        <v>Jan</v>
      </c>
      <c r="N4456" s="2">
        <f t="shared" si="209"/>
        <v>0.23484043447479466</v>
      </c>
    </row>
    <row r="4457" spans="1:14" x14ac:dyDescent="0.45">
      <c r="A4457" t="s">
        <v>8013</v>
      </c>
      <c r="B4457" s="1">
        <v>45327</v>
      </c>
      <c r="C4457" t="s">
        <v>8014</v>
      </c>
      <c r="D4457" t="s">
        <v>56</v>
      </c>
      <c r="E4457" t="s">
        <v>14</v>
      </c>
      <c r="F4457" t="s">
        <v>15</v>
      </c>
      <c r="G4457">
        <v>3</v>
      </c>
      <c r="H4457">
        <v>36218.25</v>
      </c>
      <c r="I4457">
        <v>4182.72</v>
      </c>
      <c r="J4457" t="s">
        <v>47</v>
      </c>
      <c r="K4457" t="s">
        <v>23</v>
      </c>
      <c r="L4457">
        <f t="shared" si="207"/>
        <v>2024</v>
      </c>
      <c r="M4457" t="str">
        <f t="shared" si="208"/>
        <v>Feb</v>
      </c>
      <c r="N4457" s="2">
        <f t="shared" si="209"/>
        <v>0.11548652958108137</v>
      </c>
    </row>
    <row r="4458" spans="1:14" x14ac:dyDescent="0.45">
      <c r="A4458" t="s">
        <v>8015</v>
      </c>
      <c r="B4458" s="1">
        <v>45426</v>
      </c>
      <c r="C4458" t="s">
        <v>3758</v>
      </c>
      <c r="D4458" t="s">
        <v>13</v>
      </c>
      <c r="E4458" t="s">
        <v>14</v>
      </c>
      <c r="F4458" t="s">
        <v>32</v>
      </c>
      <c r="G4458">
        <v>1</v>
      </c>
      <c r="H4458">
        <v>7596.81</v>
      </c>
      <c r="I4458">
        <v>1166.6199999999999</v>
      </c>
      <c r="J4458" t="s">
        <v>28</v>
      </c>
      <c r="K4458" t="s">
        <v>33</v>
      </c>
      <c r="L4458">
        <f t="shared" si="207"/>
        <v>2024</v>
      </c>
      <c r="M4458" t="str">
        <f t="shared" si="208"/>
        <v>May</v>
      </c>
      <c r="N4458" s="2">
        <f t="shared" si="209"/>
        <v>0.15356708934407992</v>
      </c>
    </row>
    <row r="4459" spans="1:14" x14ac:dyDescent="0.45">
      <c r="A4459" t="s">
        <v>8016</v>
      </c>
      <c r="B4459" s="1">
        <v>45565</v>
      </c>
      <c r="C4459" t="s">
        <v>1380</v>
      </c>
      <c r="D4459" t="s">
        <v>56</v>
      </c>
      <c r="E4459" t="s">
        <v>14</v>
      </c>
      <c r="F4459" t="s">
        <v>15</v>
      </c>
      <c r="G4459">
        <v>5</v>
      </c>
      <c r="H4459">
        <v>19293.099999999999</v>
      </c>
      <c r="I4459">
        <v>4446.9799999999996</v>
      </c>
      <c r="J4459" t="s">
        <v>22</v>
      </c>
      <c r="K4459" t="s">
        <v>17</v>
      </c>
      <c r="L4459">
        <f t="shared" si="207"/>
        <v>2024</v>
      </c>
      <c r="M4459" t="str">
        <f t="shared" si="208"/>
        <v>Sep</v>
      </c>
      <c r="N4459" s="2">
        <f t="shared" si="209"/>
        <v>0.23049587676423178</v>
      </c>
    </row>
    <row r="4460" spans="1:14" x14ac:dyDescent="0.45">
      <c r="A4460" t="s">
        <v>8017</v>
      </c>
      <c r="B4460" s="1">
        <v>45437</v>
      </c>
      <c r="C4460" t="s">
        <v>3300</v>
      </c>
      <c r="D4460" t="s">
        <v>56</v>
      </c>
      <c r="E4460" t="s">
        <v>14</v>
      </c>
      <c r="F4460" t="s">
        <v>40</v>
      </c>
      <c r="G4460">
        <v>4</v>
      </c>
      <c r="H4460">
        <v>24227.69</v>
      </c>
      <c r="I4460">
        <v>3749.75</v>
      </c>
      <c r="J4460" t="s">
        <v>16</v>
      </c>
      <c r="K4460" t="s">
        <v>17</v>
      </c>
      <c r="L4460">
        <f t="shared" si="207"/>
        <v>2024</v>
      </c>
      <c r="M4460" t="str">
        <f t="shared" si="208"/>
        <v>May</v>
      </c>
      <c r="N4460" s="2">
        <f t="shared" si="209"/>
        <v>0.15477125553447316</v>
      </c>
    </row>
    <row r="4461" spans="1:14" x14ac:dyDescent="0.45">
      <c r="A4461" t="s">
        <v>8018</v>
      </c>
      <c r="B4461" s="1">
        <v>45568</v>
      </c>
      <c r="C4461" t="s">
        <v>8019</v>
      </c>
      <c r="D4461" t="s">
        <v>56</v>
      </c>
      <c r="E4461" t="s">
        <v>14</v>
      </c>
      <c r="F4461" t="s">
        <v>57</v>
      </c>
      <c r="G4461">
        <v>5</v>
      </c>
      <c r="H4461">
        <v>37276.32</v>
      </c>
      <c r="I4461">
        <v>2917.03</v>
      </c>
      <c r="J4461" t="s">
        <v>16</v>
      </c>
      <c r="K4461" t="s">
        <v>23</v>
      </c>
      <c r="L4461">
        <f t="shared" si="207"/>
        <v>2024</v>
      </c>
      <c r="M4461" t="str">
        <f t="shared" si="208"/>
        <v>Oct</v>
      </c>
      <c r="N4461" s="2">
        <f t="shared" si="209"/>
        <v>7.8254237542761743E-2</v>
      </c>
    </row>
    <row r="4462" spans="1:14" x14ac:dyDescent="0.45">
      <c r="A4462" t="s">
        <v>8020</v>
      </c>
      <c r="B4462" s="1">
        <v>45384</v>
      </c>
      <c r="C4462" t="s">
        <v>3114</v>
      </c>
      <c r="D4462" t="s">
        <v>56</v>
      </c>
      <c r="E4462" t="s">
        <v>36</v>
      </c>
      <c r="F4462" t="s">
        <v>64</v>
      </c>
      <c r="G4462">
        <v>1</v>
      </c>
      <c r="H4462">
        <v>41232.03</v>
      </c>
      <c r="I4462">
        <v>7433.36</v>
      </c>
      <c r="J4462" t="s">
        <v>22</v>
      </c>
      <c r="K4462" t="s">
        <v>33</v>
      </c>
      <c r="L4462">
        <f t="shared" si="207"/>
        <v>2024</v>
      </c>
      <c r="M4462" t="str">
        <f t="shared" si="208"/>
        <v>Apr</v>
      </c>
      <c r="N4462" s="2">
        <f t="shared" si="209"/>
        <v>0.18028120371468492</v>
      </c>
    </row>
    <row r="4463" spans="1:14" x14ac:dyDescent="0.45">
      <c r="A4463" t="s">
        <v>8021</v>
      </c>
      <c r="B4463" s="1">
        <v>45488</v>
      </c>
      <c r="C4463" t="s">
        <v>8022</v>
      </c>
      <c r="D4463" t="s">
        <v>13</v>
      </c>
      <c r="E4463" t="s">
        <v>14</v>
      </c>
      <c r="F4463" t="s">
        <v>57</v>
      </c>
      <c r="G4463">
        <v>2</v>
      </c>
      <c r="H4463">
        <v>25123.71</v>
      </c>
      <c r="I4463">
        <v>5466.8</v>
      </c>
      <c r="J4463" t="s">
        <v>47</v>
      </c>
      <c r="K4463" t="s">
        <v>23</v>
      </c>
      <c r="L4463">
        <f t="shared" si="207"/>
        <v>2024</v>
      </c>
      <c r="M4463" t="str">
        <f t="shared" si="208"/>
        <v>Jul</v>
      </c>
      <c r="N4463" s="2">
        <f t="shared" si="209"/>
        <v>0.21759525165670199</v>
      </c>
    </row>
    <row r="4464" spans="1:14" x14ac:dyDescent="0.45">
      <c r="A4464" t="s">
        <v>8023</v>
      </c>
      <c r="B4464" s="1">
        <v>45002</v>
      </c>
      <c r="C4464" t="s">
        <v>8024</v>
      </c>
      <c r="D4464" t="s">
        <v>26</v>
      </c>
      <c r="E4464" t="s">
        <v>14</v>
      </c>
      <c r="F4464" t="s">
        <v>15</v>
      </c>
      <c r="G4464">
        <v>2</v>
      </c>
      <c r="H4464">
        <v>29137.360000000001</v>
      </c>
      <c r="I4464">
        <v>5309.97</v>
      </c>
      <c r="J4464" t="s">
        <v>71</v>
      </c>
      <c r="K4464" t="s">
        <v>17</v>
      </c>
      <c r="L4464">
        <f t="shared" si="207"/>
        <v>2023</v>
      </c>
      <c r="M4464" t="str">
        <f t="shared" si="208"/>
        <v>Mar</v>
      </c>
      <c r="N4464" s="2">
        <f t="shared" si="209"/>
        <v>0.18223922826227223</v>
      </c>
    </row>
    <row r="4465" spans="1:14" x14ac:dyDescent="0.45">
      <c r="A4465" t="s">
        <v>8025</v>
      </c>
      <c r="B4465" s="1">
        <v>45238</v>
      </c>
      <c r="C4465" t="s">
        <v>5344</v>
      </c>
      <c r="D4465" t="s">
        <v>56</v>
      </c>
      <c r="E4465" t="s">
        <v>14</v>
      </c>
      <c r="F4465" t="s">
        <v>57</v>
      </c>
      <c r="G4465">
        <v>5</v>
      </c>
      <c r="H4465">
        <v>47716.11</v>
      </c>
      <c r="I4465">
        <v>10059.129999999999</v>
      </c>
      <c r="J4465" t="s">
        <v>47</v>
      </c>
      <c r="K4465" t="s">
        <v>33</v>
      </c>
      <c r="L4465">
        <f t="shared" si="207"/>
        <v>2023</v>
      </c>
      <c r="M4465" t="str">
        <f t="shared" si="208"/>
        <v>Nov</v>
      </c>
      <c r="N4465" s="2">
        <f t="shared" si="209"/>
        <v>0.21081202973167759</v>
      </c>
    </row>
    <row r="4466" spans="1:14" x14ac:dyDescent="0.45">
      <c r="A4466" t="s">
        <v>8026</v>
      </c>
      <c r="B4466" s="1">
        <v>45517</v>
      </c>
      <c r="C4466" t="s">
        <v>8027</v>
      </c>
      <c r="D4466" t="s">
        <v>56</v>
      </c>
      <c r="E4466" t="s">
        <v>20</v>
      </c>
      <c r="F4466" t="s">
        <v>27</v>
      </c>
      <c r="G4466">
        <v>1</v>
      </c>
      <c r="H4466">
        <v>47096.639999999999</v>
      </c>
      <c r="I4466">
        <v>2616.75</v>
      </c>
      <c r="J4466" t="s">
        <v>71</v>
      </c>
      <c r="K4466" t="s">
        <v>29</v>
      </c>
      <c r="L4466">
        <f t="shared" si="207"/>
        <v>2024</v>
      </c>
      <c r="M4466" t="str">
        <f t="shared" si="208"/>
        <v>Aug</v>
      </c>
      <c r="N4466" s="2">
        <f t="shared" si="209"/>
        <v>5.5561288448602704E-2</v>
      </c>
    </row>
    <row r="4467" spans="1:14" x14ac:dyDescent="0.45">
      <c r="A4467" t="s">
        <v>8028</v>
      </c>
      <c r="B4467" s="1">
        <v>45492</v>
      </c>
      <c r="C4467" t="s">
        <v>8029</v>
      </c>
      <c r="D4467" t="s">
        <v>56</v>
      </c>
      <c r="E4467" t="s">
        <v>36</v>
      </c>
      <c r="F4467" t="s">
        <v>37</v>
      </c>
      <c r="G4467">
        <v>4</v>
      </c>
      <c r="H4467">
        <v>14754.55</v>
      </c>
      <c r="I4467">
        <v>1413.64</v>
      </c>
      <c r="J4467" t="s">
        <v>47</v>
      </c>
      <c r="K4467" t="s">
        <v>29</v>
      </c>
      <c r="L4467">
        <f t="shared" si="207"/>
        <v>2024</v>
      </c>
      <c r="M4467" t="str">
        <f t="shared" si="208"/>
        <v>Jul</v>
      </c>
      <c r="N4467" s="2">
        <f t="shared" si="209"/>
        <v>9.5810444913602938E-2</v>
      </c>
    </row>
    <row r="4468" spans="1:14" x14ac:dyDescent="0.45">
      <c r="A4468" t="s">
        <v>8030</v>
      </c>
      <c r="B4468" s="1">
        <v>45082</v>
      </c>
      <c r="C4468" t="s">
        <v>3519</v>
      </c>
      <c r="D4468" t="s">
        <v>13</v>
      </c>
      <c r="E4468" t="s">
        <v>20</v>
      </c>
      <c r="F4468" t="s">
        <v>27</v>
      </c>
      <c r="G4468">
        <v>4</v>
      </c>
      <c r="H4468">
        <v>24263.09</v>
      </c>
      <c r="I4468">
        <v>3329.43</v>
      </c>
      <c r="J4468" t="s">
        <v>47</v>
      </c>
      <c r="K4468" t="s">
        <v>17</v>
      </c>
      <c r="L4468">
        <f t="shared" si="207"/>
        <v>2023</v>
      </c>
      <c r="M4468" t="str">
        <f t="shared" si="208"/>
        <v>Jun</v>
      </c>
      <c r="N4468" s="2">
        <f t="shared" si="209"/>
        <v>0.13722201088154887</v>
      </c>
    </row>
    <row r="4469" spans="1:14" x14ac:dyDescent="0.45">
      <c r="A4469" t="s">
        <v>8031</v>
      </c>
      <c r="B4469" s="1">
        <v>45567</v>
      </c>
      <c r="C4469" t="s">
        <v>8032</v>
      </c>
      <c r="D4469" t="s">
        <v>26</v>
      </c>
      <c r="E4469" t="s">
        <v>20</v>
      </c>
      <c r="F4469" t="s">
        <v>43</v>
      </c>
      <c r="G4469">
        <v>4</v>
      </c>
      <c r="H4469">
        <v>5659.68</v>
      </c>
      <c r="I4469">
        <v>345.91</v>
      </c>
      <c r="J4469" t="s">
        <v>22</v>
      </c>
      <c r="K4469" t="s">
        <v>33</v>
      </c>
      <c r="L4469">
        <f t="shared" si="207"/>
        <v>2024</v>
      </c>
      <c r="M4469" t="str">
        <f t="shared" si="208"/>
        <v>Oct</v>
      </c>
      <c r="N4469" s="2">
        <f t="shared" si="209"/>
        <v>6.1118296440788172E-2</v>
      </c>
    </row>
    <row r="4470" spans="1:14" x14ac:dyDescent="0.45">
      <c r="A4470" t="s">
        <v>8033</v>
      </c>
      <c r="B4470" s="1">
        <v>44983</v>
      </c>
      <c r="C4470" t="s">
        <v>8034</v>
      </c>
      <c r="D4470" t="s">
        <v>13</v>
      </c>
      <c r="E4470" t="s">
        <v>14</v>
      </c>
      <c r="F4470" t="s">
        <v>32</v>
      </c>
      <c r="G4470">
        <v>4</v>
      </c>
      <c r="H4470">
        <v>12344.82</v>
      </c>
      <c r="I4470">
        <v>2121.35</v>
      </c>
      <c r="J4470" t="s">
        <v>47</v>
      </c>
      <c r="K4470" t="s">
        <v>29</v>
      </c>
      <c r="L4470">
        <f t="shared" si="207"/>
        <v>2023</v>
      </c>
      <c r="M4470" t="str">
        <f t="shared" si="208"/>
        <v>Feb</v>
      </c>
      <c r="N4470" s="2">
        <f t="shared" si="209"/>
        <v>0.17184130671812145</v>
      </c>
    </row>
    <row r="4471" spans="1:14" x14ac:dyDescent="0.45">
      <c r="A4471" t="s">
        <v>8035</v>
      </c>
      <c r="B4471" s="1">
        <v>45254</v>
      </c>
      <c r="C4471" t="s">
        <v>6724</v>
      </c>
      <c r="D4471" t="s">
        <v>13</v>
      </c>
      <c r="E4471" t="s">
        <v>36</v>
      </c>
      <c r="F4471" t="s">
        <v>46</v>
      </c>
      <c r="G4471">
        <v>2</v>
      </c>
      <c r="H4471">
        <v>19822.37</v>
      </c>
      <c r="I4471">
        <v>1587.55</v>
      </c>
      <c r="J4471" t="s">
        <v>16</v>
      </c>
      <c r="K4471" t="s">
        <v>29</v>
      </c>
      <c r="L4471">
        <f t="shared" si="207"/>
        <v>2023</v>
      </c>
      <c r="M4471" t="str">
        <f t="shared" si="208"/>
        <v>Nov</v>
      </c>
      <c r="N4471" s="2">
        <f t="shared" si="209"/>
        <v>8.008880875495715E-2</v>
      </c>
    </row>
    <row r="4472" spans="1:14" x14ac:dyDescent="0.45">
      <c r="A4472" t="s">
        <v>8036</v>
      </c>
      <c r="B4472" s="1">
        <v>45098</v>
      </c>
      <c r="C4472" t="s">
        <v>7673</v>
      </c>
      <c r="D4472" t="s">
        <v>13</v>
      </c>
      <c r="E4472" t="s">
        <v>36</v>
      </c>
      <c r="F4472" t="s">
        <v>46</v>
      </c>
      <c r="G4472">
        <v>2</v>
      </c>
      <c r="H4472">
        <v>49244.18</v>
      </c>
      <c r="I4472">
        <v>3858.12</v>
      </c>
      <c r="J4472" t="s">
        <v>47</v>
      </c>
      <c r="K4472" t="s">
        <v>33</v>
      </c>
      <c r="L4472">
        <f t="shared" si="207"/>
        <v>2023</v>
      </c>
      <c r="M4472" t="str">
        <f t="shared" si="208"/>
        <v>Jun</v>
      </c>
      <c r="N4472" s="2">
        <f t="shared" si="209"/>
        <v>7.8346720363705921E-2</v>
      </c>
    </row>
    <row r="4473" spans="1:14" x14ac:dyDescent="0.45">
      <c r="A4473" t="s">
        <v>8037</v>
      </c>
      <c r="B4473" s="1">
        <v>45121</v>
      </c>
      <c r="C4473" t="s">
        <v>2798</v>
      </c>
      <c r="D4473" t="s">
        <v>26</v>
      </c>
      <c r="E4473" t="s">
        <v>20</v>
      </c>
      <c r="F4473" t="s">
        <v>43</v>
      </c>
      <c r="G4473">
        <v>4</v>
      </c>
      <c r="H4473">
        <v>11534.06</v>
      </c>
      <c r="I4473">
        <v>2753.75</v>
      </c>
      <c r="J4473" t="s">
        <v>71</v>
      </c>
      <c r="K4473" t="s">
        <v>29</v>
      </c>
      <c r="L4473">
        <f t="shared" si="207"/>
        <v>2023</v>
      </c>
      <c r="M4473" t="str">
        <f t="shared" si="208"/>
        <v>Jul</v>
      </c>
      <c r="N4473" s="2">
        <f t="shared" si="209"/>
        <v>0.23874940827427638</v>
      </c>
    </row>
    <row r="4474" spans="1:14" x14ac:dyDescent="0.45">
      <c r="A4474" t="s">
        <v>8038</v>
      </c>
      <c r="B4474" s="1">
        <v>45654</v>
      </c>
      <c r="C4474" t="s">
        <v>8039</v>
      </c>
      <c r="D4474" t="s">
        <v>13</v>
      </c>
      <c r="E4474" t="s">
        <v>20</v>
      </c>
      <c r="F4474" t="s">
        <v>27</v>
      </c>
      <c r="G4474">
        <v>2</v>
      </c>
      <c r="H4474">
        <v>45208.4</v>
      </c>
      <c r="I4474">
        <v>3846.22</v>
      </c>
      <c r="J4474" t="s">
        <v>47</v>
      </c>
      <c r="K4474" t="s">
        <v>17</v>
      </c>
      <c r="L4474">
        <f t="shared" si="207"/>
        <v>2024</v>
      </c>
      <c r="M4474" t="str">
        <f t="shared" si="208"/>
        <v>Dec</v>
      </c>
      <c r="N4474" s="2">
        <f t="shared" si="209"/>
        <v>8.5077551959370376E-2</v>
      </c>
    </row>
    <row r="4475" spans="1:14" x14ac:dyDescent="0.45">
      <c r="A4475" t="s">
        <v>8040</v>
      </c>
      <c r="B4475" s="1">
        <v>44590</v>
      </c>
      <c r="C4475" t="s">
        <v>8041</v>
      </c>
      <c r="D4475" t="s">
        <v>13</v>
      </c>
      <c r="E4475" t="s">
        <v>36</v>
      </c>
      <c r="F4475" t="s">
        <v>46</v>
      </c>
      <c r="G4475">
        <v>3</v>
      </c>
      <c r="H4475">
        <v>35145.18</v>
      </c>
      <c r="I4475">
        <v>2648.73</v>
      </c>
      <c r="J4475" t="s">
        <v>22</v>
      </c>
      <c r="K4475" t="s">
        <v>23</v>
      </c>
      <c r="L4475">
        <f t="shared" si="207"/>
        <v>2022</v>
      </c>
      <c r="M4475" t="str">
        <f t="shared" si="208"/>
        <v>Jan</v>
      </c>
      <c r="N4475" s="2">
        <f t="shared" si="209"/>
        <v>7.5365384385568668E-2</v>
      </c>
    </row>
    <row r="4476" spans="1:14" x14ac:dyDescent="0.45">
      <c r="A4476" t="s">
        <v>8042</v>
      </c>
      <c r="B4476" s="1">
        <v>45607</v>
      </c>
      <c r="C4476" t="s">
        <v>8043</v>
      </c>
      <c r="D4476" t="s">
        <v>13</v>
      </c>
      <c r="E4476" t="s">
        <v>36</v>
      </c>
      <c r="F4476" t="s">
        <v>53</v>
      </c>
      <c r="G4476">
        <v>2</v>
      </c>
      <c r="H4476">
        <v>44393.79</v>
      </c>
      <c r="I4476">
        <v>8812.07</v>
      </c>
      <c r="J4476" t="s">
        <v>28</v>
      </c>
      <c r="K4476" t="s">
        <v>17</v>
      </c>
      <c r="L4476">
        <f t="shared" si="207"/>
        <v>2024</v>
      </c>
      <c r="M4476" t="str">
        <f t="shared" si="208"/>
        <v>Nov</v>
      </c>
      <c r="N4476" s="2">
        <f t="shared" si="209"/>
        <v>0.19849780791412491</v>
      </c>
    </row>
    <row r="4477" spans="1:14" x14ac:dyDescent="0.45">
      <c r="A4477" t="s">
        <v>8044</v>
      </c>
      <c r="B4477" s="1">
        <v>45297</v>
      </c>
      <c r="C4477" t="s">
        <v>8045</v>
      </c>
      <c r="D4477" t="s">
        <v>13</v>
      </c>
      <c r="E4477" t="s">
        <v>20</v>
      </c>
      <c r="F4477" t="s">
        <v>27</v>
      </c>
      <c r="G4477">
        <v>4</v>
      </c>
      <c r="H4477">
        <v>24905.200000000001</v>
      </c>
      <c r="I4477">
        <v>4473.3</v>
      </c>
      <c r="J4477" t="s">
        <v>16</v>
      </c>
      <c r="K4477" t="s">
        <v>17</v>
      </c>
      <c r="L4477">
        <f t="shared" si="207"/>
        <v>2024</v>
      </c>
      <c r="M4477" t="str">
        <f t="shared" si="208"/>
        <v>Jan</v>
      </c>
      <c r="N4477" s="2">
        <f t="shared" si="209"/>
        <v>0.17961309284807991</v>
      </c>
    </row>
    <row r="4478" spans="1:14" x14ac:dyDescent="0.45">
      <c r="A4478" t="s">
        <v>8046</v>
      </c>
      <c r="B4478" s="1">
        <v>44733</v>
      </c>
      <c r="C4478" t="s">
        <v>8047</v>
      </c>
      <c r="D4478" t="s">
        <v>26</v>
      </c>
      <c r="E4478" t="s">
        <v>14</v>
      </c>
      <c r="F4478" t="s">
        <v>57</v>
      </c>
      <c r="G4478">
        <v>1</v>
      </c>
      <c r="H4478">
        <v>28622.69</v>
      </c>
      <c r="I4478">
        <v>3658.98</v>
      </c>
      <c r="J4478" t="s">
        <v>47</v>
      </c>
      <c r="K4478" t="s">
        <v>17</v>
      </c>
      <c r="L4478">
        <f t="shared" si="207"/>
        <v>2022</v>
      </c>
      <c r="M4478" t="str">
        <f t="shared" si="208"/>
        <v>Jun</v>
      </c>
      <c r="N4478" s="2">
        <f t="shared" si="209"/>
        <v>0.1278349449335475</v>
      </c>
    </row>
    <row r="4479" spans="1:14" x14ac:dyDescent="0.45">
      <c r="A4479" t="s">
        <v>8048</v>
      </c>
      <c r="B4479" s="1">
        <v>44842</v>
      </c>
      <c r="C4479" t="s">
        <v>4381</v>
      </c>
      <c r="D4479" t="s">
        <v>56</v>
      </c>
      <c r="E4479" t="s">
        <v>20</v>
      </c>
      <c r="F4479" t="s">
        <v>50</v>
      </c>
      <c r="G4479">
        <v>2</v>
      </c>
      <c r="H4479">
        <v>37429.96</v>
      </c>
      <c r="I4479">
        <v>8137.04</v>
      </c>
      <c r="J4479" t="s">
        <v>28</v>
      </c>
      <c r="K4479" t="s">
        <v>33</v>
      </c>
      <c r="L4479">
        <f t="shared" si="207"/>
        <v>2022</v>
      </c>
      <c r="M4479" t="str">
        <f t="shared" si="208"/>
        <v>Oct</v>
      </c>
      <c r="N4479" s="2">
        <f t="shared" si="209"/>
        <v>0.21739376691826548</v>
      </c>
    </row>
    <row r="4480" spans="1:14" x14ac:dyDescent="0.45">
      <c r="A4480" t="s">
        <v>8049</v>
      </c>
      <c r="B4480" s="1">
        <v>44603</v>
      </c>
      <c r="C4480" t="s">
        <v>299</v>
      </c>
      <c r="D4480" t="s">
        <v>56</v>
      </c>
      <c r="E4480" t="s">
        <v>20</v>
      </c>
      <c r="F4480" t="s">
        <v>43</v>
      </c>
      <c r="G4480">
        <v>3</v>
      </c>
      <c r="H4480">
        <v>33469.49</v>
      </c>
      <c r="I4480">
        <v>6445.67</v>
      </c>
      <c r="J4480" t="s">
        <v>22</v>
      </c>
      <c r="K4480" t="s">
        <v>17</v>
      </c>
      <c r="L4480">
        <f t="shared" si="207"/>
        <v>2022</v>
      </c>
      <c r="M4480" t="str">
        <f t="shared" si="208"/>
        <v>Feb</v>
      </c>
      <c r="N4480" s="2">
        <f t="shared" si="209"/>
        <v>0.19258345436395954</v>
      </c>
    </row>
    <row r="4481" spans="1:14" x14ac:dyDescent="0.45">
      <c r="A4481" t="s">
        <v>8050</v>
      </c>
      <c r="B4481" s="1">
        <v>45486</v>
      </c>
      <c r="C4481" t="s">
        <v>8051</v>
      </c>
      <c r="D4481" t="s">
        <v>26</v>
      </c>
      <c r="E4481" t="s">
        <v>14</v>
      </c>
      <c r="F4481" t="s">
        <v>57</v>
      </c>
      <c r="G4481">
        <v>3</v>
      </c>
      <c r="H4481">
        <v>33607.17</v>
      </c>
      <c r="I4481">
        <v>5387.99</v>
      </c>
      <c r="J4481" t="s">
        <v>28</v>
      </c>
      <c r="K4481" t="s">
        <v>23</v>
      </c>
      <c r="L4481">
        <f t="shared" si="207"/>
        <v>2024</v>
      </c>
      <c r="M4481" t="str">
        <f t="shared" si="208"/>
        <v>Jul</v>
      </c>
      <c r="N4481" s="2">
        <f t="shared" si="209"/>
        <v>0.1603226335332609</v>
      </c>
    </row>
    <row r="4482" spans="1:14" x14ac:dyDescent="0.45">
      <c r="A4482" t="s">
        <v>8052</v>
      </c>
      <c r="B4482" s="1">
        <v>44853</v>
      </c>
      <c r="C4482" t="s">
        <v>8053</v>
      </c>
      <c r="D4482" t="s">
        <v>13</v>
      </c>
      <c r="E4482" t="s">
        <v>14</v>
      </c>
      <c r="F4482" t="s">
        <v>15</v>
      </c>
      <c r="G4482">
        <v>3</v>
      </c>
      <c r="H4482">
        <v>24227.81</v>
      </c>
      <c r="I4482">
        <v>4132</v>
      </c>
      <c r="J4482" t="s">
        <v>16</v>
      </c>
      <c r="K4482" t="s">
        <v>29</v>
      </c>
      <c r="L4482">
        <f t="shared" si="207"/>
        <v>2022</v>
      </c>
      <c r="M4482" t="str">
        <f t="shared" si="208"/>
        <v>Oct</v>
      </c>
      <c r="N4482" s="2">
        <f t="shared" si="209"/>
        <v>0.17054781261698848</v>
      </c>
    </row>
    <row r="4483" spans="1:14" x14ac:dyDescent="0.45">
      <c r="A4483" t="s">
        <v>8054</v>
      </c>
      <c r="B4483" s="1">
        <v>44845</v>
      </c>
      <c r="C4483" t="s">
        <v>8055</v>
      </c>
      <c r="D4483" t="s">
        <v>13</v>
      </c>
      <c r="E4483" t="s">
        <v>36</v>
      </c>
      <c r="F4483" t="s">
        <v>37</v>
      </c>
      <c r="G4483">
        <v>3</v>
      </c>
      <c r="H4483">
        <v>29711.39</v>
      </c>
      <c r="I4483">
        <v>2889.67</v>
      </c>
      <c r="J4483" t="s">
        <v>16</v>
      </c>
      <c r="K4483" t="s">
        <v>17</v>
      </c>
      <c r="L4483">
        <f t="shared" ref="L4483:L4546" si="210">YEAR(B4483 )</f>
        <v>2022</v>
      </c>
      <c r="M4483" t="str">
        <f t="shared" ref="M4483:M4546" si="211">TEXT(B4483,"MMM")</f>
        <v>Oct</v>
      </c>
      <c r="N4483" s="2">
        <f t="shared" ref="N4483:N4546" si="212">I4483 / H4483</f>
        <v>9.7257987593310183E-2</v>
      </c>
    </row>
    <row r="4484" spans="1:14" x14ac:dyDescent="0.45">
      <c r="A4484" t="s">
        <v>8056</v>
      </c>
      <c r="B4484" s="1">
        <v>44788</v>
      </c>
      <c r="C4484" t="s">
        <v>8057</v>
      </c>
      <c r="D4484" t="s">
        <v>26</v>
      </c>
      <c r="E4484" t="s">
        <v>36</v>
      </c>
      <c r="F4484" t="s">
        <v>64</v>
      </c>
      <c r="G4484">
        <v>3</v>
      </c>
      <c r="H4484">
        <v>14300.89</v>
      </c>
      <c r="I4484">
        <v>2397.29</v>
      </c>
      <c r="J4484" t="s">
        <v>16</v>
      </c>
      <c r="K4484" t="s">
        <v>17</v>
      </c>
      <c r="L4484">
        <f t="shared" si="210"/>
        <v>2022</v>
      </c>
      <c r="M4484" t="str">
        <f t="shared" si="211"/>
        <v>Aug</v>
      </c>
      <c r="N4484" s="2">
        <f t="shared" si="212"/>
        <v>0.1676322242881387</v>
      </c>
    </row>
    <row r="4485" spans="1:14" x14ac:dyDescent="0.45">
      <c r="A4485" t="s">
        <v>8058</v>
      </c>
      <c r="B4485" s="1">
        <v>45288</v>
      </c>
      <c r="C4485" t="s">
        <v>8059</v>
      </c>
      <c r="D4485" t="s">
        <v>13</v>
      </c>
      <c r="E4485" t="s">
        <v>36</v>
      </c>
      <c r="F4485" t="s">
        <v>53</v>
      </c>
      <c r="G4485">
        <v>5</v>
      </c>
      <c r="H4485">
        <v>49219.27</v>
      </c>
      <c r="I4485">
        <v>5932.72</v>
      </c>
      <c r="J4485" t="s">
        <v>22</v>
      </c>
      <c r="K4485" t="s">
        <v>33</v>
      </c>
      <c r="L4485">
        <f t="shared" si="210"/>
        <v>2023</v>
      </c>
      <c r="M4485" t="str">
        <f t="shared" si="211"/>
        <v>Dec</v>
      </c>
      <c r="N4485" s="2">
        <f t="shared" si="212"/>
        <v>0.12053652969660056</v>
      </c>
    </row>
    <row r="4486" spans="1:14" x14ac:dyDescent="0.45">
      <c r="A4486" t="s">
        <v>8060</v>
      </c>
      <c r="B4486" s="1">
        <v>44916</v>
      </c>
      <c r="C4486" t="s">
        <v>7095</v>
      </c>
      <c r="D4486" t="s">
        <v>56</v>
      </c>
      <c r="E4486" t="s">
        <v>14</v>
      </c>
      <c r="F4486" t="s">
        <v>57</v>
      </c>
      <c r="G4486">
        <v>4</v>
      </c>
      <c r="H4486">
        <v>33170.93</v>
      </c>
      <c r="I4486">
        <v>4749.5</v>
      </c>
      <c r="J4486" t="s">
        <v>22</v>
      </c>
      <c r="K4486" t="s">
        <v>17</v>
      </c>
      <c r="L4486">
        <f t="shared" si="210"/>
        <v>2022</v>
      </c>
      <c r="M4486" t="str">
        <f t="shared" si="211"/>
        <v>Dec</v>
      </c>
      <c r="N4486" s="2">
        <f t="shared" si="212"/>
        <v>0.14318259994519297</v>
      </c>
    </row>
    <row r="4487" spans="1:14" x14ac:dyDescent="0.45">
      <c r="A4487" t="s">
        <v>8061</v>
      </c>
      <c r="B4487" s="1">
        <v>45454</v>
      </c>
      <c r="C4487" t="s">
        <v>3990</v>
      </c>
      <c r="D4487" t="s">
        <v>13</v>
      </c>
      <c r="E4487" t="s">
        <v>20</v>
      </c>
      <c r="F4487" t="s">
        <v>21</v>
      </c>
      <c r="G4487">
        <v>1</v>
      </c>
      <c r="H4487">
        <v>12578.85</v>
      </c>
      <c r="I4487">
        <v>2695.03</v>
      </c>
      <c r="J4487" t="s">
        <v>47</v>
      </c>
      <c r="K4487" t="s">
        <v>17</v>
      </c>
      <c r="L4487">
        <f t="shared" si="210"/>
        <v>2024</v>
      </c>
      <c r="M4487" t="str">
        <f t="shared" si="211"/>
        <v>Jun</v>
      </c>
      <c r="N4487" s="2">
        <f t="shared" si="212"/>
        <v>0.21425090528943425</v>
      </c>
    </row>
    <row r="4488" spans="1:14" x14ac:dyDescent="0.45">
      <c r="A4488" t="s">
        <v>8062</v>
      </c>
      <c r="B4488" s="1">
        <v>45214</v>
      </c>
      <c r="C4488" t="s">
        <v>826</v>
      </c>
      <c r="D4488" t="s">
        <v>26</v>
      </c>
      <c r="E4488" t="s">
        <v>36</v>
      </c>
      <c r="F4488" t="s">
        <v>37</v>
      </c>
      <c r="G4488">
        <v>2</v>
      </c>
      <c r="H4488">
        <v>28421.94</v>
      </c>
      <c r="I4488">
        <v>6442.31</v>
      </c>
      <c r="J4488" t="s">
        <v>16</v>
      </c>
      <c r="K4488" t="s">
        <v>17</v>
      </c>
      <c r="L4488">
        <f t="shared" si="210"/>
        <v>2023</v>
      </c>
      <c r="M4488" t="str">
        <f t="shared" si="211"/>
        <v>Oct</v>
      </c>
      <c r="N4488" s="2">
        <f t="shared" si="212"/>
        <v>0.22666679332937867</v>
      </c>
    </row>
    <row r="4489" spans="1:14" x14ac:dyDescent="0.45">
      <c r="A4489" t="s">
        <v>8063</v>
      </c>
      <c r="B4489" s="1">
        <v>45329</v>
      </c>
      <c r="C4489" t="s">
        <v>4720</v>
      </c>
      <c r="D4489" t="s">
        <v>56</v>
      </c>
      <c r="E4489" t="s">
        <v>14</v>
      </c>
      <c r="F4489" t="s">
        <v>57</v>
      </c>
      <c r="G4489">
        <v>1</v>
      </c>
      <c r="H4489">
        <v>14344.91</v>
      </c>
      <c r="I4489">
        <v>2412.69</v>
      </c>
      <c r="J4489" t="s">
        <v>16</v>
      </c>
      <c r="K4489" t="s">
        <v>33</v>
      </c>
      <c r="L4489">
        <f t="shared" si="210"/>
        <v>2024</v>
      </c>
      <c r="M4489" t="str">
        <f t="shared" si="211"/>
        <v>Feb</v>
      </c>
      <c r="N4489" s="2">
        <f t="shared" si="212"/>
        <v>0.16819136543903029</v>
      </c>
    </row>
    <row r="4490" spans="1:14" x14ac:dyDescent="0.45">
      <c r="A4490" t="s">
        <v>8064</v>
      </c>
      <c r="B4490" s="1">
        <v>44941</v>
      </c>
      <c r="C4490" t="s">
        <v>992</v>
      </c>
      <c r="D4490" t="s">
        <v>26</v>
      </c>
      <c r="E4490" t="s">
        <v>14</v>
      </c>
      <c r="F4490" t="s">
        <v>40</v>
      </c>
      <c r="G4490">
        <v>1</v>
      </c>
      <c r="H4490">
        <v>21334.67</v>
      </c>
      <c r="I4490">
        <v>3868.11</v>
      </c>
      <c r="J4490" t="s">
        <v>47</v>
      </c>
      <c r="K4490" t="s">
        <v>23</v>
      </c>
      <c r="L4490">
        <f t="shared" si="210"/>
        <v>2023</v>
      </c>
      <c r="M4490" t="str">
        <f t="shared" si="211"/>
        <v>Jan</v>
      </c>
      <c r="N4490" s="2">
        <f t="shared" si="212"/>
        <v>0.18130629627737388</v>
      </c>
    </row>
    <row r="4491" spans="1:14" x14ac:dyDescent="0.45">
      <c r="A4491" t="s">
        <v>8065</v>
      </c>
      <c r="B4491" s="1">
        <v>45355</v>
      </c>
      <c r="C4491" t="s">
        <v>8066</v>
      </c>
      <c r="D4491" t="s">
        <v>26</v>
      </c>
      <c r="E4491" t="s">
        <v>14</v>
      </c>
      <c r="F4491" t="s">
        <v>32</v>
      </c>
      <c r="G4491">
        <v>5</v>
      </c>
      <c r="H4491">
        <v>23265.34</v>
      </c>
      <c r="I4491">
        <v>5077.0200000000004</v>
      </c>
      <c r="J4491" t="s">
        <v>22</v>
      </c>
      <c r="K4491" t="s">
        <v>23</v>
      </c>
      <c r="L4491">
        <f t="shared" si="210"/>
        <v>2024</v>
      </c>
      <c r="M4491" t="str">
        <f t="shared" si="211"/>
        <v>Mar</v>
      </c>
      <c r="N4491" s="2">
        <f t="shared" si="212"/>
        <v>0.21822247171113771</v>
      </c>
    </row>
    <row r="4492" spans="1:14" x14ac:dyDescent="0.45">
      <c r="A4492" t="s">
        <v>8067</v>
      </c>
      <c r="B4492" s="1">
        <v>45379</v>
      </c>
      <c r="C4492" t="s">
        <v>8068</v>
      </c>
      <c r="D4492" t="s">
        <v>56</v>
      </c>
      <c r="E4492" t="s">
        <v>14</v>
      </c>
      <c r="F4492" t="s">
        <v>57</v>
      </c>
      <c r="G4492">
        <v>2</v>
      </c>
      <c r="H4492">
        <v>36744.17</v>
      </c>
      <c r="I4492">
        <v>4250.91</v>
      </c>
      <c r="J4492" t="s">
        <v>16</v>
      </c>
      <c r="K4492" t="s">
        <v>17</v>
      </c>
      <c r="L4492">
        <f t="shared" si="210"/>
        <v>2024</v>
      </c>
      <c r="M4492" t="str">
        <f t="shared" si="211"/>
        <v>Mar</v>
      </c>
      <c r="N4492" s="2">
        <f t="shared" si="212"/>
        <v>0.11568937330738455</v>
      </c>
    </row>
    <row r="4493" spans="1:14" x14ac:dyDescent="0.45">
      <c r="A4493" t="s">
        <v>8069</v>
      </c>
      <c r="B4493" s="1">
        <v>45495</v>
      </c>
      <c r="C4493" t="s">
        <v>8070</v>
      </c>
      <c r="D4493" t="s">
        <v>26</v>
      </c>
      <c r="E4493" t="s">
        <v>20</v>
      </c>
      <c r="F4493" t="s">
        <v>50</v>
      </c>
      <c r="G4493">
        <v>1</v>
      </c>
      <c r="H4493">
        <v>32965.53</v>
      </c>
      <c r="I4493">
        <v>4234.6899999999996</v>
      </c>
      <c r="J4493" t="s">
        <v>28</v>
      </c>
      <c r="K4493" t="s">
        <v>23</v>
      </c>
      <c r="L4493">
        <f t="shared" si="210"/>
        <v>2024</v>
      </c>
      <c r="M4493" t="str">
        <f t="shared" si="211"/>
        <v>Jul</v>
      </c>
      <c r="N4493" s="2">
        <f t="shared" si="212"/>
        <v>0.12845811973901222</v>
      </c>
    </row>
    <row r="4494" spans="1:14" x14ac:dyDescent="0.45">
      <c r="A4494" t="s">
        <v>8071</v>
      </c>
      <c r="B4494" s="1">
        <v>45335</v>
      </c>
      <c r="C4494" t="s">
        <v>8072</v>
      </c>
      <c r="D4494" t="s">
        <v>13</v>
      </c>
      <c r="E4494" t="s">
        <v>20</v>
      </c>
      <c r="F4494" t="s">
        <v>50</v>
      </c>
      <c r="G4494">
        <v>4</v>
      </c>
      <c r="H4494">
        <v>35575.839999999997</v>
      </c>
      <c r="I4494">
        <v>3250.32</v>
      </c>
      <c r="J4494" t="s">
        <v>71</v>
      </c>
      <c r="K4494" t="s">
        <v>23</v>
      </c>
      <c r="L4494">
        <f t="shared" si="210"/>
        <v>2024</v>
      </c>
      <c r="M4494" t="str">
        <f t="shared" si="211"/>
        <v>Feb</v>
      </c>
      <c r="N4494" s="2">
        <f t="shared" si="212"/>
        <v>9.1363127335854902E-2</v>
      </c>
    </row>
    <row r="4495" spans="1:14" x14ac:dyDescent="0.45">
      <c r="A4495" t="s">
        <v>8073</v>
      </c>
      <c r="B4495" s="1">
        <v>45295</v>
      </c>
      <c r="C4495" t="s">
        <v>8074</v>
      </c>
      <c r="D4495" t="s">
        <v>26</v>
      </c>
      <c r="E4495" t="s">
        <v>20</v>
      </c>
      <c r="F4495" t="s">
        <v>50</v>
      </c>
      <c r="G4495">
        <v>5</v>
      </c>
      <c r="H4495">
        <v>21799.23</v>
      </c>
      <c r="I4495">
        <v>1580.32</v>
      </c>
      <c r="J4495" t="s">
        <v>71</v>
      </c>
      <c r="K4495" t="s">
        <v>17</v>
      </c>
      <c r="L4495">
        <f t="shared" si="210"/>
        <v>2024</v>
      </c>
      <c r="M4495" t="str">
        <f t="shared" si="211"/>
        <v>Jan</v>
      </c>
      <c r="N4495" s="2">
        <f t="shared" si="212"/>
        <v>7.24943036978829E-2</v>
      </c>
    </row>
    <row r="4496" spans="1:14" x14ac:dyDescent="0.45">
      <c r="A4496" t="s">
        <v>8075</v>
      </c>
      <c r="B4496" s="1">
        <v>45515</v>
      </c>
      <c r="C4496" t="s">
        <v>8076</v>
      </c>
      <c r="D4496" t="s">
        <v>13</v>
      </c>
      <c r="E4496" t="s">
        <v>20</v>
      </c>
      <c r="F4496" t="s">
        <v>50</v>
      </c>
      <c r="G4496">
        <v>4</v>
      </c>
      <c r="H4496">
        <v>28956.34</v>
      </c>
      <c r="I4496">
        <v>4795.1899999999996</v>
      </c>
      <c r="J4496" t="s">
        <v>47</v>
      </c>
      <c r="K4496" t="s">
        <v>29</v>
      </c>
      <c r="L4496">
        <f t="shared" si="210"/>
        <v>2024</v>
      </c>
      <c r="M4496" t="str">
        <f t="shared" si="211"/>
        <v>Aug</v>
      </c>
      <c r="N4496" s="2">
        <f t="shared" si="212"/>
        <v>0.16560069401036179</v>
      </c>
    </row>
    <row r="4497" spans="1:14" x14ac:dyDescent="0.45">
      <c r="A4497" t="s">
        <v>8077</v>
      </c>
      <c r="B4497" s="1">
        <v>45020</v>
      </c>
      <c r="C4497" t="s">
        <v>3398</v>
      </c>
      <c r="D4497" t="s">
        <v>13</v>
      </c>
      <c r="E4497" t="s">
        <v>14</v>
      </c>
      <c r="F4497" t="s">
        <v>32</v>
      </c>
      <c r="G4497">
        <v>2</v>
      </c>
      <c r="H4497">
        <v>18920.3</v>
      </c>
      <c r="I4497">
        <v>948.3</v>
      </c>
      <c r="J4497" t="s">
        <v>22</v>
      </c>
      <c r="K4497" t="s">
        <v>29</v>
      </c>
      <c r="L4497">
        <f t="shared" si="210"/>
        <v>2023</v>
      </c>
      <c r="M4497" t="str">
        <f t="shared" si="211"/>
        <v>Apr</v>
      </c>
      <c r="N4497" s="2">
        <f t="shared" si="212"/>
        <v>5.0120769755236438E-2</v>
      </c>
    </row>
    <row r="4498" spans="1:14" x14ac:dyDescent="0.45">
      <c r="A4498" t="s">
        <v>8078</v>
      </c>
      <c r="B4498" s="1">
        <v>45072</v>
      </c>
      <c r="C4498" t="s">
        <v>8079</v>
      </c>
      <c r="D4498" t="s">
        <v>56</v>
      </c>
      <c r="E4498" t="s">
        <v>14</v>
      </c>
      <c r="F4498" t="s">
        <v>32</v>
      </c>
      <c r="G4498">
        <v>2</v>
      </c>
      <c r="H4498">
        <v>36921.97</v>
      </c>
      <c r="I4498">
        <v>8771.2999999999993</v>
      </c>
      <c r="J4498" t="s">
        <v>22</v>
      </c>
      <c r="K4498" t="s">
        <v>23</v>
      </c>
      <c r="L4498">
        <f t="shared" si="210"/>
        <v>2023</v>
      </c>
      <c r="M4498" t="str">
        <f t="shared" si="211"/>
        <v>May</v>
      </c>
      <c r="N4498" s="2">
        <f t="shared" si="212"/>
        <v>0.23756316361234242</v>
      </c>
    </row>
    <row r="4499" spans="1:14" x14ac:dyDescent="0.45">
      <c r="A4499" t="s">
        <v>8080</v>
      </c>
      <c r="B4499" s="1">
        <v>44942</v>
      </c>
      <c r="C4499" t="s">
        <v>3114</v>
      </c>
      <c r="D4499" t="s">
        <v>13</v>
      </c>
      <c r="E4499" t="s">
        <v>36</v>
      </c>
      <c r="F4499" t="s">
        <v>64</v>
      </c>
      <c r="G4499">
        <v>3</v>
      </c>
      <c r="H4499">
        <v>7697.05</v>
      </c>
      <c r="I4499">
        <v>1522.48</v>
      </c>
      <c r="J4499" t="s">
        <v>22</v>
      </c>
      <c r="K4499" t="s">
        <v>17</v>
      </c>
      <c r="L4499">
        <f t="shared" si="210"/>
        <v>2023</v>
      </c>
      <c r="M4499" t="str">
        <f t="shared" si="211"/>
        <v>Jan</v>
      </c>
      <c r="N4499" s="2">
        <f t="shared" si="212"/>
        <v>0.19780045601886437</v>
      </c>
    </row>
    <row r="4500" spans="1:14" x14ac:dyDescent="0.45">
      <c r="A4500" t="s">
        <v>8081</v>
      </c>
      <c r="B4500" s="1">
        <v>44702</v>
      </c>
      <c r="C4500" t="s">
        <v>8082</v>
      </c>
      <c r="D4500" t="s">
        <v>13</v>
      </c>
      <c r="E4500" t="s">
        <v>14</v>
      </c>
      <c r="F4500" t="s">
        <v>40</v>
      </c>
      <c r="G4500">
        <v>5</v>
      </c>
      <c r="H4500">
        <v>48016.87</v>
      </c>
      <c r="I4500">
        <v>10970.23</v>
      </c>
      <c r="J4500" t="s">
        <v>16</v>
      </c>
      <c r="K4500" t="s">
        <v>17</v>
      </c>
      <c r="L4500">
        <f t="shared" si="210"/>
        <v>2022</v>
      </c>
      <c r="M4500" t="str">
        <f t="shared" si="211"/>
        <v>May</v>
      </c>
      <c r="N4500" s="2">
        <f t="shared" si="212"/>
        <v>0.22846616199681485</v>
      </c>
    </row>
    <row r="4501" spans="1:14" x14ac:dyDescent="0.45">
      <c r="A4501" t="s">
        <v>8083</v>
      </c>
      <c r="B4501" s="1">
        <v>44787</v>
      </c>
      <c r="C4501" t="s">
        <v>8084</v>
      </c>
      <c r="D4501" t="s">
        <v>13</v>
      </c>
      <c r="E4501" t="s">
        <v>36</v>
      </c>
      <c r="F4501" t="s">
        <v>37</v>
      </c>
      <c r="G4501">
        <v>1</v>
      </c>
      <c r="H4501">
        <v>48805</v>
      </c>
      <c r="I4501">
        <v>10281.68</v>
      </c>
      <c r="J4501" t="s">
        <v>47</v>
      </c>
      <c r="K4501" t="s">
        <v>33</v>
      </c>
      <c r="L4501">
        <f t="shared" si="210"/>
        <v>2022</v>
      </c>
      <c r="M4501" t="str">
        <f t="shared" si="211"/>
        <v>Aug</v>
      </c>
      <c r="N4501" s="2">
        <f t="shared" si="212"/>
        <v>0.21066857903903288</v>
      </c>
    </row>
    <row r="4502" spans="1:14" x14ac:dyDescent="0.45">
      <c r="A4502" t="s">
        <v>8085</v>
      </c>
      <c r="B4502" s="1">
        <v>45339</v>
      </c>
      <c r="C4502" t="s">
        <v>2051</v>
      </c>
      <c r="D4502" t="s">
        <v>26</v>
      </c>
      <c r="E4502" t="s">
        <v>14</v>
      </c>
      <c r="F4502" t="s">
        <v>57</v>
      </c>
      <c r="G4502">
        <v>1</v>
      </c>
      <c r="H4502">
        <v>11741.63</v>
      </c>
      <c r="I4502">
        <v>1942.1</v>
      </c>
      <c r="J4502" t="s">
        <v>28</v>
      </c>
      <c r="K4502" t="s">
        <v>23</v>
      </c>
      <c r="L4502">
        <f t="shared" si="210"/>
        <v>2024</v>
      </c>
      <c r="M4502" t="str">
        <f t="shared" si="211"/>
        <v>Feb</v>
      </c>
      <c r="N4502" s="2">
        <f t="shared" si="212"/>
        <v>0.16540292957621727</v>
      </c>
    </row>
    <row r="4503" spans="1:14" x14ac:dyDescent="0.45">
      <c r="A4503" t="s">
        <v>8086</v>
      </c>
      <c r="B4503" s="1">
        <v>44776</v>
      </c>
      <c r="C4503" t="s">
        <v>8087</v>
      </c>
      <c r="D4503" t="s">
        <v>13</v>
      </c>
      <c r="E4503" t="s">
        <v>20</v>
      </c>
      <c r="F4503" t="s">
        <v>21</v>
      </c>
      <c r="G4503">
        <v>2</v>
      </c>
      <c r="H4503">
        <v>46738.99</v>
      </c>
      <c r="I4503">
        <v>2827.13</v>
      </c>
      <c r="J4503" t="s">
        <v>28</v>
      </c>
      <c r="K4503" t="s">
        <v>17</v>
      </c>
      <c r="L4503">
        <f t="shared" si="210"/>
        <v>2022</v>
      </c>
      <c r="M4503" t="str">
        <f t="shared" si="211"/>
        <v>Aug</v>
      </c>
      <c r="N4503" s="2">
        <f t="shared" si="212"/>
        <v>6.0487614302320185E-2</v>
      </c>
    </row>
    <row r="4504" spans="1:14" x14ac:dyDescent="0.45">
      <c r="A4504" t="s">
        <v>8088</v>
      </c>
      <c r="B4504" s="1">
        <v>45390</v>
      </c>
      <c r="C4504" t="s">
        <v>8089</v>
      </c>
      <c r="D4504" t="s">
        <v>13</v>
      </c>
      <c r="E4504" t="s">
        <v>14</v>
      </c>
      <c r="F4504" t="s">
        <v>57</v>
      </c>
      <c r="G4504">
        <v>4</v>
      </c>
      <c r="H4504">
        <v>9271.48</v>
      </c>
      <c r="I4504">
        <v>2240.42</v>
      </c>
      <c r="J4504" t="s">
        <v>22</v>
      </c>
      <c r="K4504" t="s">
        <v>33</v>
      </c>
      <c r="L4504">
        <f t="shared" si="210"/>
        <v>2024</v>
      </c>
      <c r="M4504" t="str">
        <f t="shared" si="211"/>
        <v>Apr</v>
      </c>
      <c r="N4504" s="2">
        <f t="shared" si="212"/>
        <v>0.24164642538192393</v>
      </c>
    </row>
    <row r="4505" spans="1:14" x14ac:dyDescent="0.45">
      <c r="A4505" t="s">
        <v>8090</v>
      </c>
      <c r="B4505" s="1">
        <v>44717</v>
      </c>
      <c r="C4505" t="s">
        <v>8091</v>
      </c>
      <c r="D4505" t="s">
        <v>26</v>
      </c>
      <c r="E4505" t="s">
        <v>20</v>
      </c>
      <c r="F4505" t="s">
        <v>43</v>
      </c>
      <c r="G4505">
        <v>4</v>
      </c>
      <c r="H4505">
        <v>46199.86</v>
      </c>
      <c r="I4505">
        <v>5162.83</v>
      </c>
      <c r="J4505" t="s">
        <v>71</v>
      </c>
      <c r="K4505" t="s">
        <v>33</v>
      </c>
      <c r="L4505">
        <f t="shared" si="210"/>
        <v>2022</v>
      </c>
      <c r="M4505" t="str">
        <f t="shared" si="211"/>
        <v>Jun</v>
      </c>
      <c r="N4505" s="2">
        <f t="shared" si="212"/>
        <v>0.11174990573564508</v>
      </c>
    </row>
    <row r="4506" spans="1:14" x14ac:dyDescent="0.45">
      <c r="A4506" t="s">
        <v>8092</v>
      </c>
      <c r="B4506" s="1">
        <v>45650</v>
      </c>
      <c r="C4506" t="s">
        <v>8093</v>
      </c>
      <c r="D4506" t="s">
        <v>56</v>
      </c>
      <c r="E4506" t="s">
        <v>14</v>
      </c>
      <c r="F4506" t="s">
        <v>32</v>
      </c>
      <c r="G4506">
        <v>2</v>
      </c>
      <c r="H4506">
        <v>32436.639999999999</v>
      </c>
      <c r="I4506">
        <v>3107.83</v>
      </c>
      <c r="J4506" t="s">
        <v>16</v>
      </c>
      <c r="K4506" t="s">
        <v>17</v>
      </c>
      <c r="L4506">
        <f t="shared" si="210"/>
        <v>2024</v>
      </c>
      <c r="M4506" t="str">
        <f t="shared" si="211"/>
        <v>Dec</v>
      </c>
      <c r="N4506" s="2">
        <f t="shared" si="212"/>
        <v>9.5812328280611064E-2</v>
      </c>
    </row>
    <row r="4507" spans="1:14" x14ac:dyDescent="0.45">
      <c r="A4507" t="s">
        <v>8094</v>
      </c>
      <c r="B4507" s="1">
        <v>45014</v>
      </c>
      <c r="C4507" t="s">
        <v>8095</v>
      </c>
      <c r="D4507" t="s">
        <v>26</v>
      </c>
      <c r="E4507" t="s">
        <v>20</v>
      </c>
      <c r="F4507" t="s">
        <v>21</v>
      </c>
      <c r="G4507">
        <v>5</v>
      </c>
      <c r="H4507">
        <v>34519.83</v>
      </c>
      <c r="I4507">
        <v>2818.63</v>
      </c>
      <c r="J4507" t="s">
        <v>71</v>
      </c>
      <c r="K4507" t="s">
        <v>23</v>
      </c>
      <c r="L4507">
        <f t="shared" si="210"/>
        <v>2023</v>
      </c>
      <c r="M4507" t="str">
        <f t="shared" si="211"/>
        <v>Mar</v>
      </c>
      <c r="N4507" s="2">
        <f t="shared" si="212"/>
        <v>8.1652487859876485E-2</v>
      </c>
    </row>
    <row r="4508" spans="1:14" x14ac:dyDescent="0.45">
      <c r="A4508" t="s">
        <v>8096</v>
      </c>
      <c r="B4508" s="1">
        <v>44892</v>
      </c>
      <c r="C4508" t="s">
        <v>2357</v>
      </c>
      <c r="D4508" t="s">
        <v>26</v>
      </c>
      <c r="E4508" t="s">
        <v>20</v>
      </c>
      <c r="F4508" t="s">
        <v>27</v>
      </c>
      <c r="G4508">
        <v>5</v>
      </c>
      <c r="H4508">
        <v>7335.32</v>
      </c>
      <c r="I4508">
        <v>1488.22</v>
      </c>
      <c r="J4508" t="s">
        <v>47</v>
      </c>
      <c r="K4508" t="s">
        <v>33</v>
      </c>
      <c r="L4508">
        <f t="shared" si="210"/>
        <v>2022</v>
      </c>
      <c r="M4508" t="str">
        <f t="shared" si="211"/>
        <v>Nov</v>
      </c>
      <c r="N4508" s="2">
        <f t="shared" si="212"/>
        <v>0.20288412775448106</v>
      </c>
    </row>
    <row r="4509" spans="1:14" x14ac:dyDescent="0.45">
      <c r="A4509" t="s">
        <v>8097</v>
      </c>
      <c r="B4509" s="1">
        <v>44780</v>
      </c>
      <c r="C4509" t="s">
        <v>6866</v>
      </c>
      <c r="D4509" t="s">
        <v>26</v>
      </c>
      <c r="E4509" t="s">
        <v>20</v>
      </c>
      <c r="F4509" t="s">
        <v>50</v>
      </c>
      <c r="G4509">
        <v>2</v>
      </c>
      <c r="H4509">
        <v>24757.63</v>
      </c>
      <c r="I4509">
        <v>2892.7</v>
      </c>
      <c r="J4509" t="s">
        <v>16</v>
      </c>
      <c r="K4509" t="s">
        <v>33</v>
      </c>
      <c r="L4509">
        <f t="shared" si="210"/>
        <v>2022</v>
      </c>
      <c r="M4509" t="str">
        <f t="shared" si="211"/>
        <v>Aug</v>
      </c>
      <c r="N4509" s="2">
        <f t="shared" si="212"/>
        <v>0.116840747680614</v>
      </c>
    </row>
    <row r="4510" spans="1:14" x14ac:dyDescent="0.45">
      <c r="A4510" t="s">
        <v>8098</v>
      </c>
      <c r="B4510" s="1">
        <v>45469</v>
      </c>
      <c r="C4510" t="s">
        <v>5386</v>
      </c>
      <c r="D4510" t="s">
        <v>56</v>
      </c>
      <c r="E4510" t="s">
        <v>20</v>
      </c>
      <c r="F4510" t="s">
        <v>21</v>
      </c>
      <c r="G4510">
        <v>2</v>
      </c>
      <c r="H4510">
        <v>39598.949999999997</v>
      </c>
      <c r="I4510">
        <v>7201.63</v>
      </c>
      <c r="J4510" t="s">
        <v>28</v>
      </c>
      <c r="K4510" t="s">
        <v>17</v>
      </c>
      <c r="L4510">
        <f t="shared" si="210"/>
        <v>2024</v>
      </c>
      <c r="M4510" t="str">
        <f t="shared" si="211"/>
        <v>Jun</v>
      </c>
      <c r="N4510" s="2">
        <f t="shared" si="212"/>
        <v>0.18186416559024926</v>
      </c>
    </row>
    <row r="4511" spans="1:14" x14ac:dyDescent="0.45">
      <c r="A4511" t="s">
        <v>8099</v>
      </c>
      <c r="B4511" s="1">
        <v>44842</v>
      </c>
      <c r="C4511" t="s">
        <v>8100</v>
      </c>
      <c r="D4511" t="s">
        <v>13</v>
      </c>
      <c r="E4511" t="s">
        <v>14</v>
      </c>
      <c r="F4511" t="s">
        <v>57</v>
      </c>
      <c r="G4511">
        <v>5</v>
      </c>
      <c r="H4511">
        <v>28999.45</v>
      </c>
      <c r="I4511">
        <v>2542.7199999999998</v>
      </c>
      <c r="J4511" t="s">
        <v>16</v>
      </c>
      <c r="K4511" t="s">
        <v>29</v>
      </c>
      <c r="L4511">
        <f t="shared" si="210"/>
        <v>2022</v>
      </c>
      <c r="M4511" t="str">
        <f t="shared" si="211"/>
        <v>Oct</v>
      </c>
      <c r="N4511" s="2">
        <f t="shared" si="212"/>
        <v>8.7681662928090001E-2</v>
      </c>
    </row>
    <row r="4512" spans="1:14" x14ac:dyDescent="0.45">
      <c r="A4512" t="s">
        <v>8101</v>
      </c>
      <c r="B4512" s="1">
        <v>44926</v>
      </c>
      <c r="C4512" t="s">
        <v>8102</v>
      </c>
      <c r="D4512" t="s">
        <v>26</v>
      </c>
      <c r="E4512" t="s">
        <v>20</v>
      </c>
      <c r="F4512" t="s">
        <v>21</v>
      </c>
      <c r="G4512">
        <v>1</v>
      </c>
      <c r="H4512">
        <v>33292.03</v>
      </c>
      <c r="I4512">
        <v>5828.94</v>
      </c>
      <c r="J4512" t="s">
        <v>28</v>
      </c>
      <c r="K4512" t="s">
        <v>17</v>
      </c>
      <c r="L4512">
        <f t="shared" si="210"/>
        <v>2022</v>
      </c>
      <c r="M4512" t="str">
        <f t="shared" si="211"/>
        <v>Dec</v>
      </c>
      <c r="N4512" s="2">
        <f t="shared" si="212"/>
        <v>0.17508514800689534</v>
      </c>
    </row>
    <row r="4513" spans="1:14" x14ac:dyDescent="0.45">
      <c r="A4513" t="s">
        <v>8103</v>
      </c>
      <c r="B4513" s="1">
        <v>45517</v>
      </c>
      <c r="C4513" t="s">
        <v>8104</v>
      </c>
      <c r="D4513" t="s">
        <v>13</v>
      </c>
      <c r="E4513" t="s">
        <v>20</v>
      </c>
      <c r="F4513" t="s">
        <v>21</v>
      </c>
      <c r="G4513">
        <v>1</v>
      </c>
      <c r="H4513">
        <v>4431.1499999999996</v>
      </c>
      <c r="I4513">
        <v>453.71</v>
      </c>
      <c r="J4513" t="s">
        <v>71</v>
      </c>
      <c r="K4513" t="s">
        <v>29</v>
      </c>
      <c r="L4513">
        <f t="shared" si="210"/>
        <v>2024</v>
      </c>
      <c r="M4513" t="str">
        <f t="shared" si="211"/>
        <v>Aug</v>
      </c>
      <c r="N4513" s="2">
        <f t="shared" si="212"/>
        <v>0.10239102715999233</v>
      </c>
    </row>
    <row r="4514" spans="1:14" x14ac:dyDescent="0.45">
      <c r="A4514" t="s">
        <v>8105</v>
      </c>
      <c r="B4514" s="1">
        <v>44704</v>
      </c>
      <c r="C4514" t="s">
        <v>8106</v>
      </c>
      <c r="D4514" t="s">
        <v>26</v>
      </c>
      <c r="E4514" t="s">
        <v>14</v>
      </c>
      <c r="F4514" t="s">
        <v>57</v>
      </c>
      <c r="G4514">
        <v>5</v>
      </c>
      <c r="H4514">
        <v>16169.17</v>
      </c>
      <c r="I4514">
        <v>2294.2199999999998</v>
      </c>
      <c r="J4514" t="s">
        <v>28</v>
      </c>
      <c r="K4514" t="s">
        <v>17</v>
      </c>
      <c r="L4514">
        <f t="shared" si="210"/>
        <v>2022</v>
      </c>
      <c r="M4514" t="str">
        <f t="shared" si="211"/>
        <v>May</v>
      </c>
      <c r="N4514" s="2">
        <f t="shared" si="212"/>
        <v>0.1418885446810195</v>
      </c>
    </row>
    <row r="4515" spans="1:14" x14ac:dyDescent="0.45">
      <c r="A4515" t="s">
        <v>8107</v>
      </c>
      <c r="B4515" s="1">
        <v>44881</v>
      </c>
      <c r="C4515" t="s">
        <v>8108</v>
      </c>
      <c r="D4515" t="s">
        <v>56</v>
      </c>
      <c r="E4515" t="s">
        <v>36</v>
      </c>
      <c r="F4515" t="s">
        <v>64</v>
      </c>
      <c r="G4515">
        <v>3</v>
      </c>
      <c r="H4515">
        <v>29880.3</v>
      </c>
      <c r="I4515">
        <v>7209.68</v>
      </c>
      <c r="J4515" t="s">
        <v>71</v>
      </c>
      <c r="K4515" t="s">
        <v>29</v>
      </c>
      <c r="L4515">
        <f t="shared" si="210"/>
        <v>2022</v>
      </c>
      <c r="M4515" t="str">
        <f t="shared" si="211"/>
        <v>Nov</v>
      </c>
      <c r="N4515" s="2">
        <f t="shared" si="212"/>
        <v>0.24128539539428989</v>
      </c>
    </row>
    <row r="4516" spans="1:14" x14ac:dyDescent="0.45">
      <c r="A4516" t="s">
        <v>8109</v>
      </c>
      <c r="B4516" s="1">
        <v>44919</v>
      </c>
      <c r="C4516" t="s">
        <v>8110</v>
      </c>
      <c r="D4516" t="s">
        <v>26</v>
      </c>
      <c r="E4516" t="s">
        <v>20</v>
      </c>
      <c r="F4516" t="s">
        <v>27</v>
      </c>
      <c r="G4516">
        <v>4</v>
      </c>
      <c r="H4516">
        <v>25157.25</v>
      </c>
      <c r="I4516">
        <v>6030.44</v>
      </c>
      <c r="J4516" t="s">
        <v>47</v>
      </c>
      <c r="K4516" t="s">
        <v>29</v>
      </c>
      <c r="L4516">
        <f t="shared" si="210"/>
        <v>2022</v>
      </c>
      <c r="M4516" t="str">
        <f t="shared" si="211"/>
        <v>Dec</v>
      </c>
      <c r="N4516" s="2">
        <f t="shared" si="212"/>
        <v>0.23970982519949516</v>
      </c>
    </row>
    <row r="4517" spans="1:14" x14ac:dyDescent="0.45">
      <c r="A4517" t="s">
        <v>8111</v>
      </c>
      <c r="B4517" s="1">
        <v>45313</v>
      </c>
      <c r="C4517" t="s">
        <v>3210</v>
      </c>
      <c r="D4517" t="s">
        <v>13</v>
      </c>
      <c r="E4517" t="s">
        <v>36</v>
      </c>
      <c r="F4517" t="s">
        <v>37</v>
      </c>
      <c r="G4517">
        <v>1</v>
      </c>
      <c r="H4517">
        <v>25854.69</v>
      </c>
      <c r="I4517">
        <v>4625.74</v>
      </c>
      <c r="J4517" t="s">
        <v>47</v>
      </c>
      <c r="K4517" t="s">
        <v>23</v>
      </c>
      <c r="L4517">
        <f t="shared" si="210"/>
        <v>2024</v>
      </c>
      <c r="M4517" t="str">
        <f t="shared" si="211"/>
        <v>Jan</v>
      </c>
      <c r="N4517" s="2">
        <f t="shared" si="212"/>
        <v>0.17891299412214959</v>
      </c>
    </row>
    <row r="4518" spans="1:14" x14ac:dyDescent="0.45">
      <c r="A4518" t="s">
        <v>8112</v>
      </c>
      <c r="B4518" s="1">
        <v>44617</v>
      </c>
      <c r="C4518" t="s">
        <v>8113</v>
      </c>
      <c r="D4518" t="s">
        <v>56</v>
      </c>
      <c r="E4518" t="s">
        <v>36</v>
      </c>
      <c r="F4518" t="s">
        <v>37</v>
      </c>
      <c r="G4518">
        <v>2</v>
      </c>
      <c r="H4518">
        <v>39613.86</v>
      </c>
      <c r="I4518">
        <v>6189.34</v>
      </c>
      <c r="J4518" t="s">
        <v>22</v>
      </c>
      <c r="K4518" t="s">
        <v>29</v>
      </c>
      <c r="L4518">
        <f t="shared" si="210"/>
        <v>2022</v>
      </c>
      <c r="M4518" t="str">
        <f t="shared" si="211"/>
        <v>Feb</v>
      </c>
      <c r="N4518" s="2">
        <f t="shared" si="212"/>
        <v>0.15624178002345643</v>
      </c>
    </row>
    <row r="4519" spans="1:14" x14ac:dyDescent="0.45">
      <c r="A4519" t="s">
        <v>8114</v>
      </c>
      <c r="B4519" s="1">
        <v>45618</v>
      </c>
      <c r="C4519" t="s">
        <v>8115</v>
      </c>
      <c r="D4519" t="s">
        <v>56</v>
      </c>
      <c r="E4519" t="s">
        <v>14</v>
      </c>
      <c r="F4519" t="s">
        <v>15</v>
      </c>
      <c r="G4519">
        <v>3</v>
      </c>
      <c r="H4519">
        <v>29984.38</v>
      </c>
      <c r="I4519">
        <v>1721.65</v>
      </c>
      <c r="J4519" t="s">
        <v>47</v>
      </c>
      <c r="K4519" t="s">
        <v>23</v>
      </c>
      <c r="L4519">
        <f t="shared" si="210"/>
        <v>2024</v>
      </c>
      <c r="M4519" t="str">
        <f t="shared" si="211"/>
        <v>Nov</v>
      </c>
      <c r="N4519" s="2">
        <f t="shared" si="212"/>
        <v>5.7418229091280193E-2</v>
      </c>
    </row>
    <row r="4520" spans="1:14" x14ac:dyDescent="0.45">
      <c r="A4520" t="s">
        <v>8116</v>
      </c>
      <c r="B4520" s="1">
        <v>45446</v>
      </c>
      <c r="C4520" t="s">
        <v>8117</v>
      </c>
      <c r="D4520" t="s">
        <v>56</v>
      </c>
      <c r="E4520" t="s">
        <v>14</v>
      </c>
      <c r="F4520" t="s">
        <v>57</v>
      </c>
      <c r="G4520">
        <v>5</v>
      </c>
      <c r="H4520">
        <v>46867.839999999997</v>
      </c>
      <c r="I4520">
        <v>11042.25</v>
      </c>
      <c r="J4520" t="s">
        <v>28</v>
      </c>
      <c r="K4520" t="s">
        <v>33</v>
      </c>
      <c r="L4520">
        <f t="shared" si="210"/>
        <v>2024</v>
      </c>
      <c r="M4520" t="str">
        <f t="shared" si="211"/>
        <v>Jun</v>
      </c>
      <c r="N4520" s="2">
        <f t="shared" si="212"/>
        <v>0.23560398772377819</v>
      </c>
    </row>
    <row r="4521" spans="1:14" x14ac:dyDescent="0.45">
      <c r="A4521" t="s">
        <v>8118</v>
      </c>
      <c r="B4521" s="1">
        <v>45491</v>
      </c>
      <c r="C4521" t="s">
        <v>8119</v>
      </c>
      <c r="D4521" t="s">
        <v>26</v>
      </c>
      <c r="E4521" t="s">
        <v>20</v>
      </c>
      <c r="F4521" t="s">
        <v>27</v>
      </c>
      <c r="G4521">
        <v>5</v>
      </c>
      <c r="H4521">
        <v>45238.37</v>
      </c>
      <c r="I4521">
        <v>6561.77</v>
      </c>
      <c r="J4521" t="s">
        <v>22</v>
      </c>
      <c r="K4521" t="s">
        <v>23</v>
      </c>
      <c r="L4521">
        <f t="shared" si="210"/>
        <v>2024</v>
      </c>
      <c r="M4521" t="str">
        <f t="shared" si="211"/>
        <v>Jul</v>
      </c>
      <c r="N4521" s="2">
        <f t="shared" si="212"/>
        <v>0.14504877165114483</v>
      </c>
    </row>
    <row r="4522" spans="1:14" x14ac:dyDescent="0.45">
      <c r="A4522" t="s">
        <v>8120</v>
      </c>
      <c r="B4522" s="1">
        <v>45020</v>
      </c>
      <c r="C4522" t="s">
        <v>8121</v>
      </c>
      <c r="D4522" t="s">
        <v>13</v>
      </c>
      <c r="E4522" t="s">
        <v>36</v>
      </c>
      <c r="F4522" t="s">
        <v>53</v>
      </c>
      <c r="G4522">
        <v>2</v>
      </c>
      <c r="H4522">
        <v>5557</v>
      </c>
      <c r="I4522">
        <v>646.80999999999995</v>
      </c>
      <c r="J4522" t="s">
        <v>16</v>
      </c>
      <c r="K4522" t="s">
        <v>17</v>
      </c>
      <c r="L4522">
        <f t="shared" si="210"/>
        <v>2023</v>
      </c>
      <c r="M4522" t="str">
        <f t="shared" si="211"/>
        <v>Apr</v>
      </c>
      <c r="N4522" s="2">
        <f t="shared" si="212"/>
        <v>0.11639553716033831</v>
      </c>
    </row>
    <row r="4523" spans="1:14" x14ac:dyDescent="0.45">
      <c r="A4523" t="s">
        <v>8122</v>
      </c>
      <c r="B4523" s="1">
        <v>45472</v>
      </c>
      <c r="C4523" t="s">
        <v>8123</v>
      </c>
      <c r="D4523" t="s">
        <v>26</v>
      </c>
      <c r="E4523" t="s">
        <v>14</v>
      </c>
      <c r="F4523" t="s">
        <v>32</v>
      </c>
      <c r="G4523">
        <v>2</v>
      </c>
      <c r="H4523">
        <v>27908.94</v>
      </c>
      <c r="I4523">
        <v>2005.79</v>
      </c>
      <c r="J4523" t="s">
        <v>22</v>
      </c>
      <c r="K4523" t="s">
        <v>17</v>
      </c>
      <c r="L4523">
        <f t="shared" si="210"/>
        <v>2024</v>
      </c>
      <c r="M4523" t="str">
        <f t="shared" si="211"/>
        <v>Jun</v>
      </c>
      <c r="N4523" s="2">
        <f t="shared" si="212"/>
        <v>7.1869085676489322E-2</v>
      </c>
    </row>
    <row r="4524" spans="1:14" x14ac:dyDescent="0.45">
      <c r="A4524" t="s">
        <v>8124</v>
      </c>
      <c r="B4524" s="1">
        <v>44586</v>
      </c>
      <c r="C4524" t="s">
        <v>1544</v>
      </c>
      <c r="D4524" t="s">
        <v>13</v>
      </c>
      <c r="E4524" t="s">
        <v>20</v>
      </c>
      <c r="F4524" t="s">
        <v>27</v>
      </c>
      <c r="G4524">
        <v>2</v>
      </c>
      <c r="H4524">
        <v>31585.599999999999</v>
      </c>
      <c r="I4524">
        <v>1623.43</v>
      </c>
      <c r="J4524" t="s">
        <v>47</v>
      </c>
      <c r="K4524" t="s">
        <v>33</v>
      </c>
      <c r="L4524">
        <f t="shared" si="210"/>
        <v>2022</v>
      </c>
      <c r="M4524" t="str">
        <f t="shared" si="211"/>
        <v>Jan</v>
      </c>
      <c r="N4524" s="2">
        <f t="shared" si="212"/>
        <v>5.1397788865812276E-2</v>
      </c>
    </row>
    <row r="4525" spans="1:14" x14ac:dyDescent="0.45">
      <c r="A4525" t="s">
        <v>8125</v>
      </c>
      <c r="B4525" s="1">
        <v>45220</v>
      </c>
      <c r="C4525" t="s">
        <v>6419</v>
      </c>
      <c r="D4525" t="s">
        <v>56</v>
      </c>
      <c r="E4525" t="s">
        <v>36</v>
      </c>
      <c r="F4525" t="s">
        <v>64</v>
      </c>
      <c r="G4525">
        <v>2</v>
      </c>
      <c r="H4525">
        <v>9680.43</v>
      </c>
      <c r="I4525">
        <v>2336.46</v>
      </c>
      <c r="J4525" t="s">
        <v>71</v>
      </c>
      <c r="K4525" t="s">
        <v>29</v>
      </c>
      <c r="L4525">
        <f t="shared" si="210"/>
        <v>2023</v>
      </c>
      <c r="M4525" t="str">
        <f t="shared" si="211"/>
        <v>Oct</v>
      </c>
      <c r="N4525" s="2">
        <f t="shared" si="212"/>
        <v>0.24135911317988973</v>
      </c>
    </row>
    <row r="4526" spans="1:14" x14ac:dyDescent="0.45">
      <c r="A4526" t="s">
        <v>8126</v>
      </c>
      <c r="B4526" s="1">
        <v>44712</v>
      </c>
      <c r="C4526" t="s">
        <v>8127</v>
      </c>
      <c r="D4526" t="s">
        <v>26</v>
      </c>
      <c r="E4526" t="s">
        <v>20</v>
      </c>
      <c r="F4526" t="s">
        <v>43</v>
      </c>
      <c r="G4526">
        <v>2</v>
      </c>
      <c r="H4526">
        <v>41439.11</v>
      </c>
      <c r="I4526">
        <v>7957.37</v>
      </c>
      <c r="J4526" t="s">
        <v>28</v>
      </c>
      <c r="K4526" t="s">
        <v>23</v>
      </c>
      <c r="L4526">
        <f t="shared" si="210"/>
        <v>2022</v>
      </c>
      <c r="M4526" t="str">
        <f t="shared" si="211"/>
        <v>May</v>
      </c>
      <c r="N4526" s="2">
        <f t="shared" si="212"/>
        <v>0.19202560093592744</v>
      </c>
    </row>
    <row r="4527" spans="1:14" x14ac:dyDescent="0.45">
      <c r="A4527" t="s">
        <v>8128</v>
      </c>
      <c r="B4527" s="1">
        <v>45256</v>
      </c>
      <c r="C4527" t="s">
        <v>8129</v>
      </c>
      <c r="D4527" t="s">
        <v>13</v>
      </c>
      <c r="E4527" t="s">
        <v>20</v>
      </c>
      <c r="F4527" t="s">
        <v>50</v>
      </c>
      <c r="G4527">
        <v>4</v>
      </c>
      <c r="H4527">
        <v>47716.36</v>
      </c>
      <c r="I4527">
        <v>9340.39</v>
      </c>
      <c r="J4527" t="s">
        <v>16</v>
      </c>
      <c r="K4527" t="s">
        <v>23</v>
      </c>
      <c r="L4527">
        <f t="shared" si="210"/>
        <v>2023</v>
      </c>
      <c r="M4527" t="str">
        <f t="shared" si="211"/>
        <v>Nov</v>
      </c>
      <c r="N4527" s="2">
        <f t="shared" si="212"/>
        <v>0.19574816687609867</v>
      </c>
    </row>
    <row r="4528" spans="1:14" x14ac:dyDescent="0.45">
      <c r="A4528" t="s">
        <v>8130</v>
      </c>
      <c r="B4528" s="1">
        <v>44864</v>
      </c>
      <c r="C4528" t="s">
        <v>8131</v>
      </c>
      <c r="D4528" t="s">
        <v>56</v>
      </c>
      <c r="E4528" t="s">
        <v>20</v>
      </c>
      <c r="F4528" t="s">
        <v>21</v>
      </c>
      <c r="G4528">
        <v>5</v>
      </c>
      <c r="H4528">
        <v>42833.3</v>
      </c>
      <c r="I4528">
        <v>5240.3500000000004</v>
      </c>
      <c r="J4528" t="s">
        <v>22</v>
      </c>
      <c r="K4528" t="s">
        <v>23</v>
      </c>
      <c r="L4528">
        <f t="shared" si="210"/>
        <v>2022</v>
      </c>
      <c r="M4528" t="str">
        <f t="shared" si="211"/>
        <v>Oct</v>
      </c>
      <c r="N4528" s="2">
        <f t="shared" si="212"/>
        <v>0.12234289676490021</v>
      </c>
    </row>
    <row r="4529" spans="1:14" x14ac:dyDescent="0.45">
      <c r="A4529" t="s">
        <v>8132</v>
      </c>
      <c r="B4529" s="1">
        <v>45476</v>
      </c>
      <c r="C4529" t="s">
        <v>8133</v>
      </c>
      <c r="D4529" t="s">
        <v>56</v>
      </c>
      <c r="E4529" t="s">
        <v>14</v>
      </c>
      <c r="F4529" t="s">
        <v>40</v>
      </c>
      <c r="G4529">
        <v>5</v>
      </c>
      <c r="H4529">
        <v>28768.959999999999</v>
      </c>
      <c r="I4529">
        <v>1868.21</v>
      </c>
      <c r="J4529" t="s">
        <v>47</v>
      </c>
      <c r="K4529" t="s">
        <v>23</v>
      </c>
      <c r="L4529">
        <f t="shared" si="210"/>
        <v>2024</v>
      </c>
      <c r="M4529" t="str">
        <f t="shared" si="211"/>
        <v>Jul</v>
      </c>
      <c r="N4529" s="2">
        <f t="shared" si="212"/>
        <v>6.4938391933528364E-2</v>
      </c>
    </row>
    <row r="4530" spans="1:14" x14ac:dyDescent="0.45">
      <c r="A4530" t="s">
        <v>8134</v>
      </c>
      <c r="B4530" s="1">
        <v>45462</v>
      </c>
      <c r="C4530" t="s">
        <v>2931</v>
      </c>
      <c r="D4530" t="s">
        <v>56</v>
      </c>
      <c r="E4530" t="s">
        <v>20</v>
      </c>
      <c r="F4530" t="s">
        <v>21</v>
      </c>
      <c r="G4530">
        <v>1</v>
      </c>
      <c r="H4530">
        <v>41542.74</v>
      </c>
      <c r="I4530">
        <v>7887</v>
      </c>
      <c r="J4530" t="s">
        <v>22</v>
      </c>
      <c r="K4530" t="s">
        <v>23</v>
      </c>
      <c r="L4530">
        <f t="shared" si="210"/>
        <v>2024</v>
      </c>
      <c r="M4530" t="str">
        <f t="shared" si="211"/>
        <v>Jun</v>
      </c>
      <c r="N4530" s="2">
        <f t="shared" si="212"/>
        <v>0.1898526673974803</v>
      </c>
    </row>
    <row r="4531" spans="1:14" x14ac:dyDescent="0.45">
      <c r="A4531" t="s">
        <v>8135</v>
      </c>
      <c r="B4531" s="1">
        <v>45353</v>
      </c>
      <c r="C4531" t="s">
        <v>5310</v>
      </c>
      <c r="D4531" t="s">
        <v>13</v>
      </c>
      <c r="E4531" t="s">
        <v>36</v>
      </c>
      <c r="F4531" t="s">
        <v>46</v>
      </c>
      <c r="G4531">
        <v>1</v>
      </c>
      <c r="H4531">
        <v>37179.269999999997</v>
      </c>
      <c r="I4531">
        <v>6135.2</v>
      </c>
      <c r="J4531" t="s">
        <v>47</v>
      </c>
      <c r="K4531" t="s">
        <v>17</v>
      </c>
      <c r="L4531">
        <f t="shared" si="210"/>
        <v>2024</v>
      </c>
      <c r="M4531" t="str">
        <f t="shared" si="211"/>
        <v>Mar</v>
      </c>
      <c r="N4531" s="2">
        <f t="shared" si="212"/>
        <v>0.16501668806299855</v>
      </c>
    </row>
    <row r="4532" spans="1:14" x14ac:dyDescent="0.45">
      <c r="A4532" t="s">
        <v>8136</v>
      </c>
      <c r="B4532" s="1">
        <v>44672</v>
      </c>
      <c r="C4532" t="s">
        <v>8137</v>
      </c>
      <c r="D4532" t="s">
        <v>26</v>
      </c>
      <c r="E4532" t="s">
        <v>14</v>
      </c>
      <c r="F4532" t="s">
        <v>57</v>
      </c>
      <c r="G4532">
        <v>5</v>
      </c>
      <c r="H4532">
        <v>799.84</v>
      </c>
      <c r="I4532">
        <v>82.4</v>
      </c>
      <c r="J4532" t="s">
        <v>71</v>
      </c>
      <c r="K4532" t="s">
        <v>33</v>
      </c>
      <c r="L4532">
        <f t="shared" si="210"/>
        <v>2022</v>
      </c>
      <c r="M4532" t="str">
        <f t="shared" si="211"/>
        <v>Apr</v>
      </c>
      <c r="N4532" s="2">
        <f t="shared" si="212"/>
        <v>0.10302060412082417</v>
      </c>
    </row>
    <row r="4533" spans="1:14" x14ac:dyDescent="0.45">
      <c r="A4533" t="s">
        <v>8138</v>
      </c>
      <c r="B4533" s="1">
        <v>45649</v>
      </c>
      <c r="C4533" t="s">
        <v>2992</v>
      </c>
      <c r="D4533" t="s">
        <v>13</v>
      </c>
      <c r="E4533" t="s">
        <v>14</v>
      </c>
      <c r="F4533" t="s">
        <v>57</v>
      </c>
      <c r="G4533">
        <v>2</v>
      </c>
      <c r="H4533">
        <v>8825.7000000000007</v>
      </c>
      <c r="I4533">
        <v>1940.1</v>
      </c>
      <c r="J4533" t="s">
        <v>22</v>
      </c>
      <c r="K4533" t="s">
        <v>17</v>
      </c>
      <c r="L4533">
        <f t="shared" si="210"/>
        <v>2024</v>
      </c>
      <c r="M4533" t="str">
        <f t="shared" si="211"/>
        <v>Dec</v>
      </c>
      <c r="N4533" s="2">
        <f t="shared" si="212"/>
        <v>0.21982392331486453</v>
      </c>
    </row>
    <row r="4534" spans="1:14" x14ac:dyDescent="0.45">
      <c r="A4534" t="s">
        <v>8139</v>
      </c>
      <c r="B4534" s="1">
        <v>45255</v>
      </c>
      <c r="C4534" t="s">
        <v>8140</v>
      </c>
      <c r="D4534" t="s">
        <v>56</v>
      </c>
      <c r="E4534" t="s">
        <v>20</v>
      </c>
      <c r="F4534" t="s">
        <v>27</v>
      </c>
      <c r="G4534">
        <v>2</v>
      </c>
      <c r="H4534">
        <v>41172.870000000003</v>
      </c>
      <c r="I4534">
        <v>4920.08</v>
      </c>
      <c r="J4534" t="s">
        <v>28</v>
      </c>
      <c r="K4534" t="s">
        <v>33</v>
      </c>
      <c r="L4534">
        <f t="shared" si="210"/>
        <v>2023</v>
      </c>
      <c r="M4534" t="str">
        <f t="shared" si="211"/>
        <v>Nov</v>
      </c>
      <c r="N4534" s="2">
        <f t="shared" si="212"/>
        <v>0.1194981063987038</v>
      </c>
    </row>
    <row r="4535" spans="1:14" x14ac:dyDescent="0.45">
      <c r="A4535" t="s">
        <v>8141</v>
      </c>
      <c r="B4535" s="1">
        <v>44589</v>
      </c>
      <c r="C4535" t="s">
        <v>4289</v>
      </c>
      <c r="D4535" t="s">
        <v>56</v>
      </c>
      <c r="E4535" t="s">
        <v>36</v>
      </c>
      <c r="F4535" t="s">
        <v>64</v>
      </c>
      <c r="G4535">
        <v>3</v>
      </c>
      <c r="H4535">
        <v>11923.83</v>
      </c>
      <c r="I4535">
        <v>1356.83</v>
      </c>
      <c r="J4535" t="s">
        <v>28</v>
      </c>
      <c r="K4535" t="s">
        <v>33</v>
      </c>
      <c r="L4535">
        <f t="shared" si="210"/>
        <v>2022</v>
      </c>
      <c r="M4535" t="str">
        <f t="shared" si="211"/>
        <v>Jan</v>
      </c>
      <c r="N4535" s="2">
        <f t="shared" si="212"/>
        <v>0.11379145794597877</v>
      </c>
    </row>
    <row r="4536" spans="1:14" x14ac:dyDescent="0.45">
      <c r="A4536" t="s">
        <v>8142</v>
      </c>
      <c r="B4536" s="1">
        <v>45243</v>
      </c>
      <c r="C4536" t="s">
        <v>1956</v>
      </c>
      <c r="D4536" t="s">
        <v>26</v>
      </c>
      <c r="E4536" t="s">
        <v>36</v>
      </c>
      <c r="F4536" t="s">
        <v>37</v>
      </c>
      <c r="G4536">
        <v>3</v>
      </c>
      <c r="H4536">
        <v>11734.89</v>
      </c>
      <c r="I4536">
        <v>674.1</v>
      </c>
      <c r="J4536" t="s">
        <v>28</v>
      </c>
      <c r="K4536" t="s">
        <v>29</v>
      </c>
      <c r="L4536">
        <f t="shared" si="210"/>
        <v>2023</v>
      </c>
      <c r="M4536" t="str">
        <f t="shared" si="211"/>
        <v>Nov</v>
      </c>
      <c r="N4536" s="2">
        <f t="shared" si="212"/>
        <v>5.7444083412797227E-2</v>
      </c>
    </row>
    <row r="4537" spans="1:14" x14ac:dyDescent="0.45">
      <c r="A4537" t="s">
        <v>8143</v>
      </c>
      <c r="B4537" s="1">
        <v>44978</v>
      </c>
      <c r="C4537" t="s">
        <v>8144</v>
      </c>
      <c r="D4537" t="s">
        <v>13</v>
      </c>
      <c r="E4537" t="s">
        <v>20</v>
      </c>
      <c r="F4537" t="s">
        <v>43</v>
      </c>
      <c r="G4537">
        <v>3</v>
      </c>
      <c r="H4537">
        <v>47672.78</v>
      </c>
      <c r="I4537">
        <v>6328.64</v>
      </c>
      <c r="J4537" t="s">
        <v>71</v>
      </c>
      <c r="K4537" t="s">
        <v>23</v>
      </c>
      <c r="L4537">
        <f t="shared" si="210"/>
        <v>2023</v>
      </c>
      <c r="M4537" t="str">
        <f t="shared" si="211"/>
        <v>Feb</v>
      </c>
      <c r="N4537" s="2">
        <f t="shared" si="212"/>
        <v>0.13275164569802728</v>
      </c>
    </row>
    <row r="4538" spans="1:14" x14ac:dyDescent="0.45">
      <c r="A4538" t="s">
        <v>8145</v>
      </c>
      <c r="B4538" s="1">
        <v>44598</v>
      </c>
      <c r="C4538" t="s">
        <v>8146</v>
      </c>
      <c r="D4538" t="s">
        <v>26</v>
      </c>
      <c r="E4538" t="s">
        <v>20</v>
      </c>
      <c r="F4538" t="s">
        <v>27</v>
      </c>
      <c r="G4538">
        <v>4</v>
      </c>
      <c r="H4538">
        <v>35830.28</v>
      </c>
      <c r="I4538">
        <v>3773.88</v>
      </c>
      <c r="J4538" t="s">
        <v>71</v>
      </c>
      <c r="K4538" t="s">
        <v>29</v>
      </c>
      <c r="L4538">
        <f t="shared" si="210"/>
        <v>2022</v>
      </c>
      <c r="M4538" t="str">
        <f t="shared" si="211"/>
        <v>Feb</v>
      </c>
      <c r="N4538" s="2">
        <f t="shared" si="212"/>
        <v>0.1053265561977188</v>
      </c>
    </row>
    <row r="4539" spans="1:14" x14ac:dyDescent="0.45">
      <c r="A4539" t="s">
        <v>8147</v>
      </c>
      <c r="B4539" s="1">
        <v>45588</v>
      </c>
      <c r="C4539" t="s">
        <v>7892</v>
      </c>
      <c r="D4539" t="s">
        <v>26</v>
      </c>
      <c r="E4539" t="s">
        <v>36</v>
      </c>
      <c r="F4539" t="s">
        <v>53</v>
      </c>
      <c r="G4539">
        <v>5</v>
      </c>
      <c r="H4539">
        <v>29706.14</v>
      </c>
      <c r="I4539">
        <v>2280.0700000000002</v>
      </c>
      <c r="J4539" t="s">
        <v>47</v>
      </c>
      <c r="K4539" t="s">
        <v>33</v>
      </c>
      <c r="L4539">
        <f t="shared" si="210"/>
        <v>2024</v>
      </c>
      <c r="M4539" t="str">
        <f t="shared" si="211"/>
        <v>Oct</v>
      </c>
      <c r="N4539" s="2">
        <f t="shared" si="212"/>
        <v>7.6754165973768398E-2</v>
      </c>
    </row>
    <row r="4540" spans="1:14" x14ac:dyDescent="0.45">
      <c r="A4540" t="s">
        <v>8148</v>
      </c>
      <c r="B4540" s="1">
        <v>44947</v>
      </c>
      <c r="C4540" t="s">
        <v>8149</v>
      </c>
      <c r="D4540" t="s">
        <v>26</v>
      </c>
      <c r="E4540" t="s">
        <v>20</v>
      </c>
      <c r="F4540" t="s">
        <v>27</v>
      </c>
      <c r="G4540">
        <v>1</v>
      </c>
      <c r="H4540">
        <v>40133.879999999997</v>
      </c>
      <c r="I4540">
        <v>6230.93</v>
      </c>
      <c r="J4540" t="s">
        <v>28</v>
      </c>
      <c r="K4540" t="s">
        <v>17</v>
      </c>
      <c r="L4540">
        <f t="shared" si="210"/>
        <v>2023</v>
      </c>
      <c r="M4540" t="str">
        <f t="shared" si="211"/>
        <v>Jan</v>
      </c>
      <c r="N4540" s="2">
        <f t="shared" si="212"/>
        <v>0.15525361614675681</v>
      </c>
    </row>
    <row r="4541" spans="1:14" x14ac:dyDescent="0.45">
      <c r="A4541" t="s">
        <v>8150</v>
      </c>
      <c r="B4541" s="1">
        <v>45645</v>
      </c>
      <c r="C4541" t="s">
        <v>458</v>
      </c>
      <c r="D4541" t="s">
        <v>13</v>
      </c>
      <c r="E4541" t="s">
        <v>14</v>
      </c>
      <c r="F4541" t="s">
        <v>40</v>
      </c>
      <c r="G4541">
        <v>3</v>
      </c>
      <c r="H4541">
        <v>37673.480000000003</v>
      </c>
      <c r="I4541">
        <v>6254.96</v>
      </c>
      <c r="J4541" t="s">
        <v>16</v>
      </c>
      <c r="K4541" t="s">
        <v>29</v>
      </c>
      <c r="L4541">
        <f t="shared" si="210"/>
        <v>2024</v>
      </c>
      <c r="M4541" t="str">
        <f t="shared" si="211"/>
        <v>Dec</v>
      </c>
      <c r="N4541" s="2">
        <f t="shared" si="212"/>
        <v>0.16603085247234925</v>
      </c>
    </row>
    <row r="4542" spans="1:14" x14ac:dyDescent="0.45">
      <c r="A4542" t="s">
        <v>8151</v>
      </c>
      <c r="B4542" s="1">
        <v>45025</v>
      </c>
      <c r="C4542" t="s">
        <v>8152</v>
      </c>
      <c r="D4542" t="s">
        <v>26</v>
      </c>
      <c r="E4542" t="s">
        <v>20</v>
      </c>
      <c r="F4542" t="s">
        <v>27</v>
      </c>
      <c r="G4542">
        <v>3</v>
      </c>
      <c r="H4542">
        <v>17096.09</v>
      </c>
      <c r="I4542">
        <v>1252.2</v>
      </c>
      <c r="J4542" t="s">
        <v>28</v>
      </c>
      <c r="K4542" t="s">
        <v>33</v>
      </c>
      <c r="L4542">
        <f t="shared" si="210"/>
        <v>2023</v>
      </c>
      <c r="M4542" t="str">
        <f t="shared" si="211"/>
        <v>Apr</v>
      </c>
      <c r="N4542" s="2">
        <f t="shared" si="212"/>
        <v>7.3244817967149212E-2</v>
      </c>
    </row>
    <row r="4543" spans="1:14" x14ac:dyDescent="0.45">
      <c r="A4543" t="s">
        <v>8153</v>
      </c>
      <c r="B4543" s="1">
        <v>44763</v>
      </c>
      <c r="C4543" t="s">
        <v>6890</v>
      </c>
      <c r="D4543" t="s">
        <v>56</v>
      </c>
      <c r="E4543" t="s">
        <v>20</v>
      </c>
      <c r="F4543" t="s">
        <v>27</v>
      </c>
      <c r="G4543">
        <v>4</v>
      </c>
      <c r="H4543">
        <v>29110.28</v>
      </c>
      <c r="I4543">
        <v>4535.05</v>
      </c>
      <c r="J4543" t="s">
        <v>28</v>
      </c>
      <c r="K4543" t="s">
        <v>29</v>
      </c>
      <c r="L4543">
        <f t="shared" si="210"/>
        <v>2022</v>
      </c>
      <c r="M4543" t="str">
        <f t="shared" si="211"/>
        <v>Jul</v>
      </c>
      <c r="N4543" s="2">
        <f t="shared" si="212"/>
        <v>0.15578860801064093</v>
      </c>
    </row>
    <row r="4544" spans="1:14" x14ac:dyDescent="0.45">
      <c r="A4544" t="s">
        <v>8154</v>
      </c>
      <c r="B4544" s="1">
        <v>45601</v>
      </c>
      <c r="C4544" t="s">
        <v>8155</v>
      </c>
      <c r="D4544" t="s">
        <v>56</v>
      </c>
      <c r="E4544" t="s">
        <v>20</v>
      </c>
      <c r="F4544" t="s">
        <v>21</v>
      </c>
      <c r="G4544">
        <v>1</v>
      </c>
      <c r="H4544">
        <v>48078.06</v>
      </c>
      <c r="I4544">
        <v>6807.93</v>
      </c>
      <c r="J4544" t="s">
        <v>71</v>
      </c>
      <c r="K4544" t="s">
        <v>23</v>
      </c>
      <c r="L4544">
        <f t="shared" si="210"/>
        <v>2024</v>
      </c>
      <c r="M4544" t="str">
        <f t="shared" si="211"/>
        <v>Nov</v>
      </c>
      <c r="N4544" s="2">
        <f t="shared" si="212"/>
        <v>0.14160159540547188</v>
      </c>
    </row>
    <row r="4545" spans="1:14" x14ac:dyDescent="0.45">
      <c r="A4545" t="s">
        <v>8156</v>
      </c>
      <c r="B4545" s="1">
        <v>44720</v>
      </c>
      <c r="C4545" t="s">
        <v>8157</v>
      </c>
      <c r="D4545" t="s">
        <v>56</v>
      </c>
      <c r="E4545" t="s">
        <v>14</v>
      </c>
      <c r="F4545" t="s">
        <v>32</v>
      </c>
      <c r="G4545">
        <v>5</v>
      </c>
      <c r="H4545">
        <v>32373.47</v>
      </c>
      <c r="I4545">
        <v>4200.59</v>
      </c>
      <c r="J4545" t="s">
        <v>28</v>
      </c>
      <c r="K4545" t="s">
        <v>23</v>
      </c>
      <c r="L4545">
        <f t="shared" si="210"/>
        <v>2022</v>
      </c>
      <c r="M4545" t="str">
        <f t="shared" si="211"/>
        <v>Jun</v>
      </c>
      <c r="N4545" s="2">
        <f t="shared" si="212"/>
        <v>0.12975408567570915</v>
      </c>
    </row>
    <row r="4546" spans="1:14" x14ac:dyDescent="0.45">
      <c r="A4546" t="s">
        <v>8158</v>
      </c>
      <c r="B4546" s="1">
        <v>45419</v>
      </c>
      <c r="C4546" t="s">
        <v>1734</v>
      </c>
      <c r="D4546" t="s">
        <v>26</v>
      </c>
      <c r="E4546" t="s">
        <v>20</v>
      </c>
      <c r="F4546" t="s">
        <v>27</v>
      </c>
      <c r="G4546">
        <v>1</v>
      </c>
      <c r="H4546">
        <v>8483.0300000000007</v>
      </c>
      <c r="I4546">
        <v>951.11</v>
      </c>
      <c r="J4546" t="s">
        <v>16</v>
      </c>
      <c r="K4546" t="s">
        <v>29</v>
      </c>
      <c r="L4546">
        <f t="shared" si="210"/>
        <v>2024</v>
      </c>
      <c r="M4546" t="str">
        <f t="shared" si="211"/>
        <v>May</v>
      </c>
      <c r="N4546" s="2">
        <f t="shared" si="212"/>
        <v>0.11211913667639982</v>
      </c>
    </row>
    <row r="4547" spans="1:14" x14ac:dyDescent="0.45">
      <c r="A4547" t="s">
        <v>8159</v>
      </c>
      <c r="B4547" s="1">
        <v>44956</v>
      </c>
      <c r="C4547" t="s">
        <v>4556</v>
      </c>
      <c r="D4547" t="s">
        <v>13</v>
      </c>
      <c r="E4547" t="s">
        <v>20</v>
      </c>
      <c r="F4547" t="s">
        <v>27</v>
      </c>
      <c r="G4547">
        <v>2</v>
      </c>
      <c r="H4547">
        <v>34785.93</v>
      </c>
      <c r="I4547">
        <v>5841.12</v>
      </c>
      <c r="J4547" t="s">
        <v>71</v>
      </c>
      <c r="K4547" t="s">
        <v>33</v>
      </c>
      <c r="L4547">
        <f t="shared" ref="L4547:L4610" si="213">YEAR(B4547 )</f>
        <v>2023</v>
      </c>
      <c r="M4547" t="str">
        <f t="shared" ref="M4547:M4610" si="214">TEXT(B4547,"MMM")</f>
        <v>Jan</v>
      </c>
      <c r="N4547" s="2">
        <f t="shared" ref="N4547:N4610" si="215">I4547 / H4547</f>
        <v>0.16791616610508903</v>
      </c>
    </row>
    <row r="4548" spans="1:14" x14ac:dyDescent="0.45">
      <c r="A4548" t="s">
        <v>8160</v>
      </c>
      <c r="B4548" s="1">
        <v>44809</v>
      </c>
      <c r="C4548" t="s">
        <v>8161</v>
      </c>
      <c r="D4548" t="s">
        <v>56</v>
      </c>
      <c r="E4548" t="s">
        <v>14</v>
      </c>
      <c r="F4548" t="s">
        <v>15</v>
      </c>
      <c r="G4548">
        <v>5</v>
      </c>
      <c r="H4548">
        <v>21923.75</v>
      </c>
      <c r="I4548">
        <v>2943.42</v>
      </c>
      <c r="J4548" t="s">
        <v>71</v>
      </c>
      <c r="K4548" t="s">
        <v>23</v>
      </c>
      <c r="L4548">
        <f t="shared" si="213"/>
        <v>2022</v>
      </c>
      <c r="M4548" t="str">
        <f t="shared" si="214"/>
        <v>Sep</v>
      </c>
      <c r="N4548" s="2">
        <f t="shared" si="215"/>
        <v>0.13425714122812019</v>
      </c>
    </row>
    <row r="4549" spans="1:14" x14ac:dyDescent="0.45">
      <c r="A4549" t="s">
        <v>8162</v>
      </c>
      <c r="B4549" s="1">
        <v>45491</v>
      </c>
      <c r="C4549" t="s">
        <v>8163</v>
      </c>
      <c r="D4549" t="s">
        <v>13</v>
      </c>
      <c r="E4549" t="s">
        <v>36</v>
      </c>
      <c r="F4549" t="s">
        <v>53</v>
      </c>
      <c r="G4549">
        <v>1</v>
      </c>
      <c r="H4549">
        <v>27839.279999999999</v>
      </c>
      <c r="I4549">
        <v>3838.97</v>
      </c>
      <c r="J4549" t="s">
        <v>16</v>
      </c>
      <c r="K4549" t="s">
        <v>17</v>
      </c>
      <c r="L4549">
        <f t="shared" si="213"/>
        <v>2024</v>
      </c>
      <c r="M4549" t="str">
        <f t="shared" si="214"/>
        <v>Jul</v>
      </c>
      <c r="N4549" s="2">
        <f t="shared" si="215"/>
        <v>0.13789760367365822</v>
      </c>
    </row>
    <row r="4550" spans="1:14" x14ac:dyDescent="0.45">
      <c r="A4550" t="s">
        <v>8164</v>
      </c>
      <c r="B4550" s="1">
        <v>45009</v>
      </c>
      <c r="C4550" t="s">
        <v>8165</v>
      </c>
      <c r="D4550" t="s">
        <v>26</v>
      </c>
      <c r="E4550" t="s">
        <v>20</v>
      </c>
      <c r="F4550" t="s">
        <v>43</v>
      </c>
      <c r="G4550">
        <v>2</v>
      </c>
      <c r="H4550">
        <v>28964.84</v>
      </c>
      <c r="I4550">
        <v>4781.88</v>
      </c>
      <c r="J4550" t="s">
        <v>28</v>
      </c>
      <c r="K4550" t="s">
        <v>23</v>
      </c>
      <c r="L4550">
        <f t="shared" si="213"/>
        <v>2023</v>
      </c>
      <c r="M4550" t="str">
        <f t="shared" si="214"/>
        <v>Mar</v>
      </c>
      <c r="N4550" s="2">
        <f t="shared" si="215"/>
        <v>0.16509257430733262</v>
      </c>
    </row>
    <row r="4551" spans="1:14" x14ac:dyDescent="0.45">
      <c r="A4551" t="s">
        <v>8166</v>
      </c>
      <c r="B4551" s="1">
        <v>45267</v>
      </c>
      <c r="C4551" t="s">
        <v>8167</v>
      </c>
      <c r="D4551" t="s">
        <v>26</v>
      </c>
      <c r="E4551" t="s">
        <v>20</v>
      </c>
      <c r="F4551" t="s">
        <v>21</v>
      </c>
      <c r="G4551">
        <v>4</v>
      </c>
      <c r="H4551">
        <v>9041.18</v>
      </c>
      <c r="I4551">
        <v>2108.7199999999998</v>
      </c>
      <c r="J4551" t="s">
        <v>16</v>
      </c>
      <c r="K4551" t="s">
        <v>29</v>
      </c>
      <c r="L4551">
        <f t="shared" si="213"/>
        <v>2023</v>
      </c>
      <c r="M4551" t="str">
        <f t="shared" si="214"/>
        <v>Dec</v>
      </c>
      <c r="N4551" s="2">
        <f t="shared" si="215"/>
        <v>0.23323504232854558</v>
      </c>
    </row>
    <row r="4552" spans="1:14" x14ac:dyDescent="0.45">
      <c r="A4552" t="s">
        <v>8168</v>
      </c>
      <c r="B4552" s="1">
        <v>44621</v>
      </c>
      <c r="C4552" t="s">
        <v>8057</v>
      </c>
      <c r="D4552" t="s">
        <v>56</v>
      </c>
      <c r="E4552" t="s">
        <v>20</v>
      </c>
      <c r="F4552" t="s">
        <v>43</v>
      </c>
      <c r="G4552">
        <v>1</v>
      </c>
      <c r="H4552">
        <v>42558.31</v>
      </c>
      <c r="I4552">
        <v>7541.21</v>
      </c>
      <c r="J4552" t="s">
        <v>22</v>
      </c>
      <c r="K4552" t="s">
        <v>23</v>
      </c>
      <c r="L4552">
        <f t="shared" si="213"/>
        <v>2022</v>
      </c>
      <c r="M4552" t="str">
        <f t="shared" si="214"/>
        <v>Mar</v>
      </c>
      <c r="N4552" s="2">
        <f t="shared" si="215"/>
        <v>0.17719712084431924</v>
      </c>
    </row>
    <row r="4553" spans="1:14" x14ac:dyDescent="0.45">
      <c r="A4553" t="s">
        <v>8169</v>
      </c>
      <c r="B4553" s="1">
        <v>44909</v>
      </c>
      <c r="C4553" t="s">
        <v>860</v>
      </c>
      <c r="D4553" t="s">
        <v>26</v>
      </c>
      <c r="E4553" t="s">
        <v>36</v>
      </c>
      <c r="F4553" t="s">
        <v>64</v>
      </c>
      <c r="G4553">
        <v>3</v>
      </c>
      <c r="H4553">
        <v>46587.99</v>
      </c>
      <c r="I4553">
        <v>7083.9</v>
      </c>
      <c r="J4553" t="s">
        <v>22</v>
      </c>
      <c r="K4553" t="s">
        <v>29</v>
      </c>
      <c r="L4553">
        <f t="shared" si="213"/>
        <v>2022</v>
      </c>
      <c r="M4553" t="str">
        <f t="shared" si="214"/>
        <v>Dec</v>
      </c>
      <c r="N4553" s="2">
        <f t="shared" si="215"/>
        <v>0.15205420967936156</v>
      </c>
    </row>
    <row r="4554" spans="1:14" x14ac:dyDescent="0.45">
      <c r="A4554" t="s">
        <v>8170</v>
      </c>
      <c r="B4554" s="1">
        <v>44683</v>
      </c>
      <c r="C4554" t="s">
        <v>2336</v>
      </c>
      <c r="D4554" t="s">
        <v>26</v>
      </c>
      <c r="E4554" t="s">
        <v>20</v>
      </c>
      <c r="F4554" t="s">
        <v>21</v>
      </c>
      <c r="G4554">
        <v>3</v>
      </c>
      <c r="H4554">
        <v>26972.83</v>
      </c>
      <c r="I4554">
        <v>5678.35</v>
      </c>
      <c r="J4554" t="s">
        <v>71</v>
      </c>
      <c r="K4554" t="s">
        <v>17</v>
      </c>
      <c r="L4554">
        <f t="shared" si="213"/>
        <v>2022</v>
      </c>
      <c r="M4554" t="str">
        <f t="shared" si="214"/>
        <v>May</v>
      </c>
      <c r="N4554" s="2">
        <f t="shared" si="215"/>
        <v>0.21052110586838682</v>
      </c>
    </row>
    <row r="4555" spans="1:14" x14ac:dyDescent="0.45">
      <c r="A4555" t="s">
        <v>8171</v>
      </c>
      <c r="B4555" s="1">
        <v>45304</v>
      </c>
      <c r="C4555" t="s">
        <v>8172</v>
      </c>
      <c r="D4555" t="s">
        <v>26</v>
      </c>
      <c r="E4555" t="s">
        <v>20</v>
      </c>
      <c r="F4555" t="s">
        <v>43</v>
      </c>
      <c r="G4555">
        <v>4</v>
      </c>
      <c r="H4555">
        <v>31465.58</v>
      </c>
      <c r="I4555">
        <v>1781.92</v>
      </c>
      <c r="J4555" t="s">
        <v>28</v>
      </c>
      <c r="K4555" t="s">
        <v>23</v>
      </c>
      <c r="L4555">
        <f t="shared" si="213"/>
        <v>2024</v>
      </c>
      <c r="M4555" t="str">
        <f t="shared" si="214"/>
        <v>Jan</v>
      </c>
      <c r="N4555" s="2">
        <f t="shared" si="215"/>
        <v>5.6630769240547926E-2</v>
      </c>
    </row>
    <row r="4556" spans="1:14" x14ac:dyDescent="0.45">
      <c r="A4556" t="s">
        <v>8173</v>
      </c>
      <c r="B4556" s="1">
        <v>45149</v>
      </c>
      <c r="C4556" t="s">
        <v>4525</v>
      </c>
      <c r="D4556" t="s">
        <v>56</v>
      </c>
      <c r="E4556" t="s">
        <v>20</v>
      </c>
      <c r="F4556" t="s">
        <v>43</v>
      </c>
      <c r="G4556">
        <v>1</v>
      </c>
      <c r="H4556">
        <v>17253.16</v>
      </c>
      <c r="I4556">
        <v>1884.63</v>
      </c>
      <c r="J4556" t="s">
        <v>22</v>
      </c>
      <c r="K4556" t="s">
        <v>29</v>
      </c>
      <c r="L4556">
        <f t="shared" si="213"/>
        <v>2023</v>
      </c>
      <c r="M4556" t="str">
        <f t="shared" si="214"/>
        <v>Aug</v>
      </c>
      <c r="N4556" s="2">
        <f t="shared" si="215"/>
        <v>0.10923390265899117</v>
      </c>
    </row>
    <row r="4557" spans="1:14" x14ac:dyDescent="0.45">
      <c r="A4557" t="s">
        <v>8174</v>
      </c>
      <c r="B4557" s="1">
        <v>45087</v>
      </c>
      <c r="C4557" t="s">
        <v>4161</v>
      </c>
      <c r="D4557" t="s">
        <v>13</v>
      </c>
      <c r="E4557" t="s">
        <v>20</v>
      </c>
      <c r="F4557" t="s">
        <v>43</v>
      </c>
      <c r="G4557">
        <v>2</v>
      </c>
      <c r="H4557">
        <v>7147.27</v>
      </c>
      <c r="I4557">
        <v>759.53</v>
      </c>
      <c r="J4557" t="s">
        <v>47</v>
      </c>
      <c r="K4557" t="s">
        <v>29</v>
      </c>
      <c r="L4557">
        <f t="shared" si="213"/>
        <v>2023</v>
      </c>
      <c r="M4557" t="str">
        <f t="shared" si="214"/>
        <v>Jun</v>
      </c>
      <c r="N4557" s="2">
        <f t="shared" si="215"/>
        <v>0.10626854729148331</v>
      </c>
    </row>
    <row r="4558" spans="1:14" x14ac:dyDescent="0.45">
      <c r="A4558" t="s">
        <v>8175</v>
      </c>
      <c r="B4558" s="1">
        <v>44875</v>
      </c>
      <c r="C4558" t="s">
        <v>8176</v>
      </c>
      <c r="D4558" t="s">
        <v>56</v>
      </c>
      <c r="E4558" t="s">
        <v>36</v>
      </c>
      <c r="F4558" t="s">
        <v>37</v>
      </c>
      <c r="G4558">
        <v>3</v>
      </c>
      <c r="H4558">
        <v>13833.96</v>
      </c>
      <c r="I4558">
        <v>2256.54</v>
      </c>
      <c r="J4558" t="s">
        <v>71</v>
      </c>
      <c r="K4558" t="s">
        <v>33</v>
      </c>
      <c r="L4558">
        <f t="shared" si="213"/>
        <v>2022</v>
      </c>
      <c r="M4558" t="str">
        <f t="shared" si="214"/>
        <v>Nov</v>
      </c>
      <c r="N4558" s="2">
        <f t="shared" si="215"/>
        <v>0.16311598414336895</v>
      </c>
    </row>
    <row r="4559" spans="1:14" x14ac:dyDescent="0.45">
      <c r="A4559" t="s">
        <v>8177</v>
      </c>
      <c r="B4559" s="1">
        <v>44605</v>
      </c>
      <c r="C4559" t="s">
        <v>8178</v>
      </c>
      <c r="D4559" t="s">
        <v>13</v>
      </c>
      <c r="E4559" t="s">
        <v>14</v>
      </c>
      <c r="F4559" t="s">
        <v>15</v>
      </c>
      <c r="G4559">
        <v>1</v>
      </c>
      <c r="H4559">
        <v>20936.02</v>
      </c>
      <c r="I4559">
        <v>1260.45</v>
      </c>
      <c r="J4559" t="s">
        <v>47</v>
      </c>
      <c r="K4559" t="s">
        <v>29</v>
      </c>
      <c r="L4559">
        <f t="shared" si="213"/>
        <v>2022</v>
      </c>
      <c r="M4559" t="str">
        <f t="shared" si="214"/>
        <v>Feb</v>
      </c>
      <c r="N4559" s="2">
        <f t="shared" si="215"/>
        <v>6.0204852689288602E-2</v>
      </c>
    </row>
    <row r="4560" spans="1:14" x14ac:dyDescent="0.45">
      <c r="A4560" t="s">
        <v>8179</v>
      </c>
      <c r="B4560" s="1">
        <v>45349</v>
      </c>
      <c r="C4560" t="s">
        <v>1137</v>
      </c>
      <c r="D4560" t="s">
        <v>26</v>
      </c>
      <c r="E4560" t="s">
        <v>36</v>
      </c>
      <c r="F4560" t="s">
        <v>46</v>
      </c>
      <c r="G4560">
        <v>4</v>
      </c>
      <c r="H4560">
        <v>46777.59</v>
      </c>
      <c r="I4560">
        <v>10540.78</v>
      </c>
      <c r="J4560" t="s">
        <v>47</v>
      </c>
      <c r="K4560" t="s">
        <v>17</v>
      </c>
      <c r="L4560">
        <f t="shared" si="213"/>
        <v>2024</v>
      </c>
      <c r="M4560" t="str">
        <f t="shared" si="214"/>
        <v>Feb</v>
      </c>
      <c r="N4560" s="2">
        <f t="shared" si="215"/>
        <v>0.22533824423190679</v>
      </c>
    </row>
    <row r="4561" spans="1:14" x14ac:dyDescent="0.45">
      <c r="A4561" t="s">
        <v>8180</v>
      </c>
      <c r="B4561" s="1">
        <v>44917</v>
      </c>
      <c r="C4561" t="s">
        <v>8181</v>
      </c>
      <c r="D4561" t="s">
        <v>26</v>
      </c>
      <c r="E4561" t="s">
        <v>20</v>
      </c>
      <c r="F4561" t="s">
        <v>27</v>
      </c>
      <c r="G4561">
        <v>1</v>
      </c>
      <c r="H4561">
        <v>45183.24</v>
      </c>
      <c r="I4561">
        <v>6564.44</v>
      </c>
      <c r="J4561" t="s">
        <v>28</v>
      </c>
      <c r="K4561" t="s">
        <v>23</v>
      </c>
      <c r="L4561">
        <f t="shared" si="213"/>
        <v>2022</v>
      </c>
      <c r="M4561" t="str">
        <f t="shared" si="214"/>
        <v>Dec</v>
      </c>
      <c r="N4561" s="2">
        <f t="shared" si="215"/>
        <v>0.14528484455740667</v>
      </c>
    </row>
    <row r="4562" spans="1:14" x14ac:dyDescent="0.45">
      <c r="A4562" t="s">
        <v>8182</v>
      </c>
      <c r="B4562" s="1">
        <v>45039</v>
      </c>
      <c r="C4562" t="s">
        <v>8183</v>
      </c>
      <c r="D4562" t="s">
        <v>26</v>
      </c>
      <c r="E4562" t="s">
        <v>14</v>
      </c>
      <c r="F4562" t="s">
        <v>57</v>
      </c>
      <c r="G4562">
        <v>4</v>
      </c>
      <c r="H4562">
        <v>24216.41</v>
      </c>
      <c r="I4562">
        <v>2411.77</v>
      </c>
      <c r="J4562" t="s">
        <v>71</v>
      </c>
      <c r="K4562" t="s">
        <v>33</v>
      </c>
      <c r="L4562">
        <f t="shared" si="213"/>
        <v>2023</v>
      </c>
      <c r="M4562" t="str">
        <f t="shared" si="214"/>
        <v>Apr</v>
      </c>
      <c r="N4562" s="2">
        <f t="shared" si="215"/>
        <v>9.9592383842196264E-2</v>
      </c>
    </row>
    <row r="4563" spans="1:14" x14ac:dyDescent="0.45">
      <c r="A4563" t="s">
        <v>8184</v>
      </c>
      <c r="B4563" s="1">
        <v>45297</v>
      </c>
      <c r="C4563" t="s">
        <v>2272</v>
      </c>
      <c r="D4563" t="s">
        <v>56</v>
      </c>
      <c r="E4563" t="s">
        <v>36</v>
      </c>
      <c r="F4563" t="s">
        <v>37</v>
      </c>
      <c r="G4563">
        <v>1</v>
      </c>
      <c r="H4563">
        <v>13238.61</v>
      </c>
      <c r="I4563">
        <v>3305.51</v>
      </c>
      <c r="J4563" t="s">
        <v>47</v>
      </c>
      <c r="K4563" t="s">
        <v>33</v>
      </c>
      <c r="L4563">
        <f t="shared" si="213"/>
        <v>2024</v>
      </c>
      <c r="M4563" t="str">
        <f t="shared" si="214"/>
        <v>Jan</v>
      </c>
      <c r="N4563" s="2">
        <f t="shared" si="215"/>
        <v>0.2496870895056203</v>
      </c>
    </row>
    <row r="4564" spans="1:14" x14ac:dyDescent="0.45">
      <c r="A4564" t="s">
        <v>8185</v>
      </c>
      <c r="B4564" s="1">
        <v>44730</v>
      </c>
      <c r="C4564" t="s">
        <v>7615</v>
      </c>
      <c r="D4564" t="s">
        <v>26</v>
      </c>
      <c r="E4564" t="s">
        <v>14</v>
      </c>
      <c r="F4564" t="s">
        <v>40</v>
      </c>
      <c r="G4564">
        <v>4</v>
      </c>
      <c r="H4564">
        <v>4379.63</v>
      </c>
      <c r="I4564">
        <v>835.55</v>
      </c>
      <c r="J4564" t="s">
        <v>22</v>
      </c>
      <c r="K4564" t="s">
        <v>29</v>
      </c>
      <c r="L4564">
        <f t="shared" si="213"/>
        <v>2022</v>
      </c>
      <c r="M4564" t="str">
        <f t="shared" si="214"/>
        <v>Jun</v>
      </c>
      <c r="N4564" s="2">
        <f t="shared" si="215"/>
        <v>0.19078095638216011</v>
      </c>
    </row>
    <row r="4565" spans="1:14" x14ac:dyDescent="0.45">
      <c r="A4565" t="s">
        <v>8186</v>
      </c>
      <c r="B4565" s="1">
        <v>44615</v>
      </c>
      <c r="C4565" t="s">
        <v>1000</v>
      </c>
      <c r="D4565" t="s">
        <v>26</v>
      </c>
      <c r="E4565" t="s">
        <v>36</v>
      </c>
      <c r="F4565" t="s">
        <v>46</v>
      </c>
      <c r="G4565">
        <v>4</v>
      </c>
      <c r="H4565">
        <v>10077.379999999999</v>
      </c>
      <c r="I4565">
        <v>2168.9899999999998</v>
      </c>
      <c r="J4565" t="s">
        <v>47</v>
      </c>
      <c r="K4565" t="s">
        <v>17</v>
      </c>
      <c r="L4565">
        <f t="shared" si="213"/>
        <v>2022</v>
      </c>
      <c r="M4565" t="str">
        <f t="shared" si="214"/>
        <v>Feb</v>
      </c>
      <c r="N4565" s="2">
        <f t="shared" si="215"/>
        <v>0.21523352299903348</v>
      </c>
    </row>
    <row r="4566" spans="1:14" x14ac:dyDescent="0.45">
      <c r="A4566" t="s">
        <v>8187</v>
      </c>
      <c r="B4566" s="1">
        <v>45251</v>
      </c>
      <c r="C4566" t="s">
        <v>6828</v>
      </c>
      <c r="D4566" t="s">
        <v>26</v>
      </c>
      <c r="E4566" t="s">
        <v>14</v>
      </c>
      <c r="F4566" t="s">
        <v>32</v>
      </c>
      <c r="G4566">
        <v>2</v>
      </c>
      <c r="H4566">
        <v>18799.84</v>
      </c>
      <c r="I4566">
        <v>1799.63</v>
      </c>
      <c r="J4566" t="s">
        <v>28</v>
      </c>
      <c r="K4566" t="s">
        <v>23</v>
      </c>
      <c r="L4566">
        <f t="shared" si="213"/>
        <v>2023</v>
      </c>
      <c r="M4566" t="str">
        <f t="shared" si="214"/>
        <v>Nov</v>
      </c>
      <c r="N4566" s="2">
        <f t="shared" si="215"/>
        <v>9.5725814687784586E-2</v>
      </c>
    </row>
    <row r="4567" spans="1:14" x14ac:dyDescent="0.45">
      <c r="A4567" t="s">
        <v>8188</v>
      </c>
      <c r="B4567" s="1">
        <v>45214</v>
      </c>
      <c r="C4567" t="s">
        <v>8189</v>
      </c>
      <c r="D4567" t="s">
        <v>26</v>
      </c>
      <c r="E4567" t="s">
        <v>20</v>
      </c>
      <c r="F4567" t="s">
        <v>27</v>
      </c>
      <c r="G4567">
        <v>4</v>
      </c>
      <c r="H4567">
        <v>40994.94</v>
      </c>
      <c r="I4567">
        <v>9671.5499999999993</v>
      </c>
      <c r="J4567" t="s">
        <v>22</v>
      </c>
      <c r="K4567" t="s">
        <v>33</v>
      </c>
      <c r="L4567">
        <f t="shared" si="213"/>
        <v>2023</v>
      </c>
      <c r="M4567" t="str">
        <f t="shared" si="214"/>
        <v>Oct</v>
      </c>
      <c r="N4567" s="2">
        <f t="shared" si="215"/>
        <v>0.23592057946663658</v>
      </c>
    </row>
    <row r="4568" spans="1:14" x14ac:dyDescent="0.45">
      <c r="A4568" t="s">
        <v>8190</v>
      </c>
      <c r="B4568" s="1">
        <v>44734</v>
      </c>
      <c r="C4568" t="s">
        <v>8191</v>
      </c>
      <c r="D4568" t="s">
        <v>13</v>
      </c>
      <c r="E4568" t="s">
        <v>36</v>
      </c>
      <c r="F4568" t="s">
        <v>64</v>
      </c>
      <c r="G4568">
        <v>5</v>
      </c>
      <c r="H4568">
        <v>47611.360000000001</v>
      </c>
      <c r="I4568">
        <v>8361.69</v>
      </c>
      <c r="J4568" t="s">
        <v>47</v>
      </c>
      <c r="K4568" t="s">
        <v>33</v>
      </c>
      <c r="L4568">
        <f t="shared" si="213"/>
        <v>2022</v>
      </c>
      <c r="M4568" t="str">
        <f t="shared" si="214"/>
        <v>Jun</v>
      </c>
      <c r="N4568" s="2">
        <f t="shared" si="215"/>
        <v>0.17562384271316761</v>
      </c>
    </row>
    <row r="4569" spans="1:14" x14ac:dyDescent="0.45">
      <c r="A4569" t="s">
        <v>8192</v>
      </c>
      <c r="B4569" s="1">
        <v>44908</v>
      </c>
      <c r="C4569" t="s">
        <v>8193</v>
      </c>
      <c r="D4569" t="s">
        <v>26</v>
      </c>
      <c r="E4569" t="s">
        <v>14</v>
      </c>
      <c r="F4569" t="s">
        <v>40</v>
      </c>
      <c r="G4569">
        <v>3</v>
      </c>
      <c r="H4569">
        <v>1383.35</v>
      </c>
      <c r="I4569">
        <v>77.760000000000005</v>
      </c>
      <c r="J4569" t="s">
        <v>16</v>
      </c>
      <c r="K4569" t="s">
        <v>29</v>
      </c>
      <c r="L4569">
        <f t="shared" si="213"/>
        <v>2022</v>
      </c>
      <c r="M4569" t="str">
        <f t="shared" si="214"/>
        <v>Dec</v>
      </c>
      <c r="N4569" s="2">
        <f t="shared" si="215"/>
        <v>5.6211370947337989E-2</v>
      </c>
    </row>
    <row r="4570" spans="1:14" x14ac:dyDescent="0.45">
      <c r="A4570" t="s">
        <v>8194</v>
      </c>
      <c r="B4570" s="1">
        <v>44573</v>
      </c>
      <c r="C4570" t="s">
        <v>1744</v>
      </c>
      <c r="D4570" t="s">
        <v>56</v>
      </c>
      <c r="E4570" t="s">
        <v>20</v>
      </c>
      <c r="F4570" t="s">
        <v>50</v>
      </c>
      <c r="G4570">
        <v>3</v>
      </c>
      <c r="H4570">
        <v>26960.85</v>
      </c>
      <c r="I4570">
        <v>3772.85</v>
      </c>
      <c r="J4570" t="s">
        <v>47</v>
      </c>
      <c r="K4570" t="s">
        <v>33</v>
      </c>
      <c r="L4570">
        <f t="shared" si="213"/>
        <v>2022</v>
      </c>
      <c r="M4570" t="str">
        <f t="shared" si="214"/>
        <v>Jan</v>
      </c>
      <c r="N4570" s="2">
        <f t="shared" si="215"/>
        <v>0.13993809542354935</v>
      </c>
    </row>
    <row r="4571" spans="1:14" x14ac:dyDescent="0.45">
      <c r="A4571" t="s">
        <v>8195</v>
      </c>
      <c r="B4571" s="1">
        <v>45180</v>
      </c>
      <c r="C4571" t="s">
        <v>8196</v>
      </c>
      <c r="D4571" t="s">
        <v>56</v>
      </c>
      <c r="E4571" t="s">
        <v>36</v>
      </c>
      <c r="F4571" t="s">
        <v>37</v>
      </c>
      <c r="G4571">
        <v>1</v>
      </c>
      <c r="H4571">
        <v>7443.9</v>
      </c>
      <c r="I4571">
        <v>859.76</v>
      </c>
      <c r="J4571" t="s">
        <v>47</v>
      </c>
      <c r="K4571" t="s">
        <v>17</v>
      </c>
      <c r="L4571">
        <f t="shared" si="213"/>
        <v>2023</v>
      </c>
      <c r="M4571" t="str">
        <f t="shared" si="214"/>
        <v>Sep</v>
      </c>
      <c r="N4571" s="2">
        <f t="shared" si="215"/>
        <v>0.11549859616598826</v>
      </c>
    </row>
    <row r="4572" spans="1:14" x14ac:dyDescent="0.45">
      <c r="A4572" t="s">
        <v>8197</v>
      </c>
      <c r="B4572" s="1">
        <v>44928</v>
      </c>
      <c r="C4572" t="s">
        <v>2606</v>
      </c>
      <c r="D4572" t="s">
        <v>26</v>
      </c>
      <c r="E4572" t="s">
        <v>36</v>
      </c>
      <c r="F4572" t="s">
        <v>53</v>
      </c>
      <c r="G4572">
        <v>1</v>
      </c>
      <c r="H4572">
        <v>36760.31</v>
      </c>
      <c r="I4572">
        <v>2689.45</v>
      </c>
      <c r="J4572" t="s">
        <v>16</v>
      </c>
      <c r="K4572" t="s">
        <v>33</v>
      </c>
      <c r="L4572">
        <f t="shared" si="213"/>
        <v>2023</v>
      </c>
      <c r="M4572" t="str">
        <f t="shared" si="214"/>
        <v>Jan</v>
      </c>
      <c r="N4572" s="2">
        <f t="shared" si="215"/>
        <v>7.3161787808644699E-2</v>
      </c>
    </row>
    <row r="4573" spans="1:14" x14ac:dyDescent="0.45">
      <c r="A4573" t="s">
        <v>8198</v>
      </c>
      <c r="B4573" s="1">
        <v>44647</v>
      </c>
      <c r="C4573" t="s">
        <v>4361</v>
      </c>
      <c r="D4573" t="s">
        <v>26</v>
      </c>
      <c r="E4573" t="s">
        <v>20</v>
      </c>
      <c r="F4573" t="s">
        <v>27</v>
      </c>
      <c r="G4573">
        <v>1</v>
      </c>
      <c r="H4573">
        <v>21658.799999999999</v>
      </c>
      <c r="I4573">
        <v>1790.79</v>
      </c>
      <c r="J4573" t="s">
        <v>22</v>
      </c>
      <c r="K4573" t="s">
        <v>29</v>
      </c>
      <c r="L4573">
        <f t="shared" si="213"/>
        <v>2022</v>
      </c>
      <c r="M4573" t="str">
        <f t="shared" si="214"/>
        <v>Mar</v>
      </c>
      <c r="N4573" s="2">
        <f t="shared" si="215"/>
        <v>8.2681866031359075E-2</v>
      </c>
    </row>
    <row r="4574" spans="1:14" x14ac:dyDescent="0.45">
      <c r="A4574" t="s">
        <v>8199</v>
      </c>
      <c r="B4574" s="1">
        <v>44565</v>
      </c>
      <c r="C4574" t="s">
        <v>8200</v>
      </c>
      <c r="D4574" t="s">
        <v>56</v>
      </c>
      <c r="E4574" t="s">
        <v>14</v>
      </c>
      <c r="F4574" t="s">
        <v>15</v>
      </c>
      <c r="G4574">
        <v>5</v>
      </c>
      <c r="H4574">
        <v>4997.3100000000004</v>
      </c>
      <c r="I4574">
        <v>776.62</v>
      </c>
      <c r="J4574" t="s">
        <v>71</v>
      </c>
      <c r="K4574" t="s">
        <v>29</v>
      </c>
      <c r="L4574">
        <f t="shared" si="213"/>
        <v>2022</v>
      </c>
      <c r="M4574" t="str">
        <f t="shared" si="214"/>
        <v>Jan</v>
      </c>
      <c r="N4574" s="2">
        <f t="shared" si="215"/>
        <v>0.15540760929380004</v>
      </c>
    </row>
    <row r="4575" spans="1:14" x14ac:dyDescent="0.45">
      <c r="A4575" t="s">
        <v>8201</v>
      </c>
      <c r="B4575" s="1">
        <v>45139</v>
      </c>
      <c r="C4575" t="s">
        <v>8202</v>
      </c>
      <c r="D4575" t="s">
        <v>56</v>
      </c>
      <c r="E4575" t="s">
        <v>36</v>
      </c>
      <c r="F4575" t="s">
        <v>64</v>
      </c>
      <c r="G4575">
        <v>3</v>
      </c>
      <c r="H4575">
        <v>47587.47</v>
      </c>
      <c r="I4575">
        <v>5491.57</v>
      </c>
      <c r="J4575" t="s">
        <v>71</v>
      </c>
      <c r="K4575" t="s">
        <v>33</v>
      </c>
      <c r="L4575">
        <f t="shared" si="213"/>
        <v>2023</v>
      </c>
      <c r="M4575" t="str">
        <f t="shared" si="214"/>
        <v>Aug</v>
      </c>
      <c r="N4575" s="2">
        <f t="shared" si="215"/>
        <v>0.11539949486703116</v>
      </c>
    </row>
    <row r="4576" spans="1:14" x14ac:dyDescent="0.45">
      <c r="A4576" t="s">
        <v>8203</v>
      </c>
      <c r="B4576" s="1">
        <v>45310</v>
      </c>
      <c r="C4576" t="s">
        <v>8204</v>
      </c>
      <c r="D4576" t="s">
        <v>26</v>
      </c>
      <c r="E4576" t="s">
        <v>14</v>
      </c>
      <c r="F4576" t="s">
        <v>15</v>
      </c>
      <c r="G4576">
        <v>1</v>
      </c>
      <c r="H4576">
        <v>28916.240000000002</v>
      </c>
      <c r="I4576">
        <v>1530.04</v>
      </c>
      <c r="J4576" t="s">
        <v>28</v>
      </c>
      <c r="K4576" t="s">
        <v>29</v>
      </c>
      <c r="L4576">
        <f t="shared" si="213"/>
        <v>2024</v>
      </c>
      <c r="M4576" t="str">
        <f t="shared" si="214"/>
        <v>Jan</v>
      </c>
      <c r="N4576" s="2">
        <f t="shared" si="215"/>
        <v>5.2912826840557411E-2</v>
      </c>
    </row>
    <row r="4577" spans="1:14" x14ac:dyDescent="0.45">
      <c r="A4577" t="s">
        <v>8205</v>
      </c>
      <c r="B4577" s="1">
        <v>44595</v>
      </c>
      <c r="C4577" t="s">
        <v>8206</v>
      </c>
      <c r="D4577" t="s">
        <v>26</v>
      </c>
      <c r="E4577" t="s">
        <v>20</v>
      </c>
      <c r="F4577" t="s">
        <v>21</v>
      </c>
      <c r="G4577">
        <v>3</v>
      </c>
      <c r="H4577">
        <v>26572.04</v>
      </c>
      <c r="I4577">
        <v>2044.11</v>
      </c>
      <c r="J4577" t="s">
        <v>22</v>
      </c>
      <c r="K4577" t="s">
        <v>33</v>
      </c>
      <c r="L4577">
        <f t="shared" si="213"/>
        <v>2022</v>
      </c>
      <c r="M4577" t="str">
        <f t="shared" si="214"/>
        <v>Feb</v>
      </c>
      <c r="N4577" s="2">
        <f t="shared" si="215"/>
        <v>7.6927100817250002E-2</v>
      </c>
    </row>
    <row r="4578" spans="1:14" x14ac:dyDescent="0.45">
      <c r="A4578" t="s">
        <v>8207</v>
      </c>
      <c r="B4578" s="1">
        <v>45627</v>
      </c>
      <c r="C4578" t="s">
        <v>8208</v>
      </c>
      <c r="D4578" t="s">
        <v>56</v>
      </c>
      <c r="E4578" t="s">
        <v>14</v>
      </c>
      <c r="F4578" t="s">
        <v>15</v>
      </c>
      <c r="G4578">
        <v>1</v>
      </c>
      <c r="H4578">
        <v>15315.29</v>
      </c>
      <c r="I4578">
        <v>1978.99</v>
      </c>
      <c r="J4578" t="s">
        <v>28</v>
      </c>
      <c r="K4578" t="s">
        <v>23</v>
      </c>
      <c r="L4578">
        <f t="shared" si="213"/>
        <v>2024</v>
      </c>
      <c r="M4578" t="str">
        <f t="shared" si="214"/>
        <v>Dec</v>
      </c>
      <c r="N4578" s="2">
        <f t="shared" si="215"/>
        <v>0.12921661946982393</v>
      </c>
    </row>
    <row r="4579" spans="1:14" x14ac:dyDescent="0.45">
      <c r="A4579" t="s">
        <v>8209</v>
      </c>
      <c r="B4579" s="1">
        <v>45224</v>
      </c>
      <c r="C4579" t="s">
        <v>8210</v>
      </c>
      <c r="D4579" t="s">
        <v>56</v>
      </c>
      <c r="E4579" t="s">
        <v>20</v>
      </c>
      <c r="F4579" t="s">
        <v>27</v>
      </c>
      <c r="G4579">
        <v>3</v>
      </c>
      <c r="H4579">
        <v>24392.82</v>
      </c>
      <c r="I4579">
        <v>2380.73</v>
      </c>
      <c r="J4579" t="s">
        <v>71</v>
      </c>
      <c r="K4579" t="s">
        <v>29</v>
      </c>
      <c r="L4579">
        <f t="shared" si="213"/>
        <v>2023</v>
      </c>
      <c r="M4579" t="str">
        <f t="shared" si="214"/>
        <v>Oct</v>
      </c>
      <c r="N4579" s="2">
        <f t="shared" si="215"/>
        <v>9.7599621527974217E-2</v>
      </c>
    </row>
    <row r="4580" spans="1:14" x14ac:dyDescent="0.45">
      <c r="A4580" t="s">
        <v>8211</v>
      </c>
      <c r="B4580" s="1">
        <v>44727</v>
      </c>
      <c r="C4580" t="s">
        <v>8212</v>
      </c>
      <c r="D4580" t="s">
        <v>13</v>
      </c>
      <c r="E4580" t="s">
        <v>14</v>
      </c>
      <c r="F4580" t="s">
        <v>15</v>
      </c>
      <c r="G4580">
        <v>4</v>
      </c>
      <c r="H4580">
        <v>44802.61</v>
      </c>
      <c r="I4580">
        <v>11022.58</v>
      </c>
      <c r="J4580" t="s">
        <v>47</v>
      </c>
      <c r="K4580" t="s">
        <v>23</v>
      </c>
      <c r="L4580">
        <f t="shared" si="213"/>
        <v>2022</v>
      </c>
      <c r="M4580" t="str">
        <f t="shared" si="214"/>
        <v>Jun</v>
      </c>
      <c r="N4580" s="2">
        <f t="shared" si="215"/>
        <v>0.24602539896671197</v>
      </c>
    </row>
    <row r="4581" spans="1:14" x14ac:dyDescent="0.45">
      <c r="A4581" t="s">
        <v>8213</v>
      </c>
      <c r="B4581" s="1">
        <v>45225</v>
      </c>
      <c r="C4581" t="s">
        <v>202</v>
      </c>
      <c r="D4581" t="s">
        <v>56</v>
      </c>
      <c r="E4581" t="s">
        <v>14</v>
      </c>
      <c r="F4581" t="s">
        <v>57</v>
      </c>
      <c r="G4581">
        <v>1</v>
      </c>
      <c r="H4581">
        <v>35586.32</v>
      </c>
      <c r="I4581">
        <v>3685.37</v>
      </c>
      <c r="J4581" t="s">
        <v>28</v>
      </c>
      <c r="K4581" t="s">
        <v>33</v>
      </c>
      <c r="L4581">
        <f t="shared" si="213"/>
        <v>2023</v>
      </c>
      <c r="M4581" t="str">
        <f t="shared" si="214"/>
        <v>Oct</v>
      </c>
      <c r="N4581" s="2">
        <f t="shared" si="215"/>
        <v>0.10356142472725474</v>
      </c>
    </row>
    <row r="4582" spans="1:14" x14ac:dyDescent="0.45">
      <c r="A4582" t="s">
        <v>8214</v>
      </c>
      <c r="B4582" s="1">
        <v>44898</v>
      </c>
      <c r="C4582" t="s">
        <v>8215</v>
      </c>
      <c r="D4582" t="s">
        <v>56</v>
      </c>
      <c r="E4582" t="s">
        <v>20</v>
      </c>
      <c r="F4582" t="s">
        <v>27</v>
      </c>
      <c r="G4582">
        <v>5</v>
      </c>
      <c r="H4582">
        <v>6697.4</v>
      </c>
      <c r="I4582">
        <v>750.42</v>
      </c>
      <c r="J4582" t="s">
        <v>71</v>
      </c>
      <c r="K4582" t="s">
        <v>29</v>
      </c>
      <c r="L4582">
        <f t="shared" si="213"/>
        <v>2022</v>
      </c>
      <c r="M4582" t="str">
        <f t="shared" si="214"/>
        <v>Dec</v>
      </c>
      <c r="N4582" s="2">
        <f t="shared" si="215"/>
        <v>0.11204646579269567</v>
      </c>
    </row>
    <row r="4583" spans="1:14" x14ac:dyDescent="0.45">
      <c r="A4583" t="s">
        <v>8216</v>
      </c>
      <c r="B4583" s="1">
        <v>45291</v>
      </c>
      <c r="C4583" t="s">
        <v>8217</v>
      </c>
      <c r="D4583" t="s">
        <v>56</v>
      </c>
      <c r="E4583" t="s">
        <v>14</v>
      </c>
      <c r="F4583" t="s">
        <v>57</v>
      </c>
      <c r="G4583">
        <v>3</v>
      </c>
      <c r="H4583">
        <v>41960.01</v>
      </c>
      <c r="I4583">
        <v>6176.42</v>
      </c>
      <c r="J4583" t="s">
        <v>22</v>
      </c>
      <c r="K4583" t="s">
        <v>23</v>
      </c>
      <c r="L4583">
        <f t="shared" si="213"/>
        <v>2023</v>
      </c>
      <c r="M4583" t="str">
        <f t="shared" si="214"/>
        <v>Dec</v>
      </c>
      <c r="N4583" s="2">
        <f t="shared" si="215"/>
        <v>0.14719777235515435</v>
      </c>
    </row>
    <row r="4584" spans="1:14" x14ac:dyDescent="0.45">
      <c r="A4584" t="s">
        <v>8218</v>
      </c>
      <c r="B4584" s="1">
        <v>45064</v>
      </c>
      <c r="C4584" t="s">
        <v>8219</v>
      </c>
      <c r="D4584" t="s">
        <v>56</v>
      </c>
      <c r="E4584" t="s">
        <v>14</v>
      </c>
      <c r="F4584" t="s">
        <v>15</v>
      </c>
      <c r="G4584">
        <v>3</v>
      </c>
      <c r="H4584">
        <v>5259.13</v>
      </c>
      <c r="I4584">
        <v>284.51</v>
      </c>
      <c r="J4584" t="s">
        <v>47</v>
      </c>
      <c r="K4584" t="s">
        <v>33</v>
      </c>
      <c r="L4584">
        <f t="shared" si="213"/>
        <v>2023</v>
      </c>
      <c r="M4584" t="str">
        <f t="shared" si="214"/>
        <v>May</v>
      </c>
      <c r="N4584" s="2">
        <f t="shared" si="215"/>
        <v>5.4098301430084442E-2</v>
      </c>
    </row>
    <row r="4585" spans="1:14" x14ac:dyDescent="0.45">
      <c r="A4585" t="s">
        <v>8220</v>
      </c>
      <c r="B4585" s="1">
        <v>45609</v>
      </c>
      <c r="C4585" t="s">
        <v>8221</v>
      </c>
      <c r="D4585" t="s">
        <v>26</v>
      </c>
      <c r="E4585" t="s">
        <v>36</v>
      </c>
      <c r="F4585" t="s">
        <v>53</v>
      </c>
      <c r="G4585">
        <v>2</v>
      </c>
      <c r="H4585">
        <v>13941.62</v>
      </c>
      <c r="I4585">
        <v>2559.19</v>
      </c>
      <c r="J4585" t="s">
        <v>47</v>
      </c>
      <c r="K4585" t="s">
        <v>33</v>
      </c>
      <c r="L4585">
        <f t="shared" si="213"/>
        <v>2024</v>
      </c>
      <c r="M4585" t="str">
        <f t="shared" si="214"/>
        <v>Nov</v>
      </c>
      <c r="N4585" s="2">
        <f t="shared" si="215"/>
        <v>0.18356475072480816</v>
      </c>
    </row>
    <row r="4586" spans="1:14" x14ac:dyDescent="0.45">
      <c r="A4586" t="s">
        <v>8222</v>
      </c>
      <c r="B4586" s="1">
        <v>45323</v>
      </c>
      <c r="C4586" t="s">
        <v>3591</v>
      </c>
      <c r="D4586" t="s">
        <v>56</v>
      </c>
      <c r="E4586" t="s">
        <v>14</v>
      </c>
      <c r="F4586" t="s">
        <v>40</v>
      </c>
      <c r="G4586">
        <v>4</v>
      </c>
      <c r="H4586">
        <v>3674.27</v>
      </c>
      <c r="I4586">
        <v>738.96</v>
      </c>
      <c r="J4586" t="s">
        <v>16</v>
      </c>
      <c r="K4586" t="s">
        <v>17</v>
      </c>
      <c r="L4586">
        <f t="shared" si="213"/>
        <v>2024</v>
      </c>
      <c r="M4586" t="str">
        <f t="shared" si="214"/>
        <v>Feb</v>
      </c>
      <c r="N4586" s="2">
        <f t="shared" si="215"/>
        <v>0.20111750089133354</v>
      </c>
    </row>
    <row r="4587" spans="1:14" x14ac:dyDescent="0.45">
      <c r="A4587" t="s">
        <v>8223</v>
      </c>
      <c r="B4587" s="1">
        <v>44844</v>
      </c>
      <c r="C4587" t="s">
        <v>5397</v>
      </c>
      <c r="D4587" t="s">
        <v>56</v>
      </c>
      <c r="E4587" t="s">
        <v>36</v>
      </c>
      <c r="F4587" t="s">
        <v>37</v>
      </c>
      <c r="G4587">
        <v>2</v>
      </c>
      <c r="H4587">
        <v>38346.160000000003</v>
      </c>
      <c r="I4587">
        <v>8798.93</v>
      </c>
      <c r="J4587" t="s">
        <v>28</v>
      </c>
      <c r="K4587" t="s">
        <v>17</v>
      </c>
      <c r="L4587">
        <f t="shared" si="213"/>
        <v>2022</v>
      </c>
      <c r="M4587" t="str">
        <f t="shared" si="214"/>
        <v>Oct</v>
      </c>
      <c r="N4587" s="2">
        <f t="shared" si="215"/>
        <v>0.22946052486089871</v>
      </c>
    </row>
    <row r="4588" spans="1:14" x14ac:dyDescent="0.45">
      <c r="A4588" t="s">
        <v>8224</v>
      </c>
      <c r="B4588" s="1">
        <v>45576</v>
      </c>
      <c r="C4588" t="s">
        <v>8225</v>
      </c>
      <c r="D4588" t="s">
        <v>13</v>
      </c>
      <c r="E4588" t="s">
        <v>14</v>
      </c>
      <c r="F4588" t="s">
        <v>32</v>
      </c>
      <c r="G4588">
        <v>5</v>
      </c>
      <c r="H4588">
        <v>9570.94</v>
      </c>
      <c r="I4588">
        <v>2028.52</v>
      </c>
      <c r="J4588" t="s">
        <v>28</v>
      </c>
      <c r="K4588" t="s">
        <v>17</v>
      </c>
      <c r="L4588">
        <f t="shared" si="213"/>
        <v>2024</v>
      </c>
      <c r="M4588" t="str">
        <f t="shared" si="214"/>
        <v>Oct</v>
      </c>
      <c r="N4588" s="2">
        <f t="shared" si="215"/>
        <v>0.21194574409619116</v>
      </c>
    </row>
    <row r="4589" spans="1:14" x14ac:dyDescent="0.45">
      <c r="A4589" t="s">
        <v>8226</v>
      </c>
      <c r="B4589" s="1">
        <v>45170</v>
      </c>
      <c r="C4589" t="s">
        <v>8227</v>
      </c>
      <c r="D4589" t="s">
        <v>56</v>
      </c>
      <c r="E4589" t="s">
        <v>20</v>
      </c>
      <c r="F4589" t="s">
        <v>27</v>
      </c>
      <c r="G4589">
        <v>5</v>
      </c>
      <c r="H4589">
        <v>3857.09</v>
      </c>
      <c r="I4589">
        <v>548.91999999999996</v>
      </c>
      <c r="J4589" t="s">
        <v>22</v>
      </c>
      <c r="K4589" t="s">
        <v>33</v>
      </c>
      <c r="L4589">
        <f t="shared" si="213"/>
        <v>2023</v>
      </c>
      <c r="M4589" t="str">
        <f t="shared" si="214"/>
        <v>Sep</v>
      </c>
      <c r="N4589" s="2">
        <f t="shared" si="215"/>
        <v>0.14231454282892023</v>
      </c>
    </row>
    <row r="4590" spans="1:14" x14ac:dyDescent="0.45">
      <c r="A4590" t="s">
        <v>8228</v>
      </c>
      <c r="B4590" s="1">
        <v>45622</v>
      </c>
      <c r="C4590" t="s">
        <v>5705</v>
      </c>
      <c r="D4590" t="s">
        <v>26</v>
      </c>
      <c r="E4590" t="s">
        <v>20</v>
      </c>
      <c r="F4590" t="s">
        <v>43</v>
      </c>
      <c r="G4590">
        <v>3</v>
      </c>
      <c r="H4590">
        <v>30646.43</v>
      </c>
      <c r="I4590">
        <v>1999</v>
      </c>
      <c r="J4590" t="s">
        <v>47</v>
      </c>
      <c r="K4590" t="s">
        <v>17</v>
      </c>
      <c r="L4590">
        <f t="shared" si="213"/>
        <v>2024</v>
      </c>
      <c r="M4590" t="str">
        <f t="shared" si="214"/>
        <v>Nov</v>
      </c>
      <c r="N4590" s="2">
        <f t="shared" si="215"/>
        <v>6.5227825883797885E-2</v>
      </c>
    </row>
    <row r="4591" spans="1:14" x14ac:dyDescent="0.45">
      <c r="A4591" t="s">
        <v>8229</v>
      </c>
      <c r="B4591" s="1">
        <v>45322</v>
      </c>
      <c r="C4591" t="s">
        <v>3939</v>
      </c>
      <c r="D4591" t="s">
        <v>13</v>
      </c>
      <c r="E4591" t="s">
        <v>14</v>
      </c>
      <c r="F4591" t="s">
        <v>32</v>
      </c>
      <c r="G4591">
        <v>5</v>
      </c>
      <c r="H4591">
        <v>43342.26</v>
      </c>
      <c r="I4591">
        <v>2363.08</v>
      </c>
      <c r="J4591" t="s">
        <v>71</v>
      </c>
      <c r="K4591" t="s">
        <v>17</v>
      </c>
      <c r="L4591">
        <f t="shared" si="213"/>
        <v>2024</v>
      </c>
      <c r="M4591" t="str">
        <f t="shared" si="214"/>
        <v>Jan</v>
      </c>
      <c r="N4591" s="2">
        <f t="shared" si="215"/>
        <v>5.45213839795156E-2</v>
      </c>
    </row>
    <row r="4592" spans="1:14" x14ac:dyDescent="0.45">
      <c r="A4592" t="s">
        <v>8230</v>
      </c>
      <c r="B4592" s="1">
        <v>45436</v>
      </c>
      <c r="C4592" t="s">
        <v>8231</v>
      </c>
      <c r="D4592" t="s">
        <v>13</v>
      </c>
      <c r="E4592" t="s">
        <v>14</v>
      </c>
      <c r="F4592" t="s">
        <v>15</v>
      </c>
      <c r="G4592">
        <v>2</v>
      </c>
      <c r="H4592">
        <v>34184.660000000003</v>
      </c>
      <c r="I4592">
        <v>7535.57</v>
      </c>
      <c r="J4592" t="s">
        <v>71</v>
      </c>
      <c r="K4592" t="s">
        <v>29</v>
      </c>
      <c r="L4592">
        <f t="shared" si="213"/>
        <v>2024</v>
      </c>
      <c r="M4592" t="str">
        <f t="shared" si="214"/>
        <v>May</v>
      </c>
      <c r="N4592" s="2">
        <f t="shared" si="215"/>
        <v>0.22043717854733669</v>
      </c>
    </row>
    <row r="4593" spans="1:14" x14ac:dyDescent="0.45">
      <c r="A4593" t="s">
        <v>8232</v>
      </c>
      <c r="B4593" s="1">
        <v>45422</v>
      </c>
      <c r="C4593" t="s">
        <v>8233</v>
      </c>
      <c r="D4593" t="s">
        <v>26</v>
      </c>
      <c r="E4593" t="s">
        <v>36</v>
      </c>
      <c r="F4593" t="s">
        <v>53</v>
      </c>
      <c r="G4593">
        <v>3</v>
      </c>
      <c r="H4593">
        <v>38837.67</v>
      </c>
      <c r="I4593">
        <v>1995.38</v>
      </c>
      <c r="J4593" t="s">
        <v>16</v>
      </c>
      <c r="K4593" t="s">
        <v>23</v>
      </c>
      <c r="L4593">
        <f t="shared" si="213"/>
        <v>2024</v>
      </c>
      <c r="M4593" t="str">
        <f t="shared" si="214"/>
        <v>May</v>
      </c>
      <c r="N4593" s="2">
        <f t="shared" si="215"/>
        <v>5.137743845086485E-2</v>
      </c>
    </row>
    <row r="4594" spans="1:14" x14ac:dyDescent="0.45">
      <c r="A4594" t="s">
        <v>8234</v>
      </c>
      <c r="B4594" s="1">
        <v>45411</v>
      </c>
      <c r="C4594" t="s">
        <v>3782</v>
      </c>
      <c r="D4594" t="s">
        <v>13</v>
      </c>
      <c r="E4594" t="s">
        <v>14</v>
      </c>
      <c r="F4594" t="s">
        <v>40</v>
      </c>
      <c r="G4594">
        <v>4</v>
      </c>
      <c r="H4594">
        <v>34778.1</v>
      </c>
      <c r="I4594">
        <v>7941.73</v>
      </c>
      <c r="J4594" t="s">
        <v>47</v>
      </c>
      <c r="K4594" t="s">
        <v>17</v>
      </c>
      <c r="L4594">
        <f t="shared" si="213"/>
        <v>2024</v>
      </c>
      <c r="M4594" t="str">
        <f t="shared" si="214"/>
        <v>Apr</v>
      </c>
      <c r="N4594" s="2">
        <f t="shared" si="215"/>
        <v>0.22835433793105431</v>
      </c>
    </row>
    <row r="4595" spans="1:14" x14ac:dyDescent="0.45">
      <c r="A4595" t="s">
        <v>8235</v>
      </c>
      <c r="B4595" s="1">
        <v>45178</v>
      </c>
      <c r="C4595" t="s">
        <v>7059</v>
      </c>
      <c r="D4595" t="s">
        <v>56</v>
      </c>
      <c r="E4595" t="s">
        <v>14</v>
      </c>
      <c r="F4595" t="s">
        <v>32</v>
      </c>
      <c r="G4595">
        <v>3</v>
      </c>
      <c r="H4595">
        <v>38855.980000000003</v>
      </c>
      <c r="I4595">
        <v>7624.6</v>
      </c>
      <c r="J4595" t="s">
        <v>71</v>
      </c>
      <c r="K4595" t="s">
        <v>17</v>
      </c>
      <c r="L4595">
        <f t="shared" si="213"/>
        <v>2023</v>
      </c>
      <c r="M4595" t="str">
        <f t="shared" si="214"/>
        <v>Sep</v>
      </c>
      <c r="N4595" s="2">
        <f t="shared" si="215"/>
        <v>0.19622719591681897</v>
      </c>
    </row>
    <row r="4596" spans="1:14" x14ac:dyDescent="0.45">
      <c r="A4596" t="s">
        <v>8236</v>
      </c>
      <c r="B4596" s="1">
        <v>45200</v>
      </c>
      <c r="C4596" t="s">
        <v>8237</v>
      </c>
      <c r="D4596" t="s">
        <v>56</v>
      </c>
      <c r="E4596" t="s">
        <v>20</v>
      </c>
      <c r="F4596" t="s">
        <v>43</v>
      </c>
      <c r="G4596">
        <v>5</v>
      </c>
      <c r="H4596">
        <v>30039.82</v>
      </c>
      <c r="I4596">
        <v>3514.54</v>
      </c>
      <c r="J4596" t="s">
        <v>71</v>
      </c>
      <c r="K4596" t="s">
        <v>33</v>
      </c>
      <c r="L4596">
        <f t="shared" si="213"/>
        <v>2023</v>
      </c>
      <c r="M4596" t="str">
        <f t="shared" si="214"/>
        <v>Oct</v>
      </c>
      <c r="N4596" s="2">
        <f t="shared" si="215"/>
        <v>0.11699604058879182</v>
      </c>
    </row>
    <row r="4597" spans="1:14" x14ac:dyDescent="0.45">
      <c r="A4597" t="s">
        <v>8238</v>
      </c>
      <c r="B4597" s="1">
        <v>45319</v>
      </c>
      <c r="C4597" t="s">
        <v>5476</v>
      </c>
      <c r="D4597" t="s">
        <v>26</v>
      </c>
      <c r="E4597" t="s">
        <v>20</v>
      </c>
      <c r="F4597" t="s">
        <v>21</v>
      </c>
      <c r="G4597">
        <v>3</v>
      </c>
      <c r="H4597">
        <v>43617.68</v>
      </c>
      <c r="I4597">
        <v>2885.08</v>
      </c>
      <c r="J4597" t="s">
        <v>16</v>
      </c>
      <c r="K4597" t="s">
        <v>23</v>
      </c>
      <c r="L4597">
        <f t="shared" si="213"/>
        <v>2024</v>
      </c>
      <c r="M4597" t="str">
        <f t="shared" si="214"/>
        <v>Jan</v>
      </c>
      <c r="N4597" s="2">
        <f t="shared" si="215"/>
        <v>6.6144737638498888E-2</v>
      </c>
    </row>
    <row r="4598" spans="1:14" x14ac:dyDescent="0.45">
      <c r="A4598" t="s">
        <v>8239</v>
      </c>
      <c r="B4598" s="1">
        <v>45086</v>
      </c>
      <c r="C4598" t="s">
        <v>8240</v>
      </c>
      <c r="D4598" t="s">
        <v>13</v>
      </c>
      <c r="E4598" t="s">
        <v>14</v>
      </c>
      <c r="F4598" t="s">
        <v>57</v>
      </c>
      <c r="G4598">
        <v>1</v>
      </c>
      <c r="H4598">
        <v>5959.19</v>
      </c>
      <c r="I4598">
        <v>723.99</v>
      </c>
      <c r="J4598" t="s">
        <v>16</v>
      </c>
      <c r="K4598" t="s">
        <v>33</v>
      </c>
      <c r="L4598">
        <f t="shared" si="213"/>
        <v>2023</v>
      </c>
      <c r="M4598" t="str">
        <f t="shared" si="214"/>
        <v>Jun</v>
      </c>
      <c r="N4598" s="2">
        <f t="shared" si="215"/>
        <v>0.12149134362220369</v>
      </c>
    </row>
    <row r="4599" spans="1:14" x14ac:dyDescent="0.45">
      <c r="A4599" t="s">
        <v>8241</v>
      </c>
      <c r="B4599" s="1">
        <v>44933</v>
      </c>
      <c r="C4599" t="s">
        <v>8242</v>
      </c>
      <c r="D4599" t="s">
        <v>56</v>
      </c>
      <c r="E4599" t="s">
        <v>14</v>
      </c>
      <c r="F4599" t="s">
        <v>57</v>
      </c>
      <c r="G4599">
        <v>5</v>
      </c>
      <c r="H4599">
        <v>3271.08</v>
      </c>
      <c r="I4599">
        <v>370.73</v>
      </c>
      <c r="J4599" t="s">
        <v>22</v>
      </c>
      <c r="K4599" t="s">
        <v>23</v>
      </c>
      <c r="L4599">
        <f t="shared" si="213"/>
        <v>2023</v>
      </c>
      <c r="M4599" t="str">
        <f t="shared" si="214"/>
        <v>Jan</v>
      </c>
      <c r="N4599" s="2">
        <f t="shared" si="215"/>
        <v>0.11333565672499603</v>
      </c>
    </row>
    <row r="4600" spans="1:14" x14ac:dyDescent="0.45">
      <c r="A4600" t="s">
        <v>8243</v>
      </c>
      <c r="B4600" s="1">
        <v>45461</v>
      </c>
      <c r="C4600" t="s">
        <v>8244</v>
      </c>
      <c r="D4600" t="s">
        <v>56</v>
      </c>
      <c r="E4600" t="s">
        <v>20</v>
      </c>
      <c r="F4600" t="s">
        <v>43</v>
      </c>
      <c r="G4600">
        <v>5</v>
      </c>
      <c r="H4600">
        <v>26871.21</v>
      </c>
      <c r="I4600">
        <v>2449.14</v>
      </c>
      <c r="J4600" t="s">
        <v>47</v>
      </c>
      <c r="K4600" t="s">
        <v>33</v>
      </c>
      <c r="L4600">
        <f t="shared" si="213"/>
        <v>2024</v>
      </c>
      <c r="M4600" t="str">
        <f t="shared" si="214"/>
        <v>Jun</v>
      </c>
      <c r="N4600" s="2">
        <f t="shared" si="215"/>
        <v>9.1143644071108074E-2</v>
      </c>
    </row>
    <row r="4601" spans="1:14" x14ac:dyDescent="0.45">
      <c r="A4601" t="s">
        <v>8245</v>
      </c>
      <c r="B4601" s="1">
        <v>45083</v>
      </c>
      <c r="C4601" t="s">
        <v>8246</v>
      </c>
      <c r="D4601" t="s">
        <v>56</v>
      </c>
      <c r="E4601" t="s">
        <v>20</v>
      </c>
      <c r="F4601" t="s">
        <v>21</v>
      </c>
      <c r="G4601">
        <v>5</v>
      </c>
      <c r="H4601">
        <v>37607.47</v>
      </c>
      <c r="I4601">
        <v>3864.63</v>
      </c>
      <c r="J4601" t="s">
        <v>16</v>
      </c>
      <c r="K4601" t="s">
        <v>17</v>
      </c>
      <c r="L4601">
        <f t="shared" si="213"/>
        <v>2023</v>
      </c>
      <c r="M4601" t="str">
        <f t="shared" si="214"/>
        <v>Jun</v>
      </c>
      <c r="N4601" s="2">
        <f t="shared" si="215"/>
        <v>0.10276229695855638</v>
      </c>
    </row>
    <row r="4602" spans="1:14" x14ac:dyDescent="0.45">
      <c r="A4602" t="s">
        <v>8247</v>
      </c>
      <c r="B4602" s="1">
        <v>44812</v>
      </c>
      <c r="C4602" t="s">
        <v>8248</v>
      </c>
      <c r="D4602" t="s">
        <v>13</v>
      </c>
      <c r="E4602" t="s">
        <v>14</v>
      </c>
      <c r="F4602" t="s">
        <v>15</v>
      </c>
      <c r="G4602">
        <v>3</v>
      </c>
      <c r="H4602">
        <v>6461.89</v>
      </c>
      <c r="I4602">
        <v>1136.54</v>
      </c>
      <c r="J4602" t="s">
        <v>47</v>
      </c>
      <c r="K4602" t="s">
        <v>33</v>
      </c>
      <c r="L4602">
        <f t="shared" si="213"/>
        <v>2022</v>
      </c>
      <c r="M4602" t="str">
        <f t="shared" si="214"/>
        <v>Sep</v>
      </c>
      <c r="N4602" s="2">
        <f t="shared" si="215"/>
        <v>0.17588352633672191</v>
      </c>
    </row>
    <row r="4603" spans="1:14" x14ac:dyDescent="0.45">
      <c r="A4603" t="s">
        <v>8249</v>
      </c>
      <c r="B4603" s="1">
        <v>45584</v>
      </c>
      <c r="C4603" t="s">
        <v>7520</v>
      </c>
      <c r="D4603" t="s">
        <v>13</v>
      </c>
      <c r="E4603" t="s">
        <v>36</v>
      </c>
      <c r="F4603" t="s">
        <v>46</v>
      </c>
      <c r="G4603">
        <v>2</v>
      </c>
      <c r="H4603">
        <v>43603.63</v>
      </c>
      <c r="I4603">
        <v>4061.11</v>
      </c>
      <c r="J4603" t="s">
        <v>16</v>
      </c>
      <c r="K4603" t="s">
        <v>17</v>
      </c>
      <c r="L4603">
        <f t="shared" si="213"/>
        <v>2024</v>
      </c>
      <c r="M4603" t="str">
        <f t="shared" si="214"/>
        <v>Oct</v>
      </c>
      <c r="N4603" s="2">
        <f t="shared" si="215"/>
        <v>9.3136970476999287E-2</v>
      </c>
    </row>
    <row r="4604" spans="1:14" x14ac:dyDescent="0.45">
      <c r="A4604" t="s">
        <v>8250</v>
      </c>
      <c r="B4604" s="1">
        <v>45303</v>
      </c>
      <c r="C4604" t="s">
        <v>7588</v>
      </c>
      <c r="D4604" t="s">
        <v>56</v>
      </c>
      <c r="E4604" t="s">
        <v>36</v>
      </c>
      <c r="F4604" t="s">
        <v>46</v>
      </c>
      <c r="G4604">
        <v>5</v>
      </c>
      <c r="H4604">
        <v>9930.93</v>
      </c>
      <c r="I4604">
        <v>607.04999999999995</v>
      </c>
      <c r="J4604" t="s">
        <v>16</v>
      </c>
      <c r="K4604" t="s">
        <v>33</v>
      </c>
      <c r="L4604">
        <f t="shared" si="213"/>
        <v>2024</v>
      </c>
      <c r="M4604" t="str">
        <f t="shared" si="214"/>
        <v>Jan</v>
      </c>
      <c r="N4604" s="2">
        <f t="shared" si="215"/>
        <v>6.1127205609142338E-2</v>
      </c>
    </row>
    <row r="4605" spans="1:14" x14ac:dyDescent="0.45">
      <c r="A4605" t="s">
        <v>8251</v>
      </c>
      <c r="B4605" s="1">
        <v>45552</v>
      </c>
      <c r="C4605" t="s">
        <v>8252</v>
      </c>
      <c r="D4605" t="s">
        <v>26</v>
      </c>
      <c r="E4605" t="s">
        <v>20</v>
      </c>
      <c r="F4605" t="s">
        <v>50</v>
      </c>
      <c r="G4605">
        <v>4</v>
      </c>
      <c r="H4605">
        <v>34261.75</v>
      </c>
      <c r="I4605">
        <v>3351.37</v>
      </c>
      <c r="J4605" t="s">
        <v>47</v>
      </c>
      <c r="K4605" t="s">
        <v>33</v>
      </c>
      <c r="L4605">
        <f t="shared" si="213"/>
        <v>2024</v>
      </c>
      <c r="M4605" t="str">
        <f t="shared" si="214"/>
        <v>Sep</v>
      </c>
      <c r="N4605" s="2">
        <f t="shared" si="215"/>
        <v>9.7816661437317126E-2</v>
      </c>
    </row>
    <row r="4606" spans="1:14" x14ac:dyDescent="0.45">
      <c r="A4606" t="s">
        <v>8253</v>
      </c>
      <c r="B4606" s="1">
        <v>44873</v>
      </c>
      <c r="C4606" t="s">
        <v>2737</v>
      </c>
      <c r="D4606" t="s">
        <v>26</v>
      </c>
      <c r="E4606" t="s">
        <v>36</v>
      </c>
      <c r="F4606" t="s">
        <v>46</v>
      </c>
      <c r="G4606">
        <v>4</v>
      </c>
      <c r="H4606">
        <v>19944.759999999998</v>
      </c>
      <c r="I4606">
        <v>1598.1</v>
      </c>
      <c r="J4606" t="s">
        <v>16</v>
      </c>
      <c r="K4606" t="s">
        <v>29</v>
      </c>
      <c r="L4606">
        <f t="shared" si="213"/>
        <v>2022</v>
      </c>
      <c r="M4606" t="str">
        <f t="shared" si="214"/>
        <v>Nov</v>
      </c>
      <c r="N4606" s="2">
        <f t="shared" si="215"/>
        <v>8.0126308865085372E-2</v>
      </c>
    </row>
    <row r="4607" spans="1:14" x14ac:dyDescent="0.45">
      <c r="A4607" t="s">
        <v>8254</v>
      </c>
      <c r="B4607" s="1">
        <v>45332</v>
      </c>
      <c r="C4607" t="s">
        <v>8255</v>
      </c>
      <c r="D4607" t="s">
        <v>13</v>
      </c>
      <c r="E4607" t="s">
        <v>14</v>
      </c>
      <c r="F4607" t="s">
        <v>32</v>
      </c>
      <c r="G4607">
        <v>4</v>
      </c>
      <c r="H4607">
        <v>21236.73</v>
      </c>
      <c r="I4607">
        <v>2735.3</v>
      </c>
      <c r="J4607" t="s">
        <v>16</v>
      </c>
      <c r="K4607" t="s">
        <v>29</v>
      </c>
      <c r="L4607">
        <f t="shared" si="213"/>
        <v>2024</v>
      </c>
      <c r="M4607" t="str">
        <f t="shared" si="214"/>
        <v>Feb</v>
      </c>
      <c r="N4607" s="2">
        <f t="shared" si="215"/>
        <v>0.12880043208158695</v>
      </c>
    </row>
    <row r="4608" spans="1:14" x14ac:dyDescent="0.45">
      <c r="A4608" t="s">
        <v>8256</v>
      </c>
      <c r="B4608" s="1">
        <v>45337</v>
      </c>
      <c r="C4608" t="s">
        <v>8257</v>
      </c>
      <c r="D4608" t="s">
        <v>13</v>
      </c>
      <c r="E4608" t="s">
        <v>14</v>
      </c>
      <c r="F4608" t="s">
        <v>57</v>
      </c>
      <c r="G4608">
        <v>3</v>
      </c>
      <c r="H4608">
        <v>12587.23</v>
      </c>
      <c r="I4608">
        <v>1275.98</v>
      </c>
      <c r="J4608" t="s">
        <v>71</v>
      </c>
      <c r="K4608" t="s">
        <v>33</v>
      </c>
      <c r="L4608">
        <f t="shared" si="213"/>
        <v>2024</v>
      </c>
      <c r="M4608" t="str">
        <f t="shared" si="214"/>
        <v>Feb</v>
      </c>
      <c r="N4608" s="2">
        <f t="shared" si="215"/>
        <v>0.10137099266478805</v>
      </c>
    </row>
    <row r="4609" spans="1:14" x14ac:dyDescent="0.45">
      <c r="A4609" t="s">
        <v>8258</v>
      </c>
      <c r="B4609" s="1">
        <v>44878</v>
      </c>
      <c r="C4609" t="s">
        <v>8259</v>
      </c>
      <c r="D4609" t="s">
        <v>13</v>
      </c>
      <c r="E4609" t="s">
        <v>14</v>
      </c>
      <c r="F4609" t="s">
        <v>32</v>
      </c>
      <c r="G4609">
        <v>1</v>
      </c>
      <c r="H4609">
        <v>38453.24</v>
      </c>
      <c r="I4609">
        <v>6041.89</v>
      </c>
      <c r="J4609" t="s">
        <v>16</v>
      </c>
      <c r="K4609" t="s">
        <v>17</v>
      </c>
      <c r="L4609">
        <f t="shared" si="213"/>
        <v>2022</v>
      </c>
      <c r="M4609" t="str">
        <f t="shared" si="214"/>
        <v>Nov</v>
      </c>
      <c r="N4609" s="2">
        <f t="shared" si="215"/>
        <v>0.15712304086729756</v>
      </c>
    </row>
    <row r="4610" spans="1:14" x14ac:dyDescent="0.45">
      <c r="A4610" t="s">
        <v>8260</v>
      </c>
      <c r="B4610" s="1">
        <v>44781</v>
      </c>
      <c r="C4610" t="s">
        <v>8261</v>
      </c>
      <c r="D4610" t="s">
        <v>13</v>
      </c>
      <c r="E4610" t="s">
        <v>36</v>
      </c>
      <c r="F4610" t="s">
        <v>64</v>
      </c>
      <c r="G4610">
        <v>4</v>
      </c>
      <c r="H4610">
        <v>4258.1899999999996</v>
      </c>
      <c r="I4610">
        <v>234.37</v>
      </c>
      <c r="J4610" t="s">
        <v>22</v>
      </c>
      <c r="K4610" t="s">
        <v>17</v>
      </c>
      <c r="L4610">
        <f t="shared" si="213"/>
        <v>2022</v>
      </c>
      <c r="M4610" t="str">
        <f t="shared" si="214"/>
        <v>Aug</v>
      </c>
      <c r="N4610" s="2">
        <f t="shared" si="215"/>
        <v>5.5039817387199735E-2</v>
      </c>
    </row>
    <row r="4611" spans="1:14" x14ac:dyDescent="0.45">
      <c r="A4611" t="s">
        <v>8262</v>
      </c>
      <c r="B4611" s="1">
        <v>45179</v>
      </c>
      <c r="C4611" t="s">
        <v>8263</v>
      </c>
      <c r="D4611" t="s">
        <v>13</v>
      </c>
      <c r="E4611" t="s">
        <v>36</v>
      </c>
      <c r="F4611" t="s">
        <v>53</v>
      </c>
      <c r="G4611">
        <v>5</v>
      </c>
      <c r="H4611">
        <v>40163.17</v>
      </c>
      <c r="I4611">
        <v>3363.6</v>
      </c>
      <c r="J4611" t="s">
        <v>47</v>
      </c>
      <c r="K4611" t="s">
        <v>29</v>
      </c>
      <c r="L4611">
        <f t="shared" ref="L4611:L4674" si="216">YEAR(B4611 )</f>
        <v>2023</v>
      </c>
      <c r="M4611" t="str">
        <f t="shared" ref="M4611:M4674" si="217">TEXT(B4611,"MMM")</f>
        <v>Sep</v>
      </c>
      <c r="N4611" s="2">
        <f t="shared" ref="N4611:N4674" si="218">I4611 / H4611</f>
        <v>8.3748369463864533E-2</v>
      </c>
    </row>
    <row r="4612" spans="1:14" x14ac:dyDescent="0.45">
      <c r="A4612" t="s">
        <v>8264</v>
      </c>
      <c r="B4612" s="1">
        <v>45235</v>
      </c>
      <c r="C4612" t="s">
        <v>8265</v>
      </c>
      <c r="D4612" t="s">
        <v>56</v>
      </c>
      <c r="E4612" t="s">
        <v>20</v>
      </c>
      <c r="F4612" t="s">
        <v>43</v>
      </c>
      <c r="G4612">
        <v>4</v>
      </c>
      <c r="H4612">
        <v>43229.11</v>
      </c>
      <c r="I4612">
        <v>8610.94</v>
      </c>
      <c r="J4612" t="s">
        <v>71</v>
      </c>
      <c r="K4612" t="s">
        <v>29</v>
      </c>
      <c r="L4612">
        <f t="shared" si="216"/>
        <v>2023</v>
      </c>
      <c r="M4612" t="str">
        <f t="shared" si="217"/>
        <v>Nov</v>
      </c>
      <c r="N4612" s="2">
        <f t="shared" si="218"/>
        <v>0.19919309002660476</v>
      </c>
    </row>
    <row r="4613" spans="1:14" x14ac:dyDescent="0.45">
      <c r="A4613" t="s">
        <v>8266</v>
      </c>
      <c r="B4613" s="1">
        <v>45398</v>
      </c>
      <c r="C4613" t="s">
        <v>8267</v>
      </c>
      <c r="D4613" t="s">
        <v>56</v>
      </c>
      <c r="E4613" t="s">
        <v>20</v>
      </c>
      <c r="F4613" t="s">
        <v>21</v>
      </c>
      <c r="G4613">
        <v>1</v>
      </c>
      <c r="H4613">
        <v>22554.560000000001</v>
      </c>
      <c r="I4613">
        <v>5040.28</v>
      </c>
      <c r="J4613" t="s">
        <v>22</v>
      </c>
      <c r="K4613" t="s">
        <v>17</v>
      </c>
      <c r="L4613">
        <f t="shared" si="216"/>
        <v>2024</v>
      </c>
      <c r="M4613" t="str">
        <f t="shared" si="217"/>
        <v>Apr</v>
      </c>
      <c r="N4613" s="2">
        <f t="shared" si="218"/>
        <v>0.22347055318303702</v>
      </c>
    </row>
    <row r="4614" spans="1:14" x14ac:dyDescent="0.45">
      <c r="A4614" t="s">
        <v>8268</v>
      </c>
      <c r="B4614" s="1">
        <v>45554</v>
      </c>
      <c r="C4614" t="s">
        <v>8269</v>
      </c>
      <c r="D4614" t="s">
        <v>56</v>
      </c>
      <c r="E4614" t="s">
        <v>14</v>
      </c>
      <c r="F4614" t="s">
        <v>40</v>
      </c>
      <c r="G4614">
        <v>5</v>
      </c>
      <c r="H4614">
        <v>15596.76</v>
      </c>
      <c r="I4614">
        <v>3209.73</v>
      </c>
      <c r="J4614" t="s">
        <v>16</v>
      </c>
      <c r="K4614" t="s">
        <v>29</v>
      </c>
      <c r="L4614">
        <f t="shared" si="216"/>
        <v>2024</v>
      </c>
      <c r="M4614" t="str">
        <f t="shared" si="217"/>
        <v>Sep</v>
      </c>
      <c r="N4614" s="2">
        <f t="shared" si="218"/>
        <v>0.2057946650458172</v>
      </c>
    </row>
    <row r="4615" spans="1:14" x14ac:dyDescent="0.45">
      <c r="A4615" t="s">
        <v>8270</v>
      </c>
      <c r="B4615" s="1">
        <v>45154</v>
      </c>
      <c r="C4615" t="s">
        <v>1450</v>
      </c>
      <c r="D4615" t="s">
        <v>13</v>
      </c>
      <c r="E4615" t="s">
        <v>14</v>
      </c>
      <c r="F4615" t="s">
        <v>57</v>
      </c>
      <c r="G4615">
        <v>4</v>
      </c>
      <c r="H4615">
        <v>33834.25</v>
      </c>
      <c r="I4615">
        <v>3467.23</v>
      </c>
      <c r="J4615" t="s">
        <v>16</v>
      </c>
      <c r="K4615" t="s">
        <v>33</v>
      </c>
      <c r="L4615">
        <f t="shared" si="216"/>
        <v>2023</v>
      </c>
      <c r="M4615" t="str">
        <f t="shared" si="217"/>
        <v>Aug</v>
      </c>
      <c r="N4615" s="2">
        <f t="shared" si="218"/>
        <v>0.10247692796500588</v>
      </c>
    </row>
    <row r="4616" spans="1:14" x14ac:dyDescent="0.45">
      <c r="A4616" t="s">
        <v>8271</v>
      </c>
      <c r="B4616" s="1">
        <v>45312</v>
      </c>
      <c r="C4616" t="s">
        <v>556</v>
      </c>
      <c r="D4616" t="s">
        <v>13</v>
      </c>
      <c r="E4616" t="s">
        <v>36</v>
      </c>
      <c r="F4616" t="s">
        <v>46</v>
      </c>
      <c r="G4616">
        <v>1</v>
      </c>
      <c r="H4616">
        <v>49863.32</v>
      </c>
      <c r="I4616">
        <v>6887</v>
      </c>
      <c r="J4616" t="s">
        <v>71</v>
      </c>
      <c r="K4616" t="s">
        <v>17</v>
      </c>
      <c r="L4616">
        <f t="shared" si="216"/>
        <v>2024</v>
      </c>
      <c r="M4616" t="str">
        <f t="shared" si="217"/>
        <v>Jan</v>
      </c>
      <c r="N4616" s="2">
        <f t="shared" si="218"/>
        <v>0.1381175581569779</v>
      </c>
    </row>
    <row r="4617" spans="1:14" x14ac:dyDescent="0.45">
      <c r="A4617" t="s">
        <v>8272</v>
      </c>
      <c r="B4617" s="1">
        <v>45185</v>
      </c>
      <c r="C4617" t="s">
        <v>716</v>
      </c>
      <c r="D4617" t="s">
        <v>56</v>
      </c>
      <c r="E4617" t="s">
        <v>14</v>
      </c>
      <c r="F4617" t="s">
        <v>40</v>
      </c>
      <c r="G4617">
        <v>1</v>
      </c>
      <c r="H4617">
        <v>1132.18</v>
      </c>
      <c r="I4617">
        <v>184.55</v>
      </c>
      <c r="J4617" t="s">
        <v>47</v>
      </c>
      <c r="K4617" t="s">
        <v>29</v>
      </c>
      <c r="L4617">
        <f t="shared" si="216"/>
        <v>2023</v>
      </c>
      <c r="M4617" t="str">
        <f t="shared" si="217"/>
        <v>Sep</v>
      </c>
      <c r="N4617" s="2">
        <f t="shared" si="218"/>
        <v>0.16300411595329364</v>
      </c>
    </row>
    <row r="4618" spans="1:14" x14ac:dyDescent="0.45">
      <c r="A4618" t="s">
        <v>8273</v>
      </c>
      <c r="B4618" s="1">
        <v>45563</v>
      </c>
      <c r="C4618" t="s">
        <v>8274</v>
      </c>
      <c r="D4618" t="s">
        <v>56</v>
      </c>
      <c r="E4618" t="s">
        <v>20</v>
      </c>
      <c r="F4618" t="s">
        <v>27</v>
      </c>
      <c r="G4618">
        <v>5</v>
      </c>
      <c r="H4618">
        <v>46882.87</v>
      </c>
      <c r="I4618">
        <v>11562.17</v>
      </c>
      <c r="J4618" t="s">
        <v>71</v>
      </c>
      <c r="K4618" t="s">
        <v>23</v>
      </c>
      <c r="L4618">
        <f t="shared" si="216"/>
        <v>2024</v>
      </c>
      <c r="M4618" t="str">
        <f t="shared" si="217"/>
        <v>Sep</v>
      </c>
      <c r="N4618" s="2">
        <f t="shared" si="218"/>
        <v>0.2466182211114635</v>
      </c>
    </row>
    <row r="4619" spans="1:14" x14ac:dyDescent="0.45">
      <c r="A4619" t="s">
        <v>8275</v>
      </c>
      <c r="B4619" s="1">
        <v>45579</v>
      </c>
      <c r="C4619" t="s">
        <v>3265</v>
      </c>
      <c r="D4619" t="s">
        <v>13</v>
      </c>
      <c r="E4619" t="s">
        <v>20</v>
      </c>
      <c r="F4619" t="s">
        <v>21</v>
      </c>
      <c r="G4619">
        <v>5</v>
      </c>
      <c r="H4619">
        <v>18441.77</v>
      </c>
      <c r="I4619">
        <v>3693.42</v>
      </c>
      <c r="J4619" t="s">
        <v>47</v>
      </c>
      <c r="K4619" t="s">
        <v>23</v>
      </c>
      <c r="L4619">
        <f t="shared" si="216"/>
        <v>2024</v>
      </c>
      <c r="M4619" t="str">
        <f t="shared" si="217"/>
        <v>Oct</v>
      </c>
      <c r="N4619" s="2">
        <f t="shared" si="218"/>
        <v>0.20027470248246237</v>
      </c>
    </row>
    <row r="4620" spans="1:14" x14ac:dyDescent="0.45">
      <c r="A4620" t="s">
        <v>8276</v>
      </c>
      <c r="B4620" s="1">
        <v>44917</v>
      </c>
      <c r="C4620" t="s">
        <v>3534</v>
      </c>
      <c r="D4620" t="s">
        <v>26</v>
      </c>
      <c r="E4620" t="s">
        <v>20</v>
      </c>
      <c r="F4620" t="s">
        <v>21</v>
      </c>
      <c r="G4620">
        <v>1</v>
      </c>
      <c r="H4620">
        <v>8059.15</v>
      </c>
      <c r="I4620">
        <v>961.23</v>
      </c>
      <c r="J4620" t="s">
        <v>71</v>
      </c>
      <c r="K4620" t="s">
        <v>33</v>
      </c>
      <c r="L4620">
        <f t="shared" si="216"/>
        <v>2022</v>
      </c>
      <c r="M4620" t="str">
        <f t="shared" si="217"/>
        <v>Dec</v>
      </c>
      <c r="N4620" s="2">
        <f t="shared" si="218"/>
        <v>0.11927188351128842</v>
      </c>
    </row>
    <row r="4621" spans="1:14" x14ac:dyDescent="0.45">
      <c r="A4621" t="s">
        <v>8277</v>
      </c>
      <c r="B4621" s="1">
        <v>44746</v>
      </c>
      <c r="C4621" t="s">
        <v>4309</v>
      </c>
      <c r="D4621" t="s">
        <v>13</v>
      </c>
      <c r="E4621" t="s">
        <v>14</v>
      </c>
      <c r="F4621" t="s">
        <v>57</v>
      </c>
      <c r="G4621">
        <v>4</v>
      </c>
      <c r="H4621">
        <v>47499.11</v>
      </c>
      <c r="I4621">
        <v>3685.39</v>
      </c>
      <c r="J4621" t="s">
        <v>16</v>
      </c>
      <c r="K4621" t="s">
        <v>17</v>
      </c>
      <c r="L4621">
        <f t="shared" si="216"/>
        <v>2022</v>
      </c>
      <c r="M4621" t="str">
        <f t="shared" si="217"/>
        <v>Jul</v>
      </c>
      <c r="N4621" s="2">
        <f t="shared" si="218"/>
        <v>7.7588611660302689E-2</v>
      </c>
    </row>
    <row r="4622" spans="1:14" x14ac:dyDescent="0.45">
      <c r="A4622" t="s">
        <v>8278</v>
      </c>
      <c r="B4622" s="1">
        <v>44564</v>
      </c>
      <c r="C4622" t="s">
        <v>6054</v>
      </c>
      <c r="D4622" t="s">
        <v>13</v>
      </c>
      <c r="E4622" t="s">
        <v>14</v>
      </c>
      <c r="F4622" t="s">
        <v>15</v>
      </c>
      <c r="G4622">
        <v>1</v>
      </c>
      <c r="H4622">
        <v>15677.44</v>
      </c>
      <c r="I4622">
        <v>3249.28</v>
      </c>
      <c r="J4622" t="s">
        <v>22</v>
      </c>
      <c r="K4622" t="s">
        <v>23</v>
      </c>
      <c r="L4622">
        <f t="shared" si="216"/>
        <v>2022</v>
      </c>
      <c r="M4622" t="str">
        <f t="shared" si="217"/>
        <v>Jan</v>
      </c>
      <c r="N4622" s="2">
        <f t="shared" si="218"/>
        <v>0.2072583278902678</v>
      </c>
    </row>
    <row r="4623" spans="1:14" x14ac:dyDescent="0.45">
      <c r="A4623" t="s">
        <v>8279</v>
      </c>
      <c r="B4623" s="1">
        <v>44638</v>
      </c>
      <c r="C4623" t="s">
        <v>8280</v>
      </c>
      <c r="D4623" t="s">
        <v>56</v>
      </c>
      <c r="E4623" t="s">
        <v>36</v>
      </c>
      <c r="F4623" t="s">
        <v>46</v>
      </c>
      <c r="G4623">
        <v>5</v>
      </c>
      <c r="H4623">
        <v>12987.39</v>
      </c>
      <c r="I4623">
        <v>737.82</v>
      </c>
      <c r="J4623" t="s">
        <v>71</v>
      </c>
      <c r="K4623" t="s">
        <v>17</v>
      </c>
      <c r="L4623">
        <f t="shared" si="216"/>
        <v>2022</v>
      </c>
      <c r="M4623" t="str">
        <f t="shared" si="217"/>
        <v>Mar</v>
      </c>
      <c r="N4623" s="2">
        <f t="shared" si="218"/>
        <v>5.6810490791452332E-2</v>
      </c>
    </row>
    <row r="4624" spans="1:14" x14ac:dyDescent="0.45">
      <c r="A4624" t="s">
        <v>8281</v>
      </c>
      <c r="B4624" s="1">
        <v>45543</v>
      </c>
      <c r="C4624" t="s">
        <v>8282</v>
      </c>
      <c r="D4624" t="s">
        <v>56</v>
      </c>
      <c r="E4624" t="s">
        <v>36</v>
      </c>
      <c r="F4624" t="s">
        <v>37</v>
      </c>
      <c r="G4624">
        <v>2</v>
      </c>
      <c r="H4624">
        <v>44712.99</v>
      </c>
      <c r="I4624">
        <v>6655.62</v>
      </c>
      <c r="J4624" t="s">
        <v>71</v>
      </c>
      <c r="K4624" t="s">
        <v>29</v>
      </c>
      <c r="L4624">
        <f t="shared" si="216"/>
        <v>2024</v>
      </c>
      <c r="M4624" t="str">
        <f t="shared" si="217"/>
        <v>Sep</v>
      </c>
      <c r="N4624" s="2">
        <f t="shared" si="218"/>
        <v>0.14885204500973878</v>
      </c>
    </row>
    <row r="4625" spans="1:14" x14ac:dyDescent="0.45">
      <c r="A4625" t="s">
        <v>8283</v>
      </c>
      <c r="B4625" s="1">
        <v>44581</v>
      </c>
      <c r="C4625" t="s">
        <v>8284</v>
      </c>
      <c r="D4625" t="s">
        <v>13</v>
      </c>
      <c r="E4625" t="s">
        <v>14</v>
      </c>
      <c r="F4625" t="s">
        <v>57</v>
      </c>
      <c r="G4625">
        <v>2</v>
      </c>
      <c r="H4625">
        <v>44458.04</v>
      </c>
      <c r="I4625">
        <v>2529.84</v>
      </c>
      <c r="J4625" t="s">
        <v>28</v>
      </c>
      <c r="K4625" t="s">
        <v>33</v>
      </c>
      <c r="L4625">
        <f t="shared" si="216"/>
        <v>2022</v>
      </c>
      <c r="M4625" t="str">
        <f t="shared" si="217"/>
        <v>Jan</v>
      </c>
      <c r="N4625" s="2">
        <f t="shared" si="218"/>
        <v>5.6903993068520342E-2</v>
      </c>
    </row>
    <row r="4626" spans="1:14" x14ac:dyDescent="0.45">
      <c r="A4626" t="s">
        <v>8285</v>
      </c>
      <c r="B4626" s="1">
        <v>45032</v>
      </c>
      <c r="C4626" t="s">
        <v>8286</v>
      </c>
      <c r="D4626" t="s">
        <v>56</v>
      </c>
      <c r="E4626" t="s">
        <v>36</v>
      </c>
      <c r="F4626" t="s">
        <v>37</v>
      </c>
      <c r="G4626">
        <v>1</v>
      </c>
      <c r="H4626">
        <v>33199.19</v>
      </c>
      <c r="I4626">
        <v>5073.34</v>
      </c>
      <c r="J4626" t="s">
        <v>22</v>
      </c>
      <c r="K4626" t="s">
        <v>33</v>
      </c>
      <c r="L4626">
        <f t="shared" si="216"/>
        <v>2023</v>
      </c>
      <c r="M4626" t="str">
        <f t="shared" si="217"/>
        <v>Apr</v>
      </c>
      <c r="N4626" s="2">
        <f t="shared" si="218"/>
        <v>0.15281517410515136</v>
      </c>
    </row>
    <row r="4627" spans="1:14" x14ac:dyDescent="0.45">
      <c r="A4627" t="s">
        <v>8287</v>
      </c>
      <c r="B4627" s="1">
        <v>45593</v>
      </c>
      <c r="C4627" t="s">
        <v>8288</v>
      </c>
      <c r="D4627" t="s">
        <v>26</v>
      </c>
      <c r="E4627" t="s">
        <v>20</v>
      </c>
      <c r="F4627" t="s">
        <v>50</v>
      </c>
      <c r="G4627">
        <v>2</v>
      </c>
      <c r="H4627">
        <v>10530.86</v>
      </c>
      <c r="I4627">
        <v>1040.49</v>
      </c>
      <c r="J4627" t="s">
        <v>47</v>
      </c>
      <c r="K4627" t="s">
        <v>29</v>
      </c>
      <c r="L4627">
        <f t="shared" si="216"/>
        <v>2024</v>
      </c>
      <c r="M4627" t="str">
        <f t="shared" si="217"/>
        <v>Oct</v>
      </c>
      <c r="N4627" s="2">
        <f t="shared" si="218"/>
        <v>9.8803896357942275E-2</v>
      </c>
    </row>
    <row r="4628" spans="1:14" x14ac:dyDescent="0.45">
      <c r="A4628" t="s">
        <v>8289</v>
      </c>
      <c r="B4628" s="1">
        <v>44980</v>
      </c>
      <c r="C4628" t="s">
        <v>8290</v>
      </c>
      <c r="D4628" t="s">
        <v>13</v>
      </c>
      <c r="E4628" t="s">
        <v>36</v>
      </c>
      <c r="F4628" t="s">
        <v>64</v>
      </c>
      <c r="G4628">
        <v>1</v>
      </c>
      <c r="H4628">
        <v>28615.4</v>
      </c>
      <c r="I4628">
        <v>1566.88</v>
      </c>
      <c r="J4628" t="s">
        <v>16</v>
      </c>
      <c r="K4628" t="s">
        <v>23</v>
      </c>
      <c r="L4628">
        <f t="shared" si="216"/>
        <v>2023</v>
      </c>
      <c r="M4628" t="str">
        <f t="shared" si="217"/>
        <v>Feb</v>
      </c>
      <c r="N4628" s="2">
        <f t="shared" si="218"/>
        <v>5.4756529700790486E-2</v>
      </c>
    </row>
    <row r="4629" spans="1:14" x14ac:dyDescent="0.45">
      <c r="A4629" t="s">
        <v>8291</v>
      </c>
      <c r="B4629" s="1">
        <v>45309</v>
      </c>
      <c r="C4629" t="s">
        <v>369</v>
      </c>
      <c r="D4629" t="s">
        <v>26</v>
      </c>
      <c r="E4629" t="s">
        <v>36</v>
      </c>
      <c r="F4629" t="s">
        <v>46</v>
      </c>
      <c r="G4629">
        <v>5</v>
      </c>
      <c r="H4629">
        <v>38870.86</v>
      </c>
      <c r="I4629">
        <v>7080.18</v>
      </c>
      <c r="J4629" t="s">
        <v>16</v>
      </c>
      <c r="K4629" t="s">
        <v>23</v>
      </c>
      <c r="L4629">
        <f t="shared" si="216"/>
        <v>2024</v>
      </c>
      <c r="M4629" t="str">
        <f t="shared" si="217"/>
        <v>Jan</v>
      </c>
      <c r="N4629" s="2">
        <f t="shared" si="218"/>
        <v>0.18214621441357357</v>
      </c>
    </row>
    <row r="4630" spans="1:14" x14ac:dyDescent="0.45">
      <c r="A4630" t="s">
        <v>8292</v>
      </c>
      <c r="B4630" s="1">
        <v>45277</v>
      </c>
      <c r="C4630" t="s">
        <v>8293</v>
      </c>
      <c r="D4630" t="s">
        <v>26</v>
      </c>
      <c r="E4630" t="s">
        <v>14</v>
      </c>
      <c r="F4630" t="s">
        <v>15</v>
      </c>
      <c r="G4630">
        <v>5</v>
      </c>
      <c r="H4630">
        <v>31193.54</v>
      </c>
      <c r="I4630">
        <v>2758.02</v>
      </c>
      <c r="J4630" t="s">
        <v>16</v>
      </c>
      <c r="K4630" t="s">
        <v>17</v>
      </c>
      <c r="L4630">
        <f t="shared" si="216"/>
        <v>2023</v>
      </c>
      <c r="M4630" t="str">
        <f t="shared" si="217"/>
        <v>Dec</v>
      </c>
      <c r="N4630" s="2">
        <f t="shared" si="218"/>
        <v>8.841638364866572E-2</v>
      </c>
    </row>
    <row r="4631" spans="1:14" x14ac:dyDescent="0.45">
      <c r="A4631" t="s">
        <v>8294</v>
      </c>
      <c r="B4631" s="1">
        <v>45390</v>
      </c>
      <c r="C4631" t="s">
        <v>8295</v>
      </c>
      <c r="D4631" t="s">
        <v>56</v>
      </c>
      <c r="E4631" t="s">
        <v>14</v>
      </c>
      <c r="F4631" t="s">
        <v>15</v>
      </c>
      <c r="G4631">
        <v>4</v>
      </c>
      <c r="H4631">
        <v>22239.62</v>
      </c>
      <c r="I4631">
        <v>2869.38</v>
      </c>
      <c r="J4631" t="s">
        <v>16</v>
      </c>
      <c r="K4631" t="s">
        <v>29</v>
      </c>
      <c r="L4631">
        <f t="shared" si="216"/>
        <v>2024</v>
      </c>
      <c r="M4631" t="str">
        <f t="shared" si="217"/>
        <v>Apr</v>
      </c>
      <c r="N4631" s="2">
        <f t="shared" si="218"/>
        <v>0.12902108938911727</v>
      </c>
    </row>
    <row r="4632" spans="1:14" x14ac:dyDescent="0.45">
      <c r="A4632" t="s">
        <v>8296</v>
      </c>
      <c r="B4632" s="1">
        <v>45148</v>
      </c>
      <c r="C4632" t="s">
        <v>2994</v>
      </c>
      <c r="D4632" t="s">
        <v>26</v>
      </c>
      <c r="E4632" t="s">
        <v>14</v>
      </c>
      <c r="F4632" t="s">
        <v>57</v>
      </c>
      <c r="G4632">
        <v>3</v>
      </c>
      <c r="H4632">
        <v>25231.65</v>
      </c>
      <c r="I4632">
        <v>5479.63</v>
      </c>
      <c r="J4632" t="s">
        <v>22</v>
      </c>
      <c r="K4632" t="s">
        <v>33</v>
      </c>
      <c r="L4632">
        <f t="shared" si="216"/>
        <v>2023</v>
      </c>
      <c r="M4632" t="str">
        <f t="shared" si="217"/>
        <v>Aug</v>
      </c>
      <c r="N4632" s="2">
        <f t="shared" si="218"/>
        <v>0.21717287612978145</v>
      </c>
    </row>
    <row r="4633" spans="1:14" x14ac:dyDescent="0.45">
      <c r="A4633" t="s">
        <v>8297</v>
      </c>
      <c r="B4633" s="1">
        <v>45207</v>
      </c>
      <c r="C4633" t="s">
        <v>8298</v>
      </c>
      <c r="D4633" t="s">
        <v>26</v>
      </c>
      <c r="E4633" t="s">
        <v>20</v>
      </c>
      <c r="F4633" t="s">
        <v>50</v>
      </c>
      <c r="G4633">
        <v>1</v>
      </c>
      <c r="H4633">
        <v>34736.49</v>
      </c>
      <c r="I4633">
        <v>8640.2199999999993</v>
      </c>
      <c r="J4633" t="s">
        <v>47</v>
      </c>
      <c r="K4633" t="s">
        <v>29</v>
      </c>
      <c r="L4633">
        <f t="shared" si="216"/>
        <v>2023</v>
      </c>
      <c r="M4633" t="str">
        <f t="shared" si="217"/>
        <v>Oct</v>
      </c>
      <c r="N4633" s="2">
        <f t="shared" si="218"/>
        <v>0.24873612734044229</v>
      </c>
    </row>
    <row r="4634" spans="1:14" x14ac:dyDescent="0.45">
      <c r="A4634" t="s">
        <v>8299</v>
      </c>
      <c r="B4634" s="1">
        <v>45146</v>
      </c>
      <c r="C4634" t="s">
        <v>8300</v>
      </c>
      <c r="D4634" t="s">
        <v>56</v>
      </c>
      <c r="E4634" t="s">
        <v>36</v>
      </c>
      <c r="F4634" t="s">
        <v>64</v>
      </c>
      <c r="G4634">
        <v>2</v>
      </c>
      <c r="H4634">
        <v>42512.56</v>
      </c>
      <c r="I4634">
        <v>6707.48</v>
      </c>
      <c r="J4634" t="s">
        <v>71</v>
      </c>
      <c r="K4634" t="s">
        <v>33</v>
      </c>
      <c r="L4634">
        <f t="shared" si="216"/>
        <v>2023</v>
      </c>
      <c r="M4634" t="str">
        <f t="shared" si="217"/>
        <v>Aug</v>
      </c>
      <c r="N4634" s="2">
        <f t="shared" si="218"/>
        <v>0.15777643124761248</v>
      </c>
    </row>
    <row r="4635" spans="1:14" x14ac:dyDescent="0.45">
      <c r="A4635" t="s">
        <v>8301</v>
      </c>
      <c r="B4635" s="1">
        <v>45479</v>
      </c>
      <c r="C4635" t="s">
        <v>8302</v>
      </c>
      <c r="D4635" t="s">
        <v>26</v>
      </c>
      <c r="E4635" t="s">
        <v>36</v>
      </c>
      <c r="F4635" t="s">
        <v>37</v>
      </c>
      <c r="G4635">
        <v>1</v>
      </c>
      <c r="H4635">
        <v>42567.97</v>
      </c>
      <c r="I4635">
        <v>4262.12</v>
      </c>
      <c r="J4635" t="s">
        <v>28</v>
      </c>
      <c r="K4635" t="s">
        <v>29</v>
      </c>
      <c r="L4635">
        <f t="shared" si="216"/>
        <v>2024</v>
      </c>
      <c r="M4635" t="str">
        <f t="shared" si="217"/>
        <v>Jul</v>
      </c>
      <c r="N4635" s="2">
        <f t="shared" si="218"/>
        <v>0.1001250470717772</v>
      </c>
    </row>
    <row r="4636" spans="1:14" x14ac:dyDescent="0.45">
      <c r="A4636" t="s">
        <v>8303</v>
      </c>
      <c r="B4636" s="1">
        <v>45252</v>
      </c>
      <c r="C4636" t="s">
        <v>8304</v>
      </c>
      <c r="D4636" t="s">
        <v>26</v>
      </c>
      <c r="E4636" t="s">
        <v>14</v>
      </c>
      <c r="F4636" t="s">
        <v>15</v>
      </c>
      <c r="G4636">
        <v>2</v>
      </c>
      <c r="H4636">
        <v>1758.45</v>
      </c>
      <c r="I4636">
        <v>175.42</v>
      </c>
      <c r="J4636" t="s">
        <v>16</v>
      </c>
      <c r="K4636" t="s">
        <v>17</v>
      </c>
      <c r="L4636">
        <f t="shared" si="216"/>
        <v>2023</v>
      </c>
      <c r="M4636" t="str">
        <f t="shared" si="217"/>
        <v>Nov</v>
      </c>
      <c r="N4636" s="2">
        <f t="shared" si="218"/>
        <v>9.9758309875174145E-2</v>
      </c>
    </row>
    <row r="4637" spans="1:14" x14ac:dyDescent="0.45">
      <c r="A4637" t="s">
        <v>8305</v>
      </c>
      <c r="B4637" s="1">
        <v>44770</v>
      </c>
      <c r="C4637" t="s">
        <v>3809</v>
      </c>
      <c r="D4637" t="s">
        <v>13</v>
      </c>
      <c r="E4637" t="s">
        <v>36</v>
      </c>
      <c r="F4637" t="s">
        <v>46</v>
      </c>
      <c r="G4637">
        <v>5</v>
      </c>
      <c r="H4637">
        <v>25854.67</v>
      </c>
      <c r="I4637">
        <v>6115.13</v>
      </c>
      <c r="J4637" t="s">
        <v>28</v>
      </c>
      <c r="K4637" t="s">
        <v>17</v>
      </c>
      <c r="L4637">
        <f t="shared" si="216"/>
        <v>2022</v>
      </c>
      <c r="M4637" t="str">
        <f t="shared" si="217"/>
        <v>Jul</v>
      </c>
      <c r="N4637" s="2">
        <f t="shared" si="218"/>
        <v>0.23651935994541801</v>
      </c>
    </row>
    <row r="4638" spans="1:14" x14ac:dyDescent="0.45">
      <c r="A4638" t="s">
        <v>8306</v>
      </c>
      <c r="B4638" s="1">
        <v>45243</v>
      </c>
      <c r="C4638" t="s">
        <v>6533</v>
      </c>
      <c r="D4638" t="s">
        <v>56</v>
      </c>
      <c r="E4638" t="s">
        <v>36</v>
      </c>
      <c r="F4638" t="s">
        <v>53</v>
      </c>
      <c r="G4638">
        <v>5</v>
      </c>
      <c r="H4638">
        <v>6553.8</v>
      </c>
      <c r="I4638">
        <v>563.49</v>
      </c>
      <c r="J4638" t="s">
        <v>16</v>
      </c>
      <c r="K4638" t="s">
        <v>23</v>
      </c>
      <c r="L4638">
        <f t="shared" si="216"/>
        <v>2023</v>
      </c>
      <c r="M4638" t="str">
        <f t="shared" si="217"/>
        <v>Nov</v>
      </c>
      <c r="N4638" s="2">
        <f t="shared" si="218"/>
        <v>8.59791266135677E-2</v>
      </c>
    </row>
    <row r="4639" spans="1:14" x14ac:dyDescent="0.45">
      <c r="A4639" t="s">
        <v>8307</v>
      </c>
      <c r="B4639" s="1">
        <v>45479</v>
      </c>
      <c r="C4639" t="s">
        <v>1092</v>
      </c>
      <c r="D4639" t="s">
        <v>56</v>
      </c>
      <c r="E4639" t="s">
        <v>36</v>
      </c>
      <c r="F4639" t="s">
        <v>64</v>
      </c>
      <c r="G4639">
        <v>3</v>
      </c>
      <c r="H4639">
        <v>33726.6</v>
      </c>
      <c r="I4639">
        <v>8147.54</v>
      </c>
      <c r="J4639" t="s">
        <v>16</v>
      </c>
      <c r="K4639" t="s">
        <v>33</v>
      </c>
      <c r="L4639">
        <f t="shared" si="216"/>
        <v>2024</v>
      </c>
      <c r="M4639" t="str">
        <f t="shared" si="217"/>
        <v>Jul</v>
      </c>
      <c r="N4639" s="2">
        <f t="shared" si="218"/>
        <v>0.24157608534509853</v>
      </c>
    </row>
    <row r="4640" spans="1:14" x14ac:dyDescent="0.45">
      <c r="A4640" t="s">
        <v>8308</v>
      </c>
      <c r="B4640" s="1">
        <v>44637</v>
      </c>
      <c r="C4640" t="s">
        <v>8309</v>
      </c>
      <c r="D4640" t="s">
        <v>13</v>
      </c>
      <c r="E4640" t="s">
        <v>20</v>
      </c>
      <c r="F4640" t="s">
        <v>27</v>
      </c>
      <c r="G4640">
        <v>1</v>
      </c>
      <c r="H4640">
        <v>38435.949999999997</v>
      </c>
      <c r="I4640">
        <v>7148.38</v>
      </c>
      <c r="J4640" t="s">
        <v>22</v>
      </c>
      <c r="K4640" t="s">
        <v>33</v>
      </c>
      <c r="L4640">
        <f t="shared" si="216"/>
        <v>2022</v>
      </c>
      <c r="M4640" t="str">
        <f t="shared" si="217"/>
        <v>Mar</v>
      </c>
      <c r="N4640" s="2">
        <f t="shared" si="218"/>
        <v>0.18598161356750648</v>
      </c>
    </row>
    <row r="4641" spans="1:14" x14ac:dyDescent="0.45">
      <c r="A4641" t="s">
        <v>8310</v>
      </c>
      <c r="B4641" s="1">
        <v>45036</v>
      </c>
      <c r="C4641" t="s">
        <v>8311</v>
      </c>
      <c r="D4641" t="s">
        <v>13</v>
      </c>
      <c r="E4641" t="s">
        <v>14</v>
      </c>
      <c r="F4641" t="s">
        <v>57</v>
      </c>
      <c r="G4641">
        <v>2</v>
      </c>
      <c r="H4641">
        <v>40143.599999999999</v>
      </c>
      <c r="I4641">
        <v>7064.49</v>
      </c>
      <c r="J4641" t="s">
        <v>71</v>
      </c>
      <c r="K4641" t="s">
        <v>23</v>
      </c>
      <c r="L4641">
        <f t="shared" si="216"/>
        <v>2023</v>
      </c>
      <c r="M4641" t="str">
        <f t="shared" si="217"/>
        <v>Apr</v>
      </c>
      <c r="N4641" s="2">
        <f t="shared" si="218"/>
        <v>0.17598048007652528</v>
      </c>
    </row>
    <row r="4642" spans="1:14" x14ac:dyDescent="0.45">
      <c r="A4642" t="s">
        <v>8312</v>
      </c>
      <c r="B4642" s="1">
        <v>44905</v>
      </c>
      <c r="C4642" t="s">
        <v>8313</v>
      </c>
      <c r="D4642" t="s">
        <v>56</v>
      </c>
      <c r="E4642" t="s">
        <v>36</v>
      </c>
      <c r="F4642" t="s">
        <v>37</v>
      </c>
      <c r="G4642">
        <v>2</v>
      </c>
      <c r="H4642">
        <v>44696.73</v>
      </c>
      <c r="I4642">
        <v>7970.98</v>
      </c>
      <c r="J4642" t="s">
        <v>16</v>
      </c>
      <c r="K4642" t="s">
        <v>17</v>
      </c>
      <c r="L4642">
        <f t="shared" si="216"/>
        <v>2022</v>
      </c>
      <c r="M4642" t="str">
        <f t="shared" si="217"/>
        <v>Dec</v>
      </c>
      <c r="N4642" s="2">
        <f t="shared" si="218"/>
        <v>0.17833474618836767</v>
      </c>
    </row>
    <row r="4643" spans="1:14" x14ac:dyDescent="0.45">
      <c r="A4643" t="s">
        <v>8314</v>
      </c>
      <c r="B4643" s="1">
        <v>45626</v>
      </c>
      <c r="C4643" t="s">
        <v>8315</v>
      </c>
      <c r="D4643" t="s">
        <v>56</v>
      </c>
      <c r="E4643" t="s">
        <v>14</v>
      </c>
      <c r="F4643" t="s">
        <v>40</v>
      </c>
      <c r="G4643">
        <v>2</v>
      </c>
      <c r="H4643">
        <v>32650.93</v>
      </c>
      <c r="I4643">
        <v>5075.78</v>
      </c>
      <c r="J4643" t="s">
        <v>16</v>
      </c>
      <c r="K4643" t="s">
        <v>29</v>
      </c>
      <c r="L4643">
        <f t="shared" si="216"/>
        <v>2024</v>
      </c>
      <c r="M4643" t="str">
        <f t="shared" si="217"/>
        <v>Nov</v>
      </c>
      <c r="N4643" s="2">
        <f t="shared" si="218"/>
        <v>0.15545590891285485</v>
      </c>
    </row>
    <row r="4644" spans="1:14" x14ac:dyDescent="0.45">
      <c r="A4644" t="s">
        <v>8316</v>
      </c>
      <c r="B4644" s="1">
        <v>44775</v>
      </c>
      <c r="C4644" t="s">
        <v>238</v>
      </c>
      <c r="D4644" t="s">
        <v>56</v>
      </c>
      <c r="E4644" t="s">
        <v>20</v>
      </c>
      <c r="F4644" t="s">
        <v>50</v>
      </c>
      <c r="G4644">
        <v>3</v>
      </c>
      <c r="H4644">
        <v>27512.07</v>
      </c>
      <c r="I4644">
        <v>3676.15</v>
      </c>
      <c r="J4644" t="s">
        <v>28</v>
      </c>
      <c r="K4644" t="s">
        <v>29</v>
      </c>
      <c r="L4644">
        <f t="shared" si="216"/>
        <v>2022</v>
      </c>
      <c r="M4644" t="str">
        <f t="shared" si="217"/>
        <v>Aug</v>
      </c>
      <c r="N4644" s="2">
        <f t="shared" si="218"/>
        <v>0.13361953498955187</v>
      </c>
    </row>
    <row r="4645" spans="1:14" x14ac:dyDescent="0.45">
      <c r="A4645" t="s">
        <v>8317</v>
      </c>
      <c r="B4645" s="1">
        <v>44903</v>
      </c>
      <c r="C4645" t="s">
        <v>8318</v>
      </c>
      <c r="D4645" t="s">
        <v>26</v>
      </c>
      <c r="E4645" t="s">
        <v>14</v>
      </c>
      <c r="F4645" t="s">
        <v>57</v>
      </c>
      <c r="G4645">
        <v>4</v>
      </c>
      <c r="H4645">
        <v>17776.060000000001</v>
      </c>
      <c r="I4645">
        <v>2257.81</v>
      </c>
      <c r="J4645" t="s">
        <v>16</v>
      </c>
      <c r="K4645" t="s">
        <v>17</v>
      </c>
      <c r="L4645">
        <f t="shared" si="216"/>
        <v>2022</v>
      </c>
      <c r="M4645" t="str">
        <f t="shared" si="217"/>
        <v>Dec</v>
      </c>
      <c r="N4645" s="2">
        <f t="shared" si="218"/>
        <v>0.12701408523598592</v>
      </c>
    </row>
    <row r="4646" spans="1:14" x14ac:dyDescent="0.45">
      <c r="A4646" t="s">
        <v>8319</v>
      </c>
      <c r="B4646" s="1">
        <v>45225</v>
      </c>
      <c r="C4646" t="s">
        <v>6615</v>
      </c>
      <c r="D4646" t="s">
        <v>56</v>
      </c>
      <c r="E4646" t="s">
        <v>36</v>
      </c>
      <c r="F4646" t="s">
        <v>64</v>
      </c>
      <c r="G4646">
        <v>5</v>
      </c>
      <c r="H4646">
        <v>46587.41</v>
      </c>
      <c r="I4646">
        <v>3631.33</v>
      </c>
      <c r="J4646" t="s">
        <v>47</v>
      </c>
      <c r="K4646" t="s">
        <v>29</v>
      </c>
      <c r="L4646">
        <f t="shared" si="216"/>
        <v>2023</v>
      </c>
      <c r="M4646" t="str">
        <f t="shared" si="217"/>
        <v>Oct</v>
      </c>
      <c r="N4646" s="2">
        <f t="shared" si="218"/>
        <v>7.7946595442846031E-2</v>
      </c>
    </row>
    <row r="4647" spans="1:14" x14ac:dyDescent="0.45">
      <c r="A4647" t="s">
        <v>8320</v>
      </c>
      <c r="B4647" s="1">
        <v>44636</v>
      </c>
      <c r="C4647" t="s">
        <v>8321</v>
      </c>
      <c r="D4647" t="s">
        <v>26</v>
      </c>
      <c r="E4647" t="s">
        <v>14</v>
      </c>
      <c r="F4647" t="s">
        <v>15</v>
      </c>
      <c r="G4647">
        <v>3</v>
      </c>
      <c r="H4647">
        <v>2684.2</v>
      </c>
      <c r="I4647">
        <v>234.85</v>
      </c>
      <c r="J4647" t="s">
        <v>16</v>
      </c>
      <c r="K4647" t="s">
        <v>17</v>
      </c>
      <c r="L4647">
        <f t="shared" si="216"/>
        <v>2022</v>
      </c>
      <c r="M4647" t="str">
        <f t="shared" si="217"/>
        <v>Mar</v>
      </c>
      <c r="N4647" s="2">
        <f t="shared" si="218"/>
        <v>8.7493480366589674E-2</v>
      </c>
    </row>
    <row r="4648" spans="1:14" x14ac:dyDescent="0.45">
      <c r="A4648" t="s">
        <v>8322</v>
      </c>
      <c r="B4648" s="1">
        <v>45388</v>
      </c>
      <c r="C4648" t="s">
        <v>8323</v>
      </c>
      <c r="D4648" t="s">
        <v>13</v>
      </c>
      <c r="E4648" t="s">
        <v>14</v>
      </c>
      <c r="F4648" t="s">
        <v>15</v>
      </c>
      <c r="G4648">
        <v>3</v>
      </c>
      <c r="H4648">
        <v>1198.8399999999999</v>
      </c>
      <c r="I4648">
        <v>162.69</v>
      </c>
      <c r="J4648" t="s">
        <v>47</v>
      </c>
      <c r="K4648" t="s">
        <v>29</v>
      </c>
      <c r="L4648">
        <f t="shared" si="216"/>
        <v>2024</v>
      </c>
      <c r="M4648" t="str">
        <f t="shared" si="217"/>
        <v>Apr</v>
      </c>
      <c r="N4648" s="2">
        <f t="shared" si="218"/>
        <v>0.13570618264322179</v>
      </c>
    </row>
    <row r="4649" spans="1:14" x14ac:dyDescent="0.45">
      <c r="A4649" t="s">
        <v>8324</v>
      </c>
      <c r="B4649" s="1">
        <v>45619</v>
      </c>
      <c r="C4649" t="s">
        <v>543</v>
      </c>
      <c r="D4649" t="s">
        <v>56</v>
      </c>
      <c r="E4649" t="s">
        <v>36</v>
      </c>
      <c r="F4649" t="s">
        <v>53</v>
      </c>
      <c r="G4649">
        <v>2</v>
      </c>
      <c r="H4649">
        <v>15609.03</v>
      </c>
      <c r="I4649">
        <v>1680.3</v>
      </c>
      <c r="J4649" t="s">
        <v>28</v>
      </c>
      <c r="K4649" t="s">
        <v>23</v>
      </c>
      <c r="L4649">
        <f t="shared" si="216"/>
        <v>2024</v>
      </c>
      <c r="M4649" t="str">
        <f t="shared" si="217"/>
        <v>Nov</v>
      </c>
      <c r="N4649" s="2">
        <f t="shared" si="218"/>
        <v>0.10764922612103378</v>
      </c>
    </row>
    <row r="4650" spans="1:14" x14ac:dyDescent="0.45">
      <c r="A4650" t="s">
        <v>8325</v>
      </c>
      <c r="B4650" s="1">
        <v>45230</v>
      </c>
      <c r="C4650" t="s">
        <v>8326</v>
      </c>
      <c r="D4650" t="s">
        <v>13</v>
      </c>
      <c r="E4650" t="s">
        <v>14</v>
      </c>
      <c r="F4650" t="s">
        <v>57</v>
      </c>
      <c r="G4650">
        <v>3</v>
      </c>
      <c r="H4650">
        <v>24343.67</v>
      </c>
      <c r="I4650">
        <v>4326.41</v>
      </c>
      <c r="J4650" t="s">
        <v>28</v>
      </c>
      <c r="K4650" t="s">
        <v>33</v>
      </c>
      <c r="L4650">
        <f t="shared" si="216"/>
        <v>2023</v>
      </c>
      <c r="M4650" t="str">
        <f t="shared" si="217"/>
        <v>Oct</v>
      </c>
      <c r="N4650" s="2">
        <f t="shared" si="218"/>
        <v>0.17772217582640581</v>
      </c>
    </row>
    <row r="4651" spans="1:14" x14ac:dyDescent="0.45">
      <c r="A4651" t="s">
        <v>8327</v>
      </c>
      <c r="B4651" s="1">
        <v>45195</v>
      </c>
      <c r="C4651" t="s">
        <v>8328</v>
      </c>
      <c r="D4651" t="s">
        <v>56</v>
      </c>
      <c r="E4651" t="s">
        <v>14</v>
      </c>
      <c r="F4651" t="s">
        <v>40</v>
      </c>
      <c r="G4651">
        <v>4</v>
      </c>
      <c r="H4651">
        <v>2443.64</v>
      </c>
      <c r="I4651">
        <v>213.2</v>
      </c>
      <c r="J4651" t="s">
        <v>22</v>
      </c>
      <c r="K4651" t="s">
        <v>23</v>
      </c>
      <c r="L4651">
        <f t="shared" si="216"/>
        <v>2023</v>
      </c>
      <c r="M4651" t="str">
        <f t="shared" si="217"/>
        <v>Sep</v>
      </c>
      <c r="N4651" s="2">
        <f t="shared" si="218"/>
        <v>8.7246893977836346E-2</v>
      </c>
    </row>
    <row r="4652" spans="1:14" x14ac:dyDescent="0.45">
      <c r="A4652" t="s">
        <v>8329</v>
      </c>
      <c r="B4652" s="1">
        <v>44687</v>
      </c>
      <c r="C4652" t="s">
        <v>8330</v>
      </c>
      <c r="D4652" t="s">
        <v>26</v>
      </c>
      <c r="E4652" t="s">
        <v>14</v>
      </c>
      <c r="F4652" t="s">
        <v>15</v>
      </c>
      <c r="G4652">
        <v>2</v>
      </c>
      <c r="H4652">
        <v>25990.33</v>
      </c>
      <c r="I4652">
        <v>5896.08</v>
      </c>
      <c r="J4652" t="s">
        <v>71</v>
      </c>
      <c r="K4652" t="s">
        <v>29</v>
      </c>
      <c r="L4652">
        <f t="shared" si="216"/>
        <v>2022</v>
      </c>
      <c r="M4652" t="str">
        <f t="shared" si="217"/>
        <v>May</v>
      </c>
      <c r="N4652" s="2">
        <f t="shared" si="218"/>
        <v>0.22685668092709863</v>
      </c>
    </row>
    <row r="4653" spans="1:14" x14ac:dyDescent="0.45">
      <c r="A4653" t="s">
        <v>8331</v>
      </c>
      <c r="B4653" s="1">
        <v>45518</v>
      </c>
      <c r="C4653" t="s">
        <v>8332</v>
      </c>
      <c r="D4653" t="s">
        <v>26</v>
      </c>
      <c r="E4653" t="s">
        <v>20</v>
      </c>
      <c r="F4653" t="s">
        <v>21</v>
      </c>
      <c r="G4653">
        <v>5</v>
      </c>
      <c r="H4653">
        <v>48828.91</v>
      </c>
      <c r="I4653">
        <v>4257.42</v>
      </c>
      <c r="J4653" t="s">
        <v>28</v>
      </c>
      <c r="K4653" t="s">
        <v>23</v>
      </c>
      <c r="L4653">
        <f t="shared" si="216"/>
        <v>2024</v>
      </c>
      <c r="M4653" t="str">
        <f t="shared" si="217"/>
        <v>Aug</v>
      </c>
      <c r="N4653" s="2">
        <f t="shared" si="218"/>
        <v>8.7190559854807323E-2</v>
      </c>
    </row>
    <row r="4654" spans="1:14" x14ac:dyDescent="0.45">
      <c r="A4654" t="s">
        <v>8333</v>
      </c>
      <c r="B4654" s="1">
        <v>45595</v>
      </c>
      <c r="C4654" t="s">
        <v>8334</v>
      </c>
      <c r="D4654" t="s">
        <v>56</v>
      </c>
      <c r="E4654" t="s">
        <v>36</v>
      </c>
      <c r="F4654" t="s">
        <v>37</v>
      </c>
      <c r="G4654">
        <v>4</v>
      </c>
      <c r="H4654">
        <v>38217.64</v>
      </c>
      <c r="I4654">
        <v>5366.3</v>
      </c>
      <c r="J4654" t="s">
        <v>47</v>
      </c>
      <c r="K4654" t="s">
        <v>17</v>
      </c>
      <c r="L4654">
        <f t="shared" si="216"/>
        <v>2024</v>
      </c>
      <c r="M4654" t="str">
        <f t="shared" si="217"/>
        <v>Oct</v>
      </c>
      <c r="N4654" s="2">
        <f t="shared" si="218"/>
        <v>0.14041421709974766</v>
      </c>
    </row>
    <row r="4655" spans="1:14" x14ac:dyDescent="0.45">
      <c r="A4655" t="s">
        <v>8335</v>
      </c>
      <c r="B4655" s="1">
        <v>44968</v>
      </c>
      <c r="C4655" t="s">
        <v>6666</v>
      </c>
      <c r="D4655" t="s">
        <v>13</v>
      </c>
      <c r="E4655" t="s">
        <v>14</v>
      </c>
      <c r="F4655" t="s">
        <v>32</v>
      </c>
      <c r="G4655">
        <v>3</v>
      </c>
      <c r="H4655">
        <v>11908.23</v>
      </c>
      <c r="I4655">
        <v>2819.72</v>
      </c>
      <c r="J4655" t="s">
        <v>71</v>
      </c>
      <c r="K4655" t="s">
        <v>23</v>
      </c>
      <c r="L4655">
        <f t="shared" si="216"/>
        <v>2023</v>
      </c>
      <c r="M4655" t="str">
        <f t="shared" si="217"/>
        <v>Feb</v>
      </c>
      <c r="N4655" s="2">
        <f t="shared" si="218"/>
        <v>0.23678749906577215</v>
      </c>
    </row>
    <row r="4656" spans="1:14" x14ac:dyDescent="0.45">
      <c r="A4656" t="s">
        <v>8336</v>
      </c>
      <c r="B4656" s="1">
        <v>45566</v>
      </c>
      <c r="C4656" t="s">
        <v>8337</v>
      </c>
      <c r="D4656" t="s">
        <v>13</v>
      </c>
      <c r="E4656" t="s">
        <v>14</v>
      </c>
      <c r="F4656" t="s">
        <v>57</v>
      </c>
      <c r="G4656">
        <v>2</v>
      </c>
      <c r="H4656">
        <v>44758.67</v>
      </c>
      <c r="I4656">
        <v>5127.21</v>
      </c>
      <c r="J4656" t="s">
        <v>28</v>
      </c>
      <c r="K4656" t="s">
        <v>33</v>
      </c>
      <c r="L4656">
        <f t="shared" si="216"/>
        <v>2024</v>
      </c>
      <c r="M4656" t="str">
        <f t="shared" si="217"/>
        <v>Oct</v>
      </c>
      <c r="N4656" s="2">
        <f t="shared" si="218"/>
        <v>0.11455233142539759</v>
      </c>
    </row>
    <row r="4657" spans="1:14" x14ac:dyDescent="0.45">
      <c r="A4657" t="s">
        <v>8338</v>
      </c>
      <c r="B4657" s="1">
        <v>44857</v>
      </c>
      <c r="C4657" t="s">
        <v>1372</v>
      </c>
      <c r="D4657" t="s">
        <v>56</v>
      </c>
      <c r="E4657" t="s">
        <v>36</v>
      </c>
      <c r="F4657" t="s">
        <v>37</v>
      </c>
      <c r="G4657">
        <v>2</v>
      </c>
      <c r="H4657">
        <v>33046.32</v>
      </c>
      <c r="I4657">
        <v>6978.45</v>
      </c>
      <c r="J4657" t="s">
        <v>28</v>
      </c>
      <c r="K4657" t="s">
        <v>17</v>
      </c>
      <c r="L4657">
        <f t="shared" si="216"/>
        <v>2022</v>
      </c>
      <c r="M4657" t="str">
        <f t="shared" si="217"/>
        <v>Oct</v>
      </c>
      <c r="N4657" s="2">
        <f t="shared" si="218"/>
        <v>0.21117177343801063</v>
      </c>
    </row>
    <row r="4658" spans="1:14" x14ac:dyDescent="0.45">
      <c r="A4658" t="s">
        <v>8339</v>
      </c>
      <c r="B4658" s="1">
        <v>44960</v>
      </c>
      <c r="C4658" t="s">
        <v>8340</v>
      </c>
      <c r="D4658" t="s">
        <v>13</v>
      </c>
      <c r="E4658" t="s">
        <v>20</v>
      </c>
      <c r="F4658" t="s">
        <v>21</v>
      </c>
      <c r="G4658">
        <v>5</v>
      </c>
      <c r="H4658">
        <v>19901.14</v>
      </c>
      <c r="I4658">
        <v>2479.98</v>
      </c>
      <c r="J4658" t="s">
        <v>22</v>
      </c>
      <c r="K4658" t="s">
        <v>33</v>
      </c>
      <c r="L4658">
        <f t="shared" si="216"/>
        <v>2023</v>
      </c>
      <c r="M4658" t="str">
        <f t="shared" si="217"/>
        <v>Feb</v>
      </c>
      <c r="N4658" s="2">
        <f t="shared" si="218"/>
        <v>0.12461497180563526</v>
      </c>
    </row>
    <row r="4659" spans="1:14" x14ac:dyDescent="0.45">
      <c r="A4659" t="s">
        <v>8341</v>
      </c>
      <c r="B4659" s="1">
        <v>45199</v>
      </c>
      <c r="C4659" t="s">
        <v>8342</v>
      </c>
      <c r="D4659" t="s">
        <v>13</v>
      </c>
      <c r="E4659" t="s">
        <v>20</v>
      </c>
      <c r="F4659" t="s">
        <v>43</v>
      </c>
      <c r="G4659">
        <v>3</v>
      </c>
      <c r="H4659">
        <v>18714.439999999999</v>
      </c>
      <c r="I4659">
        <v>3168.79</v>
      </c>
      <c r="J4659" t="s">
        <v>28</v>
      </c>
      <c r="K4659" t="s">
        <v>33</v>
      </c>
      <c r="L4659">
        <f t="shared" si="216"/>
        <v>2023</v>
      </c>
      <c r="M4659" t="str">
        <f t="shared" si="217"/>
        <v>Sep</v>
      </c>
      <c r="N4659" s="2">
        <f t="shared" si="218"/>
        <v>0.16932326054105815</v>
      </c>
    </row>
    <row r="4660" spans="1:14" x14ac:dyDescent="0.45">
      <c r="A4660" t="s">
        <v>8343</v>
      </c>
      <c r="B4660" s="1">
        <v>45542</v>
      </c>
      <c r="C4660" t="s">
        <v>8344</v>
      </c>
      <c r="D4660" t="s">
        <v>26</v>
      </c>
      <c r="E4660" t="s">
        <v>14</v>
      </c>
      <c r="F4660" t="s">
        <v>57</v>
      </c>
      <c r="G4660">
        <v>1</v>
      </c>
      <c r="H4660">
        <v>15217.79</v>
      </c>
      <c r="I4660">
        <v>3041.81</v>
      </c>
      <c r="J4660" t="s">
        <v>22</v>
      </c>
      <c r="K4660" t="s">
        <v>29</v>
      </c>
      <c r="L4660">
        <f t="shared" si="216"/>
        <v>2024</v>
      </c>
      <c r="M4660" t="str">
        <f t="shared" si="217"/>
        <v>Sep</v>
      </c>
      <c r="N4660" s="2">
        <f t="shared" si="218"/>
        <v>0.19988513443804914</v>
      </c>
    </row>
    <row r="4661" spans="1:14" x14ac:dyDescent="0.45">
      <c r="A4661" t="s">
        <v>8345</v>
      </c>
      <c r="B4661" s="1">
        <v>44711</v>
      </c>
      <c r="C4661" t="s">
        <v>8346</v>
      </c>
      <c r="D4661" t="s">
        <v>26</v>
      </c>
      <c r="E4661" t="s">
        <v>14</v>
      </c>
      <c r="F4661" t="s">
        <v>57</v>
      </c>
      <c r="G4661">
        <v>3</v>
      </c>
      <c r="H4661">
        <v>9274.2999999999993</v>
      </c>
      <c r="I4661">
        <v>847.39</v>
      </c>
      <c r="J4661" t="s">
        <v>22</v>
      </c>
      <c r="K4661" t="s">
        <v>29</v>
      </c>
      <c r="L4661">
        <f t="shared" si="216"/>
        <v>2022</v>
      </c>
      <c r="M4661" t="str">
        <f t="shared" si="217"/>
        <v>May</v>
      </c>
      <c r="N4661" s="2">
        <f t="shared" si="218"/>
        <v>9.1369699060845563E-2</v>
      </c>
    </row>
    <row r="4662" spans="1:14" x14ac:dyDescent="0.45">
      <c r="A4662" t="s">
        <v>8347</v>
      </c>
      <c r="B4662" s="1">
        <v>45528</v>
      </c>
      <c r="C4662" t="s">
        <v>8348</v>
      </c>
      <c r="D4662" t="s">
        <v>13</v>
      </c>
      <c r="E4662" t="s">
        <v>36</v>
      </c>
      <c r="F4662" t="s">
        <v>37</v>
      </c>
      <c r="G4662">
        <v>2</v>
      </c>
      <c r="H4662">
        <v>40827.120000000003</v>
      </c>
      <c r="I4662">
        <v>8982.5499999999993</v>
      </c>
      <c r="J4662" t="s">
        <v>71</v>
      </c>
      <c r="K4662" t="s">
        <v>17</v>
      </c>
      <c r="L4662">
        <f t="shared" si="216"/>
        <v>2024</v>
      </c>
      <c r="M4662" t="str">
        <f t="shared" si="217"/>
        <v>Aug</v>
      </c>
      <c r="N4662" s="2">
        <f t="shared" si="218"/>
        <v>0.22001429441998355</v>
      </c>
    </row>
    <row r="4663" spans="1:14" x14ac:dyDescent="0.45">
      <c r="A4663" t="s">
        <v>8349</v>
      </c>
      <c r="B4663" s="1">
        <v>45094</v>
      </c>
      <c r="C4663" t="s">
        <v>6636</v>
      </c>
      <c r="D4663" t="s">
        <v>56</v>
      </c>
      <c r="E4663" t="s">
        <v>36</v>
      </c>
      <c r="F4663" t="s">
        <v>37</v>
      </c>
      <c r="G4663">
        <v>4</v>
      </c>
      <c r="H4663">
        <v>5410.72</v>
      </c>
      <c r="I4663">
        <v>884.04</v>
      </c>
      <c r="J4663" t="s">
        <v>47</v>
      </c>
      <c r="K4663" t="s">
        <v>33</v>
      </c>
      <c r="L4663">
        <f t="shared" si="216"/>
        <v>2023</v>
      </c>
      <c r="M4663" t="str">
        <f t="shared" si="217"/>
        <v>Jun</v>
      </c>
      <c r="N4663" s="2">
        <f t="shared" si="218"/>
        <v>0.16338675813939732</v>
      </c>
    </row>
    <row r="4664" spans="1:14" x14ac:dyDescent="0.45">
      <c r="A4664" t="s">
        <v>8350</v>
      </c>
      <c r="B4664" s="1">
        <v>44663</v>
      </c>
      <c r="C4664" t="s">
        <v>8351</v>
      </c>
      <c r="D4664" t="s">
        <v>13</v>
      </c>
      <c r="E4664" t="s">
        <v>20</v>
      </c>
      <c r="F4664" t="s">
        <v>21</v>
      </c>
      <c r="G4664">
        <v>3</v>
      </c>
      <c r="H4664">
        <v>15847.15</v>
      </c>
      <c r="I4664">
        <v>3117.23</v>
      </c>
      <c r="J4664" t="s">
        <v>16</v>
      </c>
      <c r="K4664" t="s">
        <v>23</v>
      </c>
      <c r="L4664">
        <f t="shared" si="216"/>
        <v>2022</v>
      </c>
      <c r="M4664" t="str">
        <f t="shared" si="217"/>
        <v>Apr</v>
      </c>
      <c r="N4664" s="2">
        <f t="shared" si="218"/>
        <v>0.19670603231495884</v>
      </c>
    </row>
    <row r="4665" spans="1:14" x14ac:dyDescent="0.45">
      <c r="A4665" t="s">
        <v>8352</v>
      </c>
      <c r="B4665" s="1">
        <v>45124</v>
      </c>
      <c r="C4665" t="s">
        <v>8353</v>
      </c>
      <c r="D4665" t="s">
        <v>56</v>
      </c>
      <c r="E4665" t="s">
        <v>14</v>
      </c>
      <c r="F4665" t="s">
        <v>57</v>
      </c>
      <c r="G4665">
        <v>3</v>
      </c>
      <c r="H4665">
        <v>2212.2399999999998</v>
      </c>
      <c r="I4665">
        <v>459.13</v>
      </c>
      <c r="J4665" t="s">
        <v>16</v>
      </c>
      <c r="K4665" t="s">
        <v>33</v>
      </c>
      <c r="L4665">
        <f t="shared" si="216"/>
        <v>2023</v>
      </c>
      <c r="M4665" t="str">
        <f t="shared" si="217"/>
        <v>Jul</v>
      </c>
      <c r="N4665" s="2">
        <f t="shared" si="218"/>
        <v>0.20754077315300332</v>
      </c>
    </row>
    <row r="4666" spans="1:14" x14ac:dyDescent="0.45">
      <c r="A4666" t="s">
        <v>8354</v>
      </c>
      <c r="B4666" s="1">
        <v>45333</v>
      </c>
      <c r="C4666" t="s">
        <v>4708</v>
      </c>
      <c r="D4666" t="s">
        <v>26</v>
      </c>
      <c r="E4666" t="s">
        <v>36</v>
      </c>
      <c r="F4666" t="s">
        <v>37</v>
      </c>
      <c r="G4666">
        <v>3</v>
      </c>
      <c r="H4666">
        <v>36253.99</v>
      </c>
      <c r="I4666">
        <v>1920.63</v>
      </c>
      <c r="J4666" t="s">
        <v>47</v>
      </c>
      <c r="K4666" t="s">
        <v>23</v>
      </c>
      <c r="L4666">
        <f t="shared" si="216"/>
        <v>2024</v>
      </c>
      <c r="M4666" t="str">
        <f t="shared" si="217"/>
        <v>Feb</v>
      </c>
      <c r="N4666" s="2">
        <f t="shared" si="218"/>
        <v>5.2977065420937122E-2</v>
      </c>
    </row>
    <row r="4667" spans="1:14" x14ac:dyDescent="0.45">
      <c r="A4667" t="s">
        <v>8355</v>
      </c>
      <c r="B4667" s="1">
        <v>45183</v>
      </c>
      <c r="C4667" t="s">
        <v>2205</v>
      </c>
      <c r="D4667" t="s">
        <v>13</v>
      </c>
      <c r="E4667" t="s">
        <v>20</v>
      </c>
      <c r="F4667" t="s">
        <v>27</v>
      </c>
      <c r="G4667">
        <v>5</v>
      </c>
      <c r="H4667">
        <v>27651.24</v>
      </c>
      <c r="I4667">
        <v>5407.04</v>
      </c>
      <c r="J4667" t="s">
        <v>22</v>
      </c>
      <c r="K4667" t="s">
        <v>17</v>
      </c>
      <c r="L4667">
        <f t="shared" si="216"/>
        <v>2023</v>
      </c>
      <c r="M4667" t="str">
        <f t="shared" si="217"/>
        <v>Sep</v>
      </c>
      <c r="N4667" s="2">
        <f t="shared" si="218"/>
        <v>0.19554421429201727</v>
      </c>
    </row>
    <row r="4668" spans="1:14" x14ac:dyDescent="0.45">
      <c r="A4668" t="s">
        <v>8356</v>
      </c>
      <c r="B4668" s="1">
        <v>45044</v>
      </c>
      <c r="C4668" t="s">
        <v>8357</v>
      </c>
      <c r="D4668" t="s">
        <v>26</v>
      </c>
      <c r="E4668" t="s">
        <v>36</v>
      </c>
      <c r="F4668" t="s">
        <v>53</v>
      </c>
      <c r="G4668">
        <v>5</v>
      </c>
      <c r="H4668">
        <v>29662.26</v>
      </c>
      <c r="I4668">
        <v>7104.18</v>
      </c>
      <c r="J4668" t="s">
        <v>22</v>
      </c>
      <c r="K4668" t="s">
        <v>29</v>
      </c>
      <c r="L4668">
        <f t="shared" si="216"/>
        <v>2023</v>
      </c>
      <c r="M4668" t="str">
        <f t="shared" si="217"/>
        <v>Apr</v>
      </c>
      <c r="N4668" s="2">
        <f t="shared" si="218"/>
        <v>0.2395023170857514</v>
      </c>
    </row>
    <row r="4669" spans="1:14" x14ac:dyDescent="0.45">
      <c r="A4669" t="s">
        <v>8358</v>
      </c>
      <c r="B4669" s="1">
        <v>45416</v>
      </c>
      <c r="C4669" t="s">
        <v>8359</v>
      </c>
      <c r="D4669" t="s">
        <v>56</v>
      </c>
      <c r="E4669" t="s">
        <v>14</v>
      </c>
      <c r="F4669" t="s">
        <v>32</v>
      </c>
      <c r="G4669">
        <v>2</v>
      </c>
      <c r="H4669">
        <v>25981.83</v>
      </c>
      <c r="I4669">
        <v>1446.39</v>
      </c>
      <c r="J4669" t="s">
        <v>28</v>
      </c>
      <c r="K4669" t="s">
        <v>33</v>
      </c>
      <c r="L4669">
        <f t="shared" si="216"/>
        <v>2024</v>
      </c>
      <c r="M4669" t="str">
        <f t="shared" si="217"/>
        <v>May</v>
      </c>
      <c r="N4669" s="2">
        <f t="shared" si="218"/>
        <v>5.5669288883808413E-2</v>
      </c>
    </row>
    <row r="4670" spans="1:14" x14ac:dyDescent="0.45">
      <c r="A4670" t="s">
        <v>8360</v>
      </c>
      <c r="B4670" s="1">
        <v>45591</v>
      </c>
      <c r="C4670" t="s">
        <v>8361</v>
      </c>
      <c r="D4670" t="s">
        <v>13</v>
      </c>
      <c r="E4670" t="s">
        <v>36</v>
      </c>
      <c r="F4670" t="s">
        <v>53</v>
      </c>
      <c r="G4670">
        <v>2</v>
      </c>
      <c r="H4670">
        <v>30079.78</v>
      </c>
      <c r="I4670">
        <v>5175.29</v>
      </c>
      <c r="J4670" t="s">
        <v>47</v>
      </c>
      <c r="K4670" t="s">
        <v>17</v>
      </c>
      <c r="L4670">
        <f t="shared" si="216"/>
        <v>2024</v>
      </c>
      <c r="M4670" t="str">
        <f t="shared" si="217"/>
        <v>Oct</v>
      </c>
      <c r="N4670" s="2">
        <f t="shared" si="218"/>
        <v>0.17205212272164225</v>
      </c>
    </row>
    <row r="4671" spans="1:14" x14ac:dyDescent="0.45">
      <c r="A4671" t="s">
        <v>8362</v>
      </c>
      <c r="B4671" s="1">
        <v>44950</v>
      </c>
      <c r="C4671" t="s">
        <v>8363</v>
      </c>
      <c r="D4671" t="s">
        <v>26</v>
      </c>
      <c r="E4671" t="s">
        <v>36</v>
      </c>
      <c r="F4671" t="s">
        <v>53</v>
      </c>
      <c r="G4671">
        <v>4</v>
      </c>
      <c r="H4671">
        <v>35722.1</v>
      </c>
      <c r="I4671">
        <v>4187.18</v>
      </c>
      <c r="J4671" t="s">
        <v>47</v>
      </c>
      <c r="K4671" t="s">
        <v>23</v>
      </c>
      <c r="L4671">
        <f t="shared" si="216"/>
        <v>2023</v>
      </c>
      <c r="M4671" t="str">
        <f t="shared" si="217"/>
        <v>Jan</v>
      </c>
      <c r="N4671" s="2">
        <f t="shared" si="218"/>
        <v>0.11721539327195211</v>
      </c>
    </row>
    <row r="4672" spans="1:14" x14ac:dyDescent="0.45">
      <c r="A4672" t="s">
        <v>8364</v>
      </c>
      <c r="B4672" s="1">
        <v>45441</v>
      </c>
      <c r="C4672" t="s">
        <v>8365</v>
      </c>
      <c r="D4672" t="s">
        <v>56</v>
      </c>
      <c r="E4672" t="s">
        <v>36</v>
      </c>
      <c r="F4672" t="s">
        <v>46</v>
      </c>
      <c r="G4672">
        <v>1</v>
      </c>
      <c r="H4672">
        <v>21058.04</v>
      </c>
      <c r="I4672">
        <v>3843.59</v>
      </c>
      <c r="J4672" t="s">
        <v>71</v>
      </c>
      <c r="K4672" t="s">
        <v>29</v>
      </c>
      <c r="L4672">
        <f t="shared" si="216"/>
        <v>2024</v>
      </c>
      <c r="M4672" t="str">
        <f t="shared" si="217"/>
        <v>May</v>
      </c>
      <c r="N4672" s="2">
        <f t="shared" si="218"/>
        <v>0.18252363467825117</v>
      </c>
    </row>
    <row r="4673" spans="1:14" x14ac:dyDescent="0.45">
      <c r="A4673" t="s">
        <v>8366</v>
      </c>
      <c r="B4673" s="1">
        <v>45575</v>
      </c>
      <c r="C4673" t="s">
        <v>8367</v>
      </c>
      <c r="D4673" t="s">
        <v>13</v>
      </c>
      <c r="E4673" t="s">
        <v>14</v>
      </c>
      <c r="F4673" t="s">
        <v>40</v>
      </c>
      <c r="G4673">
        <v>5</v>
      </c>
      <c r="H4673">
        <v>17997.240000000002</v>
      </c>
      <c r="I4673">
        <v>2208.48</v>
      </c>
      <c r="J4673" t="s">
        <v>28</v>
      </c>
      <c r="K4673" t="s">
        <v>33</v>
      </c>
      <c r="L4673">
        <f t="shared" si="216"/>
        <v>2024</v>
      </c>
      <c r="M4673" t="str">
        <f t="shared" si="217"/>
        <v>Oct</v>
      </c>
      <c r="N4673" s="2">
        <f t="shared" si="218"/>
        <v>0.12271214919621008</v>
      </c>
    </row>
    <row r="4674" spans="1:14" x14ac:dyDescent="0.45">
      <c r="A4674" t="s">
        <v>8368</v>
      </c>
      <c r="B4674" s="1">
        <v>45286</v>
      </c>
      <c r="C4674" t="s">
        <v>4638</v>
      </c>
      <c r="D4674" t="s">
        <v>13</v>
      </c>
      <c r="E4674" t="s">
        <v>36</v>
      </c>
      <c r="F4674" t="s">
        <v>46</v>
      </c>
      <c r="G4674">
        <v>3</v>
      </c>
      <c r="H4674">
        <v>30246.77</v>
      </c>
      <c r="I4674">
        <v>6616.07</v>
      </c>
      <c r="J4674" t="s">
        <v>47</v>
      </c>
      <c r="K4674" t="s">
        <v>33</v>
      </c>
      <c r="L4674">
        <f t="shared" si="216"/>
        <v>2023</v>
      </c>
      <c r="M4674" t="str">
        <f t="shared" si="217"/>
        <v>Dec</v>
      </c>
      <c r="N4674" s="2">
        <f t="shared" si="218"/>
        <v>0.21873641383856854</v>
      </c>
    </row>
    <row r="4675" spans="1:14" x14ac:dyDescent="0.45">
      <c r="A4675" t="s">
        <v>8369</v>
      </c>
      <c r="B4675" s="1">
        <v>44731</v>
      </c>
      <c r="C4675" t="s">
        <v>7938</v>
      </c>
      <c r="D4675" t="s">
        <v>13</v>
      </c>
      <c r="E4675" t="s">
        <v>20</v>
      </c>
      <c r="F4675" t="s">
        <v>50</v>
      </c>
      <c r="G4675">
        <v>2</v>
      </c>
      <c r="H4675">
        <v>44494.400000000001</v>
      </c>
      <c r="I4675">
        <v>6507.65</v>
      </c>
      <c r="J4675" t="s">
        <v>71</v>
      </c>
      <c r="K4675" t="s">
        <v>29</v>
      </c>
      <c r="L4675">
        <f t="shared" ref="L4675:L4738" si="219">YEAR(B4675 )</f>
        <v>2022</v>
      </c>
      <c r="M4675" t="str">
        <f t="shared" ref="M4675:M4738" si="220">TEXT(B4675,"MMM")</f>
        <v>Jun</v>
      </c>
      <c r="N4675" s="2">
        <f t="shared" ref="N4675:N4738" si="221">I4675 / H4675</f>
        <v>0.14625773131000755</v>
      </c>
    </row>
    <row r="4676" spans="1:14" x14ac:dyDescent="0.45">
      <c r="A4676" t="s">
        <v>8370</v>
      </c>
      <c r="B4676" s="1">
        <v>45254</v>
      </c>
      <c r="C4676" t="s">
        <v>8371</v>
      </c>
      <c r="D4676" t="s">
        <v>56</v>
      </c>
      <c r="E4676" t="s">
        <v>36</v>
      </c>
      <c r="F4676" t="s">
        <v>64</v>
      </c>
      <c r="G4676">
        <v>4</v>
      </c>
      <c r="H4676">
        <v>21435.439999999999</v>
      </c>
      <c r="I4676">
        <v>4062.63</v>
      </c>
      <c r="J4676" t="s">
        <v>22</v>
      </c>
      <c r="K4676" t="s">
        <v>33</v>
      </c>
      <c r="L4676">
        <f t="shared" si="219"/>
        <v>2023</v>
      </c>
      <c r="M4676" t="str">
        <f t="shared" si="220"/>
        <v>Nov</v>
      </c>
      <c r="N4676" s="2">
        <f t="shared" si="221"/>
        <v>0.18952864975013345</v>
      </c>
    </row>
    <row r="4677" spans="1:14" x14ac:dyDescent="0.45">
      <c r="A4677" t="s">
        <v>8372</v>
      </c>
      <c r="B4677" s="1">
        <v>44587</v>
      </c>
      <c r="C4677" t="s">
        <v>8373</v>
      </c>
      <c r="D4677" t="s">
        <v>13</v>
      </c>
      <c r="E4677" t="s">
        <v>20</v>
      </c>
      <c r="F4677" t="s">
        <v>43</v>
      </c>
      <c r="G4677">
        <v>1</v>
      </c>
      <c r="H4677">
        <v>10160.84</v>
      </c>
      <c r="I4677">
        <v>985.46</v>
      </c>
      <c r="J4677" t="s">
        <v>22</v>
      </c>
      <c r="K4677" t="s">
        <v>23</v>
      </c>
      <c r="L4677">
        <f t="shared" si="219"/>
        <v>2022</v>
      </c>
      <c r="M4677" t="str">
        <f t="shared" si="220"/>
        <v>Jan</v>
      </c>
      <c r="N4677" s="2">
        <f t="shared" si="221"/>
        <v>9.6986075954350229E-2</v>
      </c>
    </row>
    <row r="4678" spans="1:14" x14ac:dyDescent="0.45">
      <c r="A4678" t="s">
        <v>8374</v>
      </c>
      <c r="B4678" s="1">
        <v>44780</v>
      </c>
      <c r="C4678" t="s">
        <v>7291</v>
      </c>
      <c r="D4678" t="s">
        <v>13</v>
      </c>
      <c r="E4678" t="s">
        <v>36</v>
      </c>
      <c r="F4678" t="s">
        <v>64</v>
      </c>
      <c r="G4678">
        <v>2</v>
      </c>
      <c r="H4678">
        <v>13814.65</v>
      </c>
      <c r="I4678">
        <v>2695.18</v>
      </c>
      <c r="J4678" t="s">
        <v>28</v>
      </c>
      <c r="K4678" t="s">
        <v>17</v>
      </c>
      <c r="L4678">
        <f t="shared" si="219"/>
        <v>2022</v>
      </c>
      <c r="M4678" t="str">
        <f t="shared" si="220"/>
        <v>Aug</v>
      </c>
      <c r="N4678" s="2">
        <f t="shared" si="221"/>
        <v>0.19509578599530208</v>
      </c>
    </row>
    <row r="4679" spans="1:14" x14ac:dyDescent="0.45">
      <c r="A4679" t="s">
        <v>8375</v>
      </c>
      <c r="B4679" s="1">
        <v>45259</v>
      </c>
      <c r="C4679" t="s">
        <v>8376</v>
      </c>
      <c r="D4679" t="s">
        <v>56</v>
      </c>
      <c r="E4679" t="s">
        <v>36</v>
      </c>
      <c r="F4679" t="s">
        <v>46</v>
      </c>
      <c r="G4679">
        <v>5</v>
      </c>
      <c r="H4679">
        <v>3589.92</v>
      </c>
      <c r="I4679">
        <v>190.18</v>
      </c>
      <c r="J4679" t="s">
        <v>47</v>
      </c>
      <c r="K4679" t="s">
        <v>33</v>
      </c>
      <c r="L4679">
        <f t="shared" si="219"/>
        <v>2023</v>
      </c>
      <c r="M4679" t="str">
        <f t="shared" si="220"/>
        <v>Nov</v>
      </c>
      <c r="N4679" s="2">
        <f t="shared" si="221"/>
        <v>5.297611088826492E-2</v>
      </c>
    </row>
    <row r="4680" spans="1:14" x14ac:dyDescent="0.45">
      <c r="A4680" t="s">
        <v>8377</v>
      </c>
      <c r="B4680" s="1">
        <v>44705</v>
      </c>
      <c r="C4680" t="s">
        <v>113</v>
      </c>
      <c r="D4680" t="s">
        <v>13</v>
      </c>
      <c r="E4680" t="s">
        <v>20</v>
      </c>
      <c r="F4680" t="s">
        <v>21</v>
      </c>
      <c r="G4680">
        <v>4</v>
      </c>
      <c r="H4680">
        <v>33095.519999999997</v>
      </c>
      <c r="I4680">
        <v>2297.54</v>
      </c>
      <c r="J4680" t="s">
        <v>71</v>
      </c>
      <c r="K4680" t="s">
        <v>29</v>
      </c>
      <c r="L4680">
        <f t="shared" si="219"/>
        <v>2022</v>
      </c>
      <c r="M4680" t="str">
        <f t="shared" si="220"/>
        <v>May</v>
      </c>
      <c r="N4680" s="2">
        <f t="shared" si="221"/>
        <v>6.9421480611273068E-2</v>
      </c>
    </row>
    <row r="4681" spans="1:14" x14ac:dyDescent="0.45">
      <c r="A4681" t="s">
        <v>8378</v>
      </c>
      <c r="B4681" s="1">
        <v>44897</v>
      </c>
      <c r="C4681" t="s">
        <v>5194</v>
      </c>
      <c r="D4681" t="s">
        <v>56</v>
      </c>
      <c r="E4681" t="s">
        <v>20</v>
      </c>
      <c r="F4681" t="s">
        <v>27</v>
      </c>
      <c r="G4681">
        <v>1</v>
      </c>
      <c r="H4681">
        <v>37485.1</v>
      </c>
      <c r="I4681">
        <v>6155.04</v>
      </c>
      <c r="J4681" t="s">
        <v>16</v>
      </c>
      <c r="K4681" t="s">
        <v>17</v>
      </c>
      <c r="L4681">
        <f t="shared" si="219"/>
        <v>2022</v>
      </c>
      <c r="M4681" t="str">
        <f t="shared" si="220"/>
        <v>Dec</v>
      </c>
      <c r="N4681" s="2">
        <f t="shared" si="221"/>
        <v>0.16419964199108447</v>
      </c>
    </row>
    <row r="4682" spans="1:14" x14ac:dyDescent="0.45">
      <c r="A4682" t="s">
        <v>8379</v>
      </c>
      <c r="B4682" s="1">
        <v>45485</v>
      </c>
      <c r="C4682" t="s">
        <v>4167</v>
      </c>
      <c r="D4682" t="s">
        <v>56</v>
      </c>
      <c r="E4682" t="s">
        <v>36</v>
      </c>
      <c r="F4682" t="s">
        <v>64</v>
      </c>
      <c r="G4682">
        <v>1</v>
      </c>
      <c r="H4682">
        <v>48494.27</v>
      </c>
      <c r="I4682">
        <v>10859.65</v>
      </c>
      <c r="J4682" t="s">
        <v>16</v>
      </c>
      <c r="K4682" t="s">
        <v>17</v>
      </c>
      <c r="L4682">
        <f t="shared" si="219"/>
        <v>2024</v>
      </c>
      <c r="M4682" t="str">
        <f t="shared" si="220"/>
        <v>Jul</v>
      </c>
      <c r="N4682" s="2">
        <f t="shared" si="221"/>
        <v>0.22393676613752511</v>
      </c>
    </row>
    <row r="4683" spans="1:14" x14ac:dyDescent="0.45">
      <c r="A4683" t="s">
        <v>8380</v>
      </c>
      <c r="B4683" s="1">
        <v>45254</v>
      </c>
      <c r="C4683" t="s">
        <v>4381</v>
      </c>
      <c r="D4683" t="s">
        <v>56</v>
      </c>
      <c r="E4683" t="s">
        <v>14</v>
      </c>
      <c r="F4683" t="s">
        <v>40</v>
      </c>
      <c r="G4683">
        <v>3</v>
      </c>
      <c r="H4683">
        <v>39471.42</v>
      </c>
      <c r="I4683">
        <v>3017.85</v>
      </c>
      <c r="J4683" t="s">
        <v>47</v>
      </c>
      <c r="K4683" t="s">
        <v>23</v>
      </c>
      <c r="L4683">
        <f t="shared" si="219"/>
        <v>2023</v>
      </c>
      <c r="M4683" t="str">
        <f t="shared" si="220"/>
        <v>Nov</v>
      </c>
      <c r="N4683" s="2">
        <f t="shared" si="221"/>
        <v>7.645658554974713E-2</v>
      </c>
    </row>
    <row r="4684" spans="1:14" x14ac:dyDescent="0.45">
      <c r="A4684" t="s">
        <v>8381</v>
      </c>
      <c r="B4684" s="1">
        <v>45367</v>
      </c>
      <c r="C4684" t="s">
        <v>8382</v>
      </c>
      <c r="D4684" t="s">
        <v>56</v>
      </c>
      <c r="E4684" t="s">
        <v>36</v>
      </c>
      <c r="F4684" t="s">
        <v>64</v>
      </c>
      <c r="G4684">
        <v>5</v>
      </c>
      <c r="H4684">
        <v>20769.400000000001</v>
      </c>
      <c r="I4684">
        <v>4102.7</v>
      </c>
      <c r="J4684" t="s">
        <v>16</v>
      </c>
      <c r="K4684" t="s">
        <v>33</v>
      </c>
      <c r="L4684">
        <f t="shared" si="219"/>
        <v>2024</v>
      </c>
      <c r="M4684" t="str">
        <f t="shared" si="220"/>
        <v>Mar</v>
      </c>
      <c r="N4684" s="2">
        <f t="shared" si="221"/>
        <v>0.19753579785646189</v>
      </c>
    </row>
    <row r="4685" spans="1:14" x14ac:dyDescent="0.45">
      <c r="A4685" t="s">
        <v>8383</v>
      </c>
      <c r="B4685" s="1">
        <v>44712</v>
      </c>
      <c r="C4685" t="s">
        <v>8384</v>
      </c>
      <c r="D4685" t="s">
        <v>13</v>
      </c>
      <c r="E4685" t="s">
        <v>20</v>
      </c>
      <c r="F4685" t="s">
        <v>27</v>
      </c>
      <c r="G4685">
        <v>1</v>
      </c>
      <c r="H4685">
        <v>7946.83</v>
      </c>
      <c r="I4685">
        <v>1686.92</v>
      </c>
      <c r="J4685" t="s">
        <v>28</v>
      </c>
      <c r="K4685" t="s">
        <v>17</v>
      </c>
      <c r="L4685">
        <f t="shared" si="219"/>
        <v>2022</v>
      </c>
      <c r="M4685" t="str">
        <f t="shared" si="220"/>
        <v>May</v>
      </c>
      <c r="N4685" s="2">
        <f t="shared" si="221"/>
        <v>0.2122758382902365</v>
      </c>
    </row>
    <row r="4686" spans="1:14" x14ac:dyDescent="0.45">
      <c r="A4686" t="s">
        <v>8385</v>
      </c>
      <c r="B4686" s="1">
        <v>45515</v>
      </c>
      <c r="C4686" t="s">
        <v>4875</v>
      </c>
      <c r="D4686" t="s">
        <v>13</v>
      </c>
      <c r="E4686" t="s">
        <v>20</v>
      </c>
      <c r="F4686" t="s">
        <v>21</v>
      </c>
      <c r="G4686">
        <v>5</v>
      </c>
      <c r="H4686">
        <v>1708.12</v>
      </c>
      <c r="I4686">
        <v>338.87</v>
      </c>
      <c r="J4686" t="s">
        <v>71</v>
      </c>
      <c r="K4686" t="s">
        <v>17</v>
      </c>
      <c r="L4686">
        <f t="shared" si="219"/>
        <v>2024</v>
      </c>
      <c r="M4686" t="str">
        <f t="shared" si="220"/>
        <v>Aug</v>
      </c>
      <c r="N4686" s="2">
        <f t="shared" si="221"/>
        <v>0.19838770109828352</v>
      </c>
    </row>
    <row r="4687" spans="1:14" x14ac:dyDescent="0.45">
      <c r="A4687" t="s">
        <v>8386</v>
      </c>
      <c r="B4687" s="1">
        <v>44838</v>
      </c>
      <c r="C4687" t="s">
        <v>8387</v>
      </c>
      <c r="D4687" t="s">
        <v>26</v>
      </c>
      <c r="E4687" t="s">
        <v>14</v>
      </c>
      <c r="F4687" t="s">
        <v>40</v>
      </c>
      <c r="G4687">
        <v>3</v>
      </c>
      <c r="H4687">
        <v>5430.41</v>
      </c>
      <c r="I4687">
        <v>1123.8599999999999</v>
      </c>
      <c r="J4687" t="s">
        <v>71</v>
      </c>
      <c r="K4687" t="s">
        <v>23</v>
      </c>
      <c r="L4687">
        <f t="shared" si="219"/>
        <v>2022</v>
      </c>
      <c r="M4687" t="str">
        <f t="shared" si="220"/>
        <v>Oct</v>
      </c>
      <c r="N4687" s="2">
        <f t="shared" si="221"/>
        <v>0.20695674912207365</v>
      </c>
    </row>
    <row r="4688" spans="1:14" x14ac:dyDescent="0.45">
      <c r="A4688" t="s">
        <v>8388</v>
      </c>
      <c r="B4688" s="1">
        <v>45221</v>
      </c>
      <c r="C4688" t="s">
        <v>7309</v>
      </c>
      <c r="D4688" t="s">
        <v>26</v>
      </c>
      <c r="E4688" t="s">
        <v>14</v>
      </c>
      <c r="F4688" t="s">
        <v>15</v>
      </c>
      <c r="G4688">
        <v>1</v>
      </c>
      <c r="H4688">
        <v>42654.86</v>
      </c>
      <c r="I4688">
        <v>8700.27</v>
      </c>
      <c r="J4688" t="s">
        <v>22</v>
      </c>
      <c r="K4688" t="s">
        <v>17</v>
      </c>
      <c r="L4688">
        <f t="shared" si="219"/>
        <v>2023</v>
      </c>
      <c r="M4688" t="str">
        <f t="shared" si="220"/>
        <v>Oct</v>
      </c>
      <c r="N4688" s="2">
        <f t="shared" si="221"/>
        <v>0.2039690201773022</v>
      </c>
    </row>
    <row r="4689" spans="1:14" x14ac:dyDescent="0.45">
      <c r="A4689" t="s">
        <v>8389</v>
      </c>
      <c r="B4689" s="1">
        <v>45019</v>
      </c>
      <c r="C4689" t="s">
        <v>8390</v>
      </c>
      <c r="D4689" t="s">
        <v>13</v>
      </c>
      <c r="E4689" t="s">
        <v>36</v>
      </c>
      <c r="F4689" t="s">
        <v>46</v>
      </c>
      <c r="G4689">
        <v>4</v>
      </c>
      <c r="H4689">
        <v>36462.699999999997</v>
      </c>
      <c r="I4689">
        <v>9018.18</v>
      </c>
      <c r="J4689" t="s">
        <v>47</v>
      </c>
      <c r="K4689" t="s">
        <v>23</v>
      </c>
      <c r="L4689">
        <f t="shared" si="219"/>
        <v>2023</v>
      </c>
      <c r="M4689" t="str">
        <f t="shared" si="220"/>
        <v>Apr</v>
      </c>
      <c r="N4689" s="2">
        <f t="shared" si="221"/>
        <v>0.24732617167680948</v>
      </c>
    </row>
    <row r="4690" spans="1:14" x14ac:dyDescent="0.45">
      <c r="A4690" t="s">
        <v>8391</v>
      </c>
      <c r="B4690" s="1">
        <v>44581</v>
      </c>
      <c r="C4690" t="s">
        <v>8392</v>
      </c>
      <c r="D4690" t="s">
        <v>56</v>
      </c>
      <c r="E4690" t="s">
        <v>14</v>
      </c>
      <c r="F4690" t="s">
        <v>15</v>
      </c>
      <c r="G4690">
        <v>1</v>
      </c>
      <c r="H4690">
        <v>35912.589999999997</v>
      </c>
      <c r="I4690">
        <v>8498.8700000000008</v>
      </c>
      <c r="J4690" t="s">
        <v>28</v>
      </c>
      <c r="K4690" t="s">
        <v>17</v>
      </c>
      <c r="L4690">
        <f t="shared" si="219"/>
        <v>2022</v>
      </c>
      <c r="M4690" t="str">
        <f t="shared" si="220"/>
        <v>Jan</v>
      </c>
      <c r="N4690" s="2">
        <f t="shared" si="221"/>
        <v>0.2366543320879948</v>
      </c>
    </row>
    <row r="4691" spans="1:14" x14ac:dyDescent="0.45">
      <c r="A4691" t="s">
        <v>8393</v>
      </c>
      <c r="B4691" s="1">
        <v>45519</v>
      </c>
      <c r="C4691" t="s">
        <v>8394</v>
      </c>
      <c r="D4691" t="s">
        <v>26</v>
      </c>
      <c r="E4691" t="s">
        <v>36</v>
      </c>
      <c r="F4691" t="s">
        <v>53</v>
      </c>
      <c r="G4691">
        <v>3</v>
      </c>
      <c r="H4691">
        <v>22438.52</v>
      </c>
      <c r="I4691">
        <v>3153.23</v>
      </c>
      <c r="J4691" t="s">
        <v>71</v>
      </c>
      <c r="K4691" t="s">
        <v>33</v>
      </c>
      <c r="L4691">
        <f t="shared" si="219"/>
        <v>2024</v>
      </c>
      <c r="M4691" t="str">
        <f t="shared" si="220"/>
        <v>Aug</v>
      </c>
      <c r="N4691" s="2">
        <f t="shared" si="221"/>
        <v>0.1405275392494692</v>
      </c>
    </row>
    <row r="4692" spans="1:14" x14ac:dyDescent="0.45">
      <c r="A4692" t="s">
        <v>8395</v>
      </c>
      <c r="B4692" s="1">
        <v>45606</v>
      </c>
      <c r="C4692" t="s">
        <v>7579</v>
      </c>
      <c r="D4692" t="s">
        <v>13</v>
      </c>
      <c r="E4692" t="s">
        <v>14</v>
      </c>
      <c r="F4692" t="s">
        <v>15</v>
      </c>
      <c r="G4692">
        <v>4</v>
      </c>
      <c r="H4692">
        <v>9938.43</v>
      </c>
      <c r="I4692">
        <v>2217.7600000000002</v>
      </c>
      <c r="J4692" t="s">
        <v>22</v>
      </c>
      <c r="K4692" t="s">
        <v>29</v>
      </c>
      <c r="L4692">
        <f t="shared" si="219"/>
        <v>2024</v>
      </c>
      <c r="M4692" t="str">
        <f t="shared" si="220"/>
        <v>Nov</v>
      </c>
      <c r="N4692" s="2">
        <f t="shared" si="221"/>
        <v>0.22314993414452788</v>
      </c>
    </row>
    <row r="4693" spans="1:14" x14ac:dyDescent="0.45">
      <c r="A4693" t="s">
        <v>8396</v>
      </c>
      <c r="B4693" s="1">
        <v>44822</v>
      </c>
      <c r="C4693" t="s">
        <v>8210</v>
      </c>
      <c r="D4693" t="s">
        <v>26</v>
      </c>
      <c r="E4693" t="s">
        <v>14</v>
      </c>
      <c r="F4693" t="s">
        <v>15</v>
      </c>
      <c r="G4693">
        <v>3</v>
      </c>
      <c r="H4693">
        <v>16994.21</v>
      </c>
      <c r="I4693">
        <v>2603.9</v>
      </c>
      <c r="J4693" t="s">
        <v>71</v>
      </c>
      <c r="K4693" t="s">
        <v>29</v>
      </c>
      <c r="L4693">
        <f t="shared" si="219"/>
        <v>2022</v>
      </c>
      <c r="M4693" t="str">
        <f t="shared" si="220"/>
        <v>Sep</v>
      </c>
      <c r="N4693" s="2">
        <f t="shared" si="221"/>
        <v>0.15322277410953497</v>
      </c>
    </row>
    <row r="4694" spans="1:14" x14ac:dyDescent="0.45">
      <c r="A4694" t="s">
        <v>8397</v>
      </c>
      <c r="B4694" s="1">
        <v>45444</v>
      </c>
      <c r="C4694" t="s">
        <v>156</v>
      </c>
      <c r="D4694" t="s">
        <v>26</v>
      </c>
      <c r="E4694" t="s">
        <v>14</v>
      </c>
      <c r="F4694" t="s">
        <v>57</v>
      </c>
      <c r="G4694">
        <v>1</v>
      </c>
      <c r="H4694">
        <v>47984.53</v>
      </c>
      <c r="I4694">
        <v>3974.23</v>
      </c>
      <c r="J4694" t="s">
        <v>71</v>
      </c>
      <c r="K4694" t="s">
        <v>29</v>
      </c>
      <c r="L4694">
        <f t="shared" si="219"/>
        <v>2024</v>
      </c>
      <c r="M4694" t="str">
        <f t="shared" si="220"/>
        <v>Jun</v>
      </c>
      <c r="N4694" s="2">
        <f t="shared" si="221"/>
        <v>8.2823151544883317E-2</v>
      </c>
    </row>
    <row r="4695" spans="1:14" x14ac:dyDescent="0.45">
      <c r="A4695" t="s">
        <v>8398</v>
      </c>
      <c r="B4695" s="1">
        <v>44720</v>
      </c>
      <c r="C4695" t="s">
        <v>1884</v>
      </c>
      <c r="D4695" t="s">
        <v>26</v>
      </c>
      <c r="E4695" t="s">
        <v>36</v>
      </c>
      <c r="F4695" t="s">
        <v>53</v>
      </c>
      <c r="G4695">
        <v>1</v>
      </c>
      <c r="H4695">
        <v>28088.28</v>
      </c>
      <c r="I4695">
        <v>2824.79</v>
      </c>
      <c r="J4695" t="s">
        <v>28</v>
      </c>
      <c r="K4695" t="s">
        <v>23</v>
      </c>
      <c r="L4695">
        <f t="shared" si="219"/>
        <v>2022</v>
      </c>
      <c r="M4695" t="str">
        <f t="shared" si="220"/>
        <v>Jun</v>
      </c>
      <c r="N4695" s="2">
        <f t="shared" si="221"/>
        <v>0.10056827972378515</v>
      </c>
    </row>
    <row r="4696" spans="1:14" x14ac:dyDescent="0.45">
      <c r="A4696" t="s">
        <v>8399</v>
      </c>
      <c r="B4696" s="1">
        <v>44633</v>
      </c>
      <c r="C4696" t="s">
        <v>8400</v>
      </c>
      <c r="D4696" t="s">
        <v>13</v>
      </c>
      <c r="E4696" t="s">
        <v>36</v>
      </c>
      <c r="F4696" t="s">
        <v>53</v>
      </c>
      <c r="G4696">
        <v>3</v>
      </c>
      <c r="H4696">
        <v>15125.36</v>
      </c>
      <c r="I4696">
        <v>2399.2800000000002</v>
      </c>
      <c r="J4696" t="s">
        <v>28</v>
      </c>
      <c r="K4696" t="s">
        <v>29</v>
      </c>
      <c r="L4696">
        <f t="shared" si="219"/>
        <v>2022</v>
      </c>
      <c r="M4696" t="str">
        <f t="shared" si="220"/>
        <v>Mar</v>
      </c>
      <c r="N4696" s="2">
        <f t="shared" si="221"/>
        <v>0.15862630707632744</v>
      </c>
    </row>
    <row r="4697" spans="1:14" x14ac:dyDescent="0.45">
      <c r="A4697" t="s">
        <v>8401</v>
      </c>
      <c r="B4697" s="1">
        <v>44881</v>
      </c>
      <c r="C4697" t="s">
        <v>8402</v>
      </c>
      <c r="D4697" t="s">
        <v>26</v>
      </c>
      <c r="E4697" t="s">
        <v>36</v>
      </c>
      <c r="F4697" t="s">
        <v>37</v>
      </c>
      <c r="G4697">
        <v>2</v>
      </c>
      <c r="H4697">
        <v>48885.13</v>
      </c>
      <c r="I4697">
        <v>7303.79</v>
      </c>
      <c r="J4697" t="s">
        <v>28</v>
      </c>
      <c r="K4697" t="s">
        <v>33</v>
      </c>
      <c r="L4697">
        <f t="shared" si="219"/>
        <v>2022</v>
      </c>
      <c r="M4697" t="str">
        <f t="shared" si="220"/>
        <v>Nov</v>
      </c>
      <c r="N4697" s="2">
        <f t="shared" si="221"/>
        <v>0.14940719192114249</v>
      </c>
    </row>
    <row r="4698" spans="1:14" x14ac:dyDescent="0.45">
      <c r="A4698" t="s">
        <v>8403</v>
      </c>
      <c r="B4698" s="1">
        <v>45166</v>
      </c>
      <c r="C4698" t="s">
        <v>4022</v>
      </c>
      <c r="D4698" t="s">
        <v>13</v>
      </c>
      <c r="E4698" t="s">
        <v>14</v>
      </c>
      <c r="F4698" t="s">
        <v>15</v>
      </c>
      <c r="G4698">
        <v>3</v>
      </c>
      <c r="H4698">
        <v>30297.29</v>
      </c>
      <c r="I4698">
        <v>4419.75</v>
      </c>
      <c r="J4698" t="s">
        <v>47</v>
      </c>
      <c r="K4698" t="s">
        <v>23</v>
      </c>
      <c r="L4698">
        <f t="shared" si="219"/>
        <v>2023</v>
      </c>
      <c r="M4698" t="str">
        <f t="shared" si="220"/>
        <v>Aug</v>
      </c>
      <c r="N4698" s="2">
        <f t="shared" si="221"/>
        <v>0.14587938393169816</v>
      </c>
    </row>
    <row r="4699" spans="1:14" x14ac:dyDescent="0.45">
      <c r="A4699" t="s">
        <v>8404</v>
      </c>
      <c r="B4699" s="1">
        <v>45145</v>
      </c>
      <c r="C4699" t="s">
        <v>2403</v>
      </c>
      <c r="D4699" t="s">
        <v>26</v>
      </c>
      <c r="E4699" t="s">
        <v>14</v>
      </c>
      <c r="F4699" t="s">
        <v>32</v>
      </c>
      <c r="G4699">
        <v>5</v>
      </c>
      <c r="H4699">
        <v>2719.38</v>
      </c>
      <c r="I4699">
        <v>477.44</v>
      </c>
      <c r="J4699" t="s">
        <v>16</v>
      </c>
      <c r="K4699" t="s">
        <v>33</v>
      </c>
      <c r="L4699">
        <f t="shared" si="219"/>
        <v>2023</v>
      </c>
      <c r="M4699" t="str">
        <f t="shared" si="220"/>
        <v>Aug</v>
      </c>
      <c r="N4699" s="2">
        <f t="shared" si="221"/>
        <v>0.17556943126742125</v>
      </c>
    </row>
    <row r="4700" spans="1:14" x14ac:dyDescent="0.45">
      <c r="A4700" t="s">
        <v>8405</v>
      </c>
      <c r="B4700" s="1">
        <v>45297</v>
      </c>
      <c r="C4700" t="s">
        <v>1633</v>
      </c>
      <c r="D4700" t="s">
        <v>56</v>
      </c>
      <c r="E4700" t="s">
        <v>36</v>
      </c>
      <c r="F4700" t="s">
        <v>37</v>
      </c>
      <c r="G4700">
        <v>5</v>
      </c>
      <c r="H4700">
        <v>11784.73</v>
      </c>
      <c r="I4700">
        <v>1438.72</v>
      </c>
      <c r="J4700" t="s">
        <v>22</v>
      </c>
      <c r="K4700" t="s">
        <v>29</v>
      </c>
      <c r="L4700">
        <f t="shared" si="219"/>
        <v>2024</v>
      </c>
      <c r="M4700" t="str">
        <f t="shared" si="220"/>
        <v>Jan</v>
      </c>
      <c r="N4700" s="2">
        <f t="shared" si="221"/>
        <v>0.12208340793552334</v>
      </c>
    </row>
    <row r="4701" spans="1:14" x14ac:dyDescent="0.45">
      <c r="A4701" t="s">
        <v>8406</v>
      </c>
      <c r="B4701" s="1">
        <v>45012</v>
      </c>
      <c r="C4701" t="s">
        <v>7114</v>
      </c>
      <c r="D4701" t="s">
        <v>13</v>
      </c>
      <c r="E4701" t="s">
        <v>36</v>
      </c>
      <c r="F4701" t="s">
        <v>37</v>
      </c>
      <c r="G4701">
        <v>5</v>
      </c>
      <c r="H4701">
        <v>6313.43</v>
      </c>
      <c r="I4701">
        <v>659.73</v>
      </c>
      <c r="J4701" t="s">
        <v>47</v>
      </c>
      <c r="K4701" t="s">
        <v>29</v>
      </c>
      <c r="L4701">
        <f t="shared" si="219"/>
        <v>2023</v>
      </c>
      <c r="M4701" t="str">
        <f t="shared" si="220"/>
        <v>Mar</v>
      </c>
      <c r="N4701" s="2">
        <f t="shared" si="221"/>
        <v>0.10449628807161876</v>
      </c>
    </row>
    <row r="4702" spans="1:14" x14ac:dyDescent="0.45">
      <c r="A4702" t="s">
        <v>8407</v>
      </c>
      <c r="B4702" s="1">
        <v>44893</v>
      </c>
      <c r="C4702" t="s">
        <v>8408</v>
      </c>
      <c r="D4702" t="s">
        <v>26</v>
      </c>
      <c r="E4702" t="s">
        <v>20</v>
      </c>
      <c r="F4702" t="s">
        <v>21</v>
      </c>
      <c r="G4702">
        <v>2</v>
      </c>
      <c r="H4702">
        <v>28218.03</v>
      </c>
      <c r="I4702">
        <v>4838.2</v>
      </c>
      <c r="J4702" t="s">
        <v>28</v>
      </c>
      <c r="K4702" t="s">
        <v>23</v>
      </c>
      <c r="L4702">
        <f t="shared" si="219"/>
        <v>2022</v>
      </c>
      <c r="M4702" t="str">
        <f t="shared" si="220"/>
        <v>Nov</v>
      </c>
      <c r="N4702" s="2">
        <f t="shared" si="221"/>
        <v>0.17145775236612903</v>
      </c>
    </row>
    <row r="4703" spans="1:14" x14ac:dyDescent="0.45">
      <c r="A4703" t="s">
        <v>8409</v>
      </c>
      <c r="B4703" s="1">
        <v>45546</v>
      </c>
      <c r="C4703" t="s">
        <v>8410</v>
      </c>
      <c r="D4703" t="s">
        <v>13</v>
      </c>
      <c r="E4703" t="s">
        <v>14</v>
      </c>
      <c r="F4703" t="s">
        <v>57</v>
      </c>
      <c r="G4703">
        <v>5</v>
      </c>
      <c r="H4703">
        <v>30806.38</v>
      </c>
      <c r="I4703">
        <v>1713.93</v>
      </c>
      <c r="J4703" t="s">
        <v>28</v>
      </c>
      <c r="K4703" t="s">
        <v>23</v>
      </c>
      <c r="L4703">
        <f t="shared" si="219"/>
        <v>2024</v>
      </c>
      <c r="M4703" t="str">
        <f t="shared" si="220"/>
        <v>Sep</v>
      </c>
      <c r="N4703" s="2">
        <f t="shared" si="221"/>
        <v>5.5635553414584898E-2</v>
      </c>
    </row>
    <row r="4704" spans="1:14" x14ac:dyDescent="0.45">
      <c r="A4704" t="s">
        <v>8411</v>
      </c>
      <c r="B4704" s="1">
        <v>45238</v>
      </c>
      <c r="C4704" t="s">
        <v>8412</v>
      </c>
      <c r="D4704" t="s">
        <v>26</v>
      </c>
      <c r="E4704" t="s">
        <v>20</v>
      </c>
      <c r="F4704" t="s">
        <v>50</v>
      </c>
      <c r="G4704">
        <v>5</v>
      </c>
      <c r="H4704">
        <v>28970.73</v>
      </c>
      <c r="I4704">
        <v>5803.85</v>
      </c>
      <c r="J4704" t="s">
        <v>47</v>
      </c>
      <c r="K4704" t="s">
        <v>33</v>
      </c>
      <c r="L4704">
        <f t="shared" si="219"/>
        <v>2023</v>
      </c>
      <c r="M4704" t="str">
        <f t="shared" si="220"/>
        <v>Nov</v>
      </c>
      <c r="N4704" s="2">
        <f t="shared" si="221"/>
        <v>0.20033495876700383</v>
      </c>
    </row>
    <row r="4705" spans="1:14" x14ac:dyDescent="0.45">
      <c r="A4705" t="s">
        <v>8413</v>
      </c>
      <c r="B4705" s="1">
        <v>44938</v>
      </c>
      <c r="C4705" t="s">
        <v>8414</v>
      </c>
      <c r="D4705" t="s">
        <v>26</v>
      </c>
      <c r="E4705" t="s">
        <v>14</v>
      </c>
      <c r="F4705" t="s">
        <v>15</v>
      </c>
      <c r="G4705">
        <v>5</v>
      </c>
      <c r="H4705">
        <v>19048.66</v>
      </c>
      <c r="I4705">
        <v>3667.38</v>
      </c>
      <c r="J4705" t="s">
        <v>22</v>
      </c>
      <c r="K4705" t="s">
        <v>17</v>
      </c>
      <c r="L4705">
        <f t="shared" si="219"/>
        <v>2023</v>
      </c>
      <c r="M4705" t="str">
        <f t="shared" si="220"/>
        <v>Jan</v>
      </c>
      <c r="N4705" s="2">
        <f t="shared" si="221"/>
        <v>0.19252692840336277</v>
      </c>
    </row>
    <row r="4706" spans="1:14" x14ac:dyDescent="0.45">
      <c r="A4706" t="s">
        <v>8415</v>
      </c>
      <c r="B4706" s="1">
        <v>45591</v>
      </c>
      <c r="C4706" t="s">
        <v>8416</v>
      </c>
      <c r="D4706" t="s">
        <v>13</v>
      </c>
      <c r="E4706" t="s">
        <v>36</v>
      </c>
      <c r="F4706" t="s">
        <v>64</v>
      </c>
      <c r="G4706">
        <v>1</v>
      </c>
      <c r="H4706">
        <v>21934.29</v>
      </c>
      <c r="I4706">
        <v>2826.93</v>
      </c>
      <c r="J4706" t="s">
        <v>71</v>
      </c>
      <c r="K4706" t="s">
        <v>23</v>
      </c>
      <c r="L4706">
        <f t="shared" si="219"/>
        <v>2024</v>
      </c>
      <c r="M4706" t="str">
        <f t="shared" si="220"/>
        <v>Oct</v>
      </c>
      <c r="N4706" s="2">
        <f t="shared" si="221"/>
        <v>0.12888176457956924</v>
      </c>
    </row>
    <row r="4707" spans="1:14" x14ac:dyDescent="0.45">
      <c r="A4707" t="s">
        <v>8417</v>
      </c>
      <c r="B4707" s="1">
        <v>45350</v>
      </c>
      <c r="C4707" t="s">
        <v>140</v>
      </c>
      <c r="D4707" t="s">
        <v>56</v>
      </c>
      <c r="E4707" t="s">
        <v>14</v>
      </c>
      <c r="F4707" t="s">
        <v>57</v>
      </c>
      <c r="G4707">
        <v>1</v>
      </c>
      <c r="H4707">
        <v>24982.95</v>
      </c>
      <c r="I4707">
        <v>1881.44</v>
      </c>
      <c r="J4707" t="s">
        <v>16</v>
      </c>
      <c r="K4707" t="s">
        <v>29</v>
      </c>
      <c r="L4707">
        <f t="shared" si="219"/>
        <v>2024</v>
      </c>
      <c r="M4707" t="str">
        <f t="shared" si="220"/>
        <v>Feb</v>
      </c>
      <c r="N4707" s="2">
        <f t="shared" si="221"/>
        <v>7.5308960711205047E-2</v>
      </c>
    </row>
    <row r="4708" spans="1:14" x14ac:dyDescent="0.45">
      <c r="A4708" t="s">
        <v>8418</v>
      </c>
      <c r="B4708" s="1">
        <v>45282</v>
      </c>
      <c r="C4708" t="s">
        <v>8419</v>
      </c>
      <c r="D4708" t="s">
        <v>26</v>
      </c>
      <c r="E4708" t="s">
        <v>14</v>
      </c>
      <c r="F4708" t="s">
        <v>32</v>
      </c>
      <c r="G4708">
        <v>3</v>
      </c>
      <c r="H4708">
        <v>2208.8200000000002</v>
      </c>
      <c r="I4708">
        <v>382.64</v>
      </c>
      <c r="J4708" t="s">
        <v>22</v>
      </c>
      <c r="K4708" t="s">
        <v>17</v>
      </c>
      <c r="L4708">
        <f t="shared" si="219"/>
        <v>2023</v>
      </c>
      <c r="M4708" t="str">
        <f t="shared" si="220"/>
        <v>Dec</v>
      </c>
      <c r="N4708" s="2">
        <f t="shared" si="221"/>
        <v>0.17323276681667132</v>
      </c>
    </row>
    <row r="4709" spans="1:14" x14ac:dyDescent="0.45">
      <c r="A4709" t="s">
        <v>8420</v>
      </c>
      <c r="B4709" s="1">
        <v>45138</v>
      </c>
      <c r="C4709" t="s">
        <v>3054</v>
      </c>
      <c r="D4709" t="s">
        <v>13</v>
      </c>
      <c r="E4709" t="s">
        <v>20</v>
      </c>
      <c r="F4709" t="s">
        <v>50</v>
      </c>
      <c r="G4709">
        <v>5</v>
      </c>
      <c r="H4709">
        <v>32991.120000000003</v>
      </c>
      <c r="I4709">
        <v>4015.96</v>
      </c>
      <c r="J4709" t="s">
        <v>28</v>
      </c>
      <c r="K4709" t="s">
        <v>29</v>
      </c>
      <c r="L4709">
        <f t="shared" si="219"/>
        <v>2023</v>
      </c>
      <c r="M4709" t="str">
        <f t="shared" si="220"/>
        <v>Jul</v>
      </c>
      <c r="N4709" s="2">
        <f t="shared" si="221"/>
        <v>0.12172851361214775</v>
      </c>
    </row>
    <row r="4710" spans="1:14" x14ac:dyDescent="0.45">
      <c r="A4710" t="s">
        <v>8421</v>
      </c>
      <c r="B4710" s="1">
        <v>44824</v>
      </c>
      <c r="C4710" t="s">
        <v>5351</v>
      </c>
      <c r="D4710" t="s">
        <v>26</v>
      </c>
      <c r="E4710" t="s">
        <v>36</v>
      </c>
      <c r="F4710" t="s">
        <v>53</v>
      </c>
      <c r="G4710">
        <v>2</v>
      </c>
      <c r="H4710">
        <v>21998.66</v>
      </c>
      <c r="I4710">
        <v>1151.17</v>
      </c>
      <c r="J4710" t="s">
        <v>71</v>
      </c>
      <c r="K4710" t="s">
        <v>29</v>
      </c>
      <c r="L4710">
        <f t="shared" si="219"/>
        <v>2022</v>
      </c>
      <c r="M4710" t="str">
        <f t="shared" si="220"/>
        <v>Sep</v>
      </c>
      <c r="N4710" s="2">
        <f t="shared" si="221"/>
        <v>5.2329096408599438E-2</v>
      </c>
    </row>
    <row r="4711" spans="1:14" x14ac:dyDescent="0.45">
      <c r="A4711" t="s">
        <v>8422</v>
      </c>
      <c r="B4711" s="1">
        <v>45372</v>
      </c>
      <c r="C4711" t="s">
        <v>8423</v>
      </c>
      <c r="D4711" t="s">
        <v>56</v>
      </c>
      <c r="E4711" t="s">
        <v>14</v>
      </c>
      <c r="F4711" t="s">
        <v>32</v>
      </c>
      <c r="G4711">
        <v>5</v>
      </c>
      <c r="H4711">
        <v>1676.06</v>
      </c>
      <c r="I4711">
        <v>196.75</v>
      </c>
      <c r="J4711" t="s">
        <v>71</v>
      </c>
      <c r="K4711" t="s">
        <v>17</v>
      </c>
      <c r="L4711">
        <f t="shared" si="219"/>
        <v>2024</v>
      </c>
      <c r="M4711" t="str">
        <f t="shared" si="220"/>
        <v>Mar</v>
      </c>
      <c r="N4711" s="2">
        <f t="shared" si="221"/>
        <v>0.11738839898332995</v>
      </c>
    </row>
    <row r="4712" spans="1:14" x14ac:dyDescent="0.45">
      <c r="A4712" t="s">
        <v>8424</v>
      </c>
      <c r="B4712" s="1">
        <v>45193</v>
      </c>
      <c r="C4712" t="s">
        <v>8425</v>
      </c>
      <c r="D4712" t="s">
        <v>56</v>
      </c>
      <c r="E4712" t="s">
        <v>14</v>
      </c>
      <c r="F4712" t="s">
        <v>57</v>
      </c>
      <c r="G4712">
        <v>3</v>
      </c>
      <c r="H4712">
        <v>30437.33</v>
      </c>
      <c r="I4712">
        <v>2437.0100000000002</v>
      </c>
      <c r="J4712" t="s">
        <v>47</v>
      </c>
      <c r="K4712" t="s">
        <v>33</v>
      </c>
      <c r="L4712">
        <f t="shared" si="219"/>
        <v>2023</v>
      </c>
      <c r="M4712" t="str">
        <f t="shared" si="220"/>
        <v>Sep</v>
      </c>
      <c r="N4712" s="2">
        <f t="shared" si="221"/>
        <v>8.0066484149562397E-2</v>
      </c>
    </row>
    <row r="4713" spans="1:14" x14ac:dyDescent="0.45">
      <c r="A4713" t="s">
        <v>8426</v>
      </c>
      <c r="B4713" s="1">
        <v>45020</v>
      </c>
      <c r="C4713" t="s">
        <v>8427</v>
      </c>
      <c r="D4713" t="s">
        <v>13</v>
      </c>
      <c r="E4713" t="s">
        <v>14</v>
      </c>
      <c r="F4713" t="s">
        <v>57</v>
      </c>
      <c r="G4713">
        <v>5</v>
      </c>
      <c r="H4713">
        <v>42432.67</v>
      </c>
      <c r="I4713">
        <v>4443.51</v>
      </c>
      <c r="J4713" t="s">
        <v>22</v>
      </c>
      <c r="K4713" t="s">
        <v>17</v>
      </c>
      <c r="L4713">
        <f t="shared" si="219"/>
        <v>2023</v>
      </c>
      <c r="M4713" t="str">
        <f t="shared" si="220"/>
        <v>Apr</v>
      </c>
      <c r="N4713" s="2">
        <f t="shared" si="221"/>
        <v>0.10471907612695597</v>
      </c>
    </row>
    <row r="4714" spans="1:14" x14ac:dyDescent="0.45">
      <c r="A4714" t="s">
        <v>8428</v>
      </c>
      <c r="B4714" s="1">
        <v>44627</v>
      </c>
      <c r="C4714" t="s">
        <v>2600</v>
      </c>
      <c r="D4714" t="s">
        <v>13</v>
      </c>
      <c r="E4714" t="s">
        <v>36</v>
      </c>
      <c r="F4714" t="s">
        <v>46</v>
      </c>
      <c r="G4714">
        <v>3</v>
      </c>
      <c r="H4714">
        <v>2012.24</v>
      </c>
      <c r="I4714">
        <v>214.93</v>
      </c>
      <c r="J4714" t="s">
        <v>47</v>
      </c>
      <c r="K4714" t="s">
        <v>29</v>
      </c>
      <c r="L4714">
        <f t="shared" si="219"/>
        <v>2022</v>
      </c>
      <c r="M4714" t="str">
        <f t="shared" si="220"/>
        <v>Mar</v>
      </c>
      <c r="N4714" s="2">
        <f t="shared" si="221"/>
        <v>0.10681131475370731</v>
      </c>
    </row>
    <row r="4715" spans="1:14" x14ac:dyDescent="0.45">
      <c r="A4715" t="s">
        <v>8429</v>
      </c>
      <c r="B4715" s="1">
        <v>45473</v>
      </c>
      <c r="C4715" t="s">
        <v>2414</v>
      </c>
      <c r="D4715" t="s">
        <v>26</v>
      </c>
      <c r="E4715" t="s">
        <v>14</v>
      </c>
      <c r="F4715" t="s">
        <v>32</v>
      </c>
      <c r="G4715">
        <v>2</v>
      </c>
      <c r="H4715">
        <v>22934.959999999999</v>
      </c>
      <c r="I4715">
        <v>3802.01</v>
      </c>
      <c r="J4715" t="s">
        <v>71</v>
      </c>
      <c r="K4715" t="s">
        <v>17</v>
      </c>
      <c r="L4715">
        <f t="shared" si="219"/>
        <v>2024</v>
      </c>
      <c r="M4715" t="str">
        <f t="shared" si="220"/>
        <v>Jun</v>
      </c>
      <c r="N4715" s="2">
        <f t="shared" si="221"/>
        <v>0.16577356141017907</v>
      </c>
    </row>
    <row r="4716" spans="1:14" x14ac:dyDescent="0.45">
      <c r="A4716" t="s">
        <v>8430</v>
      </c>
      <c r="B4716" s="1">
        <v>44934</v>
      </c>
      <c r="C4716" t="s">
        <v>8431</v>
      </c>
      <c r="D4716" t="s">
        <v>13</v>
      </c>
      <c r="E4716" t="s">
        <v>14</v>
      </c>
      <c r="F4716" t="s">
        <v>15</v>
      </c>
      <c r="G4716">
        <v>4</v>
      </c>
      <c r="H4716">
        <v>38460.080000000002</v>
      </c>
      <c r="I4716">
        <v>9155.34</v>
      </c>
      <c r="J4716" t="s">
        <v>22</v>
      </c>
      <c r="K4716" t="s">
        <v>17</v>
      </c>
      <c r="L4716">
        <f t="shared" si="219"/>
        <v>2023</v>
      </c>
      <c r="M4716" t="str">
        <f t="shared" si="220"/>
        <v>Jan</v>
      </c>
      <c r="N4716" s="2">
        <f t="shared" si="221"/>
        <v>0.23804786677510811</v>
      </c>
    </row>
    <row r="4717" spans="1:14" x14ac:dyDescent="0.45">
      <c r="A4717" t="s">
        <v>8432</v>
      </c>
      <c r="B4717" s="1">
        <v>45229</v>
      </c>
      <c r="C4717" t="s">
        <v>8433</v>
      </c>
      <c r="D4717" t="s">
        <v>26</v>
      </c>
      <c r="E4717" t="s">
        <v>14</v>
      </c>
      <c r="F4717" t="s">
        <v>40</v>
      </c>
      <c r="G4717">
        <v>2</v>
      </c>
      <c r="H4717">
        <v>42789.2</v>
      </c>
      <c r="I4717">
        <v>9765.9599999999991</v>
      </c>
      <c r="J4717" t="s">
        <v>47</v>
      </c>
      <c r="K4717" t="s">
        <v>33</v>
      </c>
      <c r="L4717">
        <f t="shared" si="219"/>
        <v>2023</v>
      </c>
      <c r="M4717" t="str">
        <f t="shared" si="220"/>
        <v>Oct</v>
      </c>
      <c r="N4717" s="2">
        <f t="shared" si="221"/>
        <v>0.22823422732839127</v>
      </c>
    </row>
    <row r="4718" spans="1:14" x14ac:dyDescent="0.45">
      <c r="A4718" t="s">
        <v>8434</v>
      </c>
      <c r="B4718" s="1">
        <v>44802</v>
      </c>
      <c r="C4718" t="s">
        <v>6277</v>
      </c>
      <c r="D4718" t="s">
        <v>13</v>
      </c>
      <c r="E4718" t="s">
        <v>14</v>
      </c>
      <c r="F4718" t="s">
        <v>57</v>
      </c>
      <c r="G4718">
        <v>5</v>
      </c>
      <c r="H4718">
        <v>24518.799999999999</v>
      </c>
      <c r="I4718">
        <v>5737.73</v>
      </c>
      <c r="J4718" t="s">
        <v>47</v>
      </c>
      <c r="K4718" t="s">
        <v>29</v>
      </c>
      <c r="L4718">
        <f t="shared" si="219"/>
        <v>2022</v>
      </c>
      <c r="M4718" t="str">
        <f t="shared" si="220"/>
        <v>Aug</v>
      </c>
      <c r="N4718" s="2">
        <f t="shared" si="221"/>
        <v>0.23401349168801083</v>
      </c>
    </row>
    <row r="4719" spans="1:14" x14ac:dyDescent="0.45">
      <c r="A4719" t="s">
        <v>8435</v>
      </c>
      <c r="B4719" s="1">
        <v>45596</v>
      </c>
      <c r="C4719" t="s">
        <v>5535</v>
      </c>
      <c r="D4719" t="s">
        <v>13</v>
      </c>
      <c r="E4719" t="s">
        <v>14</v>
      </c>
      <c r="F4719" t="s">
        <v>57</v>
      </c>
      <c r="G4719">
        <v>5</v>
      </c>
      <c r="H4719">
        <v>8397.82</v>
      </c>
      <c r="I4719">
        <v>2007.31</v>
      </c>
      <c r="J4719" t="s">
        <v>28</v>
      </c>
      <c r="K4719" t="s">
        <v>23</v>
      </c>
      <c r="L4719">
        <f t="shared" si="219"/>
        <v>2024</v>
      </c>
      <c r="M4719" t="str">
        <f t="shared" si="220"/>
        <v>Oct</v>
      </c>
      <c r="N4719" s="2">
        <f t="shared" si="221"/>
        <v>0.23902750952032789</v>
      </c>
    </row>
    <row r="4720" spans="1:14" x14ac:dyDescent="0.45">
      <c r="A4720" t="s">
        <v>8436</v>
      </c>
      <c r="B4720" s="1">
        <v>45314</v>
      </c>
      <c r="C4720" t="s">
        <v>8437</v>
      </c>
      <c r="D4720" t="s">
        <v>13</v>
      </c>
      <c r="E4720" t="s">
        <v>20</v>
      </c>
      <c r="F4720" t="s">
        <v>43</v>
      </c>
      <c r="G4720">
        <v>1</v>
      </c>
      <c r="H4720">
        <v>4129.07</v>
      </c>
      <c r="I4720">
        <v>583.64</v>
      </c>
      <c r="J4720" t="s">
        <v>28</v>
      </c>
      <c r="K4720" t="s">
        <v>23</v>
      </c>
      <c r="L4720">
        <f t="shared" si="219"/>
        <v>2024</v>
      </c>
      <c r="M4720" t="str">
        <f t="shared" si="220"/>
        <v>Jan</v>
      </c>
      <c r="N4720" s="2">
        <f t="shared" si="221"/>
        <v>0.14134902048160966</v>
      </c>
    </row>
    <row r="4721" spans="1:14" x14ac:dyDescent="0.45">
      <c r="A4721" t="s">
        <v>8438</v>
      </c>
      <c r="B4721" s="1">
        <v>45354</v>
      </c>
      <c r="C4721" t="s">
        <v>4206</v>
      </c>
      <c r="D4721" t="s">
        <v>26</v>
      </c>
      <c r="E4721" t="s">
        <v>20</v>
      </c>
      <c r="F4721" t="s">
        <v>27</v>
      </c>
      <c r="G4721">
        <v>3</v>
      </c>
      <c r="H4721">
        <v>15212.08</v>
      </c>
      <c r="I4721">
        <v>3079.09</v>
      </c>
      <c r="J4721" t="s">
        <v>47</v>
      </c>
      <c r="K4721" t="s">
        <v>23</v>
      </c>
      <c r="L4721">
        <f t="shared" si="219"/>
        <v>2024</v>
      </c>
      <c r="M4721" t="str">
        <f t="shared" si="220"/>
        <v>Mar</v>
      </c>
      <c r="N4721" s="2">
        <f t="shared" si="221"/>
        <v>0.20241084716882898</v>
      </c>
    </row>
    <row r="4722" spans="1:14" x14ac:dyDescent="0.45">
      <c r="A4722" t="s">
        <v>8439</v>
      </c>
      <c r="B4722" s="1">
        <v>45613</v>
      </c>
      <c r="C4722" t="s">
        <v>8440</v>
      </c>
      <c r="D4722" t="s">
        <v>56</v>
      </c>
      <c r="E4722" t="s">
        <v>14</v>
      </c>
      <c r="F4722" t="s">
        <v>15</v>
      </c>
      <c r="G4722">
        <v>2</v>
      </c>
      <c r="H4722">
        <v>48823.54</v>
      </c>
      <c r="I4722">
        <v>5487.83</v>
      </c>
      <c r="J4722" t="s">
        <v>71</v>
      </c>
      <c r="K4722" t="s">
        <v>33</v>
      </c>
      <c r="L4722">
        <f t="shared" si="219"/>
        <v>2024</v>
      </c>
      <c r="M4722" t="str">
        <f t="shared" si="220"/>
        <v>Nov</v>
      </c>
      <c r="N4722" s="2">
        <f t="shared" si="221"/>
        <v>0.11240131297320922</v>
      </c>
    </row>
    <row r="4723" spans="1:14" x14ac:dyDescent="0.45">
      <c r="A4723" t="s">
        <v>8441</v>
      </c>
      <c r="B4723" s="1">
        <v>44696</v>
      </c>
      <c r="C4723" t="s">
        <v>8442</v>
      </c>
      <c r="D4723" t="s">
        <v>26</v>
      </c>
      <c r="E4723" t="s">
        <v>14</v>
      </c>
      <c r="F4723" t="s">
        <v>57</v>
      </c>
      <c r="G4723">
        <v>5</v>
      </c>
      <c r="H4723">
        <v>39927.08</v>
      </c>
      <c r="I4723">
        <v>6065.74</v>
      </c>
      <c r="J4723" t="s">
        <v>16</v>
      </c>
      <c r="K4723" t="s">
        <v>29</v>
      </c>
      <c r="L4723">
        <f t="shared" si="219"/>
        <v>2022</v>
      </c>
      <c r="M4723" t="str">
        <f t="shared" si="220"/>
        <v>May</v>
      </c>
      <c r="N4723" s="2">
        <f t="shared" si="221"/>
        <v>0.15192045098214044</v>
      </c>
    </row>
    <row r="4724" spans="1:14" x14ac:dyDescent="0.45">
      <c r="A4724" t="s">
        <v>8443</v>
      </c>
      <c r="B4724" s="1">
        <v>44775</v>
      </c>
      <c r="C4724" t="s">
        <v>8444</v>
      </c>
      <c r="D4724" t="s">
        <v>56</v>
      </c>
      <c r="E4724" t="s">
        <v>36</v>
      </c>
      <c r="F4724" t="s">
        <v>53</v>
      </c>
      <c r="G4724">
        <v>4</v>
      </c>
      <c r="H4724">
        <v>38077.660000000003</v>
      </c>
      <c r="I4724">
        <v>5548.38</v>
      </c>
      <c r="J4724" t="s">
        <v>16</v>
      </c>
      <c r="K4724" t="s">
        <v>23</v>
      </c>
      <c r="L4724">
        <f t="shared" si="219"/>
        <v>2022</v>
      </c>
      <c r="M4724" t="str">
        <f t="shared" si="220"/>
        <v>Aug</v>
      </c>
      <c r="N4724" s="2">
        <f t="shared" si="221"/>
        <v>0.14571221025661765</v>
      </c>
    </row>
    <row r="4725" spans="1:14" x14ac:dyDescent="0.45">
      <c r="A4725" t="s">
        <v>8445</v>
      </c>
      <c r="B4725" s="1">
        <v>44831</v>
      </c>
      <c r="C4725" t="s">
        <v>8196</v>
      </c>
      <c r="D4725" t="s">
        <v>13</v>
      </c>
      <c r="E4725" t="s">
        <v>20</v>
      </c>
      <c r="F4725" t="s">
        <v>21</v>
      </c>
      <c r="G4725">
        <v>3</v>
      </c>
      <c r="H4725">
        <v>30669.46</v>
      </c>
      <c r="I4725">
        <v>4906.25</v>
      </c>
      <c r="J4725" t="s">
        <v>22</v>
      </c>
      <c r="K4725" t="s">
        <v>29</v>
      </c>
      <c r="L4725">
        <f t="shared" si="219"/>
        <v>2022</v>
      </c>
      <c r="M4725" t="str">
        <f t="shared" si="220"/>
        <v>Sep</v>
      </c>
      <c r="N4725" s="2">
        <f t="shared" si="221"/>
        <v>0.15997184169528905</v>
      </c>
    </row>
    <row r="4726" spans="1:14" x14ac:dyDescent="0.45">
      <c r="A4726" t="s">
        <v>8446</v>
      </c>
      <c r="B4726" s="1">
        <v>45480</v>
      </c>
      <c r="C4726" t="s">
        <v>1103</v>
      </c>
      <c r="D4726" t="s">
        <v>56</v>
      </c>
      <c r="E4726" t="s">
        <v>14</v>
      </c>
      <c r="F4726" t="s">
        <v>32</v>
      </c>
      <c r="G4726">
        <v>5</v>
      </c>
      <c r="H4726">
        <v>15431.76</v>
      </c>
      <c r="I4726">
        <v>1856.4</v>
      </c>
      <c r="J4726" t="s">
        <v>22</v>
      </c>
      <c r="K4726" t="s">
        <v>23</v>
      </c>
      <c r="L4726">
        <f t="shared" si="219"/>
        <v>2024</v>
      </c>
      <c r="M4726" t="str">
        <f t="shared" si="220"/>
        <v>Jul</v>
      </c>
      <c r="N4726" s="2">
        <f t="shared" si="221"/>
        <v>0.12029736076766358</v>
      </c>
    </row>
    <row r="4727" spans="1:14" x14ac:dyDescent="0.45">
      <c r="A4727" t="s">
        <v>8447</v>
      </c>
      <c r="B4727" s="1">
        <v>44619</v>
      </c>
      <c r="C4727" t="s">
        <v>3306</v>
      </c>
      <c r="D4727" t="s">
        <v>56</v>
      </c>
      <c r="E4727" t="s">
        <v>20</v>
      </c>
      <c r="F4727" t="s">
        <v>43</v>
      </c>
      <c r="G4727">
        <v>4</v>
      </c>
      <c r="H4727">
        <v>49551.61</v>
      </c>
      <c r="I4727">
        <v>10997.03</v>
      </c>
      <c r="J4727" t="s">
        <v>47</v>
      </c>
      <c r="K4727" t="s">
        <v>17</v>
      </c>
      <c r="L4727">
        <f t="shared" si="219"/>
        <v>2022</v>
      </c>
      <c r="M4727" t="str">
        <f t="shared" si="220"/>
        <v>Feb</v>
      </c>
      <c r="N4727" s="2">
        <f t="shared" si="221"/>
        <v>0.22193083130901298</v>
      </c>
    </row>
    <row r="4728" spans="1:14" x14ac:dyDescent="0.45">
      <c r="A4728" t="s">
        <v>8448</v>
      </c>
      <c r="B4728" s="1">
        <v>44972</v>
      </c>
      <c r="C4728" t="s">
        <v>7730</v>
      </c>
      <c r="D4728" t="s">
        <v>26</v>
      </c>
      <c r="E4728" t="s">
        <v>20</v>
      </c>
      <c r="F4728" t="s">
        <v>21</v>
      </c>
      <c r="G4728">
        <v>2</v>
      </c>
      <c r="H4728">
        <v>46531.98</v>
      </c>
      <c r="I4728">
        <v>2862.01</v>
      </c>
      <c r="J4728" t="s">
        <v>16</v>
      </c>
      <c r="K4728" t="s">
        <v>33</v>
      </c>
      <c r="L4728">
        <f t="shared" si="219"/>
        <v>2023</v>
      </c>
      <c r="M4728" t="str">
        <f t="shared" si="220"/>
        <v>Feb</v>
      </c>
      <c r="N4728" s="2">
        <f t="shared" si="221"/>
        <v>6.1506301687570569E-2</v>
      </c>
    </row>
    <row r="4729" spans="1:14" x14ac:dyDescent="0.45">
      <c r="A4729" t="s">
        <v>8449</v>
      </c>
      <c r="B4729" s="1">
        <v>45478</v>
      </c>
      <c r="C4729" t="s">
        <v>8450</v>
      </c>
      <c r="D4729" t="s">
        <v>26</v>
      </c>
      <c r="E4729" t="s">
        <v>36</v>
      </c>
      <c r="F4729" t="s">
        <v>46</v>
      </c>
      <c r="G4729">
        <v>3</v>
      </c>
      <c r="H4729">
        <v>49206.92</v>
      </c>
      <c r="I4729">
        <v>6251.41</v>
      </c>
      <c r="J4729" t="s">
        <v>22</v>
      </c>
      <c r="K4729" t="s">
        <v>33</v>
      </c>
      <c r="L4729">
        <f t="shared" si="219"/>
        <v>2024</v>
      </c>
      <c r="M4729" t="str">
        <f t="shared" si="220"/>
        <v>Jul</v>
      </c>
      <c r="N4729" s="2">
        <f t="shared" si="221"/>
        <v>0.12704331016856979</v>
      </c>
    </row>
    <row r="4730" spans="1:14" x14ac:dyDescent="0.45">
      <c r="A4730" t="s">
        <v>8451</v>
      </c>
      <c r="B4730" s="1">
        <v>45432</v>
      </c>
      <c r="C4730" t="s">
        <v>8452</v>
      </c>
      <c r="D4730" t="s">
        <v>56</v>
      </c>
      <c r="E4730" t="s">
        <v>20</v>
      </c>
      <c r="F4730" t="s">
        <v>50</v>
      </c>
      <c r="G4730">
        <v>2</v>
      </c>
      <c r="H4730">
        <v>26237.24</v>
      </c>
      <c r="I4730">
        <v>2241.65</v>
      </c>
      <c r="J4730" t="s">
        <v>71</v>
      </c>
      <c r="K4730" t="s">
        <v>23</v>
      </c>
      <c r="L4730">
        <f t="shared" si="219"/>
        <v>2024</v>
      </c>
      <c r="M4730" t="str">
        <f t="shared" si="220"/>
        <v>May</v>
      </c>
      <c r="N4730" s="2">
        <f t="shared" si="221"/>
        <v>8.5437721345690318E-2</v>
      </c>
    </row>
    <row r="4731" spans="1:14" x14ac:dyDescent="0.45">
      <c r="A4731" t="s">
        <v>8453</v>
      </c>
      <c r="B4731" s="1">
        <v>45158</v>
      </c>
      <c r="C4731" t="s">
        <v>7677</v>
      </c>
      <c r="D4731" t="s">
        <v>13</v>
      </c>
      <c r="E4731" t="s">
        <v>20</v>
      </c>
      <c r="F4731" t="s">
        <v>43</v>
      </c>
      <c r="G4731">
        <v>1</v>
      </c>
      <c r="H4731">
        <v>29738.31</v>
      </c>
      <c r="I4731">
        <v>4874.57</v>
      </c>
      <c r="J4731" t="s">
        <v>22</v>
      </c>
      <c r="K4731" t="s">
        <v>33</v>
      </c>
      <c r="L4731">
        <f t="shared" si="219"/>
        <v>2023</v>
      </c>
      <c r="M4731" t="str">
        <f t="shared" si="220"/>
        <v>Aug</v>
      </c>
      <c r="N4731" s="2">
        <f t="shared" si="221"/>
        <v>0.16391550158701013</v>
      </c>
    </row>
    <row r="4732" spans="1:14" x14ac:dyDescent="0.45">
      <c r="A4732" t="s">
        <v>8454</v>
      </c>
      <c r="B4732" s="1">
        <v>44652</v>
      </c>
      <c r="C4732" t="s">
        <v>1388</v>
      </c>
      <c r="D4732" t="s">
        <v>13</v>
      </c>
      <c r="E4732" t="s">
        <v>36</v>
      </c>
      <c r="F4732" t="s">
        <v>64</v>
      </c>
      <c r="G4732">
        <v>2</v>
      </c>
      <c r="H4732">
        <v>31032.7</v>
      </c>
      <c r="I4732">
        <v>2614.11</v>
      </c>
      <c r="J4732" t="s">
        <v>47</v>
      </c>
      <c r="K4732" t="s">
        <v>29</v>
      </c>
      <c r="L4732">
        <f t="shared" si="219"/>
        <v>2022</v>
      </c>
      <c r="M4732" t="str">
        <f t="shared" si="220"/>
        <v>Apr</v>
      </c>
      <c r="N4732" s="2">
        <f t="shared" si="221"/>
        <v>8.4237272296641935E-2</v>
      </c>
    </row>
    <row r="4733" spans="1:14" x14ac:dyDescent="0.45">
      <c r="A4733" t="s">
        <v>8455</v>
      </c>
      <c r="B4733" s="1">
        <v>45121</v>
      </c>
      <c r="C4733" t="s">
        <v>8456</v>
      </c>
      <c r="D4733" t="s">
        <v>56</v>
      </c>
      <c r="E4733" t="s">
        <v>14</v>
      </c>
      <c r="F4733" t="s">
        <v>32</v>
      </c>
      <c r="G4733">
        <v>2</v>
      </c>
      <c r="H4733">
        <v>8868.82</v>
      </c>
      <c r="I4733">
        <v>763.87</v>
      </c>
      <c r="J4733" t="s">
        <v>71</v>
      </c>
      <c r="K4733" t="s">
        <v>29</v>
      </c>
      <c r="L4733">
        <f t="shared" si="219"/>
        <v>2023</v>
      </c>
      <c r="M4733" t="str">
        <f t="shared" si="220"/>
        <v>Jul</v>
      </c>
      <c r="N4733" s="2">
        <f t="shared" si="221"/>
        <v>8.6129834634145239E-2</v>
      </c>
    </row>
    <row r="4734" spans="1:14" x14ac:dyDescent="0.45">
      <c r="A4734" t="s">
        <v>8457</v>
      </c>
      <c r="B4734" s="1">
        <v>45253</v>
      </c>
      <c r="C4734" t="s">
        <v>8458</v>
      </c>
      <c r="D4734" t="s">
        <v>26</v>
      </c>
      <c r="E4734" t="s">
        <v>20</v>
      </c>
      <c r="F4734" t="s">
        <v>50</v>
      </c>
      <c r="G4734">
        <v>3</v>
      </c>
      <c r="H4734">
        <v>23851.02</v>
      </c>
      <c r="I4734">
        <v>2578.1999999999998</v>
      </c>
      <c r="J4734" t="s">
        <v>71</v>
      </c>
      <c r="K4734" t="s">
        <v>29</v>
      </c>
      <c r="L4734">
        <f t="shared" si="219"/>
        <v>2023</v>
      </c>
      <c r="M4734" t="str">
        <f t="shared" si="220"/>
        <v>Nov</v>
      </c>
      <c r="N4734" s="2">
        <f t="shared" si="221"/>
        <v>0.10809600595697794</v>
      </c>
    </row>
    <row r="4735" spans="1:14" x14ac:dyDescent="0.45">
      <c r="A4735" t="s">
        <v>8459</v>
      </c>
      <c r="B4735" s="1">
        <v>44668</v>
      </c>
      <c r="C4735" t="s">
        <v>2838</v>
      </c>
      <c r="D4735" t="s">
        <v>56</v>
      </c>
      <c r="E4735" t="s">
        <v>36</v>
      </c>
      <c r="F4735" t="s">
        <v>46</v>
      </c>
      <c r="G4735">
        <v>4</v>
      </c>
      <c r="H4735">
        <v>37215.5</v>
      </c>
      <c r="I4735">
        <v>2124.8000000000002</v>
      </c>
      <c r="J4735" t="s">
        <v>71</v>
      </c>
      <c r="K4735" t="s">
        <v>29</v>
      </c>
      <c r="L4735">
        <f t="shared" si="219"/>
        <v>2022</v>
      </c>
      <c r="M4735" t="str">
        <f t="shared" si="220"/>
        <v>Apr</v>
      </c>
      <c r="N4735" s="2">
        <f t="shared" si="221"/>
        <v>5.7094490198976236E-2</v>
      </c>
    </row>
    <row r="4736" spans="1:14" x14ac:dyDescent="0.45">
      <c r="A4736" t="s">
        <v>8460</v>
      </c>
      <c r="B4736" s="1">
        <v>45257</v>
      </c>
      <c r="C4736" t="s">
        <v>2860</v>
      </c>
      <c r="D4736" t="s">
        <v>56</v>
      </c>
      <c r="E4736" t="s">
        <v>20</v>
      </c>
      <c r="F4736" t="s">
        <v>27</v>
      </c>
      <c r="G4736">
        <v>2</v>
      </c>
      <c r="H4736">
        <v>14819.37</v>
      </c>
      <c r="I4736">
        <v>3508.68</v>
      </c>
      <c r="J4736" t="s">
        <v>16</v>
      </c>
      <c r="K4736" t="s">
        <v>29</v>
      </c>
      <c r="L4736">
        <f t="shared" si="219"/>
        <v>2023</v>
      </c>
      <c r="M4736" t="str">
        <f t="shared" si="220"/>
        <v>Nov</v>
      </c>
      <c r="N4736" s="2">
        <f t="shared" si="221"/>
        <v>0.2367631012654384</v>
      </c>
    </row>
    <row r="4737" spans="1:14" x14ac:dyDescent="0.45">
      <c r="A4737" t="s">
        <v>8461</v>
      </c>
      <c r="B4737" s="1">
        <v>44748</v>
      </c>
      <c r="C4737" t="s">
        <v>3369</v>
      </c>
      <c r="D4737" t="s">
        <v>26</v>
      </c>
      <c r="E4737" t="s">
        <v>14</v>
      </c>
      <c r="F4737" t="s">
        <v>32</v>
      </c>
      <c r="G4737">
        <v>3</v>
      </c>
      <c r="H4737">
        <v>40913.9</v>
      </c>
      <c r="I4737">
        <v>5209.91</v>
      </c>
      <c r="J4737" t="s">
        <v>71</v>
      </c>
      <c r="K4737" t="s">
        <v>23</v>
      </c>
      <c r="L4737">
        <f t="shared" si="219"/>
        <v>2022</v>
      </c>
      <c r="M4737" t="str">
        <f t="shared" si="220"/>
        <v>Jul</v>
      </c>
      <c r="N4737" s="2">
        <f t="shared" si="221"/>
        <v>0.1273383862208198</v>
      </c>
    </row>
    <row r="4738" spans="1:14" x14ac:dyDescent="0.45">
      <c r="A4738" t="s">
        <v>8462</v>
      </c>
      <c r="B4738" s="1">
        <v>45108</v>
      </c>
      <c r="C4738" t="s">
        <v>1589</v>
      </c>
      <c r="D4738" t="s">
        <v>13</v>
      </c>
      <c r="E4738" t="s">
        <v>36</v>
      </c>
      <c r="F4738" t="s">
        <v>64</v>
      </c>
      <c r="G4738">
        <v>5</v>
      </c>
      <c r="H4738">
        <v>49476.43</v>
      </c>
      <c r="I4738">
        <v>9545.91</v>
      </c>
      <c r="J4738" t="s">
        <v>71</v>
      </c>
      <c r="K4738" t="s">
        <v>17</v>
      </c>
      <c r="L4738">
        <f t="shared" si="219"/>
        <v>2023</v>
      </c>
      <c r="M4738" t="str">
        <f t="shared" si="220"/>
        <v>Jul</v>
      </c>
      <c r="N4738" s="2">
        <f t="shared" si="221"/>
        <v>0.19293853659207019</v>
      </c>
    </row>
    <row r="4739" spans="1:14" x14ac:dyDescent="0.45">
      <c r="A4739" t="s">
        <v>8463</v>
      </c>
      <c r="B4739" s="1">
        <v>45229</v>
      </c>
      <c r="C4739" t="s">
        <v>8464</v>
      </c>
      <c r="D4739" t="s">
        <v>56</v>
      </c>
      <c r="E4739" t="s">
        <v>20</v>
      </c>
      <c r="F4739" t="s">
        <v>21</v>
      </c>
      <c r="G4739">
        <v>2</v>
      </c>
      <c r="H4739">
        <v>41937.760000000002</v>
      </c>
      <c r="I4739">
        <v>6983.28</v>
      </c>
      <c r="J4739" t="s">
        <v>28</v>
      </c>
      <c r="K4739" t="s">
        <v>33</v>
      </c>
      <c r="L4739">
        <f t="shared" ref="L4739:L4802" si="222">YEAR(B4739 )</f>
        <v>2023</v>
      </c>
      <c r="M4739" t="str">
        <f t="shared" ref="M4739:M4802" si="223">TEXT(B4739,"MMM")</f>
        <v>Oct</v>
      </c>
      <c r="N4739" s="2">
        <f t="shared" ref="N4739:N4802" si="224">I4739 / H4739</f>
        <v>0.16651533129094162</v>
      </c>
    </row>
    <row r="4740" spans="1:14" x14ac:dyDescent="0.45">
      <c r="A4740" t="s">
        <v>8465</v>
      </c>
      <c r="B4740" s="1">
        <v>45643</v>
      </c>
      <c r="C4740" t="s">
        <v>8466</v>
      </c>
      <c r="D4740" t="s">
        <v>26</v>
      </c>
      <c r="E4740" t="s">
        <v>14</v>
      </c>
      <c r="F4740" t="s">
        <v>32</v>
      </c>
      <c r="G4740">
        <v>2</v>
      </c>
      <c r="H4740">
        <v>633.85</v>
      </c>
      <c r="I4740">
        <v>95.08</v>
      </c>
      <c r="J4740" t="s">
        <v>16</v>
      </c>
      <c r="K4740" t="s">
        <v>33</v>
      </c>
      <c r="L4740">
        <f t="shared" si="222"/>
        <v>2024</v>
      </c>
      <c r="M4740" t="str">
        <f t="shared" si="223"/>
        <v>Dec</v>
      </c>
      <c r="N4740" s="2">
        <f t="shared" si="224"/>
        <v>0.15000394415082433</v>
      </c>
    </row>
    <row r="4741" spans="1:14" x14ac:dyDescent="0.45">
      <c r="A4741" t="s">
        <v>8467</v>
      </c>
      <c r="B4741" s="1">
        <v>44935</v>
      </c>
      <c r="C4741" t="s">
        <v>8468</v>
      </c>
      <c r="D4741" t="s">
        <v>13</v>
      </c>
      <c r="E4741" t="s">
        <v>36</v>
      </c>
      <c r="F4741" t="s">
        <v>53</v>
      </c>
      <c r="G4741">
        <v>2</v>
      </c>
      <c r="H4741">
        <v>45070.22</v>
      </c>
      <c r="I4741">
        <v>10053.129999999999</v>
      </c>
      <c r="J4741" t="s">
        <v>22</v>
      </c>
      <c r="K4741" t="s">
        <v>17</v>
      </c>
      <c r="L4741">
        <f t="shared" si="222"/>
        <v>2023</v>
      </c>
      <c r="M4741" t="str">
        <f t="shared" si="223"/>
        <v>Jan</v>
      </c>
      <c r="N4741" s="2">
        <f t="shared" si="224"/>
        <v>0.22305482422761636</v>
      </c>
    </row>
    <row r="4742" spans="1:14" x14ac:dyDescent="0.45">
      <c r="A4742" t="s">
        <v>8469</v>
      </c>
      <c r="B4742" s="1">
        <v>45371</v>
      </c>
      <c r="C4742" t="s">
        <v>7110</v>
      </c>
      <c r="D4742" t="s">
        <v>13</v>
      </c>
      <c r="E4742" t="s">
        <v>14</v>
      </c>
      <c r="F4742" t="s">
        <v>15</v>
      </c>
      <c r="G4742">
        <v>1</v>
      </c>
      <c r="H4742">
        <v>21817.26</v>
      </c>
      <c r="I4742">
        <v>4277.9399999999996</v>
      </c>
      <c r="J4742" t="s">
        <v>28</v>
      </c>
      <c r="K4742" t="s">
        <v>33</v>
      </c>
      <c r="L4742">
        <f t="shared" si="222"/>
        <v>2024</v>
      </c>
      <c r="M4742" t="str">
        <f t="shared" si="223"/>
        <v>Mar</v>
      </c>
      <c r="N4742" s="2">
        <f t="shared" si="224"/>
        <v>0.1960805344025785</v>
      </c>
    </row>
    <row r="4743" spans="1:14" x14ac:dyDescent="0.45">
      <c r="A4743" t="s">
        <v>8470</v>
      </c>
      <c r="B4743" s="1">
        <v>45283</v>
      </c>
      <c r="C4743" t="s">
        <v>8471</v>
      </c>
      <c r="D4743" t="s">
        <v>26</v>
      </c>
      <c r="E4743" t="s">
        <v>20</v>
      </c>
      <c r="F4743" t="s">
        <v>27</v>
      </c>
      <c r="G4743">
        <v>5</v>
      </c>
      <c r="H4743">
        <v>22764.9</v>
      </c>
      <c r="I4743">
        <v>4413.82</v>
      </c>
      <c r="J4743" t="s">
        <v>47</v>
      </c>
      <c r="K4743" t="s">
        <v>17</v>
      </c>
      <c r="L4743">
        <f t="shared" si="222"/>
        <v>2023</v>
      </c>
      <c r="M4743" t="str">
        <f t="shared" si="223"/>
        <v>Dec</v>
      </c>
      <c r="N4743" s="2">
        <f t="shared" si="224"/>
        <v>0.19388708054944231</v>
      </c>
    </row>
    <row r="4744" spans="1:14" x14ac:dyDescent="0.45">
      <c r="A4744" t="s">
        <v>8472</v>
      </c>
      <c r="B4744" s="1">
        <v>44724</v>
      </c>
      <c r="C4744" t="s">
        <v>8473</v>
      </c>
      <c r="D4744" t="s">
        <v>56</v>
      </c>
      <c r="E4744" t="s">
        <v>14</v>
      </c>
      <c r="F4744" t="s">
        <v>40</v>
      </c>
      <c r="G4744">
        <v>4</v>
      </c>
      <c r="H4744">
        <v>38370.879999999997</v>
      </c>
      <c r="I4744">
        <v>2821.2</v>
      </c>
      <c r="J4744" t="s">
        <v>16</v>
      </c>
      <c r="K4744" t="s">
        <v>17</v>
      </c>
      <c r="L4744">
        <f t="shared" si="222"/>
        <v>2022</v>
      </c>
      <c r="M4744" t="str">
        <f t="shared" si="223"/>
        <v>Jun</v>
      </c>
      <c r="N4744" s="2">
        <f t="shared" si="224"/>
        <v>7.3524506083780194E-2</v>
      </c>
    </row>
    <row r="4745" spans="1:14" x14ac:dyDescent="0.45">
      <c r="A4745" t="s">
        <v>8474</v>
      </c>
      <c r="B4745" s="1">
        <v>45519</v>
      </c>
      <c r="C4745" t="s">
        <v>8475</v>
      </c>
      <c r="D4745" t="s">
        <v>13</v>
      </c>
      <c r="E4745" t="s">
        <v>14</v>
      </c>
      <c r="F4745" t="s">
        <v>40</v>
      </c>
      <c r="G4745">
        <v>1</v>
      </c>
      <c r="H4745">
        <v>20332.77</v>
      </c>
      <c r="I4745">
        <v>2253.6</v>
      </c>
      <c r="J4745" t="s">
        <v>28</v>
      </c>
      <c r="K4745" t="s">
        <v>29</v>
      </c>
      <c r="L4745">
        <f t="shared" si="222"/>
        <v>2024</v>
      </c>
      <c r="M4745" t="str">
        <f t="shared" si="223"/>
        <v>Aug</v>
      </c>
      <c r="N4745" s="2">
        <f t="shared" si="224"/>
        <v>0.11083585758359535</v>
      </c>
    </row>
    <row r="4746" spans="1:14" x14ac:dyDescent="0.45">
      <c r="A4746" t="s">
        <v>8476</v>
      </c>
      <c r="B4746" s="1">
        <v>45508</v>
      </c>
      <c r="C4746" t="s">
        <v>8477</v>
      </c>
      <c r="D4746" t="s">
        <v>26</v>
      </c>
      <c r="E4746" t="s">
        <v>14</v>
      </c>
      <c r="F4746" t="s">
        <v>15</v>
      </c>
      <c r="G4746">
        <v>1</v>
      </c>
      <c r="H4746">
        <v>37752.74</v>
      </c>
      <c r="I4746">
        <v>4170.59</v>
      </c>
      <c r="J4746" t="s">
        <v>22</v>
      </c>
      <c r="K4746" t="s">
        <v>23</v>
      </c>
      <c r="L4746">
        <f t="shared" si="222"/>
        <v>2024</v>
      </c>
      <c r="M4746" t="str">
        <f t="shared" si="223"/>
        <v>Aug</v>
      </c>
      <c r="N4746" s="2">
        <f t="shared" si="224"/>
        <v>0.11047118699199053</v>
      </c>
    </row>
    <row r="4747" spans="1:14" x14ac:dyDescent="0.45">
      <c r="A4747" t="s">
        <v>8478</v>
      </c>
      <c r="B4747" s="1">
        <v>45430</v>
      </c>
      <c r="C4747" t="s">
        <v>8479</v>
      </c>
      <c r="D4747" t="s">
        <v>56</v>
      </c>
      <c r="E4747" t="s">
        <v>36</v>
      </c>
      <c r="F4747" t="s">
        <v>37</v>
      </c>
      <c r="G4747">
        <v>2</v>
      </c>
      <c r="H4747">
        <v>17525.34</v>
      </c>
      <c r="I4747">
        <v>2769.65</v>
      </c>
      <c r="J4747" t="s">
        <v>16</v>
      </c>
      <c r="K4747" t="s">
        <v>17</v>
      </c>
      <c r="L4747">
        <f t="shared" si="222"/>
        <v>2024</v>
      </c>
      <c r="M4747" t="str">
        <f t="shared" si="223"/>
        <v>May</v>
      </c>
      <c r="N4747" s="2">
        <f t="shared" si="224"/>
        <v>0.15803687688798049</v>
      </c>
    </row>
    <row r="4748" spans="1:14" x14ac:dyDescent="0.45">
      <c r="A4748" t="s">
        <v>8480</v>
      </c>
      <c r="B4748" s="1">
        <v>44901</v>
      </c>
      <c r="C4748" t="s">
        <v>8481</v>
      </c>
      <c r="D4748" t="s">
        <v>26</v>
      </c>
      <c r="E4748" t="s">
        <v>14</v>
      </c>
      <c r="F4748" t="s">
        <v>15</v>
      </c>
      <c r="G4748">
        <v>4</v>
      </c>
      <c r="H4748">
        <v>34379.760000000002</v>
      </c>
      <c r="I4748">
        <v>3416.22</v>
      </c>
      <c r="J4748" t="s">
        <v>71</v>
      </c>
      <c r="K4748" t="s">
        <v>29</v>
      </c>
      <c r="L4748">
        <f t="shared" si="222"/>
        <v>2022</v>
      </c>
      <c r="M4748" t="str">
        <f t="shared" si="223"/>
        <v>Dec</v>
      </c>
      <c r="N4748" s="2">
        <f t="shared" si="224"/>
        <v>9.9367185809325007E-2</v>
      </c>
    </row>
    <row r="4749" spans="1:14" x14ac:dyDescent="0.45">
      <c r="A4749" t="s">
        <v>8482</v>
      </c>
      <c r="B4749" s="1">
        <v>45372</v>
      </c>
      <c r="C4749" t="s">
        <v>8483</v>
      </c>
      <c r="D4749" t="s">
        <v>56</v>
      </c>
      <c r="E4749" t="s">
        <v>20</v>
      </c>
      <c r="F4749" t="s">
        <v>43</v>
      </c>
      <c r="G4749">
        <v>2</v>
      </c>
      <c r="H4749">
        <v>14516.66</v>
      </c>
      <c r="I4749">
        <v>3257.42</v>
      </c>
      <c r="J4749" t="s">
        <v>28</v>
      </c>
      <c r="K4749" t="s">
        <v>29</v>
      </c>
      <c r="L4749">
        <f t="shared" si="222"/>
        <v>2024</v>
      </c>
      <c r="M4749" t="str">
        <f t="shared" si="223"/>
        <v>Mar</v>
      </c>
      <c r="N4749" s="2">
        <f t="shared" si="224"/>
        <v>0.22439183668970686</v>
      </c>
    </row>
    <row r="4750" spans="1:14" x14ac:dyDescent="0.45">
      <c r="A4750" t="s">
        <v>8484</v>
      </c>
      <c r="B4750" s="1">
        <v>44902</v>
      </c>
      <c r="C4750" t="s">
        <v>8485</v>
      </c>
      <c r="D4750" t="s">
        <v>56</v>
      </c>
      <c r="E4750" t="s">
        <v>36</v>
      </c>
      <c r="F4750" t="s">
        <v>37</v>
      </c>
      <c r="G4750">
        <v>2</v>
      </c>
      <c r="H4750">
        <v>21778.99</v>
      </c>
      <c r="I4750">
        <v>1283.26</v>
      </c>
      <c r="J4750" t="s">
        <v>47</v>
      </c>
      <c r="K4750" t="s">
        <v>29</v>
      </c>
      <c r="L4750">
        <f t="shared" si="222"/>
        <v>2022</v>
      </c>
      <c r="M4750" t="str">
        <f t="shared" si="223"/>
        <v>Dec</v>
      </c>
      <c r="N4750" s="2">
        <f t="shared" si="224"/>
        <v>5.892192429492827E-2</v>
      </c>
    </row>
    <row r="4751" spans="1:14" x14ac:dyDescent="0.45">
      <c r="A4751" t="s">
        <v>8486</v>
      </c>
      <c r="B4751" s="1">
        <v>44999</v>
      </c>
      <c r="C4751" t="s">
        <v>8487</v>
      </c>
      <c r="D4751" t="s">
        <v>56</v>
      </c>
      <c r="E4751" t="s">
        <v>14</v>
      </c>
      <c r="F4751" t="s">
        <v>15</v>
      </c>
      <c r="G4751">
        <v>2</v>
      </c>
      <c r="H4751">
        <v>32149.53</v>
      </c>
      <c r="I4751">
        <v>3720.65</v>
      </c>
      <c r="J4751" t="s">
        <v>71</v>
      </c>
      <c r="K4751" t="s">
        <v>23</v>
      </c>
      <c r="L4751">
        <f t="shared" si="222"/>
        <v>2023</v>
      </c>
      <c r="M4751" t="str">
        <f t="shared" si="223"/>
        <v>Mar</v>
      </c>
      <c r="N4751" s="2">
        <f t="shared" si="224"/>
        <v>0.11572953010510574</v>
      </c>
    </row>
    <row r="4752" spans="1:14" x14ac:dyDescent="0.45">
      <c r="A4752" t="s">
        <v>8488</v>
      </c>
      <c r="B4752" s="1">
        <v>45519</v>
      </c>
      <c r="C4752" t="s">
        <v>4692</v>
      </c>
      <c r="D4752" t="s">
        <v>13</v>
      </c>
      <c r="E4752" t="s">
        <v>36</v>
      </c>
      <c r="F4752" t="s">
        <v>46</v>
      </c>
      <c r="G4752">
        <v>4</v>
      </c>
      <c r="H4752">
        <v>29412.73</v>
      </c>
      <c r="I4752">
        <v>4970.2299999999996</v>
      </c>
      <c r="J4752" t="s">
        <v>28</v>
      </c>
      <c r="K4752" t="s">
        <v>33</v>
      </c>
      <c r="L4752">
        <f t="shared" si="222"/>
        <v>2024</v>
      </c>
      <c r="M4752" t="str">
        <f t="shared" si="223"/>
        <v>Aug</v>
      </c>
      <c r="N4752" s="2">
        <f t="shared" si="224"/>
        <v>0.16898227400176724</v>
      </c>
    </row>
    <row r="4753" spans="1:14" x14ac:dyDescent="0.45">
      <c r="A4753" t="s">
        <v>8489</v>
      </c>
      <c r="B4753" s="1">
        <v>45168</v>
      </c>
      <c r="C4753" t="s">
        <v>7607</v>
      </c>
      <c r="D4753" t="s">
        <v>13</v>
      </c>
      <c r="E4753" t="s">
        <v>36</v>
      </c>
      <c r="F4753" t="s">
        <v>53</v>
      </c>
      <c r="G4753">
        <v>1</v>
      </c>
      <c r="H4753">
        <v>29684.39</v>
      </c>
      <c r="I4753">
        <v>1747.25</v>
      </c>
      <c r="J4753" t="s">
        <v>28</v>
      </c>
      <c r="K4753" t="s">
        <v>33</v>
      </c>
      <c r="L4753">
        <f t="shared" si="222"/>
        <v>2023</v>
      </c>
      <c r="M4753" t="str">
        <f t="shared" si="223"/>
        <v>Aug</v>
      </c>
      <c r="N4753" s="2">
        <f t="shared" si="224"/>
        <v>5.8860902986384425E-2</v>
      </c>
    </row>
    <row r="4754" spans="1:14" x14ac:dyDescent="0.45">
      <c r="A4754" t="s">
        <v>8490</v>
      </c>
      <c r="B4754" s="1">
        <v>45553</v>
      </c>
      <c r="C4754" t="s">
        <v>8491</v>
      </c>
      <c r="D4754" t="s">
        <v>56</v>
      </c>
      <c r="E4754" t="s">
        <v>14</v>
      </c>
      <c r="F4754" t="s">
        <v>40</v>
      </c>
      <c r="G4754">
        <v>1</v>
      </c>
      <c r="H4754">
        <v>46987.8</v>
      </c>
      <c r="I4754">
        <v>10250.16</v>
      </c>
      <c r="J4754" t="s">
        <v>71</v>
      </c>
      <c r="K4754" t="s">
        <v>33</v>
      </c>
      <c r="L4754">
        <f t="shared" si="222"/>
        <v>2024</v>
      </c>
      <c r="M4754" t="str">
        <f t="shared" si="223"/>
        <v>Sep</v>
      </c>
      <c r="N4754" s="2">
        <f t="shared" si="224"/>
        <v>0.21814513554582252</v>
      </c>
    </row>
    <row r="4755" spans="1:14" x14ac:dyDescent="0.45">
      <c r="A4755" t="s">
        <v>8492</v>
      </c>
      <c r="B4755" s="1">
        <v>44785</v>
      </c>
      <c r="C4755" t="s">
        <v>8493</v>
      </c>
      <c r="D4755" t="s">
        <v>13</v>
      </c>
      <c r="E4755" t="s">
        <v>36</v>
      </c>
      <c r="F4755" t="s">
        <v>37</v>
      </c>
      <c r="G4755">
        <v>5</v>
      </c>
      <c r="H4755">
        <v>18874.29</v>
      </c>
      <c r="I4755">
        <v>3330.85</v>
      </c>
      <c r="J4755" t="s">
        <v>28</v>
      </c>
      <c r="K4755" t="s">
        <v>33</v>
      </c>
      <c r="L4755">
        <f t="shared" si="222"/>
        <v>2022</v>
      </c>
      <c r="M4755" t="str">
        <f t="shared" si="223"/>
        <v>Aug</v>
      </c>
      <c r="N4755" s="2">
        <f t="shared" si="224"/>
        <v>0.17647551245636259</v>
      </c>
    </row>
    <row r="4756" spans="1:14" x14ac:dyDescent="0.45">
      <c r="A4756" t="s">
        <v>8494</v>
      </c>
      <c r="B4756" s="1">
        <v>44596</v>
      </c>
      <c r="C4756" t="s">
        <v>8495</v>
      </c>
      <c r="D4756" t="s">
        <v>13</v>
      </c>
      <c r="E4756" t="s">
        <v>36</v>
      </c>
      <c r="F4756" t="s">
        <v>46</v>
      </c>
      <c r="G4756">
        <v>5</v>
      </c>
      <c r="H4756">
        <v>48905</v>
      </c>
      <c r="I4756">
        <v>9564.11</v>
      </c>
      <c r="J4756" t="s">
        <v>28</v>
      </c>
      <c r="K4756" t="s">
        <v>23</v>
      </c>
      <c r="L4756">
        <f t="shared" si="222"/>
        <v>2022</v>
      </c>
      <c r="M4756" t="str">
        <f t="shared" si="223"/>
        <v>Feb</v>
      </c>
      <c r="N4756" s="2">
        <f t="shared" si="224"/>
        <v>0.19556507514569063</v>
      </c>
    </row>
    <row r="4757" spans="1:14" x14ac:dyDescent="0.45">
      <c r="A4757" t="s">
        <v>8496</v>
      </c>
      <c r="B4757" s="1">
        <v>45462</v>
      </c>
      <c r="C4757" t="s">
        <v>8497</v>
      </c>
      <c r="D4757" t="s">
        <v>56</v>
      </c>
      <c r="E4757" t="s">
        <v>20</v>
      </c>
      <c r="F4757" t="s">
        <v>43</v>
      </c>
      <c r="G4757">
        <v>5</v>
      </c>
      <c r="H4757">
        <v>37747.56</v>
      </c>
      <c r="I4757">
        <v>5161.21</v>
      </c>
      <c r="J4757" t="s">
        <v>71</v>
      </c>
      <c r="K4757" t="s">
        <v>33</v>
      </c>
      <c r="L4757">
        <f t="shared" si="222"/>
        <v>2024</v>
      </c>
      <c r="M4757" t="str">
        <f t="shared" si="223"/>
        <v>Jun</v>
      </c>
      <c r="N4757" s="2">
        <f t="shared" si="224"/>
        <v>0.13672963232590399</v>
      </c>
    </row>
    <row r="4758" spans="1:14" x14ac:dyDescent="0.45">
      <c r="A4758" t="s">
        <v>8498</v>
      </c>
      <c r="B4758" s="1">
        <v>45582</v>
      </c>
      <c r="C4758" t="s">
        <v>8499</v>
      </c>
      <c r="D4758" t="s">
        <v>56</v>
      </c>
      <c r="E4758" t="s">
        <v>20</v>
      </c>
      <c r="F4758" t="s">
        <v>21</v>
      </c>
      <c r="G4758">
        <v>5</v>
      </c>
      <c r="H4758">
        <v>20231.18</v>
      </c>
      <c r="I4758">
        <v>2747.3</v>
      </c>
      <c r="J4758" t="s">
        <v>71</v>
      </c>
      <c r="K4758" t="s">
        <v>33</v>
      </c>
      <c r="L4758">
        <f t="shared" si="222"/>
        <v>2024</v>
      </c>
      <c r="M4758" t="str">
        <f t="shared" si="223"/>
        <v>Oct</v>
      </c>
      <c r="N4758" s="2">
        <f t="shared" si="224"/>
        <v>0.13579534164591486</v>
      </c>
    </row>
    <row r="4759" spans="1:14" x14ac:dyDescent="0.45">
      <c r="A4759" t="s">
        <v>8500</v>
      </c>
      <c r="B4759" s="1">
        <v>45551</v>
      </c>
      <c r="C4759" t="s">
        <v>1778</v>
      </c>
      <c r="D4759" t="s">
        <v>56</v>
      </c>
      <c r="E4759" t="s">
        <v>20</v>
      </c>
      <c r="F4759" t="s">
        <v>27</v>
      </c>
      <c r="G4759">
        <v>5</v>
      </c>
      <c r="H4759">
        <v>25717.279999999999</v>
      </c>
      <c r="I4759">
        <v>5380.01</v>
      </c>
      <c r="J4759" t="s">
        <v>16</v>
      </c>
      <c r="K4759" t="s">
        <v>33</v>
      </c>
      <c r="L4759">
        <f t="shared" si="222"/>
        <v>2024</v>
      </c>
      <c r="M4759" t="str">
        <f t="shared" si="223"/>
        <v>Sep</v>
      </c>
      <c r="N4759" s="2">
        <f t="shared" si="224"/>
        <v>0.20919825113697874</v>
      </c>
    </row>
    <row r="4760" spans="1:14" x14ac:dyDescent="0.45">
      <c r="A4760" t="s">
        <v>8501</v>
      </c>
      <c r="B4760" s="1">
        <v>44641</v>
      </c>
      <c r="C4760" t="s">
        <v>3326</v>
      </c>
      <c r="D4760" t="s">
        <v>13</v>
      </c>
      <c r="E4760" t="s">
        <v>36</v>
      </c>
      <c r="F4760" t="s">
        <v>64</v>
      </c>
      <c r="G4760">
        <v>5</v>
      </c>
      <c r="H4760">
        <v>36955.01</v>
      </c>
      <c r="I4760">
        <v>7001.23</v>
      </c>
      <c r="J4760" t="s">
        <v>22</v>
      </c>
      <c r="K4760" t="s">
        <v>17</v>
      </c>
      <c r="L4760">
        <f t="shared" si="222"/>
        <v>2022</v>
      </c>
      <c r="M4760" t="str">
        <f t="shared" si="223"/>
        <v>Mar</v>
      </c>
      <c r="N4760" s="2">
        <f t="shared" si="224"/>
        <v>0.18945279679264054</v>
      </c>
    </row>
    <row r="4761" spans="1:14" x14ac:dyDescent="0.45">
      <c r="A4761" t="s">
        <v>8502</v>
      </c>
      <c r="B4761" s="1">
        <v>45323</v>
      </c>
      <c r="C4761" t="s">
        <v>8503</v>
      </c>
      <c r="D4761" t="s">
        <v>26</v>
      </c>
      <c r="E4761" t="s">
        <v>14</v>
      </c>
      <c r="F4761" t="s">
        <v>15</v>
      </c>
      <c r="G4761">
        <v>3</v>
      </c>
      <c r="H4761">
        <v>1867.74</v>
      </c>
      <c r="I4761">
        <v>325.89</v>
      </c>
      <c r="J4761" t="s">
        <v>47</v>
      </c>
      <c r="K4761" t="s">
        <v>23</v>
      </c>
      <c r="L4761">
        <f t="shared" si="222"/>
        <v>2024</v>
      </c>
      <c r="M4761" t="str">
        <f t="shared" si="223"/>
        <v>Feb</v>
      </c>
      <c r="N4761" s="2">
        <f t="shared" si="224"/>
        <v>0.1744836005011404</v>
      </c>
    </row>
    <row r="4762" spans="1:14" x14ac:dyDescent="0.45">
      <c r="A4762" t="s">
        <v>8504</v>
      </c>
      <c r="B4762" s="1">
        <v>44673</v>
      </c>
      <c r="C4762" t="s">
        <v>8505</v>
      </c>
      <c r="D4762" t="s">
        <v>56</v>
      </c>
      <c r="E4762" t="s">
        <v>14</v>
      </c>
      <c r="F4762" t="s">
        <v>57</v>
      </c>
      <c r="G4762">
        <v>2</v>
      </c>
      <c r="H4762">
        <v>26993.8</v>
      </c>
      <c r="I4762">
        <v>1859.51</v>
      </c>
      <c r="J4762" t="s">
        <v>47</v>
      </c>
      <c r="K4762" t="s">
        <v>33</v>
      </c>
      <c r="L4762">
        <f t="shared" si="222"/>
        <v>2022</v>
      </c>
      <c r="M4762" t="str">
        <f t="shared" si="223"/>
        <v>Apr</v>
      </c>
      <c r="N4762" s="2">
        <f t="shared" si="224"/>
        <v>6.8886559135801551E-2</v>
      </c>
    </row>
    <row r="4763" spans="1:14" x14ac:dyDescent="0.45">
      <c r="A4763" t="s">
        <v>8506</v>
      </c>
      <c r="B4763" s="1">
        <v>45261</v>
      </c>
      <c r="C4763" t="s">
        <v>7795</v>
      </c>
      <c r="D4763" t="s">
        <v>13</v>
      </c>
      <c r="E4763" t="s">
        <v>20</v>
      </c>
      <c r="F4763" t="s">
        <v>27</v>
      </c>
      <c r="G4763">
        <v>1</v>
      </c>
      <c r="H4763">
        <v>43616</v>
      </c>
      <c r="I4763">
        <v>5377.15</v>
      </c>
      <c r="J4763" t="s">
        <v>28</v>
      </c>
      <c r="K4763" t="s">
        <v>17</v>
      </c>
      <c r="L4763">
        <f t="shared" si="222"/>
        <v>2023</v>
      </c>
      <c r="M4763" t="str">
        <f t="shared" si="223"/>
        <v>Dec</v>
      </c>
      <c r="N4763" s="2">
        <f t="shared" si="224"/>
        <v>0.12328388664710198</v>
      </c>
    </row>
    <row r="4764" spans="1:14" x14ac:dyDescent="0.45">
      <c r="A4764" t="s">
        <v>8507</v>
      </c>
      <c r="B4764" s="1">
        <v>45217</v>
      </c>
      <c r="C4764" t="s">
        <v>8508</v>
      </c>
      <c r="D4764" t="s">
        <v>56</v>
      </c>
      <c r="E4764" t="s">
        <v>36</v>
      </c>
      <c r="F4764" t="s">
        <v>37</v>
      </c>
      <c r="G4764">
        <v>2</v>
      </c>
      <c r="H4764">
        <v>44833.72</v>
      </c>
      <c r="I4764">
        <v>8995.4699999999993</v>
      </c>
      <c r="J4764" t="s">
        <v>71</v>
      </c>
      <c r="K4764" t="s">
        <v>33</v>
      </c>
      <c r="L4764">
        <f t="shared" si="222"/>
        <v>2023</v>
      </c>
      <c r="M4764" t="str">
        <f t="shared" si="223"/>
        <v>Oct</v>
      </c>
      <c r="N4764" s="2">
        <f t="shared" si="224"/>
        <v>0.20064072309859629</v>
      </c>
    </row>
    <row r="4765" spans="1:14" x14ac:dyDescent="0.45">
      <c r="A4765" t="s">
        <v>8509</v>
      </c>
      <c r="B4765" s="1">
        <v>44674</v>
      </c>
      <c r="C4765" t="s">
        <v>1830</v>
      </c>
      <c r="D4765" t="s">
        <v>13</v>
      </c>
      <c r="E4765" t="s">
        <v>14</v>
      </c>
      <c r="F4765" t="s">
        <v>32</v>
      </c>
      <c r="G4765">
        <v>3</v>
      </c>
      <c r="H4765">
        <v>28484.02</v>
      </c>
      <c r="I4765">
        <v>6574.45</v>
      </c>
      <c r="J4765" t="s">
        <v>22</v>
      </c>
      <c r="K4765" t="s">
        <v>33</v>
      </c>
      <c r="L4765">
        <f t="shared" si="222"/>
        <v>2022</v>
      </c>
      <c r="M4765" t="str">
        <f t="shared" si="223"/>
        <v>Apr</v>
      </c>
      <c r="N4765" s="2">
        <f t="shared" si="224"/>
        <v>0.23081187276234183</v>
      </c>
    </row>
    <row r="4766" spans="1:14" x14ac:dyDescent="0.45">
      <c r="A4766" t="s">
        <v>8510</v>
      </c>
      <c r="B4766" s="1">
        <v>44720</v>
      </c>
      <c r="C4766" t="s">
        <v>8511</v>
      </c>
      <c r="D4766" t="s">
        <v>56</v>
      </c>
      <c r="E4766" t="s">
        <v>20</v>
      </c>
      <c r="F4766" t="s">
        <v>43</v>
      </c>
      <c r="G4766">
        <v>3</v>
      </c>
      <c r="H4766">
        <v>1780.94</v>
      </c>
      <c r="I4766">
        <v>331.52</v>
      </c>
      <c r="J4766" t="s">
        <v>22</v>
      </c>
      <c r="K4766" t="s">
        <v>23</v>
      </c>
      <c r="L4766">
        <f t="shared" si="222"/>
        <v>2022</v>
      </c>
      <c r="M4766" t="str">
        <f t="shared" si="223"/>
        <v>Jun</v>
      </c>
      <c r="N4766" s="2">
        <f t="shared" si="224"/>
        <v>0.18614888766606397</v>
      </c>
    </row>
    <row r="4767" spans="1:14" x14ac:dyDescent="0.45">
      <c r="A4767" t="s">
        <v>8512</v>
      </c>
      <c r="B4767" s="1">
        <v>45386</v>
      </c>
      <c r="C4767" t="s">
        <v>4884</v>
      </c>
      <c r="D4767" t="s">
        <v>13</v>
      </c>
      <c r="E4767" t="s">
        <v>14</v>
      </c>
      <c r="F4767" t="s">
        <v>15</v>
      </c>
      <c r="G4767">
        <v>3</v>
      </c>
      <c r="H4767">
        <v>14790.88</v>
      </c>
      <c r="I4767">
        <v>3686.58</v>
      </c>
      <c r="J4767" t="s">
        <v>47</v>
      </c>
      <c r="K4767" t="s">
        <v>23</v>
      </c>
      <c r="L4767">
        <f t="shared" si="222"/>
        <v>2024</v>
      </c>
      <c r="M4767" t="str">
        <f t="shared" si="223"/>
        <v>Apr</v>
      </c>
      <c r="N4767" s="2">
        <f t="shared" si="224"/>
        <v>0.24924683318369159</v>
      </c>
    </row>
    <row r="4768" spans="1:14" x14ac:dyDescent="0.45">
      <c r="A4768" t="s">
        <v>8513</v>
      </c>
      <c r="B4768" s="1">
        <v>44584</v>
      </c>
      <c r="C4768" t="s">
        <v>8514</v>
      </c>
      <c r="D4768" t="s">
        <v>56</v>
      </c>
      <c r="E4768" t="s">
        <v>14</v>
      </c>
      <c r="F4768" t="s">
        <v>57</v>
      </c>
      <c r="G4768">
        <v>1</v>
      </c>
      <c r="H4768">
        <v>43456.62</v>
      </c>
      <c r="I4768">
        <v>5688.43</v>
      </c>
      <c r="J4768" t="s">
        <v>22</v>
      </c>
      <c r="K4768" t="s">
        <v>33</v>
      </c>
      <c r="L4768">
        <f t="shared" si="222"/>
        <v>2022</v>
      </c>
      <c r="M4768" t="str">
        <f t="shared" si="223"/>
        <v>Jan</v>
      </c>
      <c r="N4768" s="2">
        <f t="shared" si="224"/>
        <v>0.13089904369000627</v>
      </c>
    </row>
    <row r="4769" spans="1:14" x14ac:dyDescent="0.45">
      <c r="A4769" t="s">
        <v>8515</v>
      </c>
      <c r="B4769" s="1">
        <v>44747</v>
      </c>
      <c r="C4769" t="s">
        <v>2258</v>
      </c>
      <c r="D4769" t="s">
        <v>13</v>
      </c>
      <c r="E4769" t="s">
        <v>14</v>
      </c>
      <c r="F4769" t="s">
        <v>15</v>
      </c>
      <c r="G4769">
        <v>3</v>
      </c>
      <c r="H4769">
        <v>40065.919999999998</v>
      </c>
      <c r="I4769">
        <v>8272.56</v>
      </c>
      <c r="J4769" t="s">
        <v>47</v>
      </c>
      <c r="K4769" t="s">
        <v>17</v>
      </c>
      <c r="L4769">
        <f t="shared" si="222"/>
        <v>2022</v>
      </c>
      <c r="M4769" t="str">
        <f t="shared" si="223"/>
        <v>Jul</v>
      </c>
      <c r="N4769" s="2">
        <f t="shared" si="224"/>
        <v>0.20647373129083271</v>
      </c>
    </row>
    <row r="4770" spans="1:14" x14ac:dyDescent="0.45">
      <c r="A4770" t="s">
        <v>8516</v>
      </c>
      <c r="B4770" s="1">
        <v>44696</v>
      </c>
      <c r="C4770" t="s">
        <v>8517</v>
      </c>
      <c r="D4770" t="s">
        <v>26</v>
      </c>
      <c r="E4770" t="s">
        <v>36</v>
      </c>
      <c r="F4770" t="s">
        <v>46</v>
      </c>
      <c r="G4770">
        <v>5</v>
      </c>
      <c r="H4770">
        <v>19935.18</v>
      </c>
      <c r="I4770">
        <v>4070.67</v>
      </c>
      <c r="J4770" t="s">
        <v>47</v>
      </c>
      <c r="K4770" t="s">
        <v>17</v>
      </c>
      <c r="L4770">
        <f t="shared" si="222"/>
        <v>2022</v>
      </c>
      <c r="M4770" t="str">
        <f t="shared" si="223"/>
        <v>May</v>
      </c>
      <c r="N4770" s="2">
        <f t="shared" si="224"/>
        <v>0.20419529695743907</v>
      </c>
    </row>
    <row r="4771" spans="1:14" x14ac:dyDescent="0.45">
      <c r="A4771" t="s">
        <v>8518</v>
      </c>
      <c r="B4771" s="1">
        <v>44646</v>
      </c>
      <c r="C4771" t="s">
        <v>8519</v>
      </c>
      <c r="D4771" t="s">
        <v>56</v>
      </c>
      <c r="E4771" t="s">
        <v>14</v>
      </c>
      <c r="F4771" t="s">
        <v>15</v>
      </c>
      <c r="G4771">
        <v>5</v>
      </c>
      <c r="H4771">
        <v>7660.59</v>
      </c>
      <c r="I4771">
        <v>1478.74</v>
      </c>
      <c r="J4771" t="s">
        <v>71</v>
      </c>
      <c r="K4771" t="s">
        <v>17</v>
      </c>
      <c r="L4771">
        <f t="shared" si="222"/>
        <v>2022</v>
      </c>
      <c r="M4771" t="str">
        <f t="shared" si="223"/>
        <v>Mar</v>
      </c>
      <c r="N4771" s="2">
        <f t="shared" si="224"/>
        <v>0.19303212937906872</v>
      </c>
    </row>
    <row r="4772" spans="1:14" x14ac:dyDescent="0.45">
      <c r="A4772" t="s">
        <v>8520</v>
      </c>
      <c r="B4772" s="1">
        <v>45341</v>
      </c>
      <c r="C4772" t="s">
        <v>2284</v>
      </c>
      <c r="D4772" t="s">
        <v>26</v>
      </c>
      <c r="E4772" t="s">
        <v>20</v>
      </c>
      <c r="F4772" t="s">
        <v>21</v>
      </c>
      <c r="G4772">
        <v>1</v>
      </c>
      <c r="H4772">
        <v>24817.89</v>
      </c>
      <c r="I4772">
        <v>3545.96</v>
      </c>
      <c r="J4772" t="s">
        <v>71</v>
      </c>
      <c r="K4772" t="s">
        <v>17</v>
      </c>
      <c r="L4772">
        <f t="shared" si="222"/>
        <v>2024</v>
      </c>
      <c r="M4772" t="str">
        <f t="shared" si="223"/>
        <v>Feb</v>
      </c>
      <c r="N4772" s="2">
        <f t="shared" si="224"/>
        <v>0.14287918916555759</v>
      </c>
    </row>
    <row r="4773" spans="1:14" x14ac:dyDescent="0.45">
      <c r="A4773" t="s">
        <v>8521</v>
      </c>
      <c r="B4773" s="1">
        <v>44750</v>
      </c>
      <c r="C4773" t="s">
        <v>600</v>
      </c>
      <c r="D4773" t="s">
        <v>56</v>
      </c>
      <c r="E4773" t="s">
        <v>20</v>
      </c>
      <c r="F4773" t="s">
        <v>21</v>
      </c>
      <c r="G4773">
        <v>3</v>
      </c>
      <c r="H4773">
        <v>15635.34</v>
      </c>
      <c r="I4773">
        <v>1357.87</v>
      </c>
      <c r="J4773" t="s">
        <v>71</v>
      </c>
      <c r="K4773" t="s">
        <v>23</v>
      </c>
      <c r="L4773">
        <f t="shared" si="222"/>
        <v>2022</v>
      </c>
      <c r="M4773" t="str">
        <f t="shared" si="223"/>
        <v>Jul</v>
      </c>
      <c r="N4773" s="2">
        <f t="shared" si="224"/>
        <v>8.6846208652961804E-2</v>
      </c>
    </row>
    <row r="4774" spans="1:14" x14ac:dyDescent="0.45">
      <c r="A4774" t="s">
        <v>8522</v>
      </c>
      <c r="B4774" s="1">
        <v>45615</v>
      </c>
      <c r="C4774" t="s">
        <v>8523</v>
      </c>
      <c r="D4774" t="s">
        <v>13</v>
      </c>
      <c r="E4774" t="s">
        <v>36</v>
      </c>
      <c r="F4774" t="s">
        <v>46</v>
      </c>
      <c r="G4774">
        <v>5</v>
      </c>
      <c r="H4774">
        <v>22788.82</v>
      </c>
      <c r="I4774">
        <v>1626.39</v>
      </c>
      <c r="J4774" t="s">
        <v>28</v>
      </c>
      <c r="K4774" t="s">
        <v>23</v>
      </c>
      <c r="L4774">
        <f t="shared" si="222"/>
        <v>2024</v>
      </c>
      <c r="M4774" t="str">
        <f t="shared" si="223"/>
        <v>Nov</v>
      </c>
      <c r="N4774" s="2">
        <f t="shared" si="224"/>
        <v>7.1367890044328766E-2</v>
      </c>
    </row>
    <row r="4775" spans="1:14" x14ac:dyDescent="0.45">
      <c r="A4775" t="s">
        <v>8524</v>
      </c>
      <c r="B4775" s="1">
        <v>45275</v>
      </c>
      <c r="C4775" t="s">
        <v>8525</v>
      </c>
      <c r="D4775" t="s">
        <v>13</v>
      </c>
      <c r="E4775" t="s">
        <v>14</v>
      </c>
      <c r="F4775" t="s">
        <v>32</v>
      </c>
      <c r="G4775">
        <v>1</v>
      </c>
      <c r="H4775">
        <v>24545.46</v>
      </c>
      <c r="I4775">
        <v>3459.63</v>
      </c>
      <c r="J4775" t="s">
        <v>28</v>
      </c>
      <c r="K4775" t="s">
        <v>23</v>
      </c>
      <c r="L4775">
        <f t="shared" si="222"/>
        <v>2023</v>
      </c>
      <c r="M4775" t="str">
        <f t="shared" si="223"/>
        <v>Dec</v>
      </c>
      <c r="N4775" s="2">
        <f t="shared" si="224"/>
        <v>0.14094785756714276</v>
      </c>
    </row>
    <row r="4776" spans="1:14" x14ac:dyDescent="0.45">
      <c r="A4776" t="s">
        <v>8526</v>
      </c>
      <c r="B4776" s="1">
        <v>45576</v>
      </c>
      <c r="C4776" t="s">
        <v>8527</v>
      </c>
      <c r="D4776" t="s">
        <v>56</v>
      </c>
      <c r="E4776" t="s">
        <v>36</v>
      </c>
      <c r="F4776" t="s">
        <v>46</v>
      </c>
      <c r="G4776">
        <v>2</v>
      </c>
      <c r="H4776">
        <v>15899.71</v>
      </c>
      <c r="I4776">
        <v>3178.16</v>
      </c>
      <c r="J4776" t="s">
        <v>22</v>
      </c>
      <c r="K4776" t="s">
        <v>33</v>
      </c>
      <c r="L4776">
        <f t="shared" si="222"/>
        <v>2024</v>
      </c>
      <c r="M4776" t="str">
        <f t="shared" si="223"/>
        <v>Oct</v>
      </c>
      <c r="N4776" s="2">
        <f t="shared" si="224"/>
        <v>0.19988792248412079</v>
      </c>
    </row>
    <row r="4777" spans="1:14" x14ac:dyDescent="0.45">
      <c r="A4777" t="s">
        <v>8528</v>
      </c>
      <c r="B4777" s="1">
        <v>44901</v>
      </c>
      <c r="C4777" t="s">
        <v>8529</v>
      </c>
      <c r="D4777" t="s">
        <v>56</v>
      </c>
      <c r="E4777" t="s">
        <v>14</v>
      </c>
      <c r="F4777" t="s">
        <v>40</v>
      </c>
      <c r="G4777">
        <v>4</v>
      </c>
      <c r="H4777">
        <v>6258.44</v>
      </c>
      <c r="I4777">
        <v>440.8</v>
      </c>
      <c r="J4777" t="s">
        <v>22</v>
      </c>
      <c r="K4777" t="s">
        <v>29</v>
      </c>
      <c r="L4777">
        <f t="shared" si="222"/>
        <v>2022</v>
      </c>
      <c r="M4777" t="str">
        <f t="shared" si="223"/>
        <v>Dec</v>
      </c>
      <c r="N4777" s="2">
        <f t="shared" si="224"/>
        <v>7.0432887428816135E-2</v>
      </c>
    </row>
    <row r="4778" spans="1:14" x14ac:dyDescent="0.45">
      <c r="A4778" t="s">
        <v>8530</v>
      </c>
      <c r="B4778" s="1">
        <v>45041</v>
      </c>
      <c r="C4778" t="s">
        <v>8531</v>
      </c>
      <c r="D4778" t="s">
        <v>56</v>
      </c>
      <c r="E4778" t="s">
        <v>36</v>
      </c>
      <c r="F4778" t="s">
        <v>64</v>
      </c>
      <c r="G4778">
        <v>4</v>
      </c>
      <c r="H4778">
        <v>1219.17</v>
      </c>
      <c r="I4778">
        <v>144.72999999999999</v>
      </c>
      <c r="J4778" t="s">
        <v>16</v>
      </c>
      <c r="K4778" t="s">
        <v>29</v>
      </c>
      <c r="L4778">
        <f t="shared" si="222"/>
        <v>2023</v>
      </c>
      <c r="M4778" t="str">
        <f t="shared" si="223"/>
        <v>Apr</v>
      </c>
      <c r="N4778" s="2">
        <f t="shared" si="224"/>
        <v>0.11871191056210371</v>
      </c>
    </row>
    <row r="4779" spans="1:14" x14ac:dyDescent="0.45">
      <c r="A4779" t="s">
        <v>8532</v>
      </c>
      <c r="B4779" s="1">
        <v>45110</v>
      </c>
      <c r="C4779" t="s">
        <v>8533</v>
      </c>
      <c r="D4779" t="s">
        <v>26</v>
      </c>
      <c r="E4779" t="s">
        <v>14</v>
      </c>
      <c r="F4779" t="s">
        <v>32</v>
      </c>
      <c r="G4779">
        <v>1</v>
      </c>
      <c r="H4779">
        <v>11767.57</v>
      </c>
      <c r="I4779">
        <v>1446.14</v>
      </c>
      <c r="J4779" t="s">
        <v>22</v>
      </c>
      <c r="K4779" t="s">
        <v>17</v>
      </c>
      <c r="L4779">
        <f t="shared" si="222"/>
        <v>2023</v>
      </c>
      <c r="M4779" t="str">
        <f t="shared" si="223"/>
        <v>Jul</v>
      </c>
      <c r="N4779" s="2">
        <f t="shared" si="224"/>
        <v>0.12289198194699502</v>
      </c>
    </row>
    <row r="4780" spans="1:14" x14ac:dyDescent="0.45">
      <c r="A4780" t="s">
        <v>8534</v>
      </c>
      <c r="B4780" s="1">
        <v>44701</v>
      </c>
      <c r="C4780" t="s">
        <v>8535</v>
      </c>
      <c r="D4780" t="s">
        <v>26</v>
      </c>
      <c r="E4780" t="s">
        <v>14</v>
      </c>
      <c r="F4780" t="s">
        <v>57</v>
      </c>
      <c r="G4780">
        <v>4</v>
      </c>
      <c r="H4780">
        <v>3599.21</v>
      </c>
      <c r="I4780">
        <v>418.39</v>
      </c>
      <c r="J4780" t="s">
        <v>22</v>
      </c>
      <c r="K4780" t="s">
        <v>33</v>
      </c>
      <c r="L4780">
        <f t="shared" si="222"/>
        <v>2022</v>
      </c>
      <c r="M4780" t="str">
        <f t="shared" si="223"/>
        <v>May</v>
      </c>
      <c r="N4780" s="2">
        <f t="shared" si="224"/>
        <v>0.1162449537537404</v>
      </c>
    </row>
    <row r="4781" spans="1:14" x14ac:dyDescent="0.45">
      <c r="A4781" t="s">
        <v>8536</v>
      </c>
      <c r="B4781" s="1">
        <v>45254</v>
      </c>
      <c r="C4781" t="s">
        <v>8537</v>
      </c>
      <c r="D4781" t="s">
        <v>13</v>
      </c>
      <c r="E4781" t="s">
        <v>36</v>
      </c>
      <c r="F4781" t="s">
        <v>37</v>
      </c>
      <c r="G4781">
        <v>2</v>
      </c>
      <c r="H4781">
        <v>17262.21</v>
      </c>
      <c r="I4781">
        <v>2714.25</v>
      </c>
      <c r="J4781" t="s">
        <v>16</v>
      </c>
      <c r="K4781" t="s">
        <v>23</v>
      </c>
      <c r="L4781">
        <f t="shared" si="222"/>
        <v>2023</v>
      </c>
      <c r="M4781" t="str">
        <f t="shared" si="223"/>
        <v>Nov</v>
      </c>
      <c r="N4781" s="2">
        <f t="shared" si="224"/>
        <v>0.1572365299692218</v>
      </c>
    </row>
    <row r="4782" spans="1:14" x14ac:dyDescent="0.45">
      <c r="A4782" t="s">
        <v>8538</v>
      </c>
      <c r="B4782" s="1">
        <v>45147</v>
      </c>
      <c r="C4782" t="s">
        <v>8539</v>
      </c>
      <c r="D4782" t="s">
        <v>56</v>
      </c>
      <c r="E4782" t="s">
        <v>14</v>
      </c>
      <c r="F4782" t="s">
        <v>15</v>
      </c>
      <c r="G4782">
        <v>4</v>
      </c>
      <c r="H4782">
        <v>41045.99</v>
      </c>
      <c r="I4782">
        <v>6834</v>
      </c>
      <c r="J4782" t="s">
        <v>28</v>
      </c>
      <c r="K4782" t="s">
        <v>33</v>
      </c>
      <c r="L4782">
        <f t="shared" si="222"/>
        <v>2023</v>
      </c>
      <c r="M4782" t="str">
        <f t="shared" si="223"/>
        <v>Aug</v>
      </c>
      <c r="N4782" s="2">
        <f t="shared" si="224"/>
        <v>0.16649616686063609</v>
      </c>
    </row>
    <row r="4783" spans="1:14" x14ac:dyDescent="0.45">
      <c r="A4783" t="s">
        <v>8540</v>
      </c>
      <c r="B4783" s="1">
        <v>44703</v>
      </c>
      <c r="C4783" t="s">
        <v>3809</v>
      </c>
      <c r="D4783" t="s">
        <v>56</v>
      </c>
      <c r="E4783" t="s">
        <v>20</v>
      </c>
      <c r="F4783" t="s">
        <v>43</v>
      </c>
      <c r="G4783">
        <v>1</v>
      </c>
      <c r="H4783">
        <v>41720.480000000003</v>
      </c>
      <c r="I4783">
        <v>5351.12</v>
      </c>
      <c r="J4783" t="s">
        <v>22</v>
      </c>
      <c r="K4783" t="s">
        <v>23</v>
      </c>
      <c r="L4783">
        <f t="shared" si="222"/>
        <v>2022</v>
      </c>
      <c r="M4783" t="str">
        <f t="shared" si="223"/>
        <v>May</v>
      </c>
      <c r="N4783" s="2">
        <f t="shared" si="224"/>
        <v>0.12826122805873758</v>
      </c>
    </row>
    <row r="4784" spans="1:14" x14ac:dyDescent="0.45">
      <c r="A4784" t="s">
        <v>8541</v>
      </c>
      <c r="B4784" s="1">
        <v>45126</v>
      </c>
      <c r="C4784" t="s">
        <v>8542</v>
      </c>
      <c r="D4784" t="s">
        <v>26</v>
      </c>
      <c r="E4784" t="s">
        <v>14</v>
      </c>
      <c r="F4784" t="s">
        <v>40</v>
      </c>
      <c r="G4784">
        <v>3</v>
      </c>
      <c r="H4784">
        <v>43711.57</v>
      </c>
      <c r="I4784">
        <v>6797.72</v>
      </c>
      <c r="J4784" t="s">
        <v>22</v>
      </c>
      <c r="K4784" t="s">
        <v>33</v>
      </c>
      <c r="L4784">
        <f t="shared" si="222"/>
        <v>2023</v>
      </c>
      <c r="M4784" t="str">
        <f t="shared" si="223"/>
        <v>Jul</v>
      </c>
      <c r="N4784" s="2">
        <f t="shared" si="224"/>
        <v>0.15551305981459829</v>
      </c>
    </row>
    <row r="4785" spans="1:14" x14ac:dyDescent="0.45">
      <c r="A4785" t="s">
        <v>8543</v>
      </c>
      <c r="B4785" s="1">
        <v>44998</v>
      </c>
      <c r="C4785" t="s">
        <v>6423</v>
      </c>
      <c r="D4785" t="s">
        <v>56</v>
      </c>
      <c r="E4785" t="s">
        <v>14</v>
      </c>
      <c r="F4785" t="s">
        <v>15</v>
      </c>
      <c r="G4785">
        <v>5</v>
      </c>
      <c r="H4785">
        <v>7478.13</v>
      </c>
      <c r="I4785">
        <v>1841.36</v>
      </c>
      <c r="J4785" t="s">
        <v>71</v>
      </c>
      <c r="K4785" t="s">
        <v>29</v>
      </c>
      <c r="L4785">
        <f t="shared" si="222"/>
        <v>2023</v>
      </c>
      <c r="M4785" t="str">
        <f t="shared" si="223"/>
        <v>Mar</v>
      </c>
      <c r="N4785" s="2">
        <f t="shared" si="224"/>
        <v>0.24623268116494362</v>
      </c>
    </row>
    <row r="4786" spans="1:14" x14ac:dyDescent="0.45">
      <c r="A4786" t="s">
        <v>8544</v>
      </c>
      <c r="B4786" s="1">
        <v>44966</v>
      </c>
      <c r="C4786" t="s">
        <v>8545</v>
      </c>
      <c r="D4786" t="s">
        <v>56</v>
      </c>
      <c r="E4786" t="s">
        <v>36</v>
      </c>
      <c r="F4786" t="s">
        <v>64</v>
      </c>
      <c r="G4786">
        <v>4</v>
      </c>
      <c r="H4786">
        <v>12092.66</v>
      </c>
      <c r="I4786">
        <v>1815.01</v>
      </c>
      <c r="J4786" t="s">
        <v>16</v>
      </c>
      <c r="K4786" t="s">
        <v>23</v>
      </c>
      <c r="L4786">
        <f t="shared" si="222"/>
        <v>2023</v>
      </c>
      <c r="M4786" t="str">
        <f t="shared" si="223"/>
        <v>Feb</v>
      </c>
      <c r="N4786" s="2">
        <f t="shared" si="224"/>
        <v>0.15009187391359718</v>
      </c>
    </row>
    <row r="4787" spans="1:14" x14ac:dyDescent="0.45">
      <c r="A4787" t="s">
        <v>8546</v>
      </c>
      <c r="B4787" s="1">
        <v>45193</v>
      </c>
      <c r="C4787" t="s">
        <v>8547</v>
      </c>
      <c r="D4787" t="s">
        <v>26</v>
      </c>
      <c r="E4787" t="s">
        <v>20</v>
      </c>
      <c r="F4787" t="s">
        <v>27</v>
      </c>
      <c r="G4787">
        <v>5</v>
      </c>
      <c r="H4787">
        <v>4360.1899999999996</v>
      </c>
      <c r="I4787">
        <v>551.47</v>
      </c>
      <c r="J4787" t="s">
        <v>22</v>
      </c>
      <c r="K4787" t="s">
        <v>17</v>
      </c>
      <c r="L4787">
        <f t="shared" si="222"/>
        <v>2023</v>
      </c>
      <c r="M4787" t="str">
        <f t="shared" si="223"/>
        <v>Sep</v>
      </c>
      <c r="N4787" s="2">
        <f t="shared" si="224"/>
        <v>0.12647843327928371</v>
      </c>
    </row>
    <row r="4788" spans="1:14" x14ac:dyDescent="0.45">
      <c r="A4788" t="s">
        <v>8548</v>
      </c>
      <c r="B4788" s="1">
        <v>45192</v>
      </c>
      <c r="C4788" t="s">
        <v>7469</v>
      </c>
      <c r="D4788" t="s">
        <v>13</v>
      </c>
      <c r="E4788" t="s">
        <v>20</v>
      </c>
      <c r="F4788" t="s">
        <v>43</v>
      </c>
      <c r="G4788">
        <v>2</v>
      </c>
      <c r="H4788">
        <v>23921.95</v>
      </c>
      <c r="I4788">
        <v>2340.0100000000002</v>
      </c>
      <c r="J4788" t="s">
        <v>71</v>
      </c>
      <c r="K4788" t="s">
        <v>23</v>
      </c>
      <c r="L4788">
        <f t="shared" si="222"/>
        <v>2023</v>
      </c>
      <c r="M4788" t="str">
        <f t="shared" si="223"/>
        <v>Sep</v>
      </c>
      <c r="N4788" s="2">
        <f t="shared" si="224"/>
        <v>9.7818530679982196E-2</v>
      </c>
    </row>
    <row r="4789" spans="1:14" x14ac:dyDescent="0.45">
      <c r="A4789" t="s">
        <v>8549</v>
      </c>
      <c r="B4789" s="1">
        <v>45436</v>
      </c>
      <c r="C4789" t="s">
        <v>842</v>
      </c>
      <c r="D4789" t="s">
        <v>13</v>
      </c>
      <c r="E4789" t="s">
        <v>36</v>
      </c>
      <c r="F4789" t="s">
        <v>37</v>
      </c>
      <c r="G4789">
        <v>5</v>
      </c>
      <c r="H4789">
        <v>23560.71</v>
      </c>
      <c r="I4789">
        <v>5787.95</v>
      </c>
      <c r="J4789" t="s">
        <v>71</v>
      </c>
      <c r="K4789" t="s">
        <v>29</v>
      </c>
      <c r="L4789">
        <f t="shared" si="222"/>
        <v>2024</v>
      </c>
      <c r="M4789" t="str">
        <f t="shared" si="223"/>
        <v>May</v>
      </c>
      <c r="N4789" s="2">
        <f t="shared" si="224"/>
        <v>0.24566110274265929</v>
      </c>
    </row>
    <row r="4790" spans="1:14" x14ac:dyDescent="0.45">
      <c r="A4790" t="s">
        <v>8550</v>
      </c>
      <c r="B4790" s="1">
        <v>44974</v>
      </c>
      <c r="C4790" t="s">
        <v>8551</v>
      </c>
      <c r="D4790" t="s">
        <v>26</v>
      </c>
      <c r="E4790" t="s">
        <v>36</v>
      </c>
      <c r="F4790" t="s">
        <v>37</v>
      </c>
      <c r="G4790">
        <v>1</v>
      </c>
      <c r="H4790">
        <v>20527.52</v>
      </c>
      <c r="I4790">
        <v>4167.2700000000004</v>
      </c>
      <c r="J4790" t="s">
        <v>47</v>
      </c>
      <c r="K4790" t="s">
        <v>23</v>
      </c>
      <c r="L4790">
        <f t="shared" si="222"/>
        <v>2023</v>
      </c>
      <c r="M4790" t="str">
        <f t="shared" si="223"/>
        <v>Feb</v>
      </c>
      <c r="N4790" s="2">
        <f t="shared" si="224"/>
        <v>0.20300893629625014</v>
      </c>
    </row>
    <row r="4791" spans="1:14" x14ac:dyDescent="0.45">
      <c r="A4791" t="s">
        <v>8552</v>
      </c>
      <c r="B4791" s="1">
        <v>45519</v>
      </c>
      <c r="C4791" t="s">
        <v>8553</v>
      </c>
      <c r="D4791" t="s">
        <v>56</v>
      </c>
      <c r="E4791" t="s">
        <v>36</v>
      </c>
      <c r="F4791" t="s">
        <v>37</v>
      </c>
      <c r="G4791">
        <v>3</v>
      </c>
      <c r="H4791">
        <v>3510.39</v>
      </c>
      <c r="I4791">
        <v>623.05999999999995</v>
      </c>
      <c r="J4791" t="s">
        <v>47</v>
      </c>
      <c r="K4791" t="s">
        <v>33</v>
      </c>
      <c r="L4791">
        <f t="shared" si="222"/>
        <v>2024</v>
      </c>
      <c r="M4791" t="str">
        <f t="shared" si="223"/>
        <v>Aug</v>
      </c>
      <c r="N4791" s="2">
        <f t="shared" si="224"/>
        <v>0.17749025037104138</v>
      </c>
    </row>
    <row r="4792" spans="1:14" x14ac:dyDescent="0.45">
      <c r="A4792" t="s">
        <v>8554</v>
      </c>
      <c r="B4792" s="1">
        <v>44840</v>
      </c>
      <c r="C4792" t="s">
        <v>8555</v>
      </c>
      <c r="D4792" t="s">
        <v>56</v>
      </c>
      <c r="E4792" t="s">
        <v>36</v>
      </c>
      <c r="F4792" t="s">
        <v>46</v>
      </c>
      <c r="G4792">
        <v>4</v>
      </c>
      <c r="H4792">
        <v>44165.77</v>
      </c>
      <c r="I4792">
        <v>7914.08</v>
      </c>
      <c r="J4792" t="s">
        <v>28</v>
      </c>
      <c r="K4792" t="s">
        <v>17</v>
      </c>
      <c r="L4792">
        <f t="shared" si="222"/>
        <v>2022</v>
      </c>
      <c r="M4792" t="str">
        <f t="shared" si="223"/>
        <v>Oct</v>
      </c>
      <c r="N4792" s="2">
        <f t="shared" si="224"/>
        <v>0.17919035488343124</v>
      </c>
    </row>
    <row r="4793" spans="1:14" x14ac:dyDescent="0.45">
      <c r="A4793" t="s">
        <v>8556</v>
      </c>
      <c r="B4793" s="1">
        <v>44680</v>
      </c>
      <c r="C4793" t="s">
        <v>8557</v>
      </c>
      <c r="D4793" t="s">
        <v>56</v>
      </c>
      <c r="E4793" t="s">
        <v>36</v>
      </c>
      <c r="F4793" t="s">
        <v>53</v>
      </c>
      <c r="G4793">
        <v>4</v>
      </c>
      <c r="H4793">
        <v>17768.16</v>
      </c>
      <c r="I4793">
        <v>2121.52</v>
      </c>
      <c r="J4793" t="s">
        <v>47</v>
      </c>
      <c r="K4793" t="s">
        <v>17</v>
      </c>
      <c r="L4793">
        <f t="shared" si="222"/>
        <v>2022</v>
      </c>
      <c r="M4793" t="str">
        <f t="shared" si="223"/>
        <v>Apr</v>
      </c>
      <c r="N4793" s="2">
        <f t="shared" si="224"/>
        <v>0.11940009545163933</v>
      </c>
    </row>
    <row r="4794" spans="1:14" x14ac:dyDescent="0.45">
      <c r="A4794" t="s">
        <v>8558</v>
      </c>
      <c r="B4794" s="1">
        <v>45233</v>
      </c>
      <c r="C4794" t="s">
        <v>8559</v>
      </c>
      <c r="D4794" t="s">
        <v>26</v>
      </c>
      <c r="E4794" t="s">
        <v>14</v>
      </c>
      <c r="F4794" t="s">
        <v>32</v>
      </c>
      <c r="G4794">
        <v>5</v>
      </c>
      <c r="H4794">
        <v>17159.099999999999</v>
      </c>
      <c r="I4794">
        <v>3072.4</v>
      </c>
      <c r="J4794" t="s">
        <v>16</v>
      </c>
      <c r="K4794" t="s">
        <v>23</v>
      </c>
      <c r="L4794">
        <f t="shared" si="222"/>
        <v>2023</v>
      </c>
      <c r="M4794" t="str">
        <f t="shared" si="223"/>
        <v>Nov</v>
      </c>
      <c r="N4794" s="2">
        <f t="shared" si="224"/>
        <v>0.1790536799715603</v>
      </c>
    </row>
    <row r="4795" spans="1:14" x14ac:dyDescent="0.45">
      <c r="A4795" t="s">
        <v>8560</v>
      </c>
      <c r="B4795" s="1">
        <v>45504</v>
      </c>
      <c r="C4795" t="s">
        <v>8561</v>
      </c>
      <c r="D4795" t="s">
        <v>56</v>
      </c>
      <c r="E4795" t="s">
        <v>20</v>
      </c>
      <c r="F4795" t="s">
        <v>21</v>
      </c>
      <c r="G4795">
        <v>5</v>
      </c>
      <c r="H4795">
        <v>16597.5</v>
      </c>
      <c r="I4795">
        <v>2752.16</v>
      </c>
      <c r="J4795" t="s">
        <v>22</v>
      </c>
      <c r="K4795" t="s">
        <v>17</v>
      </c>
      <c r="L4795">
        <f t="shared" si="222"/>
        <v>2024</v>
      </c>
      <c r="M4795" t="str">
        <f t="shared" si="223"/>
        <v>Jul</v>
      </c>
      <c r="N4795" s="2">
        <f t="shared" si="224"/>
        <v>0.16581774363608975</v>
      </c>
    </row>
    <row r="4796" spans="1:14" x14ac:dyDescent="0.45">
      <c r="A4796" t="s">
        <v>8562</v>
      </c>
      <c r="B4796" s="1">
        <v>44955</v>
      </c>
      <c r="C4796" t="s">
        <v>8563</v>
      </c>
      <c r="D4796" t="s">
        <v>56</v>
      </c>
      <c r="E4796" t="s">
        <v>36</v>
      </c>
      <c r="F4796" t="s">
        <v>46</v>
      </c>
      <c r="G4796">
        <v>5</v>
      </c>
      <c r="H4796">
        <v>49435.78</v>
      </c>
      <c r="I4796">
        <v>3905.86</v>
      </c>
      <c r="J4796" t="s">
        <v>16</v>
      </c>
      <c r="K4796" t="s">
        <v>23</v>
      </c>
      <c r="L4796">
        <f t="shared" si="222"/>
        <v>2023</v>
      </c>
      <c r="M4796" t="str">
        <f t="shared" si="223"/>
        <v>Jan</v>
      </c>
      <c r="N4796" s="2">
        <f t="shared" si="224"/>
        <v>7.9008766524974419E-2</v>
      </c>
    </row>
    <row r="4797" spans="1:14" x14ac:dyDescent="0.45">
      <c r="A4797" t="s">
        <v>8564</v>
      </c>
      <c r="B4797" s="1">
        <v>44945</v>
      </c>
      <c r="C4797" t="s">
        <v>2031</v>
      </c>
      <c r="D4797" t="s">
        <v>56</v>
      </c>
      <c r="E4797" t="s">
        <v>14</v>
      </c>
      <c r="F4797" t="s">
        <v>15</v>
      </c>
      <c r="G4797">
        <v>5</v>
      </c>
      <c r="H4797">
        <v>15920.77</v>
      </c>
      <c r="I4797">
        <v>901.06</v>
      </c>
      <c r="J4797" t="s">
        <v>28</v>
      </c>
      <c r="K4797" t="s">
        <v>23</v>
      </c>
      <c r="L4797">
        <f t="shared" si="222"/>
        <v>2023</v>
      </c>
      <c r="M4797" t="str">
        <f t="shared" si="223"/>
        <v>Jan</v>
      </c>
      <c r="N4797" s="2">
        <f t="shared" si="224"/>
        <v>5.6596508837198196E-2</v>
      </c>
    </row>
    <row r="4798" spans="1:14" x14ac:dyDescent="0.45">
      <c r="A4798" t="s">
        <v>8565</v>
      </c>
      <c r="B4798" s="1">
        <v>45019</v>
      </c>
      <c r="C4798" t="s">
        <v>8566</v>
      </c>
      <c r="D4798" t="s">
        <v>26</v>
      </c>
      <c r="E4798" t="s">
        <v>20</v>
      </c>
      <c r="F4798" t="s">
        <v>27</v>
      </c>
      <c r="G4798">
        <v>4</v>
      </c>
      <c r="H4798">
        <v>46784.59</v>
      </c>
      <c r="I4798">
        <v>7173.82</v>
      </c>
      <c r="J4798" t="s">
        <v>16</v>
      </c>
      <c r="K4798" t="s">
        <v>33</v>
      </c>
      <c r="L4798">
        <f t="shared" si="222"/>
        <v>2023</v>
      </c>
      <c r="M4798" t="str">
        <f t="shared" si="223"/>
        <v>Apr</v>
      </c>
      <c r="N4798" s="2">
        <f t="shared" si="224"/>
        <v>0.15333724202777027</v>
      </c>
    </row>
    <row r="4799" spans="1:14" x14ac:dyDescent="0.45">
      <c r="A4799" t="s">
        <v>8567</v>
      </c>
      <c r="B4799" s="1">
        <v>45346</v>
      </c>
      <c r="C4799" t="s">
        <v>8568</v>
      </c>
      <c r="D4799" t="s">
        <v>56</v>
      </c>
      <c r="E4799" t="s">
        <v>20</v>
      </c>
      <c r="F4799" t="s">
        <v>27</v>
      </c>
      <c r="G4799">
        <v>5</v>
      </c>
      <c r="H4799">
        <v>29123.040000000001</v>
      </c>
      <c r="I4799">
        <v>4487.8</v>
      </c>
      <c r="J4799" t="s">
        <v>22</v>
      </c>
      <c r="K4799" t="s">
        <v>33</v>
      </c>
      <c r="L4799">
        <f t="shared" si="222"/>
        <v>2024</v>
      </c>
      <c r="M4799" t="str">
        <f t="shared" si="223"/>
        <v>Feb</v>
      </c>
      <c r="N4799" s="2">
        <f t="shared" si="224"/>
        <v>0.15409792384311527</v>
      </c>
    </row>
    <row r="4800" spans="1:14" x14ac:dyDescent="0.45">
      <c r="A4800" t="s">
        <v>8569</v>
      </c>
      <c r="B4800" s="1">
        <v>45326</v>
      </c>
      <c r="C4800" t="s">
        <v>8570</v>
      </c>
      <c r="D4800" t="s">
        <v>26</v>
      </c>
      <c r="E4800" t="s">
        <v>14</v>
      </c>
      <c r="F4800" t="s">
        <v>15</v>
      </c>
      <c r="G4800">
        <v>2</v>
      </c>
      <c r="H4800">
        <v>41727.54</v>
      </c>
      <c r="I4800">
        <v>8982.1</v>
      </c>
      <c r="J4800" t="s">
        <v>28</v>
      </c>
      <c r="K4800" t="s">
        <v>23</v>
      </c>
      <c r="L4800">
        <f t="shared" si="222"/>
        <v>2024</v>
      </c>
      <c r="M4800" t="str">
        <f t="shared" si="223"/>
        <v>Feb</v>
      </c>
      <c r="N4800" s="2">
        <f t="shared" si="224"/>
        <v>0.21525591971153824</v>
      </c>
    </row>
    <row r="4801" spans="1:14" x14ac:dyDescent="0.45">
      <c r="A4801" t="s">
        <v>8571</v>
      </c>
      <c r="B4801" s="1">
        <v>45353</v>
      </c>
      <c r="C4801" t="s">
        <v>8572</v>
      </c>
      <c r="D4801" t="s">
        <v>26</v>
      </c>
      <c r="E4801" t="s">
        <v>14</v>
      </c>
      <c r="F4801" t="s">
        <v>15</v>
      </c>
      <c r="G4801">
        <v>1</v>
      </c>
      <c r="H4801">
        <v>32089.77</v>
      </c>
      <c r="I4801">
        <v>2911.32</v>
      </c>
      <c r="J4801" t="s">
        <v>28</v>
      </c>
      <c r="K4801" t="s">
        <v>23</v>
      </c>
      <c r="L4801">
        <f t="shared" si="222"/>
        <v>2024</v>
      </c>
      <c r="M4801" t="str">
        <f t="shared" si="223"/>
        <v>Mar</v>
      </c>
      <c r="N4801" s="2">
        <f t="shared" si="224"/>
        <v>9.0724240155040062E-2</v>
      </c>
    </row>
    <row r="4802" spans="1:14" x14ac:dyDescent="0.45">
      <c r="A4802" t="s">
        <v>8573</v>
      </c>
      <c r="B4802" s="1">
        <v>44917</v>
      </c>
      <c r="C4802" t="s">
        <v>8574</v>
      </c>
      <c r="D4802" t="s">
        <v>56</v>
      </c>
      <c r="E4802" t="s">
        <v>14</v>
      </c>
      <c r="F4802" t="s">
        <v>32</v>
      </c>
      <c r="G4802">
        <v>3</v>
      </c>
      <c r="H4802">
        <v>27386.81</v>
      </c>
      <c r="I4802">
        <v>2430.61</v>
      </c>
      <c r="J4802" t="s">
        <v>28</v>
      </c>
      <c r="K4802" t="s">
        <v>17</v>
      </c>
      <c r="L4802">
        <f t="shared" si="222"/>
        <v>2022</v>
      </c>
      <c r="M4802" t="str">
        <f t="shared" si="223"/>
        <v>Dec</v>
      </c>
      <c r="N4802" s="2">
        <f t="shared" si="224"/>
        <v>8.8751117782611411E-2</v>
      </c>
    </row>
    <row r="4803" spans="1:14" x14ac:dyDescent="0.45">
      <c r="A4803" t="s">
        <v>8575</v>
      </c>
      <c r="B4803" s="1">
        <v>44625</v>
      </c>
      <c r="C4803" t="s">
        <v>8576</v>
      </c>
      <c r="D4803" t="s">
        <v>13</v>
      </c>
      <c r="E4803" t="s">
        <v>36</v>
      </c>
      <c r="F4803" t="s">
        <v>64</v>
      </c>
      <c r="G4803">
        <v>1</v>
      </c>
      <c r="H4803">
        <v>44402.74</v>
      </c>
      <c r="I4803">
        <v>9567.0400000000009</v>
      </c>
      <c r="J4803" t="s">
        <v>71</v>
      </c>
      <c r="K4803" t="s">
        <v>33</v>
      </c>
      <c r="L4803">
        <f t="shared" ref="L4803:L4866" si="225">YEAR(B4803 )</f>
        <v>2022</v>
      </c>
      <c r="M4803" t="str">
        <f t="shared" ref="M4803:M4866" si="226">TEXT(B4803,"MMM")</f>
        <v>Mar</v>
      </c>
      <c r="N4803" s="2">
        <f t="shared" ref="N4803:N4866" si="227">I4803 / H4803</f>
        <v>0.21546057743283412</v>
      </c>
    </row>
    <row r="4804" spans="1:14" x14ac:dyDescent="0.45">
      <c r="A4804" t="s">
        <v>8577</v>
      </c>
      <c r="B4804" s="1">
        <v>45192</v>
      </c>
      <c r="C4804" t="s">
        <v>8578</v>
      </c>
      <c r="D4804" t="s">
        <v>56</v>
      </c>
      <c r="E4804" t="s">
        <v>36</v>
      </c>
      <c r="F4804" t="s">
        <v>53</v>
      </c>
      <c r="G4804">
        <v>2</v>
      </c>
      <c r="H4804">
        <v>15741.79</v>
      </c>
      <c r="I4804">
        <v>2368.73</v>
      </c>
      <c r="J4804" t="s">
        <v>16</v>
      </c>
      <c r="K4804" t="s">
        <v>23</v>
      </c>
      <c r="L4804">
        <f t="shared" si="225"/>
        <v>2023</v>
      </c>
      <c r="M4804" t="str">
        <f t="shared" si="226"/>
        <v>Sep</v>
      </c>
      <c r="N4804" s="2">
        <f t="shared" si="227"/>
        <v>0.15047399311005927</v>
      </c>
    </row>
    <row r="4805" spans="1:14" x14ac:dyDescent="0.45">
      <c r="A4805" t="s">
        <v>8579</v>
      </c>
      <c r="B4805" s="1">
        <v>44734</v>
      </c>
      <c r="C4805" t="s">
        <v>8580</v>
      </c>
      <c r="D4805" t="s">
        <v>56</v>
      </c>
      <c r="E4805" t="s">
        <v>14</v>
      </c>
      <c r="F4805" t="s">
        <v>15</v>
      </c>
      <c r="G4805">
        <v>1</v>
      </c>
      <c r="H4805">
        <v>7034.66</v>
      </c>
      <c r="I4805">
        <v>1292.8599999999999</v>
      </c>
      <c r="J4805" t="s">
        <v>22</v>
      </c>
      <c r="K4805" t="s">
        <v>33</v>
      </c>
      <c r="L4805">
        <f t="shared" si="225"/>
        <v>2022</v>
      </c>
      <c r="M4805" t="str">
        <f t="shared" si="226"/>
        <v>Jun</v>
      </c>
      <c r="N4805" s="2">
        <f t="shared" si="227"/>
        <v>0.18378429092521884</v>
      </c>
    </row>
    <row r="4806" spans="1:14" x14ac:dyDescent="0.45">
      <c r="A4806" t="s">
        <v>8581</v>
      </c>
      <c r="B4806" s="1">
        <v>45311</v>
      </c>
      <c r="C4806" t="s">
        <v>6525</v>
      </c>
      <c r="D4806" t="s">
        <v>26</v>
      </c>
      <c r="E4806" t="s">
        <v>14</v>
      </c>
      <c r="F4806" t="s">
        <v>57</v>
      </c>
      <c r="G4806">
        <v>1</v>
      </c>
      <c r="H4806">
        <v>25398.36</v>
      </c>
      <c r="I4806">
        <v>5504.19</v>
      </c>
      <c r="J4806" t="s">
        <v>22</v>
      </c>
      <c r="K4806" t="s">
        <v>33</v>
      </c>
      <c r="L4806">
        <f t="shared" si="225"/>
        <v>2024</v>
      </c>
      <c r="M4806" t="str">
        <f t="shared" si="226"/>
        <v>Jan</v>
      </c>
      <c r="N4806" s="2">
        <f t="shared" si="227"/>
        <v>0.21671438628320883</v>
      </c>
    </row>
    <row r="4807" spans="1:14" x14ac:dyDescent="0.45">
      <c r="A4807" t="s">
        <v>8582</v>
      </c>
      <c r="B4807" s="1">
        <v>45301</v>
      </c>
      <c r="C4807" t="s">
        <v>8583</v>
      </c>
      <c r="D4807" t="s">
        <v>13</v>
      </c>
      <c r="E4807" t="s">
        <v>20</v>
      </c>
      <c r="F4807" t="s">
        <v>50</v>
      </c>
      <c r="G4807">
        <v>2</v>
      </c>
      <c r="H4807">
        <v>22135.45</v>
      </c>
      <c r="I4807">
        <v>3789.55</v>
      </c>
      <c r="J4807" t="s">
        <v>28</v>
      </c>
      <c r="K4807" t="s">
        <v>23</v>
      </c>
      <c r="L4807">
        <f t="shared" si="225"/>
        <v>2024</v>
      </c>
      <c r="M4807" t="str">
        <f t="shared" si="226"/>
        <v>Jan</v>
      </c>
      <c r="N4807" s="2">
        <f t="shared" si="227"/>
        <v>0.17119823631324416</v>
      </c>
    </row>
    <row r="4808" spans="1:14" x14ac:dyDescent="0.45">
      <c r="A4808" t="s">
        <v>8584</v>
      </c>
      <c r="B4808" s="1">
        <v>44967</v>
      </c>
      <c r="C4808" t="s">
        <v>8585</v>
      </c>
      <c r="D4808" t="s">
        <v>56</v>
      </c>
      <c r="E4808" t="s">
        <v>20</v>
      </c>
      <c r="F4808" t="s">
        <v>21</v>
      </c>
      <c r="G4808">
        <v>1</v>
      </c>
      <c r="H4808">
        <v>26335.3</v>
      </c>
      <c r="I4808">
        <v>6024.87</v>
      </c>
      <c r="J4808" t="s">
        <v>16</v>
      </c>
      <c r="K4808" t="s">
        <v>23</v>
      </c>
      <c r="L4808">
        <f t="shared" si="225"/>
        <v>2023</v>
      </c>
      <c r="M4808" t="str">
        <f t="shared" si="226"/>
        <v>Feb</v>
      </c>
      <c r="N4808" s="2">
        <f t="shared" si="227"/>
        <v>0.22877544588442128</v>
      </c>
    </row>
    <row r="4809" spans="1:14" x14ac:dyDescent="0.45">
      <c r="A4809" t="s">
        <v>8586</v>
      </c>
      <c r="B4809" s="1">
        <v>44623</v>
      </c>
      <c r="C4809" t="s">
        <v>8587</v>
      </c>
      <c r="D4809" t="s">
        <v>56</v>
      </c>
      <c r="E4809" t="s">
        <v>14</v>
      </c>
      <c r="F4809" t="s">
        <v>57</v>
      </c>
      <c r="G4809">
        <v>5</v>
      </c>
      <c r="H4809">
        <v>36115.440000000002</v>
      </c>
      <c r="I4809">
        <v>5575.25</v>
      </c>
      <c r="J4809" t="s">
        <v>22</v>
      </c>
      <c r="K4809" t="s">
        <v>33</v>
      </c>
      <c r="L4809">
        <f t="shared" si="225"/>
        <v>2022</v>
      </c>
      <c r="M4809" t="str">
        <f t="shared" si="226"/>
        <v>Mar</v>
      </c>
      <c r="N4809" s="2">
        <f t="shared" si="227"/>
        <v>0.15437303269737263</v>
      </c>
    </row>
    <row r="4810" spans="1:14" x14ac:dyDescent="0.45">
      <c r="A4810" t="s">
        <v>8588</v>
      </c>
      <c r="B4810" s="1">
        <v>45463</v>
      </c>
      <c r="C4810" t="s">
        <v>8589</v>
      </c>
      <c r="D4810" t="s">
        <v>56</v>
      </c>
      <c r="E4810" t="s">
        <v>14</v>
      </c>
      <c r="F4810" t="s">
        <v>40</v>
      </c>
      <c r="G4810">
        <v>3</v>
      </c>
      <c r="H4810">
        <v>11944.72</v>
      </c>
      <c r="I4810">
        <v>1808.61</v>
      </c>
      <c r="J4810" t="s">
        <v>22</v>
      </c>
      <c r="K4810" t="s">
        <v>33</v>
      </c>
      <c r="L4810">
        <f t="shared" si="225"/>
        <v>2024</v>
      </c>
      <c r="M4810" t="str">
        <f t="shared" si="226"/>
        <v>Jun</v>
      </c>
      <c r="N4810" s="2">
        <f t="shared" si="227"/>
        <v>0.15141501851864256</v>
      </c>
    </row>
    <row r="4811" spans="1:14" x14ac:dyDescent="0.45">
      <c r="A4811" t="s">
        <v>8590</v>
      </c>
      <c r="B4811" s="1">
        <v>45465</v>
      </c>
      <c r="C4811" t="s">
        <v>8591</v>
      </c>
      <c r="D4811" t="s">
        <v>56</v>
      </c>
      <c r="E4811" t="s">
        <v>36</v>
      </c>
      <c r="F4811" t="s">
        <v>64</v>
      </c>
      <c r="G4811">
        <v>3</v>
      </c>
      <c r="H4811">
        <v>6008.64</v>
      </c>
      <c r="I4811">
        <v>1029.4000000000001</v>
      </c>
      <c r="J4811" t="s">
        <v>28</v>
      </c>
      <c r="K4811" t="s">
        <v>17</v>
      </c>
      <c r="L4811">
        <f t="shared" si="225"/>
        <v>2024</v>
      </c>
      <c r="M4811" t="str">
        <f t="shared" si="226"/>
        <v>Jun</v>
      </c>
      <c r="N4811" s="2">
        <f t="shared" si="227"/>
        <v>0.171319965915748</v>
      </c>
    </row>
    <row r="4812" spans="1:14" x14ac:dyDescent="0.45">
      <c r="A4812" t="s">
        <v>8592</v>
      </c>
      <c r="B4812" s="1">
        <v>45181</v>
      </c>
      <c r="C4812" t="s">
        <v>8593</v>
      </c>
      <c r="D4812" t="s">
        <v>26</v>
      </c>
      <c r="E4812" t="s">
        <v>36</v>
      </c>
      <c r="F4812" t="s">
        <v>37</v>
      </c>
      <c r="G4812">
        <v>1</v>
      </c>
      <c r="H4812">
        <v>44531.22</v>
      </c>
      <c r="I4812">
        <v>6349.96</v>
      </c>
      <c r="J4812" t="s">
        <v>22</v>
      </c>
      <c r="K4812" t="s">
        <v>17</v>
      </c>
      <c r="L4812">
        <f t="shared" si="225"/>
        <v>2023</v>
      </c>
      <c r="M4812" t="str">
        <f t="shared" si="226"/>
        <v>Sep</v>
      </c>
      <c r="N4812" s="2">
        <f t="shared" si="227"/>
        <v>0.14259568904692033</v>
      </c>
    </row>
    <row r="4813" spans="1:14" x14ac:dyDescent="0.45">
      <c r="A4813" t="s">
        <v>8594</v>
      </c>
      <c r="B4813" s="1">
        <v>45258</v>
      </c>
      <c r="C4813" t="s">
        <v>4968</v>
      </c>
      <c r="D4813" t="s">
        <v>56</v>
      </c>
      <c r="E4813" t="s">
        <v>14</v>
      </c>
      <c r="F4813" t="s">
        <v>32</v>
      </c>
      <c r="G4813">
        <v>4</v>
      </c>
      <c r="H4813">
        <v>16180.72</v>
      </c>
      <c r="I4813">
        <v>2478.86</v>
      </c>
      <c r="J4813" t="s">
        <v>47</v>
      </c>
      <c r="K4813" t="s">
        <v>33</v>
      </c>
      <c r="L4813">
        <f t="shared" si="225"/>
        <v>2023</v>
      </c>
      <c r="M4813" t="str">
        <f t="shared" si="226"/>
        <v>Nov</v>
      </c>
      <c r="N4813" s="2">
        <f t="shared" si="227"/>
        <v>0.1531983743615859</v>
      </c>
    </row>
    <row r="4814" spans="1:14" x14ac:dyDescent="0.45">
      <c r="A4814" t="s">
        <v>8595</v>
      </c>
      <c r="B4814" s="1">
        <v>44643</v>
      </c>
      <c r="C4814" t="s">
        <v>8596</v>
      </c>
      <c r="D4814" t="s">
        <v>13</v>
      </c>
      <c r="E4814" t="s">
        <v>36</v>
      </c>
      <c r="F4814" t="s">
        <v>37</v>
      </c>
      <c r="G4814">
        <v>3</v>
      </c>
      <c r="H4814">
        <v>20614.349999999999</v>
      </c>
      <c r="I4814">
        <v>1241.25</v>
      </c>
      <c r="J4814" t="s">
        <v>22</v>
      </c>
      <c r="K4814" t="s">
        <v>23</v>
      </c>
      <c r="L4814">
        <f t="shared" si="225"/>
        <v>2022</v>
      </c>
      <c r="M4814" t="str">
        <f t="shared" si="226"/>
        <v>Mar</v>
      </c>
      <c r="N4814" s="2">
        <f t="shared" si="227"/>
        <v>6.0212909938950301E-2</v>
      </c>
    </row>
    <row r="4815" spans="1:14" x14ac:dyDescent="0.45">
      <c r="A4815" t="s">
        <v>8597</v>
      </c>
      <c r="B4815" s="1">
        <v>45235</v>
      </c>
      <c r="C4815" t="s">
        <v>698</v>
      </c>
      <c r="D4815" t="s">
        <v>26</v>
      </c>
      <c r="E4815" t="s">
        <v>14</v>
      </c>
      <c r="F4815" t="s">
        <v>15</v>
      </c>
      <c r="G4815">
        <v>5</v>
      </c>
      <c r="H4815">
        <v>27554.59</v>
      </c>
      <c r="I4815">
        <v>1545.04</v>
      </c>
      <c r="J4815" t="s">
        <v>22</v>
      </c>
      <c r="K4815" t="s">
        <v>33</v>
      </c>
      <c r="L4815">
        <f t="shared" si="225"/>
        <v>2023</v>
      </c>
      <c r="M4815" t="str">
        <f t="shared" si="226"/>
        <v>Nov</v>
      </c>
      <c r="N4815" s="2">
        <f t="shared" si="227"/>
        <v>5.6071964779733613E-2</v>
      </c>
    </row>
    <row r="4816" spans="1:14" x14ac:dyDescent="0.45">
      <c r="A4816" t="s">
        <v>8598</v>
      </c>
      <c r="B4816" s="1">
        <v>45017</v>
      </c>
      <c r="C4816" t="s">
        <v>8599</v>
      </c>
      <c r="D4816" t="s">
        <v>26</v>
      </c>
      <c r="E4816" t="s">
        <v>36</v>
      </c>
      <c r="F4816" t="s">
        <v>37</v>
      </c>
      <c r="G4816">
        <v>3</v>
      </c>
      <c r="H4816">
        <v>17499.46</v>
      </c>
      <c r="I4816">
        <v>2639.17</v>
      </c>
      <c r="J4816" t="s">
        <v>28</v>
      </c>
      <c r="K4816" t="s">
        <v>33</v>
      </c>
      <c r="L4816">
        <f t="shared" si="225"/>
        <v>2023</v>
      </c>
      <c r="M4816" t="str">
        <f t="shared" si="226"/>
        <v>Apr</v>
      </c>
      <c r="N4816" s="2">
        <f t="shared" si="227"/>
        <v>0.15081436798621214</v>
      </c>
    </row>
    <row r="4817" spans="1:14" x14ac:dyDescent="0.45">
      <c r="A4817" t="s">
        <v>8600</v>
      </c>
      <c r="B4817" s="1">
        <v>44714</v>
      </c>
      <c r="C4817" t="s">
        <v>6623</v>
      </c>
      <c r="D4817" t="s">
        <v>13</v>
      </c>
      <c r="E4817" t="s">
        <v>36</v>
      </c>
      <c r="F4817" t="s">
        <v>46</v>
      </c>
      <c r="G4817">
        <v>3</v>
      </c>
      <c r="H4817">
        <v>28455.03</v>
      </c>
      <c r="I4817">
        <v>4897.63</v>
      </c>
      <c r="J4817" t="s">
        <v>16</v>
      </c>
      <c r="K4817" t="s">
        <v>23</v>
      </c>
      <c r="L4817">
        <f t="shared" si="225"/>
        <v>2022</v>
      </c>
      <c r="M4817" t="str">
        <f t="shared" si="226"/>
        <v>Jun</v>
      </c>
      <c r="N4817" s="2">
        <f t="shared" si="227"/>
        <v>0.17211825114926957</v>
      </c>
    </row>
    <row r="4818" spans="1:14" x14ac:dyDescent="0.45">
      <c r="A4818" t="s">
        <v>8601</v>
      </c>
      <c r="B4818" s="1">
        <v>45586</v>
      </c>
      <c r="C4818" t="s">
        <v>2589</v>
      </c>
      <c r="D4818" t="s">
        <v>56</v>
      </c>
      <c r="E4818" t="s">
        <v>20</v>
      </c>
      <c r="F4818" t="s">
        <v>43</v>
      </c>
      <c r="G4818">
        <v>5</v>
      </c>
      <c r="H4818">
        <v>7530.94</v>
      </c>
      <c r="I4818">
        <v>1817.79</v>
      </c>
      <c r="J4818" t="s">
        <v>28</v>
      </c>
      <c r="K4818" t="s">
        <v>33</v>
      </c>
      <c r="L4818">
        <f t="shared" si="225"/>
        <v>2024</v>
      </c>
      <c r="M4818" t="str">
        <f t="shared" si="226"/>
        <v>Oct</v>
      </c>
      <c r="N4818" s="2">
        <f t="shared" si="227"/>
        <v>0.24137624254077181</v>
      </c>
    </row>
    <row r="4819" spans="1:14" x14ac:dyDescent="0.45">
      <c r="A4819" t="s">
        <v>8602</v>
      </c>
      <c r="B4819" s="1">
        <v>44772</v>
      </c>
      <c r="C4819" t="s">
        <v>138</v>
      </c>
      <c r="D4819" t="s">
        <v>56</v>
      </c>
      <c r="E4819" t="s">
        <v>14</v>
      </c>
      <c r="F4819" t="s">
        <v>57</v>
      </c>
      <c r="G4819">
        <v>2</v>
      </c>
      <c r="H4819">
        <v>25954.15</v>
      </c>
      <c r="I4819">
        <v>2563.89</v>
      </c>
      <c r="J4819" t="s">
        <v>16</v>
      </c>
      <c r="K4819" t="s">
        <v>23</v>
      </c>
      <c r="L4819">
        <f t="shared" si="225"/>
        <v>2022</v>
      </c>
      <c r="M4819" t="str">
        <f t="shared" si="226"/>
        <v>Jul</v>
      </c>
      <c r="N4819" s="2">
        <f t="shared" si="227"/>
        <v>9.8785358025595127E-2</v>
      </c>
    </row>
    <row r="4820" spans="1:14" x14ac:dyDescent="0.45">
      <c r="A4820" t="s">
        <v>8603</v>
      </c>
      <c r="B4820" s="1">
        <v>45200</v>
      </c>
      <c r="C4820" t="s">
        <v>8604</v>
      </c>
      <c r="D4820" t="s">
        <v>56</v>
      </c>
      <c r="E4820" t="s">
        <v>20</v>
      </c>
      <c r="F4820" t="s">
        <v>27</v>
      </c>
      <c r="G4820">
        <v>2</v>
      </c>
      <c r="H4820">
        <v>11048.99</v>
      </c>
      <c r="I4820">
        <v>614.35</v>
      </c>
      <c r="J4820" t="s">
        <v>16</v>
      </c>
      <c r="K4820" t="s">
        <v>23</v>
      </c>
      <c r="L4820">
        <f t="shared" si="225"/>
        <v>2023</v>
      </c>
      <c r="M4820" t="str">
        <f t="shared" si="226"/>
        <v>Oct</v>
      </c>
      <c r="N4820" s="2">
        <f t="shared" si="227"/>
        <v>5.5602367275198912E-2</v>
      </c>
    </row>
    <row r="4821" spans="1:14" x14ac:dyDescent="0.45">
      <c r="A4821" t="s">
        <v>8605</v>
      </c>
      <c r="B4821" s="1">
        <v>45453</v>
      </c>
      <c r="C4821" t="s">
        <v>3495</v>
      </c>
      <c r="D4821" t="s">
        <v>56</v>
      </c>
      <c r="E4821" t="s">
        <v>36</v>
      </c>
      <c r="F4821" t="s">
        <v>46</v>
      </c>
      <c r="G4821">
        <v>5</v>
      </c>
      <c r="H4821">
        <v>11812.04</v>
      </c>
      <c r="I4821">
        <v>627.63</v>
      </c>
      <c r="J4821" t="s">
        <v>28</v>
      </c>
      <c r="K4821" t="s">
        <v>17</v>
      </c>
      <c r="L4821">
        <f t="shared" si="225"/>
        <v>2024</v>
      </c>
      <c r="M4821" t="str">
        <f t="shared" si="226"/>
        <v>Jun</v>
      </c>
      <c r="N4821" s="2">
        <f t="shared" si="227"/>
        <v>5.3134767576134175E-2</v>
      </c>
    </row>
    <row r="4822" spans="1:14" x14ac:dyDescent="0.45">
      <c r="A4822" t="s">
        <v>8606</v>
      </c>
      <c r="B4822" s="1">
        <v>45139</v>
      </c>
      <c r="C4822" t="s">
        <v>8607</v>
      </c>
      <c r="D4822" t="s">
        <v>56</v>
      </c>
      <c r="E4822" t="s">
        <v>36</v>
      </c>
      <c r="F4822" t="s">
        <v>37</v>
      </c>
      <c r="G4822">
        <v>5</v>
      </c>
      <c r="H4822">
        <v>5549.68</v>
      </c>
      <c r="I4822">
        <v>482.02</v>
      </c>
      <c r="J4822" t="s">
        <v>22</v>
      </c>
      <c r="K4822" t="s">
        <v>33</v>
      </c>
      <c r="L4822">
        <f t="shared" si="225"/>
        <v>2023</v>
      </c>
      <c r="M4822" t="str">
        <f t="shared" si="226"/>
        <v>Aug</v>
      </c>
      <c r="N4822" s="2">
        <f t="shared" si="227"/>
        <v>8.6855458332732685E-2</v>
      </c>
    </row>
    <row r="4823" spans="1:14" x14ac:dyDescent="0.45">
      <c r="A4823" t="s">
        <v>8608</v>
      </c>
      <c r="B4823" s="1">
        <v>44960</v>
      </c>
      <c r="C4823" t="s">
        <v>8609</v>
      </c>
      <c r="D4823" t="s">
        <v>13</v>
      </c>
      <c r="E4823" t="s">
        <v>20</v>
      </c>
      <c r="F4823" t="s">
        <v>27</v>
      </c>
      <c r="G4823">
        <v>2</v>
      </c>
      <c r="H4823">
        <v>9716.7999999999993</v>
      </c>
      <c r="I4823">
        <v>902.47</v>
      </c>
      <c r="J4823" t="s">
        <v>47</v>
      </c>
      <c r="K4823" t="s">
        <v>33</v>
      </c>
      <c r="L4823">
        <f t="shared" si="225"/>
        <v>2023</v>
      </c>
      <c r="M4823" t="str">
        <f t="shared" si="226"/>
        <v>Feb</v>
      </c>
      <c r="N4823" s="2">
        <f t="shared" si="227"/>
        <v>9.2877284702782822E-2</v>
      </c>
    </row>
    <row r="4824" spans="1:14" x14ac:dyDescent="0.45">
      <c r="A4824" t="s">
        <v>8610</v>
      </c>
      <c r="B4824" s="1">
        <v>45428</v>
      </c>
      <c r="C4824" t="s">
        <v>99</v>
      </c>
      <c r="D4824" t="s">
        <v>56</v>
      </c>
      <c r="E4824" t="s">
        <v>14</v>
      </c>
      <c r="F4824" t="s">
        <v>40</v>
      </c>
      <c r="G4824">
        <v>3</v>
      </c>
      <c r="H4824">
        <v>14875.82</v>
      </c>
      <c r="I4824">
        <v>1388.74</v>
      </c>
      <c r="J4824" t="s">
        <v>28</v>
      </c>
      <c r="K4824" t="s">
        <v>29</v>
      </c>
      <c r="L4824">
        <f t="shared" si="225"/>
        <v>2024</v>
      </c>
      <c r="M4824" t="str">
        <f t="shared" si="226"/>
        <v>May</v>
      </c>
      <c r="N4824" s="2">
        <f t="shared" si="227"/>
        <v>9.3355525947477189E-2</v>
      </c>
    </row>
    <row r="4825" spans="1:14" x14ac:dyDescent="0.45">
      <c r="A4825" t="s">
        <v>8611</v>
      </c>
      <c r="B4825" s="1">
        <v>45448</v>
      </c>
      <c r="C4825" t="s">
        <v>8612</v>
      </c>
      <c r="D4825" t="s">
        <v>26</v>
      </c>
      <c r="E4825" t="s">
        <v>20</v>
      </c>
      <c r="F4825" t="s">
        <v>27</v>
      </c>
      <c r="G4825">
        <v>2</v>
      </c>
      <c r="H4825">
        <v>19403.849999999999</v>
      </c>
      <c r="I4825">
        <v>1096.51</v>
      </c>
      <c r="J4825" t="s">
        <v>16</v>
      </c>
      <c r="K4825" t="s">
        <v>33</v>
      </c>
      <c r="L4825">
        <f t="shared" si="225"/>
        <v>2024</v>
      </c>
      <c r="M4825" t="str">
        <f t="shared" si="226"/>
        <v>Jun</v>
      </c>
      <c r="N4825" s="2">
        <f t="shared" si="227"/>
        <v>5.6509919423207253E-2</v>
      </c>
    </row>
    <row r="4826" spans="1:14" x14ac:dyDescent="0.45">
      <c r="A4826" t="s">
        <v>8613</v>
      </c>
      <c r="B4826" s="1">
        <v>45384</v>
      </c>
      <c r="C4826" t="s">
        <v>7311</v>
      </c>
      <c r="D4826" t="s">
        <v>13</v>
      </c>
      <c r="E4826" t="s">
        <v>14</v>
      </c>
      <c r="F4826" t="s">
        <v>15</v>
      </c>
      <c r="G4826">
        <v>2</v>
      </c>
      <c r="H4826">
        <v>46928.15</v>
      </c>
      <c r="I4826">
        <v>8777.6200000000008</v>
      </c>
      <c r="J4826" t="s">
        <v>22</v>
      </c>
      <c r="K4826" t="s">
        <v>29</v>
      </c>
      <c r="L4826">
        <f t="shared" si="225"/>
        <v>2024</v>
      </c>
      <c r="M4826" t="str">
        <f t="shared" si="226"/>
        <v>Apr</v>
      </c>
      <c r="N4826" s="2">
        <f t="shared" si="227"/>
        <v>0.18704381059129757</v>
      </c>
    </row>
    <row r="4827" spans="1:14" x14ac:dyDescent="0.45">
      <c r="A4827" t="s">
        <v>8614</v>
      </c>
      <c r="B4827" s="1">
        <v>45448</v>
      </c>
      <c r="C4827" t="s">
        <v>8615</v>
      </c>
      <c r="D4827" t="s">
        <v>56</v>
      </c>
      <c r="E4827" t="s">
        <v>20</v>
      </c>
      <c r="F4827" t="s">
        <v>27</v>
      </c>
      <c r="G4827">
        <v>4</v>
      </c>
      <c r="H4827">
        <v>44451.79</v>
      </c>
      <c r="I4827">
        <v>8296.49</v>
      </c>
      <c r="J4827" t="s">
        <v>71</v>
      </c>
      <c r="K4827" t="s">
        <v>17</v>
      </c>
      <c r="L4827">
        <f t="shared" si="225"/>
        <v>2024</v>
      </c>
      <c r="M4827" t="str">
        <f t="shared" si="226"/>
        <v>Jun</v>
      </c>
      <c r="N4827" s="2">
        <f t="shared" si="227"/>
        <v>0.18664017804457367</v>
      </c>
    </row>
    <row r="4828" spans="1:14" x14ac:dyDescent="0.45">
      <c r="A4828" t="s">
        <v>8616</v>
      </c>
      <c r="B4828" s="1">
        <v>45481</v>
      </c>
      <c r="C4828" t="s">
        <v>8617</v>
      </c>
      <c r="D4828" t="s">
        <v>13</v>
      </c>
      <c r="E4828" t="s">
        <v>14</v>
      </c>
      <c r="F4828" t="s">
        <v>15</v>
      </c>
      <c r="G4828">
        <v>3</v>
      </c>
      <c r="H4828">
        <v>16620.84</v>
      </c>
      <c r="I4828">
        <v>2025.53</v>
      </c>
      <c r="J4828" t="s">
        <v>71</v>
      </c>
      <c r="K4828" t="s">
        <v>23</v>
      </c>
      <c r="L4828">
        <f t="shared" si="225"/>
        <v>2024</v>
      </c>
      <c r="M4828" t="str">
        <f t="shared" si="226"/>
        <v>Jul</v>
      </c>
      <c r="N4828" s="2">
        <f t="shared" si="227"/>
        <v>0.12186688518751158</v>
      </c>
    </row>
    <row r="4829" spans="1:14" x14ac:dyDescent="0.45">
      <c r="A4829" t="s">
        <v>8618</v>
      </c>
      <c r="B4829" s="1">
        <v>45567</v>
      </c>
      <c r="C4829" t="s">
        <v>8619</v>
      </c>
      <c r="D4829" t="s">
        <v>13</v>
      </c>
      <c r="E4829" t="s">
        <v>36</v>
      </c>
      <c r="F4829" t="s">
        <v>53</v>
      </c>
      <c r="G4829">
        <v>3</v>
      </c>
      <c r="H4829">
        <v>36736.65</v>
      </c>
      <c r="I4829">
        <v>7670.62</v>
      </c>
      <c r="J4829" t="s">
        <v>16</v>
      </c>
      <c r="K4829" t="s">
        <v>23</v>
      </c>
      <c r="L4829">
        <f t="shared" si="225"/>
        <v>2024</v>
      </c>
      <c r="M4829" t="str">
        <f t="shared" si="226"/>
        <v>Oct</v>
      </c>
      <c r="N4829" s="2">
        <f t="shared" si="227"/>
        <v>0.20880020361137991</v>
      </c>
    </row>
    <row r="4830" spans="1:14" x14ac:dyDescent="0.45">
      <c r="A4830" t="s">
        <v>8620</v>
      </c>
      <c r="B4830" s="1">
        <v>44822</v>
      </c>
      <c r="C4830" t="s">
        <v>8621</v>
      </c>
      <c r="D4830" t="s">
        <v>13</v>
      </c>
      <c r="E4830" t="s">
        <v>14</v>
      </c>
      <c r="F4830" t="s">
        <v>32</v>
      </c>
      <c r="G4830">
        <v>3</v>
      </c>
      <c r="H4830">
        <v>9735.33</v>
      </c>
      <c r="I4830">
        <v>2394.59</v>
      </c>
      <c r="J4830" t="s">
        <v>16</v>
      </c>
      <c r="K4830" t="s">
        <v>23</v>
      </c>
      <c r="L4830">
        <f t="shared" si="225"/>
        <v>2022</v>
      </c>
      <c r="M4830" t="str">
        <f t="shared" si="226"/>
        <v>Sep</v>
      </c>
      <c r="N4830" s="2">
        <f t="shared" si="227"/>
        <v>0.24596906319559791</v>
      </c>
    </row>
    <row r="4831" spans="1:14" x14ac:dyDescent="0.45">
      <c r="A4831" t="s">
        <v>8622</v>
      </c>
      <c r="B4831" s="1">
        <v>45522</v>
      </c>
      <c r="C4831" t="s">
        <v>8623</v>
      </c>
      <c r="D4831" t="s">
        <v>56</v>
      </c>
      <c r="E4831" t="s">
        <v>20</v>
      </c>
      <c r="F4831" t="s">
        <v>27</v>
      </c>
      <c r="G4831">
        <v>5</v>
      </c>
      <c r="H4831">
        <v>26389.13</v>
      </c>
      <c r="I4831">
        <v>3415.37</v>
      </c>
      <c r="J4831" t="s">
        <v>71</v>
      </c>
      <c r="K4831" t="s">
        <v>29</v>
      </c>
      <c r="L4831">
        <f t="shared" si="225"/>
        <v>2024</v>
      </c>
      <c r="M4831" t="str">
        <f t="shared" si="226"/>
        <v>Aug</v>
      </c>
      <c r="N4831" s="2">
        <f t="shared" si="227"/>
        <v>0.12942336484757169</v>
      </c>
    </row>
    <row r="4832" spans="1:14" x14ac:dyDescent="0.45">
      <c r="A4832" t="s">
        <v>8624</v>
      </c>
      <c r="B4832" s="1">
        <v>45068</v>
      </c>
      <c r="C4832" t="s">
        <v>5447</v>
      </c>
      <c r="D4832" t="s">
        <v>13</v>
      </c>
      <c r="E4832" t="s">
        <v>14</v>
      </c>
      <c r="F4832" t="s">
        <v>15</v>
      </c>
      <c r="G4832">
        <v>5</v>
      </c>
      <c r="H4832">
        <v>45973.43</v>
      </c>
      <c r="I4832">
        <v>10490.08</v>
      </c>
      <c r="J4832" t="s">
        <v>16</v>
      </c>
      <c r="K4832" t="s">
        <v>17</v>
      </c>
      <c r="L4832">
        <f t="shared" si="225"/>
        <v>2023</v>
      </c>
      <c r="M4832" t="str">
        <f t="shared" si="226"/>
        <v>May</v>
      </c>
      <c r="N4832" s="2">
        <f t="shared" si="227"/>
        <v>0.22817701441898069</v>
      </c>
    </row>
    <row r="4833" spans="1:14" x14ac:dyDescent="0.45">
      <c r="A4833" t="s">
        <v>8625</v>
      </c>
      <c r="B4833" s="1">
        <v>44899</v>
      </c>
      <c r="C4833" t="s">
        <v>8626</v>
      </c>
      <c r="D4833" t="s">
        <v>26</v>
      </c>
      <c r="E4833" t="s">
        <v>20</v>
      </c>
      <c r="F4833" t="s">
        <v>21</v>
      </c>
      <c r="G4833">
        <v>1</v>
      </c>
      <c r="H4833">
        <v>33617.35</v>
      </c>
      <c r="I4833">
        <v>5792.05</v>
      </c>
      <c r="J4833" t="s">
        <v>22</v>
      </c>
      <c r="K4833" t="s">
        <v>29</v>
      </c>
      <c r="L4833">
        <f t="shared" si="225"/>
        <v>2022</v>
      </c>
      <c r="M4833" t="str">
        <f t="shared" si="226"/>
        <v>Dec</v>
      </c>
      <c r="N4833" s="2">
        <f t="shared" si="227"/>
        <v>0.17229347345938928</v>
      </c>
    </row>
    <row r="4834" spans="1:14" x14ac:dyDescent="0.45">
      <c r="A4834" t="s">
        <v>8627</v>
      </c>
      <c r="B4834" s="1">
        <v>44933</v>
      </c>
      <c r="C4834" t="s">
        <v>2270</v>
      </c>
      <c r="D4834" t="s">
        <v>13</v>
      </c>
      <c r="E4834" t="s">
        <v>14</v>
      </c>
      <c r="F4834" t="s">
        <v>40</v>
      </c>
      <c r="G4834">
        <v>5</v>
      </c>
      <c r="H4834">
        <v>1396.77</v>
      </c>
      <c r="I4834">
        <v>344.65</v>
      </c>
      <c r="J4834" t="s">
        <v>71</v>
      </c>
      <c r="K4834" t="s">
        <v>29</v>
      </c>
      <c r="L4834">
        <f t="shared" si="225"/>
        <v>2023</v>
      </c>
      <c r="M4834" t="str">
        <f t="shared" si="226"/>
        <v>Jan</v>
      </c>
      <c r="N4834" s="2">
        <f t="shared" si="227"/>
        <v>0.24674785397739069</v>
      </c>
    </row>
    <row r="4835" spans="1:14" x14ac:dyDescent="0.45">
      <c r="A4835" t="s">
        <v>8628</v>
      </c>
      <c r="B4835" s="1">
        <v>45046</v>
      </c>
      <c r="C4835" t="s">
        <v>8629</v>
      </c>
      <c r="D4835" t="s">
        <v>26</v>
      </c>
      <c r="E4835" t="s">
        <v>20</v>
      </c>
      <c r="F4835" t="s">
        <v>43</v>
      </c>
      <c r="G4835">
        <v>4</v>
      </c>
      <c r="H4835">
        <v>39267.25</v>
      </c>
      <c r="I4835">
        <v>6268.22</v>
      </c>
      <c r="J4835" t="s">
        <v>47</v>
      </c>
      <c r="K4835" t="s">
        <v>29</v>
      </c>
      <c r="L4835">
        <f t="shared" si="225"/>
        <v>2023</v>
      </c>
      <c r="M4835" t="str">
        <f t="shared" si="226"/>
        <v>Apr</v>
      </c>
      <c r="N4835" s="2">
        <f t="shared" si="227"/>
        <v>0.15962971687602265</v>
      </c>
    </row>
    <row r="4836" spans="1:14" x14ac:dyDescent="0.45">
      <c r="A4836" t="s">
        <v>8630</v>
      </c>
      <c r="B4836" s="1">
        <v>44602</v>
      </c>
      <c r="C4836" t="s">
        <v>8631</v>
      </c>
      <c r="D4836" t="s">
        <v>26</v>
      </c>
      <c r="E4836" t="s">
        <v>20</v>
      </c>
      <c r="F4836" t="s">
        <v>50</v>
      </c>
      <c r="G4836">
        <v>3</v>
      </c>
      <c r="H4836">
        <v>9250.7800000000007</v>
      </c>
      <c r="I4836">
        <v>2003.96</v>
      </c>
      <c r="J4836" t="s">
        <v>47</v>
      </c>
      <c r="K4836" t="s">
        <v>17</v>
      </c>
      <c r="L4836">
        <f t="shared" si="225"/>
        <v>2022</v>
      </c>
      <c r="M4836" t="str">
        <f t="shared" si="226"/>
        <v>Feb</v>
      </c>
      <c r="N4836" s="2">
        <f t="shared" si="227"/>
        <v>0.21662605747839642</v>
      </c>
    </row>
    <row r="4837" spans="1:14" x14ac:dyDescent="0.45">
      <c r="A4837" t="s">
        <v>8632</v>
      </c>
      <c r="B4837" s="1">
        <v>45293</v>
      </c>
      <c r="C4837" t="s">
        <v>4116</v>
      </c>
      <c r="D4837" t="s">
        <v>56</v>
      </c>
      <c r="E4837" t="s">
        <v>14</v>
      </c>
      <c r="F4837" t="s">
        <v>40</v>
      </c>
      <c r="G4837">
        <v>1</v>
      </c>
      <c r="H4837">
        <v>33952.980000000003</v>
      </c>
      <c r="I4837">
        <v>6246.54</v>
      </c>
      <c r="J4837" t="s">
        <v>47</v>
      </c>
      <c r="K4837" t="s">
        <v>33</v>
      </c>
      <c r="L4837">
        <f t="shared" si="225"/>
        <v>2024</v>
      </c>
      <c r="M4837" t="str">
        <f t="shared" si="226"/>
        <v>Jan</v>
      </c>
      <c r="N4837" s="2">
        <f t="shared" si="227"/>
        <v>0.18397619295861511</v>
      </c>
    </row>
    <row r="4838" spans="1:14" x14ac:dyDescent="0.45">
      <c r="A4838" t="s">
        <v>8633</v>
      </c>
      <c r="B4838" s="1">
        <v>45142</v>
      </c>
      <c r="C4838" t="s">
        <v>8634</v>
      </c>
      <c r="D4838" t="s">
        <v>56</v>
      </c>
      <c r="E4838" t="s">
        <v>36</v>
      </c>
      <c r="F4838" t="s">
        <v>46</v>
      </c>
      <c r="G4838">
        <v>2</v>
      </c>
      <c r="H4838">
        <v>18817.45</v>
      </c>
      <c r="I4838">
        <v>3616.74</v>
      </c>
      <c r="J4838" t="s">
        <v>22</v>
      </c>
      <c r="K4838" t="s">
        <v>29</v>
      </c>
      <c r="L4838">
        <f t="shared" si="225"/>
        <v>2023</v>
      </c>
      <c r="M4838" t="str">
        <f t="shared" si="226"/>
        <v>Aug</v>
      </c>
      <c r="N4838" s="2">
        <f t="shared" si="227"/>
        <v>0.19220138754188265</v>
      </c>
    </row>
    <row r="4839" spans="1:14" x14ac:dyDescent="0.45">
      <c r="A4839" t="s">
        <v>8635</v>
      </c>
      <c r="B4839" s="1">
        <v>45163</v>
      </c>
      <c r="C4839" t="s">
        <v>8636</v>
      </c>
      <c r="D4839" t="s">
        <v>26</v>
      </c>
      <c r="E4839" t="s">
        <v>36</v>
      </c>
      <c r="F4839" t="s">
        <v>37</v>
      </c>
      <c r="G4839">
        <v>1</v>
      </c>
      <c r="H4839">
        <v>4019.16</v>
      </c>
      <c r="I4839">
        <v>666.81</v>
      </c>
      <c r="J4839" t="s">
        <v>47</v>
      </c>
      <c r="K4839" t="s">
        <v>23</v>
      </c>
      <c r="L4839">
        <f t="shared" si="225"/>
        <v>2023</v>
      </c>
      <c r="M4839" t="str">
        <f t="shared" si="226"/>
        <v>Aug</v>
      </c>
      <c r="N4839" s="2">
        <f t="shared" si="227"/>
        <v>0.16590780163019136</v>
      </c>
    </row>
    <row r="4840" spans="1:14" x14ac:dyDescent="0.45">
      <c r="A4840" t="s">
        <v>8637</v>
      </c>
      <c r="B4840" s="1">
        <v>45163</v>
      </c>
      <c r="C4840" t="s">
        <v>8638</v>
      </c>
      <c r="D4840" t="s">
        <v>56</v>
      </c>
      <c r="E4840" t="s">
        <v>14</v>
      </c>
      <c r="F4840" t="s">
        <v>57</v>
      </c>
      <c r="G4840">
        <v>5</v>
      </c>
      <c r="H4840">
        <v>8926.09</v>
      </c>
      <c r="I4840">
        <v>1414.12</v>
      </c>
      <c r="J4840" t="s">
        <v>71</v>
      </c>
      <c r="K4840" t="s">
        <v>33</v>
      </c>
      <c r="L4840">
        <f t="shared" si="225"/>
        <v>2023</v>
      </c>
      <c r="M4840" t="str">
        <f t="shared" si="226"/>
        <v>Aug</v>
      </c>
      <c r="N4840" s="2">
        <f t="shared" si="227"/>
        <v>0.15842546960651302</v>
      </c>
    </row>
    <row r="4841" spans="1:14" x14ac:dyDescent="0.45">
      <c r="A4841" t="s">
        <v>8639</v>
      </c>
      <c r="B4841" s="1">
        <v>45037</v>
      </c>
      <c r="C4841" t="s">
        <v>8640</v>
      </c>
      <c r="D4841" t="s">
        <v>26</v>
      </c>
      <c r="E4841" t="s">
        <v>14</v>
      </c>
      <c r="F4841" t="s">
        <v>15</v>
      </c>
      <c r="G4841">
        <v>3</v>
      </c>
      <c r="H4841">
        <v>27136.98</v>
      </c>
      <c r="I4841">
        <v>1842.69</v>
      </c>
      <c r="J4841" t="s">
        <v>16</v>
      </c>
      <c r="K4841" t="s">
        <v>29</v>
      </c>
      <c r="L4841">
        <f t="shared" si="225"/>
        <v>2023</v>
      </c>
      <c r="M4841" t="str">
        <f t="shared" si="226"/>
        <v>Apr</v>
      </c>
      <c r="N4841" s="2">
        <f t="shared" si="227"/>
        <v>6.7903281794805467E-2</v>
      </c>
    </row>
    <row r="4842" spans="1:14" x14ac:dyDescent="0.45">
      <c r="A4842" t="s">
        <v>8641</v>
      </c>
      <c r="B4842" s="1">
        <v>45208</v>
      </c>
      <c r="C4842" t="s">
        <v>4064</v>
      </c>
      <c r="D4842" t="s">
        <v>26</v>
      </c>
      <c r="E4842" t="s">
        <v>20</v>
      </c>
      <c r="F4842" t="s">
        <v>43</v>
      </c>
      <c r="G4842">
        <v>4</v>
      </c>
      <c r="H4842">
        <v>5301.32</v>
      </c>
      <c r="I4842">
        <v>482.93</v>
      </c>
      <c r="J4842" t="s">
        <v>16</v>
      </c>
      <c r="K4842" t="s">
        <v>17</v>
      </c>
      <c r="L4842">
        <f t="shared" si="225"/>
        <v>2023</v>
      </c>
      <c r="M4842" t="str">
        <f t="shared" si="226"/>
        <v>Oct</v>
      </c>
      <c r="N4842" s="2">
        <f t="shared" si="227"/>
        <v>9.1096179819365755E-2</v>
      </c>
    </row>
    <row r="4843" spans="1:14" x14ac:dyDescent="0.45">
      <c r="A4843" t="s">
        <v>8642</v>
      </c>
      <c r="B4843" s="1">
        <v>44990</v>
      </c>
      <c r="C4843" t="s">
        <v>8643</v>
      </c>
      <c r="D4843" t="s">
        <v>13</v>
      </c>
      <c r="E4843" t="s">
        <v>14</v>
      </c>
      <c r="F4843" t="s">
        <v>15</v>
      </c>
      <c r="G4843">
        <v>2</v>
      </c>
      <c r="H4843">
        <v>25292.07</v>
      </c>
      <c r="I4843">
        <v>1281.99</v>
      </c>
      <c r="J4843" t="s">
        <v>47</v>
      </c>
      <c r="K4843" t="s">
        <v>23</v>
      </c>
      <c r="L4843">
        <f t="shared" si="225"/>
        <v>2023</v>
      </c>
      <c r="M4843" t="str">
        <f t="shared" si="226"/>
        <v>Mar</v>
      </c>
      <c r="N4843" s="2">
        <f t="shared" si="227"/>
        <v>5.0687428905581866E-2</v>
      </c>
    </row>
    <row r="4844" spans="1:14" x14ac:dyDescent="0.45">
      <c r="A4844" t="s">
        <v>8644</v>
      </c>
      <c r="B4844" s="1">
        <v>44861</v>
      </c>
      <c r="C4844" t="s">
        <v>8645</v>
      </c>
      <c r="D4844" t="s">
        <v>56</v>
      </c>
      <c r="E4844" t="s">
        <v>36</v>
      </c>
      <c r="F4844" t="s">
        <v>64</v>
      </c>
      <c r="G4844">
        <v>1</v>
      </c>
      <c r="H4844">
        <v>26886.080000000002</v>
      </c>
      <c r="I4844">
        <v>3963.18</v>
      </c>
      <c r="J4844" t="s">
        <v>71</v>
      </c>
      <c r="K4844" t="s">
        <v>17</v>
      </c>
      <c r="L4844">
        <f t="shared" si="225"/>
        <v>2022</v>
      </c>
      <c r="M4844" t="str">
        <f t="shared" si="226"/>
        <v>Oct</v>
      </c>
      <c r="N4844" s="2">
        <f t="shared" si="227"/>
        <v>0.14740639022125945</v>
      </c>
    </row>
    <row r="4845" spans="1:14" x14ac:dyDescent="0.45">
      <c r="A4845" t="s">
        <v>8646</v>
      </c>
      <c r="B4845" s="1">
        <v>45577</v>
      </c>
      <c r="C4845" t="s">
        <v>8647</v>
      </c>
      <c r="D4845" t="s">
        <v>13</v>
      </c>
      <c r="E4845" t="s">
        <v>14</v>
      </c>
      <c r="F4845" t="s">
        <v>15</v>
      </c>
      <c r="G4845">
        <v>3</v>
      </c>
      <c r="H4845">
        <v>1124.3699999999999</v>
      </c>
      <c r="I4845">
        <v>143.84</v>
      </c>
      <c r="J4845" t="s">
        <v>47</v>
      </c>
      <c r="K4845" t="s">
        <v>33</v>
      </c>
      <c r="L4845">
        <f t="shared" si="225"/>
        <v>2024</v>
      </c>
      <c r="M4845" t="str">
        <f t="shared" si="226"/>
        <v>Oct</v>
      </c>
      <c r="N4845" s="2">
        <f t="shared" si="227"/>
        <v>0.12792941825199891</v>
      </c>
    </row>
    <row r="4846" spans="1:14" x14ac:dyDescent="0.45">
      <c r="A4846" t="s">
        <v>8648</v>
      </c>
      <c r="B4846" s="1">
        <v>45333</v>
      </c>
      <c r="C4846" t="s">
        <v>2410</v>
      </c>
      <c r="D4846" t="s">
        <v>13</v>
      </c>
      <c r="E4846" t="s">
        <v>36</v>
      </c>
      <c r="F4846" t="s">
        <v>37</v>
      </c>
      <c r="G4846">
        <v>1</v>
      </c>
      <c r="H4846">
        <v>9200.4</v>
      </c>
      <c r="I4846">
        <v>1465.66</v>
      </c>
      <c r="J4846" t="s">
        <v>22</v>
      </c>
      <c r="K4846" t="s">
        <v>23</v>
      </c>
      <c r="L4846">
        <f t="shared" si="225"/>
        <v>2024</v>
      </c>
      <c r="M4846" t="str">
        <f t="shared" si="226"/>
        <v>Feb</v>
      </c>
      <c r="N4846" s="2">
        <f t="shared" si="227"/>
        <v>0.15930394330681277</v>
      </c>
    </row>
    <row r="4847" spans="1:14" x14ac:dyDescent="0.45">
      <c r="A4847" t="s">
        <v>8649</v>
      </c>
      <c r="B4847" s="1">
        <v>45034</v>
      </c>
      <c r="C4847" t="s">
        <v>200</v>
      </c>
      <c r="D4847" t="s">
        <v>26</v>
      </c>
      <c r="E4847" t="s">
        <v>36</v>
      </c>
      <c r="F4847" t="s">
        <v>53</v>
      </c>
      <c r="G4847">
        <v>2</v>
      </c>
      <c r="H4847">
        <v>4824.28</v>
      </c>
      <c r="I4847">
        <v>766.24</v>
      </c>
      <c r="J4847" t="s">
        <v>28</v>
      </c>
      <c r="K4847" t="s">
        <v>33</v>
      </c>
      <c r="L4847">
        <f t="shared" si="225"/>
        <v>2023</v>
      </c>
      <c r="M4847" t="str">
        <f t="shared" si="226"/>
        <v>Apr</v>
      </c>
      <c r="N4847" s="2">
        <f t="shared" si="227"/>
        <v>0.15882991866143759</v>
      </c>
    </row>
    <row r="4848" spans="1:14" x14ac:dyDescent="0.45">
      <c r="A4848" t="s">
        <v>8650</v>
      </c>
      <c r="B4848" s="1">
        <v>45237</v>
      </c>
      <c r="C4848" t="s">
        <v>8651</v>
      </c>
      <c r="D4848" t="s">
        <v>26</v>
      </c>
      <c r="E4848" t="s">
        <v>36</v>
      </c>
      <c r="F4848" t="s">
        <v>64</v>
      </c>
      <c r="G4848">
        <v>5</v>
      </c>
      <c r="H4848">
        <v>5309.99</v>
      </c>
      <c r="I4848">
        <v>1115.6600000000001</v>
      </c>
      <c r="J4848" t="s">
        <v>28</v>
      </c>
      <c r="K4848" t="s">
        <v>17</v>
      </c>
      <c r="L4848">
        <f t="shared" si="225"/>
        <v>2023</v>
      </c>
      <c r="M4848" t="str">
        <f t="shared" si="226"/>
        <v>Nov</v>
      </c>
      <c r="N4848" s="2">
        <f t="shared" si="227"/>
        <v>0.21010585707317719</v>
      </c>
    </row>
    <row r="4849" spans="1:14" x14ac:dyDescent="0.45">
      <c r="A4849" t="s">
        <v>8652</v>
      </c>
      <c r="B4849" s="1">
        <v>45496</v>
      </c>
      <c r="C4849" t="s">
        <v>8653</v>
      </c>
      <c r="D4849" t="s">
        <v>26</v>
      </c>
      <c r="E4849" t="s">
        <v>20</v>
      </c>
      <c r="F4849" t="s">
        <v>27</v>
      </c>
      <c r="G4849">
        <v>2</v>
      </c>
      <c r="H4849">
        <v>7328.36</v>
      </c>
      <c r="I4849">
        <v>1814.51</v>
      </c>
      <c r="J4849" t="s">
        <v>16</v>
      </c>
      <c r="K4849" t="s">
        <v>23</v>
      </c>
      <c r="L4849">
        <f t="shared" si="225"/>
        <v>2024</v>
      </c>
      <c r="M4849" t="str">
        <f t="shared" si="226"/>
        <v>Jul</v>
      </c>
      <c r="N4849" s="2">
        <f t="shared" si="227"/>
        <v>0.24760110038262315</v>
      </c>
    </row>
    <row r="4850" spans="1:14" x14ac:dyDescent="0.45">
      <c r="A4850" t="s">
        <v>8654</v>
      </c>
      <c r="B4850" s="1">
        <v>44578</v>
      </c>
      <c r="C4850" t="s">
        <v>8655</v>
      </c>
      <c r="D4850" t="s">
        <v>56</v>
      </c>
      <c r="E4850" t="s">
        <v>14</v>
      </c>
      <c r="F4850" t="s">
        <v>57</v>
      </c>
      <c r="G4850">
        <v>2</v>
      </c>
      <c r="H4850">
        <v>4852.88</v>
      </c>
      <c r="I4850">
        <v>890.41</v>
      </c>
      <c r="J4850" t="s">
        <v>71</v>
      </c>
      <c r="K4850" t="s">
        <v>23</v>
      </c>
      <c r="L4850">
        <f t="shared" si="225"/>
        <v>2022</v>
      </c>
      <c r="M4850" t="str">
        <f t="shared" si="226"/>
        <v>Jan</v>
      </c>
      <c r="N4850" s="2">
        <f t="shared" si="227"/>
        <v>0.18348073721171757</v>
      </c>
    </row>
    <row r="4851" spans="1:14" x14ac:dyDescent="0.45">
      <c r="A4851" t="s">
        <v>8656</v>
      </c>
      <c r="B4851" s="1">
        <v>45375</v>
      </c>
      <c r="C4851" t="s">
        <v>8657</v>
      </c>
      <c r="D4851" t="s">
        <v>26</v>
      </c>
      <c r="E4851" t="s">
        <v>20</v>
      </c>
      <c r="F4851" t="s">
        <v>21</v>
      </c>
      <c r="G4851">
        <v>2</v>
      </c>
      <c r="H4851">
        <v>32226.6</v>
      </c>
      <c r="I4851">
        <v>4438.93</v>
      </c>
      <c r="J4851" t="s">
        <v>47</v>
      </c>
      <c r="K4851" t="s">
        <v>17</v>
      </c>
      <c r="L4851">
        <f t="shared" si="225"/>
        <v>2024</v>
      </c>
      <c r="M4851" t="str">
        <f t="shared" si="226"/>
        <v>Mar</v>
      </c>
      <c r="N4851" s="2">
        <f t="shared" si="227"/>
        <v>0.13774118274965402</v>
      </c>
    </row>
    <row r="4852" spans="1:14" x14ac:dyDescent="0.45">
      <c r="A4852" t="s">
        <v>8658</v>
      </c>
      <c r="B4852" s="1">
        <v>45268</v>
      </c>
      <c r="C4852" t="s">
        <v>8659</v>
      </c>
      <c r="D4852" t="s">
        <v>56</v>
      </c>
      <c r="E4852" t="s">
        <v>14</v>
      </c>
      <c r="F4852" t="s">
        <v>15</v>
      </c>
      <c r="G4852">
        <v>5</v>
      </c>
      <c r="H4852">
        <v>30218.55</v>
      </c>
      <c r="I4852">
        <v>3007.5</v>
      </c>
      <c r="J4852" t="s">
        <v>47</v>
      </c>
      <c r="K4852" t="s">
        <v>29</v>
      </c>
      <c r="L4852">
        <f t="shared" si="225"/>
        <v>2023</v>
      </c>
      <c r="M4852" t="str">
        <f t="shared" si="226"/>
        <v>Dec</v>
      </c>
      <c r="N4852" s="2">
        <f t="shared" si="227"/>
        <v>9.9524960661580383E-2</v>
      </c>
    </row>
    <row r="4853" spans="1:14" x14ac:dyDescent="0.45">
      <c r="A4853" t="s">
        <v>8660</v>
      </c>
      <c r="B4853" s="1">
        <v>45181</v>
      </c>
      <c r="C4853" t="s">
        <v>8661</v>
      </c>
      <c r="D4853" t="s">
        <v>26</v>
      </c>
      <c r="E4853" t="s">
        <v>14</v>
      </c>
      <c r="F4853" t="s">
        <v>15</v>
      </c>
      <c r="G4853">
        <v>1</v>
      </c>
      <c r="H4853">
        <v>29179.47</v>
      </c>
      <c r="I4853">
        <v>6213.57</v>
      </c>
      <c r="J4853" t="s">
        <v>22</v>
      </c>
      <c r="K4853" t="s">
        <v>29</v>
      </c>
      <c r="L4853">
        <f t="shared" si="225"/>
        <v>2023</v>
      </c>
      <c r="M4853" t="str">
        <f t="shared" si="226"/>
        <v>Sep</v>
      </c>
      <c r="N4853" s="2">
        <f t="shared" si="227"/>
        <v>0.21294320972930625</v>
      </c>
    </row>
    <row r="4854" spans="1:14" x14ac:dyDescent="0.45">
      <c r="A4854" t="s">
        <v>8662</v>
      </c>
      <c r="B4854" s="1">
        <v>45103</v>
      </c>
      <c r="C4854" t="s">
        <v>8663</v>
      </c>
      <c r="D4854" t="s">
        <v>26</v>
      </c>
      <c r="E4854" t="s">
        <v>36</v>
      </c>
      <c r="F4854" t="s">
        <v>46</v>
      </c>
      <c r="G4854">
        <v>2</v>
      </c>
      <c r="H4854">
        <v>48214.25</v>
      </c>
      <c r="I4854">
        <v>3627.73</v>
      </c>
      <c r="J4854" t="s">
        <v>71</v>
      </c>
      <c r="K4854" t="s">
        <v>23</v>
      </c>
      <c r="L4854">
        <f t="shared" si="225"/>
        <v>2023</v>
      </c>
      <c r="M4854" t="str">
        <f t="shared" si="226"/>
        <v>Jun</v>
      </c>
      <c r="N4854" s="2">
        <f t="shared" si="227"/>
        <v>7.5241863142120849E-2</v>
      </c>
    </row>
    <row r="4855" spans="1:14" x14ac:dyDescent="0.45">
      <c r="A4855" t="s">
        <v>8664</v>
      </c>
      <c r="B4855" s="1">
        <v>45049</v>
      </c>
      <c r="C4855" t="s">
        <v>8665</v>
      </c>
      <c r="D4855" t="s">
        <v>26</v>
      </c>
      <c r="E4855" t="s">
        <v>14</v>
      </c>
      <c r="F4855" t="s">
        <v>15</v>
      </c>
      <c r="G4855">
        <v>1</v>
      </c>
      <c r="H4855">
        <v>35212.57</v>
      </c>
      <c r="I4855">
        <v>2339.4899999999998</v>
      </c>
      <c r="J4855" t="s">
        <v>16</v>
      </c>
      <c r="K4855" t="s">
        <v>29</v>
      </c>
      <c r="L4855">
        <f t="shared" si="225"/>
        <v>2023</v>
      </c>
      <c r="M4855" t="str">
        <f t="shared" si="226"/>
        <v>May</v>
      </c>
      <c r="N4855" s="2">
        <f t="shared" si="227"/>
        <v>6.6439058552102276E-2</v>
      </c>
    </row>
    <row r="4856" spans="1:14" x14ac:dyDescent="0.45">
      <c r="A4856" t="s">
        <v>8666</v>
      </c>
      <c r="B4856" s="1">
        <v>45577</v>
      </c>
      <c r="C4856" t="s">
        <v>4203</v>
      </c>
      <c r="D4856" t="s">
        <v>26</v>
      </c>
      <c r="E4856" t="s">
        <v>36</v>
      </c>
      <c r="F4856" t="s">
        <v>37</v>
      </c>
      <c r="G4856">
        <v>2</v>
      </c>
      <c r="H4856">
        <v>24642.22</v>
      </c>
      <c r="I4856">
        <v>1875.94</v>
      </c>
      <c r="J4856" t="s">
        <v>28</v>
      </c>
      <c r="K4856" t="s">
        <v>29</v>
      </c>
      <c r="L4856">
        <f t="shared" si="225"/>
        <v>2024</v>
      </c>
      <c r="M4856" t="str">
        <f t="shared" si="226"/>
        <v>Oct</v>
      </c>
      <c r="N4856" s="2">
        <f t="shared" si="227"/>
        <v>7.6127069720179436E-2</v>
      </c>
    </row>
    <row r="4857" spans="1:14" x14ac:dyDescent="0.45">
      <c r="A4857" t="s">
        <v>8667</v>
      </c>
      <c r="B4857" s="1">
        <v>45132</v>
      </c>
      <c r="C4857" t="s">
        <v>8668</v>
      </c>
      <c r="D4857" t="s">
        <v>26</v>
      </c>
      <c r="E4857" t="s">
        <v>14</v>
      </c>
      <c r="F4857" t="s">
        <v>40</v>
      </c>
      <c r="G4857">
        <v>4</v>
      </c>
      <c r="H4857">
        <v>19131.32</v>
      </c>
      <c r="I4857">
        <v>4568.57</v>
      </c>
      <c r="J4857" t="s">
        <v>71</v>
      </c>
      <c r="K4857" t="s">
        <v>17</v>
      </c>
      <c r="L4857">
        <f t="shared" si="225"/>
        <v>2023</v>
      </c>
      <c r="M4857" t="str">
        <f t="shared" si="226"/>
        <v>Jul</v>
      </c>
      <c r="N4857" s="2">
        <f t="shared" si="227"/>
        <v>0.23880056368300775</v>
      </c>
    </row>
    <row r="4858" spans="1:14" x14ac:dyDescent="0.45">
      <c r="A4858" t="s">
        <v>8669</v>
      </c>
      <c r="B4858" s="1">
        <v>44788</v>
      </c>
      <c r="C4858" t="s">
        <v>8670</v>
      </c>
      <c r="D4858" t="s">
        <v>13</v>
      </c>
      <c r="E4858" t="s">
        <v>36</v>
      </c>
      <c r="F4858" t="s">
        <v>46</v>
      </c>
      <c r="G4858">
        <v>2</v>
      </c>
      <c r="H4858">
        <v>13357.73</v>
      </c>
      <c r="I4858">
        <v>1325.19</v>
      </c>
      <c r="J4858" t="s">
        <v>47</v>
      </c>
      <c r="K4858" t="s">
        <v>33</v>
      </c>
      <c r="L4858">
        <f t="shared" si="225"/>
        <v>2022</v>
      </c>
      <c r="M4858" t="str">
        <f t="shared" si="226"/>
        <v>Aug</v>
      </c>
      <c r="N4858" s="2">
        <f t="shared" si="227"/>
        <v>9.9207724665792779E-2</v>
      </c>
    </row>
    <row r="4859" spans="1:14" x14ac:dyDescent="0.45">
      <c r="A4859" t="s">
        <v>8671</v>
      </c>
      <c r="B4859" s="1">
        <v>45554</v>
      </c>
      <c r="C4859" t="s">
        <v>8672</v>
      </c>
      <c r="D4859" t="s">
        <v>26</v>
      </c>
      <c r="E4859" t="s">
        <v>20</v>
      </c>
      <c r="F4859" t="s">
        <v>21</v>
      </c>
      <c r="G4859">
        <v>5</v>
      </c>
      <c r="H4859">
        <v>32654.05</v>
      </c>
      <c r="I4859">
        <v>2384.0700000000002</v>
      </c>
      <c r="J4859" t="s">
        <v>22</v>
      </c>
      <c r="K4859" t="s">
        <v>33</v>
      </c>
      <c r="L4859">
        <f t="shared" si="225"/>
        <v>2024</v>
      </c>
      <c r="M4859" t="str">
        <f t="shared" si="226"/>
        <v>Sep</v>
      </c>
      <c r="N4859" s="2">
        <f t="shared" si="227"/>
        <v>7.3009932917968839E-2</v>
      </c>
    </row>
    <row r="4860" spans="1:14" x14ac:dyDescent="0.45">
      <c r="A4860" t="s">
        <v>8673</v>
      </c>
      <c r="B4860" s="1">
        <v>45389</v>
      </c>
      <c r="C4860" t="s">
        <v>4173</v>
      </c>
      <c r="D4860" t="s">
        <v>56</v>
      </c>
      <c r="E4860" t="s">
        <v>36</v>
      </c>
      <c r="F4860" t="s">
        <v>46</v>
      </c>
      <c r="G4860">
        <v>2</v>
      </c>
      <c r="H4860">
        <v>39258.67</v>
      </c>
      <c r="I4860">
        <v>7986.23</v>
      </c>
      <c r="J4860" t="s">
        <v>47</v>
      </c>
      <c r="K4860" t="s">
        <v>29</v>
      </c>
      <c r="L4860">
        <f t="shared" si="225"/>
        <v>2024</v>
      </c>
      <c r="M4860" t="str">
        <f t="shared" si="226"/>
        <v>Apr</v>
      </c>
      <c r="N4860" s="2">
        <f t="shared" si="227"/>
        <v>0.20342589293014765</v>
      </c>
    </row>
    <row r="4861" spans="1:14" x14ac:dyDescent="0.45">
      <c r="A4861" t="s">
        <v>8674</v>
      </c>
      <c r="B4861" s="1">
        <v>44959</v>
      </c>
      <c r="C4861" t="s">
        <v>6557</v>
      </c>
      <c r="D4861" t="s">
        <v>13</v>
      </c>
      <c r="E4861" t="s">
        <v>20</v>
      </c>
      <c r="F4861" t="s">
        <v>27</v>
      </c>
      <c r="G4861">
        <v>1</v>
      </c>
      <c r="H4861">
        <v>4843.72</v>
      </c>
      <c r="I4861">
        <v>824.96</v>
      </c>
      <c r="J4861" t="s">
        <v>16</v>
      </c>
      <c r="K4861" t="s">
        <v>29</v>
      </c>
      <c r="L4861">
        <f t="shared" si="225"/>
        <v>2023</v>
      </c>
      <c r="M4861" t="str">
        <f t="shared" si="226"/>
        <v>Feb</v>
      </c>
      <c r="N4861" s="2">
        <f t="shared" si="227"/>
        <v>0.1703153774371764</v>
      </c>
    </row>
    <row r="4862" spans="1:14" x14ac:dyDescent="0.45">
      <c r="A4862" t="s">
        <v>8675</v>
      </c>
      <c r="B4862" s="1">
        <v>45080</v>
      </c>
      <c r="C4862" t="s">
        <v>184</v>
      </c>
      <c r="D4862" t="s">
        <v>13</v>
      </c>
      <c r="E4862" t="s">
        <v>36</v>
      </c>
      <c r="F4862" t="s">
        <v>37</v>
      </c>
      <c r="G4862">
        <v>5</v>
      </c>
      <c r="H4862">
        <v>35881.33</v>
      </c>
      <c r="I4862">
        <v>4214.6400000000003</v>
      </c>
      <c r="J4862" t="s">
        <v>22</v>
      </c>
      <c r="K4862" t="s">
        <v>29</v>
      </c>
      <c r="L4862">
        <f t="shared" si="225"/>
        <v>2023</v>
      </c>
      <c r="M4862" t="str">
        <f t="shared" si="226"/>
        <v>Jun</v>
      </c>
      <c r="N4862" s="2">
        <f t="shared" si="227"/>
        <v>0.11746052891573418</v>
      </c>
    </row>
    <row r="4863" spans="1:14" x14ac:dyDescent="0.45">
      <c r="A4863" t="s">
        <v>8676</v>
      </c>
      <c r="B4863" s="1">
        <v>44641</v>
      </c>
      <c r="C4863" t="s">
        <v>730</v>
      </c>
      <c r="D4863" t="s">
        <v>56</v>
      </c>
      <c r="E4863" t="s">
        <v>20</v>
      </c>
      <c r="F4863" t="s">
        <v>43</v>
      </c>
      <c r="G4863">
        <v>3</v>
      </c>
      <c r="H4863">
        <v>4408.82</v>
      </c>
      <c r="I4863">
        <v>501.89</v>
      </c>
      <c r="J4863" t="s">
        <v>22</v>
      </c>
      <c r="K4863" t="s">
        <v>23</v>
      </c>
      <c r="L4863">
        <f t="shared" si="225"/>
        <v>2022</v>
      </c>
      <c r="M4863" t="str">
        <f t="shared" si="226"/>
        <v>Mar</v>
      </c>
      <c r="N4863" s="2">
        <f t="shared" si="227"/>
        <v>0.11383771621431585</v>
      </c>
    </row>
    <row r="4864" spans="1:14" x14ac:dyDescent="0.45">
      <c r="A4864" t="s">
        <v>8677</v>
      </c>
      <c r="B4864" s="1">
        <v>45446</v>
      </c>
      <c r="C4864" t="s">
        <v>8678</v>
      </c>
      <c r="D4864" t="s">
        <v>13</v>
      </c>
      <c r="E4864" t="s">
        <v>36</v>
      </c>
      <c r="F4864" t="s">
        <v>53</v>
      </c>
      <c r="G4864">
        <v>4</v>
      </c>
      <c r="H4864">
        <v>36754.81</v>
      </c>
      <c r="I4864">
        <v>8085.67</v>
      </c>
      <c r="J4864" t="s">
        <v>28</v>
      </c>
      <c r="K4864" t="s">
        <v>29</v>
      </c>
      <c r="L4864">
        <f t="shared" si="225"/>
        <v>2024</v>
      </c>
      <c r="M4864" t="str">
        <f t="shared" si="226"/>
        <v>Jun</v>
      </c>
      <c r="N4864" s="2">
        <f t="shared" si="227"/>
        <v>0.21998943811707911</v>
      </c>
    </row>
    <row r="4865" spans="1:14" x14ac:dyDescent="0.45">
      <c r="A4865" t="s">
        <v>8679</v>
      </c>
      <c r="B4865" s="1">
        <v>44996</v>
      </c>
      <c r="C4865" t="s">
        <v>8680</v>
      </c>
      <c r="D4865" t="s">
        <v>13</v>
      </c>
      <c r="E4865" t="s">
        <v>20</v>
      </c>
      <c r="F4865" t="s">
        <v>21</v>
      </c>
      <c r="G4865">
        <v>2</v>
      </c>
      <c r="H4865">
        <v>33198.89</v>
      </c>
      <c r="I4865">
        <v>4961.83</v>
      </c>
      <c r="J4865" t="s">
        <v>22</v>
      </c>
      <c r="K4865" t="s">
        <v>29</v>
      </c>
      <c r="L4865">
        <f t="shared" si="225"/>
        <v>2023</v>
      </c>
      <c r="M4865" t="str">
        <f t="shared" si="226"/>
        <v>Mar</v>
      </c>
      <c r="N4865" s="2">
        <f t="shared" si="227"/>
        <v>0.14945770777275988</v>
      </c>
    </row>
    <row r="4866" spans="1:14" x14ac:dyDescent="0.45">
      <c r="A4866" t="s">
        <v>8681</v>
      </c>
      <c r="B4866" s="1">
        <v>45536</v>
      </c>
      <c r="C4866" t="s">
        <v>4274</v>
      </c>
      <c r="D4866" t="s">
        <v>56</v>
      </c>
      <c r="E4866" t="s">
        <v>14</v>
      </c>
      <c r="F4866" t="s">
        <v>32</v>
      </c>
      <c r="G4866">
        <v>1</v>
      </c>
      <c r="H4866">
        <v>35641.629999999997</v>
      </c>
      <c r="I4866">
        <v>6233.85</v>
      </c>
      <c r="J4866" t="s">
        <v>22</v>
      </c>
      <c r="K4866" t="s">
        <v>29</v>
      </c>
      <c r="L4866">
        <f t="shared" si="225"/>
        <v>2024</v>
      </c>
      <c r="M4866" t="str">
        <f t="shared" si="226"/>
        <v>Sep</v>
      </c>
      <c r="N4866" s="2">
        <f t="shared" si="227"/>
        <v>0.17490361692212172</v>
      </c>
    </row>
    <row r="4867" spans="1:14" x14ac:dyDescent="0.45">
      <c r="A4867" t="s">
        <v>8682</v>
      </c>
      <c r="B4867" s="1">
        <v>45488</v>
      </c>
      <c r="C4867" t="s">
        <v>8683</v>
      </c>
      <c r="D4867" t="s">
        <v>26</v>
      </c>
      <c r="E4867" t="s">
        <v>14</v>
      </c>
      <c r="F4867" t="s">
        <v>40</v>
      </c>
      <c r="G4867">
        <v>1</v>
      </c>
      <c r="H4867">
        <v>1641.22</v>
      </c>
      <c r="I4867">
        <v>162.16999999999999</v>
      </c>
      <c r="J4867" t="s">
        <v>47</v>
      </c>
      <c r="K4867" t="s">
        <v>33</v>
      </c>
      <c r="L4867">
        <f t="shared" ref="L4867:L4930" si="228">YEAR(B4867 )</f>
        <v>2024</v>
      </c>
      <c r="M4867" t="str">
        <f t="shared" ref="M4867:M4930" si="229">TEXT(B4867,"MMM")</f>
        <v>Jul</v>
      </c>
      <c r="N4867" s="2">
        <f t="shared" ref="N4867:N4930" si="230">I4867 / H4867</f>
        <v>9.8810640864722576E-2</v>
      </c>
    </row>
    <row r="4868" spans="1:14" x14ac:dyDescent="0.45">
      <c r="A4868" t="s">
        <v>8684</v>
      </c>
      <c r="B4868" s="1">
        <v>44752</v>
      </c>
      <c r="C4868" t="s">
        <v>8685</v>
      </c>
      <c r="D4868" t="s">
        <v>13</v>
      </c>
      <c r="E4868" t="s">
        <v>36</v>
      </c>
      <c r="F4868" t="s">
        <v>46</v>
      </c>
      <c r="G4868">
        <v>5</v>
      </c>
      <c r="H4868">
        <v>38092.86</v>
      </c>
      <c r="I4868">
        <v>7894.5</v>
      </c>
      <c r="J4868" t="s">
        <v>22</v>
      </c>
      <c r="K4868" t="s">
        <v>33</v>
      </c>
      <c r="L4868">
        <f t="shared" si="228"/>
        <v>2022</v>
      </c>
      <c r="M4868" t="str">
        <f t="shared" si="229"/>
        <v>Jul</v>
      </c>
      <c r="N4868" s="2">
        <f t="shared" si="230"/>
        <v>0.20724356217936904</v>
      </c>
    </row>
    <row r="4869" spans="1:14" x14ac:dyDescent="0.45">
      <c r="A4869" t="s">
        <v>8686</v>
      </c>
      <c r="B4869" s="1">
        <v>45630</v>
      </c>
      <c r="C4869" t="s">
        <v>8687</v>
      </c>
      <c r="D4869" t="s">
        <v>56</v>
      </c>
      <c r="E4869" t="s">
        <v>20</v>
      </c>
      <c r="F4869" t="s">
        <v>43</v>
      </c>
      <c r="G4869">
        <v>3</v>
      </c>
      <c r="H4869">
        <v>34234.980000000003</v>
      </c>
      <c r="I4869">
        <v>3783.5</v>
      </c>
      <c r="J4869" t="s">
        <v>22</v>
      </c>
      <c r="K4869" t="s">
        <v>23</v>
      </c>
      <c r="L4869">
        <f t="shared" si="228"/>
        <v>2024</v>
      </c>
      <c r="M4869" t="str">
        <f t="shared" si="229"/>
        <v>Dec</v>
      </c>
      <c r="N4869" s="2">
        <f t="shared" si="230"/>
        <v>0.11051561882028263</v>
      </c>
    </row>
    <row r="4870" spans="1:14" x14ac:dyDescent="0.45">
      <c r="A4870" t="s">
        <v>8688</v>
      </c>
      <c r="B4870" s="1">
        <v>45607</v>
      </c>
      <c r="C4870" t="s">
        <v>2242</v>
      </c>
      <c r="D4870" t="s">
        <v>26</v>
      </c>
      <c r="E4870" t="s">
        <v>20</v>
      </c>
      <c r="F4870" t="s">
        <v>43</v>
      </c>
      <c r="G4870">
        <v>3</v>
      </c>
      <c r="H4870">
        <v>32722</v>
      </c>
      <c r="I4870">
        <v>7372.5</v>
      </c>
      <c r="J4870" t="s">
        <v>71</v>
      </c>
      <c r="K4870" t="s">
        <v>23</v>
      </c>
      <c r="L4870">
        <f t="shared" si="228"/>
        <v>2024</v>
      </c>
      <c r="M4870" t="str">
        <f t="shared" si="229"/>
        <v>Nov</v>
      </c>
      <c r="N4870" s="2">
        <f t="shared" si="230"/>
        <v>0.22530713281584255</v>
      </c>
    </row>
    <row r="4871" spans="1:14" x14ac:dyDescent="0.45">
      <c r="A4871" t="s">
        <v>8689</v>
      </c>
      <c r="B4871" s="1">
        <v>44948</v>
      </c>
      <c r="C4871" t="s">
        <v>8690</v>
      </c>
      <c r="D4871" t="s">
        <v>13</v>
      </c>
      <c r="E4871" t="s">
        <v>14</v>
      </c>
      <c r="F4871" t="s">
        <v>57</v>
      </c>
      <c r="G4871">
        <v>5</v>
      </c>
      <c r="H4871">
        <v>32410.63</v>
      </c>
      <c r="I4871">
        <v>3940.77</v>
      </c>
      <c r="J4871" t="s">
        <v>16</v>
      </c>
      <c r="K4871" t="s">
        <v>29</v>
      </c>
      <c r="L4871">
        <f t="shared" si="228"/>
        <v>2023</v>
      </c>
      <c r="M4871" t="str">
        <f t="shared" si="229"/>
        <v>Jan</v>
      </c>
      <c r="N4871" s="2">
        <f t="shared" si="230"/>
        <v>0.12158881206567104</v>
      </c>
    </row>
    <row r="4872" spans="1:14" x14ac:dyDescent="0.45">
      <c r="A4872" t="s">
        <v>8691</v>
      </c>
      <c r="B4872" s="1">
        <v>45414</v>
      </c>
      <c r="C4872" t="s">
        <v>8692</v>
      </c>
      <c r="D4872" t="s">
        <v>13</v>
      </c>
      <c r="E4872" t="s">
        <v>20</v>
      </c>
      <c r="F4872" t="s">
        <v>50</v>
      </c>
      <c r="G4872">
        <v>5</v>
      </c>
      <c r="H4872">
        <v>12612.83</v>
      </c>
      <c r="I4872">
        <v>2927.62</v>
      </c>
      <c r="J4872" t="s">
        <v>22</v>
      </c>
      <c r="K4872" t="s">
        <v>17</v>
      </c>
      <c r="L4872">
        <f t="shared" si="228"/>
        <v>2024</v>
      </c>
      <c r="M4872" t="str">
        <f t="shared" si="229"/>
        <v>May</v>
      </c>
      <c r="N4872" s="2">
        <f t="shared" si="230"/>
        <v>0.23211444219893551</v>
      </c>
    </row>
    <row r="4873" spans="1:14" x14ac:dyDescent="0.45">
      <c r="A4873" t="s">
        <v>8693</v>
      </c>
      <c r="B4873" s="1">
        <v>45171</v>
      </c>
      <c r="C4873" t="s">
        <v>3784</v>
      </c>
      <c r="D4873" t="s">
        <v>56</v>
      </c>
      <c r="E4873" t="s">
        <v>14</v>
      </c>
      <c r="F4873" t="s">
        <v>32</v>
      </c>
      <c r="G4873">
        <v>4</v>
      </c>
      <c r="H4873">
        <v>30188.240000000002</v>
      </c>
      <c r="I4873">
        <v>4518.04</v>
      </c>
      <c r="J4873" t="s">
        <v>47</v>
      </c>
      <c r="K4873" t="s">
        <v>29</v>
      </c>
      <c r="L4873">
        <f t="shared" si="228"/>
        <v>2023</v>
      </c>
      <c r="M4873" t="str">
        <f t="shared" si="229"/>
        <v>Sep</v>
      </c>
      <c r="N4873" s="2">
        <f t="shared" si="230"/>
        <v>0.14966225258577512</v>
      </c>
    </row>
    <row r="4874" spans="1:14" x14ac:dyDescent="0.45">
      <c r="A4874" t="s">
        <v>8694</v>
      </c>
      <c r="B4874" s="1">
        <v>45055</v>
      </c>
      <c r="C4874" t="s">
        <v>2165</v>
      </c>
      <c r="D4874" t="s">
        <v>56</v>
      </c>
      <c r="E4874" t="s">
        <v>14</v>
      </c>
      <c r="F4874" t="s">
        <v>57</v>
      </c>
      <c r="G4874">
        <v>2</v>
      </c>
      <c r="H4874">
        <v>34150.550000000003</v>
      </c>
      <c r="I4874">
        <v>3247.55</v>
      </c>
      <c r="J4874" t="s">
        <v>71</v>
      </c>
      <c r="K4874" t="s">
        <v>17</v>
      </c>
      <c r="L4874">
        <f t="shared" si="228"/>
        <v>2023</v>
      </c>
      <c r="M4874" t="str">
        <f t="shared" si="229"/>
        <v>May</v>
      </c>
      <c r="N4874" s="2">
        <f t="shared" si="230"/>
        <v>9.5095100957378428E-2</v>
      </c>
    </row>
    <row r="4875" spans="1:14" x14ac:dyDescent="0.45">
      <c r="A4875" t="s">
        <v>8695</v>
      </c>
      <c r="B4875" s="1">
        <v>44691</v>
      </c>
      <c r="C4875" t="s">
        <v>8696</v>
      </c>
      <c r="D4875" t="s">
        <v>26</v>
      </c>
      <c r="E4875" t="s">
        <v>36</v>
      </c>
      <c r="F4875" t="s">
        <v>37</v>
      </c>
      <c r="G4875">
        <v>5</v>
      </c>
      <c r="H4875">
        <v>43081.39</v>
      </c>
      <c r="I4875">
        <v>4355.03</v>
      </c>
      <c r="J4875" t="s">
        <v>47</v>
      </c>
      <c r="K4875" t="s">
        <v>33</v>
      </c>
      <c r="L4875">
        <f t="shared" si="228"/>
        <v>2022</v>
      </c>
      <c r="M4875" t="str">
        <f t="shared" si="229"/>
        <v>May</v>
      </c>
      <c r="N4875" s="2">
        <f t="shared" si="230"/>
        <v>0.10108842820531092</v>
      </c>
    </row>
    <row r="4876" spans="1:14" x14ac:dyDescent="0.45">
      <c r="A4876" t="s">
        <v>8697</v>
      </c>
      <c r="B4876" s="1">
        <v>45019</v>
      </c>
      <c r="C4876" t="s">
        <v>8698</v>
      </c>
      <c r="D4876" t="s">
        <v>56</v>
      </c>
      <c r="E4876" t="s">
        <v>20</v>
      </c>
      <c r="F4876" t="s">
        <v>21</v>
      </c>
      <c r="G4876">
        <v>3</v>
      </c>
      <c r="H4876">
        <v>16094.61</v>
      </c>
      <c r="I4876">
        <v>1064.02</v>
      </c>
      <c r="J4876" t="s">
        <v>28</v>
      </c>
      <c r="K4876" t="s">
        <v>23</v>
      </c>
      <c r="L4876">
        <f t="shared" si="228"/>
        <v>2023</v>
      </c>
      <c r="M4876" t="str">
        <f t="shared" si="229"/>
        <v>Apr</v>
      </c>
      <c r="N4876" s="2">
        <f t="shared" si="230"/>
        <v>6.6110331346954043E-2</v>
      </c>
    </row>
    <row r="4877" spans="1:14" x14ac:dyDescent="0.45">
      <c r="A4877" t="s">
        <v>8699</v>
      </c>
      <c r="B4877" s="1">
        <v>45037</v>
      </c>
      <c r="C4877" t="s">
        <v>1204</v>
      </c>
      <c r="D4877" t="s">
        <v>56</v>
      </c>
      <c r="E4877" t="s">
        <v>20</v>
      </c>
      <c r="F4877" t="s">
        <v>21</v>
      </c>
      <c r="G4877">
        <v>4</v>
      </c>
      <c r="H4877">
        <v>44273.47</v>
      </c>
      <c r="I4877">
        <v>4813.97</v>
      </c>
      <c r="J4877" t="s">
        <v>47</v>
      </c>
      <c r="K4877" t="s">
        <v>33</v>
      </c>
      <c r="L4877">
        <f t="shared" si="228"/>
        <v>2023</v>
      </c>
      <c r="M4877" t="str">
        <f t="shared" si="229"/>
        <v>Apr</v>
      </c>
      <c r="N4877" s="2">
        <f t="shared" si="230"/>
        <v>0.10873261120034187</v>
      </c>
    </row>
    <row r="4878" spans="1:14" x14ac:dyDescent="0.45">
      <c r="A4878" t="s">
        <v>8700</v>
      </c>
      <c r="B4878" s="1">
        <v>45652</v>
      </c>
      <c r="C4878" t="s">
        <v>8701</v>
      </c>
      <c r="D4878" t="s">
        <v>13</v>
      </c>
      <c r="E4878" t="s">
        <v>14</v>
      </c>
      <c r="F4878" t="s">
        <v>32</v>
      </c>
      <c r="G4878">
        <v>2</v>
      </c>
      <c r="H4878">
        <v>32717.81</v>
      </c>
      <c r="I4878">
        <v>1973.75</v>
      </c>
      <c r="J4878" t="s">
        <v>16</v>
      </c>
      <c r="K4878" t="s">
        <v>17</v>
      </c>
      <c r="L4878">
        <f t="shared" si="228"/>
        <v>2024</v>
      </c>
      <c r="M4878" t="str">
        <f t="shared" si="229"/>
        <v>Dec</v>
      </c>
      <c r="N4878" s="2">
        <f t="shared" si="230"/>
        <v>6.0326470506430592E-2</v>
      </c>
    </row>
    <row r="4879" spans="1:14" x14ac:dyDescent="0.45">
      <c r="A4879" t="s">
        <v>8702</v>
      </c>
      <c r="B4879" s="1">
        <v>45352</v>
      </c>
      <c r="C4879" t="s">
        <v>8703</v>
      </c>
      <c r="D4879" t="s">
        <v>13</v>
      </c>
      <c r="E4879" t="s">
        <v>14</v>
      </c>
      <c r="F4879" t="s">
        <v>40</v>
      </c>
      <c r="G4879">
        <v>3</v>
      </c>
      <c r="H4879">
        <v>7317.81</v>
      </c>
      <c r="I4879">
        <v>945.88</v>
      </c>
      <c r="J4879" t="s">
        <v>28</v>
      </c>
      <c r="K4879" t="s">
        <v>17</v>
      </c>
      <c r="L4879">
        <f t="shared" si="228"/>
        <v>2024</v>
      </c>
      <c r="M4879" t="str">
        <f t="shared" si="229"/>
        <v>Mar</v>
      </c>
      <c r="N4879" s="2">
        <f t="shared" si="230"/>
        <v>0.12925725046154518</v>
      </c>
    </row>
    <row r="4880" spans="1:14" x14ac:dyDescent="0.45">
      <c r="A4880" t="s">
        <v>8704</v>
      </c>
      <c r="B4880" s="1">
        <v>45394</v>
      </c>
      <c r="C4880" t="s">
        <v>8705</v>
      </c>
      <c r="D4880" t="s">
        <v>26</v>
      </c>
      <c r="E4880" t="s">
        <v>14</v>
      </c>
      <c r="F4880" t="s">
        <v>57</v>
      </c>
      <c r="G4880">
        <v>4</v>
      </c>
      <c r="H4880">
        <v>4146.49</v>
      </c>
      <c r="I4880">
        <v>661.9</v>
      </c>
      <c r="J4880" t="s">
        <v>47</v>
      </c>
      <c r="K4880" t="s">
        <v>29</v>
      </c>
      <c r="L4880">
        <f t="shared" si="228"/>
        <v>2024</v>
      </c>
      <c r="M4880" t="str">
        <f t="shared" si="229"/>
        <v>Apr</v>
      </c>
      <c r="N4880" s="2">
        <f t="shared" si="230"/>
        <v>0.15962898740862755</v>
      </c>
    </row>
    <row r="4881" spans="1:14" x14ac:dyDescent="0.45">
      <c r="A4881" t="s">
        <v>8706</v>
      </c>
      <c r="B4881" s="1">
        <v>45359</v>
      </c>
      <c r="C4881" t="s">
        <v>8707</v>
      </c>
      <c r="D4881" t="s">
        <v>26</v>
      </c>
      <c r="E4881" t="s">
        <v>36</v>
      </c>
      <c r="F4881" t="s">
        <v>46</v>
      </c>
      <c r="G4881">
        <v>1</v>
      </c>
      <c r="H4881">
        <v>18416.580000000002</v>
      </c>
      <c r="I4881">
        <v>2053.5</v>
      </c>
      <c r="J4881" t="s">
        <v>16</v>
      </c>
      <c r="K4881" t="s">
        <v>23</v>
      </c>
      <c r="L4881">
        <f t="shared" si="228"/>
        <v>2024</v>
      </c>
      <c r="M4881" t="str">
        <f t="shared" si="229"/>
        <v>Mar</v>
      </c>
      <c r="N4881" s="2">
        <f t="shared" si="230"/>
        <v>0.11150278716243732</v>
      </c>
    </row>
    <row r="4882" spans="1:14" x14ac:dyDescent="0.45">
      <c r="A4882" t="s">
        <v>8708</v>
      </c>
      <c r="B4882" s="1">
        <v>44601</v>
      </c>
      <c r="C4882" t="s">
        <v>8709</v>
      </c>
      <c r="D4882" t="s">
        <v>13</v>
      </c>
      <c r="E4882" t="s">
        <v>14</v>
      </c>
      <c r="F4882" t="s">
        <v>15</v>
      </c>
      <c r="G4882">
        <v>3</v>
      </c>
      <c r="H4882">
        <v>32195.31</v>
      </c>
      <c r="I4882">
        <v>5401.78</v>
      </c>
      <c r="J4882" t="s">
        <v>16</v>
      </c>
      <c r="K4882" t="s">
        <v>29</v>
      </c>
      <c r="L4882">
        <f t="shared" si="228"/>
        <v>2022</v>
      </c>
      <c r="M4882" t="str">
        <f t="shared" si="229"/>
        <v>Feb</v>
      </c>
      <c r="N4882" s="2">
        <f t="shared" si="230"/>
        <v>0.16778158060910112</v>
      </c>
    </row>
    <row r="4883" spans="1:14" x14ac:dyDescent="0.45">
      <c r="A4883" t="s">
        <v>8710</v>
      </c>
      <c r="B4883" s="1">
        <v>45520</v>
      </c>
      <c r="C4883" t="s">
        <v>8711</v>
      </c>
      <c r="D4883" t="s">
        <v>56</v>
      </c>
      <c r="E4883" t="s">
        <v>36</v>
      </c>
      <c r="F4883" t="s">
        <v>53</v>
      </c>
      <c r="G4883">
        <v>2</v>
      </c>
      <c r="H4883">
        <v>33980.620000000003</v>
      </c>
      <c r="I4883">
        <v>7407.15</v>
      </c>
      <c r="J4883" t="s">
        <v>71</v>
      </c>
      <c r="K4883" t="s">
        <v>33</v>
      </c>
      <c r="L4883">
        <f t="shared" si="228"/>
        <v>2024</v>
      </c>
      <c r="M4883" t="str">
        <f t="shared" si="229"/>
        <v>Aug</v>
      </c>
      <c r="N4883" s="2">
        <f t="shared" si="230"/>
        <v>0.21798160245457554</v>
      </c>
    </row>
    <row r="4884" spans="1:14" x14ac:dyDescent="0.45">
      <c r="A4884" t="s">
        <v>8712</v>
      </c>
      <c r="B4884" s="1">
        <v>45513</v>
      </c>
      <c r="C4884" t="s">
        <v>8713</v>
      </c>
      <c r="D4884" t="s">
        <v>56</v>
      </c>
      <c r="E4884" t="s">
        <v>36</v>
      </c>
      <c r="F4884" t="s">
        <v>64</v>
      </c>
      <c r="G4884">
        <v>5</v>
      </c>
      <c r="H4884">
        <v>10402.91</v>
      </c>
      <c r="I4884">
        <v>583.79</v>
      </c>
      <c r="J4884" t="s">
        <v>47</v>
      </c>
      <c r="K4884" t="s">
        <v>23</v>
      </c>
      <c r="L4884">
        <f t="shared" si="228"/>
        <v>2024</v>
      </c>
      <c r="M4884" t="str">
        <f t="shared" si="229"/>
        <v>Aug</v>
      </c>
      <c r="N4884" s="2">
        <f t="shared" si="230"/>
        <v>5.6117951611616361E-2</v>
      </c>
    </row>
    <row r="4885" spans="1:14" x14ac:dyDescent="0.45">
      <c r="A4885" t="s">
        <v>8714</v>
      </c>
      <c r="B4885" s="1">
        <v>44691</v>
      </c>
      <c r="C4885" t="s">
        <v>4091</v>
      </c>
      <c r="D4885" t="s">
        <v>56</v>
      </c>
      <c r="E4885" t="s">
        <v>14</v>
      </c>
      <c r="F4885" t="s">
        <v>15</v>
      </c>
      <c r="G4885">
        <v>3</v>
      </c>
      <c r="H4885">
        <v>12483.61</v>
      </c>
      <c r="I4885">
        <v>692.78</v>
      </c>
      <c r="J4885" t="s">
        <v>28</v>
      </c>
      <c r="K4885" t="s">
        <v>17</v>
      </c>
      <c r="L4885">
        <f t="shared" si="228"/>
        <v>2022</v>
      </c>
      <c r="M4885" t="str">
        <f t="shared" si="229"/>
        <v>May</v>
      </c>
      <c r="N4885" s="2">
        <f t="shared" si="230"/>
        <v>5.5495165260689809E-2</v>
      </c>
    </row>
    <row r="4886" spans="1:14" x14ac:dyDescent="0.45">
      <c r="A4886" t="s">
        <v>8715</v>
      </c>
      <c r="B4886" s="1">
        <v>44772</v>
      </c>
      <c r="C4886" t="s">
        <v>8716</v>
      </c>
      <c r="D4886" t="s">
        <v>26</v>
      </c>
      <c r="E4886" t="s">
        <v>20</v>
      </c>
      <c r="F4886" t="s">
        <v>50</v>
      </c>
      <c r="G4886">
        <v>1</v>
      </c>
      <c r="H4886">
        <v>31680.97</v>
      </c>
      <c r="I4886">
        <v>7115.17</v>
      </c>
      <c r="J4886" t="s">
        <v>47</v>
      </c>
      <c r="K4886" t="s">
        <v>33</v>
      </c>
      <c r="L4886">
        <f t="shared" si="228"/>
        <v>2022</v>
      </c>
      <c r="M4886" t="str">
        <f t="shared" si="229"/>
        <v>Jul</v>
      </c>
      <c r="N4886" s="2">
        <f t="shared" si="230"/>
        <v>0.22458813603245101</v>
      </c>
    </row>
    <row r="4887" spans="1:14" x14ac:dyDescent="0.45">
      <c r="A4887" t="s">
        <v>8717</v>
      </c>
      <c r="B4887" s="1">
        <v>45618</v>
      </c>
      <c r="C4887" t="s">
        <v>8718</v>
      </c>
      <c r="D4887" t="s">
        <v>26</v>
      </c>
      <c r="E4887" t="s">
        <v>36</v>
      </c>
      <c r="F4887" t="s">
        <v>64</v>
      </c>
      <c r="G4887">
        <v>3</v>
      </c>
      <c r="H4887">
        <v>25333.279999999999</v>
      </c>
      <c r="I4887">
        <v>2656.71</v>
      </c>
      <c r="J4887" t="s">
        <v>47</v>
      </c>
      <c r="K4887" t="s">
        <v>33</v>
      </c>
      <c r="L4887">
        <f t="shared" si="228"/>
        <v>2024</v>
      </c>
      <c r="M4887" t="str">
        <f t="shared" si="229"/>
        <v>Nov</v>
      </c>
      <c r="N4887" s="2">
        <f t="shared" si="230"/>
        <v>0.10487035235863655</v>
      </c>
    </row>
    <row r="4888" spans="1:14" x14ac:dyDescent="0.45">
      <c r="A4888" t="s">
        <v>8719</v>
      </c>
      <c r="B4888" s="1">
        <v>44805</v>
      </c>
      <c r="C4888" t="s">
        <v>8720</v>
      </c>
      <c r="D4888" t="s">
        <v>56</v>
      </c>
      <c r="E4888" t="s">
        <v>20</v>
      </c>
      <c r="F4888" t="s">
        <v>43</v>
      </c>
      <c r="G4888">
        <v>5</v>
      </c>
      <c r="H4888">
        <v>11266.44</v>
      </c>
      <c r="I4888">
        <v>678.63</v>
      </c>
      <c r="J4888" t="s">
        <v>16</v>
      </c>
      <c r="K4888" t="s">
        <v>23</v>
      </c>
      <c r="L4888">
        <f t="shared" si="228"/>
        <v>2022</v>
      </c>
      <c r="M4888" t="str">
        <f t="shared" si="229"/>
        <v>Sep</v>
      </c>
      <c r="N4888" s="2">
        <f t="shared" si="230"/>
        <v>6.0234643773898408E-2</v>
      </c>
    </row>
    <row r="4889" spans="1:14" x14ac:dyDescent="0.45">
      <c r="A4889" t="s">
        <v>8721</v>
      </c>
      <c r="B4889" s="1">
        <v>44566</v>
      </c>
      <c r="C4889" t="s">
        <v>8722</v>
      </c>
      <c r="D4889" t="s">
        <v>26</v>
      </c>
      <c r="E4889" t="s">
        <v>36</v>
      </c>
      <c r="F4889" t="s">
        <v>64</v>
      </c>
      <c r="G4889">
        <v>4</v>
      </c>
      <c r="H4889">
        <v>36494.230000000003</v>
      </c>
      <c r="I4889">
        <v>5157.04</v>
      </c>
      <c r="J4889" t="s">
        <v>28</v>
      </c>
      <c r="K4889" t="s">
        <v>17</v>
      </c>
      <c r="L4889">
        <f t="shared" si="228"/>
        <v>2022</v>
      </c>
      <c r="M4889" t="str">
        <f t="shared" si="229"/>
        <v>Jan</v>
      </c>
      <c r="N4889" s="2">
        <f t="shared" si="230"/>
        <v>0.14131110589263013</v>
      </c>
    </row>
    <row r="4890" spans="1:14" x14ac:dyDescent="0.45">
      <c r="A4890" t="s">
        <v>8723</v>
      </c>
      <c r="B4890" s="1">
        <v>45645</v>
      </c>
      <c r="C4890" t="s">
        <v>704</v>
      </c>
      <c r="D4890" t="s">
        <v>56</v>
      </c>
      <c r="E4890" t="s">
        <v>20</v>
      </c>
      <c r="F4890" t="s">
        <v>43</v>
      </c>
      <c r="G4890">
        <v>5</v>
      </c>
      <c r="H4890">
        <v>36503.620000000003</v>
      </c>
      <c r="I4890">
        <v>1972.63</v>
      </c>
      <c r="J4890" t="s">
        <v>28</v>
      </c>
      <c r="K4890" t="s">
        <v>17</v>
      </c>
      <c r="L4890">
        <f t="shared" si="228"/>
        <v>2024</v>
      </c>
      <c r="M4890" t="str">
        <f t="shared" si="229"/>
        <v>Dec</v>
      </c>
      <c r="N4890" s="2">
        <f t="shared" si="230"/>
        <v>5.403929802030593E-2</v>
      </c>
    </row>
    <row r="4891" spans="1:14" x14ac:dyDescent="0.45">
      <c r="A4891" t="s">
        <v>8724</v>
      </c>
      <c r="B4891" s="1">
        <v>44934</v>
      </c>
      <c r="C4891" t="s">
        <v>8718</v>
      </c>
      <c r="D4891" t="s">
        <v>13</v>
      </c>
      <c r="E4891" t="s">
        <v>14</v>
      </c>
      <c r="F4891" t="s">
        <v>15</v>
      </c>
      <c r="G4891">
        <v>2</v>
      </c>
      <c r="H4891">
        <v>48621.58</v>
      </c>
      <c r="I4891">
        <v>3841.12</v>
      </c>
      <c r="J4891" t="s">
        <v>71</v>
      </c>
      <c r="K4891" t="s">
        <v>29</v>
      </c>
      <c r="L4891">
        <f t="shared" si="228"/>
        <v>2023</v>
      </c>
      <c r="M4891" t="str">
        <f t="shared" si="229"/>
        <v>Jan</v>
      </c>
      <c r="N4891" s="2">
        <f t="shared" si="230"/>
        <v>7.9000312207048798E-2</v>
      </c>
    </row>
    <row r="4892" spans="1:14" x14ac:dyDescent="0.45">
      <c r="A4892" t="s">
        <v>8725</v>
      </c>
      <c r="B4892" s="1">
        <v>45044</v>
      </c>
      <c r="C4892" t="s">
        <v>4591</v>
      </c>
      <c r="D4892" t="s">
        <v>13</v>
      </c>
      <c r="E4892" t="s">
        <v>36</v>
      </c>
      <c r="F4892" t="s">
        <v>53</v>
      </c>
      <c r="G4892">
        <v>1</v>
      </c>
      <c r="H4892">
        <v>32367.26</v>
      </c>
      <c r="I4892">
        <v>2261.4299999999998</v>
      </c>
      <c r="J4892" t="s">
        <v>71</v>
      </c>
      <c r="K4892" t="s">
        <v>29</v>
      </c>
      <c r="L4892">
        <f t="shared" si="228"/>
        <v>2023</v>
      </c>
      <c r="M4892" t="str">
        <f t="shared" si="229"/>
        <v>Apr</v>
      </c>
      <c r="N4892" s="2">
        <f t="shared" si="230"/>
        <v>6.986782322630955E-2</v>
      </c>
    </row>
    <row r="4893" spans="1:14" x14ac:dyDescent="0.45">
      <c r="A4893" t="s">
        <v>8726</v>
      </c>
      <c r="B4893" s="1">
        <v>44958</v>
      </c>
      <c r="C4893" t="s">
        <v>1635</v>
      </c>
      <c r="D4893" t="s">
        <v>13</v>
      </c>
      <c r="E4893" t="s">
        <v>20</v>
      </c>
      <c r="F4893" t="s">
        <v>50</v>
      </c>
      <c r="G4893">
        <v>2</v>
      </c>
      <c r="H4893">
        <v>3547.91</v>
      </c>
      <c r="I4893">
        <v>508.15</v>
      </c>
      <c r="J4893" t="s">
        <v>47</v>
      </c>
      <c r="K4893" t="s">
        <v>29</v>
      </c>
      <c r="L4893">
        <f t="shared" si="228"/>
        <v>2023</v>
      </c>
      <c r="M4893" t="str">
        <f t="shared" si="229"/>
        <v>Feb</v>
      </c>
      <c r="N4893" s="2">
        <f t="shared" si="230"/>
        <v>0.14322516636555041</v>
      </c>
    </row>
    <row r="4894" spans="1:14" x14ac:dyDescent="0.45">
      <c r="A4894" t="s">
        <v>8727</v>
      </c>
      <c r="B4894" s="1">
        <v>45320</v>
      </c>
      <c r="C4894" t="s">
        <v>8728</v>
      </c>
      <c r="D4894" t="s">
        <v>13</v>
      </c>
      <c r="E4894" t="s">
        <v>20</v>
      </c>
      <c r="F4894" t="s">
        <v>43</v>
      </c>
      <c r="G4894">
        <v>4</v>
      </c>
      <c r="H4894">
        <v>18254.080000000002</v>
      </c>
      <c r="I4894">
        <v>1935.28</v>
      </c>
      <c r="J4894" t="s">
        <v>16</v>
      </c>
      <c r="K4894" t="s">
        <v>17</v>
      </c>
      <c r="L4894">
        <f t="shared" si="228"/>
        <v>2024</v>
      </c>
      <c r="M4894" t="str">
        <f t="shared" si="229"/>
        <v>Jan</v>
      </c>
      <c r="N4894" s="2">
        <f t="shared" si="230"/>
        <v>0.10601903793562863</v>
      </c>
    </row>
    <row r="4895" spans="1:14" x14ac:dyDescent="0.45">
      <c r="A4895" t="s">
        <v>8729</v>
      </c>
      <c r="B4895" s="1">
        <v>44789</v>
      </c>
      <c r="C4895" t="s">
        <v>7549</v>
      </c>
      <c r="D4895" t="s">
        <v>13</v>
      </c>
      <c r="E4895" t="s">
        <v>36</v>
      </c>
      <c r="F4895" t="s">
        <v>37</v>
      </c>
      <c r="G4895">
        <v>2</v>
      </c>
      <c r="H4895">
        <v>30086.76</v>
      </c>
      <c r="I4895">
        <v>2580.21</v>
      </c>
      <c r="J4895" t="s">
        <v>16</v>
      </c>
      <c r="K4895" t="s">
        <v>33</v>
      </c>
      <c r="L4895">
        <f t="shared" si="228"/>
        <v>2022</v>
      </c>
      <c r="M4895" t="str">
        <f t="shared" si="229"/>
        <v>Aug</v>
      </c>
      <c r="N4895" s="2">
        <f t="shared" si="230"/>
        <v>8.5758985015335659E-2</v>
      </c>
    </row>
    <row r="4896" spans="1:14" x14ac:dyDescent="0.45">
      <c r="A4896" t="s">
        <v>8730</v>
      </c>
      <c r="B4896" s="1">
        <v>45510</v>
      </c>
      <c r="C4896" t="s">
        <v>7615</v>
      </c>
      <c r="D4896" t="s">
        <v>56</v>
      </c>
      <c r="E4896" t="s">
        <v>20</v>
      </c>
      <c r="F4896" t="s">
        <v>27</v>
      </c>
      <c r="G4896">
        <v>3</v>
      </c>
      <c r="H4896">
        <v>33970.050000000003</v>
      </c>
      <c r="I4896">
        <v>2610.79</v>
      </c>
      <c r="J4896" t="s">
        <v>28</v>
      </c>
      <c r="K4896" t="s">
        <v>33</v>
      </c>
      <c r="L4896">
        <f t="shared" si="228"/>
        <v>2024</v>
      </c>
      <c r="M4896" t="str">
        <f t="shared" si="229"/>
        <v>Aug</v>
      </c>
      <c r="N4896" s="2">
        <f t="shared" si="230"/>
        <v>7.6855641955192872E-2</v>
      </c>
    </row>
    <row r="4897" spans="1:14" x14ac:dyDescent="0.45">
      <c r="A4897" t="s">
        <v>8731</v>
      </c>
      <c r="B4897" s="1">
        <v>45159</v>
      </c>
      <c r="C4897" t="s">
        <v>365</v>
      </c>
      <c r="D4897" t="s">
        <v>26</v>
      </c>
      <c r="E4897" t="s">
        <v>20</v>
      </c>
      <c r="F4897" t="s">
        <v>43</v>
      </c>
      <c r="G4897">
        <v>4</v>
      </c>
      <c r="H4897">
        <v>47641.94</v>
      </c>
      <c r="I4897">
        <v>3398.08</v>
      </c>
      <c r="J4897" t="s">
        <v>28</v>
      </c>
      <c r="K4897" t="s">
        <v>33</v>
      </c>
      <c r="L4897">
        <f t="shared" si="228"/>
        <v>2023</v>
      </c>
      <c r="M4897" t="str">
        <f t="shared" si="229"/>
        <v>Aug</v>
      </c>
      <c r="N4897" s="2">
        <f t="shared" si="230"/>
        <v>7.13253910315155E-2</v>
      </c>
    </row>
    <row r="4898" spans="1:14" x14ac:dyDescent="0.45">
      <c r="A4898" t="s">
        <v>8732</v>
      </c>
      <c r="B4898" s="1">
        <v>44599</v>
      </c>
      <c r="C4898" t="s">
        <v>5002</v>
      </c>
      <c r="D4898" t="s">
        <v>56</v>
      </c>
      <c r="E4898" t="s">
        <v>36</v>
      </c>
      <c r="F4898" t="s">
        <v>37</v>
      </c>
      <c r="G4898">
        <v>1</v>
      </c>
      <c r="H4898">
        <v>10809.76</v>
      </c>
      <c r="I4898">
        <v>2692.88</v>
      </c>
      <c r="J4898" t="s">
        <v>28</v>
      </c>
      <c r="K4898" t="s">
        <v>33</v>
      </c>
      <c r="L4898">
        <f t="shared" si="228"/>
        <v>2022</v>
      </c>
      <c r="M4898" t="str">
        <f t="shared" si="229"/>
        <v>Feb</v>
      </c>
      <c r="N4898" s="2">
        <f t="shared" si="230"/>
        <v>0.24911561403768448</v>
      </c>
    </row>
    <row r="4899" spans="1:14" x14ac:dyDescent="0.45">
      <c r="A4899" t="s">
        <v>8733</v>
      </c>
      <c r="B4899" s="1">
        <v>44568</v>
      </c>
      <c r="C4899" t="s">
        <v>411</v>
      </c>
      <c r="D4899" t="s">
        <v>13</v>
      </c>
      <c r="E4899" t="s">
        <v>20</v>
      </c>
      <c r="F4899" t="s">
        <v>50</v>
      </c>
      <c r="G4899">
        <v>1</v>
      </c>
      <c r="H4899">
        <v>17629.150000000001</v>
      </c>
      <c r="I4899">
        <v>1227.4100000000001</v>
      </c>
      <c r="J4899" t="s">
        <v>28</v>
      </c>
      <c r="K4899" t="s">
        <v>33</v>
      </c>
      <c r="L4899">
        <f t="shared" si="228"/>
        <v>2022</v>
      </c>
      <c r="M4899" t="str">
        <f t="shared" si="229"/>
        <v>Jan</v>
      </c>
      <c r="N4899" s="2">
        <f t="shared" si="230"/>
        <v>6.9623889977679015E-2</v>
      </c>
    </row>
    <row r="4900" spans="1:14" x14ac:dyDescent="0.45">
      <c r="A4900" t="s">
        <v>8734</v>
      </c>
      <c r="B4900" s="1">
        <v>44625</v>
      </c>
      <c r="C4900" t="s">
        <v>8735</v>
      </c>
      <c r="D4900" t="s">
        <v>13</v>
      </c>
      <c r="E4900" t="s">
        <v>20</v>
      </c>
      <c r="F4900" t="s">
        <v>27</v>
      </c>
      <c r="G4900">
        <v>1</v>
      </c>
      <c r="H4900">
        <v>9552.17</v>
      </c>
      <c r="I4900">
        <v>1202.76</v>
      </c>
      <c r="J4900" t="s">
        <v>47</v>
      </c>
      <c r="K4900" t="s">
        <v>29</v>
      </c>
      <c r="L4900">
        <f t="shared" si="228"/>
        <v>2022</v>
      </c>
      <c r="M4900" t="str">
        <f t="shared" si="229"/>
        <v>Mar</v>
      </c>
      <c r="N4900" s="2">
        <f t="shared" si="230"/>
        <v>0.12591484448036414</v>
      </c>
    </row>
    <row r="4901" spans="1:14" x14ac:dyDescent="0.45">
      <c r="A4901" t="s">
        <v>8736</v>
      </c>
      <c r="B4901" s="1">
        <v>44832</v>
      </c>
      <c r="C4901" t="s">
        <v>8737</v>
      </c>
      <c r="D4901" t="s">
        <v>13</v>
      </c>
      <c r="E4901" t="s">
        <v>36</v>
      </c>
      <c r="F4901" t="s">
        <v>46</v>
      </c>
      <c r="G4901">
        <v>3</v>
      </c>
      <c r="H4901">
        <v>39946.870000000003</v>
      </c>
      <c r="I4901">
        <v>4804.21</v>
      </c>
      <c r="J4901" t="s">
        <v>28</v>
      </c>
      <c r="K4901" t="s">
        <v>33</v>
      </c>
      <c r="L4901">
        <f t="shared" si="228"/>
        <v>2022</v>
      </c>
      <c r="M4901" t="str">
        <f t="shared" si="229"/>
        <v>Sep</v>
      </c>
      <c r="N4901" s="2">
        <f t="shared" si="230"/>
        <v>0.12026499197559157</v>
      </c>
    </row>
    <row r="4902" spans="1:14" x14ac:dyDescent="0.45">
      <c r="A4902" t="s">
        <v>8738</v>
      </c>
      <c r="B4902" s="1">
        <v>44645</v>
      </c>
      <c r="C4902" t="s">
        <v>8739</v>
      </c>
      <c r="D4902" t="s">
        <v>56</v>
      </c>
      <c r="E4902" t="s">
        <v>14</v>
      </c>
      <c r="F4902" t="s">
        <v>57</v>
      </c>
      <c r="G4902">
        <v>2</v>
      </c>
      <c r="H4902">
        <v>28133.49</v>
      </c>
      <c r="I4902">
        <v>5176.3500000000004</v>
      </c>
      <c r="J4902" t="s">
        <v>22</v>
      </c>
      <c r="K4902" t="s">
        <v>17</v>
      </c>
      <c r="L4902">
        <f t="shared" si="228"/>
        <v>2022</v>
      </c>
      <c r="M4902" t="str">
        <f t="shared" si="229"/>
        <v>Mar</v>
      </c>
      <c r="N4902" s="2">
        <f t="shared" si="230"/>
        <v>0.18399245880976731</v>
      </c>
    </row>
    <row r="4903" spans="1:14" x14ac:dyDescent="0.45">
      <c r="A4903" t="s">
        <v>8740</v>
      </c>
      <c r="B4903" s="1">
        <v>45535</v>
      </c>
      <c r="C4903" t="s">
        <v>8741</v>
      </c>
      <c r="D4903" t="s">
        <v>26</v>
      </c>
      <c r="E4903" t="s">
        <v>36</v>
      </c>
      <c r="F4903" t="s">
        <v>46</v>
      </c>
      <c r="G4903">
        <v>3</v>
      </c>
      <c r="H4903">
        <v>5876.49</v>
      </c>
      <c r="I4903">
        <v>525.42999999999995</v>
      </c>
      <c r="J4903" t="s">
        <v>16</v>
      </c>
      <c r="K4903" t="s">
        <v>23</v>
      </c>
      <c r="L4903">
        <f t="shared" si="228"/>
        <v>2024</v>
      </c>
      <c r="M4903" t="str">
        <f t="shared" si="229"/>
        <v>Aug</v>
      </c>
      <c r="N4903" s="2">
        <f t="shared" si="230"/>
        <v>8.9412217156840224E-2</v>
      </c>
    </row>
    <row r="4904" spans="1:14" x14ac:dyDescent="0.45">
      <c r="A4904" t="s">
        <v>8742</v>
      </c>
      <c r="B4904" s="1">
        <v>45295</v>
      </c>
      <c r="C4904" t="s">
        <v>8743</v>
      </c>
      <c r="D4904" t="s">
        <v>26</v>
      </c>
      <c r="E4904" t="s">
        <v>14</v>
      </c>
      <c r="F4904" t="s">
        <v>57</v>
      </c>
      <c r="G4904">
        <v>5</v>
      </c>
      <c r="H4904">
        <v>36560.57</v>
      </c>
      <c r="I4904">
        <v>2853.4</v>
      </c>
      <c r="J4904" t="s">
        <v>28</v>
      </c>
      <c r="K4904" t="s">
        <v>29</v>
      </c>
      <c r="L4904">
        <f t="shared" si="228"/>
        <v>2024</v>
      </c>
      <c r="M4904" t="str">
        <f t="shared" si="229"/>
        <v>Jan</v>
      </c>
      <c r="N4904" s="2">
        <f t="shared" si="230"/>
        <v>7.8045829154195362E-2</v>
      </c>
    </row>
    <row r="4905" spans="1:14" x14ac:dyDescent="0.45">
      <c r="A4905" t="s">
        <v>8744</v>
      </c>
      <c r="B4905" s="1">
        <v>45397</v>
      </c>
      <c r="C4905" t="s">
        <v>8745</v>
      </c>
      <c r="D4905" t="s">
        <v>56</v>
      </c>
      <c r="E4905" t="s">
        <v>20</v>
      </c>
      <c r="F4905" t="s">
        <v>21</v>
      </c>
      <c r="G4905">
        <v>1</v>
      </c>
      <c r="H4905">
        <v>12629.7</v>
      </c>
      <c r="I4905">
        <v>2623.85</v>
      </c>
      <c r="J4905" t="s">
        <v>22</v>
      </c>
      <c r="K4905" t="s">
        <v>33</v>
      </c>
      <c r="L4905">
        <f t="shared" si="228"/>
        <v>2024</v>
      </c>
      <c r="M4905" t="str">
        <f t="shared" si="229"/>
        <v>Apr</v>
      </c>
      <c r="N4905" s="2">
        <f t="shared" si="230"/>
        <v>0.20775236149710602</v>
      </c>
    </row>
    <row r="4906" spans="1:14" x14ac:dyDescent="0.45">
      <c r="A4906" t="s">
        <v>8746</v>
      </c>
      <c r="B4906" s="1">
        <v>45654</v>
      </c>
      <c r="C4906" t="s">
        <v>1061</v>
      </c>
      <c r="D4906" t="s">
        <v>56</v>
      </c>
      <c r="E4906" t="s">
        <v>36</v>
      </c>
      <c r="F4906" t="s">
        <v>46</v>
      </c>
      <c r="G4906">
        <v>1</v>
      </c>
      <c r="H4906">
        <v>6939.24</v>
      </c>
      <c r="I4906">
        <v>1170.33</v>
      </c>
      <c r="J4906" t="s">
        <v>22</v>
      </c>
      <c r="K4906" t="s">
        <v>23</v>
      </c>
      <c r="L4906">
        <f t="shared" si="228"/>
        <v>2024</v>
      </c>
      <c r="M4906" t="str">
        <f t="shared" si="229"/>
        <v>Dec</v>
      </c>
      <c r="N4906" s="2">
        <f t="shared" si="230"/>
        <v>0.16865391599080015</v>
      </c>
    </row>
    <row r="4907" spans="1:14" x14ac:dyDescent="0.45">
      <c r="A4907" t="s">
        <v>8747</v>
      </c>
      <c r="B4907" s="1">
        <v>45346</v>
      </c>
      <c r="C4907" t="s">
        <v>8748</v>
      </c>
      <c r="D4907" t="s">
        <v>26</v>
      </c>
      <c r="E4907" t="s">
        <v>14</v>
      </c>
      <c r="F4907" t="s">
        <v>57</v>
      </c>
      <c r="G4907">
        <v>4</v>
      </c>
      <c r="H4907">
        <v>16263.03</v>
      </c>
      <c r="I4907">
        <v>2800.77</v>
      </c>
      <c r="J4907" t="s">
        <v>28</v>
      </c>
      <c r="K4907" t="s">
        <v>17</v>
      </c>
      <c r="L4907">
        <f t="shared" si="228"/>
        <v>2024</v>
      </c>
      <c r="M4907" t="str">
        <f t="shared" si="229"/>
        <v>Feb</v>
      </c>
      <c r="N4907" s="2">
        <f t="shared" si="230"/>
        <v>0.1722169853957104</v>
      </c>
    </row>
    <row r="4908" spans="1:14" x14ac:dyDescent="0.45">
      <c r="A4908" t="s">
        <v>8749</v>
      </c>
      <c r="B4908" s="1">
        <v>45006</v>
      </c>
      <c r="C4908" t="s">
        <v>8750</v>
      </c>
      <c r="D4908" t="s">
        <v>13</v>
      </c>
      <c r="E4908" t="s">
        <v>36</v>
      </c>
      <c r="F4908" t="s">
        <v>37</v>
      </c>
      <c r="G4908">
        <v>3</v>
      </c>
      <c r="H4908">
        <v>47391.63</v>
      </c>
      <c r="I4908">
        <v>6025.61</v>
      </c>
      <c r="J4908" t="s">
        <v>22</v>
      </c>
      <c r="K4908" t="s">
        <v>29</v>
      </c>
      <c r="L4908">
        <f t="shared" si="228"/>
        <v>2023</v>
      </c>
      <c r="M4908" t="str">
        <f t="shared" si="229"/>
        <v>Mar</v>
      </c>
      <c r="N4908" s="2">
        <f t="shared" si="230"/>
        <v>0.12714502539794476</v>
      </c>
    </row>
    <row r="4909" spans="1:14" x14ac:dyDescent="0.45">
      <c r="A4909" t="s">
        <v>8751</v>
      </c>
      <c r="B4909" s="1">
        <v>45267</v>
      </c>
      <c r="C4909" t="s">
        <v>8752</v>
      </c>
      <c r="D4909" t="s">
        <v>26</v>
      </c>
      <c r="E4909" t="s">
        <v>36</v>
      </c>
      <c r="F4909" t="s">
        <v>37</v>
      </c>
      <c r="G4909">
        <v>4</v>
      </c>
      <c r="H4909">
        <v>33557.550000000003</v>
      </c>
      <c r="I4909">
        <v>6942.14</v>
      </c>
      <c r="J4909" t="s">
        <v>71</v>
      </c>
      <c r="K4909" t="s">
        <v>17</v>
      </c>
      <c r="L4909">
        <f t="shared" si="228"/>
        <v>2023</v>
      </c>
      <c r="M4909" t="str">
        <f t="shared" si="229"/>
        <v>Dec</v>
      </c>
      <c r="N4909" s="2">
        <f t="shared" si="230"/>
        <v>0.20687267097866202</v>
      </c>
    </row>
    <row r="4910" spans="1:14" x14ac:dyDescent="0.45">
      <c r="A4910" t="s">
        <v>8753</v>
      </c>
      <c r="B4910" s="1">
        <v>45142</v>
      </c>
      <c r="C4910" t="s">
        <v>7343</v>
      </c>
      <c r="D4910" t="s">
        <v>26</v>
      </c>
      <c r="E4910" t="s">
        <v>36</v>
      </c>
      <c r="F4910" t="s">
        <v>37</v>
      </c>
      <c r="G4910">
        <v>3</v>
      </c>
      <c r="H4910">
        <v>2138.64</v>
      </c>
      <c r="I4910">
        <v>139.38</v>
      </c>
      <c r="J4910" t="s">
        <v>47</v>
      </c>
      <c r="K4910" t="s">
        <v>17</v>
      </c>
      <c r="L4910">
        <f t="shared" si="228"/>
        <v>2023</v>
      </c>
      <c r="M4910" t="str">
        <f t="shared" si="229"/>
        <v>Aug</v>
      </c>
      <c r="N4910" s="2">
        <f t="shared" si="230"/>
        <v>6.5172259005723265E-2</v>
      </c>
    </row>
    <row r="4911" spans="1:14" x14ac:dyDescent="0.45">
      <c r="A4911" t="s">
        <v>8754</v>
      </c>
      <c r="B4911" s="1">
        <v>44626</v>
      </c>
      <c r="C4911" t="s">
        <v>8755</v>
      </c>
      <c r="D4911" t="s">
        <v>26</v>
      </c>
      <c r="E4911" t="s">
        <v>14</v>
      </c>
      <c r="F4911" t="s">
        <v>32</v>
      </c>
      <c r="G4911">
        <v>5</v>
      </c>
      <c r="H4911">
        <v>43237.71</v>
      </c>
      <c r="I4911">
        <v>4951.2</v>
      </c>
      <c r="J4911" t="s">
        <v>22</v>
      </c>
      <c r="K4911" t="s">
        <v>29</v>
      </c>
      <c r="L4911">
        <f t="shared" si="228"/>
        <v>2022</v>
      </c>
      <c r="M4911" t="str">
        <f t="shared" si="229"/>
        <v>Mar</v>
      </c>
      <c r="N4911" s="2">
        <f t="shared" si="230"/>
        <v>0.11451115241764653</v>
      </c>
    </row>
    <row r="4912" spans="1:14" x14ac:dyDescent="0.45">
      <c r="A4912" t="s">
        <v>8756</v>
      </c>
      <c r="B4912" s="1">
        <v>45057</v>
      </c>
      <c r="C4912" t="s">
        <v>8757</v>
      </c>
      <c r="D4912" t="s">
        <v>26</v>
      </c>
      <c r="E4912" t="s">
        <v>36</v>
      </c>
      <c r="F4912" t="s">
        <v>37</v>
      </c>
      <c r="G4912">
        <v>4</v>
      </c>
      <c r="H4912">
        <v>24912.959999999999</v>
      </c>
      <c r="I4912">
        <v>3527.69</v>
      </c>
      <c r="J4912" t="s">
        <v>28</v>
      </c>
      <c r="K4912" t="s">
        <v>23</v>
      </c>
      <c r="L4912">
        <f t="shared" si="228"/>
        <v>2023</v>
      </c>
      <c r="M4912" t="str">
        <f t="shared" si="229"/>
        <v>May</v>
      </c>
      <c r="N4912" s="2">
        <f t="shared" si="230"/>
        <v>0.14160059663725227</v>
      </c>
    </row>
    <row r="4913" spans="1:14" x14ac:dyDescent="0.45">
      <c r="A4913" t="s">
        <v>8758</v>
      </c>
      <c r="B4913" s="1">
        <v>45212</v>
      </c>
      <c r="C4913" t="s">
        <v>7381</v>
      </c>
      <c r="D4913" t="s">
        <v>13</v>
      </c>
      <c r="E4913" t="s">
        <v>20</v>
      </c>
      <c r="F4913" t="s">
        <v>21</v>
      </c>
      <c r="G4913">
        <v>3</v>
      </c>
      <c r="H4913">
        <v>23282.66</v>
      </c>
      <c r="I4913">
        <v>2584.11</v>
      </c>
      <c r="J4913" t="s">
        <v>28</v>
      </c>
      <c r="K4913" t="s">
        <v>29</v>
      </c>
      <c r="L4913">
        <f t="shared" si="228"/>
        <v>2023</v>
      </c>
      <c r="M4913" t="str">
        <f t="shared" si="229"/>
        <v>Oct</v>
      </c>
      <c r="N4913" s="2">
        <f t="shared" si="230"/>
        <v>0.1109886069718838</v>
      </c>
    </row>
    <row r="4914" spans="1:14" x14ac:dyDescent="0.45">
      <c r="A4914" t="s">
        <v>8759</v>
      </c>
      <c r="B4914" s="1">
        <v>45406</v>
      </c>
      <c r="C4914" t="s">
        <v>3717</v>
      </c>
      <c r="D4914" t="s">
        <v>26</v>
      </c>
      <c r="E4914" t="s">
        <v>20</v>
      </c>
      <c r="F4914" t="s">
        <v>27</v>
      </c>
      <c r="G4914">
        <v>5</v>
      </c>
      <c r="H4914">
        <v>40884.81</v>
      </c>
      <c r="I4914">
        <v>3953.76</v>
      </c>
      <c r="J4914" t="s">
        <v>47</v>
      </c>
      <c r="K4914" t="s">
        <v>17</v>
      </c>
      <c r="L4914">
        <f t="shared" si="228"/>
        <v>2024</v>
      </c>
      <c r="M4914" t="str">
        <f t="shared" si="229"/>
        <v>Apr</v>
      </c>
      <c r="N4914" s="2">
        <f t="shared" si="230"/>
        <v>9.6704864227080925E-2</v>
      </c>
    </row>
    <row r="4915" spans="1:14" x14ac:dyDescent="0.45">
      <c r="A4915" t="s">
        <v>8760</v>
      </c>
      <c r="B4915" s="1">
        <v>45185</v>
      </c>
      <c r="C4915" t="s">
        <v>4219</v>
      </c>
      <c r="D4915" t="s">
        <v>13</v>
      </c>
      <c r="E4915" t="s">
        <v>36</v>
      </c>
      <c r="F4915" t="s">
        <v>64</v>
      </c>
      <c r="G4915">
        <v>1</v>
      </c>
      <c r="H4915">
        <v>29493.49</v>
      </c>
      <c r="I4915">
        <v>5697.28</v>
      </c>
      <c r="J4915" t="s">
        <v>16</v>
      </c>
      <c r="K4915" t="s">
        <v>33</v>
      </c>
      <c r="L4915">
        <f t="shared" si="228"/>
        <v>2023</v>
      </c>
      <c r="M4915" t="str">
        <f t="shared" si="229"/>
        <v>Sep</v>
      </c>
      <c r="N4915" s="2">
        <f t="shared" si="230"/>
        <v>0.19317076412455764</v>
      </c>
    </row>
    <row r="4916" spans="1:14" x14ac:dyDescent="0.45">
      <c r="A4916" t="s">
        <v>8761</v>
      </c>
      <c r="B4916" s="1">
        <v>45112</v>
      </c>
      <c r="C4916" t="s">
        <v>5272</v>
      </c>
      <c r="D4916" t="s">
        <v>13</v>
      </c>
      <c r="E4916" t="s">
        <v>14</v>
      </c>
      <c r="F4916" t="s">
        <v>40</v>
      </c>
      <c r="G4916">
        <v>1</v>
      </c>
      <c r="H4916">
        <v>9669.16</v>
      </c>
      <c r="I4916">
        <v>2021.01</v>
      </c>
      <c r="J4916" t="s">
        <v>16</v>
      </c>
      <c r="K4916" t="s">
        <v>29</v>
      </c>
      <c r="L4916">
        <f t="shared" si="228"/>
        <v>2023</v>
      </c>
      <c r="M4916" t="str">
        <f t="shared" si="229"/>
        <v>Jul</v>
      </c>
      <c r="N4916" s="2">
        <f t="shared" si="230"/>
        <v>0.20901608826413048</v>
      </c>
    </row>
    <row r="4917" spans="1:14" x14ac:dyDescent="0.45">
      <c r="A4917" t="s">
        <v>8762</v>
      </c>
      <c r="B4917" s="1">
        <v>45096</v>
      </c>
      <c r="C4917" t="s">
        <v>8763</v>
      </c>
      <c r="D4917" t="s">
        <v>13</v>
      </c>
      <c r="E4917" t="s">
        <v>36</v>
      </c>
      <c r="F4917" t="s">
        <v>46</v>
      </c>
      <c r="G4917">
        <v>5</v>
      </c>
      <c r="H4917">
        <v>12930.07</v>
      </c>
      <c r="I4917">
        <v>1351.7</v>
      </c>
      <c r="J4917" t="s">
        <v>16</v>
      </c>
      <c r="K4917" t="s">
        <v>17</v>
      </c>
      <c r="L4917">
        <f t="shared" si="228"/>
        <v>2023</v>
      </c>
      <c r="M4917" t="str">
        <f t="shared" si="229"/>
        <v>Jun</v>
      </c>
      <c r="N4917" s="2">
        <f t="shared" si="230"/>
        <v>0.1045392639018969</v>
      </c>
    </row>
    <row r="4918" spans="1:14" x14ac:dyDescent="0.45">
      <c r="A4918" t="s">
        <v>8764</v>
      </c>
      <c r="B4918" s="1">
        <v>44867</v>
      </c>
      <c r="C4918" t="s">
        <v>8765</v>
      </c>
      <c r="D4918" t="s">
        <v>13</v>
      </c>
      <c r="E4918" t="s">
        <v>20</v>
      </c>
      <c r="F4918" t="s">
        <v>27</v>
      </c>
      <c r="G4918">
        <v>3</v>
      </c>
      <c r="H4918">
        <v>39479.32</v>
      </c>
      <c r="I4918">
        <v>5364.11</v>
      </c>
      <c r="J4918" t="s">
        <v>16</v>
      </c>
      <c r="K4918" t="s">
        <v>33</v>
      </c>
      <c r="L4918">
        <f t="shared" si="228"/>
        <v>2022</v>
      </c>
      <c r="M4918" t="str">
        <f t="shared" si="229"/>
        <v>Nov</v>
      </c>
      <c r="N4918" s="2">
        <f t="shared" si="230"/>
        <v>0.13587138785571787</v>
      </c>
    </row>
    <row r="4919" spans="1:14" x14ac:dyDescent="0.45">
      <c r="A4919" t="s">
        <v>8766</v>
      </c>
      <c r="B4919" s="1">
        <v>45040</v>
      </c>
      <c r="C4919" t="s">
        <v>1973</v>
      </c>
      <c r="D4919" t="s">
        <v>26</v>
      </c>
      <c r="E4919" t="s">
        <v>36</v>
      </c>
      <c r="F4919" t="s">
        <v>53</v>
      </c>
      <c r="G4919">
        <v>4</v>
      </c>
      <c r="H4919">
        <v>40967.82</v>
      </c>
      <c r="I4919">
        <v>9185.6</v>
      </c>
      <c r="J4919" t="s">
        <v>22</v>
      </c>
      <c r="K4919" t="s">
        <v>17</v>
      </c>
      <c r="L4919">
        <f t="shared" si="228"/>
        <v>2023</v>
      </c>
      <c r="M4919" t="str">
        <f t="shared" si="229"/>
        <v>Apr</v>
      </c>
      <c r="N4919" s="2">
        <f t="shared" si="230"/>
        <v>0.22421500582652434</v>
      </c>
    </row>
    <row r="4920" spans="1:14" x14ac:dyDescent="0.45">
      <c r="A4920" t="s">
        <v>8767</v>
      </c>
      <c r="B4920" s="1">
        <v>44690</v>
      </c>
      <c r="C4920" t="s">
        <v>8768</v>
      </c>
      <c r="D4920" t="s">
        <v>26</v>
      </c>
      <c r="E4920" t="s">
        <v>36</v>
      </c>
      <c r="F4920" t="s">
        <v>64</v>
      </c>
      <c r="G4920">
        <v>1</v>
      </c>
      <c r="H4920">
        <v>39540.93</v>
      </c>
      <c r="I4920">
        <v>8573.4500000000007</v>
      </c>
      <c r="J4920" t="s">
        <v>71</v>
      </c>
      <c r="K4920" t="s">
        <v>23</v>
      </c>
      <c r="L4920">
        <f t="shared" si="228"/>
        <v>2022</v>
      </c>
      <c r="M4920" t="str">
        <f t="shared" si="229"/>
        <v>May</v>
      </c>
      <c r="N4920" s="2">
        <f t="shared" si="230"/>
        <v>0.21682469279301222</v>
      </c>
    </row>
    <row r="4921" spans="1:14" x14ac:dyDescent="0.45">
      <c r="A4921" t="s">
        <v>8769</v>
      </c>
      <c r="B4921" s="1">
        <v>45415</v>
      </c>
      <c r="C4921" t="s">
        <v>8770</v>
      </c>
      <c r="D4921" t="s">
        <v>13</v>
      </c>
      <c r="E4921" t="s">
        <v>20</v>
      </c>
      <c r="F4921" t="s">
        <v>21</v>
      </c>
      <c r="G4921">
        <v>4</v>
      </c>
      <c r="H4921">
        <v>5806.14</v>
      </c>
      <c r="I4921">
        <v>757.28</v>
      </c>
      <c r="J4921" t="s">
        <v>47</v>
      </c>
      <c r="K4921" t="s">
        <v>29</v>
      </c>
      <c r="L4921">
        <f t="shared" si="228"/>
        <v>2024</v>
      </c>
      <c r="M4921" t="str">
        <f t="shared" si="229"/>
        <v>May</v>
      </c>
      <c r="N4921" s="2">
        <f t="shared" si="230"/>
        <v>0.13042744405060849</v>
      </c>
    </row>
    <row r="4922" spans="1:14" x14ac:dyDescent="0.45">
      <c r="A4922" t="s">
        <v>8771</v>
      </c>
      <c r="B4922" s="1">
        <v>45446</v>
      </c>
      <c r="C4922" t="s">
        <v>5680</v>
      </c>
      <c r="D4922" t="s">
        <v>13</v>
      </c>
      <c r="E4922" t="s">
        <v>20</v>
      </c>
      <c r="F4922" t="s">
        <v>21</v>
      </c>
      <c r="G4922">
        <v>5</v>
      </c>
      <c r="H4922">
        <v>37546.019999999997</v>
      </c>
      <c r="I4922">
        <v>6958.29</v>
      </c>
      <c r="J4922" t="s">
        <v>71</v>
      </c>
      <c r="K4922" t="s">
        <v>23</v>
      </c>
      <c r="L4922">
        <f t="shared" si="228"/>
        <v>2024</v>
      </c>
      <c r="M4922" t="str">
        <f t="shared" si="229"/>
        <v>Jun</v>
      </c>
      <c r="N4922" s="2">
        <f t="shared" si="230"/>
        <v>0.18532696674640883</v>
      </c>
    </row>
    <row r="4923" spans="1:14" x14ac:dyDescent="0.45">
      <c r="A4923" t="s">
        <v>8772</v>
      </c>
      <c r="B4923" s="1">
        <v>45107</v>
      </c>
      <c r="C4923" t="s">
        <v>8773</v>
      </c>
      <c r="D4923" t="s">
        <v>13</v>
      </c>
      <c r="E4923" t="s">
        <v>14</v>
      </c>
      <c r="F4923" t="s">
        <v>15</v>
      </c>
      <c r="G4923">
        <v>1</v>
      </c>
      <c r="H4923">
        <v>25303.599999999999</v>
      </c>
      <c r="I4923">
        <v>5810.64</v>
      </c>
      <c r="J4923" t="s">
        <v>22</v>
      </c>
      <c r="K4923" t="s">
        <v>17</v>
      </c>
      <c r="L4923">
        <f t="shared" si="228"/>
        <v>2023</v>
      </c>
      <c r="M4923" t="str">
        <f t="shared" si="229"/>
        <v>Jun</v>
      </c>
      <c r="N4923" s="2">
        <f t="shared" si="230"/>
        <v>0.22963688961254528</v>
      </c>
    </row>
    <row r="4924" spans="1:14" x14ac:dyDescent="0.45">
      <c r="A4924" t="s">
        <v>8774</v>
      </c>
      <c r="B4924" s="1">
        <v>44693</v>
      </c>
      <c r="C4924" t="s">
        <v>8775</v>
      </c>
      <c r="D4924" t="s">
        <v>26</v>
      </c>
      <c r="E4924" t="s">
        <v>14</v>
      </c>
      <c r="F4924" t="s">
        <v>15</v>
      </c>
      <c r="G4924">
        <v>3</v>
      </c>
      <c r="H4924">
        <v>35653.019999999997</v>
      </c>
      <c r="I4924">
        <v>2789.97</v>
      </c>
      <c r="J4924" t="s">
        <v>28</v>
      </c>
      <c r="K4924" t="s">
        <v>23</v>
      </c>
      <c r="L4924">
        <f t="shared" si="228"/>
        <v>2022</v>
      </c>
      <c r="M4924" t="str">
        <f t="shared" si="229"/>
        <v>May</v>
      </c>
      <c r="N4924" s="2">
        <f t="shared" si="230"/>
        <v>7.8253399010799085E-2</v>
      </c>
    </row>
    <row r="4925" spans="1:14" x14ac:dyDescent="0.45">
      <c r="A4925" t="s">
        <v>8776</v>
      </c>
      <c r="B4925" s="1">
        <v>45308</v>
      </c>
      <c r="C4925" t="s">
        <v>1988</v>
      </c>
      <c r="D4925" t="s">
        <v>56</v>
      </c>
      <c r="E4925" t="s">
        <v>14</v>
      </c>
      <c r="F4925" t="s">
        <v>57</v>
      </c>
      <c r="G4925">
        <v>3</v>
      </c>
      <c r="H4925">
        <v>3472.34</v>
      </c>
      <c r="I4925">
        <v>841.87</v>
      </c>
      <c r="J4925" t="s">
        <v>22</v>
      </c>
      <c r="K4925" t="s">
        <v>29</v>
      </c>
      <c r="L4925">
        <f t="shared" si="228"/>
        <v>2024</v>
      </c>
      <c r="M4925" t="str">
        <f t="shared" si="229"/>
        <v>Jan</v>
      </c>
      <c r="N4925" s="2">
        <f t="shared" si="230"/>
        <v>0.24245033608460001</v>
      </c>
    </row>
    <row r="4926" spans="1:14" x14ac:dyDescent="0.45">
      <c r="A4926" t="s">
        <v>8777</v>
      </c>
      <c r="B4926" s="1">
        <v>45068</v>
      </c>
      <c r="C4926" t="s">
        <v>8778</v>
      </c>
      <c r="D4926" t="s">
        <v>13</v>
      </c>
      <c r="E4926" t="s">
        <v>36</v>
      </c>
      <c r="F4926" t="s">
        <v>37</v>
      </c>
      <c r="G4926">
        <v>2</v>
      </c>
      <c r="H4926">
        <v>31865.38</v>
      </c>
      <c r="I4926">
        <v>5692.89</v>
      </c>
      <c r="J4926" t="s">
        <v>16</v>
      </c>
      <c r="K4926" t="s">
        <v>23</v>
      </c>
      <c r="L4926">
        <f t="shared" si="228"/>
        <v>2023</v>
      </c>
      <c r="M4926" t="str">
        <f t="shared" si="229"/>
        <v>May</v>
      </c>
      <c r="N4926" s="2">
        <f t="shared" si="230"/>
        <v>0.17865438918349633</v>
      </c>
    </row>
    <row r="4927" spans="1:14" x14ac:dyDescent="0.45">
      <c r="A4927" t="s">
        <v>8779</v>
      </c>
      <c r="B4927" s="1">
        <v>45382</v>
      </c>
      <c r="C4927" t="s">
        <v>5310</v>
      </c>
      <c r="D4927" t="s">
        <v>13</v>
      </c>
      <c r="E4927" t="s">
        <v>20</v>
      </c>
      <c r="F4927" t="s">
        <v>27</v>
      </c>
      <c r="G4927">
        <v>2</v>
      </c>
      <c r="H4927">
        <v>38844.339999999997</v>
      </c>
      <c r="I4927">
        <v>4683.58</v>
      </c>
      <c r="J4927" t="s">
        <v>28</v>
      </c>
      <c r="K4927" t="s">
        <v>17</v>
      </c>
      <c r="L4927">
        <f t="shared" si="228"/>
        <v>2024</v>
      </c>
      <c r="M4927" t="str">
        <f t="shared" si="229"/>
        <v>Mar</v>
      </c>
      <c r="N4927" s="2">
        <f t="shared" si="230"/>
        <v>0.12057303586571429</v>
      </c>
    </row>
    <row r="4928" spans="1:14" x14ac:dyDescent="0.45">
      <c r="A4928" t="s">
        <v>8780</v>
      </c>
      <c r="B4928" s="1">
        <v>45081</v>
      </c>
      <c r="C4928" t="s">
        <v>8781</v>
      </c>
      <c r="D4928" t="s">
        <v>13</v>
      </c>
      <c r="E4928" t="s">
        <v>14</v>
      </c>
      <c r="F4928" t="s">
        <v>40</v>
      </c>
      <c r="G4928">
        <v>1</v>
      </c>
      <c r="H4928">
        <v>10086.65</v>
      </c>
      <c r="I4928">
        <v>2074.42</v>
      </c>
      <c r="J4928" t="s">
        <v>22</v>
      </c>
      <c r="K4928" t="s">
        <v>29</v>
      </c>
      <c r="L4928">
        <f t="shared" si="228"/>
        <v>2023</v>
      </c>
      <c r="M4928" t="str">
        <f t="shared" si="229"/>
        <v>Jun</v>
      </c>
      <c r="N4928" s="2">
        <f t="shared" si="230"/>
        <v>0.20565995647712573</v>
      </c>
    </row>
    <row r="4929" spans="1:14" x14ac:dyDescent="0.45">
      <c r="A4929" t="s">
        <v>8782</v>
      </c>
      <c r="B4929" s="1">
        <v>45604</v>
      </c>
      <c r="C4929" t="s">
        <v>4589</v>
      </c>
      <c r="D4929" t="s">
        <v>56</v>
      </c>
      <c r="E4929" t="s">
        <v>14</v>
      </c>
      <c r="F4929" t="s">
        <v>40</v>
      </c>
      <c r="G4929">
        <v>3</v>
      </c>
      <c r="H4929">
        <v>20389.439999999999</v>
      </c>
      <c r="I4929">
        <v>1387.08</v>
      </c>
      <c r="J4929" t="s">
        <v>47</v>
      </c>
      <c r="K4929" t="s">
        <v>29</v>
      </c>
      <c r="L4929">
        <f t="shared" si="228"/>
        <v>2024</v>
      </c>
      <c r="M4929" t="str">
        <f t="shared" si="229"/>
        <v>Nov</v>
      </c>
      <c r="N4929" s="2">
        <f t="shared" si="230"/>
        <v>6.8029332831112579E-2</v>
      </c>
    </row>
    <row r="4930" spans="1:14" x14ac:dyDescent="0.45">
      <c r="A4930" t="s">
        <v>8783</v>
      </c>
      <c r="B4930" s="1">
        <v>44933</v>
      </c>
      <c r="C4930" t="s">
        <v>8784</v>
      </c>
      <c r="D4930" t="s">
        <v>13</v>
      </c>
      <c r="E4930" t="s">
        <v>20</v>
      </c>
      <c r="F4930" t="s">
        <v>43</v>
      </c>
      <c r="G4930">
        <v>3</v>
      </c>
      <c r="H4930">
        <v>33074.269999999997</v>
      </c>
      <c r="I4930">
        <v>4176.1000000000004</v>
      </c>
      <c r="J4930" t="s">
        <v>71</v>
      </c>
      <c r="K4930" t="s">
        <v>29</v>
      </c>
      <c r="L4930">
        <f t="shared" si="228"/>
        <v>2023</v>
      </c>
      <c r="M4930" t="str">
        <f t="shared" si="229"/>
        <v>Jan</v>
      </c>
      <c r="N4930" s="2">
        <f t="shared" si="230"/>
        <v>0.12626431361901566</v>
      </c>
    </row>
    <row r="4931" spans="1:14" x14ac:dyDescent="0.45">
      <c r="A4931" t="s">
        <v>8785</v>
      </c>
      <c r="B4931" s="1">
        <v>45288</v>
      </c>
      <c r="C4931" t="s">
        <v>8786</v>
      </c>
      <c r="D4931" t="s">
        <v>13</v>
      </c>
      <c r="E4931" t="s">
        <v>14</v>
      </c>
      <c r="F4931" t="s">
        <v>32</v>
      </c>
      <c r="G4931">
        <v>2</v>
      </c>
      <c r="H4931">
        <v>34978.620000000003</v>
      </c>
      <c r="I4931">
        <v>4683.4399999999996</v>
      </c>
      <c r="J4931" t="s">
        <v>47</v>
      </c>
      <c r="K4931" t="s">
        <v>33</v>
      </c>
      <c r="L4931">
        <f t="shared" ref="L4931:L4994" si="231">YEAR(B4931 )</f>
        <v>2023</v>
      </c>
      <c r="M4931" t="str">
        <f t="shared" ref="M4931:M4994" si="232">TEXT(B4931,"MMM")</f>
        <v>Dec</v>
      </c>
      <c r="N4931" s="2">
        <f t="shared" ref="N4931:N4994" si="233">I4931 / H4931</f>
        <v>0.13389436175583827</v>
      </c>
    </row>
    <row r="4932" spans="1:14" x14ac:dyDescent="0.45">
      <c r="A4932" t="s">
        <v>8787</v>
      </c>
      <c r="B4932" s="1">
        <v>45647</v>
      </c>
      <c r="C4932" t="s">
        <v>7950</v>
      </c>
      <c r="D4932" t="s">
        <v>13</v>
      </c>
      <c r="E4932" t="s">
        <v>14</v>
      </c>
      <c r="F4932" t="s">
        <v>15</v>
      </c>
      <c r="G4932">
        <v>1</v>
      </c>
      <c r="H4932">
        <v>42633.48</v>
      </c>
      <c r="I4932">
        <v>3101.25</v>
      </c>
      <c r="J4932" t="s">
        <v>16</v>
      </c>
      <c r="K4932" t="s">
        <v>23</v>
      </c>
      <c r="L4932">
        <f t="shared" si="231"/>
        <v>2024</v>
      </c>
      <c r="M4932" t="str">
        <f t="shared" si="232"/>
        <v>Dec</v>
      </c>
      <c r="N4932" s="2">
        <f t="shared" si="233"/>
        <v>7.2742126610354105E-2</v>
      </c>
    </row>
    <row r="4933" spans="1:14" x14ac:dyDescent="0.45">
      <c r="A4933" t="s">
        <v>8788</v>
      </c>
      <c r="B4933" s="1">
        <v>44607</v>
      </c>
      <c r="C4933" t="s">
        <v>8789</v>
      </c>
      <c r="D4933" t="s">
        <v>26</v>
      </c>
      <c r="E4933" t="s">
        <v>20</v>
      </c>
      <c r="F4933" t="s">
        <v>50</v>
      </c>
      <c r="G4933">
        <v>3</v>
      </c>
      <c r="H4933">
        <v>41330.67</v>
      </c>
      <c r="I4933">
        <v>8547.7099999999991</v>
      </c>
      <c r="J4933" t="s">
        <v>22</v>
      </c>
      <c r="K4933" t="s">
        <v>23</v>
      </c>
      <c r="L4933">
        <f t="shared" si="231"/>
        <v>2022</v>
      </c>
      <c r="M4933" t="str">
        <f t="shared" si="232"/>
        <v>Feb</v>
      </c>
      <c r="N4933" s="2">
        <f t="shared" si="233"/>
        <v>0.20681276156423303</v>
      </c>
    </row>
    <row r="4934" spans="1:14" x14ac:dyDescent="0.45">
      <c r="A4934" t="s">
        <v>8790</v>
      </c>
      <c r="B4934" s="1">
        <v>44583</v>
      </c>
      <c r="C4934" t="s">
        <v>4534</v>
      </c>
      <c r="D4934" t="s">
        <v>56</v>
      </c>
      <c r="E4934" t="s">
        <v>20</v>
      </c>
      <c r="F4934" t="s">
        <v>43</v>
      </c>
      <c r="G4934">
        <v>3</v>
      </c>
      <c r="H4934">
        <v>48962.93</v>
      </c>
      <c r="I4934">
        <v>8811.06</v>
      </c>
      <c r="J4934" t="s">
        <v>71</v>
      </c>
      <c r="K4934" t="s">
        <v>29</v>
      </c>
      <c r="L4934">
        <f t="shared" si="231"/>
        <v>2022</v>
      </c>
      <c r="M4934" t="str">
        <f t="shared" si="232"/>
        <v>Jan</v>
      </c>
      <c r="N4934" s="2">
        <f t="shared" si="233"/>
        <v>0.17995369149681195</v>
      </c>
    </row>
    <row r="4935" spans="1:14" x14ac:dyDescent="0.45">
      <c r="A4935" t="s">
        <v>8791</v>
      </c>
      <c r="B4935" s="1">
        <v>44744</v>
      </c>
      <c r="C4935" t="s">
        <v>12</v>
      </c>
      <c r="D4935" t="s">
        <v>13</v>
      </c>
      <c r="E4935" t="s">
        <v>14</v>
      </c>
      <c r="F4935" t="s">
        <v>57</v>
      </c>
      <c r="G4935">
        <v>2</v>
      </c>
      <c r="H4935">
        <v>1562.96</v>
      </c>
      <c r="I4935">
        <v>226.06</v>
      </c>
      <c r="J4935" t="s">
        <v>71</v>
      </c>
      <c r="K4935" t="s">
        <v>29</v>
      </c>
      <c r="L4935">
        <f t="shared" si="231"/>
        <v>2022</v>
      </c>
      <c r="M4935" t="str">
        <f t="shared" si="232"/>
        <v>Jul</v>
      </c>
      <c r="N4935" s="2">
        <f t="shared" si="233"/>
        <v>0.14463581921482316</v>
      </c>
    </row>
    <row r="4936" spans="1:14" x14ac:dyDescent="0.45">
      <c r="A4936" t="s">
        <v>8792</v>
      </c>
      <c r="B4936" s="1">
        <v>45386</v>
      </c>
      <c r="C4936" t="s">
        <v>8793</v>
      </c>
      <c r="D4936" t="s">
        <v>13</v>
      </c>
      <c r="E4936" t="s">
        <v>20</v>
      </c>
      <c r="F4936" t="s">
        <v>21</v>
      </c>
      <c r="G4936">
        <v>1</v>
      </c>
      <c r="H4936">
        <v>5617.94</v>
      </c>
      <c r="I4936">
        <v>496.14</v>
      </c>
      <c r="J4936" t="s">
        <v>22</v>
      </c>
      <c r="K4936" t="s">
        <v>29</v>
      </c>
      <c r="L4936">
        <f t="shared" si="231"/>
        <v>2024</v>
      </c>
      <c r="M4936" t="str">
        <f t="shared" si="232"/>
        <v>Apr</v>
      </c>
      <c r="N4936" s="2">
        <f t="shared" si="233"/>
        <v>8.8313509934246359E-2</v>
      </c>
    </row>
    <row r="4937" spans="1:14" x14ac:dyDescent="0.45">
      <c r="A4937" t="s">
        <v>8794</v>
      </c>
      <c r="B4937" s="1">
        <v>44892</v>
      </c>
      <c r="C4937" t="s">
        <v>8795</v>
      </c>
      <c r="D4937" t="s">
        <v>26</v>
      </c>
      <c r="E4937" t="s">
        <v>36</v>
      </c>
      <c r="F4937" t="s">
        <v>64</v>
      </c>
      <c r="G4937">
        <v>2</v>
      </c>
      <c r="H4937">
        <v>15896.05</v>
      </c>
      <c r="I4937">
        <v>1058.77</v>
      </c>
      <c r="J4937" t="s">
        <v>16</v>
      </c>
      <c r="K4937" t="s">
        <v>29</v>
      </c>
      <c r="L4937">
        <f t="shared" si="231"/>
        <v>2022</v>
      </c>
      <c r="M4937" t="str">
        <f t="shared" si="232"/>
        <v>Nov</v>
      </c>
      <c r="N4937" s="2">
        <f t="shared" si="233"/>
        <v>6.6605854913642071E-2</v>
      </c>
    </row>
    <row r="4938" spans="1:14" x14ac:dyDescent="0.45">
      <c r="A4938" t="s">
        <v>8796</v>
      </c>
      <c r="B4938" s="1">
        <v>45046</v>
      </c>
      <c r="C4938" t="s">
        <v>6545</v>
      </c>
      <c r="D4938" t="s">
        <v>26</v>
      </c>
      <c r="E4938" t="s">
        <v>20</v>
      </c>
      <c r="F4938" t="s">
        <v>21</v>
      </c>
      <c r="G4938">
        <v>3</v>
      </c>
      <c r="H4938">
        <v>1067.25</v>
      </c>
      <c r="I4938">
        <v>81.91</v>
      </c>
      <c r="J4938" t="s">
        <v>71</v>
      </c>
      <c r="K4938" t="s">
        <v>29</v>
      </c>
      <c r="L4938">
        <f t="shared" si="231"/>
        <v>2023</v>
      </c>
      <c r="M4938" t="str">
        <f t="shared" si="232"/>
        <v>Apr</v>
      </c>
      <c r="N4938" s="2">
        <f t="shared" si="233"/>
        <v>7.6748653080346688E-2</v>
      </c>
    </row>
    <row r="4939" spans="1:14" x14ac:dyDescent="0.45">
      <c r="A4939" t="s">
        <v>8797</v>
      </c>
      <c r="B4939" s="1">
        <v>45242</v>
      </c>
      <c r="C4939" t="s">
        <v>2180</v>
      </c>
      <c r="D4939" t="s">
        <v>26</v>
      </c>
      <c r="E4939" t="s">
        <v>14</v>
      </c>
      <c r="F4939" t="s">
        <v>32</v>
      </c>
      <c r="G4939">
        <v>2</v>
      </c>
      <c r="H4939">
        <v>29918.37</v>
      </c>
      <c r="I4939">
        <v>2703.99</v>
      </c>
      <c r="J4939" t="s">
        <v>71</v>
      </c>
      <c r="K4939" t="s">
        <v>33</v>
      </c>
      <c r="L4939">
        <f t="shared" si="231"/>
        <v>2023</v>
      </c>
      <c r="M4939" t="str">
        <f t="shared" si="232"/>
        <v>Nov</v>
      </c>
      <c r="N4939" s="2">
        <f t="shared" si="233"/>
        <v>9.0378921044161162E-2</v>
      </c>
    </row>
    <row r="4940" spans="1:14" x14ac:dyDescent="0.45">
      <c r="A4940" t="s">
        <v>8798</v>
      </c>
      <c r="B4940" s="1">
        <v>44714</v>
      </c>
      <c r="C4940" t="s">
        <v>8617</v>
      </c>
      <c r="D4940" t="s">
        <v>13</v>
      </c>
      <c r="E4940" t="s">
        <v>20</v>
      </c>
      <c r="F4940" t="s">
        <v>43</v>
      </c>
      <c r="G4940">
        <v>1</v>
      </c>
      <c r="H4940">
        <v>47945.54</v>
      </c>
      <c r="I4940">
        <v>9340.75</v>
      </c>
      <c r="J4940" t="s">
        <v>28</v>
      </c>
      <c r="K4940" t="s">
        <v>17</v>
      </c>
      <c r="L4940">
        <f t="shared" si="231"/>
        <v>2022</v>
      </c>
      <c r="M4940" t="str">
        <f t="shared" si="232"/>
        <v>Jun</v>
      </c>
      <c r="N4940" s="2">
        <f t="shared" si="233"/>
        <v>0.19481999785590068</v>
      </c>
    </row>
    <row r="4941" spans="1:14" x14ac:dyDescent="0.45">
      <c r="A4941" t="s">
        <v>8799</v>
      </c>
      <c r="B4941" s="1">
        <v>44573</v>
      </c>
      <c r="C4941" t="s">
        <v>8800</v>
      </c>
      <c r="D4941" t="s">
        <v>26</v>
      </c>
      <c r="E4941" t="s">
        <v>36</v>
      </c>
      <c r="F4941" t="s">
        <v>64</v>
      </c>
      <c r="G4941">
        <v>4</v>
      </c>
      <c r="H4941">
        <v>24753.5</v>
      </c>
      <c r="I4941">
        <v>2075.31</v>
      </c>
      <c r="J4941" t="s">
        <v>47</v>
      </c>
      <c r="K4941" t="s">
        <v>33</v>
      </c>
      <c r="L4941">
        <f t="shared" si="231"/>
        <v>2022</v>
      </c>
      <c r="M4941" t="str">
        <f t="shared" si="232"/>
        <v>Jan</v>
      </c>
      <c r="N4941" s="2">
        <f t="shared" si="233"/>
        <v>8.3839053063203176E-2</v>
      </c>
    </row>
    <row r="4942" spans="1:14" x14ac:dyDescent="0.45">
      <c r="A4942" t="s">
        <v>8801</v>
      </c>
      <c r="B4942" s="1">
        <v>44664</v>
      </c>
      <c r="C4942" t="s">
        <v>6615</v>
      </c>
      <c r="D4942" t="s">
        <v>26</v>
      </c>
      <c r="E4942" t="s">
        <v>14</v>
      </c>
      <c r="F4942" t="s">
        <v>15</v>
      </c>
      <c r="G4942">
        <v>3</v>
      </c>
      <c r="H4942">
        <v>3797.33</v>
      </c>
      <c r="I4942">
        <v>768.38</v>
      </c>
      <c r="J4942" t="s">
        <v>47</v>
      </c>
      <c r="K4942" t="s">
        <v>29</v>
      </c>
      <c r="L4942">
        <f t="shared" si="231"/>
        <v>2022</v>
      </c>
      <c r="M4942" t="str">
        <f t="shared" si="232"/>
        <v>Apr</v>
      </c>
      <c r="N4942" s="2">
        <f t="shared" si="233"/>
        <v>0.20234743885835574</v>
      </c>
    </row>
    <row r="4943" spans="1:14" x14ac:dyDescent="0.45">
      <c r="A4943" t="s">
        <v>8802</v>
      </c>
      <c r="B4943" s="1">
        <v>44900</v>
      </c>
      <c r="C4943" t="s">
        <v>2521</v>
      </c>
      <c r="D4943" t="s">
        <v>13</v>
      </c>
      <c r="E4943" t="s">
        <v>14</v>
      </c>
      <c r="F4943" t="s">
        <v>32</v>
      </c>
      <c r="G4943">
        <v>2</v>
      </c>
      <c r="H4943">
        <v>18085.97</v>
      </c>
      <c r="I4943">
        <v>1265.2</v>
      </c>
      <c r="J4943" t="s">
        <v>47</v>
      </c>
      <c r="K4943" t="s">
        <v>17</v>
      </c>
      <c r="L4943">
        <f t="shared" si="231"/>
        <v>2022</v>
      </c>
      <c r="M4943" t="str">
        <f t="shared" si="232"/>
        <v>Dec</v>
      </c>
      <c r="N4943" s="2">
        <f t="shared" si="233"/>
        <v>6.9954777100702914E-2</v>
      </c>
    </row>
    <row r="4944" spans="1:14" x14ac:dyDescent="0.45">
      <c r="A4944" t="s">
        <v>8803</v>
      </c>
      <c r="B4944" s="1">
        <v>45410</v>
      </c>
      <c r="C4944" t="s">
        <v>8804</v>
      </c>
      <c r="D4944" t="s">
        <v>26</v>
      </c>
      <c r="E4944" t="s">
        <v>14</v>
      </c>
      <c r="F4944" t="s">
        <v>15</v>
      </c>
      <c r="G4944">
        <v>2</v>
      </c>
      <c r="H4944">
        <v>45969.89</v>
      </c>
      <c r="I4944">
        <v>9067.23</v>
      </c>
      <c r="J4944" t="s">
        <v>71</v>
      </c>
      <c r="K4944" t="s">
        <v>23</v>
      </c>
      <c r="L4944">
        <f t="shared" si="231"/>
        <v>2024</v>
      </c>
      <c r="M4944" t="str">
        <f t="shared" si="232"/>
        <v>Apr</v>
      </c>
      <c r="N4944" s="2">
        <f t="shared" si="233"/>
        <v>0.19724280393100788</v>
      </c>
    </row>
    <row r="4945" spans="1:14" x14ac:dyDescent="0.45">
      <c r="A4945" t="s">
        <v>8805</v>
      </c>
      <c r="B4945" s="1">
        <v>45447</v>
      </c>
      <c r="C4945" t="s">
        <v>8806</v>
      </c>
      <c r="D4945" t="s">
        <v>13</v>
      </c>
      <c r="E4945" t="s">
        <v>14</v>
      </c>
      <c r="F4945" t="s">
        <v>57</v>
      </c>
      <c r="G4945">
        <v>2</v>
      </c>
      <c r="H4945">
        <v>35525.86</v>
      </c>
      <c r="I4945">
        <v>8657.36</v>
      </c>
      <c r="J4945" t="s">
        <v>16</v>
      </c>
      <c r="K4945" t="s">
        <v>17</v>
      </c>
      <c r="L4945">
        <f t="shared" si="231"/>
        <v>2024</v>
      </c>
      <c r="M4945" t="str">
        <f t="shared" si="232"/>
        <v>Jun</v>
      </c>
      <c r="N4945" s="2">
        <f t="shared" si="233"/>
        <v>0.24369177832711159</v>
      </c>
    </row>
    <row r="4946" spans="1:14" x14ac:dyDescent="0.45">
      <c r="A4946" t="s">
        <v>8807</v>
      </c>
      <c r="B4946" s="1">
        <v>44970</v>
      </c>
      <c r="C4946" t="s">
        <v>8808</v>
      </c>
      <c r="D4946" t="s">
        <v>26</v>
      </c>
      <c r="E4946" t="s">
        <v>36</v>
      </c>
      <c r="F4946" t="s">
        <v>64</v>
      </c>
      <c r="G4946">
        <v>4</v>
      </c>
      <c r="H4946">
        <v>12485.26</v>
      </c>
      <c r="I4946">
        <v>1812.6</v>
      </c>
      <c r="J4946" t="s">
        <v>71</v>
      </c>
      <c r="K4946" t="s">
        <v>29</v>
      </c>
      <c r="L4946">
        <f t="shared" si="231"/>
        <v>2023</v>
      </c>
      <c r="M4946" t="str">
        <f t="shared" si="232"/>
        <v>Feb</v>
      </c>
      <c r="N4946" s="2">
        <f t="shared" si="233"/>
        <v>0.14517919530710613</v>
      </c>
    </row>
    <row r="4947" spans="1:14" x14ac:dyDescent="0.45">
      <c r="A4947" t="s">
        <v>8809</v>
      </c>
      <c r="B4947" s="1">
        <v>45185</v>
      </c>
      <c r="C4947" t="s">
        <v>1944</v>
      </c>
      <c r="D4947" t="s">
        <v>26</v>
      </c>
      <c r="E4947" t="s">
        <v>20</v>
      </c>
      <c r="F4947" t="s">
        <v>27</v>
      </c>
      <c r="G4947">
        <v>1</v>
      </c>
      <c r="H4947">
        <v>4683.05</v>
      </c>
      <c r="I4947">
        <v>1038.02</v>
      </c>
      <c r="J4947" t="s">
        <v>71</v>
      </c>
      <c r="K4947" t="s">
        <v>23</v>
      </c>
      <c r="L4947">
        <f t="shared" si="231"/>
        <v>2023</v>
      </c>
      <c r="M4947" t="str">
        <f t="shared" si="232"/>
        <v>Sep</v>
      </c>
      <c r="N4947" s="2">
        <f t="shared" si="233"/>
        <v>0.22165469085318329</v>
      </c>
    </row>
    <row r="4948" spans="1:14" x14ac:dyDescent="0.45">
      <c r="A4948" t="s">
        <v>8810</v>
      </c>
      <c r="B4948" s="1">
        <v>45462</v>
      </c>
      <c r="C4948" t="s">
        <v>4761</v>
      </c>
      <c r="D4948" t="s">
        <v>56</v>
      </c>
      <c r="E4948" t="s">
        <v>14</v>
      </c>
      <c r="F4948" t="s">
        <v>40</v>
      </c>
      <c r="G4948">
        <v>5</v>
      </c>
      <c r="H4948">
        <v>29004.92</v>
      </c>
      <c r="I4948">
        <v>2576.73</v>
      </c>
      <c r="J4948" t="s">
        <v>47</v>
      </c>
      <c r="K4948" t="s">
        <v>33</v>
      </c>
      <c r="L4948">
        <f t="shared" si="231"/>
        <v>2024</v>
      </c>
      <c r="M4948" t="str">
        <f t="shared" si="232"/>
        <v>Jun</v>
      </c>
      <c r="N4948" s="2">
        <f t="shared" si="233"/>
        <v>8.8837686847610689E-2</v>
      </c>
    </row>
    <row r="4949" spans="1:14" x14ac:dyDescent="0.45">
      <c r="A4949" t="s">
        <v>8811</v>
      </c>
      <c r="B4949" s="1">
        <v>44689</v>
      </c>
      <c r="C4949" t="s">
        <v>3836</v>
      </c>
      <c r="D4949" t="s">
        <v>56</v>
      </c>
      <c r="E4949" t="s">
        <v>20</v>
      </c>
      <c r="F4949" t="s">
        <v>50</v>
      </c>
      <c r="G4949">
        <v>1</v>
      </c>
      <c r="H4949">
        <v>31676.080000000002</v>
      </c>
      <c r="I4949">
        <v>7113.72</v>
      </c>
      <c r="J4949" t="s">
        <v>22</v>
      </c>
      <c r="K4949" t="s">
        <v>29</v>
      </c>
      <c r="L4949">
        <f t="shared" si="231"/>
        <v>2022</v>
      </c>
      <c r="M4949" t="str">
        <f t="shared" si="232"/>
        <v>May</v>
      </c>
      <c r="N4949" s="2">
        <f t="shared" si="233"/>
        <v>0.22457703099625964</v>
      </c>
    </row>
    <row r="4950" spans="1:14" x14ac:dyDescent="0.45">
      <c r="A4950" t="s">
        <v>8812</v>
      </c>
      <c r="B4950" s="1">
        <v>45363</v>
      </c>
      <c r="C4950" t="s">
        <v>8813</v>
      </c>
      <c r="D4950" t="s">
        <v>56</v>
      </c>
      <c r="E4950" t="s">
        <v>20</v>
      </c>
      <c r="F4950" t="s">
        <v>43</v>
      </c>
      <c r="G4950">
        <v>1</v>
      </c>
      <c r="H4950">
        <v>4835.2700000000004</v>
      </c>
      <c r="I4950">
        <v>815.6</v>
      </c>
      <c r="J4950" t="s">
        <v>22</v>
      </c>
      <c r="K4950" t="s">
        <v>17</v>
      </c>
      <c r="L4950">
        <f t="shared" si="231"/>
        <v>2024</v>
      </c>
      <c r="M4950" t="str">
        <f t="shared" si="232"/>
        <v>Mar</v>
      </c>
      <c r="N4950" s="2">
        <f t="shared" si="233"/>
        <v>0.16867724036093124</v>
      </c>
    </row>
    <row r="4951" spans="1:14" x14ac:dyDescent="0.45">
      <c r="A4951" t="s">
        <v>8814</v>
      </c>
      <c r="B4951" s="1">
        <v>45301</v>
      </c>
      <c r="C4951" t="s">
        <v>8815</v>
      </c>
      <c r="D4951" t="s">
        <v>56</v>
      </c>
      <c r="E4951" t="s">
        <v>36</v>
      </c>
      <c r="F4951" t="s">
        <v>64</v>
      </c>
      <c r="G4951">
        <v>1</v>
      </c>
      <c r="H4951">
        <v>37068.89</v>
      </c>
      <c r="I4951">
        <v>5260.75</v>
      </c>
      <c r="J4951" t="s">
        <v>47</v>
      </c>
      <c r="K4951" t="s">
        <v>17</v>
      </c>
      <c r="L4951">
        <f t="shared" si="231"/>
        <v>2024</v>
      </c>
      <c r="M4951" t="str">
        <f t="shared" si="232"/>
        <v>Jan</v>
      </c>
      <c r="N4951" s="2">
        <f t="shared" si="233"/>
        <v>0.14191819609381345</v>
      </c>
    </row>
    <row r="4952" spans="1:14" x14ac:dyDescent="0.45">
      <c r="A4952" t="s">
        <v>8816</v>
      </c>
      <c r="B4952" s="1">
        <v>45544</v>
      </c>
      <c r="C4952" t="s">
        <v>8817</v>
      </c>
      <c r="D4952" t="s">
        <v>56</v>
      </c>
      <c r="E4952" t="s">
        <v>20</v>
      </c>
      <c r="F4952" t="s">
        <v>21</v>
      </c>
      <c r="G4952">
        <v>1</v>
      </c>
      <c r="H4952">
        <v>1149.45</v>
      </c>
      <c r="I4952">
        <v>158.15</v>
      </c>
      <c r="J4952" t="s">
        <v>28</v>
      </c>
      <c r="K4952" t="s">
        <v>17</v>
      </c>
      <c r="L4952">
        <f t="shared" si="231"/>
        <v>2024</v>
      </c>
      <c r="M4952" t="str">
        <f t="shared" si="232"/>
        <v>Sep</v>
      </c>
      <c r="N4952" s="2">
        <f t="shared" si="233"/>
        <v>0.13758754186784983</v>
      </c>
    </row>
    <row r="4953" spans="1:14" x14ac:dyDescent="0.45">
      <c r="A4953" t="s">
        <v>8818</v>
      </c>
      <c r="B4953" s="1">
        <v>45185</v>
      </c>
      <c r="C4953" t="s">
        <v>212</v>
      </c>
      <c r="D4953" t="s">
        <v>26</v>
      </c>
      <c r="E4953" t="s">
        <v>14</v>
      </c>
      <c r="F4953" t="s">
        <v>40</v>
      </c>
      <c r="G4953">
        <v>5</v>
      </c>
      <c r="H4953">
        <v>18401.439999999999</v>
      </c>
      <c r="I4953">
        <v>2566.75</v>
      </c>
      <c r="J4953" t="s">
        <v>71</v>
      </c>
      <c r="K4953" t="s">
        <v>29</v>
      </c>
      <c r="L4953">
        <f t="shared" si="231"/>
        <v>2023</v>
      </c>
      <c r="M4953" t="str">
        <f t="shared" si="232"/>
        <v>Sep</v>
      </c>
      <c r="N4953" s="2">
        <f t="shared" si="233"/>
        <v>0.13948636628437774</v>
      </c>
    </row>
    <row r="4954" spans="1:14" x14ac:dyDescent="0.45">
      <c r="A4954" t="s">
        <v>8819</v>
      </c>
      <c r="B4954" s="1">
        <v>44825</v>
      </c>
      <c r="C4954" t="s">
        <v>8820</v>
      </c>
      <c r="D4954" t="s">
        <v>13</v>
      </c>
      <c r="E4954" t="s">
        <v>14</v>
      </c>
      <c r="F4954" t="s">
        <v>15</v>
      </c>
      <c r="G4954">
        <v>1</v>
      </c>
      <c r="H4954">
        <v>47799.77</v>
      </c>
      <c r="I4954">
        <v>10023.280000000001</v>
      </c>
      <c r="J4954" t="s">
        <v>47</v>
      </c>
      <c r="K4954" t="s">
        <v>23</v>
      </c>
      <c r="L4954">
        <f t="shared" si="231"/>
        <v>2022</v>
      </c>
      <c r="M4954" t="str">
        <f t="shared" si="232"/>
        <v>Sep</v>
      </c>
      <c r="N4954" s="2">
        <f t="shared" si="233"/>
        <v>0.20969305919254427</v>
      </c>
    </row>
    <row r="4955" spans="1:14" x14ac:dyDescent="0.45">
      <c r="A4955" t="s">
        <v>8821</v>
      </c>
      <c r="B4955" s="1">
        <v>45273</v>
      </c>
      <c r="C4955" t="s">
        <v>8822</v>
      </c>
      <c r="D4955" t="s">
        <v>26</v>
      </c>
      <c r="E4955" t="s">
        <v>14</v>
      </c>
      <c r="F4955" t="s">
        <v>15</v>
      </c>
      <c r="G4955">
        <v>1</v>
      </c>
      <c r="H4955">
        <v>27781.49</v>
      </c>
      <c r="I4955">
        <v>6504.56</v>
      </c>
      <c r="J4955" t="s">
        <v>71</v>
      </c>
      <c r="K4955" t="s">
        <v>33</v>
      </c>
      <c r="L4955">
        <f t="shared" si="231"/>
        <v>2023</v>
      </c>
      <c r="M4955" t="str">
        <f t="shared" si="232"/>
        <v>Dec</v>
      </c>
      <c r="N4955" s="2">
        <f t="shared" si="233"/>
        <v>0.23413287048318862</v>
      </c>
    </row>
    <row r="4956" spans="1:14" x14ac:dyDescent="0.45">
      <c r="A4956" t="s">
        <v>8823</v>
      </c>
      <c r="B4956" s="1">
        <v>44922</v>
      </c>
      <c r="C4956" t="s">
        <v>253</v>
      </c>
      <c r="D4956" t="s">
        <v>26</v>
      </c>
      <c r="E4956" t="s">
        <v>14</v>
      </c>
      <c r="F4956" t="s">
        <v>32</v>
      </c>
      <c r="G4956">
        <v>1</v>
      </c>
      <c r="H4956">
        <v>23017.31</v>
      </c>
      <c r="I4956">
        <v>4466.3900000000003</v>
      </c>
      <c r="J4956" t="s">
        <v>16</v>
      </c>
      <c r="K4956" t="s">
        <v>17</v>
      </c>
      <c r="L4956">
        <f t="shared" si="231"/>
        <v>2022</v>
      </c>
      <c r="M4956" t="str">
        <f t="shared" si="232"/>
        <v>Dec</v>
      </c>
      <c r="N4956" s="2">
        <f t="shared" si="233"/>
        <v>0.19404482973900947</v>
      </c>
    </row>
    <row r="4957" spans="1:14" x14ac:dyDescent="0.45">
      <c r="A4957" t="s">
        <v>8824</v>
      </c>
      <c r="B4957" s="1">
        <v>44791</v>
      </c>
      <c r="C4957" t="s">
        <v>8825</v>
      </c>
      <c r="D4957" t="s">
        <v>56</v>
      </c>
      <c r="E4957" t="s">
        <v>36</v>
      </c>
      <c r="F4957" t="s">
        <v>37</v>
      </c>
      <c r="G4957">
        <v>5</v>
      </c>
      <c r="H4957">
        <v>40213.730000000003</v>
      </c>
      <c r="I4957">
        <v>5751.72</v>
      </c>
      <c r="J4957" t="s">
        <v>47</v>
      </c>
      <c r="K4957" t="s">
        <v>23</v>
      </c>
      <c r="L4957">
        <f t="shared" si="231"/>
        <v>2022</v>
      </c>
      <c r="M4957" t="str">
        <f t="shared" si="232"/>
        <v>Aug</v>
      </c>
      <c r="N4957" s="2">
        <f t="shared" si="233"/>
        <v>0.14302876156974248</v>
      </c>
    </row>
    <row r="4958" spans="1:14" x14ac:dyDescent="0.45">
      <c r="A4958" t="s">
        <v>8826</v>
      </c>
      <c r="B4958" s="1">
        <v>45212</v>
      </c>
      <c r="C4958" t="s">
        <v>8827</v>
      </c>
      <c r="D4958" t="s">
        <v>26</v>
      </c>
      <c r="E4958" t="s">
        <v>36</v>
      </c>
      <c r="F4958" t="s">
        <v>64</v>
      </c>
      <c r="G4958">
        <v>2</v>
      </c>
      <c r="H4958">
        <v>33326.94</v>
      </c>
      <c r="I4958">
        <v>7797.85</v>
      </c>
      <c r="J4958" t="s">
        <v>16</v>
      </c>
      <c r="K4958" t="s">
        <v>23</v>
      </c>
      <c r="L4958">
        <f t="shared" si="231"/>
        <v>2023</v>
      </c>
      <c r="M4958" t="str">
        <f t="shared" si="232"/>
        <v>Oct</v>
      </c>
      <c r="N4958" s="2">
        <f t="shared" si="233"/>
        <v>0.2339803774363923</v>
      </c>
    </row>
    <row r="4959" spans="1:14" x14ac:dyDescent="0.45">
      <c r="A4959" t="s">
        <v>8828</v>
      </c>
      <c r="B4959" s="1">
        <v>45267</v>
      </c>
      <c r="C4959" t="s">
        <v>8829</v>
      </c>
      <c r="D4959" t="s">
        <v>56</v>
      </c>
      <c r="E4959" t="s">
        <v>36</v>
      </c>
      <c r="F4959" t="s">
        <v>53</v>
      </c>
      <c r="G4959">
        <v>1</v>
      </c>
      <c r="H4959">
        <v>34552.36</v>
      </c>
      <c r="I4959">
        <v>4479.25</v>
      </c>
      <c r="J4959" t="s">
        <v>71</v>
      </c>
      <c r="K4959" t="s">
        <v>33</v>
      </c>
      <c r="L4959">
        <f t="shared" si="231"/>
        <v>2023</v>
      </c>
      <c r="M4959" t="str">
        <f t="shared" si="232"/>
        <v>Dec</v>
      </c>
      <c r="N4959" s="2">
        <f t="shared" si="233"/>
        <v>0.12963658632869071</v>
      </c>
    </row>
    <row r="4960" spans="1:14" x14ac:dyDescent="0.45">
      <c r="A4960" t="s">
        <v>8830</v>
      </c>
      <c r="B4960" s="1">
        <v>45231</v>
      </c>
      <c r="C4960" t="s">
        <v>8831</v>
      </c>
      <c r="D4960" t="s">
        <v>56</v>
      </c>
      <c r="E4960" t="s">
        <v>14</v>
      </c>
      <c r="F4960" t="s">
        <v>15</v>
      </c>
      <c r="G4960">
        <v>2</v>
      </c>
      <c r="H4960">
        <v>46626.67</v>
      </c>
      <c r="I4960">
        <v>6492.86</v>
      </c>
      <c r="J4960" t="s">
        <v>22</v>
      </c>
      <c r="K4960" t="s">
        <v>23</v>
      </c>
      <c r="L4960">
        <f t="shared" si="231"/>
        <v>2023</v>
      </c>
      <c r="M4960" t="str">
        <f t="shared" si="232"/>
        <v>Nov</v>
      </c>
      <c r="N4960" s="2">
        <f t="shared" si="233"/>
        <v>0.13925206325049591</v>
      </c>
    </row>
    <row r="4961" spans="1:14" x14ac:dyDescent="0.45">
      <c r="A4961" t="s">
        <v>8832</v>
      </c>
      <c r="B4961" s="1">
        <v>45347</v>
      </c>
      <c r="C4961" t="s">
        <v>8833</v>
      </c>
      <c r="D4961" t="s">
        <v>13</v>
      </c>
      <c r="E4961" t="s">
        <v>36</v>
      </c>
      <c r="F4961" t="s">
        <v>37</v>
      </c>
      <c r="G4961">
        <v>1</v>
      </c>
      <c r="H4961">
        <v>10542.87</v>
      </c>
      <c r="I4961">
        <v>2324.17</v>
      </c>
      <c r="J4961" t="s">
        <v>16</v>
      </c>
      <c r="K4961" t="s">
        <v>17</v>
      </c>
      <c r="L4961">
        <f t="shared" si="231"/>
        <v>2024</v>
      </c>
      <c r="M4961" t="str">
        <f t="shared" si="232"/>
        <v>Feb</v>
      </c>
      <c r="N4961" s="2">
        <f t="shared" si="233"/>
        <v>0.22044946015648489</v>
      </c>
    </row>
    <row r="4962" spans="1:14" x14ac:dyDescent="0.45">
      <c r="A4962" t="s">
        <v>8834</v>
      </c>
      <c r="B4962" s="1">
        <v>44654</v>
      </c>
      <c r="C4962" t="s">
        <v>8835</v>
      </c>
      <c r="D4962" t="s">
        <v>56</v>
      </c>
      <c r="E4962" t="s">
        <v>14</v>
      </c>
      <c r="F4962" t="s">
        <v>40</v>
      </c>
      <c r="G4962">
        <v>3</v>
      </c>
      <c r="H4962">
        <v>26814.89</v>
      </c>
      <c r="I4962">
        <v>6697.72</v>
      </c>
      <c r="J4962" t="s">
        <v>71</v>
      </c>
      <c r="K4962" t="s">
        <v>29</v>
      </c>
      <c r="L4962">
        <f t="shared" si="231"/>
        <v>2022</v>
      </c>
      <c r="M4962" t="str">
        <f t="shared" si="232"/>
        <v>Apr</v>
      </c>
      <c r="N4962" s="2">
        <f t="shared" si="233"/>
        <v>0.24977615048952281</v>
      </c>
    </row>
    <row r="4963" spans="1:14" x14ac:dyDescent="0.45">
      <c r="A4963" t="s">
        <v>8836</v>
      </c>
      <c r="B4963" s="1">
        <v>44688</v>
      </c>
      <c r="C4963" t="s">
        <v>2305</v>
      </c>
      <c r="D4963" t="s">
        <v>13</v>
      </c>
      <c r="E4963" t="s">
        <v>14</v>
      </c>
      <c r="F4963" t="s">
        <v>57</v>
      </c>
      <c r="G4963">
        <v>4</v>
      </c>
      <c r="H4963">
        <v>9012.39</v>
      </c>
      <c r="I4963">
        <v>1158.03</v>
      </c>
      <c r="J4963" t="s">
        <v>28</v>
      </c>
      <c r="K4963" t="s">
        <v>23</v>
      </c>
      <c r="L4963">
        <f t="shared" si="231"/>
        <v>2022</v>
      </c>
      <c r="M4963" t="str">
        <f t="shared" si="232"/>
        <v>May</v>
      </c>
      <c r="N4963" s="2">
        <f t="shared" si="233"/>
        <v>0.12849310782156564</v>
      </c>
    </row>
    <row r="4964" spans="1:14" x14ac:dyDescent="0.45">
      <c r="A4964" t="s">
        <v>8837</v>
      </c>
      <c r="B4964" s="1">
        <v>45274</v>
      </c>
      <c r="C4964" t="s">
        <v>8838</v>
      </c>
      <c r="D4964" t="s">
        <v>13</v>
      </c>
      <c r="E4964" t="s">
        <v>36</v>
      </c>
      <c r="F4964" t="s">
        <v>46</v>
      </c>
      <c r="G4964">
        <v>1</v>
      </c>
      <c r="H4964">
        <v>18037.27</v>
      </c>
      <c r="I4964">
        <v>2212.89</v>
      </c>
      <c r="J4964" t="s">
        <v>16</v>
      </c>
      <c r="K4964" t="s">
        <v>29</v>
      </c>
      <c r="L4964">
        <f t="shared" si="231"/>
        <v>2023</v>
      </c>
      <c r="M4964" t="str">
        <f t="shared" si="232"/>
        <v>Dec</v>
      </c>
      <c r="N4964" s="2">
        <f t="shared" si="233"/>
        <v>0.12268430865646519</v>
      </c>
    </row>
    <row r="4965" spans="1:14" x14ac:dyDescent="0.45">
      <c r="A4965" t="s">
        <v>8839</v>
      </c>
      <c r="B4965" s="1">
        <v>45002</v>
      </c>
      <c r="C4965" t="s">
        <v>8840</v>
      </c>
      <c r="D4965" t="s">
        <v>56</v>
      </c>
      <c r="E4965" t="s">
        <v>14</v>
      </c>
      <c r="F4965" t="s">
        <v>15</v>
      </c>
      <c r="G4965">
        <v>2</v>
      </c>
      <c r="H4965">
        <v>47088.91</v>
      </c>
      <c r="I4965">
        <v>8575.86</v>
      </c>
      <c r="J4965" t="s">
        <v>47</v>
      </c>
      <c r="K4965" t="s">
        <v>29</v>
      </c>
      <c r="L4965">
        <f t="shared" si="231"/>
        <v>2023</v>
      </c>
      <c r="M4965" t="str">
        <f t="shared" si="232"/>
        <v>Mar</v>
      </c>
      <c r="N4965" s="2">
        <f t="shared" si="233"/>
        <v>0.18212058847826379</v>
      </c>
    </row>
    <row r="4966" spans="1:14" x14ac:dyDescent="0.45">
      <c r="A4966" t="s">
        <v>8841</v>
      </c>
      <c r="B4966" s="1">
        <v>44710</v>
      </c>
      <c r="C4966" t="s">
        <v>7267</v>
      </c>
      <c r="D4966" t="s">
        <v>13</v>
      </c>
      <c r="E4966" t="s">
        <v>20</v>
      </c>
      <c r="F4966" t="s">
        <v>21</v>
      </c>
      <c r="G4966">
        <v>5</v>
      </c>
      <c r="H4966">
        <v>25611.56</v>
      </c>
      <c r="I4966">
        <v>3792.62</v>
      </c>
      <c r="J4966" t="s">
        <v>16</v>
      </c>
      <c r="K4966" t="s">
        <v>33</v>
      </c>
      <c r="L4966">
        <f t="shared" si="231"/>
        <v>2022</v>
      </c>
      <c r="M4966" t="str">
        <f t="shared" si="232"/>
        <v>May</v>
      </c>
      <c r="N4966" s="2">
        <f t="shared" si="233"/>
        <v>0.14808235031368647</v>
      </c>
    </row>
    <row r="4967" spans="1:14" x14ac:dyDescent="0.45">
      <c r="A4967" t="s">
        <v>8842</v>
      </c>
      <c r="B4967" s="1">
        <v>45171</v>
      </c>
      <c r="C4967" t="s">
        <v>8843</v>
      </c>
      <c r="D4967" t="s">
        <v>13</v>
      </c>
      <c r="E4967" t="s">
        <v>20</v>
      </c>
      <c r="F4967" t="s">
        <v>27</v>
      </c>
      <c r="G4967">
        <v>5</v>
      </c>
      <c r="H4967">
        <v>33674.6</v>
      </c>
      <c r="I4967">
        <v>2540.3000000000002</v>
      </c>
      <c r="J4967" t="s">
        <v>71</v>
      </c>
      <c r="K4967" t="s">
        <v>17</v>
      </c>
      <c r="L4967">
        <f t="shared" si="231"/>
        <v>2023</v>
      </c>
      <c r="M4967" t="str">
        <f t="shared" si="232"/>
        <v>Sep</v>
      </c>
      <c r="N4967" s="2">
        <f t="shared" si="233"/>
        <v>7.5436679277556387E-2</v>
      </c>
    </row>
    <row r="4968" spans="1:14" x14ac:dyDescent="0.45">
      <c r="A4968" t="s">
        <v>8844</v>
      </c>
      <c r="B4968" s="1">
        <v>44701</v>
      </c>
      <c r="C4968" t="s">
        <v>2148</v>
      </c>
      <c r="D4968" t="s">
        <v>13</v>
      </c>
      <c r="E4968" t="s">
        <v>14</v>
      </c>
      <c r="F4968" t="s">
        <v>32</v>
      </c>
      <c r="G4968">
        <v>1</v>
      </c>
      <c r="H4968">
        <v>2406.81</v>
      </c>
      <c r="I4968">
        <v>250.2</v>
      </c>
      <c r="J4968" t="s">
        <v>28</v>
      </c>
      <c r="K4968" t="s">
        <v>17</v>
      </c>
      <c r="L4968">
        <f t="shared" si="231"/>
        <v>2022</v>
      </c>
      <c r="M4968" t="str">
        <f t="shared" si="232"/>
        <v>May</v>
      </c>
      <c r="N4968" s="2">
        <f t="shared" si="233"/>
        <v>0.10395502760915901</v>
      </c>
    </row>
    <row r="4969" spans="1:14" x14ac:dyDescent="0.45">
      <c r="A4969" t="s">
        <v>8845</v>
      </c>
      <c r="B4969" s="1">
        <v>45385</v>
      </c>
      <c r="C4969" t="s">
        <v>6720</v>
      </c>
      <c r="D4969" t="s">
        <v>13</v>
      </c>
      <c r="E4969" t="s">
        <v>36</v>
      </c>
      <c r="F4969" t="s">
        <v>46</v>
      </c>
      <c r="G4969">
        <v>3</v>
      </c>
      <c r="H4969">
        <v>2609.25</v>
      </c>
      <c r="I4969">
        <v>569.66999999999996</v>
      </c>
      <c r="J4969" t="s">
        <v>71</v>
      </c>
      <c r="K4969" t="s">
        <v>29</v>
      </c>
      <c r="L4969">
        <f t="shared" si="231"/>
        <v>2024</v>
      </c>
      <c r="M4969" t="str">
        <f t="shared" si="232"/>
        <v>Apr</v>
      </c>
      <c r="N4969" s="2">
        <f t="shared" si="233"/>
        <v>0.21832710549008333</v>
      </c>
    </row>
    <row r="4970" spans="1:14" x14ac:dyDescent="0.45">
      <c r="A4970" t="s">
        <v>8846</v>
      </c>
      <c r="B4970" s="1">
        <v>45519</v>
      </c>
      <c r="C4970" t="s">
        <v>3862</v>
      </c>
      <c r="D4970" t="s">
        <v>56</v>
      </c>
      <c r="E4970" t="s">
        <v>14</v>
      </c>
      <c r="F4970" t="s">
        <v>40</v>
      </c>
      <c r="G4970">
        <v>4</v>
      </c>
      <c r="H4970">
        <v>24241.98</v>
      </c>
      <c r="I4970">
        <v>4717.54</v>
      </c>
      <c r="J4970" t="s">
        <v>16</v>
      </c>
      <c r="K4970" t="s">
        <v>23</v>
      </c>
      <c r="L4970">
        <f t="shared" si="231"/>
        <v>2024</v>
      </c>
      <c r="M4970" t="str">
        <f t="shared" si="232"/>
        <v>Aug</v>
      </c>
      <c r="N4970" s="2">
        <f t="shared" si="233"/>
        <v>0.19460209108331911</v>
      </c>
    </row>
    <row r="4971" spans="1:14" x14ac:dyDescent="0.45">
      <c r="A4971" t="s">
        <v>8847</v>
      </c>
      <c r="B4971" s="1">
        <v>44836</v>
      </c>
      <c r="C4971" t="s">
        <v>8848</v>
      </c>
      <c r="D4971" t="s">
        <v>26</v>
      </c>
      <c r="E4971" t="s">
        <v>14</v>
      </c>
      <c r="F4971" t="s">
        <v>15</v>
      </c>
      <c r="G4971">
        <v>1</v>
      </c>
      <c r="H4971">
        <v>19053.07</v>
      </c>
      <c r="I4971">
        <v>3052.9</v>
      </c>
      <c r="J4971" t="s">
        <v>47</v>
      </c>
      <c r="K4971" t="s">
        <v>17</v>
      </c>
      <c r="L4971">
        <f t="shared" si="231"/>
        <v>2022</v>
      </c>
      <c r="M4971" t="str">
        <f t="shared" si="232"/>
        <v>Oct</v>
      </c>
      <c r="N4971" s="2">
        <f t="shared" si="233"/>
        <v>0.16023139578031256</v>
      </c>
    </row>
    <row r="4972" spans="1:14" x14ac:dyDescent="0.45">
      <c r="A4972" t="s">
        <v>8849</v>
      </c>
      <c r="B4972" s="1">
        <v>45058</v>
      </c>
      <c r="C4972" t="s">
        <v>8850</v>
      </c>
      <c r="D4972" t="s">
        <v>13</v>
      </c>
      <c r="E4972" t="s">
        <v>20</v>
      </c>
      <c r="F4972" t="s">
        <v>43</v>
      </c>
      <c r="G4972">
        <v>1</v>
      </c>
      <c r="H4972">
        <v>30694.58</v>
      </c>
      <c r="I4972">
        <v>2855.02</v>
      </c>
      <c r="J4972" t="s">
        <v>47</v>
      </c>
      <c r="K4972" t="s">
        <v>33</v>
      </c>
      <c r="L4972">
        <f t="shared" si="231"/>
        <v>2023</v>
      </c>
      <c r="M4972" t="str">
        <f t="shared" si="232"/>
        <v>May</v>
      </c>
      <c r="N4972" s="2">
        <f t="shared" si="233"/>
        <v>9.3013815468398653E-2</v>
      </c>
    </row>
    <row r="4973" spans="1:14" x14ac:dyDescent="0.45">
      <c r="A4973" t="s">
        <v>8851</v>
      </c>
      <c r="B4973" s="1">
        <v>45599</v>
      </c>
      <c r="C4973" t="s">
        <v>8852</v>
      </c>
      <c r="D4973" t="s">
        <v>56</v>
      </c>
      <c r="E4973" t="s">
        <v>36</v>
      </c>
      <c r="F4973" t="s">
        <v>53</v>
      </c>
      <c r="G4973">
        <v>1</v>
      </c>
      <c r="H4973">
        <v>27583.17</v>
      </c>
      <c r="I4973">
        <v>2127.85</v>
      </c>
      <c r="J4973" t="s">
        <v>28</v>
      </c>
      <c r="K4973" t="s">
        <v>23</v>
      </c>
      <c r="L4973">
        <f t="shared" si="231"/>
        <v>2024</v>
      </c>
      <c r="M4973" t="str">
        <f t="shared" si="232"/>
        <v>Nov</v>
      </c>
      <c r="N4973" s="2">
        <f t="shared" si="233"/>
        <v>7.7143054986065773E-2</v>
      </c>
    </row>
    <row r="4974" spans="1:14" x14ac:dyDescent="0.45">
      <c r="A4974" t="s">
        <v>8853</v>
      </c>
      <c r="B4974" s="1">
        <v>44864</v>
      </c>
      <c r="C4974" t="s">
        <v>8854</v>
      </c>
      <c r="D4974" t="s">
        <v>13</v>
      </c>
      <c r="E4974" t="s">
        <v>36</v>
      </c>
      <c r="F4974" t="s">
        <v>64</v>
      </c>
      <c r="G4974">
        <v>3</v>
      </c>
      <c r="H4974">
        <v>11232.19</v>
      </c>
      <c r="I4974">
        <v>1596.44</v>
      </c>
      <c r="J4974" t="s">
        <v>16</v>
      </c>
      <c r="K4974" t="s">
        <v>33</v>
      </c>
      <c r="L4974">
        <f t="shared" si="231"/>
        <v>2022</v>
      </c>
      <c r="M4974" t="str">
        <f t="shared" si="232"/>
        <v>Oct</v>
      </c>
      <c r="N4974" s="2">
        <f t="shared" si="233"/>
        <v>0.14213078660528355</v>
      </c>
    </row>
    <row r="4975" spans="1:14" x14ac:dyDescent="0.45">
      <c r="A4975" t="s">
        <v>8855</v>
      </c>
      <c r="B4975" s="1">
        <v>45494</v>
      </c>
      <c r="C4975" t="s">
        <v>8856</v>
      </c>
      <c r="D4975" t="s">
        <v>56</v>
      </c>
      <c r="E4975" t="s">
        <v>14</v>
      </c>
      <c r="F4975" t="s">
        <v>57</v>
      </c>
      <c r="G4975">
        <v>2</v>
      </c>
      <c r="H4975">
        <v>16143.7</v>
      </c>
      <c r="I4975">
        <v>888</v>
      </c>
      <c r="J4975" t="s">
        <v>28</v>
      </c>
      <c r="K4975" t="s">
        <v>23</v>
      </c>
      <c r="L4975">
        <f t="shared" si="231"/>
        <v>2024</v>
      </c>
      <c r="M4975" t="str">
        <f t="shared" si="232"/>
        <v>Jul</v>
      </c>
      <c r="N4975" s="2">
        <f t="shared" si="233"/>
        <v>5.5005977564003293E-2</v>
      </c>
    </row>
    <row r="4976" spans="1:14" x14ac:dyDescent="0.45">
      <c r="A4976" t="s">
        <v>8857</v>
      </c>
      <c r="B4976" s="1">
        <v>45194</v>
      </c>
      <c r="C4976" t="s">
        <v>8858</v>
      </c>
      <c r="D4976" t="s">
        <v>26</v>
      </c>
      <c r="E4976" t="s">
        <v>20</v>
      </c>
      <c r="F4976" t="s">
        <v>21</v>
      </c>
      <c r="G4976">
        <v>5</v>
      </c>
      <c r="H4976">
        <v>10075.6</v>
      </c>
      <c r="I4976">
        <v>2337.56</v>
      </c>
      <c r="J4976" t="s">
        <v>71</v>
      </c>
      <c r="K4976" t="s">
        <v>29</v>
      </c>
      <c r="L4976">
        <f t="shared" si="231"/>
        <v>2023</v>
      </c>
      <c r="M4976" t="str">
        <f t="shared" si="232"/>
        <v>Sep</v>
      </c>
      <c r="N4976" s="2">
        <f t="shared" si="233"/>
        <v>0.23200206439318749</v>
      </c>
    </row>
    <row r="4977" spans="1:14" x14ac:dyDescent="0.45">
      <c r="A4977" t="s">
        <v>8859</v>
      </c>
      <c r="B4977" s="1">
        <v>44568</v>
      </c>
      <c r="C4977" t="s">
        <v>8860</v>
      </c>
      <c r="D4977" t="s">
        <v>56</v>
      </c>
      <c r="E4977" t="s">
        <v>14</v>
      </c>
      <c r="F4977" t="s">
        <v>15</v>
      </c>
      <c r="G4977">
        <v>4</v>
      </c>
      <c r="H4977">
        <v>46407.1</v>
      </c>
      <c r="I4977">
        <v>3690.07</v>
      </c>
      <c r="J4977" t="s">
        <v>16</v>
      </c>
      <c r="K4977" t="s">
        <v>23</v>
      </c>
      <c r="L4977">
        <f t="shared" si="231"/>
        <v>2022</v>
      </c>
      <c r="M4977" t="str">
        <f t="shared" si="232"/>
        <v>Jan</v>
      </c>
      <c r="N4977" s="2">
        <f t="shared" si="233"/>
        <v>7.9515203492569034E-2</v>
      </c>
    </row>
    <row r="4978" spans="1:14" x14ac:dyDescent="0.45">
      <c r="A4978" t="s">
        <v>8861</v>
      </c>
      <c r="B4978" s="1">
        <v>45538</v>
      </c>
      <c r="C4978" t="s">
        <v>7226</v>
      </c>
      <c r="D4978" t="s">
        <v>56</v>
      </c>
      <c r="E4978" t="s">
        <v>20</v>
      </c>
      <c r="F4978" t="s">
        <v>27</v>
      </c>
      <c r="G4978">
        <v>3</v>
      </c>
      <c r="H4978">
        <v>14000.07</v>
      </c>
      <c r="I4978">
        <v>1431.98</v>
      </c>
      <c r="J4978" t="s">
        <v>22</v>
      </c>
      <c r="K4978" t="s">
        <v>17</v>
      </c>
      <c r="L4978">
        <f t="shared" si="231"/>
        <v>2024</v>
      </c>
      <c r="M4978" t="str">
        <f t="shared" si="232"/>
        <v>Sep</v>
      </c>
      <c r="N4978" s="2">
        <f t="shared" si="233"/>
        <v>0.10228377429541424</v>
      </c>
    </row>
    <row r="4979" spans="1:14" x14ac:dyDescent="0.45">
      <c r="A4979" t="s">
        <v>8862</v>
      </c>
      <c r="B4979" s="1">
        <v>44902</v>
      </c>
      <c r="C4979" t="s">
        <v>5660</v>
      </c>
      <c r="D4979" t="s">
        <v>56</v>
      </c>
      <c r="E4979" t="s">
        <v>36</v>
      </c>
      <c r="F4979" t="s">
        <v>53</v>
      </c>
      <c r="G4979">
        <v>2</v>
      </c>
      <c r="H4979">
        <v>49487.64</v>
      </c>
      <c r="I4979">
        <v>9781.81</v>
      </c>
      <c r="J4979" t="s">
        <v>16</v>
      </c>
      <c r="K4979" t="s">
        <v>17</v>
      </c>
      <c r="L4979">
        <f t="shared" si="231"/>
        <v>2022</v>
      </c>
      <c r="M4979" t="str">
        <f t="shared" si="232"/>
        <v>Dec</v>
      </c>
      <c r="N4979" s="2">
        <f t="shared" si="233"/>
        <v>0.19766167875453344</v>
      </c>
    </row>
    <row r="4980" spans="1:14" x14ac:dyDescent="0.45">
      <c r="A4980" t="s">
        <v>8863</v>
      </c>
      <c r="B4980" s="1">
        <v>45479</v>
      </c>
      <c r="C4980" t="s">
        <v>6652</v>
      </c>
      <c r="D4980" t="s">
        <v>13</v>
      </c>
      <c r="E4980" t="s">
        <v>20</v>
      </c>
      <c r="F4980" t="s">
        <v>43</v>
      </c>
      <c r="G4980">
        <v>1</v>
      </c>
      <c r="H4980">
        <v>25805.15</v>
      </c>
      <c r="I4980">
        <v>3992.45</v>
      </c>
      <c r="J4980" t="s">
        <v>16</v>
      </c>
      <c r="K4980" t="s">
        <v>33</v>
      </c>
      <c r="L4980">
        <f t="shared" si="231"/>
        <v>2024</v>
      </c>
      <c r="M4980" t="str">
        <f t="shared" si="232"/>
        <v>Jul</v>
      </c>
      <c r="N4980" s="2">
        <f t="shared" si="233"/>
        <v>0.15471524094996539</v>
      </c>
    </row>
    <row r="4981" spans="1:14" x14ac:dyDescent="0.45">
      <c r="A4981" t="s">
        <v>8864</v>
      </c>
      <c r="B4981" s="1">
        <v>45293</v>
      </c>
      <c r="C4981" t="s">
        <v>343</v>
      </c>
      <c r="D4981" t="s">
        <v>26</v>
      </c>
      <c r="E4981" t="s">
        <v>20</v>
      </c>
      <c r="F4981" t="s">
        <v>27</v>
      </c>
      <c r="G4981">
        <v>4</v>
      </c>
      <c r="H4981">
        <v>12599.6</v>
      </c>
      <c r="I4981">
        <v>1201.67</v>
      </c>
      <c r="J4981" t="s">
        <v>22</v>
      </c>
      <c r="K4981" t="s">
        <v>23</v>
      </c>
      <c r="L4981">
        <f t="shared" si="231"/>
        <v>2024</v>
      </c>
      <c r="M4981" t="str">
        <f t="shared" si="232"/>
        <v>Jan</v>
      </c>
      <c r="N4981" s="2">
        <f t="shared" si="233"/>
        <v>9.5373662655957342E-2</v>
      </c>
    </row>
    <row r="4982" spans="1:14" x14ac:dyDescent="0.45">
      <c r="A4982" t="s">
        <v>8865</v>
      </c>
      <c r="B4982" s="1">
        <v>45432</v>
      </c>
      <c r="C4982" t="s">
        <v>8866</v>
      </c>
      <c r="D4982" t="s">
        <v>13</v>
      </c>
      <c r="E4982" t="s">
        <v>14</v>
      </c>
      <c r="F4982" t="s">
        <v>57</v>
      </c>
      <c r="G4982">
        <v>4</v>
      </c>
      <c r="H4982">
        <v>10847.97</v>
      </c>
      <c r="I4982">
        <v>873.43</v>
      </c>
      <c r="J4982" t="s">
        <v>16</v>
      </c>
      <c r="K4982" t="s">
        <v>33</v>
      </c>
      <c r="L4982">
        <f t="shared" si="231"/>
        <v>2024</v>
      </c>
      <c r="M4982" t="str">
        <f t="shared" si="232"/>
        <v>May</v>
      </c>
      <c r="N4982" s="2">
        <f t="shared" si="233"/>
        <v>8.0515525024497672E-2</v>
      </c>
    </row>
    <row r="4983" spans="1:14" x14ac:dyDescent="0.45">
      <c r="A4983" t="s">
        <v>8867</v>
      </c>
      <c r="B4983" s="1">
        <v>44720</v>
      </c>
      <c r="C4983" t="s">
        <v>6754</v>
      </c>
      <c r="D4983" t="s">
        <v>13</v>
      </c>
      <c r="E4983" t="s">
        <v>36</v>
      </c>
      <c r="F4983" t="s">
        <v>53</v>
      </c>
      <c r="G4983">
        <v>5</v>
      </c>
      <c r="H4983">
        <v>24282.560000000001</v>
      </c>
      <c r="I4983">
        <v>5276.77</v>
      </c>
      <c r="J4983" t="s">
        <v>16</v>
      </c>
      <c r="K4983" t="s">
        <v>33</v>
      </c>
      <c r="L4983">
        <f t="shared" si="231"/>
        <v>2022</v>
      </c>
      <c r="M4983" t="str">
        <f t="shared" si="232"/>
        <v>Jun</v>
      </c>
      <c r="N4983" s="2">
        <f t="shared" si="233"/>
        <v>0.21730698904893059</v>
      </c>
    </row>
    <row r="4984" spans="1:14" x14ac:dyDescent="0.45">
      <c r="A4984" t="s">
        <v>8868</v>
      </c>
      <c r="B4984" s="1">
        <v>44662</v>
      </c>
      <c r="C4984" t="s">
        <v>8869</v>
      </c>
      <c r="D4984" t="s">
        <v>13</v>
      </c>
      <c r="E4984" t="s">
        <v>20</v>
      </c>
      <c r="F4984" t="s">
        <v>27</v>
      </c>
      <c r="G4984">
        <v>3</v>
      </c>
      <c r="H4984">
        <v>46342.05</v>
      </c>
      <c r="I4984">
        <v>2669.9</v>
      </c>
      <c r="J4984" t="s">
        <v>71</v>
      </c>
      <c r="K4984" t="s">
        <v>17</v>
      </c>
      <c r="L4984">
        <f t="shared" si="231"/>
        <v>2022</v>
      </c>
      <c r="M4984" t="str">
        <f t="shared" si="232"/>
        <v>Apr</v>
      </c>
      <c r="N4984" s="2">
        <f t="shared" si="233"/>
        <v>5.7612902320894305E-2</v>
      </c>
    </row>
    <row r="4985" spans="1:14" x14ac:dyDescent="0.45">
      <c r="A4985" t="s">
        <v>8870</v>
      </c>
      <c r="B4985" s="1">
        <v>45308</v>
      </c>
      <c r="C4985" t="s">
        <v>8871</v>
      </c>
      <c r="D4985" t="s">
        <v>13</v>
      </c>
      <c r="E4985" t="s">
        <v>36</v>
      </c>
      <c r="F4985" t="s">
        <v>64</v>
      </c>
      <c r="G4985">
        <v>3</v>
      </c>
      <c r="H4985">
        <v>3221.62</v>
      </c>
      <c r="I4985">
        <v>503.11</v>
      </c>
      <c r="J4985" t="s">
        <v>71</v>
      </c>
      <c r="K4985" t="s">
        <v>29</v>
      </c>
      <c r="L4985">
        <f t="shared" si="231"/>
        <v>2024</v>
      </c>
      <c r="M4985" t="str">
        <f t="shared" si="232"/>
        <v>Jan</v>
      </c>
      <c r="N4985" s="2">
        <f t="shared" si="233"/>
        <v>0.15616677323830869</v>
      </c>
    </row>
    <row r="4986" spans="1:14" x14ac:dyDescent="0.45">
      <c r="A4986" t="s">
        <v>8872</v>
      </c>
      <c r="B4986" s="1">
        <v>45275</v>
      </c>
      <c r="C4986" t="s">
        <v>8873</v>
      </c>
      <c r="D4986" t="s">
        <v>13</v>
      </c>
      <c r="E4986" t="s">
        <v>14</v>
      </c>
      <c r="F4986" t="s">
        <v>40</v>
      </c>
      <c r="G4986">
        <v>5</v>
      </c>
      <c r="H4986">
        <v>5563.25</v>
      </c>
      <c r="I4986">
        <v>1049.32</v>
      </c>
      <c r="J4986" t="s">
        <v>28</v>
      </c>
      <c r="K4986" t="s">
        <v>33</v>
      </c>
      <c r="L4986">
        <f t="shared" si="231"/>
        <v>2023</v>
      </c>
      <c r="M4986" t="str">
        <f t="shared" si="232"/>
        <v>Dec</v>
      </c>
      <c r="N4986" s="2">
        <f t="shared" si="233"/>
        <v>0.18861636633262929</v>
      </c>
    </row>
    <row r="4987" spans="1:14" x14ac:dyDescent="0.45">
      <c r="A4987" t="s">
        <v>8874</v>
      </c>
      <c r="B4987" s="1">
        <v>44872</v>
      </c>
      <c r="C4987" t="s">
        <v>8875</v>
      </c>
      <c r="D4987" t="s">
        <v>13</v>
      </c>
      <c r="E4987" t="s">
        <v>36</v>
      </c>
      <c r="F4987" t="s">
        <v>46</v>
      </c>
      <c r="G4987">
        <v>5</v>
      </c>
      <c r="H4987">
        <v>30269.86</v>
      </c>
      <c r="I4987">
        <v>2232.27</v>
      </c>
      <c r="J4987" t="s">
        <v>47</v>
      </c>
      <c r="K4987" t="s">
        <v>23</v>
      </c>
      <c r="L4987">
        <f t="shared" si="231"/>
        <v>2022</v>
      </c>
      <c r="M4987" t="str">
        <f t="shared" si="232"/>
        <v>Nov</v>
      </c>
      <c r="N4987" s="2">
        <f t="shared" si="233"/>
        <v>7.3745633445281872E-2</v>
      </c>
    </row>
    <row r="4988" spans="1:14" x14ac:dyDescent="0.45">
      <c r="A4988" t="s">
        <v>8876</v>
      </c>
      <c r="B4988" s="1">
        <v>44981</v>
      </c>
      <c r="C4988" t="s">
        <v>3580</v>
      </c>
      <c r="D4988" t="s">
        <v>26</v>
      </c>
      <c r="E4988" t="s">
        <v>36</v>
      </c>
      <c r="F4988" t="s">
        <v>53</v>
      </c>
      <c r="G4988">
        <v>2</v>
      </c>
      <c r="H4988">
        <v>27250.3</v>
      </c>
      <c r="I4988">
        <v>6227</v>
      </c>
      <c r="J4988" t="s">
        <v>47</v>
      </c>
      <c r="K4988" t="s">
        <v>29</v>
      </c>
      <c r="L4988">
        <f t="shared" si="231"/>
        <v>2023</v>
      </c>
      <c r="M4988" t="str">
        <f t="shared" si="232"/>
        <v>Feb</v>
      </c>
      <c r="N4988" s="2">
        <f t="shared" si="233"/>
        <v>0.22851124574775325</v>
      </c>
    </row>
    <row r="4989" spans="1:14" x14ac:dyDescent="0.45">
      <c r="A4989" t="s">
        <v>8877</v>
      </c>
      <c r="B4989" s="1">
        <v>44830</v>
      </c>
      <c r="C4989" t="s">
        <v>8878</v>
      </c>
      <c r="D4989" t="s">
        <v>13</v>
      </c>
      <c r="E4989" t="s">
        <v>14</v>
      </c>
      <c r="F4989" t="s">
        <v>15</v>
      </c>
      <c r="G4989">
        <v>1</v>
      </c>
      <c r="H4989">
        <v>8205.8700000000008</v>
      </c>
      <c r="I4989">
        <v>1478.38</v>
      </c>
      <c r="J4989" t="s">
        <v>28</v>
      </c>
      <c r="K4989" t="s">
        <v>17</v>
      </c>
      <c r="L4989">
        <f t="shared" si="231"/>
        <v>2022</v>
      </c>
      <c r="M4989" t="str">
        <f t="shared" si="232"/>
        <v>Sep</v>
      </c>
      <c r="N4989" s="2">
        <f t="shared" si="233"/>
        <v>0.18016127479475058</v>
      </c>
    </row>
    <row r="4990" spans="1:14" x14ac:dyDescent="0.45">
      <c r="A4990" t="s">
        <v>8879</v>
      </c>
      <c r="B4990" s="1">
        <v>44926</v>
      </c>
      <c r="C4990" t="s">
        <v>8880</v>
      </c>
      <c r="D4990" t="s">
        <v>56</v>
      </c>
      <c r="E4990" t="s">
        <v>14</v>
      </c>
      <c r="F4990" t="s">
        <v>15</v>
      </c>
      <c r="G4990">
        <v>4</v>
      </c>
      <c r="H4990">
        <v>6534.46</v>
      </c>
      <c r="I4990">
        <v>615.29</v>
      </c>
      <c r="J4990" t="s">
        <v>16</v>
      </c>
      <c r="K4990" t="s">
        <v>33</v>
      </c>
      <c r="L4990">
        <f t="shared" si="231"/>
        <v>2022</v>
      </c>
      <c r="M4990" t="str">
        <f t="shared" si="232"/>
        <v>Dec</v>
      </c>
      <c r="N4990" s="2">
        <f t="shared" si="233"/>
        <v>9.4160802881951985E-2</v>
      </c>
    </row>
    <row r="4991" spans="1:14" x14ac:dyDescent="0.45">
      <c r="A4991" t="s">
        <v>8881</v>
      </c>
      <c r="B4991" s="1">
        <v>45621</v>
      </c>
      <c r="C4991" t="s">
        <v>935</v>
      </c>
      <c r="D4991" t="s">
        <v>56</v>
      </c>
      <c r="E4991" t="s">
        <v>36</v>
      </c>
      <c r="F4991" t="s">
        <v>37</v>
      </c>
      <c r="G4991">
        <v>5</v>
      </c>
      <c r="H4991">
        <v>9615.5499999999993</v>
      </c>
      <c r="I4991">
        <v>2269.16</v>
      </c>
      <c r="J4991" t="s">
        <v>22</v>
      </c>
      <c r="K4991" t="s">
        <v>33</v>
      </c>
      <c r="L4991">
        <f t="shared" si="231"/>
        <v>2024</v>
      </c>
      <c r="M4991" t="str">
        <f t="shared" si="232"/>
        <v>Nov</v>
      </c>
      <c r="N4991" s="2">
        <f t="shared" si="233"/>
        <v>0.23598858099640688</v>
      </c>
    </row>
    <row r="4992" spans="1:14" x14ac:dyDescent="0.45">
      <c r="A4992" t="s">
        <v>8882</v>
      </c>
      <c r="B4992" s="1">
        <v>44741</v>
      </c>
      <c r="C4992" t="s">
        <v>8883</v>
      </c>
      <c r="D4992" t="s">
        <v>26</v>
      </c>
      <c r="E4992" t="s">
        <v>20</v>
      </c>
      <c r="F4992" t="s">
        <v>21</v>
      </c>
      <c r="G4992">
        <v>3</v>
      </c>
      <c r="H4992">
        <v>29415.86</v>
      </c>
      <c r="I4992">
        <v>6176.59</v>
      </c>
      <c r="J4992" t="s">
        <v>22</v>
      </c>
      <c r="K4992" t="s">
        <v>29</v>
      </c>
      <c r="L4992">
        <f t="shared" si="231"/>
        <v>2022</v>
      </c>
      <c r="M4992" t="str">
        <f t="shared" si="232"/>
        <v>Jun</v>
      </c>
      <c r="N4992" s="2">
        <f t="shared" si="233"/>
        <v>0.20997482310563076</v>
      </c>
    </row>
    <row r="4993" spans="1:14" x14ac:dyDescent="0.45">
      <c r="A4993" t="s">
        <v>8884</v>
      </c>
      <c r="B4993" s="1">
        <v>45646</v>
      </c>
      <c r="C4993" t="s">
        <v>8885</v>
      </c>
      <c r="D4993" t="s">
        <v>56</v>
      </c>
      <c r="E4993" t="s">
        <v>36</v>
      </c>
      <c r="F4993" t="s">
        <v>37</v>
      </c>
      <c r="G4993">
        <v>3</v>
      </c>
      <c r="H4993">
        <v>19735.509999999998</v>
      </c>
      <c r="I4993">
        <v>2357.33</v>
      </c>
      <c r="J4993" t="s">
        <v>28</v>
      </c>
      <c r="K4993" t="s">
        <v>23</v>
      </c>
      <c r="L4993">
        <f t="shared" si="231"/>
        <v>2024</v>
      </c>
      <c r="M4993" t="str">
        <f t="shared" si="232"/>
        <v>Dec</v>
      </c>
      <c r="N4993" s="2">
        <f t="shared" si="233"/>
        <v>0.11944611514979851</v>
      </c>
    </row>
    <row r="4994" spans="1:14" x14ac:dyDescent="0.45">
      <c r="A4994" t="s">
        <v>8886</v>
      </c>
      <c r="B4994" s="1">
        <v>45162</v>
      </c>
      <c r="C4994" t="s">
        <v>8887</v>
      </c>
      <c r="D4994" t="s">
        <v>26</v>
      </c>
      <c r="E4994" t="s">
        <v>14</v>
      </c>
      <c r="F4994" t="s">
        <v>40</v>
      </c>
      <c r="G4994">
        <v>5</v>
      </c>
      <c r="H4994">
        <v>48431.65</v>
      </c>
      <c r="I4994">
        <v>4380.5200000000004</v>
      </c>
      <c r="J4994" t="s">
        <v>28</v>
      </c>
      <c r="K4994" t="s">
        <v>17</v>
      </c>
      <c r="L4994">
        <f t="shared" si="231"/>
        <v>2023</v>
      </c>
      <c r="M4994" t="str">
        <f t="shared" si="232"/>
        <v>Aug</v>
      </c>
      <c r="N4994" s="2">
        <f t="shared" si="233"/>
        <v>9.044746565520688E-2</v>
      </c>
    </row>
    <row r="4995" spans="1:14" x14ac:dyDescent="0.45">
      <c r="A4995" t="s">
        <v>8888</v>
      </c>
      <c r="B4995" s="1">
        <v>44846</v>
      </c>
      <c r="C4995" t="s">
        <v>8889</v>
      </c>
      <c r="D4995" t="s">
        <v>13</v>
      </c>
      <c r="E4995" t="s">
        <v>20</v>
      </c>
      <c r="F4995" t="s">
        <v>43</v>
      </c>
      <c r="G4995">
        <v>4</v>
      </c>
      <c r="H4995">
        <v>30397.54</v>
      </c>
      <c r="I4995">
        <v>6808.87</v>
      </c>
      <c r="J4995" t="s">
        <v>22</v>
      </c>
      <c r="K4995" t="s">
        <v>23</v>
      </c>
      <c r="L4995">
        <f t="shared" ref="L4995:L5058" si="234">YEAR(B4995 )</f>
        <v>2022</v>
      </c>
      <c r="M4995" t="str">
        <f t="shared" ref="M4995:M5058" si="235">TEXT(B4995,"MMM")</f>
        <v>Oct</v>
      </c>
      <c r="N4995" s="2">
        <f t="shared" ref="N4995:N5058" si="236">I4995 / H4995</f>
        <v>0.22399411268148672</v>
      </c>
    </row>
    <row r="4996" spans="1:14" x14ac:dyDescent="0.45">
      <c r="A4996" t="s">
        <v>8890</v>
      </c>
      <c r="B4996" s="1">
        <v>44581</v>
      </c>
      <c r="C4996" t="s">
        <v>8891</v>
      </c>
      <c r="D4996" t="s">
        <v>26</v>
      </c>
      <c r="E4996" t="s">
        <v>20</v>
      </c>
      <c r="F4996" t="s">
        <v>43</v>
      </c>
      <c r="G4996">
        <v>5</v>
      </c>
      <c r="H4996">
        <v>42800.56</v>
      </c>
      <c r="I4996">
        <v>7778.48</v>
      </c>
      <c r="J4996" t="s">
        <v>71</v>
      </c>
      <c r="K4996" t="s">
        <v>23</v>
      </c>
      <c r="L4996">
        <f t="shared" si="234"/>
        <v>2022</v>
      </c>
      <c r="M4996" t="str">
        <f t="shared" si="235"/>
        <v>Jan</v>
      </c>
      <c r="N4996" s="2">
        <f t="shared" si="236"/>
        <v>0.18173780903801259</v>
      </c>
    </row>
    <row r="4997" spans="1:14" x14ac:dyDescent="0.45">
      <c r="A4997" t="s">
        <v>8892</v>
      </c>
      <c r="B4997" s="1">
        <v>45026</v>
      </c>
      <c r="C4997" t="s">
        <v>1167</v>
      </c>
      <c r="D4997" t="s">
        <v>56</v>
      </c>
      <c r="E4997" t="s">
        <v>14</v>
      </c>
      <c r="F4997" t="s">
        <v>15</v>
      </c>
      <c r="G4997">
        <v>2</v>
      </c>
      <c r="H4997">
        <v>48886.09</v>
      </c>
      <c r="I4997">
        <v>11705.56</v>
      </c>
      <c r="J4997" t="s">
        <v>47</v>
      </c>
      <c r="K4997" t="s">
        <v>29</v>
      </c>
      <c r="L4997">
        <f t="shared" si="234"/>
        <v>2023</v>
      </c>
      <c r="M4997" t="str">
        <f t="shared" si="235"/>
        <v>Apr</v>
      </c>
      <c r="N4997" s="2">
        <f t="shared" si="236"/>
        <v>0.23944561735250253</v>
      </c>
    </row>
    <row r="4998" spans="1:14" x14ac:dyDescent="0.45">
      <c r="A4998" t="s">
        <v>8893</v>
      </c>
      <c r="B4998" s="1">
        <v>45195</v>
      </c>
      <c r="C4998" t="s">
        <v>198</v>
      </c>
      <c r="D4998" t="s">
        <v>13</v>
      </c>
      <c r="E4998" t="s">
        <v>36</v>
      </c>
      <c r="F4998" t="s">
        <v>37</v>
      </c>
      <c r="G4998">
        <v>2</v>
      </c>
      <c r="H4998">
        <v>10095.1</v>
      </c>
      <c r="I4998">
        <v>1185.23</v>
      </c>
      <c r="J4998" t="s">
        <v>47</v>
      </c>
      <c r="K4998" t="s">
        <v>23</v>
      </c>
      <c r="L4998">
        <f t="shared" si="234"/>
        <v>2023</v>
      </c>
      <c r="M4998" t="str">
        <f t="shared" si="235"/>
        <v>Sep</v>
      </c>
      <c r="N4998" s="2">
        <f t="shared" si="236"/>
        <v>0.11740646452239205</v>
      </c>
    </row>
    <row r="4999" spans="1:14" x14ac:dyDescent="0.45">
      <c r="A4999" t="s">
        <v>8894</v>
      </c>
      <c r="B4999" s="1">
        <v>44563</v>
      </c>
      <c r="C4999" t="s">
        <v>8895</v>
      </c>
      <c r="D4999" t="s">
        <v>56</v>
      </c>
      <c r="E4999" t="s">
        <v>20</v>
      </c>
      <c r="F4999" t="s">
        <v>27</v>
      </c>
      <c r="G4999">
        <v>3</v>
      </c>
      <c r="H4999">
        <v>30657.84</v>
      </c>
      <c r="I4999">
        <v>5768.73</v>
      </c>
      <c r="J4999" t="s">
        <v>28</v>
      </c>
      <c r="K4999" t="s">
        <v>29</v>
      </c>
      <c r="L4999">
        <f t="shared" si="234"/>
        <v>2022</v>
      </c>
      <c r="M4999" t="str">
        <f t="shared" si="235"/>
        <v>Jan</v>
      </c>
      <c r="N4999" s="2">
        <f t="shared" si="236"/>
        <v>0.18816491964208829</v>
      </c>
    </row>
    <row r="5000" spans="1:14" x14ac:dyDescent="0.45">
      <c r="A5000" t="s">
        <v>8896</v>
      </c>
      <c r="B5000" s="1">
        <v>45572</v>
      </c>
      <c r="C5000" t="s">
        <v>8897</v>
      </c>
      <c r="D5000" t="s">
        <v>26</v>
      </c>
      <c r="E5000" t="s">
        <v>20</v>
      </c>
      <c r="F5000" t="s">
        <v>50</v>
      </c>
      <c r="G5000">
        <v>2</v>
      </c>
      <c r="H5000">
        <v>11004.56</v>
      </c>
      <c r="I5000">
        <v>807.01</v>
      </c>
      <c r="J5000" t="s">
        <v>28</v>
      </c>
      <c r="K5000" t="s">
        <v>33</v>
      </c>
      <c r="L5000">
        <f t="shared" si="234"/>
        <v>2024</v>
      </c>
      <c r="M5000" t="str">
        <f t="shared" si="235"/>
        <v>Oct</v>
      </c>
      <c r="N5000" s="2">
        <f t="shared" si="236"/>
        <v>7.3334145118023802E-2</v>
      </c>
    </row>
    <row r="5001" spans="1:14" x14ac:dyDescent="0.45">
      <c r="A5001" t="s">
        <v>8898</v>
      </c>
      <c r="B5001" s="1">
        <v>45459</v>
      </c>
      <c r="C5001" t="s">
        <v>8899</v>
      </c>
      <c r="D5001" t="s">
        <v>26</v>
      </c>
      <c r="E5001" t="s">
        <v>20</v>
      </c>
      <c r="F5001" t="s">
        <v>27</v>
      </c>
      <c r="G5001">
        <v>1</v>
      </c>
      <c r="H5001">
        <v>3530.31</v>
      </c>
      <c r="I5001">
        <v>455.93</v>
      </c>
      <c r="J5001" t="s">
        <v>22</v>
      </c>
      <c r="K5001" t="s">
        <v>33</v>
      </c>
      <c r="L5001">
        <f t="shared" si="234"/>
        <v>2024</v>
      </c>
      <c r="M5001" t="str">
        <f t="shared" si="235"/>
        <v>Jun</v>
      </c>
      <c r="N5001" s="2">
        <f t="shared" si="236"/>
        <v>0.12914729867915284</v>
      </c>
    </row>
    <row r="5002" spans="1:14" x14ac:dyDescent="0.45">
      <c r="A5002" t="s">
        <v>8900</v>
      </c>
      <c r="B5002" s="1">
        <v>45435</v>
      </c>
      <c r="C5002" t="s">
        <v>8901</v>
      </c>
      <c r="D5002" t="s">
        <v>13</v>
      </c>
      <c r="E5002" t="s">
        <v>20</v>
      </c>
      <c r="F5002" t="s">
        <v>21</v>
      </c>
      <c r="G5002">
        <v>1</v>
      </c>
      <c r="H5002">
        <v>3857.94</v>
      </c>
      <c r="I5002">
        <v>418.05</v>
      </c>
      <c r="J5002" t="s">
        <v>28</v>
      </c>
      <c r="K5002" t="s">
        <v>29</v>
      </c>
      <c r="L5002">
        <f t="shared" si="234"/>
        <v>2024</v>
      </c>
      <c r="M5002" t="str">
        <f t="shared" si="235"/>
        <v>May</v>
      </c>
      <c r="N5002" s="2">
        <f t="shared" si="236"/>
        <v>0.1083609387393272</v>
      </c>
    </row>
    <row r="5003" spans="1:14" x14ac:dyDescent="0.45">
      <c r="A5003" t="s">
        <v>8902</v>
      </c>
      <c r="B5003" s="1">
        <v>45011</v>
      </c>
      <c r="C5003" t="s">
        <v>8903</v>
      </c>
      <c r="D5003" t="s">
        <v>13</v>
      </c>
      <c r="E5003" t="s">
        <v>20</v>
      </c>
      <c r="F5003" t="s">
        <v>21</v>
      </c>
      <c r="G5003">
        <v>5</v>
      </c>
      <c r="H5003">
        <v>25691.32</v>
      </c>
      <c r="I5003">
        <v>3006.23</v>
      </c>
      <c r="J5003" t="s">
        <v>22</v>
      </c>
      <c r="K5003" t="s">
        <v>17</v>
      </c>
      <c r="L5003">
        <f t="shared" si="234"/>
        <v>2023</v>
      </c>
      <c r="M5003" t="str">
        <f t="shared" si="235"/>
        <v>Mar</v>
      </c>
      <c r="N5003" s="2">
        <f t="shared" si="236"/>
        <v>0.11701345045719722</v>
      </c>
    </row>
    <row r="5004" spans="1:14" x14ac:dyDescent="0.45">
      <c r="A5004" t="s">
        <v>8904</v>
      </c>
      <c r="B5004" s="1">
        <v>45294</v>
      </c>
      <c r="C5004" t="s">
        <v>8905</v>
      </c>
      <c r="D5004" t="s">
        <v>13</v>
      </c>
      <c r="E5004" t="s">
        <v>20</v>
      </c>
      <c r="F5004" t="s">
        <v>50</v>
      </c>
      <c r="G5004">
        <v>3</v>
      </c>
      <c r="H5004">
        <v>9641.57</v>
      </c>
      <c r="I5004">
        <v>1911.94</v>
      </c>
      <c r="J5004" t="s">
        <v>22</v>
      </c>
      <c r="K5004" t="s">
        <v>23</v>
      </c>
      <c r="L5004">
        <f t="shared" si="234"/>
        <v>2024</v>
      </c>
      <c r="M5004" t="str">
        <f t="shared" si="235"/>
        <v>Jan</v>
      </c>
      <c r="N5004" s="2">
        <f t="shared" si="236"/>
        <v>0.19830172886780889</v>
      </c>
    </row>
    <row r="5005" spans="1:14" x14ac:dyDescent="0.45">
      <c r="A5005" t="s">
        <v>8906</v>
      </c>
      <c r="B5005" s="1">
        <v>45174</v>
      </c>
      <c r="C5005" t="s">
        <v>8907</v>
      </c>
      <c r="D5005" t="s">
        <v>13</v>
      </c>
      <c r="E5005" t="s">
        <v>36</v>
      </c>
      <c r="F5005" t="s">
        <v>46</v>
      </c>
      <c r="G5005">
        <v>4</v>
      </c>
      <c r="H5005">
        <v>8256.43</v>
      </c>
      <c r="I5005">
        <v>1581.68</v>
      </c>
      <c r="J5005" t="s">
        <v>16</v>
      </c>
      <c r="K5005" t="s">
        <v>17</v>
      </c>
      <c r="L5005">
        <f t="shared" si="234"/>
        <v>2023</v>
      </c>
      <c r="M5005" t="str">
        <f t="shared" si="235"/>
        <v>Sep</v>
      </c>
      <c r="N5005" s="2">
        <f t="shared" si="236"/>
        <v>0.19156947978726882</v>
      </c>
    </row>
    <row r="5006" spans="1:14" x14ac:dyDescent="0.45">
      <c r="A5006" t="s">
        <v>8908</v>
      </c>
      <c r="B5006" s="1">
        <v>44982</v>
      </c>
      <c r="C5006" t="s">
        <v>8909</v>
      </c>
      <c r="D5006" t="s">
        <v>13</v>
      </c>
      <c r="E5006" t="s">
        <v>20</v>
      </c>
      <c r="F5006" t="s">
        <v>50</v>
      </c>
      <c r="G5006">
        <v>5</v>
      </c>
      <c r="H5006">
        <v>5769.88</v>
      </c>
      <c r="I5006">
        <v>1418.96</v>
      </c>
      <c r="J5006" t="s">
        <v>28</v>
      </c>
      <c r="K5006" t="s">
        <v>17</v>
      </c>
      <c r="L5006">
        <f t="shared" si="234"/>
        <v>2023</v>
      </c>
      <c r="M5006" t="str">
        <f t="shared" si="235"/>
        <v>Feb</v>
      </c>
      <c r="N5006" s="2">
        <f t="shared" si="236"/>
        <v>0.24592539186256906</v>
      </c>
    </row>
    <row r="5007" spans="1:14" x14ac:dyDescent="0.45">
      <c r="A5007" t="s">
        <v>8910</v>
      </c>
      <c r="B5007" s="1">
        <v>45499</v>
      </c>
      <c r="C5007" t="s">
        <v>7429</v>
      </c>
      <c r="D5007" t="s">
        <v>26</v>
      </c>
      <c r="E5007" t="s">
        <v>14</v>
      </c>
      <c r="F5007" t="s">
        <v>40</v>
      </c>
      <c r="G5007">
        <v>1</v>
      </c>
      <c r="H5007">
        <v>20971.259999999998</v>
      </c>
      <c r="I5007">
        <v>1388.57</v>
      </c>
      <c r="J5007" t="s">
        <v>47</v>
      </c>
      <c r="K5007" t="s">
        <v>33</v>
      </c>
      <c r="L5007">
        <f t="shared" si="234"/>
        <v>2024</v>
      </c>
      <c r="M5007" t="str">
        <f t="shared" si="235"/>
        <v>Jul</v>
      </c>
      <c r="N5007" s="2">
        <f t="shared" si="236"/>
        <v>6.6212998169876303E-2</v>
      </c>
    </row>
    <row r="5008" spans="1:14" x14ac:dyDescent="0.45">
      <c r="A5008" t="s">
        <v>8911</v>
      </c>
      <c r="B5008" s="1">
        <v>45514</v>
      </c>
      <c r="C5008" t="s">
        <v>8912</v>
      </c>
      <c r="D5008" t="s">
        <v>56</v>
      </c>
      <c r="E5008" t="s">
        <v>36</v>
      </c>
      <c r="F5008" t="s">
        <v>53</v>
      </c>
      <c r="G5008">
        <v>5</v>
      </c>
      <c r="H5008">
        <v>12549.43</v>
      </c>
      <c r="I5008">
        <v>2102.9</v>
      </c>
      <c r="J5008" t="s">
        <v>71</v>
      </c>
      <c r="K5008" t="s">
        <v>23</v>
      </c>
      <c r="L5008">
        <f t="shared" si="234"/>
        <v>2024</v>
      </c>
      <c r="M5008" t="str">
        <f t="shared" si="235"/>
        <v>Aug</v>
      </c>
      <c r="N5008" s="2">
        <f t="shared" si="236"/>
        <v>0.16756936370815248</v>
      </c>
    </row>
    <row r="5009" spans="1:14" x14ac:dyDescent="0.45">
      <c r="A5009" t="s">
        <v>8913</v>
      </c>
      <c r="B5009" s="1">
        <v>45630</v>
      </c>
      <c r="C5009" t="s">
        <v>1616</v>
      </c>
      <c r="D5009" t="s">
        <v>26</v>
      </c>
      <c r="E5009" t="s">
        <v>36</v>
      </c>
      <c r="F5009" t="s">
        <v>64</v>
      </c>
      <c r="G5009">
        <v>5</v>
      </c>
      <c r="H5009">
        <v>32408.46</v>
      </c>
      <c r="I5009">
        <v>2232.34</v>
      </c>
      <c r="J5009" t="s">
        <v>71</v>
      </c>
      <c r="K5009" t="s">
        <v>17</v>
      </c>
      <c r="L5009">
        <f t="shared" si="234"/>
        <v>2024</v>
      </c>
      <c r="M5009" t="str">
        <f t="shared" si="235"/>
        <v>Dec</v>
      </c>
      <c r="N5009" s="2">
        <f t="shared" si="236"/>
        <v>6.8881397017939147E-2</v>
      </c>
    </row>
    <row r="5010" spans="1:14" x14ac:dyDescent="0.45">
      <c r="A5010" t="s">
        <v>8914</v>
      </c>
      <c r="B5010" s="1">
        <v>45395</v>
      </c>
      <c r="C5010" t="s">
        <v>1390</v>
      </c>
      <c r="D5010" t="s">
        <v>26</v>
      </c>
      <c r="E5010" t="s">
        <v>20</v>
      </c>
      <c r="F5010" t="s">
        <v>50</v>
      </c>
      <c r="G5010">
        <v>2</v>
      </c>
      <c r="H5010">
        <v>16316.85</v>
      </c>
      <c r="I5010">
        <v>1332.99</v>
      </c>
      <c r="J5010" t="s">
        <v>47</v>
      </c>
      <c r="K5010" t="s">
        <v>33</v>
      </c>
      <c r="L5010">
        <f t="shared" si="234"/>
        <v>2024</v>
      </c>
      <c r="M5010" t="str">
        <f t="shared" si="235"/>
        <v>Apr</v>
      </c>
      <c r="N5010" s="2">
        <f t="shared" si="236"/>
        <v>8.1694076981770378E-2</v>
      </c>
    </row>
    <row r="5011" spans="1:14" x14ac:dyDescent="0.45">
      <c r="A5011" t="s">
        <v>8915</v>
      </c>
      <c r="B5011" s="1">
        <v>44973</v>
      </c>
      <c r="C5011" t="s">
        <v>5583</v>
      </c>
      <c r="D5011" t="s">
        <v>26</v>
      </c>
      <c r="E5011" t="s">
        <v>36</v>
      </c>
      <c r="F5011" t="s">
        <v>53</v>
      </c>
      <c r="G5011">
        <v>3</v>
      </c>
      <c r="H5011">
        <v>8278.5499999999993</v>
      </c>
      <c r="I5011">
        <v>2033.01</v>
      </c>
      <c r="J5011" t="s">
        <v>16</v>
      </c>
      <c r="K5011" t="s">
        <v>17</v>
      </c>
      <c r="L5011">
        <f t="shared" si="234"/>
        <v>2023</v>
      </c>
      <c r="M5011" t="str">
        <f t="shared" si="235"/>
        <v>Feb</v>
      </c>
      <c r="N5011" s="2">
        <f t="shared" si="236"/>
        <v>0.24557561408700801</v>
      </c>
    </row>
    <row r="5012" spans="1:14" x14ac:dyDescent="0.45">
      <c r="A5012" t="s">
        <v>8916</v>
      </c>
      <c r="B5012" s="1">
        <v>45276</v>
      </c>
      <c r="C5012" t="s">
        <v>8917</v>
      </c>
      <c r="D5012" t="s">
        <v>26</v>
      </c>
      <c r="E5012" t="s">
        <v>14</v>
      </c>
      <c r="F5012" t="s">
        <v>40</v>
      </c>
      <c r="G5012">
        <v>2</v>
      </c>
      <c r="H5012">
        <v>28946.92</v>
      </c>
      <c r="I5012">
        <v>5584.02</v>
      </c>
      <c r="J5012" t="s">
        <v>28</v>
      </c>
      <c r="K5012" t="s">
        <v>17</v>
      </c>
      <c r="L5012">
        <f t="shared" si="234"/>
        <v>2023</v>
      </c>
      <c r="M5012" t="str">
        <f t="shared" si="235"/>
        <v>Dec</v>
      </c>
      <c r="N5012" s="2">
        <f t="shared" si="236"/>
        <v>0.19290549737243204</v>
      </c>
    </row>
    <row r="5013" spans="1:14" x14ac:dyDescent="0.45">
      <c r="A5013" t="s">
        <v>8918</v>
      </c>
      <c r="B5013" s="1">
        <v>44575</v>
      </c>
      <c r="C5013" t="s">
        <v>8495</v>
      </c>
      <c r="D5013" t="s">
        <v>56</v>
      </c>
      <c r="E5013" t="s">
        <v>20</v>
      </c>
      <c r="F5013" t="s">
        <v>50</v>
      </c>
      <c r="G5013">
        <v>2</v>
      </c>
      <c r="H5013">
        <v>43267.3</v>
      </c>
      <c r="I5013">
        <v>2748.14</v>
      </c>
      <c r="J5013" t="s">
        <v>22</v>
      </c>
      <c r="K5013" t="s">
        <v>29</v>
      </c>
      <c r="L5013">
        <f t="shared" si="234"/>
        <v>2022</v>
      </c>
      <c r="M5013" t="str">
        <f t="shared" si="235"/>
        <v>Jan</v>
      </c>
      <c r="N5013" s="2">
        <f t="shared" si="236"/>
        <v>6.3515403087319983E-2</v>
      </c>
    </row>
    <row r="5014" spans="1:14" x14ac:dyDescent="0.45">
      <c r="A5014" t="s">
        <v>8919</v>
      </c>
      <c r="B5014" s="1">
        <v>44758</v>
      </c>
      <c r="C5014" t="s">
        <v>2687</v>
      </c>
      <c r="D5014" t="s">
        <v>13</v>
      </c>
      <c r="E5014" t="s">
        <v>20</v>
      </c>
      <c r="F5014" t="s">
        <v>50</v>
      </c>
      <c r="G5014">
        <v>2</v>
      </c>
      <c r="H5014">
        <v>32531.27</v>
      </c>
      <c r="I5014">
        <v>2058.2600000000002</v>
      </c>
      <c r="J5014" t="s">
        <v>28</v>
      </c>
      <c r="K5014" t="s">
        <v>17</v>
      </c>
      <c r="L5014">
        <f t="shared" si="234"/>
        <v>2022</v>
      </c>
      <c r="M5014" t="str">
        <f t="shared" si="235"/>
        <v>Jul</v>
      </c>
      <c r="N5014" s="2">
        <f t="shared" si="236"/>
        <v>6.3270201255591935E-2</v>
      </c>
    </row>
    <row r="5015" spans="1:14" x14ac:dyDescent="0.45">
      <c r="A5015" t="s">
        <v>8920</v>
      </c>
      <c r="B5015" s="1">
        <v>45364</v>
      </c>
      <c r="C5015" t="s">
        <v>2256</v>
      </c>
      <c r="D5015" t="s">
        <v>26</v>
      </c>
      <c r="E5015" t="s">
        <v>36</v>
      </c>
      <c r="F5015" t="s">
        <v>37</v>
      </c>
      <c r="G5015">
        <v>1</v>
      </c>
      <c r="H5015">
        <v>44255.64</v>
      </c>
      <c r="I5015">
        <v>10351.31</v>
      </c>
      <c r="J5015" t="s">
        <v>28</v>
      </c>
      <c r="K5015" t="s">
        <v>23</v>
      </c>
      <c r="L5015">
        <f t="shared" si="234"/>
        <v>2024</v>
      </c>
      <c r="M5015" t="str">
        <f t="shared" si="235"/>
        <v>Mar</v>
      </c>
      <c r="N5015" s="2">
        <f t="shared" si="236"/>
        <v>0.23389809750802382</v>
      </c>
    </row>
    <row r="5016" spans="1:14" x14ac:dyDescent="0.45">
      <c r="A5016" t="s">
        <v>8921</v>
      </c>
      <c r="B5016" s="1">
        <v>45284</v>
      </c>
      <c r="C5016" t="s">
        <v>2878</v>
      </c>
      <c r="D5016" t="s">
        <v>13</v>
      </c>
      <c r="E5016" t="s">
        <v>36</v>
      </c>
      <c r="F5016" t="s">
        <v>46</v>
      </c>
      <c r="G5016">
        <v>2</v>
      </c>
      <c r="H5016">
        <v>28518.799999999999</v>
      </c>
      <c r="I5016">
        <v>2913.31</v>
      </c>
      <c r="J5016" t="s">
        <v>16</v>
      </c>
      <c r="K5016" t="s">
        <v>29</v>
      </c>
      <c r="L5016">
        <f t="shared" si="234"/>
        <v>2023</v>
      </c>
      <c r="M5016" t="str">
        <f t="shared" si="235"/>
        <v>Dec</v>
      </c>
      <c r="N5016" s="2">
        <f t="shared" si="236"/>
        <v>0.10215401770060452</v>
      </c>
    </row>
    <row r="5017" spans="1:14" x14ac:dyDescent="0.45">
      <c r="A5017" t="s">
        <v>8922</v>
      </c>
      <c r="B5017" s="1">
        <v>45071</v>
      </c>
      <c r="C5017" t="s">
        <v>6868</v>
      </c>
      <c r="D5017" t="s">
        <v>13</v>
      </c>
      <c r="E5017" t="s">
        <v>36</v>
      </c>
      <c r="F5017" t="s">
        <v>53</v>
      </c>
      <c r="G5017">
        <v>1</v>
      </c>
      <c r="H5017">
        <v>41286.9</v>
      </c>
      <c r="I5017">
        <v>7039.01</v>
      </c>
      <c r="J5017" t="s">
        <v>16</v>
      </c>
      <c r="K5017" t="s">
        <v>29</v>
      </c>
      <c r="L5017">
        <f t="shared" si="234"/>
        <v>2023</v>
      </c>
      <c r="M5017" t="str">
        <f t="shared" si="235"/>
        <v>May</v>
      </c>
      <c r="N5017" s="2">
        <f t="shared" si="236"/>
        <v>0.1704901554730435</v>
      </c>
    </row>
    <row r="5018" spans="1:14" x14ac:dyDescent="0.45">
      <c r="A5018" t="s">
        <v>8923</v>
      </c>
      <c r="B5018" s="1">
        <v>45176</v>
      </c>
      <c r="C5018" t="s">
        <v>8924</v>
      </c>
      <c r="D5018" t="s">
        <v>26</v>
      </c>
      <c r="E5018" t="s">
        <v>36</v>
      </c>
      <c r="F5018" t="s">
        <v>53</v>
      </c>
      <c r="G5018">
        <v>5</v>
      </c>
      <c r="H5018">
        <v>5753.11</v>
      </c>
      <c r="I5018">
        <v>503.05</v>
      </c>
      <c r="J5018" t="s">
        <v>71</v>
      </c>
      <c r="K5018" t="s">
        <v>17</v>
      </c>
      <c r="L5018">
        <f t="shared" si="234"/>
        <v>2023</v>
      </c>
      <c r="M5018" t="str">
        <f t="shared" si="235"/>
        <v>Sep</v>
      </c>
      <c r="N5018" s="2">
        <f t="shared" si="236"/>
        <v>8.7439663069192153E-2</v>
      </c>
    </row>
    <row r="5019" spans="1:14" x14ac:dyDescent="0.45">
      <c r="A5019" t="s">
        <v>8925</v>
      </c>
      <c r="B5019" s="1">
        <v>44942</v>
      </c>
      <c r="C5019" t="s">
        <v>8926</v>
      </c>
      <c r="D5019" t="s">
        <v>13</v>
      </c>
      <c r="E5019" t="s">
        <v>14</v>
      </c>
      <c r="F5019" t="s">
        <v>57</v>
      </c>
      <c r="G5019">
        <v>5</v>
      </c>
      <c r="H5019">
        <v>24171.02</v>
      </c>
      <c r="I5019">
        <v>3759.42</v>
      </c>
      <c r="J5019" t="s">
        <v>71</v>
      </c>
      <c r="K5019" t="s">
        <v>29</v>
      </c>
      <c r="L5019">
        <f t="shared" si="234"/>
        <v>2023</v>
      </c>
      <c r="M5019" t="str">
        <f t="shared" si="235"/>
        <v>Jan</v>
      </c>
      <c r="N5019" s="2">
        <f t="shared" si="236"/>
        <v>0.15553418928948798</v>
      </c>
    </row>
    <row r="5020" spans="1:14" x14ac:dyDescent="0.45">
      <c r="A5020" t="s">
        <v>8927</v>
      </c>
      <c r="B5020" s="1">
        <v>45164</v>
      </c>
      <c r="C5020" t="s">
        <v>2783</v>
      </c>
      <c r="D5020" t="s">
        <v>26</v>
      </c>
      <c r="E5020" t="s">
        <v>36</v>
      </c>
      <c r="F5020" t="s">
        <v>64</v>
      </c>
      <c r="G5020">
        <v>1</v>
      </c>
      <c r="H5020">
        <v>48204.37</v>
      </c>
      <c r="I5020">
        <v>3522.6</v>
      </c>
      <c r="J5020" t="s">
        <v>16</v>
      </c>
      <c r="K5020" t="s">
        <v>17</v>
      </c>
      <c r="L5020">
        <f t="shared" si="234"/>
        <v>2023</v>
      </c>
      <c r="M5020" t="str">
        <f t="shared" si="235"/>
        <v>Aug</v>
      </c>
      <c r="N5020" s="2">
        <f t="shared" si="236"/>
        <v>7.3076362163845304E-2</v>
      </c>
    </row>
    <row r="5021" spans="1:14" x14ac:dyDescent="0.45">
      <c r="A5021" t="s">
        <v>8928</v>
      </c>
      <c r="B5021" s="1">
        <v>45634</v>
      </c>
      <c r="C5021" t="s">
        <v>8929</v>
      </c>
      <c r="D5021" t="s">
        <v>26</v>
      </c>
      <c r="E5021" t="s">
        <v>20</v>
      </c>
      <c r="F5021" t="s">
        <v>21</v>
      </c>
      <c r="G5021">
        <v>1</v>
      </c>
      <c r="H5021">
        <v>7901.84</v>
      </c>
      <c r="I5021">
        <v>1445.09</v>
      </c>
      <c r="J5021" t="s">
        <v>28</v>
      </c>
      <c r="K5021" t="s">
        <v>33</v>
      </c>
      <c r="L5021">
        <f t="shared" si="234"/>
        <v>2024</v>
      </c>
      <c r="M5021" t="str">
        <f t="shared" si="235"/>
        <v>Dec</v>
      </c>
      <c r="N5021" s="2">
        <f t="shared" si="236"/>
        <v>0.18288018993044658</v>
      </c>
    </row>
    <row r="5022" spans="1:14" x14ac:dyDescent="0.45">
      <c r="A5022" t="s">
        <v>8930</v>
      </c>
      <c r="B5022" s="1">
        <v>45467</v>
      </c>
      <c r="C5022" t="s">
        <v>8931</v>
      </c>
      <c r="D5022" t="s">
        <v>56</v>
      </c>
      <c r="E5022" t="s">
        <v>14</v>
      </c>
      <c r="F5022" t="s">
        <v>40</v>
      </c>
      <c r="G5022">
        <v>3</v>
      </c>
      <c r="H5022">
        <v>10910.06</v>
      </c>
      <c r="I5022">
        <v>874.81</v>
      </c>
      <c r="J5022" t="s">
        <v>47</v>
      </c>
      <c r="K5022" t="s">
        <v>29</v>
      </c>
      <c r="L5022">
        <f t="shared" si="234"/>
        <v>2024</v>
      </c>
      <c r="M5022" t="str">
        <f t="shared" si="235"/>
        <v>Jun</v>
      </c>
      <c r="N5022" s="2">
        <f t="shared" si="236"/>
        <v>8.0183793672995385E-2</v>
      </c>
    </row>
    <row r="5023" spans="1:14" x14ac:dyDescent="0.45">
      <c r="A5023" t="s">
        <v>8932</v>
      </c>
      <c r="B5023" s="1">
        <v>44915</v>
      </c>
      <c r="C5023" t="s">
        <v>8933</v>
      </c>
      <c r="D5023" t="s">
        <v>56</v>
      </c>
      <c r="E5023" t="s">
        <v>14</v>
      </c>
      <c r="F5023" t="s">
        <v>15</v>
      </c>
      <c r="G5023">
        <v>1</v>
      </c>
      <c r="H5023">
        <v>38069.03</v>
      </c>
      <c r="I5023">
        <v>9509.51</v>
      </c>
      <c r="J5023" t="s">
        <v>16</v>
      </c>
      <c r="K5023" t="s">
        <v>17</v>
      </c>
      <c r="L5023">
        <f t="shared" si="234"/>
        <v>2022</v>
      </c>
      <c r="M5023" t="str">
        <f t="shared" si="235"/>
        <v>Dec</v>
      </c>
      <c r="N5023" s="2">
        <f t="shared" si="236"/>
        <v>0.24979648811645583</v>
      </c>
    </row>
    <row r="5024" spans="1:14" x14ac:dyDescent="0.45">
      <c r="A5024" t="s">
        <v>8934</v>
      </c>
      <c r="B5024" s="1">
        <v>45354</v>
      </c>
      <c r="C5024" t="s">
        <v>8935</v>
      </c>
      <c r="D5024" t="s">
        <v>26</v>
      </c>
      <c r="E5024" t="s">
        <v>14</v>
      </c>
      <c r="F5024" t="s">
        <v>57</v>
      </c>
      <c r="G5024">
        <v>2</v>
      </c>
      <c r="H5024">
        <v>18044.39</v>
      </c>
      <c r="I5024">
        <v>3454.83</v>
      </c>
      <c r="J5024" t="s">
        <v>16</v>
      </c>
      <c r="K5024" t="s">
        <v>33</v>
      </c>
      <c r="L5024">
        <f t="shared" si="234"/>
        <v>2024</v>
      </c>
      <c r="M5024" t="str">
        <f t="shared" si="235"/>
        <v>Mar</v>
      </c>
      <c r="N5024" s="2">
        <f t="shared" si="236"/>
        <v>0.19146283138415873</v>
      </c>
    </row>
    <row r="5025" spans="1:14" x14ac:dyDescent="0.45">
      <c r="A5025" t="s">
        <v>8936</v>
      </c>
      <c r="B5025" s="1">
        <v>45318</v>
      </c>
      <c r="C5025" t="s">
        <v>419</v>
      </c>
      <c r="D5025" t="s">
        <v>56</v>
      </c>
      <c r="E5025" t="s">
        <v>20</v>
      </c>
      <c r="F5025" t="s">
        <v>43</v>
      </c>
      <c r="G5025">
        <v>4</v>
      </c>
      <c r="H5025">
        <v>2591.6799999999998</v>
      </c>
      <c r="I5025">
        <v>540.19000000000005</v>
      </c>
      <c r="J5025" t="s">
        <v>71</v>
      </c>
      <c r="K5025" t="s">
        <v>17</v>
      </c>
      <c r="L5025">
        <f t="shared" si="234"/>
        <v>2024</v>
      </c>
      <c r="M5025" t="str">
        <f t="shared" si="235"/>
        <v>Jan</v>
      </c>
      <c r="N5025" s="2">
        <f t="shared" si="236"/>
        <v>0.20843236819360419</v>
      </c>
    </row>
    <row r="5026" spans="1:14" x14ac:dyDescent="0.45">
      <c r="A5026" t="s">
        <v>8937</v>
      </c>
      <c r="B5026" s="1">
        <v>45280</v>
      </c>
      <c r="C5026" t="s">
        <v>5342</v>
      </c>
      <c r="D5026" t="s">
        <v>13</v>
      </c>
      <c r="E5026" t="s">
        <v>20</v>
      </c>
      <c r="F5026" t="s">
        <v>27</v>
      </c>
      <c r="G5026">
        <v>5</v>
      </c>
      <c r="H5026">
        <v>33629.480000000003</v>
      </c>
      <c r="I5026">
        <v>2833.15</v>
      </c>
      <c r="J5026" t="s">
        <v>71</v>
      </c>
      <c r="K5026" t="s">
        <v>23</v>
      </c>
      <c r="L5026">
        <f t="shared" si="234"/>
        <v>2023</v>
      </c>
      <c r="M5026" t="str">
        <f t="shared" si="235"/>
        <v>Dec</v>
      </c>
      <c r="N5026" s="2">
        <f t="shared" si="236"/>
        <v>8.424602461887605E-2</v>
      </c>
    </row>
    <row r="5027" spans="1:14" x14ac:dyDescent="0.45">
      <c r="A5027" t="s">
        <v>8938</v>
      </c>
      <c r="B5027" s="1">
        <v>44940</v>
      </c>
      <c r="C5027" t="s">
        <v>3625</v>
      </c>
      <c r="D5027" t="s">
        <v>13</v>
      </c>
      <c r="E5027" t="s">
        <v>14</v>
      </c>
      <c r="F5027" t="s">
        <v>40</v>
      </c>
      <c r="G5027">
        <v>3</v>
      </c>
      <c r="H5027">
        <v>5038.93</v>
      </c>
      <c r="I5027">
        <v>444.18</v>
      </c>
      <c r="J5027" t="s">
        <v>28</v>
      </c>
      <c r="K5027" t="s">
        <v>17</v>
      </c>
      <c r="L5027">
        <f t="shared" si="234"/>
        <v>2023</v>
      </c>
      <c r="M5027" t="str">
        <f t="shared" si="235"/>
        <v>Jan</v>
      </c>
      <c r="N5027" s="2">
        <f t="shared" si="236"/>
        <v>8.8149666695111858E-2</v>
      </c>
    </row>
    <row r="5028" spans="1:14" x14ac:dyDescent="0.45">
      <c r="A5028" t="s">
        <v>8939</v>
      </c>
      <c r="B5028" s="1">
        <v>44656</v>
      </c>
      <c r="C5028" t="s">
        <v>8940</v>
      </c>
      <c r="D5028" t="s">
        <v>13</v>
      </c>
      <c r="E5028" t="s">
        <v>36</v>
      </c>
      <c r="F5028" t="s">
        <v>53</v>
      </c>
      <c r="G5028">
        <v>3</v>
      </c>
      <c r="H5028">
        <v>36381.24</v>
      </c>
      <c r="I5028">
        <v>2746.75</v>
      </c>
      <c r="J5028" t="s">
        <v>16</v>
      </c>
      <c r="K5028" t="s">
        <v>29</v>
      </c>
      <c r="L5028">
        <f t="shared" si="234"/>
        <v>2022</v>
      </c>
      <c r="M5028" t="str">
        <f t="shared" si="235"/>
        <v>Apr</v>
      </c>
      <c r="N5028" s="2">
        <f t="shared" si="236"/>
        <v>7.5499075897358089E-2</v>
      </c>
    </row>
    <row r="5029" spans="1:14" x14ac:dyDescent="0.45">
      <c r="A5029" t="s">
        <v>8941</v>
      </c>
      <c r="B5029" s="1">
        <v>44930</v>
      </c>
      <c r="C5029" t="s">
        <v>8942</v>
      </c>
      <c r="D5029" t="s">
        <v>56</v>
      </c>
      <c r="E5029" t="s">
        <v>20</v>
      </c>
      <c r="F5029" t="s">
        <v>50</v>
      </c>
      <c r="G5029">
        <v>1</v>
      </c>
      <c r="H5029">
        <v>43806.080000000002</v>
      </c>
      <c r="I5029">
        <v>8621.09</v>
      </c>
      <c r="J5029" t="s">
        <v>28</v>
      </c>
      <c r="K5029" t="s">
        <v>17</v>
      </c>
      <c r="L5029">
        <f t="shared" si="234"/>
        <v>2023</v>
      </c>
      <c r="M5029" t="str">
        <f t="shared" si="235"/>
        <v>Jan</v>
      </c>
      <c r="N5029" s="2">
        <f t="shared" si="236"/>
        <v>0.19680122028722952</v>
      </c>
    </row>
    <row r="5030" spans="1:14" x14ac:dyDescent="0.45">
      <c r="A5030" t="s">
        <v>8943</v>
      </c>
      <c r="B5030" s="1">
        <v>44702</v>
      </c>
      <c r="C5030" t="s">
        <v>8944</v>
      </c>
      <c r="D5030" t="s">
        <v>56</v>
      </c>
      <c r="E5030" t="s">
        <v>36</v>
      </c>
      <c r="F5030" t="s">
        <v>37</v>
      </c>
      <c r="G5030">
        <v>2</v>
      </c>
      <c r="H5030">
        <v>44627.26</v>
      </c>
      <c r="I5030">
        <v>5467.89</v>
      </c>
      <c r="J5030" t="s">
        <v>71</v>
      </c>
      <c r="K5030" t="s">
        <v>29</v>
      </c>
      <c r="L5030">
        <f t="shared" si="234"/>
        <v>2022</v>
      </c>
      <c r="M5030" t="str">
        <f t="shared" si="235"/>
        <v>May</v>
      </c>
      <c r="N5030" s="2">
        <f t="shared" si="236"/>
        <v>0.12252354278528416</v>
      </c>
    </row>
    <row r="5031" spans="1:14" x14ac:dyDescent="0.45">
      <c r="A5031" t="s">
        <v>8945</v>
      </c>
      <c r="B5031" s="1">
        <v>45630</v>
      </c>
      <c r="C5031" t="s">
        <v>8946</v>
      </c>
      <c r="D5031" t="s">
        <v>56</v>
      </c>
      <c r="E5031" t="s">
        <v>36</v>
      </c>
      <c r="F5031" t="s">
        <v>64</v>
      </c>
      <c r="G5031">
        <v>2</v>
      </c>
      <c r="H5031">
        <v>30378.36</v>
      </c>
      <c r="I5031">
        <v>3673.84</v>
      </c>
      <c r="J5031" t="s">
        <v>71</v>
      </c>
      <c r="K5031" t="s">
        <v>29</v>
      </c>
      <c r="L5031">
        <f t="shared" si="234"/>
        <v>2024</v>
      </c>
      <c r="M5031" t="str">
        <f t="shared" si="235"/>
        <v>Dec</v>
      </c>
      <c r="N5031" s="2">
        <f t="shared" si="236"/>
        <v>0.12093608739905644</v>
      </c>
    </row>
    <row r="5032" spans="1:14" x14ac:dyDescent="0.45">
      <c r="A5032" t="s">
        <v>8947</v>
      </c>
      <c r="B5032" s="1">
        <v>44661</v>
      </c>
      <c r="C5032" t="s">
        <v>8948</v>
      </c>
      <c r="D5032" t="s">
        <v>26</v>
      </c>
      <c r="E5032" t="s">
        <v>36</v>
      </c>
      <c r="F5032" t="s">
        <v>46</v>
      </c>
      <c r="G5032">
        <v>2</v>
      </c>
      <c r="H5032">
        <v>14454.63</v>
      </c>
      <c r="I5032">
        <v>2683.08</v>
      </c>
      <c r="J5032" t="s">
        <v>22</v>
      </c>
      <c r="K5032" t="s">
        <v>17</v>
      </c>
      <c r="L5032">
        <f t="shared" si="234"/>
        <v>2022</v>
      </c>
      <c r="M5032" t="str">
        <f t="shared" si="235"/>
        <v>Apr</v>
      </c>
      <c r="N5032" s="2">
        <f t="shared" si="236"/>
        <v>0.18562080108588044</v>
      </c>
    </row>
    <row r="5033" spans="1:14" x14ac:dyDescent="0.45">
      <c r="A5033" t="s">
        <v>8949</v>
      </c>
      <c r="B5033" s="1">
        <v>45569</v>
      </c>
      <c r="C5033" t="s">
        <v>5574</v>
      </c>
      <c r="D5033" t="s">
        <v>13</v>
      </c>
      <c r="E5033" t="s">
        <v>36</v>
      </c>
      <c r="F5033" t="s">
        <v>53</v>
      </c>
      <c r="G5033">
        <v>2</v>
      </c>
      <c r="H5033">
        <v>44364.7</v>
      </c>
      <c r="I5033">
        <v>2406.87</v>
      </c>
      <c r="J5033" t="s">
        <v>71</v>
      </c>
      <c r="K5033" t="s">
        <v>17</v>
      </c>
      <c r="L5033">
        <f t="shared" si="234"/>
        <v>2024</v>
      </c>
      <c r="M5033" t="str">
        <f t="shared" si="235"/>
        <v>Oct</v>
      </c>
      <c r="N5033" s="2">
        <f t="shared" si="236"/>
        <v>5.4251916501182246E-2</v>
      </c>
    </row>
    <row r="5034" spans="1:14" x14ac:dyDescent="0.45">
      <c r="A5034" t="s">
        <v>8950</v>
      </c>
      <c r="B5034" s="1">
        <v>44681</v>
      </c>
      <c r="C5034" t="s">
        <v>355</v>
      </c>
      <c r="D5034" t="s">
        <v>13</v>
      </c>
      <c r="E5034" t="s">
        <v>36</v>
      </c>
      <c r="F5034" t="s">
        <v>53</v>
      </c>
      <c r="G5034">
        <v>5</v>
      </c>
      <c r="H5034">
        <v>12976.26</v>
      </c>
      <c r="I5034">
        <v>970.37</v>
      </c>
      <c r="J5034" t="s">
        <v>22</v>
      </c>
      <c r="K5034" t="s">
        <v>33</v>
      </c>
      <c r="L5034">
        <f t="shared" si="234"/>
        <v>2022</v>
      </c>
      <c r="M5034" t="str">
        <f t="shared" si="235"/>
        <v>Apr</v>
      </c>
      <c r="N5034" s="2">
        <f t="shared" si="236"/>
        <v>7.4780406681123832E-2</v>
      </c>
    </row>
    <row r="5035" spans="1:14" x14ac:dyDescent="0.45">
      <c r="A5035" t="s">
        <v>8951</v>
      </c>
      <c r="B5035" s="1">
        <v>44950</v>
      </c>
      <c r="C5035" t="s">
        <v>8952</v>
      </c>
      <c r="D5035" t="s">
        <v>56</v>
      </c>
      <c r="E5035" t="s">
        <v>14</v>
      </c>
      <c r="F5035" t="s">
        <v>40</v>
      </c>
      <c r="G5035">
        <v>2</v>
      </c>
      <c r="H5035">
        <v>24042.49</v>
      </c>
      <c r="I5035">
        <v>5164.1499999999996</v>
      </c>
      <c r="J5035" t="s">
        <v>71</v>
      </c>
      <c r="K5035" t="s">
        <v>17</v>
      </c>
      <c r="L5035">
        <f t="shared" si="234"/>
        <v>2023</v>
      </c>
      <c r="M5035" t="str">
        <f t="shared" si="235"/>
        <v>Jan</v>
      </c>
      <c r="N5035" s="2">
        <f t="shared" si="236"/>
        <v>0.2147926441895161</v>
      </c>
    </row>
    <row r="5036" spans="1:14" x14ac:dyDescent="0.45">
      <c r="A5036" t="s">
        <v>8953</v>
      </c>
      <c r="B5036" s="1">
        <v>45027</v>
      </c>
      <c r="C5036" t="s">
        <v>8954</v>
      </c>
      <c r="D5036" t="s">
        <v>26</v>
      </c>
      <c r="E5036" t="s">
        <v>20</v>
      </c>
      <c r="F5036" t="s">
        <v>50</v>
      </c>
      <c r="G5036">
        <v>2</v>
      </c>
      <c r="H5036">
        <v>27024.46</v>
      </c>
      <c r="I5036">
        <v>3742.49</v>
      </c>
      <c r="J5036" t="s">
        <v>47</v>
      </c>
      <c r="K5036" t="s">
        <v>17</v>
      </c>
      <c r="L5036">
        <f t="shared" si="234"/>
        <v>2023</v>
      </c>
      <c r="M5036" t="str">
        <f t="shared" si="235"/>
        <v>Apr</v>
      </c>
      <c r="N5036" s="2">
        <f t="shared" si="236"/>
        <v>0.13848528333221088</v>
      </c>
    </row>
    <row r="5037" spans="1:14" x14ac:dyDescent="0.45">
      <c r="A5037" t="s">
        <v>8955</v>
      </c>
      <c r="B5037" s="1">
        <v>44575</v>
      </c>
      <c r="C5037" t="s">
        <v>8956</v>
      </c>
      <c r="D5037" t="s">
        <v>13</v>
      </c>
      <c r="E5037" t="s">
        <v>14</v>
      </c>
      <c r="F5037" t="s">
        <v>40</v>
      </c>
      <c r="G5037">
        <v>4</v>
      </c>
      <c r="H5037">
        <v>5703.7</v>
      </c>
      <c r="I5037">
        <v>311.12</v>
      </c>
      <c r="J5037" t="s">
        <v>47</v>
      </c>
      <c r="K5037" t="s">
        <v>17</v>
      </c>
      <c r="L5037">
        <f t="shared" si="234"/>
        <v>2022</v>
      </c>
      <c r="M5037" t="str">
        <f t="shared" si="235"/>
        <v>Jan</v>
      </c>
      <c r="N5037" s="2">
        <f t="shared" si="236"/>
        <v>5.4547048407174295E-2</v>
      </c>
    </row>
    <row r="5038" spans="1:14" x14ac:dyDescent="0.45">
      <c r="A5038" t="s">
        <v>8957</v>
      </c>
      <c r="B5038" s="1">
        <v>45537</v>
      </c>
      <c r="C5038" t="s">
        <v>8599</v>
      </c>
      <c r="D5038" t="s">
        <v>13</v>
      </c>
      <c r="E5038" t="s">
        <v>20</v>
      </c>
      <c r="F5038" t="s">
        <v>50</v>
      </c>
      <c r="G5038">
        <v>2</v>
      </c>
      <c r="H5038">
        <v>33991.160000000003</v>
      </c>
      <c r="I5038">
        <v>6204.54</v>
      </c>
      <c r="J5038" t="s">
        <v>47</v>
      </c>
      <c r="K5038" t="s">
        <v>17</v>
      </c>
      <c r="L5038">
        <f t="shared" si="234"/>
        <v>2024</v>
      </c>
      <c r="M5038" t="str">
        <f t="shared" si="235"/>
        <v>Sep</v>
      </c>
      <c r="N5038" s="2">
        <f t="shared" si="236"/>
        <v>0.18253392940988183</v>
      </c>
    </row>
    <row r="5039" spans="1:14" x14ac:dyDescent="0.45">
      <c r="A5039" t="s">
        <v>8958</v>
      </c>
      <c r="B5039" s="1">
        <v>45252</v>
      </c>
      <c r="C5039" t="s">
        <v>8959</v>
      </c>
      <c r="D5039" t="s">
        <v>56</v>
      </c>
      <c r="E5039" t="s">
        <v>20</v>
      </c>
      <c r="F5039" t="s">
        <v>50</v>
      </c>
      <c r="G5039">
        <v>5</v>
      </c>
      <c r="H5039">
        <v>34426.17</v>
      </c>
      <c r="I5039">
        <v>3817.42</v>
      </c>
      <c r="J5039" t="s">
        <v>28</v>
      </c>
      <c r="K5039" t="s">
        <v>33</v>
      </c>
      <c r="L5039">
        <f t="shared" si="234"/>
        <v>2023</v>
      </c>
      <c r="M5039" t="str">
        <f t="shared" si="235"/>
        <v>Nov</v>
      </c>
      <c r="N5039" s="2">
        <f t="shared" si="236"/>
        <v>0.11088715358112738</v>
      </c>
    </row>
    <row r="5040" spans="1:14" x14ac:dyDescent="0.45">
      <c r="A5040" t="s">
        <v>8960</v>
      </c>
      <c r="B5040" s="1">
        <v>45527</v>
      </c>
      <c r="C5040" t="s">
        <v>8961</v>
      </c>
      <c r="D5040" t="s">
        <v>26</v>
      </c>
      <c r="E5040" t="s">
        <v>20</v>
      </c>
      <c r="F5040" t="s">
        <v>21</v>
      </c>
      <c r="G5040">
        <v>2</v>
      </c>
      <c r="H5040">
        <v>10568.44</v>
      </c>
      <c r="I5040">
        <v>1235.3599999999999</v>
      </c>
      <c r="J5040" t="s">
        <v>47</v>
      </c>
      <c r="K5040" t="s">
        <v>33</v>
      </c>
      <c r="L5040">
        <f t="shared" si="234"/>
        <v>2024</v>
      </c>
      <c r="M5040" t="str">
        <f t="shared" si="235"/>
        <v>Aug</v>
      </c>
      <c r="N5040" s="2">
        <f t="shared" si="236"/>
        <v>0.11689142389983762</v>
      </c>
    </row>
    <row r="5041" spans="1:14" x14ac:dyDescent="0.45">
      <c r="A5041" t="s">
        <v>8962</v>
      </c>
      <c r="B5041" s="1">
        <v>45148</v>
      </c>
      <c r="C5041" t="s">
        <v>8963</v>
      </c>
      <c r="D5041" t="s">
        <v>26</v>
      </c>
      <c r="E5041" t="s">
        <v>36</v>
      </c>
      <c r="F5041" t="s">
        <v>37</v>
      </c>
      <c r="G5041">
        <v>5</v>
      </c>
      <c r="H5041">
        <v>40153.050000000003</v>
      </c>
      <c r="I5041">
        <v>8743.4599999999991</v>
      </c>
      <c r="J5041" t="s">
        <v>47</v>
      </c>
      <c r="K5041" t="s">
        <v>33</v>
      </c>
      <c r="L5041">
        <f t="shared" si="234"/>
        <v>2023</v>
      </c>
      <c r="M5041" t="str">
        <f t="shared" si="235"/>
        <v>Aug</v>
      </c>
      <c r="N5041" s="2">
        <f t="shared" si="236"/>
        <v>0.21775332135416858</v>
      </c>
    </row>
    <row r="5042" spans="1:14" x14ac:dyDescent="0.45">
      <c r="A5042" t="s">
        <v>8964</v>
      </c>
      <c r="B5042" s="1">
        <v>45009</v>
      </c>
      <c r="C5042" t="s">
        <v>8051</v>
      </c>
      <c r="D5042" t="s">
        <v>56</v>
      </c>
      <c r="E5042" t="s">
        <v>20</v>
      </c>
      <c r="F5042" t="s">
        <v>21</v>
      </c>
      <c r="G5042">
        <v>1</v>
      </c>
      <c r="H5042">
        <v>38987.910000000003</v>
      </c>
      <c r="I5042">
        <v>4344.8</v>
      </c>
      <c r="J5042" t="s">
        <v>16</v>
      </c>
      <c r="K5042" t="s">
        <v>17</v>
      </c>
      <c r="L5042">
        <f t="shared" si="234"/>
        <v>2023</v>
      </c>
      <c r="M5042" t="str">
        <f t="shared" si="235"/>
        <v>Mar</v>
      </c>
      <c r="N5042" s="2">
        <f t="shared" si="236"/>
        <v>0.11143967450422451</v>
      </c>
    </row>
    <row r="5043" spans="1:14" x14ac:dyDescent="0.45">
      <c r="A5043" t="s">
        <v>8965</v>
      </c>
      <c r="B5043" s="1">
        <v>44863</v>
      </c>
      <c r="C5043" t="s">
        <v>8966</v>
      </c>
      <c r="D5043" t="s">
        <v>56</v>
      </c>
      <c r="E5043" t="s">
        <v>36</v>
      </c>
      <c r="F5043" t="s">
        <v>64</v>
      </c>
      <c r="G5043">
        <v>3</v>
      </c>
      <c r="H5043">
        <v>43973.66</v>
      </c>
      <c r="I5043">
        <v>8359.2099999999991</v>
      </c>
      <c r="J5043" t="s">
        <v>16</v>
      </c>
      <c r="K5043" t="s">
        <v>23</v>
      </c>
      <c r="L5043">
        <f t="shared" si="234"/>
        <v>2022</v>
      </c>
      <c r="M5043" t="str">
        <f t="shared" si="235"/>
        <v>Oct</v>
      </c>
      <c r="N5043" s="2">
        <f t="shared" si="236"/>
        <v>0.19009584373918384</v>
      </c>
    </row>
    <row r="5044" spans="1:14" x14ac:dyDescent="0.45">
      <c r="A5044" t="s">
        <v>8967</v>
      </c>
      <c r="B5044" s="1">
        <v>45549</v>
      </c>
      <c r="C5044" t="s">
        <v>8968</v>
      </c>
      <c r="D5044" t="s">
        <v>26</v>
      </c>
      <c r="E5044" t="s">
        <v>20</v>
      </c>
      <c r="F5044" t="s">
        <v>21</v>
      </c>
      <c r="G5044">
        <v>1</v>
      </c>
      <c r="H5044">
        <v>13870.31</v>
      </c>
      <c r="I5044">
        <v>1000.79</v>
      </c>
      <c r="J5044" t="s">
        <v>16</v>
      </c>
      <c r="K5044" t="s">
        <v>17</v>
      </c>
      <c r="L5044">
        <f t="shared" si="234"/>
        <v>2024</v>
      </c>
      <c r="M5044" t="str">
        <f t="shared" si="235"/>
        <v>Sep</v>
      </c>
      <c r="N5044" s="2">
        <f t="shared" si="236"/>
        <v>7.2153398157647528E-2</v>
      </c>
    </row>
    <row r="5045" spans="1:14" x14ac:dyDescent="0.45">
      <c r="A5045" t="s">
        <v>8969</v>
      </c>
      <c r="B5045" s="1">
        <v>45289</v>
      </c>
      <c r="C5045" t="s">
        <v>8970</v>
      </c>
      <c r="D5045" t="s">
        <v>26</v>
      </c>
      <c r="E5045" t="s">
        <v>14</v>
      </c>
      <c r="F5045" t="s">
        <v>57</v>
      </c>
      <c r="G5045">
        <v>4</v>
      </c>
      <c r="H5045">
        <v>23918.97</v>
      </c>
      <c r="I5045">
        <v>1914.98</v>
      </c>
      <c r="J5045" t="s">
        <v>71</v>
      </c>
      <c r="K5045" t="s">
        <v>33</v>
      </c>
      <c r="L5045">
        <f t="shared" si="234"/>
        <v>2023</v>
      </c>
      <c r="M5045" t="str">
        <f t="shared" si="235"/>
        <v>Dec</v>
      </c>
      <c r="N5045" s="2">
        <f t="shared" si="236"/>
        <v>8.0061139756436001E-2</v>
      </c>
    </row>
    <row r="5046" spans="1:14" x14ac:dyDescent="0.45">
      <c r="A5046" t="s">
        <v>8971</v>
      </c>
      <c r="B5046" s="1">
        <v>45519</v>
      </c>
      <c r="C5046" t="s">
        <v>8972</v>
      </c>
      <c r="D5046" t="s">
        <v>26</v>
      </c>
      <c r="E5046" t="s">
        <v>14</v>
      </c>
      <c r="F5046" t="s">
        <v>57</v>
      </c>
      <c r="G5046">
        <v>5</v>
      </c>
      <c r="H5046">
        <v>10898.59</v>
      </c>
      <c r="I5046">
        <v>646.29999999999995</v>
      </c>
      <c r="J5046" t="s">
        <v>16</v>
      </c>
      <c r="K5046" t="s">
        <v>29</v>
      </c>
      <c r="L5046">
        <f t="shared" si="234"/>
        <v>2024</v>
      </c>
      <c r="M5046" t="str">
        <f t="shared" si="235"/>
        <v>Aug</v>
      </c>
      <c r="N5046" s="2">
        <f t="shared" si="236"/>
        <v>5.9301249060658298E-2</v>
      </c>
    </row>
    <row r="5047" spans="1:14" x14ac:dyDescent="0.45">
      <c r="A5047" t="s">
        <v>8973</v>
      </c>
      <c r="B5047" s="1">
        <v>45605</v>
      </c>
      <c r="C5047" t="s">
        <v>6330</v>
      </c>
      <c r="D5047" t="s">
        <v>13</v>
      </c>
      <c r="E5047" t="s">
        <v>36</v>
      </c>
      <c r="F5047" t="s">
        <v>37</v>
      </c>
      <c r="G5047">
        <v>4</v>
      </c>
      <c r="H5047">
        <v>47645.34</v>
      </c>
      <c r="I5047">
        <v>3240.23</v>
      </c>
      <c r="J5047" t="s">
        <v>71</v>
      </c>
      <c r="K5047" t="s">
        <v>33</v>
      </c>
      <c r="L5047">
        <f t="shared" si="234"/>
        <v>2024</v>
      </c>
      <c r="M5047" t="str">
        <f t="shared" si="235"/>
        <v>Nov</v>
      </c>
      <c r="N5047" s="2">
        <f t="shared" si="236"/>
        <v>6.8007280460166727E-2</v>
      </c>
    </row>
    <row r="5048" spans="1:14" x14ac:dyDescent="0.45">
      <c r="A5048" t="s">
        <v>8974</v>
      </c>
      <c r="B5048" s="1">
        <v>44682</v>
      </c>
      <c r="C5048" t="s">
        <v>8587</v>
      </c>
      <c r="D5048" t="s">
        <v>56</v>
      </c>
      <c r="E5048" t="s">
        <v>36</v>
      </c>
      <c r="F5048" t="s">
        <v>46</v>
      </c>
      <c r="G5048">
        <v>1</v>
      </c>
      <c r="H5048">
        <v>24937.32</v>
      </c>
      <c r="I5048">
        <v>5267.01</v>
      </c>
      <c r="J5048" t="s">
        <v>16</v>
      </c>
      <c r="K5048" t="s">
        <v>33</v>
      </c>
      <c r="L5048">
        <f t="shared" si="234"/>
        <v>2022</v>
      </c>
      <c r="M5048" t="str">
        <f t="shared" si="235"/>
        <v>May</v>
      </c>
      <c r="N5048" s="2">
        <f t="shared" si="236"/>
        <v>0.21120994557554701</v>
      </c>
    </row>
    <row r="5049" spans="1:14" x14ac:dyDescent="0.45">
      <c r="A5049" t="s">
        <v>8975</v>
      </c>
      <c r="B5049" s="1">
        <v>44841</v>
      </c>
      <c r="C5049" t="s">
        <v>8976</v>
      </c>
      <c r="D5049" t="s">
        <v>26</v>
      </c>
      <c r="E5049" t="s">
        <v>20</v>
      </c>
      <c r="F5049" t="s">
        <v>50</v>
      </c>
      <c r="G5049">
        <v>4</v>
      </c>
      <c r="H5049">
        <v>43461</v>
      </c>
      <c r="I5049">
        <v>6073.82</v>
      </c>
      <c r="J5049" t="s">
        <v>22</v>
      </c>
      <c r="K5049" t="s">
        <v>33</v>
      </c>
      <c r="L5049">
        <f t="shared" si="234"/>
        <v>2022</v>
      </c>
      <c r="M5049" t="str">
        <f t="shared" si="235"/>
        <v>Oct</v>
      </c>
      <c r="N5049" s="2">
        <f t="shared" si="236"/>
        <v>0.13975334207680448</v>
      </c>
    </row>
    <row r="5050" spans="1:14" x14ac:dyDescent="0.45">
      <c r="A5050" t="s">
        <v>8977</v>
      </c>
      <c r="B5050" s="1">
        <v>45526</v>
      </c>
      <c r="C5050" t="s">
        <v>8978</v>
      </c>
      <c r="D5050" t="s">
        <v>26</v>
      </c>
      <c r="E5050" t="s">
        <v>20</v>
      </c>
      <c r="F5050" t="s">
        <v>50</v>
      </c>
      <c r="G5050">
        <v>5</v>
      </c>
      <c r="H5050">
        <v>49301.7</v>
      </c>
      <c r="I5050">
        <v>7799.14</v>
      </c>
      <c r="J5050" t="s">
        <v>71</v>
      </c>
      <c r="K5050" t="s">
        <v>23</v>
      </c>
      <c r="L5050">
        <f t="shared" si="234"/>
        <v>2024</v>
      </c>
      <c r="M5050" t="str">
        <f t="shared" si="235"/>
        <v>Aug</v>
      </c>
      <c r="N5050" s="2">
        <f t="shared" si="236"/>
        <v>0.15819211102254083</v>
      </c>
    </row>
    <row r="5051" spans="1:14" x14ac:dyDescent="0.45">
      <c r="A5051" t="s">
        <v>8979</v>
      </c>
      <c r="B5051" s="1">
        <v>45368</v>
      </c>
      <c r="C5051" t="s">
        <v>8980</v>
      </c>
      <c r="D5051" t="s">
        <v>13</v>
      </c>
      <c r="E5051" t="s">
        <v>20</v>
      </c>
      <c r="F5051" t="s">
        <v>27</v>
      </c>
      <c r="G5051">
        <v>2</v>
      </c>
      <c r="H5051">
        <v>44346.06</v>
      </c>
      <c r="I5051">
        <v>7259.29</v>
      </c>
      <c r="J5051" t="s">
        <v>28</v>
      </c>
      <c r="K5051" t="s">
        <v>29</v>
      </c>
      <c r="L5051">
        <f t="shared" si="234"/>
        <v>2024</v>
      </c>
      <c r="M5051" t="str">
        <f t="shared" si="235"/>
        <v>Mar</v>
      </c>
      <c r="N5051" s="2">
        <f t="shared" si="236"/>
        <v>0.16369639151708179</v>
      </c>
    </row>
    <row r="5052" spans="1:14" x14ac:dyDescent="0.45">
      <c r="A5052" t="s">
        <v>8981</v>
      </c>
      <c r="B5052" s="1">
        <v>45216</v>
      </c>
      <c r="C5052" t="s">
        <v>8982</v>
      </c>
      <c r="D5052" t="s">
        <v>26</v>
      </c>
      <c r="E5052" t="s">
        <v>14</v>
      </c>
      <c r="F5052" t="s">
        <v>15</v>
      </c>
      <c r="G5052">
        <v>1</v>
      </c>
      <c r="H5052">
        <v>17052.900000000001</v>
      </c>
      <c r="I5052">
        <v>3636.34</v>
      </c>
      <c r="J5052" t="s">
        <v>28</v>
      </c>
      <c r="K5052" t="s">
        <v>23</v>
      </c>
      <c r="L5052">
        <f t="shared" si="234"/>
        <v>2023</v>
      </c>
      <c r="M5052" t="str">
        <f t="shared" si="235"/>
        <v>Oct</v>
      </c>
      <c r="N5052" s="2">
        <f t="shared" si="236"/>
        <v>0.21323880395709818</v>
      </c>
    </row>
    <row r="5053" spans="1:14" x14ac:dyDescent="0.45">
      <c r="A5053" t="s">
        <v>8983</v>
      </c>
      <c r="B5053" s="1">
        <v>45114</v>
      </c>
      <c r="C5053" t="s">
        <v>3146</v>
      </c>
      <c r="D5053" t="s">
        <v>56</v>
      </c>
      <c r="E5053" t="s">
        <v>14</v>
      </c>
      <c r="F5053" t="s">
        <v>15</v>
      </c>
      <c r="G5053">
        <v>3</v>
      </c>
      <c r="H5053">
        <v>43900.61</v>
      </c>
      <c r="I5053">
        <v>4420.0200000000004</v>
      </c>
      <c r="J5053" t="s">
        <v>71</v>
      </c>
      <c r="K5053" t="s">
        <v>23</v>
      </c>
      <c r="L5053">
        <f t="shared" si="234"/>
        <v>2023</v>
      </c>
      <c r="M5053" t="str">
        <f t="shared" si="235"/>
        <v>Jul</v>
      </c>
      <c r="N5053" s="2">
        <f t="shared" si="236"/>
        <v>0.10068242787514799</v>
      </c>
    </row>
    <row r="5054" spans="1:14" x14ac:dyDescent="0.45">
      <c r="A5054" t="s">
        <v>8984</v>
      </c>
      <c r="B5054" s="1">
        <v>45222</v>
      </c>
      <c r="C5054" t="s">
        <v>8985</v>
      </c>
      <c r="D5054" t="s">
        <v>56</v>
      </c>
      <c r="E5054" t="s">
        <v>20</v>
      </c>
      <c r="F5054" t="s">
        <v>50</v>
      </c>
      <c r="G5054">
        <v>4</v>
      </c>
      <c r="H5054">
        <v>14248.78</v>
      </c>
      <c r="I5054">
        <v>806.3</v>
      </c>
      <c r="J5054" t="s">
        <v>22</v>
      </c>
      <c r="K5054" t="s">
        <v>17</v>
      </c>
      <c r="L5054">
        <f t="shared" si="234"/>
        <v>2023</v>
      </c>
      <c r="M5054" t="str">
        <f t="shared" si="235"/>
        <v>Oct</v>
      </c>
      <c r="N5054" s="2">
        <f t="shared" si="236"/>
        <v>5.6587300807507727E-2</v>
      </c>
    </row>
    <row r="5055" spans="1:14" x14ac:dyDescent="0.45">
      <c r="A5055" t="s">
        <v>8986</v>
      </c>
      <c r="B5055" s="1">
        <v>44651</v>
      </c>
      <c r="C5055" t="s">
        <v>8987</v>
      </c>
      <c r="D5055" t="s">
        <v>13</v>
      </c>
      <c r="E5055" t="s">
        <v>36</v>
      </c>
      <c r="F5055" t="s">
        <v>64</v>
      </c>
      <c r="G5055">
        <v>2</v>
      </c>
      <c r="H5055">
        <v>35500.49</v>
      </c>
      <c r="I5055">
        <v>8031.37</v>
      </c>
      <c r="J5055" t="s">
        <v>71</v>
      </c>
      <c r="K5055" t="s">
        <v>29</v>
      </c>
      <c r="L5055">
        <f t="shared" si="234"/>
        <v>2022</v>
      </c>
      <c r="M5055" t="str">
        <f t="shared" si="235"/>
        <v>Mar</v>
      </c>
      <c r="N5055" s="2">
        <f t="shared" si="236"/>
        <v>0.22623265200001466</v>
      </c>
    </row>
    <row r="5056" spans="1:14" x14ac:dyDescent="0.45">
      <c r="A5056" t="s">
        <v>8988</v>
      </c>
      <c r="B5056" s="1">
        <v>45150</v>
      </c>
      <c r="C5056" t="s">
        <v>7719</v>
      </c>
      <c r="D5056" t="s">
        <v>13</v>
      </c>
      <c r="E5056" t="s">
        <v>20</v>
      </c>
      <c r="F5056" t="s">
        <v>43</v>
      </c>
      <c r="G5056">
        <v>4</v>
      </c>
      <c r="H5056">
        <v>42683.21</v>
      </c>
      <c r="I5056">
        <v>3214.12</v>
      </c>
      <c r="J5056" t="s">
        <v>47</v>
      </c>
      <c r="K5056" t="s">
        <v>29</v>
      </c>
      <c r="L5056">
        <f t="shared" si="234"/>
        <v>2023</v>
      </c>
      <c r="M5056" t="str">
        <f t="shared" si="235"/>
        <v>Aug</v>
      </c>
      <c r="N5056" s="2">
        <f t="shared" si="236"/>
        <v>7.5301740426739219E-2</v>
      </c>
    </row>
    <row r="5057" spans="1:14" x14ac:dyDescent="0.45">
      <c r="A5057" t="s">
        <v>8989</v>
      </c>
      <c r="B5057" s="1">
        <v>45058</v>
      </c>
      <c r="C5057" t="s">
        <v>1671</v>
      </c>
      <c r="D5057" t="s">
        <v>26</v>
      </c>
      <c r="E5057" t="s">
        <v>14</v>
      </c>
      <c r="F5057" t="s">
        <v>40</v>
      </c>
      <c r="G5057">
        <v>1</v>
      </c>
      <c r="H5057">
        <v>35032.58</v>
      </c>
      <c r="I5057">
        <v>5706.48</v>
      </c>
      <c r="J5057" t="s">
        <v>47</v>
      </c>
      <c r="K5057" t="s">
        <v>17</v>
      </c>
      <c r="L5057">
        <f t="shared" si="234"/>
        <v>2023</v>
      </c>
      <c r="M5057" t="str">
        <f t="shared" si="235"/>
        <v>May</v>
      </c>
      <c r="N5057" s="2">
        <f t="shared" si="236"/>
        <v>0.16289065778198464</v>
      </c>
    </row>
    <row r="5058" spans="1:14" x14ac:dyDescent="0.45">
      <c r="A5058" t="s">
        <v>8990</v>
      </c>
      <c r="B5058" s="1">
        <v>44601</v>
      </c>
      <c r="C5058" t="s">
        <v>8991</v>
      </c>
      <c r="D5058" t="s">
        <v>13</v>
      </c>
      <c r="E5058" t="s">
        <v>20</v>
      </c>
      <c r="F5058" t="s">
        <v>21</v>
      </c>
      <c r="G5058">
        <v>3</v>
      </c>
      <c r="H5058">
        <v>36411.870000000003</v>
      </c>
      <c r="I5058">
        <v>6538</v>
      </c>
      <c r="J5058" t="s">
        <v>16</v>
      </c>
      <c r="K5058" t="s">
        <v>29</v>
      </c>
      <c r="L5058">
        <f t="shared" si="234"/>
        <v>2022</v>
      </c>
      <c r="M5058" t="str">
        <f t="shared" si="235"/>
        <v>Feb</v>
      </c>
      <c r="N5058" s="2">
        <f t="shared" si="236"/>
        <v>0.17955683133000308</v>
      </c>
    </row>
    <row r="5059" spans="1:14" x14ac:dyDescent="0.45">
      <c r="A5059" t="s">
        <v>8992</v>
      </c>
      <c r="B5059" s="1">
        <v>45481</v>
      </c>
      <c r="C5059" t="s">
        <v>8993</v>
      </c>
      <c r="D5059" t="s">
        <v>13</v>
      </c>
      <c r="E5059" t="s">
        <v>20</v>
      </c>
      <c r="F5059" t="s">
        <v>21</v>
      </c>
      <c r="G5059">
        <v>1</v>
      </c>
      <c r="H5059">
        <v>22493.07</v>
      </c>
      <c r="I5059">
        <v>3750.25</v>
      </c>
      <c r="J5059" t="s">
        <v>16</v>
      </c>
      <c r="K5059" t="s">
        <v>33</v>
      </c>
      <c r="L5059">
        <f t="shared" ref="L5059:L5122" si="237">YEAR(B5059 )</f>
        <v>2024</v>
      </c>
      <c r="M5059" t="str">
        <f t="shared" ref="M5059:M5122" si="238">TEXT(B5059,"MMM")</f>
        <v>Jul</v>
      </c>
      <c r="N5059" s="2">
        <f t="shared" ref="N5059:N5122" si="239">I5059 / H5059</f>
        <v>0.16672913034992556</v>
      </c>
    </row>
    <row r="5060" spans="1:14" x14ac:dyDescent="0.45">
      <c r="A5060" t="s">
        <v>8994</v>
      </c>
      <c r="B5060" s="1">
        <v>45526</v>
      </c>
      <c r="C5060" t="s">
        <v>8995</v>
      </c>
      <c r="D5060" t="s">
        <v>26</v>
      </c>
      <c r="E5060" t="s">
        <v>20</v>
      </c>
      <c r="F5060" t="s">
        <v>21</v>
      </c>
      <c r="G5060">
        <v>5</v>
      </c>
      <c r="H5060">
        <v>32220.23</v>
      </c>
      <c r="I5060">
        <v>5793.3</v>
      </c>
      <c r="J5060" t="s">
        <v>16</v>
      </c>
      <c r="K5060" t="s">
        <v>23</v>
      </c>
      <c r="L5060">
        <f t="shared" si="237"/>
        <v>2024</v>
      </c>
      <c r="M5060" t="str">
        <f t="shared" si="238"/>
        <v>Aug</v>
      </c>
      <c r="N5060" s="2">
        <f t="shared" si="239"/>
        <v>0.17980318576248525</v>
      </c>
    </row>
    <row r="5061" spans="1:14" x14ac:dyDescent="0.45">
      <c r="A5061" t="s">
        <v>8996</v>
      </c>
      <c r="B5061" s="1">
        <v>45182</v>
      </c>
      <c r="C5061" t="s">
        <v>6445</v>
      </c>
      <c r="D5061" t="s">
        <v>13</v>
      </c>
      <c r="E5061" t="s">
        <v>36</v>
      </c>
      <c r="F5061" t="s">
        <v>46</v>
      </c>
      <c r="G5061">
        <v>2</v>
      </c>
      <c r="H5061">
        <v>6486.74</v>
      </c>
      <c r="I5061">
        <v>1030.3599999999999</v>
      </c>
      <c r="J5061" t="s">
        <v>71</v>
      </c>
      <c r="K5061" t="s">
        <v>29</v>
      </c>
      <c r="L5061">
        <f t="shared" si="237"/>
        <v>2023</v>
      </c>
      <c r="M5061" t="str">
        <f t="shared" si="238"/>
        <v>Sep</v>
      </c>
      <c r="N5061" s="2">
        <f t="shared" si="239"/>
        <v>0.15884095863253345</v>
      </c>
    </row>
    <row r="5062" spans="1:14" x14ac:dyDescent="0.45">
      <c r="A5062" t="s">
        <v>8997</v>
      </c>
      <c r="B5062" s="1">
        <v>45139</v>
      </c>
      <c r="C5062" t="s">
        <v>8998</v>
      </c>
      <c r="D5062" t="s">
        <v>13</v>
      </c>
      <c r="E5062" t="s">
        <v>36</v>
      </c>
      <c r="F5062" t="s">
        <v>53</v>
      </c>
      <c r="G5062">
        <v>4</v>
      </c>
      <c r="H5062">
        <v>42790</v>
      </c>
      <c r="I5062">
        <v>10418.82</v>
      </c>
      <c r="J5062" t="s">
        <v>28</v>
      </c>
      <c r="K5062" t="s">
        <v>33</v>
      </c>
      <c r="L5062">
        <f t="shared" si="237"/>
        <v>2023</v>
      </c>
      <c r="M5062" t="str">
        <f t="shared" si="238"/>
        <v>Aug</v>
      </c>
      <c r="N5062" s="2">
        <f t="shared" si="239"/>
        <v>0.24348726337929422</v>
      </c>
    </row>
    <row r="5063" spans="1:14" x14ac:dyDescent="0.45">
      <c r="A5063" t="s">
        <v>8999</v>
      </c>
      <c r="B5063" s="1">
        <v>44692</v>
      </c>
      <c r="C5063" t="s">
        <v>6793</v>
      </c>
      <c r="D5063" t="s">
        <v>56</v>
      </c>
      <c r="E5063" t="s">
        <v>20</v>
      </c>
      <c r="F5063" t="s">
        <v>43</v>
      </c>
      <c r="G5063">
        <v>1</v>
      </c>
      <c r="H5063">
        <v>8126.81</v>
      </c>
      <c r="I5063">
        <v>812.08</v>
      </c>
      <c r="J5063" t="s">
        <v>16</v>
      </c>
      <c r="K5063" t="s">
        <v>29</v>
      </c>
      <c r="L5063">
        <f t="shared" si="237"/>
        <v>2022</v>
      </c>
      <c r="M5063" t="str">
        <f t="shared" si="238"/>
        <v>May</v>
      </c>
      <c r="N5063" s="2">
        <f t="shared" si="239"/>
        <v>9.9926047243629426E-2</v>
      </c>
    </row>
    <row r="5064" spans="1:14" x14ac:dyDescent="0.45">
      <c r="A5064" t="s">
        <v>9000</v>
      </c>
      <c r="B5064" s="1">
        <v>44800</v>
      </c>
      <c r="C5064" t="s">
        <v>9001</v>
      </c>
      <c r="D5064" t="s">
        <v>13</v>
      </c>
      <c r="E5064" t="s">
        <v>36</v>
      </c>
      <c r="F5064" t="s">
        <v>37</v>
      </c>
      <c r="G5064">
        <v>2</v>
      </c>
      <c r="H5064">
        <v>10598.73</v>
      </c>
      <c r="I5064">
        <v>1374.14</v>
      </c>
      <c r="J5064" t="s">
        <v>22</v>
      </c>
      <c r="K5064" t="s">
        <v>17</v>
      </c>
      <c r="L5064">
        <f t="shared" si="237"/>
        <v>2022</v>
      </c>
      <c r="M5064" t="str">
        <f t="shared" si="238"/>
        <v>Aug</v>
      </c>
      <c r="N5064" s="2">
        <f t="shared" si="239"/>
        <v>0.12965138276000995</v>
      </c>
    </row>
    <row r="5065" spans="1:14" x14ac:dyDescent="0.45">
      <c r="A5065" t="s">
        <v>9002</v>
      </c>
      <c r="B5065" s="1">
        <v>45091</v>
      </c>
      <c r="C5065" t="s">
        <v>4534</v>
      </c>
      <c r="D5065" t="s">
        <v>26</v>
      </c>
      <c r="E5065" t="s">
        <v>36</v>
      </c>
      <c r="F5065" t="s">
        <v>53</v>
      </c>
      <c r="G5065">
        <v>3</v>
      </c>
      <c r="H5065">
        <v>29634.61</v>
      </c>
      <c r="I5065">
        <v>7399.21</v>
      </c>
      <c r="J5065" t="s">
        <v>22</v>
      </c>
      <c r="K5065" t="s">
        <v>29</v>
      </c>
      <c r="L5065">
        <f t="shared" si="237"/>
        <v>2023</v>
      </c>
      <c r="M5065" t="str">
        <f t="shared" si="238"/>
        <v>Jun</v>
      </c>
      <c r="N5065" s="2">
        <f t="shared" si="239"/>
        <v>0.24968136918285747</v>
      </c>
    </row>
    <row r="5066" spans="1:14" x14ac:dyDescent="0.45">
      <c r="A5066" t="s">
        <v>9003</v>
      </c>
      <c r="B5066" s="1">
        <v>44898</v>
      </c>
      <c r="C5066" t="s">
        <v>1230</v>
      </c>
      <c r="D5066" t="s">
        <v>13</v>
      </c>
      <c r="E5066" t="s">
        <v>14</v>
      </c>
      <c r="F5066" t="s">
        <v>40</v>
      </c>
      <c r="G5066">
        <v>4</v>
      </c>
      <c r="H5066">
        <v>19383.93</v>
      </c>
      <c r="I5066">
        <v>4456.84</v>
      </c>
      <c r="J5066" t="s">
        <v>71</v>
      </c>
      <c r="K5066" t="s">
        <v>29</v>
      </c>
      <c r="L5066">
        <f t="shared" si="237"/>
        <v>2022</v>
      </c>
      <c r="M5066" t="str">
        <f t="shared" si="238"/>
        <v>Dec</v>
      </c>
      <c r="N5066" s="2">
        <f t="shared" si="239"/>
        <v>0.22992447867898821</v>
      </c>
    </row>
    <row r="5067" spans="1:14" x14ac:dyDescent="0.45">
      <c r="A5067" t="s">
        <v>9004</v>
      </c>
      <c r="B5067" s="1">
        <v>44841</v>
      </c>
      <c r="C5067" t="s">
        <v>9005</v>
      </c>
      <c r="D5067" t="s">
        <v>56</v>
      </c>
      <c r="E5067" t="s">
        <v>36</v>
      </c>
      <c r="F5067" t="s">
        <v>46</v>
      </c>
      <c r="G5067">
        <v>5</v>
      </c>
      <c r="H5067">
        <v>4480.9799999999996</v>
      </c>
      <c r="I5067">
        <v>653.4</v>
      </c>
      <c r="J5067" t="s">
        <v>22</v>
      </c>
      <c r="K5067" t="s">
        <v>33</v>
      </c>
      <c r="L5067">
        <f t="shared" si="237"/>
        <v>2022</v>
      </c>
      <c r="M5067" t="str">
        <f t="shared" si="238"/>
        <v>Oct</v>
      </c>
      <c r="N5067" s="2">
        <f t="shared" si="239"/>
        <v>0.1458163169663779</v>
      </c>
    </row>
    <row r="5068" spans="1:14" x14ac:dyDescent="0.45">
      <c r="A5068" t="s">
        <v>9006</v>
      </c>
      <c r="B5068" s="1">
        <v>45465</v>
      </c>
      <c r="C5068" t="s">
        <v>61</v>
      </c>
      <c r="D5068" t="s">
        <v>56</v>
      </c>
      <c r="E5068" t="s">
        <v>20</v>
      </c>
      <c r="F5068" t="s">
        <v>21</v>
      </c>
      <c r="G5068">
        <v>4</v>
      </c>
      <c r="H5068">
        <v>11635.04</v>
      </c>
      <c r="I5068">
        <v>682.33</v>
      </c>
      <c r="J5068" t="s">
        <v>16</v>
      </c>
      <c r="K5068" t="s">
        <v>17</v>
      </c>
      <c r="L5068">
        <f t="shared" si="237"/>
        <v>2024</v>
      </c>
      <c r="M5068" t="str">
        <f t="shared" si="238"/>
        <v>Jun</v>
      </c>
      <c r="N5068" s="2">
        <f t="shared" si="239"/>
        <v>5.8644405176088779E-2</v>
      </c>
    </row>
    <row r="5069" spans="1:14" x14ac:dyDescent="0.45">
      <c r="A5069" t="s">
        <v>9007</v>
      </c>
      <c r="B5069" s="1">
        <v>45140</v>
      </c>
      <c r="C5069" t="s">
        <v>9008</v>
      </c>
      <c r="D5069" t="s">
        <v>26</v>
      </c>
      <c r="E5069" t="s">
        <v>20</v>
      </c>
      <c r="F5069" t="s">
        <v>27</v>
      </c>
      <c r="G5069">
        <v>4</v>
      </c>
      <c r="H5069">
        <v>2649.44</v>
      </c>
      <c r="I5069">
        <v>396.41</v>
      </c>
      <c r="J5069" t="s">
        <v>71</v>
      </c>
      <c r="K5069" t="s">
        <v>33</v>
      </c>
      <c r="L5069">
        <f t="shared" si="237"/>
        <v>2023</v>
      </c>
      <c r="M5069" t="str">
        <f t="shared" si="238"/>
        <v>Aug</v>
      </c>
      <c r="N5069" s="2">
        <f t="shared" si="239"/>
        <v>0.14962029711939126</v>
      </c>
    </row>
    <row r="5070" spans="1:14" x14ac:dyDescent="0.45">
      <c r="A5070" t="s">
        <v>9009</v>
      </c>
      <c r="B5070" s="1">
        <v>45622</v>
      </c>
      <c r="C5070" t="s">
        <v>9010</v>
      </c>
      <c r="D5070" t="s">
        <v>26</v>
      </c>
      <c r="E5070" t="s">
        <v>20</v>
      </c>
      <c r="F5070" t="s">
        <v>50</v>
      </c>
      <c r="G5070">
        <v>1</v>
      </c>
      <c r="H5070">
        <v>8971.9500000000007</v>
      </c>
      <c r="I5070">
        <v>2161.65</v>
      </c>
      <c r="J5070" t="s">
        <v>28</v>
      </c>
      <c r="K5070" t="s">
        <v>29</v>
      </c>
      <c r="L5070">
        <f t="shared" si="237"/>
        <v>2024</v>
      </c>
      <c r="M5070" t="str">
        <f t="shared" si="238"/>
        <v>Nov</v>
      </c>
      <c r="N5070" s="2">
        <f t="shared" si="239"/>
        <v>0.24093424506378211</v>
      </c>
    </row>
    <row r="5071" spans="1:14" x14ac:dyDescent="0.45">
      <c r="A5071" t="s">
        <v>9011</v>
      </c>
      <c r="B5071" s="1">
        <v>45133</v>
      </c>
      <c r="C5071" t="s">
        <v>9012</v>
      </c>
      <c r="D5071" t="s">
        <v>56</v>
      </c>
      <c r="E5071" t="s">
        <v>36</v>
      </c>
      <c r="F5071" t="s">
        <v>64</v>
      </c>
      <c r="G5071">
        <v>4</v>
      </c>
      <c r="H5071">
        <v>49287.69</v>
      </c>
      <c r="I5071">
        <v>2712.25</v>
      </c>
      <c r="J5071" t="s">
        <v>71</v>
      </c>
      <c r="K5071" t="s">
        <v>33</v>
      </c>
      <c r="L5071">
        <f t="shared" si="237"/>
        <v>2023</v>
      </c>
      <c r="M5071" t="str">
        <f t="shared" si="238"/>
        <v>Jul</v>
      </c>
      <c r="N5071" s="2">
        <f t="shared" si="239"/>
        <v>5.5028953477024384E-2</v>
      </c>
    </row>
    <row r="5072" spans="1:14" x14ac:dyDescent="0.45">
      <c r="A5072" t="s">
        <v>9013</v>
      </c>
      <c r="B5072" s="1">
        <v>45137</v>
      </c>
      <c r="C5072" t="s">
        <v>9014</v>
      </c>
      <c r="D5072" t="s">
        <v>13</v>
      </c>
      <c r="E5072" t="s">
        <v>20</v>
      </c>
      <c r="F5072" t="s">
        <v>21</v>
      </c>
      <c r="G5072">
        <v>3</v>
      </c>
      <c r="H5072">
        <v>41935.300000000003</v>
      </c>
      <c r="I5072">
        <v>7760.74</v>
      </c>
      <c r="J5072" t="s">
        <v>47</v>
      </c>
      <c r="K5072" t="s">
        <v>33</v>
      </c>
      <c r="L5072">
        <f t="shared" si="237"/>
        <v>2023</v>
      </c>
      <c r="M5072" t="str">
        <f t="shared" si="238"/>
        <v>Jul</v>
      </c>
      <c r="N5072" s="2">
        <f t="shared" si="239"/>
        <v>0.18506461143714242</v>
      </c>
    </row>
    <row r="5073" spans="1:14" x14ac:dyDescent="0.45">
      <c r="A5073" t="s">
        <v>9015</v>
      </c>
      <c r="B5073" s="1">
        <v>45169</v>
      </c>
      <c r="C5073" t="s">
        <v>1342</v>
      </c>
      <c r="D5073" t="s">
        <v>56</v>
      </c>
      <c r="E5073" t="s">
        <v>20</v>
      </c>
      <c r="F5073" t="s">
        <v>27</v>
      </c>
      <c r="G5073">
        <v>3</v>
      </c>
      <c r="H5073">
        <v>45390.62</v>
      </c>
      <c r="I5073">
        <v>2332.46</v>
      </c>
      <c r="J5073" t="s">
        <v>71</v>
      </c>
      <c r="K5073" t="s">
        <v>17</v>
      </c>
      <c r="L5073">
        <f t="shared" si="237"/>
        <v>2023</v>
      </c>
      <c r="M5073" t="str">
        <f t="shared" si="238"/>
        <v>Aug</v>
      </c>
      <c r="N5073" s="2">
        <f t="shared" si="239"/>
        <v>5.1386387760290558E-2</v>
      </c>
    </row>
    <row r="5074" spans="1:14" x14ac:dyDescent="0.45">
      <c r="A5074" t="s">
        <v>9016</v>
      </c>
      <c r="B5074" s="1">
        <v>45405</v>
      </c>
      <c r="C5074" t="s">
        <v>9017</v>
      </c>
      <c r="D5074" t="s">
        <v>26</v>
      </c>
      <c r="E5074" t="s">
        <v>14</v>
      </c>
      <c r="F5074" t="s">
        <v>32</v>
      </c>
      <c r="G5074">
        <v>5</v>
      </c>
      <c r="H5074">
        <v>36348.46</v>
      </c>
      <c r="I5074">
        <v>4810.22</v>
      </c>
      <c r="J5074" t="s">
        <v>71</v>
      </c>
      <c r="K5074" t="s">
        <v>17</v>
      </c>
      <c r="L5074">
        <f t="shared" si="237"/>
        <v>2024</v>
      </c>
      <c r="M5074" t="str">
        <f t="shared" si="238"/>
        <v>Apr</v>
      </c>
      <c r="N5074" s="2">
        <f t="shared" si="239"/>
        <v>0.13233628054668617</v>
      </c>
    </row>
    <row r="5075" spans="1:14" x14ac:dyDescent="0.45">
      <c r="A5075" t="s">
        <v>9018</v>
      </c>
      <c r="B5075" s="1">
        <v>44786</v>
      </c>
      <c r="C5075" t="s">
        <v>9019</v>
      </c>
      <c r="D5075" t="s">
        <v>26</v>
      </c>
      <c r="E5075" t="s">
        <v>20</v>
      </c>
      <c r="F5075" t="s">
        <v>21</v>
      </c>
      <c r="G5075">
        <v>5</v>
      </c>
      <c r="H5075">
        <v>34842.6</v>
      </c>
      <c r="I5075">
        <v>3712.13</v>
      </c>
      <c r="J5075" t="s">
        <v>28</v>
      </c>
      <c r="K5075" t="s">
        <v>33</v>
      </c>
      <c r="L5075">
        <f t="shared" si="237"/>
        <v>2022</v>
      </c>
      <c r="M5075" t="str">
        <f t="shared" si="238"/>
        <v>Aug</v>
      </c>
      <c r="N5075" s="2">
        <f t="shared" si="239"/>
        <v>0.10653998266489872</v>
      </c>
    </row>
    <row r="5076" spans="1:14" x14ac:dyDescent="0.45">
      <c r="A5076" t="s">
        <v>9020</v>
      </c>
      <c r="B5076" s="1">
        <v>45549</v>
      </c>
      <c r="C5076" t="s">
        <v>1944</v>
      </c>
      <c r="D5076" t="s">
        <v>56</v>
      </c>
      <c r="E5076" t="s">
        <v>36</v>
      </c>
      <c r="F5076" t="s">
        <v>64</v>
      </c>
      <c r="G5076">
        <v>3</v>
      </c>
      <c r="H5076">
        <v>3112.83</v>
      </c>
      <c r="I5076">
        <v>728.19</v>
      </c>
      <c r="J5076" t="s">
        <v>28</v>
      </c>
      <c r="K5076" t="s">
        <v>29</v>
      </c>
      <c r="L5076">
        <f t="shared" si="237"/>
        <v>2024</v>
      </c>
      <c r="M5076" t="str">
        <f t="shared" si="238"/>
        <v>Sep</v>
      </c>
      <c r="N5076" s="2">
        <f t="shared" si="239"/>
        <v>0.23393182409575855</v>
      </c>
    </row>
    <row r="5077" spans="1:14" x14ac:dyDescent="0.45">
      <c r="A5077" t="s">
        <v>9021</v>
      </c>
      <c r="B5077" s="1">
        <v>45262</v>
      </c>
      <c r="C5077" t="s">
        <v>7389</v>
      </c>
      <c r="D5077" t="s">
        <v>13</v>
      </c>
      <c r="E5077" t="s">
        <v>14</v>
      </c>
      <c r="F5077" t="s">
        <v>40</v>
      </c>
      <c r="G5077">
        <v>4</v>
      </c>
      <c r="H5077">
        <v>19376.46</v>
      </c>
      <c r="I5077">
        <v>1427.47</v>
      </c>
      <c r="J5077" t="s">
        <v>71</v>
      </c>
      <c r="K5077" t="s">
        <v>17</v>
      </c>
      <c r="L5077">
        <f t="shared" si="237"/>
        <v>2023</v>
      </c>
      <c r="M5077" t="str">
        <f t="shared" si="238"/>
        <v>Dec</v>
      </c>
      <c r="N5077" s="2">
        <f t="shared" si="239"/>
        <v>7.367031955269436E-2</v>
      </c>
    </row>
    <row r="5078" spans="1:14" x14ac:dyDescent="0.45">
      <c r="A5078" t="s">
        <v>9022</v>
      </c>
      <c r="B5078" s="1">
        <v>45086</v>
      </c>
      <c r="C5078" t="s">
        <v>9023</v>
      </c>
      <c r="D5078" t="s">
        <v>13</v>
      </c>
      <c r="E5078" t="s">
        <v>14</v>
      </c>
      <c r="F5078" t="s">
        <v>15</v>
      </c>
      <c r="G5078">
        <v>5</v>
      </c>
      <c r="H5078">
        <v>48165.55</v>
      </c>
      <c r="I5078">
        <v>10069.790000000001</v>
      </c>
      <c r="J5078" t="s">
        <v>71</v>
      </c>
      <c r="K5078" t="s">
        <v>33</v>
      </c>
      <c r="L5078">
        <f t="shared" si="237"/>
        <v>2023</v>
      </c>
      <c r="M5078" t="str">
        <f t="shared" si="238"/>
        <v>Jun</v>
      </c>
      <c r="N5078" s="2">
        <f t="shared" si="239"/>
        <v>0.20906623094722265</v>
      </c>
    </row>
    <row r="5079" spans="1:14" x14ac:dyDescent="0.45">
      <c r="A5079" t="s">
        <v>9024</v>
      </c>
      <c r="B5079" s="1">
        <v>45287</v>
      </c>
      <c r="C5079" t="s">
        <v>652</v>
      </c>
      <c r="D5079" t="s">
        <v>56</v>
      </c>
      <c r="E5079" t="s">
        <v>36</v>
      </c>
      <c r="F5079" t="s">
        <v>53</v>
      </c>
      <c r="G5079">
        <v>2</v>
      </c>
      <c r="H5079">
        <v>6627.42</v>
      </c>
      <c r="I5079">
        <v>1561.54</v>
      </c>
      <c r="J5079" t="s">
        <v>16</v>
      </c>
      <c r="K5079" t="s">
        <v>23</v>
      </c>
      <c r="L5079">
        <f t="shared" si="237"/>
        <v>2023</v>
      </c>
      <c r="M5079" t="str">
        <f t="shared" si="238"/>
        <v>Dec</v>
      </c>
      <c r="N5079" s="2">
        <f t="shared" si="239"/>
        <v>0.23561808365849757</v>
      </c>
    </row>
    <row r="5080" spans="1:14" x14ac:dyDescent="0.45">
      <c r="A5080" t="s">
        <v>9025</v>
      </c>
      <c r="B5080" s="1">
        <v>45212</v>
      </c>
      <c r="C5080" t="s">
        <v>9026</v>
      </c>
      <c r="D5080" t="s">
        <v>56</v>
      </c>
      <c r="E5080" t="s">
        <v>36</v>
      </c>
      <c r="F5080" t="s">
        <v>53</v>
      </c>
      <c r="G5080">
        <v>1</v>
      </c>
      <c r="H5080">
        <v>14611.19</v>
      </c>
      <c r="I5080">
        <v>2627.83</v>
      </c>
      <c r="J5080" t="s">
        <v>47</v>
      </c>
      <c r="K5080" t="s">
        <v>33</v>
      </c>
      <c r="L5080">
        <f t="shared" si="237"/>
        <v>2023</v>
      </c>
      <c r="M5080" t="str">
        <f t="shared" si="238"/>
        <v>Oct</v>
      </c>
      <c r="N5080" s="2">
        <f t="shared" si="239"/>
        <v>0.17985051183373837</v>
      </c>
    </row>
    <row r="5081" spans="1:14" x14ac:dyDescent="0.45">
      <c r="A5081" t="s">
        <v>9027</v>
      </c>
      <c r="B5081" s="1">
        <v>44828</v>
      </c>
      <c r="C5081" t="s">
        <v>9028</v>
      </c>
      <c r="D5081" t="s">
        <v>56</v>
      </c>
      <c r="E5081" t="s">
        <v>36</v>
      </c>
      <c r="F5081" t="s">
        <v>53</v>
      </c>
      <c r="G5081">
        <v>1</v>
      </c>
      <c r="H5081">
        <v>31341.119999999999</v>
      </c>
      <c r="I5081">
        <v>5323.46</v>
      </c>
      <c r="J5081" t="s">
        <v>28</v>
      </c>
      <c r="K5081" t="s">
        <v>33</v>
      </c>
      <c r="L5081">
        <f t="shared" si="237"/>
        <v>2022</v>
      </c>
      <c r="M5081" t="str">
        <f t="shared" si="238"/>
        <v>Sep</v>
      </c>
      <c r="N5081" s="2">
        <f t="shared" si="239"/>
        <v>0.16985544868849614</v>
      </c>
    </row>
    <row r="5082" spans="1:14" x14ac:dyDescent="0.45">
      <c r="A5082" t="s">
        <v>9029</v>
      </c>
      <c r="B5082" s="1">
        <v>45595</v>
      </c>
      <c r="C5082" t="s">
        <v>448</v>
      </c>
      <c r="D5082" t="s">
        <v>56</v>
      </c>
      <c r="E5082" t="s">
        <v>20</v>
      </c>
      <c r="F5082" t="s">
        <v>27</v>
      </c>
      <c r="G5082">
        <v>3</v>
      </c>
      <c r="H5082">
        <v>2245.71</v>
      </c>
      <c r="I5082">
        <v>150.29</v>
      </c>
      <c r="J5082" t="s">
        <v>28</v>
      </c>
      <c r="K5082" t="s">
        <v>17</v>
      </c>
      <c r="L5082">
        <f t="shared" si="237"/>
        <v>2024</v>
      </c>
      <c r="M5082" t="str">
        <f t="shared" si="238"/>
        <v>Oct</v>
      </c>
      <c r="N5082" s="2">
        <f t="shared" si="239"/>
        <v>6.6923155705767887E-2</v>
      </c>
    </row>
    <row r="5083" spans="1:14" x14ac:dyDescent="0.45">
      <c r="A5083" t="s">
        <v>9030</v>
      </c>
      <c r="B5083" s="1">
        <v>45654</v>
      </c>
      <c r="C5083" t="s">
        <v>933</v>
      </c>
      <c r="D5083" t="s">
        <v>26</v>
      </c>
      <c r="E5083" t="s">
        <v>20</v>
      </c>
      <c r="F5083" t="s">
        <v>21</v>
      </c>
      <c r="G5083">
        <v>4</v>
      </c>
      <c r="H5083">
        <v>37341.08</v>
      </c>
      <c r="I5083">
        <v>7358.88</v>
      </c>
      <c r="J5083" t="s">
        <v>28</v>
      </c>
      <c r="K5083" t="s">
        <v>23</v>
      </c>
      <c r="L5083">
        <f t="shared" si="237"/>
        <v>2024</v>
      </c>
      <c r="M5083" t="str">
        <f t="shared" si="238"/>
        <v>Dec</v>
      </c>
      <c r="N5083" s="2">
        <f t="shared" si="239"/>
        <v>0.19707196471017976</v>
      </c>
    </row>
    <row r="5084" spans="1:14" x14ac:dyDescent="0.45">
      <c r="A5084" t="s">
        <v>9031</v>
      </c>
      <c r="B5084" s="1">
        <v>44982</v>
      </c>
      <c r="C5084" t="s">
        <v>9032</v>
      </c>
      <c r="D5084" t="s">
        <v>13</v>
      </c>
      <c r="E5084" t="s">
        <v>36</v>
      </c>
      <c r="F5084" t="s">
        <v>46</v>
      </c>
      <c r="G5084">
        <v>1</v>
      </c>
      <c r="H5084">
        <v>10050.92</v>
      </c>
      <c r="I5084">
        <v>2376.84</v>
      </c>
      <c r="J5084" t="s">
        <v>47</v>
      </c>
      <c r="K5084" t="s">
        <v>17</v>
      </c>
      <c r="L5084">
        <f t="shared" si="237"/>
        <v>2023</v>
      </c>
      <c r="M5084" t="str">
        <f t="shared" si="238"/>
        <v>Feb</v>
      </c>
      <c r="N5084" s="2">
        <f t="shared" si="239"/>
        <v>0.23647984463113825</v>
      </c>
    </row>
    <row r="5085" spans="1:14" x14ac:dyDescent="0.45">
      <c r="A5085" t="s">
        <v>9033</v>
      </c>
      <c r="B5085" s="1">
        <v>45182</v>
      </c>
      <c r="C5085" t="s">
        <v>1490</v>
      </c>
      <c r="D5085" t="s">
        <v>56</v>
      </c>
      <c r="E5085" t="s">
        <v>36</v>
      </c>
      <c r="F5085" t="s">
        <v>64</v>
      </c>
      <c r="G5085">
        <v>1</v>
      </c>
      <c r="H5085">
        <v>34119.629999999997</v>
      </c>
      <c r="I5085">
        <v>3021.69</v>
      </c>
      <c r="J5085" t="s">
        <v>71</v>
      </c>
      <c r="K5085" t="s">
        <v>29</v>
      </c>
      <c r="L5085">
        <f t="shared" si="237"/>
        <v>2023</v>
      </c>
      <c r="M5085" t="str">
        <f t="shared" si="238"/>
        <v>Sep</v>
      </c>
      <c r="N5085" s="2">
        <f t="shared" si="239"/>
        <v>8.8561628599137812E-2</v>
      </c>
    </row>
    <row r="5086" spans="1:14" x14ac:dyDescent="0.45">
      <c r="A5086" t="s">
        <v>9034</v>
      </c>
      <c r="B5086" s="1">
        <v>45057</v>
      </c>
      <c r="C5086" t="s">
        <v>9035</v>
      </c>
      <c r="D5086" t="s">
        <v>26</v>
      </c>
      <c r="E5086" t="s">
        <v>14</v>
      </c>
      <c r="F5086" t="s">
        <v>40</v>
      </c>
      <c r="G5086">
        <v>1</v>
      </c>
      <c r="H5086">
        <v>38181.08</v>
      </c>
      <c r="I5086">
        <v>4258.1400000000003</v>
      </c>
      <c r="J5086" t="s">
        <v>16</v>
      </c>
      <c r="K5086" t="s">
        <v>17</v>
      </c>
      <c r="L5086">
        <f t="shared" si="237"/>
        <v>2023</v>
      </c>
      <c r="M5086" t="str">
        <f t="shared" si="238"/>
        <v>May</v>
      </c>
      <c r="N5086" s="2">
        <f t="shared" si="239"/>
        <v>0.11152487043320933</v>
      </c>
    </row>
    <row r="5087" spans="1:14" x14ac:dyDescent="0.45">
      <c r="A5087" t="s">
        <v>9036</v>
      </c>
      <c r="B5087" s="1">
        <v>45211</v>
      </c>
      <c r="C5087" t="s">
        <v>9037</v>
      </c>
      <c r="D5087" t="s">
        <v>13</v>
      </c>
      <c r="E5087" t="s">
        <v>36</v>
      </c>
      <c r="F5087" t="s">
        <v>37</v>
      </c>
      <c r="G5087">
        <v>4</v>
      </c>
      <c r="H5087">
        <v>44056.65</v>
      </c>
      <c r="I5087">
        <v>3180.23</v>
      </c>
      <c r="J5087" t="s">
        <v>28</v>
      </c>
      <c r="K5087" t="s">
        <v>17</v>
      </c>
      <c r="L5087">
        <f t="shared" si="237"/>
        <v>2023</v>
      </c>
      <c r="M5087" t="str">
        <f t="shared" si="238"/>
        <v>Oct</v>
      </c>
      <c r="N5087" s="2">
        <f t="shared" si="239"/>
        <v>7.218501633692076E-2</v>
      </c>
    </row>
    <row r="5088" spans="1:14" x14ac:dyDescent="0.45">
      <c r="A5088" t="s">
        <v>9038</v>
      </c>
      <c r="B5088" s="1">
        <v>44612</v>
      </c>
      <c r="C5088" t="s">
        <v>2600</v>
      </c>
      <c r="D5088" t="s">
        <v>56</v>
      </c>
      <c r="E5088" t="s">
        <v>20</v>
      </c>
      <c r="F5088" t="s">
        <v>21</v>
      </c>
      <c r="G5088">
        <v>4</v>
      </c>
      <c r="H5088">
        <v>41862.050000000003</v>
      </c>
      <c r="I5088">
        <v>10263.93</v>
      </c>
      <c r="J5088" t="s">
        <v>47</v>
      </c>
      <c r="K5088" t="s">
        <v>23</v>
      </c>
      <c r="L5088">
        <f t="shared" si="237"/>
        <v>2022</v>
      </c>
      <c r="M5088" t="str">
        <f t="shared" si="238"/>
        <v>Feb</v>
      </c>
      <c r="N5088" s="2">
        <f t="shared" si="239"/>
        <v>0.2451846003719359</v>
      </c>
    </row>
    <row r="5089" spans="1:14" x14ac:dyDescent="0.45">
      <c r="A5089" t="s">
        <v>9039</v>
      </c>
      <c r="B5089" s="1">
        <v>45058</v>
      </c>
      <c r="C5089" t="s">
        <v>1726</v>
      </c>
      <c r="D5089" t="s">
        <v>26</v>
      </c>
      <c r="E5089" t="s">
        <v>20</v>
      </c>
      <c r="F5089" t="s">
        <v>50</v>
      </c>
      <c r="G5089">
        <v>5</v>
      </c>
      <c r="H5089">
        <v>41142.660000000003</v>
      </c>
      <c r="I5089">
        <v>6572.11</v>
      </c>
      <c r="J5089" t="s">
        <v>47</v>
      </c>
      <c r="K5089" t="s">
        <v>23</v>
      </c>
      <c r="L5089">
        <f t="shared" si="237"/>
        <v>2023</v>
      </c>
      <c r="M5089" t="str">
        <f t="shared" si="238"/>
        <v>May</v>
      </c>
      <c r="N5089" s="2">
        <f t="shared" si="239"/>
        <v>0.15973955014089997</v>
      </c>
    </row>
    <row r="5090" spans="1:14" x14ac:dyDescent="0.45">
      <c r="A5090" t="s">
        <v>9040</v>
      </c>
      <c r="B5090" s="1">
        <v>45053</v>
      </c>
      <c r="C5090" t="s">
        <v>2276</v>
      </c>
      <c r="D5090" t="s">
        <v>13</v>
      </c>
      <c r="E5090" t="s">
        <v>14</v>
      </c>
      <c r="F5090" t="s">
        <v>57</v>
      </c>
      <c r="G5090">
        <v>2</v>
      </c>
      <c r="H5090">
        <v>24927.46</v>
      </c>
      <c r="I5090">
        <v>5814.54</v>
      </c>
      <c r="J5090" t="s">
        <v>47</v>
      </c>
      <c r="K5090" t="s">
        <v>17</v>
      </c>
      <c r="L5090">
        <f t="shared" si="237"/>
        <v>2023</v>
      </c>
      <c r="M5090" t="str">
        <f t="shared" si="238"/>
        <v>May</v>
      </c>
      <c r="N5090" s="2">
        <f t="shared" si="239"/>
        <v>0.23325842263912971</v>
      </c>
    </row>
    <row r="5091" spans="1:14" x14ac:dyDescent="0.45">
      <c r="A5091" t="s">
        <v>9041</v>
      </c>
      <c r="B5091" s="1">
        <v>45642</v>
      </c>
      <c r="C5091" t="s">
        <v>4074</v>
      </c>
      <c r="D5091" t="s">
        <v>13</v>
      </c>
      <c r="E5091" t="s">
        <v>20</v>
      </c>
      <c r="F5091" t="s">
        <v>50</v>
      </c>
      <c r="G5091">
        <v>5</v>
      </c>
      <c r="H5091">
        <v>43988.18</v>
      </c>
      <c r="I5091">
        <v>5744.41</v>
      </c>
      <c r="J5091" t="s">
        <v>71</v>
      </c>
      <c r="K5091" t="s">
        <v>33</v>
      </c>
      <c r="L5091">
        <f t="shared" si="237"/>
        <v>2024</v>
      </c>
      <c r="M5091" t="str">
        <f t="shared" si="238"/>
        <v>Dec</v>
      </c>
      <c r="N5091" s="2">
        <f t="shared" si="239"/>
        <v>0.13058985391075512</v>
      </c>
    </row>
    <row r="5092" spans="1:14" x14ac:dyDescent="0.45">
      <c r="A5092" t="s">
        <v>9042</v>
      </c>
      <c r="B5092" s="1">
        <v>45089</v>
      </c>
      <c r="C5092" t="s">
        <v>9043</v>
      </c>
      <c r="D5092" t="s">
        <v>13</v>
      </c>
      <c r="E5092" t="s">
        <v>36</v>
      </c>
      <c r="F5092" t="s">
        <v>46</v>
      </c>
      <c r="G5092">
        <v>1</v>
      </c>
      <c r="H5092">
        <v>4244.7299999999996</v>
      </c>
      <c r="I5092">
        <v>312.73</v>
      </c>
      <c r="J5092" t="s">
        <v>16</v>
      </c>
      <c r="K5092" t="s">
        <v>17</v>
      </c>
      <c r="L5092">
        <f t="shared" si="237"/>
        <v>2023</v>
      </c>
      <c r="M5092" t="str">
        <f t="shared" si="238"/>
        <v>Jun</v>
      </c>
      <c r="N5092" s="2">
        <f t="shared" si="239"/>
        <v>7.3674886270740439E-2</v>
      </c>
    </row>
    <row r="5093" spans="1:14" x14ac:dyDescent="0.45">
      <c r="A5093" t="s">
        <v>9044</v>
      </c>
      <c r="B5093" s="1">
        <v>45263</v>
      </c>
      <c r="C5093" t="s">
        <v>9045</v>
      </c>
      <c r="D5093" t="s">
        <v>56</v>
      </c>
      <c r="E5093" t="s">
        <v>20</v>
      </c>
      <c r="F5093" t="s">
        <v>21</v>
      </c>
      <c r="G5093">
        <v>5</v>
      </c>
      <c r="H5093">
        <v>33368.07</v>
      </c>
      <c r="I5093">
        <v>2572.6</v>
      </c>
      <c r="J5093" t="s">
        <v>28</v>
      </c>
      <c r="K5093" t="s">
        <v>29</v>
      </c>
      <c r="L5093">
        <f t="shared" si="237"/>
        <v>2023</v>
      </c>
      <c r="M5093" t="str">
        <f t="shared" si="238"/>
        <v>Dec</v>
      </c>
      <c r="N5093" s="2">
        <f t="shared" si="239"/>
        <v>7.709765653212787E-2</v>
      </c>
    </row>
    <row r="5094" spans="1:14" x14ac:dyDescent="0.45">
      <c r="A5094" t="s">
        <v>9046</v>
      </c>
      <c r="B5094" s="1">
        <v>44872</v>
      </c>
      <c r="C5094" t="s">
        <v>9047</v>
      </c>
      <c r="D5094" t="s">
        <v>56</v>
      </c>
      <c r="E5094" t="s">
        <v>36</v>
      </c>
      <c r="F5094" t="s">
        <v>64</v>
      </c>
      <c r="G5094">
        <v>4</v>
      </c>
      <c r="H5094">
        <v>32162.45</v>
      </c>
      <c r="I5094">
        <v>7368.44</v>
      </c>
      <c r="J5094" t="s">
        <v>47</v>
      </c>
      <c r="K5094" t="s">
        <v>29</v>
      </c>
      <c r="L5094">
        <f t="shared" si="237"/>
        <v>2022</v>
      </c>
      <c r="M5094" t="str">
        <f t="shared" si="238"/>
        <v>Nov</v>
      </c>
      <c r="N5094" s="2">
        <f t="shared" si="239"/>
        <v>0.22910070594746357</v>
      </c>
    </row>
    <row r="5095" spans="1:14" x14ac:dyDescent="0.45">
      <c r="A5095" t="s">
        <v>9048</v>
      </c>
      <c r="B5095" s="1">
        <v>45403</v>
      </c>
      <c r="C5095" t="s">
        <v>9049</v>
      </c>
      <c r="D5095" t="s">
        <v>26</v>
      </c>
      <c r="E5095" t="s">
        <v>36</v>
      </c>
      <c r="F5095" t="s">
        <v>37</v>
      </c>
      <c r="G5095">
        <v>4</v>
      </c>
      <c r="H5095">
        <v>33096.370000000003</v>
      </c>
      <c r="I5095">
        <v>3251.96</v>
      </c>
      <c r="J5095" t="s">
        <v>16</v>
      </c>
      <c r="K5095" t="s">
        <v>17</v>
      </c>
      <c r="L5095">
        <f t="shared" si="237"/>
        <v>2024</v>
      </c>
      <c r="M5095" t="str">
        <f t="shared" si="238"/>
        <v>Apr</v>
      </c>
      <c r="N5095" s="2">
        <f t="shared" si="239"/>
        <v>9.8257301329420718E-2</v>
      </c>
    </row>
    <row r="5096" spans="1:14" x14ac:dyDescent="0.45">
      <c r="A5096" t="s">
        <v>9050</v>
      </c>
      <c r="B5096" s="1">
        <v>45622</v>
      </c>
      <c r="C5096" t="s">
        <v>5982</v>
      </c>
      <c r="D5096" t="s">
        <v>56</v>
      </c>
      <c r="E5096" t="s">
        <v>20</v>
      </c>
      <c r="F5096" t="s">
        <v>27</v>
      </c>
      <c r="G5096">
        <v>3</v>
      </c>
      <c r="H5096">
        <v>25128.080000000002</v>
      </c>
      <c r="I5096">
        <v>3232.47</v>
      </c>
      <c r="J5096" t="s">
        <v>71</v>
      </c>
      <c r="K5096" t="s">
        <v>23</v>
      </c>
      <c r="L5096">
        <f t="shared" si="237"/>
        <v>2024</v>
      </c>
      <c r="M5096" t="str">
        <f t="shared" si="238"/>
        <v>Nov</v>
      </c>
      <c r="N5096" s="2">
        <f t="shared" si="239"/>
        <v>0.12863975281836096</v>
      </c>
    </row>
    <row r="5097" spans="1:14" x14ac:dyDescent="0.45">
      <c r="A5097" t="s">
        <v>9051</v>
      </c>
      <c r="B5097" s="1">
        <v>45411</v>
      </c>
      <c r="C5097" t="s">
        <v>9052</v>
      </c>
      <c r="D5097" t="s">
        <v>13</v>
      </c>
      <c r="E5097" t="s">
        <v>14</v>
      </c>
      <c r="F5097" t="s">
        <v>32</v>
      </c>
      <c r="G5097">
        <v>3</v>
      </c>
      <c r="H5097">
        <v>43952.93</v>
      </c>
      <c r="I5097">
        <v>3334.04</v>
      </c>
      <c r="J5097" t="s">
        <v>16</v>
      </c>
      <c r="K5097" t="s">
        <v>23</v>
      </c>
      <c r="L5097">
        <f t="shared" si="237"/>
        <v>2024</v>
      </c>
      <c r="M5097" t="str">
        <f t="shared" si="238"/>
        <v>Apr</v>
      </c>
      <c r="N5097" s="2">
        <f t="shared" si="239"/>
        <v>7.5854783742517279E-2</v>
      </c>
    </row>
    <row r="5098" spans="1:14" x14ac:dyDescent="0.45">
      <c r="A5098" t="s">
        <v>9053</v>
      </c>
      <c r="B5098" s="1">
        <v>44726</v>
      </c>
      <c r="C5098" t="s">
        <v>9054</v>
      </c>
      <c r="D5098" t="s">
        <v>13</v>
      </c>
      <c r="E5098" t="s">
        <v>36</v>
      </c>
      <c r="F5098" t="s">
        <v>46</v>
      </c>
      <c r="G5098">
        <v>3</v>
      </c>
      <c r="H5098">
        <v>19625.13</v>
      </c>
      <c r="I5098">
        <v>2280.36</v>
      </c>
      <c r="J5098" t="s">
        <v>47</v>
      </c>
      <c r="K5098" t="s">
        <v>29</v>
      </c>
      <c r="L5098">
        <f t="shared" si="237"/>
        <v>2022</v>
      </c>
      <c r="M5098" t="str">
        <f t="shared" si="238"/>
        <v>Jun</v>
      </c>
      <c r="N5098" s="2">
        <f t="shared" si="239"/>
        <v>0.11619591819264383</v>
      </c>
    </row>
    <row r="5099" spans="1:14" x14ac:dyDescent="0.45">
      <c r="A5099" t="s">
        <v>9055</v>
      </c>
      <c r="B5099" s="1">
        <v>45329</v>
      </c>
      <c r="C5099" t="s">
        <v>6253</v>
      </c>
      <c r="D5099" t="s">
        <v>56</v>
      </c>
      <c r="E5099" t="s">
        <v>14</v>
      </c>
      <c r="F5099" t="s">
        <v>57</v>
      </c>
      <c r="G5099">
        <v>3</v>
      </c>
      <c r="H5099">
        <v>13038.56</v>
      </c>
      <c r="I5099">
        <v>849.16</v>
      </c>
      <c r="J5099" t="s">
        <v>28</v>
      </c>
      <c r="K5099" t="s">
        <v>29</v>
      </c>
      <c r="L5099">
        <f t="shared" si="237"/>
        <v>2024</v>
      </c>
      <c r="M5099" t="str">
        <f t="shared" si="238"/>
        <v>Feb</v>
      </c>
      <c r="N5099" s="2">
        <f t="shared" si="239"/>
        <v>6.5126823821035448E-2</v>
      </c>
    </row>
    <row r="5100" spans="1:14" x14ac:dyDescent="0.45">
      <c r="A5100" t="s">
        <v>9056</v>
      </c>
      <c r="B5100" s="1">
        <v>44801</v>
      </c>
      <c r="C5100" t="s">
        <v>7252</v>
      </c>
      <c r="D5100" t="s">
        <v>56</v>
      </c>
      <c r="E5100" t="s">
        <v>36</v>
      </c>
      <c r="F5100" t="s">
        <v>53</v>
      </c>
      <c r="G5100">
        <v>3</v>
      </c>
      <c r="H5100">
        <v>31387</v>
      </c>
      <c r="I5100">
        <v>6160.82</v>
      </c>
      <c r="J5100" t="s">
        <v>28</v>
      </c>
      <c r="K5100" t="s">
        <v>17</v>
      </c>
      <c r="L5100">
        <f t="shared" si="237"/>
        <v>2022</v>
      </c>
      <c r="M5100" t="str">
        <f t="shared" si="238"/>
        <v>Aug</v>
      </c>
      <c r="N5100" s="2">
        <f t="shared" si="239"/>
        <v>0.1962857233886641</v>
      </c>
    </row>
    <row r="5101" spans="1:14" x14ac:dyDescent="0.45">
      <c r="A5101" t="s">
        <v>9057</v>
      </c>
      <c r="B5101" s="1">
        <v>44674</v>
      </c>
      <c r="C5101" t="s">
        <v>9058</v>
      </c>
      <c r="D5101" t="s">
        <v>56</v>
      </c>
      <c r="E5101" t="s">
        <v>14</v>
      </c>
      <c r="F5101" t="s">
        <v>15</v>
      </c>
      <c r="G5101">
        <v>2</v>
      </c>
      <c r="H5101">
        <v>34150.720000000001</v>
      </c>
      <c r="I5101">
        <v>3650.56</v>
      </c>
      <c r="J5101" t="s">
        <v>16</v>
      </c>
      <c r="K5101" t="s">
        <v>23</v>
      </c>
      <c r="L5101">
        <f t="shared" si="237"/>
        <v>2022</v>
      </c>
      <c r="M5101" t="str">
        <f t="shared" si="238"/>
        <v>Apr</v>
      </c>
      <c r="N5101" s="2">
        <f t="shared" si="239"/>
        <v>0.10689555007917842</v>
      </c>
    </row>
    <row r="5102" spans="1:14" x14ac:dyDescent="0.45">
      <c r="A5102" t="s">
        <v>9059</v>
      </c>
      <c r="B5102" s="1">
        <v>45471</v>
      </c>
      <c r="C5102" t="s">
        <v>7318</v>
      </c>
      <c r="D5102" t="s">
        <v>56</v>
      </c>
      <c r="E5102" t="s">
        <v>14</v>
      </c>
      <c r="F5102" t="s">
        <v>40</v>
      </c>
      <c r="G5102">
        <v>1</v>
      </c>
      <c r="H5102">
        <v>34458.949999999997</v>
      </c>
      <c r="I5102">
        <v>7385.03</v>
      </c>
      <c r="J5102" t="s">
        <v>16</v>
      </c>
      <c r="K5102" t="s">
        <v>23</v>
      </c>
      <c r="L5102">
        <f t="shared" si="237"/>
        <v>2024</v>
      </c>
      <c r="M5102" t="str">
        <f t="shared" si="238"/>
        <v>Jun</v>
      </c>
      <c r="N5102" s="2">
        <f t="shared" si="239"/>
        <v>0.21431384299289447</v>
      </c>
    </row>
    <row r="5103" spans="1:14" x14ac:dyDescent="0.45">
      <c r="A5103" t="s">
        <v>9060</v>
      </c>
      <c r="B5103" s="1">
        <v>44573</v>
      </c>
      <c r="C5103" t="s">
        <v>7145</v>
      </c>
      <c r="D5103" t="s">
        <v>26</v>
      </c>
      <c r="E5103" t="s">
        <v>14</v>
      </c>
      <c r="F5103" t="s">
        <v>15</v>
      </c>
      <c r="G5103">
        <v>1</v>
      </c>
      <c r="H5103">
        <v>34724.58</v>
      </c>
      <c r="I5103">
        <v>4244.0600000000004</v>
      </c>
      <c r="J5103" t="s">
        <v>22</v>
      </c>
      <c r="K5103" t="s">
        <v>33</v>
      </c>
      <c r="L5103">
        <f t="shared" si="237"/>
        <v>2022</v>
      </c>
      <c r="M5103" t="str">
        <f t="shared" si="238"/>
        <v>Jan</v>
      </c>
      <c r="N5103" s="2">
        <f t="shared" si="239"/>
        <v>0.12222062873042669</v>
      </c>
    </row>
    <row r="5104" spans="1:14" x14ac:dyDescent="0.45">
      <c r="A5104" t="s">
        <v>9061</v>
      </c>
      <c r="B5104" s="1">
        <v>45082</v>
      </c>
      <c r="C5104" t="s">
        <v>5970</v>
      </c>
      <c r="D5104" t="s">
        <v>26</v>
      </c>
      <c r="E5104" t="s">
        <v>36</v>
      </c>
      <c r="F5104" t="s">
        <v>46</v>
      </c>
      <c r="G5104">
        <v>4</v>
      </c>
      <c r="H5104">
        <v>25742.38</v>
      </c>
      <c r="I5104">
        <v>3995.5</v>
      </c>
      <c r="J5104" t="s">
        <v>16</v>
      </c>
      <c r="K5104" t="s">
        <v>23</v>
      </c>
      <c r="L5104">
        <f t="shared" si="237"/>
        <v>2023</v>
      </c>
      <c r="M5104" t="str">
        <f t="shared" si="238"/>
        <v>Jun</v>
      </c>
      <c r="N5104" s="2">
        <f t="shared" si="239"/>
        <v>0.15521097893823338</v>
      </c>
    </row>
    <row r="5105" spans="1:14" x14ac:dyDescent="0.45">
      <c r="A5105" t="s">
        <v>9062</v>
      </c>
      <c r="B5105" s="1">
        <v>45519</v>
      </c>
      <c r="C5105" t="s">
        <v>7199</v>
      </c>
      <c r="D5105" t="s">
        <v>26</v>
      </c>
      <c r="E5105" t="s">
        <v>20</v>
      </c>
      <c r="F5105" t="s">
        <v>27</v>
      </c>
      <c r="G5105">
        <v>5</v>
      </c>
      <c r="H5105">
        <v>21124.91</v>
      </c>
      <c r="I5105">
        <v>3741.3</v>
      </c>
      <c r="J5105" t="s">
        <v>47</v>
      </c>
      <c r="K5105" t="s">
        <v>17</v>
      </c>
      <c r="L5105">
        <f t="shared" si="237"/>
        <v>2024</v>
      </c>
      <c r="M5105" t="str">
        <f t="shared" si="238"/>
        <v>Aug</v>
      </c>
      <c r="N5105" s="2">
        <f t="shared" si="239"/>
        <v>0.17710371310457654</v>
      </c>
    </row>
    <row r="5106" spans="1:14" x14ac:dyDescent="0.45">
      <c r="A5106" t="s">
        <v>9063</v>
      </c>
      <c r="B5106" s="1">
        <v>45409</v>
      </c>
      <c r="C5106" t="s">
        <v>9064</v>
      </c>
      <c r="D5106" t="s">
        <v>56</v>
      </c>
      <c r="E5106" t="s">
        <v>14</v>
      </c>
      <c r="F5106" t="s">
        <v>40</v>
      </c>
      <c r="G5106">
        <v>3</v>
      </c>
      <c r="H5106">
        <v>4084.8</v>
      </c>
      <c r="I5106">
        <v>950.24</v>
      </c>
      <c r="J5106" t="s">
        <v>71</v>
      </c>
      <c r="K5106" t="s">
        <v>33</v>
      </c>
      <c r="L5106">
        <f t="shared" si="237"/>
        <v>2024</v>
      </c>
      <c r="M5106" t="str">
        <f t="shared" si="238"/>
        <v>Apr</v>
      </c>
      <c r="N5106" s="2">
        <f t="shared" si="239"/>
        <v>0.2326282804543674</v>
      </c>
    </row>
    <row r="5107" spans="1:14" x14ac:dyDescent="0.45">
      <c r="A5107" t="s">
        <v>9065</v>
      </c>
      <c r="B5107" s="1">
        <v>45112</v>
      </c>
      <c r="C5107" t="s">
        <v>8887</v>
      </c>
      <c r="D5107" t="s">
        <v>26</v>
      </c>
      <c r="E5107" t="s">
        <v>14</v>
      </c>
      <c r="F5107" t="s">
        <v>57</v>
      </c>
      <c r="G5107">
        <v>4</v>
      </c>
      <c r="H5107">
        <v>17017.59</v>
      </c>
      <c r="I5107">
        <v>2935.41</v>
      </c>
      <c r="J5107" t="s">
        <v>71</v>
      </c>
      <c r="K5107" t="s">
        <v>29</v>
      </c>
      <c r="L5107">
        <f t="shared" si="237"/>
        <v>2023</v>
      </c>
      <c r="M5107" t="str">
        <f t="shared" si="238"/>
        <v>Jul</v>
      </c>
      <c r="N5107" s="2">
        <f t="shared" si="239"/>
        <v>0.17249269726206823</v>
      </c>
    </row>
    <row r="5108" spans="1:14" x14ac:dyDescent="0.45">
      <c r="A5108" t="s">
        <v>9066</v>
      </c>
      <c r="B5108" s="1">
        <v>44941</v>
      </c>
      <c r="C5108" t="s">
        <v>8587</v>
      </c>
      <c r="D5108" t="s">
        <v>13</v>
      </c>
      <c r="E5108" t="s">
        <v>20</v>
      </c>
      <c r="F5108" t="s">
        <v>21</v>
      </c>
      <c r="G5108">
        <v>2</v>
      </c>
      <c r="H5108">
        <v>10621.81</v>
      </c>
      <c r="I5108">
        <v>1977.89</v>
      </c>
      <c r="J5108" t="s">
        <v>28</v>
      </c>
      <c r="K5108" t="s">
        <v>29</v>
      </c>
      <c r="L5108">
        <f t="shared" si="237"/>
        <v>2023</v>
      </c>
      <c r="M5108" t="str">
        <f t="shared" si="238"/>
        <v>Jan</v>
      </c>
      <c r="N5108" s="2">
        <f t="shared" si="239"/>
        <v>0.18621025983330527</v>
      </c>
    </row>
    <row r="5109" spans="1:14" x14ac:dyDescent="0.45">
      <c r="A5109" t="s">
        <v>9067</v>
      </c>
      <c r="B5109" s="1">
        <v>45322</v>
      </c>
      <c r="C5109" t="s">
        <v>3349</v>
      </c>
      <c r="D5109" t="s">
        <v>13</v>
      </c>
      <c r="E5109" t="s">
        <v>14</v>
      </c>
      <c r="F5109" t="s">
        <v>57</v>
      </c>
      <c r="G5109">
        <v>5</v>
      </c>
      <c r="H5109">
        <v>35663.919999999998</v>
      </c>
      <c r="I5109">
        <v>8377.42</v>
      </c>
      <c r="J5109" t="s">
        <v>28</v>
      </c>
      <c r="K5109" t="s">
        <v>33</v>
      </c>
      <c r="L5109">
        <f t="shared" si="237"/>
        <v>2024</v>
      </c>
      <c r="M5109" t="str">
        <f t="shared" si="238"/>
        <v>Jan</v>
      </c>
      <c r="N5109" s="2">
        <f t="shared" si="239"/>
        <v>0.23489902399960522</v>
      </c>
    </row>
    <row r="5110" spans="1:14" x14ac:dyDescent="0.45">
      <c r="A5110" t="s">
        <v>9068</v>
      </c>
      <c r="B5110" s="1">
        <v>44676</v>
      </c>
      <c r="C5110" t="s">
        <v>9069</v>
      </c>
      <c r="D5110" t="s">
        <v>56</v>
      </c>
      <c r="E5110" t="s">
        <v>14</v>
      </c>
      <c r="F5110" t="s">
        <v>57</v>
      </c>
      <c r="G5110">
        <v>5</v>
      </c>
      <c r="H5110">
        <v>36795.360000000001</v>
      </c>
      <c r="I5110">
        <v>4590.95</v>
      </c>
      <c r="J5110" t="s">
        <v>16</v>
      </c>
      <c r="K5110" t="s">
        <v>17</v>
      </c>
      <c r="L5110">
        <f t="shared" si="237"/>
        <v>2022</v>
      </c>
      <c r="M5110" t="str">
        <f t="shared" si="238"/>
        <v>Apr</v>
      </c>
      <c r="N5110" s="2">
        <f t="shared" si="239"/>
        <v>0.12476980793230451</v>
      </c>
    </row>
    <row r="5111" spans="1:14" x14ac:dyDescent="0.45">
      <c r="A5111" t="s">
        <v>9070</v>
      </c>
      <c r="B5111" s="1">
        <v>45572</v>
      </c>
      <c r="C5111" t="s">
        <v>9071</v>
      </c>
      <c r="D5111" t="s">
        <v>56</v>
      </c>
      <c r="E5111" t="s">
        <v>20</v>
      </c>
      <c r="F5111" t="s">
        <v>43</v>
      </c>
      <c r="G5111">
        <v>3</v>
      </c>
      <c r="H5111">
        <v>36071.86</v>
      </c>
      <c r="I5111">
        <v>6761.02</v>
      </c>
      <c r="J5111" t="s">
        <v>16</v>
      </c>
      <c r="K5111" t="s">
        <v>29</v>
      </c>
      <c r="L5111">
        <f t="shared" si="237"/>
        <v>2024</v>
      </c>
      <c r="M5111" t="str">
        <f t="shared" si="238"/>
        <v>Oct</v>
      </c>
      <c r="N5111" s="2">
        <f t="shared" si="239"/>
        <v>0.187431976061118</v>
      </c>
    </row>
    <row r="5112" spans="1:14" x14ac:dyDescent="0.45">
      <c r="A5112" t="s">
        <v>9072</v>
      </c>
      <c r="B5112" s="1">
        <v>45514</v>
      </c>
      <c r="C5112" t="s">
        <v>9073</v>
      </c>
      <c r="D5112" t="s">
        <v>26</v>
      </c>
      <c r="E5112" t="s">
        <v>36</v>
      </c>
      <c r="F5112" t="s">
        <v>37</v>
      </c>
      <c r="G5112">
        <v>5</v>
      </c>
      <c r="H5112">
        <v>46962.879999999997</v>
      </c>
      <c r="I5112">
        <v>7208.12</v>
      </c>
      <c r="J5112" t="s">
        <v>22</v>
      </c>
      <c r="K5112" t="s">
        <v>33</v>
      </c>
      <c r="L5112">
        <f t="shared" si="237"/>
        <v>2024</v>
      </c>
      <c r="M5112" t="str">
        <f t="shared" si="238"/>
        <v>Aug</v>
      </c>
      <c r="N5112" s="2">
        <f t="shared" si="239"/>
        <v>0.15348547618885383</v>
      </c>
    </row>
    <row r="5113" spans="1:14" x14ac:dyDescent="0.45">
      <c r="A5113" t="s">
        <v>9074</v>
      </c>
      <c r="B5113" s="1">
        <v>45560</v>
      </c>
      <c r="C5113" t="s">
        <v>9075</v>
      </c>
      <c r="D5113" t="s">
        <v>13</v>
      </c>
      <c r="E5113" t="s">
        <v>14</v>
      </c>
      <c r="F5113" t="s">
        <v>57</v>
      </c>
      <c r="G5113">
        <v>5</v>
      </c>
      <c r="H5113">
        <v>45442.73</v>
      </c>
      <c r="I5113">
        <v>5764.53</v>
      </c>
      <c r="J5113" t="s">
        <v>22</v>
      </c>
      <c r="K5113" t="s">
        <v>17</v>
      </c>
      <c r="L5113">
        <f t="shared" si="237"/>
        <v>2024</v>
      </c>
      <c r="M5113" t="str">
        <f t="shared" si="238"/>
        <v>Sep</v>
      </c>
      <c r="N5113" s="2">
        <f t="shared" si="239"/>
        <v>0.12685263407370109</v>
      </c>
    </row>
    <row r="5114" spans="1:14" x14ac:dyDescent="0.45">
      <c r="A5114" t="s">
        <v>9076</v>
      </c>
      <c r="B5114" s="1">
        <v>45044</v>
      </c>
      <c r="C5114" t="s">
        <v>9077</v>
      </c>
      <c r="D5114" t="s">
        <v>56</v>
      </c>
      <c r="E5114" t="s">
        <v>14</v>
      </c>
      <c r="F5114" t="s">
        <v>32</v>
      </c>
      <c r="G5114">
        <v>2</v>
      </c>
      <c r="H5114">
        <v>2193.94</v>
      </c>
      <c r="I5114">
        <v>281.43</v>
      </c>
      <c r="J5114" t="s">
        <v>71</v>
      </c>
      <c r="K5114" t="s">
        <v>29</v>
      </c>
      <c r="L5114">
        <f t="shared" si="237"/>
        <v>2023</v>
      </c>
      <c r="M5114" t="str">
        <f t="shared" si="238"/>
        <v>Apr</v>
      </c>
      <c r="N5114" s="2">
        <f t="shared" si="239"/>
        <v>0.12827606953699736</v>
      </c>
    </row>
    <row r="5115" spans="1:14" x14ac:dyDescent="0.45">
      <c r="A5115" t="s">
        <v>9078</v>
      </c>
      <c r="B5115" s="1">
        <v>45356</v>
      </c>
      <c r="C5115" t="s">
        <v>4722</v>
      </c>
      <c r="D5115" t="s">
        <v>56</v>
      </c>
      <c r="E5115" t="s">
        <v>14</v>
      </c>
      <c r="F5115" t="s">
        <v>32</v>
      </c>
      <c r="G5115">
        <v>2</v>
      </c>
      <c r="H5115">
        <v>9418.2900000000009</v>
      </c>
      <c r="I5115">
        <v>1440.22</v>
      </c>
      <c r="J5115" t="s">
        <v>16</v>
      </c>
      <c r="K5115" t="s">
        <v>23</v>
      </c>
      <c r="L5115">
        <f t="shared" si="237"/>
        <v>2024</v>
      </c>
      <c r="M5115" t="str">
        <f t="shared" si="238"/>
        <v>Mar</v>
      </c>
      <c r="N5115" s="2">
        <f t="shared" si="239"/>
        <v>0.15291735548597463</v>
      </c>
    </row>
    <row r="5116" spans="1:14" x14ac:dyDescent="0.45">
      <c r="A5116" t="s">
        <v>9079</v>
      </c>
      <c r="B5116" s="1">
        <v>45259</v>
      </c>
      <c r="C5116" t="s">
        <v>9080</v>
      </c>
      <c r="D5116" t="s">
        <v>26</v>
      </c>
      <c r="E5116" t="s">
        <v>14</v>
      </c>
      <c r="F5116" t="s">
        <v>15</v>
      </c>
      <c r="G5116">
        <v>5</v>
      </c>
      <c r="H5116">
        <v>23344.799999999999</v>
      </c>
      <c r="I5116">
        <v>1723.2</v>
      </c>
      <c r="J5116" t="s">
        <v>16</v>
      </c>
      <c r="K5116" t="s">
        <v>29</v>
      </c>
      <c r="L5116">
        <f t="shared" si="237"/>
        <v>2023</v>
      </c>
      <c r="M5116" t="str">
        <f t="shared" si="238"/>
        <v>Nov</v>
      </c>
      <c r="N5116" s="2">
        <f t="shared" si="239"/>
        <v>7.3815153695898014E-2</v>
      </c>
    </row>
    <row r="5117" spans="1:14" x14ac:dyDescent="0.45">
      <c r="A5117" t="s">
        <v>9081</v>
      </c>
      <c r="B5117" s="1">
        <v>45632</v>
      </c>
      <c r="C5117" t="s">
        <v>9082</v>
      </c>
      <c r="D5117" t="s">
        <v>26</v>
      </c>
      <c r="E5117" t="s">
        <v>20</v>
      </c>
      <c r="F5117" t="s">
        <v>21</v>
      </c>
      <c r="G5117">
        <v>3</v>
      </c>
      <c r="H5117">
        <v>40099.81</v>
      </c>
      <c r="I5117">
        <v>7838.59</v>
      </c>
      <c r="J5117" t="s">
        <v>28</v>
      </c>
      <c r="K5117" t="s">
        <v>17</v>
      </c>
      <c r="L5117">
        <f t="shared" si="237"/>
        <v>2024</v>
      </c>
      <c r="M5117" t="str">
        <f t="shared" si="238"/>
        <v>Dec</v>
      </c>
      <c r="N5117" s="2">
        <f t="shared" si="239"/>
        <v>0.19547698605055736</v>
      </c>
    </row>
    <row r="5118" spans="1:14" x14ac:dyDescent="0.45">
      <c r="A5118" t="s">
        <v>9083</v>
      </c>
      <c r="B5118" s="1">
        <v>45346</v>
      </c>
      <c r="C5118" t="s">
        <v>1820</v>
      </c>
      <c r="D5118" t="s">
        <v>26</v>
      </c>
      <c r="E5118" t="s">
        <v>20</v>
      </c>
      <c r="F5118" t="s">
        <v>21</v>
      </c>
      <c r="G5118">
        <v>1</v>
      </c>
      <c r="H5118">
        <v>8384.93</v>
      </c>
      <c r="I5118">
        <v>1141.8699999999999</v>
      </c>
      <c r="J5118" t="s">
        <v>28</v>
      </c>
      <c r="K5118" t="s">
        <v>17</v>
      </c>
      <c r="L5118">
        <f t="shared" si="237"/>
        <v>2024</v>
      </c>
      <c r="M5118" t="str">
        <f t="shared" si="238"/>
        <v>Feb</v>
      </c>
      <c r="N5118" s="2">
        <f t="shared" si="239"/>
        <v>0.13618122035604349</v>
      </c>
    </row>
    <row r="5119" spans="1:14" x14ac:dyDescent="0.45">
      <c r="A5119" t="s">
        <v>9084</v>
      </c>
      <c r="B5119" s="1">
        <v>44682</v>
      </c>
      <c r="C5119" t="s">
        <v>9085</v>
      </c>
      <c r="D5119" t="s">
        <v>26</v>
      </c>
      <c r="E5119" t="s">
        <v>14</v>
      </c>
      <c r="F5119" t="s">
        <v>57</v>
      </c>
      <c r="G5119">
        <v>1</v>
      </c>
      <c r="H5119">
        <v>1524.27</v>
      </c>
      <c r="I5119">
        <v>80.58</v>
      </c>
      <c r="J5119" t="s">
        <v>28</v>
      </c>
      <c r="K5119" t="s">
        <v>23</v>
      </c>
      <c r="L5119">
        <f t="shared" si="237"/>
        <v>2022</v>
      </c>
      <c r="M5119" t="str">
        <f t="shared" si="238"/>
        <v>May</v>
      </c>
      <c r="N5119" s="2">
        <f t="shared" si="239"/>
        <v>5.2864649963589125E-2</v>
      </c>
    </row>
    <row r="5120" spans="1:14" x14ac:dyDescent="0.45">
      <c r="A5120" t="s">
        <v>9086</v>
      </c>
      <c r="B5120" s="1">
        <v>44756</v>
      </c>
      <c r="C5120" t="s">
        <v>9087</v>
      </c>
      <c r="D5120" t="s">
        <v>26</v>
      </c>
      <c r="E5120" t="s">
        <v>20</v>
      </c>
      <c r="F5120" t="s">
        <v>21</v>
      </c>
      <c r="G5120">
        <v>3</v>
      </c>
      <c r="H5120">
        <v>7620.68</v>
      </c>
      <c r="I5120">
        <v>1106.55</v>
      </c>
      <c r="J5120" t="s">
        <v>28</v>
      </c>
      <c r="K5120" t="s">
        <v>29</v>
      </c>
      <c r="L5120">
        <f t="shared" si="237"/>
        <v>2022</v>
      </c>
      <c r="M5120" t="str">
        <f t="shared" si="238"/>
        <v>Jul</v>
      </c>
      <c r="N5120" s="2">
        <f t="shared" si="239"/>
        <v>0.14520357763349201</v>
      </c>
    </row>
    <row r="5121" spans="1:14" x14ac:dyDescent="0.45">
      <c r="A5121" t="s">
        <v>9088</v>
      </c>
      <c r="B5121" s="1">
        <v>45255</v>
      </c>
      <c r="C5121" t="s">
        <v>5943</v>
      </c>
      <c r="D5121" t="s">
        <v>13</v>
      </c>
      <c r="E5121" t="s">
        <v>20</v>
      </c>
      <c r="F5121" t="s">
        <v>43</v>
      </c>
      <c r="G5121">
        <v>1</v>
      </c>
      <c r="H5121">
        <v>29062.639999999999</v>
      </c>
      <c r="I5121">
        <v>4986.5200000000004</v>
      </c>
      <c r="J5121" t="s">
        <v>16</v>
      </c>
      <c r="K5121" t="s">
        <v>33</v>
      </c>
      <c r="L5121">
        <f t="shared" si="237"/>
        <v>2023</v>
      </c>
      <c r="M5121" t="str">
        <f t="shared" si="238"/>
        <v>Nov</v>
      </c>
      <c r="N5121" s="2">
        <f t="shared" si="239"/>
        <v>0.17157835626770315</v>
      </c>
    </row>
    <row r="5122" spans="1:14" x14ac:dyDescent="0.45">
      <c r="A5122" t="s">
        <v>9089</v>
      </c>
      <c r="B5122" s="1">
        <v>44766</v>
      </c>
      <c r="C5122" t="s">
        <v>1890</v>
      </c>
      <c r="D5122" t="s">
        <v>13</v>
      </c>
      <c r="E5122" t="s">
        <v>20</v>
      </c>
      <c r="F5122" t="s">
        <v>43</v>
      </c>
      <c r="G5122">
        <v>3</v>
      </c>
      <c r="H5122">
        <v>46942.01</v>
      </c>
      <c r="I5122">
        <v>2692.55</v>
      </c>
      <c r="J5122" t="s">
        <v>22</v>
      </c>
      <c r="K5122" t="s">
        <v>29</v>
      </c>
      <c r="L5122">
        <f t="shared" si="237"/>
        <v>2022</v>
      </c>
      <c r="M5122" t="str">
        <f t="shared" si="238"/>
        <v>Jul</v>
      </c>
      <c r="N5122" s="2">
        <f t="shared" si="239"/>
        <v>5.7359069200488007E-2</v>
      </c>
    </row>
    <row r="5123" spans="1:14" x14ac:dyDescent="0.45">
      <c r="A5123" t="s">
        <v>9090</v>
      </c>
      <c r="B5123" s="1">
        <v>44903</v>
      </c>
      <c r="C5123" t="s">
        <v>2905</v>
      </c>
      <c r="D5123" t="s">
        <v>26</v>
      </c>
      <c r="E5123" t="s">
        <v>36</v>
      </c>
      <c r="F5123" t="s">
        <v>53</v>
      </c>
      <c r="G5123">
        <v>2</v>
      </c>
      <c r="H5123">
        <v>24355.75</v>
      </c>
      <c r="I5123">
        <v>2236.0100000000002</v>
      </c>
      <c r="J5123" t="s">
        <v>47</v>
      </c>
      <c r="K5123" t="s">
        <v>17</v>
      </c>
      <c r="L5123">
        <f t="shared" ref="L5123:L5186" si="240">YEAR(B5123 )</f>
        <v>2022</v>
      </c>
      <c r="M5123" t="str">
        <f t="shared" ref="M5123:M5186" si="241">TEXT(B5123,"MMM")</f>
        <v>Dec</v>
      </c>
      <c r="N5123" s="2">
        <f t="shared" ref="N5123:N5186" si="242">I5123 / H5123</f>
        <v>9.1806246984798265E-2</v>
      </c>
    </row>
    <row r="5124" spans="1:14" x14ac:dyDescent="0.45">
      <c r="A5124" t="s">
        <v>9091</v>
      </c>
      <c r="B5124" s="1">
        <v>44893</v>
      </c>
      <c r="C5124" t="s">
        <v>7746</v>
      </c>
      <c r="D5124" t="s">
        <v>13</v>
      </c>
      <c r="E5124" t="s">
        <v>14</v>
      </c>
      <c r="F5124" t="s">
        <v>57</v>
      </c>
      <c r="G5124">
        <v>2</v>
      </c>
      <c r="H5124">
        <v>2247.6</v>
      </c>
      <c r="I5124">
        <v>474.14</v>
      </c>
      <c r="J5124" t="s">
        <v>47</v>
      </c>
      <c r="K5124" t="s">
        <v>33</v>
      </c>
      <c r="L5124">
        <f t="shared" si="240"/>
        <v>2022</v>
      </c>
      <c r="M5124" t="str">
        <f t="shared" si="241"/>
        <v>Nov</v>
      </c>
      <c r="N5124" s="2">
        <f t="shared" si="242"/>
        <v>0.21095390638903719</v>
      </c>
    </row>
    <row r="5125" spans="1:14" x14ac:dyDescent="0.45">
      <c r="A5125" t="s">
        <v>9092</v>
      </c>
      <c r="B5125" s="1">
        <v>44912</v>
      </c>
      <c r="C5125" t="s">
        <v>9093</v>
      </c>
      <c r="D5125" t="s">
        <v>13</v>
      </c>
      <c r="E5125" t="s">
        <v>36</v>
      </c>
      <c r="F5125" t="s">
        <v>64</v>
      </c>
      <c r="G5125">
        <v>5</v>
      </c>
      <c r="H5125">
        <v>13247.68</v>
      </c>
      <c r="I5125">
        <v>1168.9000000000001</v>
      </c>
      <c r="J5125" t="s">
        <v>16</v>
      </c>
      <c r="K5125" t="s">
        <v>23</v>
      </c>
      <c r="L5125">
        <f t="shared" si="240"/>
        <v>2022</v>
      </c>
      <c r="M5125" t="str">
        <f t="shared" si="241"/>
        <v>Dec</v>
      </c>
      <c r="N5125" s="2">
        <f t="shared" si="242"/>
        <v>8.8234317254039962E-2</v>
      </c>
    </row>
    <row r="5126" spans="1:14" x14ac:dyDescent="0.45">
      <c r="A5126" t="s">
        <v>9094</v>
      </c>
      <c r="B5126" s="1">
        <v>44711</v>
      </c>
      <c r="C5126" t="s">
        <v>9095</v>
      </c>
      <c r="D5126" t="s">
        <v>56</v>
      </c>
      <c r="E5126" t="s">
        <v>20</v>
      </c>
      <c r="F5126" t="s">
        <v>27</v>
      </c>
      <c r="G5126">
        <v>2</v>
      </c>
      <c r="H5126">
        <v>11115.36</v>
      </c>
      <c r="I5126">
        <v>1744.36</v>
      </c>
      <c r="J5126" t="s">
        <v>16</v>
      </c>
      <c r="K5126" t="s">
        <v>29</v>
      </c>
      <c r="L5126">
        <f t="shared" si="240"/>
        <v>2022</v>
      </c>
      <c r="M5126" t="str">
        <f t="shared" si="241"/>
        <v>May</v>
      </c>
      <c r="N5126" s="2">
        <f t="shared" si="242"/>
        <v>0.15693238905442558</v>
      </c>
    </row>
    <row r="5127" spans="1:14" x14ac:dyDescent="0.45">
      <c r="A5127" t="s">
        <v>9096</v>
      </c>
      <c r="B5127" s="1">
        <v>45002</v>
      </c>
      <c r="C5127" t="s">
        <v>903</v>
      </c>
      <c r="D5127" t="s">
        <v>13</v>
      </c>
      <c r="E5127" t="s">
        <v>36</v>
      </c>
      <c r="F5127" t="s">
        <v>64</v>
      </c>
      <c r="G5127">
        <v>2</v>
      </c>
      <c r="H5127">
        <v>49365.22</v>
      </c>
      <c r="I5127">
        <v>9015.52</v>
      </c>
      <c r="J5127" t="s">
        <v>16</v>
      </c>
      <c r="K5127" t="s">
        <v>33</v>
      </c>
      <c r="L5127">
        <f t="shared" si="240"/>
        <v>2023</v>
      </c>
      <c r="M5127" t="str">
        <f t="shared" si="241"/>
        <v>Mar</v>
      </c>
      <c r="N5127" s="2">
        <f t="shared" si="242"/>
        <v>0.18262898453607621</v>
      </c>
    </row>
    <row r="5128" spans="1:14" x14ac:dyDescent="0.45">
      <c r="A5128" t="s">
        <v>9097</v>
      </c>
      <c r="B5128" s="1">
        <v>44618</v>
      </c>
      <c r="C5128" t="s">
        <v>7352</v>
      </c>
      <c r="D5128" t="s">
        <v>13</v>
      </c>
      <c r="E5128" t="s">
        <v>14</v>
      </c>
      <c r="F5128" t="s">
        <v>57</v>
      </c>
      <c r="G5128">
        <v>3</v>
      </c>
      <c r="H5128">
        <v>16572.5</v>
      </c>
      <c r="I5128">
        <v>2358.15</v>
      </c>
      <c r="J5128" t="s">
        <v>16</v>
      </c>
      <c r="K5128" t="s">
        <v>29</v>
      </c>
      <c r="L5128">
        <f t="shared" si="240"/>
        <v>2022</v>
      </c>
      <c r="M5128" t="str">
        <f t="shared" si="241"/>
        <v>Feb</v>
      </c>
      <c r="N5128" s="2">
        <f t="shared" si="242"/>
        <v>0.14229295519686228</v>
      </c>
    </row>
    <row r="5129" spans="1:14" x14ac:dyDescent="0.45">
      <c r="A5129" t="s">
        <v>9098</v>
      </c>
      <c r="B5129" s="1">
        <v>44919</v>
      </c>
      <c r="C5129" t="s">
        <v>9099</v>
      </c>
      <c r="D5129" t="s">
        <v>13</v>
      </c>
      <c r="E5129" t="s">
        <v>36</v>
      </c>
      <c r="F5129" t="s">
        <v>53</v>
      </c>
      <c r="G5129">
        <v>3</v>
      </c>
      <c r="H5129">
        <v>14668.23</v>
      </c>
      <c r="I5129">
        <v>848.08</v>
      </c>
      <c r="J5129" t="s">
        <v>28</v>
      </c>
      <c r="K5129" t="s">
        <v>29</v>
      </c>
      <c r="L5129">
        <f t="shared" si="240"/>
        <v>2022</v>
      </c>
      <c r="M5129" t="str">
        <f t="shared" si="241"/>
        <v>Dec</v>
      </c>
      <c r="N5129" s="2">
        <f t="shared" si="242"/>
        <v>5.78174735465697E-2</v>
      </c>
    </row>
    <row r="5130" spans="1:14" x14ac:dyDescent="0.45">
      <c r="A5130" t="s">
        <v>9100</v>
      </c>
      <c r="B5130" s="1">
        <v>45043</v>
      </c>
      <c r="C5130" t="s">
        <v>5848</v>
      </c>
      <c r="D5130" t="s">
        <v>13</v>
      </c>
      <c r="E5130" t="s">
        <v>14</v>
      </c>
      <c r="F5130" t="s">
        <v>57</v>
      </c>
      <c r="G5130">
        <v>1</v>
      </c>
      <c r="H5130">
        <v>4627.42</v>
      </c>
      <c r="I5130">
        <v>409.05</v>
      </c>
      <c r="J5130" t="s">
        <v>16</v>
      </c>
      <c r="K5130" t="s">
        <v>17</v>
      </c>
      <c r="L5130">
        <f t="shared" si="240"/>
        <v>2023</v>
      </c>
      <c r="M5130" t="str">
        <f t="shared" si="241"/>
        <v>Apr</v>
      </c>
      <c r="N5130" s="2">
        <f t="shared" si="242"/>
        <v>8.8396990115442303E-2</v>
      </c>
    </row>
    <row r="5131" spans="1:14" x14ac:dyDescent="0.45">
      <c r="A5131" t="s">
        <v>9101</v>
      </c>
      <c r="B5131" s="1">
        <v>45056</v>
      </c>
      <c r="C5131" t="s">
        <v>9102</v>
      </c>
      <c r="D5131" t="s">
        <v>26</v>
      </c>
      <c r="E5131" t="s">
        <v>20</v>
      </c>
      <c r="F5131" t="s">
        <v>21</v>
      </c>
      <c r="G5131">
        <v>4</v>
      </c>
      <c r="H5131">
        <v>32320.63</v>
      </c>
      <c r="I5131">
        <v>1906.49</v>
      </c>
      <c r="J5131" t="s">
        <v>22</v>
      </c>
      <c r="K5131" t="s">
        <v>17</v>
      </c>
      <c r="L5131">
        <f t="shared" si="240"/>
        <v>2023</v>
      </c>
      <c r="M5131" t="str">
        <f t="shared" si="241"/>
        <v>May</v>
      </c>
      <c r="N5131" s="2">
        <f t="shared" si="242"/>
        <v>5.89867833640619E-2</v>
      </c>
    </row>
    <row r="5132" spans="1:14" x14ac:dyDescent="0.45">
      <c r="A5132" t="s">
        <v>9103</v>
      </c>
      <c r="B5132" s="1">
        <v>44777</v>
      </c>
      <c r="C5132" t="s">
        <v>4054</v>
      </c>
      <c r="D5132" t="s">
        <v>13</v>
      </c>
      <c r="E5132" t="s">
        <v>36</v>
      </c>
      <c r="F5132" t="s">
        <v>46</v>
      </c>
      <c r="G5132">
        <v>4</v>
      </c>
      <c r="H5132">
        <v>530.62</v>
      </c>
      <c r="I5132">
        <v>93.38</v>
      </c>
      <c r="J5132" t="s">
        <v>28</v>
      </c>
      <c r="K5132" t="s">
        <v>29</v>
      </c>
      <c r="L5132">
        <f t="shared" si="240"/>
        <v>2022</v>
      </c>
      <c r="M5132" t="str">
        <f t="shared" si="241"/>
        <v>Aug</v>
      </c>
      <c r="N5132" s="2">
        <f t="shared" si="242"/>
        <v>0.17598281255889336</v>
      </c>
    </row>
    <row r="5133" spans="1:14" x14ac:dyDescent="0.45">
      <c r="A5133" t="s">
        <v>9104</v>
      </c>
      <c r="B5133" s="1">
        <v>45279</v>
      </c>
      <c r="C5133" t="s">
        <v>7849</v>
      </c>
      <c r="D5133" t="s">
        <v>13</v>
      </c>
      <c r="E5133" t="s">
        <v>20</v>
      </c>
      <c r="F5133" t="s">
        <v>43</v>
      </c>
      <c r="G5133">
        <v>4</v>
      </c>
      <c r="H5133">
        <v>32143.83</v>
      </c>
      <c r="I5133">
        <v>6459.12</v>
      </c>
      <c r="J5133" t="s">
        <v>28</v>
      </c>
      <c r="K5133" t="s">
        <v>29</v>
      </c>
      <c r="L5133">
        <f t="shared" si="240"/>
        <v>2023</v>
      </c>
      <c r="M5133" t="str">
        <f t="shared" si="241"/>
        <v>Dec</v>
      </c>
      <c r="N5133" s="2">
        <f t="shared" si="242"/>
        <v>0.20094431808530594</v>
      </c>
    </row>
    <row r="5134" spans="1:14" x14ac:dyDescent="0.45">
      <c r="A5134" t="s">
        <v>9105</v>
      </c>
      <c r="B5134" s="1">
        <v>45190</v>
      </c>
      <c r="C5134" t="s">
        <v>5612</v>
      </c>
      <c r="D5134" t="s">
        <v>26</v>
      </c>
      <c r="E5134" t="s">
        <v>20</v>
      </c>
      <c r="F5134" t="s">
        <v>21</v>
      </c>
      <c r="G5134">
        <v>3</v>
      </c>
      <c r="H5134">
        <v>13224.71</v>
      </c>
      <c r="I5134">
        <v>2861.76</v>
      </c>
      <c r="J5134" t="s">
        <v>28</v>
      </c>
      <c r="K5134" t="s">
        <v>33</v>
      </c>
      <c r="L5134">
        <f t="shared" si="240"/>
        <v>2023</v>
      </c>
      <c r="M5134" t="str">
        <f t="shared" si="241"/>
        <v>Sep</v>
      </c>
      <c r="N5134" s="2">
        <f t="shared" si="242"/>
        <v>0.21639491527602497</v>
      </c>
    </row>
    <row r="5135" spans="1:14" x14ac:dyDescent="0.45">
      <c r="A5135" t="s">
        <v>9106</v>
      </c>
      <c r="B5135" s="1">
        <v>44794</v>
      </c>
      <c r="C5135" t="s">
        <v>9107</v>
      </c>
      <c r="D5135" t="s">
        <v>56</v>
      </c>
      <c r="E5135" t="s">
        <v>14</v>
      </c>
      <c r="F5135" t="s">
        <v>15</v>
      </c>
      <c r="G5135">
        <v>4</v>
      </c>
      <c r="H5135">
        <v>1260.28</v>
      </c>
      <c r="I5135">
        <v>136.85</v>
      </c>
      <c r="J5135" t="s">
        <v>71</v>
      </c>
      <c r="K5135" t="s">
        <v>17</v>
      </c>
      <c r="L5135">
        <f t="shared" si="240"/>
        <v>2022</v>
      </c>
      <c r="M5135" t="str">
        <f t="shared" si="241"/>
        <v>Aug</v>
      </c>
      <c r="N5135" s="2">
        <f t="shared" si="242"/>
        <v>0.10858698067096201</v>
      </c>
    </row>
    <row r="5136" spans="1:14" x14ac:dyDescent="0.45">
      <c r="A5136" t="s">
        <v>9108</v>
      </c>
      <c r="B5136" s="1">
        <v>45520</v>
      </c>
      <c r="C5136" t="s">
        <v>4252</v>
      </c>
      <c r="D5136" t="s">
        <v>13</v>
      </c>
      <c r="E5136" t="s">
        <v>14</v>
      </c>
      <c r="F5136" t="s">
        <v>15</v>
      </c>
      <c r="G5136">
        <v>5</v>
      </c>
      <c r="H5136">
        <v>581.88</v>
      </c>
      <c r="I5136">
        <v>78.349999999999994</v>
      </c>
      <c r="J5136" t="s">
        <v>16</v>
      </c>
      <c r="K5136" t="s">
        <v>23</v>
      </c>
      <c r="L5136">
        <f t="shared" si="240"/>
        <v>2024</v>
      </c>
      <c r="M5136" t="str">
        <f t="shared" si="241"/>
        <v>Aug</v>
      </c>
      <c r="N5136" s="2">
        <f t="shared" si="242"/>
        <v>0.13464975596342887</v>
      </c>
    </row>
    <row r="5137" spans="1:14" x14ac:dyDescent="0.45">
      <c r="A5137" t="s">
        <v>9109</v>
      </c>
      <c r="B5137" s="1">
        <v>44765</v>
      </c>
      <c r="C5137" t="s">
        <v>9110</v>
      </c>
      <c r="D5137" t="s">
        <v>13</v>
      </c>
      <c r="E5137" t="s">
        <v>20</v>
      </c>
      <c r="F5137" t="s">
        <v>50</v>
      </c>
      <c r="G5137">
        <v>3</v>
      </c>
      <c r="H5137">
        <v>32134.5</v>
      </c>
      <c r="I5137">
        <v>4198.37</v>
      </c>
      <c r="J5137" t="s">
        <v>47</v>
      </c>
      <c r="K5137" t="s">
        <v>23</v>
      </c>
      <c r="L5137">
        <f t="shared" si="240"/>
        <v>2022</v>
      </c>
      <c r="M5137" t="str">
        <f t="shared" si="241"/>
        <v>Jul</v>
      </c>
      <c r="N5137" s="2">
        <f t="shared" si="242"/>
        <v>0.13064992453593491</v>
      </c>
    </row>
    <row r="5138" spans="1:14" x14ac:dyDescent="0.45">
      <c r="A5138" t="s">
        <v>9111</v>
      </c>
      <c r="B5138" s="1">
        <v>45499</v>
      </c>
      <c r="C5138" t="s">
        <v>9112</v>
      </c>
      <c r="D5138" t="s">
        <v>56</v>
      </c>
      <c r="E5138" t="s">
        <v>20</v>
      </c>
      <c r="F5138" t="s">
        <v>43</v>
      </c>
      <c r="G5138">
        <v>3</v>
      </c>
      <c r="H5138">
        <v>4746.2299999999996</v>
      </c>
      <c r="I5138">
        <v>621.24</v>
      </c>
      <c r="J5138" t="s">
        <v>16</v>
      </c>
      <c r="K5138" t="s">
        <v>29</v>
      </c>
      <c r="L5138">
        <f t="shared" si="240"/>
        <v>2024</v>
      </c>
      <c r="M5138" t="str">
        <f t="shared" si="241"/>
        <v>Jul</v>
      </c>
      <c r="N5138" s="2">
        <f t="shared" si="242"/>
        <v>0.13089125474323834</v>
      </c>
    </row>
    <row r="5139" spans="1:14" x14ac:dyDescent="0.45">
      <c r="A5139" t="s">
        <v>9113</v>
      </c>
      <c r="B5139" s="1">
        <v>44924</v>
      </c>
      <c r="C5139" t="s">
        <v>9114</v>
      </c>
      <c r="D5139" t="s">
        <v>13</v>
      </c>
      <c r="E5139" t="s">
        <v>20</v>
      </c>
      <c r="F5139" t="s">
        <v>21</v>
      </c>
      <c r="G5139">
        <v>2</v>
      </c>
      <c r="H5139">
        <v>36179.22</v>
      </c>
      <c r="I5139">
        <v>4438.28</v>
      </c>
      <c r="J5139" t="s">
        <v>22</v>
      </c>
      <c r="K5139" t="s">
        <v>29</v>
      </c>
      <c r="L5139">
        <f t="shared" si="240"/>
        <v>2022</v>
      </c>
      <c r="M5139" t="str">
        <f t="shared" si="241"/>
        <v>Dec</v>
      </c>
      <c r="N5139" s="2">
        <f t="shared" si="242"/>
        <v>0.12267483931383816</v>
      </c>
    </row>
    <row r="5140" spans="1:14" x14ac:dyDescent="0.45">
      <c r="A5140" t="s">
        <v>9115</v>
      </c>
      <c r="B5140" s="1">
        <v>44844</v>
      </c>
      <c r="C5140" t="s">
        <v>9116</v>
      </c>
      <c r="D5140" t="s">
        <v>13</v>
      </c>
      <c r="E5140" t="s">
        <v>20</v>
      </c>
      <c r="F5140" t="s">
        <v>50</v>
      </c>
      <c r="G5140">
        <v>1</v>
      </c>
      <c r="H5140">
        <v>13413.68</v>
      </c>
      <c r="I5140">
        <v>2246.6</v>
      </c>
      <c r="J5140" t="s">
        <v>47</v>
      </c>
      <c r="K5140" t="s">
        <v>33</v>
      </c>
      <c r="L5140">
        <f t="shared" si="240"/>
        <v>2022</v>
      </c>
      <c r="M5140" t="str">
        <f t="shared" si="241"/>
        <v>Oct</v>
      </c>
      <c r="N5140" s="2">
        <f t="shared" si="242"/>
        <v>0.16748573098508387</v>
      </c>
    </row>
    <row r="5141" spans="1:14" x14ac:dyDescent="0.45">
      <c r="A5141" t="s">
        <v>9117</v>
      </c>
      <c r="B5141" s="1">
        <v>44732</v>
      </c>
      <c r="C5141" t="s">
        <v>9118</v>
      </c>
      <c r="D5141" t="s">
        <v>13</v>
      </c>
      <c r="E5141" t="s">
        <v>20</v>
      </c>
      <c r="F5141" t="s">
        <v>50</v>
      </c>
      <c r="G5141">
        <v>3</v>
      </c>
      <c r="H5141">
        <v>5550.1</v>
      </c>
      <c r="I5141">
        <v>512.21</v>
      </c>
      <c r="J5141" t="s">
        <v>28</v>
      </c>
      <c r="K5141" t="s">
        <v>29</v>
      </c>
      <c r="L5141">
        <f t="shared" si="240"/>
        <v>2022</v>
      </c>
      <c r="M5141" t="str">
        <f t="shared" si="241"/>
        <v>Jun</v>
      </c>
      <c r="N5141" s="2">
        <f t="shared" si="242"/>
        <v>9.2288427235545312E-2</v>
      </c>
    </row>
    <row r="5142" spans="1:14" x14ac:dyDescent="0.45">
      <c r="A5142" t="s">
        <v>9119</v>
      </c>
      <c r="B5142" s="1">
        <v>45148</v>
      </c>
      <c r="C5142" t="s">
        <v>9120</v>
      </c>
      <c r="D5142" t="s">
        <v>13</v>
      </c>
      <c r="E5142" t="s">
        <v>36</v>
      </c>
      <c r="F5142" t="s">
        <v>37</v>
      </c>
      <c r="G5142">
        <v>4</v>
      </c>
      <c r="H5142">
        <v>37082.61</v>
      </c>
      <c r="I5142">
        <v>3534.1</v>
      </c>
      <c r="J5142" t="s">
        <v>22</v>
      </c>
      <c r="K5142" t="s">
        <v>17</v>
      </c>
      <c r="L5142">
        <f t="shared" si="240"/>
        <v>2023</v>
      </c>
      <c r="M5142" t="str">
        <f t="shared" si="241"/>
        <v>Aug</v>
      </c>
      <c r="N5142" s="2">
        <f t="shared" si="242"/>
        <v>9.5303431986044129E-2</v>
      </c>
    </row>
    <row r="5143" spans="1:14" x14ac:dyDescent="0.45">
      <c r="A5143" t="s">
        <v>9121</v>
      </c>
      <c r="B5143" s="1">
        <v>45254</v>
      </c>
      <c r="C5143" t="s">
        <v>7933</v>
      </c>
      <c r="D5143" t="s">
        <v>13</v>
      </c>
      <c r="E5143" t="s">
        <v>20</v>
      </c>
      <c r="F5143" t="s">
        <v>50</v>
      </c>
      <c r="G5143">
        <v>2</v>
      </c>
      <c r="H5143">
        <v>31743.5</v>
      </c>
      <c r="I5143">
        <v>4078.56</v>
      </c>
      <c r="J5143" t="s">
        <v>28</v>
      </c>
      <c r="K5143" t="s">
        <v>17</v>
      </c>
      <c r="L5143">
        <f t="shared" si="240"/>
        <v>2023</v>
      </c>
      <c r="M5143" t="str">
        <f t="shared" si="241"/>
        <v>Nov</v>
      </c>
      <c r="N5143" s="2">
        <f t="shared" si="242"/>
        <v>0.12848488666971192</v>
      </c>
    </row>
    <row r="5144" spans="1:14" x14ac:dyDescent="0.45">
      <c r="A5144" t="s">
        <v>9122</v>
      </c>
      <c r="B5144" s="1">
        <v>45290</v>
      </c>
      <c r="C5144" t="s">
        <v>6477</v>
      </c>
      <c r="D5144" t="s">
        <v>56</v>
      </c>
      <c r="E5144" t="s">
        <v>36</v>
      </c>
      <c r="F5144" t="s">
        <v>53</v>
      </c>
      <c r="G5144">
        <v>4</v>
      </c>
      <c r="H5144">
        <v>4193.9399999999996</v>
      </c>
      <c r="I5144">
        <v>329.4</v>
      </c>
      <c r="J5144" t="s">
        <v>28</v>
      </c>
      <c r="K5144" t="s">
        <v>29</v>
      </c>
      <c r="L5144">
        <f t="shared" si="240"/>
        <v>2023</v>
      </c>
      <c r="M5144" t="str">
        <f t="shared" si="241"/>
        <v>Dec</v>
      </c>
      <c r="N5144" s="2">
        <f t="shared" si="242"/>
        <v>7.8541896164465871E-2</v>
      </c>
    </row>
    <row r="5145" spans="1:14" x14ac:dyDescent="0.45">
      <c r="A5145" t="s">
        <v>9123</v>
      </c>
      <c r="B5145" s="1">
        <v>45200</v>
      </c>
      <c r="C5145" t="s">
        <v>9124</v>
      </c>
      <c r="D5145" t="s">
        <v>13</v>
      </c>
      <c r="E5145" t="s">
        <v>20</v>
      </c>
      <c r="F5145" t="s">
        <v>21</v>
      </c>
      <c r="G5145">
        <v>2</v>
      </c>
      <c r="H5145">
        <v>49187.28</v>
      </c>
      <c r="I5145">
        <v>6287.04</v>
      </c>
      <c r="J5145" t="s">
        <v>16</v>
      </c>
      <c r="K5145" t="s">
        <v>29</v>
      </c>
      <c r="L5145">
        <f t="shared" si="240"/>
        <v>2023</v>
      </c>
      <c r="M5145" t="str">
        <f t="shared" si="241"/>
        <v>Oct</v>
      </c>
      <c r="N5145" s="2">
        <f t="shared" si="242"/>
        <v>0.12781841158933774</v>
      </c>
    </row>
    <row r="5146" spans="1:14" x14ac:dyDescent="0.45">
      <c r="A5146" t="s">
        <v>9125</v>
      </c>
      <c r="B5146" s="1">
        <v>45419</v>
      </c>
      <c r="C5146" t="s">
        <v>4169</v>
      </c>
      <c r="D5146" t="s">
        <v>13</v>
      </c>
      <c r="E5146" t="s">
        <v>36</v>
      </c>
      <c r="F5146" t="s">
        <v>64</v>
      </c>
      <c r="G5146">
        <v>3</v>
      </c>
      <c r="H5146">
        <v>38272.61</v>
      </c>
      <c r="I5146">
        <v>9058.73</v>
      </c>
      <c r="J5146" t="s">
        <v>22</v>
      </c>
      <c r="K5146" t="s">
        <v>29</v>
      </c>
      <c r="L5146">
        <f t="shared" si="240"/>
        <v>2024</v>
      </c>
      <c r="M5146" t="str">
        <f t="shared" si="241"/>
        <v>May</v>
      </c>
      <c r="N5146" s="2">
        <f t="shared" si="242"/>
        <v>0.2366896326119384</v>
      </c>
    </row>
    <row r="5147" spans="1:14" x14ac:dyDescent="0.45">
      <c r="A5147" t="s">
        <v>9126</v>
      </c>
      <c r="B5147" s="1">
        <v>44660</v>
      </c>
      <c r="C5147" t="s">
        <v>5762</v>
      </c>
      <c r="D5147" t="s">
        <v>56</v>
      </c>
      <c r="E5147" t="s">
        <v>14</v>
      </c>
      <c r="F5147" t="s">
        <v>15</v>
      </c>
      <c r="G5147">
        <v>3</v>
      </c>
      <c r="H5147">
        <v>40200.04</v>
      </c>
      <c r="I5147">
        <v>4814.45</v>
      </c>
      <c r="J5147" t="s">
        <v>22</v>
      </c>
      <c r="K5147" t="s">
        <v>33</v>
      </c>
      <c r="L5147">
        <f t="shared" si="240"/>
        <v>2022</v>
      </c>
      <c r="M5147" t="str">
        <f t="shared" si="241"/>
        <v>Apr</v>
      </c>
      <c r="N5147" s="2">
        <f t="shared" si="242"/>
        <v>0.11976231864445905</v>
      </c>
    </row>
    <row r="5148" spans="1:14" x14ac:dyDescent="0.45">
      <c r="A5148" t="s">
        <v>9127</v>
      </c>
      <c r="B5148" s="1">
        <v>45335</v>
      </c>
      <c r="C5148" t="s">
        <v>9128</v>
      </c>
      <c r="D5148" t="s">
        <v>26</v>
      </c>
      <c r="E5148" t="s">
        <v>14</v>
      </c>
      <c r="F5148" t="s">
        <v>40</v>
      </c>
      <c r="G5148">
        <v>5</v>
      </c>
      <c r="H5148">
        <v>23804.22</v>
      </c>
      <c r="I5148">
        <v>5016.8599999999997</v>
      </c>
      <c r="J5148" t="s">
        <v>28</v>
      </c>
      <c r="K5148" t="s">
        <v>17</v>
      </c>
      <c r="L5148">
        <f t="shared" si="240"/>
        <v>2024</v>
      </c>
      <c r="M5148" t="str">
        <f t="shared" si="241"/>
        <v>Feb</v>
      </c>
      <c r="N5148" s="2">
        <f t="shared" si="242"/>
        <v>0.21075506779890285</v>
      </c>
    </row>
    <row r="5149" spans="1:14" x14ac:dyDescent="0.45">
      <c r="A5149" t="s">
        <v>9129</v>
      </c>
      <c r="B5149" s="1">
        <v>44756</v>
      </c>
      <c r="C5149" t="s">
        <v>3440</v>
      </c>
      <c r="D5149" t="s">
        <v>13</v>
      </c>
      <c r="E5149" t="s">
        <v>14</v>
      </c>
      <c r="F5149" t="s">
        <v>15</v>
      </c>
      <c r="G5149">
        <v>2</v>
      </c>
      <c r="H5149">
        <v>37458.76</v>
      </c>
      <c r="I5149">
        <v>3406.5</v>
      </c>
      <c r="J5149" t="s">
        <v>71</v>
      </c>
      <c r="K5149" t="s">
        <v>33</v>
      </c>
      <c r="L5149">
        <f t="shared" si="240"/>
        <v>2022</v>
      </c>
      <c r="M5149" t="str">
        <f t="shared" si="241"/>
        <v>Jul</v>
      </c>
      <c r="N5149" s="2">
        <f t="shared" si="242"/>
        <v>9.0940009760066803E-2</v>
      </c>
    </row>
    <row r="5150" spans="1:14" x14ac:dyDescent="0.45">
      <c r="A5150" t="s">
        <v>9130</v>
      </c>
      <c r="B5150" s="1">
        <v>45471</v>
      </c>
      <c r="C5150" t="s">
        <v>9131</v>
      </c>
      <c r="D5150" t="s">
        <v>13</v>
      </c>
      <c r="E5150" t="s">
        <v>36</v>
      </c>
      <c r="F5150" t="s">
        <v>46</v>
      </c>
      <c r="G5150">
        <v>4</v>
      </c>
      <c r="H5150">
        <v>4129.58</v>
      </c>
      <c r="I5150">
        <v>586.29</v>
      </c>
      <c r="J5150" t="s">
        <v>71</v>
      </c>
      <c r="K5150" t="s">
        <v>17</v>
      </c>
      <c r="L5150">
        <f t="shared" si="240"/>
        <v>2024</v>
      </c>
      <c r="M5150" t="str">
        <f t="shared" si="241"/>
        <v>Jun</v>
      </c>
      <c r="N5150" s="2">
        <f t="shared" si="242"/>
        <v>0.1419732757326411</v>
      </c>
    </row>
    <row r="5151" spans="1:14" x14ac:dyDescent="0.45">
      <c r="A5151" t="s">
        <v>9132</v>
      </c>
      <c r="B5151" s="1">
        <v>45297</v>
      </c>
      <c r="C5151" t="s">
        <v>9133</v>
      </c>
      <c r="D5151" t="s">
        <v>26</v>
      </c>
      <c r="E5151" t="s">
        <v>36</v>
      </c>
      <c r="F5151" t="s">
        <v>46</v>
      </c>
      <c r="G5151">
        <v>3</v>
      </c>
      <c r="H5151">
        <v>46990.06</v>
      </c>
      <c r="I5151">
        <v>4280.66</v>
      </c>
      <c r="J5151" t="s">
        <v>71</v>
      </c>
      <c r="K5151" t="s">
        <v>17</v>
      </c>
      <c r="L5151">
        <f t="shared" si="240"/>
        <v>2024</v>
      </c>
      <c r="M5151" t="str">
        <f t="shared" si="241"/>
        <v>Jan</v>
      </c>
      <c r="N5151" s="2">
        <f t="shared" si="242"/>
        <v>9.1097138416082038E-2</v>
      </c>
    </row>
    <row r="5152" spans="1:14" x14ac:dyDescent="0.45">
      <c r="A5152" t="s">
        <v>9134</v>
      </c>
      <c r="B5152" s="1">
        <v>45563</v>
      </c>
      <c r="C5152" t="s">
        <v>8901</v>
      </c>
      <c r="D5152" t="s">
        <v>26</v>
      </c>
      <c r="E5152" t="s">
        <v>36</v>
      </c>
      <c r="F5152" t="s">
        <v>46</v>
      </c>
      <c r="G5152">
        <v>5</v>
      </c>
      <c r="H5152">
        <v>42369.37</v>
      </c>
      <c r="I5152">
        <v>3655.91</v>
      </c>
      <c r="J5152" t="s">
        <v>16</v>
      </c>
      <c r="K5152" t="s">
        <v>33</v>
      </c>
      <c r="L5152">
        <f t="shared" si="240"/>
        <v>2024</v>
      </c>
      <c r="M5152" t="str">
        <f t="shared" si="241"/>
        <v>Sep</v>
      </c>
      <c r="N5152" s="2">
        <f t="shared" si="242"/>
        <v>8.6286626400156524E-2</v>
      </c>
    </row>
    <row r="5153" spans="1:14" x14ac:dyDescent="0.45">
      <c r="A5153" t="s">
        <v>9135</v>
      </c>
      <c r="B5153" s="1">
        <v>45028</v>
      </c>
      <c r="C5153" t="s">
        <v>9136</v>
      </c>
      <c r="D5153" t="s">
        <v>13</v>
      </c>
      <c r="E5153" t="s">
        <v>14</v>
      </c>
      <c r="F5153" t="s">
        <v>32</v>
      </c>
      <c r="G5153">
        <v>3</v>
      </c>
      <c r="H5153">
        <v>49098.5</v>
      </c>
      <c r="I5153">
        <v>6686.16</v>
      </c>
      <c r="J5153" t="s">
        <v>28</v>
      </c>
      <c r="K5153" t="s">
        <v>17</v>
      </c>
      <c r="L5153">
        <f t="shared" si="240"/>
        <v>2023</v>
      </c>
      <c r="M5153" t="str">
        <f t="shared" si="241"/>
        <v>Apr</v>
      </c>
      <c r="N5153" s="2">
        <f t="shared" si="242"/>
        <v>0.13617849832479606</v>
      </c>
    </row>
    <row r="5154" spans="1:14" x14ac:dyDescent="0.45">
      <c r="A5154" t="s">
        <v>9137</v>
      </c>
      <c r="B5154" s="1">
        <v>45649</v>
      </c>
      <c r="C5154" t="s">
        <v>9138</v>
      </c>
      <c r="D5154" t="s">
        <v>13</v>
      </c>
      <c r="E5154" t="s">
        <v>36</v>
      </c>
      <c r="F5154" t="s">
        <v>64</v>
      </c>
      <c r="G5154">
        <v>5</v>
      </c>
      <c r="H5154">
        <v>46362.2</v>
      </c>
      <c r="I5154">
        <v>5515.24</v>
      </c>
      <c r="J5154" t="s">
        <v>71</v>
      </c>
      <c r="K5154" t="s">
        <v>17</v>
      </c>
      <c r="L5154">
        <f t="shared" si="240"/>
        <v>2024</v>
      </c>
      <c r="M5154" t="str">
        <f t="shared" si="241"/>
        <v>Dec</v>
      </c>
      <c r="N5154" s="2">
        <f t="shared" si="242"/>
        <v>0.11895984228531002</v>
      </c>
    </row>
    <row r="5155" spans="1:14" x14ac:dyDescent="0.45">
      <c r="A5155" t="s">
        <v>9139</v>
      </c>
      <c r="B5155" s="1">
        <v>45244</v>
      </c>
      <c r="C5155" t="s">
        <v>9140</v>
      </c>
      <c r="D5155" t="s">
        <v>26</v>
      </c>
      <c r="E5155" t="s">
        <v>20</v>
      </c>
      <c r="F5155" t="s">
        <v>43</v>
      </c>
      <c r="G5155">
        <v>5</v>
      </c>
      <c r="H5155">
        <v>37647.620000000003</v>
      </c>
      <c r="I5155">
        <v>2168.89</v>
      </c>
      <c r="J5155" t="s">
        <v>16</v>
      </c>
      <c r="K5155" t="s">
        <v>33</v>
      </c>
      <c r="L5155">
        <f t="shared" si="240"/>
        <v>2023</v>
      </c>
      <c r="M5155" t="str">
        <f t="shared" si="241"/>
        <v>Nov</v>
      </c>
      <c r="N5155" s="2">
        <f t="shared" si="242"/>
        <v>5.7610281871735843E-2</v>
      </c>
    </row>
    <row r="5156" spans="1:14" x14ac:dyDescent="0.45">
      <c r="A5156" t="s">
        <v>9141</v>
      </c>
      <c r="B5156" s="1">
        <v>45177</v>
      </c>
      <c r="C5156" t="s">
        <v>1280</v>
      </c>
      <c r="D5156" t="s">
        <v>56</v>
      </c>
      <c r="E5156" t="s">
        <v>36</v>
      </c>
      <c r="F5156" t="s">
        <v>46</v>
      </c>
      <c r="G5156">
        <v>1</v>
      </c>
      <c r="H5156">
        <v>39615.410000000003</v>
      </c>
      <c r="I5156">
        <v>4456.71</v>
      </c>
      <c r="J5156" t="s">
        <v>47</v>
      </c>
      <c r="K5156" t="s">
        <v>33</v>
      </c>
      <c r="L5156">
        <f t="shared" si="240"/>
        <v>2023</v>
      </c>
      <c r="M5156" t="str">
        <f t="shared" si="241"/>
        <v>Sep</v>
      </c>
      <c r="N5156" s="2">
        <f t="shared" si="242"/>
        <v>0.11249940364115882</v>
      </c>
    </row>
    <row r="5157" spans="1:14" x14ac:dyDescent="0.45">
      <c r="A5157" t="s">
        <v>9142</v>
      </c>
      <c r="B5157" s="1">
        <v>44691</v>
      </c>
      <c r="C5157" t="s">
        <v>9143</v>
      </c>
      <c r="D5157" t="s">
        <v>13</v>
      </c>
      <c r="E5157" t="s">
        <v>20</v>
      </c>
      <c r="F5157" t="s">
        <v>21</v>
      </c>
      <c r="G5157">
        <v>3</v>
      </c>
      <c r="H5157">
        <v>35999.379999999997</v>
      </c>
      <c r="I5157">
        <v>4635.03</v>
      </c>
      <c r="J5157" t="s">
        <v>28</v>
      </c>
      <c r="K5157" t="s">
        <v>29</v>
      </c>
      <c r="L5157">
        <f t="shared" si="240"/>
        <v>2022</v>
      </c>
      <c r="M5157" t="str">
        <f t="shared" si="241"/>
        <v>May</v>
      </c>
      <c r="N5157" s="2">
        <f t="shared" si="242"/>
        <v>0.12875305074698509</v>
      </c>
    </row>
    <row r="5158" spans="1:14" x14ac:dyDescent="0.45">
      <c r="A5158" t="s">
        <v>9144</v>
      </c>
      <c r="B5158" s="1">
        <v>45102</v>
      </c>
      <c r="C5158" t="s">
        <v>3214</v>
      </c>
      <c r="D5158" t="s">
        <v>56</v>
      </c>
      <c r="E5158" t="s">
        <v>20</v>
      </c>
      <c r="F5158" t="s">
        <v>50</v>
      </c>
      <c r="G5158">
        <v>1</v>
      </c>
      <c r="H5158">
        <v>38588.17</v>
      </c>
      <c r="I5158">
        <v>4001.34</v>
      </c>
      <c r="J5158" t="s">
        <v>16</v>
      </c>
      <c r="K5158" t="s">
        <v>33</v>
      </c>
      <c r="L5158">
        <f t="shared" si="240"/>
        <v>2023</v>
      </c>
      <c r="M5158" t="str">
        <f t="shared" si="241"/>
        <v>Jun</v>
      </c>
      <c r="N5158" s="2">
        <f t="shared" si="242"/>
        <v>0.1036934376520058</v>
      </c>
    </row>
    <row r="5159" spans="1:14" x14ac:dyDescent="0.45">
      <c r="A5159" t="s">
        <v>9145</v>
      </c>
      <c r="B5159" s="1">
        <v>45190</v>
      </c>
      <c r="C5159" t="s">
        <v>9146</v>
      </c>
      <c r="D5159" t="s">
        <v>56</v>
      </c>
      <c r="E5159" t="s">
        <v>14</v>
      </c>
      <c r="F5159" t="s">
        <v>40</v>
      </c>
      <c r="G5159">
        <v>1</v>
      </c>
      <c r="H5159">
        <v>31874.880000000001</v>
      </c>
      <c r="I5159">
        <v>1997.11</v>
      </c>
      <c r="J5159" t="s">
        <v>16</v>
      </c>
      <c r="K5159" t="s">
        <v>33</v>
      </c>
      <c r="L5159">
        <f t="shared" si="240"/>
        <v>2023</v>
      </c>
      <c r="M5159" t="str">
        <f t="shared" si="241"/>
        <v>Sep</v>
      </c>
      <c r="N5159" s="2">
        <f t="shared" si="242"/>
        <v>6.2654667248943363E-2</v>
      </c>
    </row>
    <row r="5160" spans="1:14" x14ac:dyDescent="0.45">
      <c r="A5160" t="s">
        <v>9147</v>
      </c>
      <c r="B5160" s="1">
        <v>44792</v>
      </c>
      <c r="C5160" t="s">
        <v>2851</v>
      </c>
      <c r="D5160" t="s">
        <v>26</v>
      </c>
      <c r="E5160" t="s">
        <v>36</v>
      </c>
      <c r="F5160" t="s">
        <v>37</v>
      </c>
      <c r="G5160">
        <v>5</v>
      </c>
      <c r="H5160">
        <v>29263.21</v>
      </c>
      <c r="I5160">
        <v>4753.0200000000004</v>
      </c>
      <c r="J5160" t="s">
        <v>47</v>
      </c>
      <c r="K5160" t="s">
        <v>29</v>
      </c>
      <c r="L5160">
        <f t="shared" si="240"/>
        <v>2022</v>
      </c>
      <c r="M5160" t="str">
        <f t="shared" si="241"/>
        <v>Aug</v>
      </c>
      <c r="N5160" s="2">
        <f t="shared" si="242"/>
        <v>0.16242305611722024</v>
      </c>
    </row>
    <row r="5161" spans="1:14" x14ac:dyDescent="0.45">
      <c r="A5161" t="s">
        <v>9148</v>
      </c>
      <c r="B5161" s="1">
        <v>45014</v>
      </c>
      <c r="C5161" t="s">
        <v>5729</v>
      </c>
      <c r="D5161" t="s">
        <v>13</v>
      </c>
      <c r="E5161" t="s">
        <v>36</v>
      </c>
      <c r="F5161" t="s">
        <v>46</v>
      </c>
      <c r="G5161">
        <v>3</v>
      </c>
      <c r="H5161">
        <v>45661.24</v>
      </c>
      <c r="I5161">
        <v>7801.68</v>
      </c>
      <c r="J5161" t="s">
        <v>28</v>
      </c>
      <c r="K5161" t="s">
        <v>29</v>
      </c>
      <c r="L5161">
        <f t="shared" si="240"/>
        <v>2023</v>
      </c>
      <c r="M5161" t="str">
        <f t="shared" si="241"/>
        <v>Mar</v>
      </c>
      <c r="N5161" s="2">
        <f t="shared" si="242"/>
        <v>0.17086001168606021</v>
      </c>
    </row>
    <row r="5162" spans="1:14" x14ac:dyDescent="0.45">
      <c r="A5162" t="s">
        <v>9149</v>
      </c>
      <c r="B5162" s="1">
        <v>44866</v>
      </c>
      <c r="C5162" t="s">
        <v>9150</v>
      </c>
      <c r="D5162" t="s">
        <v>56</v>
      </c>
      <c r="E5162" t="s">
        <v>36</v>
      </c>
      <c r="F5162" t="s">
        <v>37</v>
      </c>
      <c r="G5162">
        <v>5</v>
      </c>
      <c r="H5162">
        <v>39408.65</v>
      </c>
      <c r="I5162">
        <v>8485.8700000000008</v>
      </c>
      <c r="J5162" t="s">
        <v>22</v>
      </c>
      <c r="K5162" t="s">
        <v>29</v>
      </c>
      <c r="L5162">
        <f t="shared" si="240"/>
        <v>2022</v>
      </c>
      <c r="M5162" t="str">
        <f t="shared" si="241"/>
        <v>Nov</v>
      </c>
      <c r="N5162" s="2">
        <f t="shared" si="242"/>
        <v>0.21533013691156638</v>
      </c>
    </row>
    <row r="5163" spans="1:14" x14ac:dyDescent="0.45">
      <c r="A5163" t="s">
        <v>9151</v>
      </c>
      <c r="B5163" s="1">
        <v>45245</v>
      </c>
      <c r="C5163" t="s">
        <v>9152</v>
      </c>
      <c r="D5163" t="s">
        <v>13</v>
      </c>
      <c r="E5163" t="s">
        <v>36</v>
      </c>
      <c r="F5163" t="s">
        <v>64</v>
      </c>
      <c r="G5163">
        <v>3</v>
      </c>
      <c r="H5163">
        <v>4869.76</v>
      </c>
      <c r="I5163">
        <v>1113.05</v>
      </c>
      <c r="J5163" t="s">
        <v>47</v>
      </c>
      <c r="K5163" t="s">
        <v>29</v>
      </c>
      <c r="L5163">
        <f t="shared" si="240"/>
        <v>2023</v>
      </c>
      <c r="M5163" t="str">
        <f t="shared" si="241"/>
        <v>Nov</v>
      </c>
      <c r="N5163" s="2">
        <f t="shared" si="242"/>
        <v>0.22856362531213034</v>
      </c>
    </row>
    <row r="5164" spans="1:14" x14ac:dyDescent="0.45">
      <c r="A5164" t="s">
        <v>9153</v>
      </c>
      <c r="B5164" s="1">
        <v>44821</v>
      </c>
      <c r="C5164" t="s">
        <v>9154</v>
      </c>
      <c r="D5164" t="s">
        <v>26</v>
      </c>
      <c r="E5164" t="s">
        <v>14</v>
      </c>
      <c r="F5164" t="s">
        <v>32</v>
      </c>
      <c r="G5164">
        <v>2</v>
      </c>
      <c r="H5164">
        <v>27203.33</v>
      </c>
      <c r="I5164">
        <v>2112.3000000000002</v>
      </c>
      <c r="J5164" t="s">
        <v>71</v>
      </c>
      <c r="K5164" t="s">
        <v>23</v>
      </c>
      <c r="L5164">
        <f t="shared" si="240"/>
        <v>2022</v>
      </c>
      <c r="M5164" t="str">
        <f t="shared" si="241"/>
        <v>Sep</v>
      </c>
      <c r="N5164" s="2">
        <f t="shared" si="242"/>
        <v>7.764858199345448E-2</v>
      </c>
    </row>
    <row r="5165" spans="1:14" x14ac:dyDescent="0.45">
      <c r="A5165" t="s">
        <v>9155</v>
      </c>
      <c r="B5165" s="1">
        <v>44973</v>
      </c>
      <c r="C5165" t="s">
        <v>9156</v>
      </c>
      <c r="D5165" t="s">
        <v>13</v>
      </c>
      <c r="E5165" t="s">
        <v>36</v>
      </c>
      <c r="F5165" t="s">
        <v>53</v>
      </c>
      <c r="G5165">
        <v>1</v>
      </c>
      <c r="H5165">
        <v>25092.49</v>
      </c>
      <c r="I5165">
        <v>4107.0600000000004</v>
      </c>
      <c r="J5165" t="s">
        <v>47</v>
      </c>
      <c r="K5165" t="s">
        <v>23</v>
      </c>
      <c r="L5165">
        <f t="shared" si="240"/>
        <v>2023</v>
      </c>
      <c r="M5165" t="str">
        <f t="shared" si="241"/>
        <v>Feb</v>
      </c>
      <c r="N5165" s="2">
        <f t="shared" si="242"/>
        <v>0.16367686108473092</v>
      </c>
    </row>
    <row r="5166" spans="1:14" x14ac:dyDescent="0.45">
      <c r="A5166" t="s">
        <v>9157</v>
      </c>
      <c r="B5166" s="1">
        <v>44843</v>
      </c>
      <c r="C5166" t="s">
        <v>9158</v>
      </c>
      <c r="D5166" t="s">
        <v>56</v>
      </c>
      <c r="E5166" t="s">
        <v>36</v>
      </c>
      <c r="F5166" t="s">
        <v>64</v>
      </c>
      <c r="G5166">
        <v>4</v>
      </c>
      <c r="H5166">
        <v>13321.14</v>
      </c>
      <c r="I5166">
        <v>894.52</v>
      </c>
      <c r="J5166" t="s">
        <v>16</v>
      </c>
      <c r="K5166" t="s">
        <v>29</v>
      </c>
      <c r="L5166">
        <f t="shared" si="240"/>
        <v>2022</v>
      </c>
      <c r="M5166" t="str">
        <f t="shared" si="241"/>
        <v>Oct</v>
      </c>
      <c r="N5166" s="2">
        <f t="shared" si="242"/>
        <v>6.7150409049075377E-2</v>
      </c>
    </row>
    <row r="5167" spans="1:14" x14ac:dyDescent="0.45">
      <c r="A5167" t="s">
        <v>9159</v>
      </c>
      <c r="B5167" s="1">
        <v>45366</v>
      </c>
      <c r="C5167" t="s">
        <v>9160</v>
      </c>
      <c r="D5167" t="s">
        <v>56</v>
      </c>
      <c r="E5167" t="s">
        <v>36</v>
      </c>
      <c r="F5167" t="s">
        <v>64</v>
      </c>
      <c r="G5167">
        <v>2</v>
      </c>
      <c r="H5167">
        <v>33354.82</v>
      </c>
      <c r="I5167">
        <v>4905.66</v>
      </c>
      <c r="J5167" t="s">
        <v>71</v>
      </c>
      <c r="K5167" t="s">
        <v>33</v>
      </c>
      <c r="L5167">
        <f t="shared" si="240"/>
        <v>2024</v>
      </c>
      <c r="M5167" t="str">
        <f t="shared" si="241"/>
        <v>Mar</v>
      </c>
      <c r="N5167" s="2">
        <f t="shared" si="242"/>
        <v>0.14707499545792782</v>
      </c>
    </row>
    <row r="5168" spans="1:14" x14ac:dyDescent="0.45">
      <c r="A5168" t="s">
        <v>9161</v>
      </c>
      <c r="B5168" s="1">
        <v>45096</v>
      </c>
      <c r="C5168" t="s">
        <v>9162</v>
      </c>
      <c r="D5168" t="s">
        <v>13</v>
      </c>
      <c r="E5168" t="s">
        <v>36</v>
      </c>
      <c r="F5168" t="s">
        <v>64</v>
      </c>
      <c r="G5168">
        <v>2</v>
      </c>
      <c r="H5168">
        <v>21839.8</v>
      </c>
      <c r="I5168">
        <v>4111.84</v>
      </c>
      <c r="J5168" t="s">
        <v>16</v>
      </c>
      <c r="K5168" t="s">
        <v>17</v>
      </c>
      <c r="L5168">
        <f t="shared" si="240"/>
        <v>2023</v>
      </c>
      <c r="M5168" t="str">
        <f t="shared" si="241"/>
        <v>Jun</v>
      </c>
      <c r="N5168" s="2">
        <f t="shared" si="242"/>
        <v>0.18827278638082767</v>
      </c>
    </row>
    <row r="5169" spans="1:14" x14ac:dyDescent="0.45">
      <c r="A5169" t="s">
        <v>9163</v>
      </c>
      <c r="B5169" s="1">
        <v>45001</v>
      </c>
      <c r="C5169" t="s">
        <v>9164</v>
      </c>
      <c r="D5169" t="s">
        <v>56</v>
      </c>
      <c r="E5169" t="s">
        <v>20</v>
      </c>
      <c r="F5169" t="s">
        <v>27</v>
      </c>
      <c r="G5169">
        <v>2</v>
      </c>
      <c r="H5169">
        <v>13385.5</v>
      </c>
      <c r="I5169">
        <v>846.97</v>
      </c>
      <c r="J5169" t="s">
        <v>28</v>
      </c>
      <c r="K5169" t="s">
        <v>29</v>
      </c>
      <c r="L5169">
        <f t="shared" si="240"/>
        <v>2023</v>
      </c>
      <c r="M5169" t="str">
        <f t="shared" si="241"/>
        <v>Mar</v>
      </c>
      <c r="N5169" s="2">
        <f t="shared" si="242"/>
        <v>6.3275185835418926E-2</v>
      </c>
    </row>
    <row r="5170" spans="1:14" x14ac:dyDescent="0.45">
      <c r="A5170" t="s">
        <v>9165</v>
      </c>
      <c r="B5170" s="1">
        <v>45001</v>
      </c>
      <c r="C5170" t="s">
        <v>9166</v>
      </c>
      <c r="D5170" t="s">
        <v>26</v>
      </c>
      <c r="E5170" t="s">
        <v>14</v>
      </c>
      <c r="F5170" t="s">
        <v>57</v>
      </c>
      <c r="G5170">
        <v>3</v>
      </c>
      <c r="H5170">
        <v>9657.26</v>
      </c>
      <c r="I5170">
        <v>2325.2199999999998</v>
      </c>
      <c r="J5170" t="s">
        <v>47</v>
      </c>
      <c r="K5170" t="s">
        <v>17</v>
      </c>
      <c r="L5170">
        <f t="shared" si="240"/>
        <v>2023</v>
      </c>
      <c r="M5170" t="str">
        <f t="shared" si="241"/>
        <v>Mar</v>
      </c>
      <c r="N5170" s="2">
        <f t="shared" si="242"/>
        <v>0.24077429829993183</v>
      </c>
    </row>
    <row r="5171" spans="1:14" x14ac:dyDescent="0.45">
      <c r="A5171" t="s">
        <v>9167</v>
      </c>
      <c r="B5171" s="1">
        <v>45181</v>
      </c>
      <c r="C5171" t="s">
        <v>9168</v>
      </c>
      <c r="D5171" t="s">
        <v>13</v>
      </c>
      <c r="E5171" t="s">
        <v>20</v>
      </c>
      <c r="F5171" t="s">
        <v>43</v>
      </c>
      <c r="G5171">
        <v>4</v>
      </c>
      <c r="H5171">
        <v>9834.49</v>
      </c>
      <c r="I5171">
        <v>1357.99</v>
      </c>
      <c r="J5171" t="s">
        <v>22</v>
      </c>
      <c r="K5171" t="s">
        <v>29</v>
      </c>
      <c r="L5171">
        <f t="shared" si="240"/>
        <v>2023</v>
      </c>
      <c r="M5171" t="str">
        <f t="shared" si="241"/>
        <v>Sep</v>
      </c>
      <c r="N5171" s="2">
        <f t="shared" si="242"/>
        <v>0.1380844354918252</v>
      </c>
    </row>
    <row r="5172" spans="1:14" x14ac:dyDescent="0.45">
      <c r="A5172" t="s">
        <v>9169</v>
      </c>
      <c r="B5172" s="1">
        <v>45449</v>
      </c>
      <c r="C5172" t="s">
        <v>446</v>
      </c>
      <c r="D5172" t="s">
        <v>56</v>
      </c>
      <c r="E5172" t="s">
        <v>36</v>
      </c>
      <c r="F5172" t="s">
        <v>53</v>
      </c>
      <c r="G5172">
        <v>3</v>
      </c>
      <c r="H5172">
        <v>30816.9</v>
      </c>
      <c r="I5172">
        <v>7606.59</v>
      </c>
      <c r="J5172" t="s">
        <v>16</v>
      </c>
      <c r="K5172" t="s">
        <v>33</v>
      </c>
      <c r="L5172">
        <f t="shared" si="240"/>
        <v>2024</v>
      </c>
      <c r="M5172" t="str">
        <f t="shared" si="241"/>
        <v>Jun</v>
      </c>
      <c r="N5172" s="2">
        <f t="shared" si="242"/>
        <v>0.24683177087896577</v>
      </c>
    </row>
    <row r="5173" spans="1:14" x14ac:dyDescent="0.45">
      <c r="A5173" t="s">
        <v>9170</v>
      </c>
      <c r="B5173" s="1">
        <v>44615</v>
      </c>
      <c r="C5173" t="s">
        <v>9171</v>
      </c>
      <c r="D5173" t="s">
        <v>56</v>
      </c>
      <c r="E5173" t="s">
        <v>20</v>
      </c>
      <c r="F5173" t="s">
        <v>27</v>
      </c>
      <c r="G5173">
        <v>1</v>
      </c>
      <c r="H5173">
        <v>23325.89</v>
      </c>
      <c r="I5173">
        <v>2348.48</v>
      </c>
      <c r="J5173" t="s">
        <v>28</v>
      </c>
      <c r="K5173" t="s">
        <v>33</v>
      </c>
      <c r="L5173">
        <f t="shared" si="240"/>
        <v>2022</v>
      </c>
      <c r="M5173" t="str">
        <f t="shared" si="241"/>
        <v>Feb</v>
      </c>
      <c r="N5173" s="2">
        <f t="shared" si="242"/>
        <v>0.10068126017914</v>
      </c>
    </row>
    <row r="5174" spans="1:14" x14ac:dyDescent="0.45">
      <c r="A5174" t="s">
        <v>9172</v>
      </c>
      <c r="B5174" s="1">
        <v>44568</v>
      </c>
      <c r="C5174" t="s">
        <v>3446</v>
      </c>
      <c r="D5174" t="s">
        <v>13</v>
      </c>
      <c r="E5174" t="s">
        <v>36</v>
      </c>
      <c r="F5174" t="s">
        <v>46</v>
      </c>
      <c r="G5174">
        <v>4</v>
      </c>
      <c r="H5174">
        <v>27654.7</v>
      </c>
      <c r="I5174">
        <v>1384.79</v>
      </c>
      <c r="J5174" t="s">
        <v>28</v>
      </c>
      <c r="K5174" t="s">
        <v>33</v>
      </c>
      <c r="L5174">
        <f t="shared" si="240"/>
        <v>2022</v>
      </c>
      <c r="M5174" t="str">
        <f t="shared" si="241"/>
        <v>Jan</v>
      </c>
      <c r="N5174" s="2">
        <f t="shared" si="242"/>
        <v>5.0074309249422341E-2</v>
      </c>
    </row>
    <row r="5175" spans="1:14" x14ac:dyDescent="0.45">
      <c r="A5175" t="s">
        <v>9173</v>
      </c>
      <c r="B5175" s="1">
        <v>44745</v>
      </c>
      <c r="C5175" t="s">
        <v>9174</v>
      </c>
      <c r="D5175" t="s">
        <v>26</v>
      </c>
      <c r="E5175" t="s">
        <v>14</v>
      </c>
      <c r="F5175" t="s">
        <v>15</v>
      </c>
      <c r="G5175">
        <v>5</v>
      </c>
      <c r="H5175">
        <v>43695.58</v>
      </c>
      <c r="I5175">
        <v>6631.99</v>
      </c>
      <c r="J5175" t="s">
        <v>16</v>
      </c>
      <c r="K5175" t="s">
        <v>17</v>
      </c>
      <c r="L5175">
        <f t="shared" si="240"/>
        <v>2022</v>
      </c>
      <c r="M5175" t="str">
        <f t="shared" si="241"/>
        <v>Jul</v>
      </c>
      <c r="N5175" s="2">
        <f t="shared" si="242"/>
        <v>0.15177713626870268</v>
      </c>
    </row>
    <row r="5176" spans="1:14" x14ac:dyDescent="0.45">
      <c r="A5176" t="s">
        <v>9175</v>
      </c>
      <c r="B5176" s="1">
        <v>44966</v>
      </c>
      <c r="C5176" t="s">
        <v>2408</v>
      </c>
      <c r="D5176" t="s">
        <v>56</v>
      </c>
      <c r="E5176" t="s">
        <v>36</v>
      </c>
      <c r="F5176" t="s">
        <v>53</v>
      </c>
      <c r="G5176">
        <v>4</v>
      </c>
      <c r="H5176">
        <v>45275.45</v>
      </c>
      <c r="I5176">
        <v>4797.34</v>
      </c>
      <c r="J5176" t="s">
        <v>16</v>
      </c>
      <c r="K5176" t="s">
        <v>23</v>
      </c>
      <c r="L5176">
        <f t="shared" si="240"/>
        <v>2023</v>
      </c>
      <c r="M5176" t="str">
        <f t="shared" si="241"/>
        <v>Feb</v>
      </c>
      <c r="N5176" s="2">
        <f t="shared" si="242"/>
        <v>0.10595896893349488</v>
      </c>
    </row>
    <row r="5177" spans="1:14" x14ac:dyDescent="0.45">
      <c r="A5177" t="s">
        <v>9176</v>
      </c>
      <c r="B5177" s="1">
        <v>44710</v>
      </c>
      <c r="C5177" t="s">
        <v>9177</v>
      </c>
      <c r="D5177" t="s">
        <v>13</v>
      </c>
      <c r="E5177" t="s">
        <v>36</v>
      </c>
      <c r="F5177" t="s">
        <v>37</v>
      </c>
      <c r="G5177">
        <v>2</v>
      </c>
      <c r="H5177">
        <v>42994.27</v>
      </c>
      <c r="I5177">
        <v>3993.83</v>
      </c>
      <c r="J5177" t="s">
        <v>16</v>
      </c>
      <c r="K5177" t="s">
        <v>17</v>
      </c>
      <c r="L5177">
        <f t="shared" si="240"/>
        <v>2022</v>
      </c>
      <c r="M5177" t="str">
        <f t="shared" si="241"/>
        <v>May</v>
      </c>
      <c r="N5177" s="2">
        <f t="shared" si="242"/>
        <v>9.2892145860366981E-2</v>
      </c>
    </row>
    <row r="5178" spans="1:14" x14ac:dyDescent="0.45">
      <c r="A5178" t="s">
        <v>9178</v>
      </c>
      <c r="B5178" s="1">
        <v>44621</v>
      </c>
      <c r="C5178" t="s">
        <v>781</v>
      </c>
      <c r="D5178" t="s">
        <v>56</v>
      </c>
      <c r="E5178" t="s">
        <v>14</v>
      </c>
      <c r="F5178" t="s">
        <v>40</v>
      </c>
      <c r="G5178">
        <v>4</v>
      </c>
      <c r="H5178">
        <v>1667.37</v>
      </c>
      <c r="I5178">
        <v>190.09</v>
      </c>
      <c r="J5178" t="s">
        <v>16</v>
      </c>
      <c r="K5178" t="s">
        <v>23</v>
      </c>
      <c r="L5178">
        <f t="shared" si="240"/>
        <v>2022</v>
      </c>
      <c r="M5178" t="str">
        <f t="shared" si="241"/>
        <v>Mar</v>
      </c>
      <c r="N5178" s="2">
        <f t="shared" si="242"/>
        <v>0.11400588951462484</v>
      </c>
    </row>
    <row r="5179" spans="1:14" x14ac:dyDescent="0.45">
      <c r="A5179" t="s">
        <v>9179</v>
      </c>
      <c r="B5179" s="1">
        <v>44796</v>
      </c>
      <c r="C5179" t="s">
        <v>9180</v>
      </c>
      <c r="D5179" t="s">
        <v>26</v>
      </c>
      <c r="E5179" t="s">
        <v>20</v>
      </c>
      <c r="F5179" t="s">
        <v>43</v>
      </c>
      <c r="G5179">
        <v>2</v>
      </c>
      <c r="H5179">
        <v>20697.54</v>
      </c>
      <c r="I5179">
        <v>3842.19</v>
      </c>
      <c r="J5179" t="s">
        <v>16</v>
      </c>
      <c r="K5179" t="s">
        <v>33</v>
      </c>
      <c r="L5179">
        <f t="shared" si="240"/>
        <v>2022</v>
      </c>
      <c r="M5179" t="str">
        <f t="shared" si="241"/>
        <v>Aug</v>
      </c>
      <c r="N5179" s="2">
        <f t="shared" si="242"/>
        <v>0.18563510446168965</v>
      </c>
    </row>
    <row r="5180" spans="1:14" x14ac:dyDescent="0.45">
      <c r="A5180" t="s">
        <v>9181</v>
      </c>
      <c r="B5180" s="1">
        <v>45479</v>
      </c>
      <c r="C5180" t="s">
        <v>9182</v>
      </c>
      <c r="D5180" t="s">
        <v>13</v>
      </c>
      <c r="E5180" t="s">
        <v>14</v>
      </c>
      <c r="F5180" t="s">
        <v>15</v>
      </c>
      <c r="G5180">
        <v>1</v>
      </c>
      <c r="H5180">
        <v>45139.43</v>
      </c>
      <c r="I5180">
        <v>5316.2</v>
      </c>
      <c r="J5180" t="s">
        <v>22</v>
      </c>
      <c r="K5180" t="s">
        <v>33</v>
      </c>
      <c r="L5180">
        <f t="shared" si="240"/>
        <v>2024</v>
      </c>
      <c r="M5180" t="str">
        <f t="shared" si="241"/>
        <v>Jul</v>
      </c>
      <c r="N5180" s="2">
        <f t="shared" si="242"/>
        <v>0.11777286509820793</v>
      </c>
    </row>
    <row r="5181" spans="1:14" x14ac:dyDescent="0.45">
      <c r="A5181" t="s">
        <v>9183</v>
      </c>
      <c r="B5181" s="1">
        <v>45547</v>
      </c>
      <c r="C5181" t="s">
        <v>9184</v>
      </c>
      <c r="D5181" t="s">
        <v>13</v>
      </c>
      <c r="E5181" t="s">
        <v>14</v>
      </c>
      <c r="F5181" t="s">
        <v>32</v>
      </c>
      <c r="G5181">
        <v>4</v>
      </c>
      <c r="H5181">
        <v>40338.800000000003</v>
      </c>
      <c r="I5181">
        <v>6374.14</v>
      </c>
      <c r="J5181" t="s">
        <v>47</v>
      </c>
      <c r="K5181" t="s">
        <v>29</v>
      </c>
      <c r="L5181">
        <f t="shared" si="240"/>
        <v>2024</v>
      </c>
      <c r="M5181" t="str">
        <f t="shared" si="241"/>
        <v>Sep</v>
      </c>
      <c r="N5181" s="2">
        <f t="shared" si="242"/>
        <v>0.15801511200134857</v>
      </c>
    </row>
    <row r="5182" spans="1:14" x14ac:dyDescent="0.45">
      <c r="A5182" t="s">
        <v>9185</v>
      </c>
      <c r="B5182" s="1">
        <v>45189</v>
      </c>
      <c r="C5182" t="s">
        <v>3627</v>
      </c>
      <c r="D5182" t="s">
        <v>13</v>
      </c>
      <c r="E5182" t="s">
        <v>14</v>
      </c>
      <c r="F5182" t="s">
        <v>57</v>
      </c>
      <c r="G5182">
        <v>4</v>
      </c>
      <c r="H5182">
        <v>2333.65</v>
      </c>
      <c r="I5182">
        <v>271.77999999999997</v>
      </c>
      <c r="J5182" t="s">
        <v>16</v>
      </c>
      <c r="K5182" t="s">
        <v>23</v>
      </c>
      <c r="L5182">
        <f t="shared" si="240"/>
        <v>2023</v>
      </c>
      <c r="M5182" t="str">
        <f t="shared" si="241"/>
        <v>Sep</v>
      </c>
      <c r="N5182" s="2">
        <f t="shared" si="242"/>
        <v>0.11646133738992563</v>
      </c>
    </row>
    <row r="5183" spans="1:14" x14ac:dyDescent="0.45">
      <c r="A5183" t="s">
        <v>9186</v>
      </c>
      <c r="B5183" s="1">
        <v>44918</v>
      </c>
      <c r="C5183" t="s">
        <v>9187</v>
      </c>
      <c r="D5183" t="s">
        <v>56</v>
      </c>
      <c r="E5183" t="s">
        <v>14</v>
      </c>
      <c r="F5183" t="s">
        <v>40</v>
      </c>
      <c r="G5183">
        <v>4</v>
      </c>
      <c r="H5183">
        <v>24193.73</v>
      </c>
      <c r="I5183">
        <v>3735.15</v>
      </c>
      <c r="J5183" t="s">
        <v>47</v>
      </c>
      <c r="K5183" t="s">
        <v>23</v>
      </c>
      <c r="L5183">
        <f t="shared" si="240"/>
        <v>2022</v>
      </c>
      <c r="M5183" t="str">
        <f t="shared" si="241"/>
        <v>Dec</v>
      </c>
      <c r="N5183" s="2">
        <f t="shared" si="242"/>
        <v>0.15438504108295828</v>
      </c>
    </row>
    <row r="5184" spans="1:14" x14ac:dyDescent="0.45">
      <c r="A5184" t="s">
        <v>9188</v>
      </c>
      <c r="B5184" s="1">
        <v>44782</v>
      </c>
      <c r="C5184" t="s">
        <v>8450</v>
      </c>
      <c r="D5184" t="s">
        <v>13</v>
      </c>
      <c r="E5184" t="s">
        <v>20</v>
      </c>
      <c r="F5184" t="s">
        <v>21</v>
      </c>
      <c r="G5184">
        <v>5</v>
      </c>
      <c r="H5184">
        <v>8048.55</v>
      </c>
      <c r="I5184">
        <v>1053.29</v>
      </c>
      <c r="J5184" t="s">
        <v>22</v>
      </c>
      <c r="K5184" t="s">
        <v>33</v>
      </c>
      <c r="L5184">
        <f t="shared" si="240"/>
        <v>2022</v>
      </c>
      <c r="M5184" t="str">
        <f t="shared" si="241"/>
        <v>Aug</v>
      </c>
      <c r="N5184" s="2">
        <f t="shared" si="242"/>
        <v>0.13086705058675163</v>
      </c>
    </row>
    <row r="5185" spans="1:14" x14ac:dyDescent="0.45">
      <c r="A5185" t="s">
        <v>9189</v>
      </c>
      <c r="B5185" s="1">
        <v>44745</v>
      </c>
      <c r="C5185" t="s">
        <v>9190</v>
      </c>
      <c r="D5185" t="s">
        <v>13</v>
      </c>
      <c r="E5185" t="s">
        <v>14</v>
      </c>
      <c r="F5185" t="s">
        <v>32</v>
      </c>
      <c r="G5185">
        <v>5</v>
      </c>
      <c r="H5185">
        <v>44264.75</v>
      </c>
      <c r="I5185">
        <v>9373.5499999999993</v>
      </c>
      <c r="J5185" t="s">
        <v>71</v>
      </c>
      <c r="K5185" t="s">
        <v>29</v>
      </c>
      <c r="L5185">
        <f t="shared" si="240"/>
        <v>2022</v>
      </c>
      <c r="M5185" t="str">
        <f t="shared" si="241"/>
        <v>Jul</v>
      </c>
      <c r="N5185" s="2">
        <f t="shared" si="242"/>
        <v>0.21176105140094542</v>
      </c>
    </row>
    <row r="5186" spans="1:14" x14ac:dyDescent="0.45">
      <c r="A5186" t="s">
        <v>9191</v>
      </c>
      <c r="B5186" s="1">
        <v>45541</v>
      </c>
      <c r="C5186" t="s">
        <v>9192</v>
      </c>
      <c r="D5186" t="s">
        <v>26</v>
      </c>
      <c r="E5186" t="s">
        <v>14</v>
      </c>
      <c r="F5186" t="s">
        <v>57</v>
      </c>
      <c r="G5186">
        <v>4</v>
      </c>
      <c r="H5186">
        <v>29311.52</v>
      </c>
      <c r="I5186">
        <v>2338.41</v>
      </c>
      <c r="J5186" t="s">
        <v>28</v>
      </c>
      <c r="K5186" t="s">
        <v>17</v>
      </c>
      <c r="L5186">
        <f t="shared" si="240"/>
        <v>2024</v>
      </c>
      <c r="M5186" t="str">
        <f t="shared" si="241"/>
        <v>Sep</v>
      </c>
      <c r="N5186" s="2">
        <f t="shared" si="242"/>
        <v>7.9777848436382692E-2</v>
      </c>
    </row>
    <row r="5187" spans="1:14" x14ac:dyDescent="0.45">
      <c r="A5187" t="s">
        <v>9193</v>
      </c>
      <c r="B5187" s="1">
        <v>44949</v>
      </c>
      <c r="C5187" t="s">
        <v>1846</v>
      </c>
      <c r="D5187" t="s">
        <v>26</v>
      </c>
      <c r="E5187" t="s">
        <v>14</v>
      </c>
      <c r="F5187" t="s">
        <v>15</v>
      </c>
      <c r="G5187">
        <v>4</v>
      </c>
      <c r="H5187">
        <v>29095.81</v>
      </c>
      <c r="I5187">
        <v>5192.17</v>
      </c>
      <c r="J5187" t="s">
        <v>22</v>
      </c>
      <c r="K5187" t="s">
        <v>29</v>
      </c>
      <c r="L5187">
        <f t="shared" ref="L5187:L5250" si="243">YEAR(B5187 )</f>
        <v>2023</v>
      </c>
      <c r="M5187" t="str">
        <f t="shared" ref="M5187:M5250" si="244">TEXT(B5187,"MMM")</f>
        <v>Jan</v>
      </c>
      <c r="N5187" s="2">
        <f t="shared" ref="N5187:N5250" si="245">I5187 / H5187</f>
        <v>0.17845078037009451</v>
      </c>
    </row>
    <row r="5188" spans="1:14" x14ac:dyDescent="0.45">
      <c r="A5188" t="s">
        <v>9194</v>
      </c>
      <c r="B5188" s="1">
        <v>44998</v>
      </c>
      <c r="C5188" t="s">
        <v>7242</v>
      </c>
      <c r="D5188" t="s">
        <v>56</v>
      </c>
      <c r="E5188" t="s">
        <v>36</v>
      </c>
      <c r="F5188" t="s">
        <v>53</v>
      </c>
      <c r="G5188">
        <v>2</v>
      </c>
      <c r="H5188">
        <v>39462.47</v>
      </c>
      <c r="I5188">
        <v>2055.59</v>
      </c>
      <c r="J5188" t="s">
        <v>22</v>
      </c>
      <c r="K5188" t="s">
        <v>33</v>
      </c>
      <c r="L5188">
        <f t="shared" si="243"/>
        <v>2023</v>
      </c>
      <c r="M5188" t="str">
        <f t="shared" si="244"/>
        <v>Mar</v>
      </c>
      <c r="N5188" s="2">
        <f t="shared" si="245"/>
        <v>5.2089745015960739E-2</v>
      </c>
    </row>
    <row r="5189" spans="1:14" x14ac:dyDescent="0.45">
      <c r="A5189" t="s">
        <v>9195</v>
      </c>
      <c r="B5189" s="1">
        <v>45489</v>
      </c>
      <c r="C5189" t="s">
        <v>9196</v>
      </c>
      <c r="D5189" t="s">
        <v>13</v>
      </c>
      <c r="E5189" t="s">
        <v>36</v>
      </c>
      <c r="F5189" t="s">
        <v>37</v>
      </c>
      <c r="G5189">
        <v>3</v>
      </c>
      <c r="H5189">
        <v>30977.7</v>
      </c>
      <c r="I5189">
        <v>7353.34</v>
      </c>
      <c r="J5189" t="s">
        <v>28</v>
      </c>
      <c r="K5189" t="s">
        <v>17</v>
      </c>
      <c r="L5189">
        <f t="shared" si="243"/>
        <v>2024</v>
      </c>
      <c r="M5189" t="str">
        <f t="shared" si="244"/>
        <v>Jul</v>
      </c>
      <c r="N5189" s="2">
        <f t="shared" si="245"/>
        <v>0.23737527318038459</v>
      </c>
    </row>
    <row r="5190" spans="1:14" x14ac:dyDescent="0.45">
      <c r="A5190" t="s">
        <v>9197</v>
      </c>
      <c r="B5190" s="1">
        <v>45324</v>
      </c>
      <c r="C5190" t="s">
        <v>4875</v>
      </c>
      <c r="D5190" t="s">
        <v>13</v>
      </c>
      <c r="E5190" t="s">
        <v>20</v>
      </c>
      <c r="F5190" t="s">
        <v>21</v>
      </c>
      <c r="G5190">
        <v>4</v>
      </c>
      <c r="H5190">
        <v>21611.64</v>
      </c>
      <c r="I5190">
        <v>3446.3</v>
      </c>
      <c r="J5190" t="s">
        <v>28</v>
      </c>
      <c r="K5190" t="s">
        <v>23</v>
      </c>
      <c r="L5190">
        <f t="shared" si="243"/>
        <v>2024</v>
      </c>
      <c r="M5190" t="str">
        <f t="shared" si="244"/>
        <v>Feb</v>
      </c>
      <c r="N5190" s="2">
        <f t="shared" si="245"/>
        <v>0.15946499201356307</v>
      </c>
    </row>
    <row r="5191" spans="1:14" x14ac:dyDescent="0.45">
      <c r="A5191" t="s">
        <v>9198</v>
      </c>
      <c r="B5191" s="1">
        <v>44790</v>
      </c>
      <c r="C5191" t="s">
        <v>9199</v>
      </c>
      <c r="D5191" t="s">
        <v>56</v>
      </c>
      <c r="E5191" t="s">
        <v>36</v>
      </c>
      <c r="F5191" t="s">
        <v>64</v>
      </c>
      <c r="G5191">
        <v>5</v>
      </c>
      <c r="H5191">
        <v>22642.2</v>
      </c>
      <c r="I5191">
        <v>5192.5</v>
      </c>
      <c r="J5191" t="s">
        <v>71</v>
      </c>
      <c r="K5191" t="s">
        <v>33</v>
      </c>
      <c r="L5191">
        <f t="shared" si="243"/>
        <v>2022</v>
      </c>
      <c r="M5191" t="str">
        <f t="shared" si="244"/>
        <v>Aug</v>
      </c>
      <c r="N5191" s="2">
        <f t="shared" si="245"/>
        <v>0.2293284221497911</v>
      </c>
    </row>
    <row r="5192" spans="1:14" x14ac:dyDescent="0.45">
      <c r="A5192" t="s">
        <v>9200</v>
      </c>
      <c r="B5192" s="1">
        <v>45455</v>
      </c>
      <c r="C5192" t="s">
        <v>9201</v>
      </c>
      <c r="D5192" t="s">
        <v>26</v>
      </c>
      <c r="E5192" t="s">
        <v>36</v>
      </c>
      <c r="F5192" t="s">
        <v>53</v>
      </c>
      <c r="G5192">
        <v>5</v>
      </c>
      <c r="H5192">
        <v>13613.31</v>
      </c>
      <c r="I5192">
        <v>1073.0999999999999</v>
      </c>
      <c r="J5192" t="s">
        <v>22</v>
      </c>
      <c r="K5192" t="s">
        <v>33</v>
      </c>
      <c r="L5192">
        <f t="shared" si="243"/>
        <v>2024</v>
      </c>
      <c r="M5192" t="str">
        <f t="shared" si="244"/>
        <v>Jun</v>
      </c>
      <c r="N5192" s="2">
        <f t="shared" si="245"/>
        <v>7.8827265374842706E-2</v>
      </c>
    </row>
    <row r="5193" spans="1:14" x14ac:dyDescent="0.45">
      <c r="A5193" t="s">
        <v>9202</v>
      </c>
      <c r="B5193" s="1">
        <v>44622</v>
      </c>
      <c r="C5193" t="s">
        <v>9203</v>
      </c>
      <c r="D5193" t="s">
        <v>13</v>
      </c>
      <c r="E5193" t="s">
        <v>20</v>
      </c>
      <c r="F5193" t="s">
        <v>27</v>
      </c>
      <c r="G5193">
        <v>3</v>
      </c>
      <c r="H5193">
        <v>34338.25</v>
      </c>
      <c r="I5193">
        <v>3821.57</v>
      </c>
      <c r="J5193" t="s">
        <v>71</v>
      </c>
      <c r="K5193" t="s">
        <v>33</v>
      </c>
      <c r="L5193">
        <f t="shared" si="243"/>
        <v>2022</v>
      </c>
      <c r="M5193" t="str">
        <f t="shared" si="244"/>
        <v>Mar</v>
      </c>
      <c r="N5193" s="2">
        <f t="shared" si="245"/>
        <v>0.11129192664157318</v>
      </c>
    </row>
    <row r="5194" spans="1:14" x14ac:dyDescent="0.45">
      <c r="A5194" t="s">
        <v>9204</v>
      </c>
      <c r="B5194" s="1">
        <v>44987</v>
      </c>
      <c r="C5194" t="s">
        <v>9205</v>
      </c>
      <c r="D5194" t="s">
        <v>26</v>
      </c>
      <c r="E5194" t="s">
        <v>14</v>
      </c>
      <c r="F5194" t="s">
        <v>40</v>
      </c>
      <c r="G5194">
        <v>3</v>
      </c>
      <c r="H5194">
        <v>16084.57</v>
      </c>
      <c r="I5194">
        <v>2035.25</v>
      </c>
      <c r="J5194" t="s">
        <v>71</v>
      </c>
      <c r="K5194" t="s">
        <v>17</v>
      </c>
      <c r="L5194">
        <f t="shared" si="243"/>
        <v>2023</v>
      </c>
      <c r="M5194" t="str">
        <f t="shared" si="244"/>
        <v>Mar</v>
      </c>
      <c r="N5194" s="2">
        <f t="shared" si="245"/>
        <v>0.12653431207672944</v>
      </c>
    </row>
    <row r="5195" spans="1:14" x14ac:dyDescent="0.45">
      <c r="A5195" t="s">
        <v>9206</v>
      </c>
      <c r="B5195" s="1">
        <v>44672</v>
      </c>
      <c r="C5195" t="s">
        <v>9207</v>
      </c>
      <c r="D5195" t="s">
        <v>26</v>
      </c>
      <c r="E5195" t="s">
        <v>36</v>
      </c>
      <c r="F5195" t="s">
        <v>64</v>
      </c>
      <c r="G5195">
        <v>3</v>
      </c>
      <c r="H5195">
        <v>25783.99</v>
      </c>
      <c r="I5195">
        <v>2625.98</v>
      </c>
      <c r="J5195" t="s">
        <v>47</v>
      </c>
      <c r="K5195" t="s">
        <v>23</v>
      </c>
      <c r="L5195">
        <f t="shared" si="243"/>
        <v>2022</v>
      </c>
      <c r="M5195" t="str">
        <f t="shared" si="244"/>
        <v>Apr</v>
      </c>
      <c r="N5195" s="2">
        <f t="shared" si="245"/>
        <v>0.10184536993692597</v>
      </c>
    </row>
    <row r="5196" spans="1:14" x14ac:dyDescent="0.45">
      <c r="A5196" t="s">
        <v>9208</v>
      </c>
      <c r="B5196" s="1">
        <v>44893</v>
      </c>
      <c r="C5196" t="s">
        <v>7421</v>
      </c>
      <c r="D5196" t="s">
        <v>26</v>
      </c>
      <c r="E5196" t="s">
        <v>14</v>
      </c>
      <c r="F5196" t="s">
        <v>15</v>
      </c>
      <c r="G5196">
        <v>5</v>
      </c>
      <c r="H5196">
        <v>17220.46</v>
      </c>
      <c r="I5196">
        <v>1985.09</v>
      </c>
      <c r="J5196" t="s">
        <v>71</v>
      </c>
      <c r="K5196" t="s">
        <v>29</v>
      </c>
      <c r="L5196">
        <f t="shared" si="243"/>
        <v>2022</v>
      </c>
      <c r="M5196" t="str">
        <f t="shared" si="244"/>
        <v>Nov</v>
      </c>
      <c r="N5196" s="2">
        <f t="shared" si="245"/>
        <v>0.11527508556681994</v>
      </c>
    </row>
    <row r="5197" spans="1:14" x14ac:dyDescent="0.45">
      <c r="A5197" t="s">
        <v>9209</v>
      </c>
      <c r="B5197" s="1">
        <v>44773</v>
      </c>
      <c r="C5197" t="s">
        <v>9210</v>
      </c>
      <c r="D5197" t="s">
        <v>56</v>
      </c>
      <c r="E5197" t="s">
        <v>36</v>
      </c>
      <c r="F5197" t="s">
        <v>53</v>
      </c>
      <c r="G5197">
        <v>3</v>
      </c>
      <c r="H5197">
        <v>25524.49</v>
      </c>
      <c r="I5197">
        <v>4424.78</v>
      </c>
      <c r="J5197" t="s">
        <v>16</v>
      </c>
      <c r="K5197" t="s">
        <v>17</v>
      </c>
      <c r="L5197">
        <f t="shared" si="243"/>
        <v>2022</v>
      </c>
      <c r="M5197" t="str">
        <f t="shared" si="244"/>
        <v>Jul</v>
      </c>
      <c r="N5197" s="2">
        <f t="shared" si="245"/>
        <v>0.17335429620728954</v>
      </c>
    </row>
    <row r="5198" spans="1:14" x14ac:dyDescent="0.45">
      <c r="A5198" t="s">
        <v>9211</v>
      </c>
      <c r="B5198" s="1">
        <v>44591</v>
      </c>
      <c r="C5198" t="s">
        <v>9212</v>
      </c>
      <c r="D5198" t="s">
        <v>26</v>
      </c>
      <c r="E5198" t="s">
        <v>20</v>
      </c>
      <c r="F5198" t="s">
        <v>21</v>
      </c>
      <c r="G5198">
        <v>4</v>
      </c>
      <c r="H5198">
        <v>43364.41</v>
      </c>
      <c r="I5198">
        <v>9390.0400000000009</v>
      </c>
      <c r="J5198" t="s">
        <v>22</v>
      </c>
      <c r="K5198" t="s">
        <v>33</v>
      </c>
      <c r="L5198">
        <f t="shared" si="243"/>
        <v>2022</v>
      </c>
      <c r="M5198" t="str">
        <f t="shared" si="244"/>
        <v>Jan</v>
      </c>
      <c r="N5198" s="2">
        <f t="shared" si="245"/>
        <v>0.21653793975289876</v>
      </c>
    </row>
    <row r="5199" spans="1:14" x14ac:dyDescent="0.45">
      <c r="A5199" t="s">
        <v>9213</v>
      </c>
      <c r="B5199" s="1">
        <v>45392</v>
      </c>
      <c r="C5199" t="s">
        <v>9214</v>
      </c>
      <c r="D5199" t="s">
        <v>13</v>
      </c>
      <c r="E5199" t="s">
        <v>36</v>
      </c>
      <c r="F5199" t="s">
        <v>53</v>
      </c>
      <c r="G5199">
        <v>3</v>
      </c>
      <c r="H5199">
        <v>7007.18</v>
      </c>
      <c r="I5199">
        <v>721.78</v>
      </c>
      <c r="J5199" t="s">
        <v>16</v>
      </c>
      <c r="K5199" t="s">
        <v>29</v>
      </c>
      <c r="L5199">
        <f t="shared" si="243"/>
        <v>2024</v>
      </c>
      <c r="M5199" t="str">
        <f t="shared" si="244"/>
        <v>Apr</v>
      </c>
      <c r="N5199" s="2">
        <f t="shared" si="245"/>
        <v>0.10300577407744627</v>
      </c>
    </row>
    <row r="5200" spans="1:14" x14ac:dyDescent="0.45">
      <c r="A5200" t="s">
        <v>9215</v>
      </c>
      <c r="B5200" s="1">
        <v>44577</v>
      </c>
      <c r="C5200" t="s">
        <v>5400</v>
      </c>
      <c r="D5200" t="s">
        <v>13</v>
      </c>
      <c r="E5200" t="s">
        <v>20</v>
      </c>
      <c r="F5200" t="s">
        <v>50</v>
      </c>
      <c r="G5200">
        <v>4</v>
      </c>
      <c r="H5200">
        <v>44603.8</v>
      </c>
      <c r="I5200">
        <v>8504.43</v>
      </c>
      <c r="J5200" t="s">
        <v>16</v>
      </c>
      <c r="K5200" t="s">
        <v>23</v>
      </c>
      <c r="L5200">
        <f t="shared" si="243"/>
        <v>2022</v>
      </c>
      <c r="M5200" t="str">
        <f t="shared" si="244"/>
        <v>Jan</v>
      </c>
      <c r="N5200" s="2">
        <f t="shared" si="245"/>
        <v>0.19066604190674336</v>
      </c>
    </row>
    <row r="5201" spans="1:14" x14ac:dyDescent="0.45">
      <c r="A5201" t="s">
        <v>9216</v>
      </c>
      <c r="B5201" s="1">
        <v>44981</v>
      </c>
      <c r="C5201" t="s">
        <v>5844</v>
      </c>
      <c r="D5201" t="s">
        <v>13</v>
      </c>
      <c r="E5201" t="s">
        <v>36</v>
      </c>
      <c r="F5201" t="s">
        <v>53</v>
      </c>
      <c r="G5201">
        <v>4</v>
      </c>
      <c r="H5201">
        <v>2058.96</v>
      </c>
      <c r="I5201">
        <v>413.05</v>
      </c>
      <c r="J5201" t="s">
        <v>16</v>
      </c>
      <c r="K5201" t="s">
        <v>23</v>
      </c>
      <c r="L5201">
        <f t="shared" si="243"/>
        <v>2023</v>
      </c>
      <c r="M5201" t="str">
        <f t="shared" si="244"/>
        <v>Feb</v>
      </c>
      <c r="N5201" s="2">
        <f t="shared" si="245"/>
        <v>0.20061098807164782</v>
      </c>
    </row>
    <row r="5202" spans="1:14" x14ac:dyDescent="0.45">
      <c r="A5202" t="s">
        <v>9217</v>
      </c>
      <c r="B5202" s="1">
        <v>45176</v>
      </c>
      <c r="C5202" t="s">
        <v>9218</v>
      </c>
      <c r="D5202" t="s">
        <v>56</v>
      </c>
      <c r="E5202" t="s">
        <v>36</v>
      </c>
      <c r="F5202" t="s">
        <v>64</v>
      </c>
      <c r="G5202">
        <v>4</v>
      </c>
      <c r="H5202">
        <v>6718.16</v>
      </c>
      <c r="I5202">
        <v>1563.6</v>
      </c>
      <c r="J5202" t="s">
        <v>71</v>
      </c>
      <c r="K5202" t="s">
        <v>23</v>
      </c>
      <c r="L5202">
        <f t="shared" si="243"/>
        <v>2023</v>
      </c>
      <c r="M5202" t="str">
        <f t="shared" si="244"/>
        <v>Sep</v>
      </c>
      <c r="N5202" s="2">
        <f t="shared" si="245"/>
        <v>0.23274229848649033</v>
      </c>
    </row>
    <row r="5203" spans="1:14" x14ac:dyDescent="0.45">
      <c r="A5203" t="s">
        <v>9219</v>
      </c>
      <c r="B5203" s="1">
        <v>45494</v>
      </c>
      <c r="C5203" t="s">
        <v>9220</v>
      </c>
      <c r="D5203" t="s">
        <v>56</v>
      </c>
      <c r="E5203" t="s">
        <v>14</v>
      </c>
      <c r="F5203" t="s">
        <v>32</v>
      </c>
      <c r="G5203">
        <v>3</v>
      </c>
      <c r="H5203">
        <v>20395.22</v>
      </c>
      <c r="I5203">
        <v>1075.82</v>
      </c>
      <c r="J5203" t="s">
        <v>16</v>
      </c>
      <c r="K5203" t="s">
        <v>23</v>
      </c>
      <c r="L5203">
        <f t="shared" si="243"/>
        <v>2024</v>
      </c>
      <c r="M5203" t="str">
        <f t="shared" si="244"/>
        <v>Jul</v>
      </c>
      <c r="N5203" s="2">
        <f t="shared" si="245"/>
        <v>5.2748634238806928E-2</v>
      </c>
    </row>
    <row r="5204" spans="1:14" x14ac:dyDescent="0.45">
      <c r="A5204" t="s">
        <v>9221</v>
      </c>
      <c r="B5204" s="1">
        <v>45588</v>
      </c>
      <c r="C5204" t="s">
        <v>7376</v>
      </c>
      <c r="D5204" t="s">
        <v>13</v>
      </c>
      <c r="E5204" t="s">
        <v>20</v>
      </c>
      <c r="F5204" t="s">
        <v>50</v>
      </c>
      <c r="G5204">
        <v>4</v>
      </c>
      <c r="H5204">
        <v>6773.26</v>
      </c>
      <c r="I5204">
        <v>714.01</v>
      </c>
      <c r="J5204" t="s">
        <v>71</v>
      </c>
      <c r="K5204" t="s">
        <v>33</v>
      </c>
      <c r="L5204">
        <f t="shared" si="243"/>
        <v>2024</v>
      </c>
      <c r="M5204" t="str">
        <f t="shared" si="244"/>
        <v>Oct</v>
      </c>
      <c r="N5204" s="2">
        <f t="shared" si="245"/>
        <v>0.10541600351972315</v>
      </c>
    </row>
    <row r="5205" spans="1:14" x14ac:dyDescent="0.45">
      <c r="A5205" t="s">
        <v>9222</v>
      </c>
      <c r="B5205" s="1">
        <v>45105</v>
      </c>
      <c r="C5205" t="s">
        <v>464</v>
      </c>
      <c r="D5205" t="s">
        <v>13</v>
      </c>
      <c r="E5205" t="s">
        <v>36</v>
      </c>
      <c r="F5205" t="s">
        <v>53</v>
      </c>
      <c r="G5205">
        <v>1</v>
      </c>
      <c r="H5205">
        <v>46130.49</v>
      </c>
      <c r="I5205">
        <v>5949.5</v>
      </c>
      <c r="J5205" t="s">
        <v>47</v>
      </c>
      <c r="K5205" t="s">
        <v>29</v>
      </c>
      <c r="L5205">
        <f t="shared" si="243"/>
        <v>2023</v>
      </c>
      <c r="M5205" t="str">
        <f t="shared" si="244"/>
        <v>Jun</v>
      </c>
      <c r="N5205" s="2">
        <f t="shared" si="245"/>
        <v>0.12897109915806226</v>
      </c>
    </row>
    <row r="5206" spans="1:14" x14ac:dyDescent="0.45">
      <c r="A5206" t="s">
        <v>9223</v>
      </c>
      <c r="B5206" s="1">
        <v>44823</v>
      </c>
      <c r="C5206" t="s">
        <v>1368</v>
      </c>
      <c r="D5206" t="s">
        <v>26</v>
      </c>
      <c r="E5206" t="s">
        <v>20</v>
      </c>
      <c r="F5206" t="s">
        <v>21</v>
      </c>
      <c r="G5206">
        <v>4</v>
      </c>
      <c r="H5206">
        <v>24309.43</v>
      </c>
      <c r="I5206">
        <v>2697.14</v>
      </c>
      <c r="J5206" t="s">
        <v>22</v>
      </c>
      <c r="K5206" t="s">
        <v>23</v>
      </c>
      <c r="L5206">
        <f t="shared" si="243"/>
        <v>2022</v>
      </c>
      <c r="M5206" t="str">
        <f t="shared" si="244"/>
        <v>Sep</v>
      </c>
      <c r="N5206" s="2">
        <f t="shared" si="245"/>
        <v>0.11095035959296454</v>
      </c>
    </row>
    <row r="5207" spans="1:14" x14ac:dyDescent="0.45">
      <c r="A5207" t="s">
        <v>9224</v>
      </c>
      <c r="B5207" s="1">
        <v>45546</v>
      </c>
      <c r="C5207" t="s">
        <v>3572</v>
      </c>
      <c r="D5207" t="s">
        <v>56</v>
      </c>
      <c r="E5207" t="s">
        <v>36</v>
      </c>
      <c r="F5207" t="s">
        <v>53</v>
      </c>
      <c r="G5207">
        <v>4</v>
      </c>
      <c r="H5207">
        <v>20588.95</v>
      </c>
      <c r="I5207">
        <v>3429.2</v>
      </c>
      <c r="J5207" t="s">
        <v>71</v>
      </c>
      <c r="K5207" t="s">
        <v>17</v>
      </c>
      <c r="L5207">
        <f t="shared" si="243"/>
        <v>2024</v>
      </c>
      <c r="M5207" t="str">
        <f t="shared" si="244"/>
        <v>Sep</v>
      </c>
      <c r="N5207" s="2">
        <f t="shared" si="245"/>
        <v>0.16655536100675361</v>
      </c>
    </row>
    <row r="5208" spans="1:14" x14ac:dyDescent="0.45">
      <c r="A5208" t="s">
        <v>9225</v>
      </c>
      <c r="B5208" s="1">
        <v>44898</v>
      </c>
      <c r="C5208" t="s">
        <v>9226</v>
      </c>
      <c r="D5208" t="s">
        <v>13</v>
      </c>
      <c r="E5208" t="s">
        <v>14</v>
      </c>
      <c r="F5208" t="s">
        <v>32</v>
      </c>
      <c r="G5208">
        <v>3</v>
      </c>
      <c r="H5208">
        <v>39449.980000000003</v>
      </c>
      <c r="I5208">
        <v>6384.63</v>
      </c>
      <c r="J5208" t="s">
        <v>16</v>
      </c>
      <c r="K5208" t="s">
        <v>23</v>
      </c>
      <c r="L5208">
        <f t="shared" si="243"/>
        <v>2022</v>
      </c>
      <c r="M5208" t="str">
        <f t="shared" si="244"/>
        <v>Dec</v>
      </c>
      <c r="N5208" s="2">
        <f t="shared" si="245"/>
        <v>0.16184114668752683</v>
      </c>
    </row>
    <row r="5209" spans="1:14" x14ac:dyDescent="0.45">
      <c r="A5209" t="s">
        <v>9227</v>
      </c>
      <c r="B5209" s="1">
        <v>44953</v>
      </c>
      <c r="C5209" t="s">
        <v>9228</v>
      </c>
      <c r="D5209" t="s">
        <v>26</v>
      </c>
      <c r="E5209" t="s">
        <v>36</v>
      </c>
      <c r="F5209" t="s">
        <v>64</v>
      </c>
      <c r="G5209">
        <v>1</v>
      </c>
      <c r="H5209">
        <v>13254.93</v>
      </c>
      <c r="I5209">
        <v>923.22</v>
      </c>
      <c r="J5209" t="s">
        <v>16</v>
      </c>
      <c r="K5209" t="s">
        <v>33</v>
      </c>
      <c r="L5209">
        <f t="shared" si="243"/>
        <v>2023</v>
      </c>
      <c r="M5209" t="str">
        <f t="shared" si="244"/>
        <v>Jan</v>
      </c>
      <c r="N5209" s="2">
        <f t="shared" si="245"/>
        <v>6.9651065678958693E-2</v>
      </c>
    </row>
    <row r="5210" spans="1:14" x14ac:dyDescent="0.45">
      <c r="A5210" t="s">
        <v>9229</v>
      </c>
      <c r="B5210" s="1">
        <v>44865</v>
      </c>
      <c r="C5210" t="s">
        <v>9230</v>
      </c>
      <c r="D5210" t="s">
        <v>26</v>
      </c>
      <c r="E5210" t="s">
        <v>20</v>
      </c>
      <c r="F5210" t="s">
        <v>50</v>
      </c>
      <c r="G5210">
        <v>4</v>
      </c>
      <c r="H5210">
        <v>41523.67</v>
      </c>
      <c r="I5210">
        <v>3673.72</v>
      </c>
      <c r="J5210" t="s">
        <v>28</v>
      </c>
      <c r="K5210" t="s">
        <v>17</v>
      </c>
      <c r="L5210">
        <f t="shared" si="243"/>
        <v>2022</v>
      </c>
      <c r="M5210" t="str">
        <f t="shared" si="244"/>
        <v>Oct</v>
      </c>
      <c r="N5210" s="2">
        <f t="shared" si="245"/>
        <v>8.847291195600003E-2</v>
      </c>
    </row>
    <row r="5211" spans="1:14" x14ac:dyDescent="0.45">
      <c r="A5211" t="s">
        <v>9231</v>
      </c>
      <c r="B5211" s="1">
        <v>45292</v>
      </c>
      <c r="C5211" t="s">
        <v>9232</v>
      </c>
      <c r="D5211" t="s">
        <v>26</v>
      </c>
      <c r="E5211" t="s">
        <v>20</v>
      </c>
      <c r="F5211" t="s">
        <v>21</v>
      </c>
      <c r="G5211">
        <v>3</v>
      </c>
      <c r="H5211">
        <v>28846.11</v>
      </c>
      <c r="I5211">
        <v>5142.6499999999996</v>
      </c>
      <c r="J5211" t="s">
        <v>28</v>
      </c>
      <c r="K5211" t="s">
        <v>33</v>
      </c>
      <c r="L5211">
        <f t="shared" si="243"/>
        <v>2024</v>
      </c>
      <c r="M5211" t="str">
        <f t="shared" si="244"/>
        <v>Jan</v>
      </c>
      <c r="N5211" s="2">
        <f t="shared" si="245"/>
        <v>0.17827880431711587</v>
      </c>
    </row>
    <row r="5212" spans="1:14" x14ac:dyDescent="0.45">
      <c r="A5212" t="s">
        <v>9233</v>
      </c>
      <c r="B5212" s="1">
        <v>44919</v>
      </c>
      <c r="C5212" t="s">
        <v>7065</v>
      </c>
      <c r="D5212" t="s">
        <v>26</v>
      </c>
      <c r="E5212" t="s">
        <v>14</v>
      </c>
      <c r="F5212" t="s">
        <v>15</v>
      </c>
      <c r="G5212">
        <v>5</v>
      </c>
      <c r="H5212">
        <v>16483.740000000002</v>
      </c>
      <c r="I5212">
        <v>2520.25</v>
      </c>
      <c r="J5212" t="s">
        <v>16</v>
      </c>
      <c r="K5212" t="s">
        <v>29</v>
      </c>
      <c r="L5212">
        <f t="shared" si="243"/>
        <v>2022</v>
      </c>
      <c r="M5212" t="str">
        <f t="shared" si="244"/>
        <v>Dec</v>
      </c>
      <c r="N5212" s="2">
        <f t="shared" si="245"/>
        <v>0.15289309343631965</v>
      </c>
    </row>
    <row r="5213" spans="1:14" x14ac:dyDescent="0.45">
      <c r="A5213" t="s">
        <v>9234</v>
      </c>
      <c r="B5213" s="1">
        <v>45578</v>
      </c>
      <c r="C5213" t="s">
        <v>4992</v>
      </c>
      <c r="D5213" t="s">
        <v>13</v>
      </c>
      <c r="E5213" t="s">
        <v>20</v>
      </c>
      <c r="F5213" t="s">
        <v>43</v>
      </c>
      <c r="G5213">
        <v>4</v>
      </c>
      <c r="H5213">
        <v>29558.02</v>
      </c>
      <c r="I5213">
        <v>2818.61</v>
      </c>
      <c r="J5213" t="s">
        <v>71</v>
      </c>
      <c r="K5213" t="s">
        <v>17</v>
      </c>
      <c r="L5213">
        <f t="shared" si="243"/>
        <v>2024</v>
      </c>
      <c r="M5213" t="str">
        <f t="shared" si="244"/>
        <v>Oct</v>
      </c>
      <c r="N5213" s="2">
        <f t="shared" si="245"/>
        <v>9.5358552433485066E-2</v>
      </c>
    </row>
    <row r="5214" spans="1:14" x14ac:dyDescent="0.45">
      <c r="A5214" t="s">
        <v>9235</v>
      </c>
      <c r="B5214" s="1">
        <v>45399</v>
      </c>
      <c r="C5214" t="s">
        <v>9236</v>
      </c>
      <c r="D5214" t="s">
        <v>56</v>
      </c>
      <c r="E5214" t="s">
        <v>14</v>
      </c>
      <c r="F5214" t="s">
        <v>40</v>
      </c>
      <c r="G5214">
        <v>4</v>
      </c>
      <c r="H5214">
        <v>32390.5</v>
      </c>
      <c r="I5214">
        <v>6900.85</v>
      </c>
      <c r="J5214" t="s">
        <v>16</v>
      </c>
      <c r="K5214" t="s">
        <v>23</v>
      </c>
      <c r="L5214">
        <f t="shared" si="243"/>
        <v>2024</v>
      </c>
      <c r="M5214" t="str">
        <f t="shared" si="244"/>
        <v>Apr</v>
      </c>
      <c r="N5214" s="2">
        <f t="shared" si="245"/>
        <v>0.21305166638366188</v>
      </c>
    </row>
    <row r="5215" spans="1:14" x14ac:dyDescent="0.45">
      <c r="A5215" t="s">
        <v>9237</v>
      </c>
      <c r="B5215" s="1">
        <v>45554</v>
      </c>
      <c r="C5215" t="s">
        <v>9238</v>
      </c>
      <c r="D5215" t="s">
        <v>56</v>
      </c>
      <c r="E5215" t="s">
        <v>14</v>
      </c>
      <c r="F5215" t="s">
        <v>40</v>
      </c>
      <c r="G5215">
        <v>2</v>
      </c>
      <c r="H5215">
        <v>49577.08</v>
      </c>
      <c r="I5215">
        <v>6991.69</v>
      </c>
      <c r="J5215" t="s">
        <v>47</v>
      </c>
      <c r="K5215" t="s">
        <v>33</v>
      </c>
      <c r="L5215">
        <f t="shared" si="243"/>
        <v>2024</v>
      </c>
      <c r="M5215" t="str">
        <f t="shared" si="244"/>
        <v>Sep</v>
      </c>
      <c r="N5215" s="2">
        <f t="shared" si="245"/>
        <v>0.14102665990009899</v>
      </c>
    </row>
    <row r="5216" spans="1:14" x14ac:dyDescent="0.45">
      <c r="A5216" t="s">
        <v>9239</v>
      </c>
      <c r="B5216" s="1">
        <v>45099</v>
      </c>
      <c r="C5216" t="s">
        <v>9240</v>
      </c>
      <c r="D5216" t="s">
        <v>13</v>
      </c>
      <c r="E5216" t="s">
        <v>20</v>
      </c>
      <c r="F5216" t="s">
        <v>43</v>
      </c>
      <c r="G5216">
        <v>5</v>
      </c>
      <c r="H5216">
        <v>1464.86</v>
      </c>
      <c r="I5216">
        <v>272.3</v>
      </c>
      <c r="J5216" t="s">
        <v>71</v>
      </c>
      <c r="K5216" t="s">
        <v>29</v>
      </c>
      <c r="L5216">
        <f t="shared" si="243"/>
        <v>2023</v>
      </c>
      <c r="M5216" t="str">
        <f t="shared" si="244"/>
        <v>Jun</v>
      </c>
      <c r="N5216" s="2">
        <f t="shared" si="245"/>
        <v>0.18588807121499668</v>
      </c>
    </row>
    <row r="5217" spans="1:14" x14ac:dyDescent="0.45">
      <c r="A5217" t="s">
        <v>9241</v>
      </c>
      <c r="B5217" s="1">
        <v>44622</v>
      </c>
      <c r="C5217" t="s">
        <v>9242</v>
      </c>
      <c r="D5217" t="s">
        <v>26</v>
      </c>
      <c r="E5217" t="s">
        <v>14</v>
      </c>
      <c r="F5217" t="s">
        <v>15</v>
      </c>
      <c r="G5217">
        <v>2</v>
      </c>
      <c r="H5217">
        <v>37613.440000000002</v>
      </c>
      <c r="I5217">
        <v>6701.93</v>
      </c>
      <c r="J5217" t="s">
        <v>47</v>
      </c>
      <c r="K5217" t="s">
        <v>17</v>
      </c>
      <c r="L5217">
        <f t="shared" si="243"/>
        <v>2022</v>
      </c>
      <c r="M5217" t="str">
        <f t="shared" si="244"/>
        <v>Mar</v>
      </c>
      <c r="N5217" s="2">
        <f t="shared" si="245"/>
        <v>0.17817912958772184</v>
      </c>
    </row>
    <row r="5218" spans="1:14" x14ac:dyDescent="0.45">
      <c r="A5218" t="s">
        <v>9243</v>
      </c>
      <c r="B5218" s="1">
        <v>45080</v>
      </c>
      <c r="C5218" t="s">
        <v>1173</v>
      </c>
      <c r="D5218" t="s">
        <v>56</v>
      </c>
      <c r="E5218" t="s">
        <v>36</v>
      </c>
      <c r="F5218" t="s">
        <v>46</v>
      </c>
      <c r="G5218">
        <v>2</v>
      </c>
      <c r="H5218">
        <v>40568.22</v>
      </c>
      <c r="I5218">
        <v>5079.3</v>
      </c>
      <c r="J5218" t="s">
        <v>71</v>
      </c>
      <c r="K5218" t="s">
        <v>29</v>
      </c>
      <c r="L5218">
        <f t="shared" si="243"/>
        <v>2023</v>
      </c>
      <c r="M5218" t="str">
        <f t="shared" si="244"/>
        <v>Jun</v>
      </c>
      <c r="N5218" s="2">
        <f t="shared" si="245"/>
        <v>0.12520391577446582</v>
      </c>
    </row>
    <row r="5219" spans="1:14" x14ac:dyDescent="0.45">
      <c r="A5219" t="s">
        <v>9244</v>
      </c>
      <c r="B5219" s="1">
        <v>45329</v>
      </c>
      <c r="C5219" t="s">
        <v>9245</v>
      </c>
      <c r="D5219" t="s">
        <v>56</v>
      </c>
      <c r="E5219" t="s">
        <v>20</v>
      </c>
      <c r="F5219" t="s">
        <v>21</v>
      </c>
      <c r="G5219">
        <v>3</v>
      </c>
      <c r="H5219">
        <v>25790.51</v>
      </c>
      <c r="I5219">
        <v>4292.8999999999996</v>
      </c>
      <c r="J5219" t="s">
        <v>71</v>
      </c>
      <c r="K5219" t="s">
        <v>23</v>
      </c>
      <c r="L5219">
        <f t="shared" si="243"/>
        <v>2024</v>
      </c>
      <c r="M5219" t="str">
        <f t="shared" si="244"/>
        <v>Feb</v>
      </c>
      <c r="N5219" s="2">
        <f t="shared" si="245"/>
        <v>0.16645269907419435</v>
      </c>
    </row>
    <row r="5220" spans="1:14" x14ac:dyDescent="0.45">
      <c r="A5220" t="s">
        <v>9246</v>
      </c>
      <c r="B5220" s="1">
        <v>44757</v>
      </c>
      <c r="C5220" t="s">
        <v>9247</v>
      </c>
      <c r="D5220" t="s">
        <v>26</v>
      </c>
      <c r="E5220" t="s">
        <v>14</v>
      </c>
      <c r="F5220" t="s">
        <v>57</v>
      </c>
      <c r="G5220">
        <v>5</v>
      </c>
      <c r="H5220">
        <v>15686.4</v>
      </c>
      <c r="I5220">
        <v>3802.56</v>
      </c>
      <c r="J5220" t="s">
        <v>28</v>
      </c>
      <c r="K5220" t="s">
        <v>17</v>
      </c>
      <c r="L5220">
        <f t="shared" si="243"/>
        <v>2022</v>
      </c>
      <c r="M5220" t="str">
        <f t="shared" si="244"/>
        <v>Jul</v>
      </c>
      <c r="N5220" s="2">
        <f t="shared" si="245"/>
        <v>0.24241126070991431</v>
      </c>
    </row>
    <row r="5221" spans="1:14" x14ac:dyDescent="0.45">
      <c r="A5221" t="s">
        <v>9248</v>
      </c>
      <c r="B5221" s="1">
        <v>45599</v>
      </c>
      <c r="C5221" t="s">
        <v>9249</v>
      </c>
      <c r="D5221" t="s">
        <v>13</v>
      </c>
      <c r="E5221" t="s">
        <v>20</v>
      </c>
      <c r="F5221" t="s">
        <v>21</v>
      </c>
      <c r="G5221">
        <v>3</v>
      </c>
      <c r="H5221">
        <v>30891.48</v>
      </c>
      <c r="I5221">
        <v>2389.13</v>
      </c>
      <c r="J5221" t="s">
        <v>22</v>
      </c>
      <c r="K5221" t="s">
        <v>23</v>
      </c>
      <c r="L5221">
        <f t="shared" si="243"/>
        <v>2024</v>
      </c>
      <c r="M5221" t="str">
        <f t="shared" si="244"/>
        <v>Nov</v>
      </c>
      <c r="N5221" s="2">
        <f t="shared" si="245"/>
        <v>7.733944764057922E-2</v>
      </c>
    </row>
    <row r="5222" spans="1:14" x14ac:dyDescent="0.45">
      <c r="A5222" t="s">
        <v>9250</v>
      </c>
      <c r="B5222" s="1">
        <v>44985</v>
      </c>
      <c r="C5222" t="s">
        <v>5980</v>
      </c>
      <c r="D5222" t="s">
        <v>13</v>
      </c>
      <c r="E5222" t="s">
        <v>14</v>
      </c>
      <c r="F5222" t="s">
        <v>57</v>
      </c>
      <c r="G5222">
        <v>2</v>
      </c>
      <c r="H5222">
        <v>21000.78</v>
      </c>
      <c r="I5222">
        <v>4395.91</v>
      </c>
      <c r="J5222" t="s">
        <v>22</v>
      </c>
      <c r="K5222" t="s">
        <v>17</v>
      </c>
      <c r="L5222">
        <f t="shared" si="243"/>
        <v>2023</v>
      </c>
      <c r="M5222" t="str">
        <f t="shared" si="244"/>
        <v>Feb</v>
      </c>
      <c r="N5222" s="2">
        <f t="shared" si="245"/>
        <v>0.20932127282891397</v>
      </c>
    </row>
    <row r="5223" spans="1:14" x14ac:dyDescent="0.45">
      <c r="A5223" t="s">
        <v>9251</v>
      </c>
      <c r="B5223" s="1">
        <v>44663</v>
      </c>
      <c r="C5223" t="s">
        <v>7734</v>
      </c>
      <c r="D5223" t="s">
        <v>13</v>
      </c>
      <c r="E5223" t="s">
        <v>20</v>
      </c>
      <c r="F5223" t="s">
        <v>21</v>
      </c>
      <c r="G5223">
        <v>4</v>
      </c>
      <c r="H5223">
        <v>16636.830000000002</v>
      </c>
      <c r="I5223">
        <v>2041.02</v>
      </c>
      <c r="J5223" t="s">
        <v>28</v>
      </c>
      <c r="K5223" t="s">
        <v>23</v>
      </c>
      <c r="L5223">
        <f t="shared" si="243"/>
        <v>2022</v>
      </c>
      <c r="M5223" t="str">
        <f t="shared" si="244"/>
        <v>Apr</v>
      </c>
      <c r="N5223" s="2">
        <f t="shared" si="245"/>
        <v>0.12268082320971001</v>
      </c>
    </row>
    <row r="5224" spans="1:14" x14ac:dyDescent="0.45">
      <c r="A5224" t="s">
        <v>9252</v>
      </c>
      <c r="B5224" s="1">
        <v>45179</v>
      </c>
      <c r="C5224" t="s">
        <v>937</v>
      </c>
      <c r="D5224" t="s">
        <v>13</v>
      </c>
      <c r="E5224" t="s">
        <v>14</v>
      </c>
      <c r="F5224" t="s">
        <v>57</v>
      </c>
      <c r="G5224">
        <v>3</v>
      </c>
      <c r="H5224">
        <v>9899.84</v>
      </c>
      <c r="I5224">
        <v>2402.9499999999998</v>
      </c>
      <c r="J5224" t="s">
        <v>71</v>
      </c>
      <c r="K5224" t="s">
        <v>17</v>
      </c>
      <c r="L5224">
        <f t="shared" si="243"/>
        <v>2023</v>
      </c>
      <c r="M5224" t="str">
        <f t="shared" si="244"/>
        <v>Sep</v>
      </c>
      <c r="N5224" s="2">
        <f t="shared" si="245"/>
        <v>0.24272614506901119</v>
      </c>
    </row>
    <row r="5225" spans="1:14" x14ac:dyDescent="0.45">
      <c r="A5225" t="s">
        <v>9253</v>
      </c>
      <c r="B5225" s="1">
        <v>45120</v>
      </c>
      <c r="C5225" t="s">
        <v>1386</v>
      </c>
      <c r="D5225" t="s">
        <v>26</v>
      </c>
      <c r="E5225" t="s">
        <v>36</v>
      </c>
      <c r="F5225" t="s">
        <v>37</v>
      </c>
      <c r="G5225">
        <v>3</v>
      </c>
      <c r="H5225">
        <v>19733.28</v>
      </c>
      <c r="I5225">
        <v>4701.01</v>
      </c>
      <c r="J5225" t="s">
        <v>71</v>
      </c>
      <c r="K5225" t="s">
        <v>17</v>
      </c>
      <c r="L5225">
        <f t="shared" si="243"/>
        <v>2023</v>
      </c>
      <c r="M5225" t="str">
        <f t="shared" si="244"/>
        <v>Jul</v>
      </c>
      <c r="N5225" s="2">
        <f t="shared" si="245"/>
        <v>0.23822750196622156</v>
      </c>
    </row>
    <row r="5226" spans="1:14" x14ac:dyDescent="0.45">
      <c r="A5226" t="s">
        <v>9254</v>
      </c>
      <c r="B5226" s="1">
        <v>44841</v>
      </c>
      <c r="C5226" t="s">
        <v>5589</v>
      </c>
      <c r="D5226" t="s">
        <v>56</v>
      </c>
      <c r="E5226" t="s">
        <v>36</v>
      </c>
      <c r="F5226" t="s">
        <v>46</v>
      </c>
      <c r="G5226">
        <v>1</v>
      </c>
      <c r="H5226">
        <v>10247.82</v>
      </c>
      <c r="I5226">
        <v>1714.12</v>
      </c>
      <c r="J5226" t="s">
        <v>22</v>
      </c>
      <c r="K5226" t="s">
        <v>33</v>
      </c>
      <c r="L5226">
        <f t="shared" si="243"/>
        <v>2022</v>
      </c>
      <c r="M5226" t="str">
        <f t="shared" si="244"/>
        <v>Oct</v>
      </c>
      <c r="N5226" s="2">
        <f t="shared" si="245"/>
        <v>0.16726679430356894</v>
      </c>
    </row>
    <row r="5227" spans="1:14" x14ac:dyDescent="0.45">
      <c r="A5227" t="s">
        <v>9255</v>
      </c>
      <c r="B5227" s="1">
        <v>45491</v>
      </c>
      <c r="C5227" t="s">
        <v>9256</v>
      </c>
      <c r="D5227" t="s">
        <v>13</v>
      </c>
      <c r="E5227" t="s">
        <v>20</v>
      </c>
      <c r="F5227" t="s">
        <v>21</v>
      </c>
      <c r="G5227">
        <v>3</v>
      </c>
      <c r="H5227">
        <v>43120.88</v>
      </c>
      <c r="I5227">
        <v>10558.73</v>
      </c>
      <c r="J5227" t="s">
        <v>16</v>
      </c>
      <c r="K5227" t="s">
        <v>33</v>
      </c>
      <c r="L5227">
        <f t="shared" si="243"/>
        <v>2024</v>
      </c>
      <c r="M5227" t="str">
        <f t="shared" si="244"/>
        <v>Jul</v>
      </c>
      <c r="N5227" s="2">
        <f t="shared" si="245"/>
        <v>0.24486350927903142</v>
      </c>
    </row>
    <row r="5228" spans="1:14" x14ac:dyDescent="0.45">
      <c r="A5228" t="s">
        <v>9257</v>
      </c>
      <c r="B5228" s="1">
        <v>44918</v>
      </c>
      <c r="C5228" t="s">
        <v>9258</v>
      </c>
      <c r="D5228" t="s">
        <v>13</v>
      </c>
      <c r="E5228" t="s">
        <v>14</v>
      </c>
      <c r="F5228" t="s">
        <v>15</v>
      </c>
      <c r="G5228">
        <v>1</v>
      </c>
      <c r="H5228">
        <v>34995.769999999997</v>
      </c>
      <c r="I5228">
        <v>6569.8</v>
      </c>
      <c r="J5228" t="s">
        <v>16</v>
      </c>
      <c r="K5228" t="s">
        <v>23</v>
      </c>
      <c r="L5228">
        <f t="shared" si="243"/>
        <v>2022</v>
      </c>
      <c r="M5228" t="str">
        <f t="shared" si="244"/>
        <v>Dec</v>
      </c>
      <c r="N5228" s="2">
        <f t="shared" si="245"/>
        <v>0.18773126009229119</v>
      </c>
    </row>
    <row r="5229" spans="1:14" x14ac:dyDescent="0.45">
      <c r="A5229" t="s">
        <v>9259</v>
      </c>
      <c r="B5229" s="1">
        <v>45346</v>
      </c>
      <c r="C5229" t="s">
        <v>5772</v>
      </c>
      <c r="D5229" t="s">
        <v>26</v>
      </c>
      <c r="E5229" t="s">
        <v>14</v>
      </c>
      <c r="F5229" t="s">
        <v>32</v>
      </c>
      <c r="G5229">
        <v>5</v>
      </c>
      <c r="H5229">
        <v>49119.6</v>
      </c>
      <c r="I5229">
        <v>5000.7700000000004</v>
      </c>
      <c r="J5229" t="s">
        <v>16</v>
      </c>
      <c r="K5229" t="s">
        <v>23</v>
      </c>
      <c r="L5229">
        <f t="shared" si="243"/>
        <v>2024</v>
      </c>
      <c r="M5229" t="str">
        <f t="shared" si="244"/>
        <v>Feb</v>
      </c>
      <c r="N5229" s="2">
        <f t="shared" si="245"/>
        <v>0.1018080358960578</v>
      </c>
    </row>
    <row r="5230" spans="1:14" x14ac:dyDescent="0.45">
      <c r="A5230" t="s">
        <v>9260</v>
      </c>
      <c r="B5230" s="1">
        <v>44928</v>
      </c>
      <c r="C5230" t="s">
        <v>9261</v>
      </c>
      <c r="D5230" t="s">
        <v>26</v>
      </c>
      <c r="E5230" t="s">
        <v>36</v>
      </c>
      <c r="F5230" t="s">
        <v>64</v>
      </c>
      <c r="G5230">
        <v>2</v>
      </c>
      <c r="H5230">
        <v>7145.3</v>
      </c>
      <c r="I5230">
        <v>1444.28</v>
      </c>
      <c r="J5230" t="s">
        <v>22</v>
      </c>
      <c r="K5230" t="s">
        <v>23</v>
      </c>
      <c r="L5230">
        <f t="shared" si="243"/>
        <v>2023</v>
      </c>
      <c r="M5230" t="str">
        <f t="shared" si="244"/>
        <v>Jan</v>
      </c>
      <c r="N5230" s="2">
        <f t="shared" si="245"/>
        <v>0.20213007151554169</v>
      </c>
    </row>
    <row r="5231" spans="1:14" x14ac:dyDescent="0.45">
      <c r="A5231" t="s">
        <v>9262</v>
      </c>
      <c r="B5231" s="1">
        <v>44624</v>
      </c>
      <c r="C5231" t="s">
        <v>9263</v>
      </c>
      <c r="D5231" t="s">
        <v>56</v>
      </c>
      <c r="E5231" t="s">
        <v>14</v>
      </c>
      <c r="F5231" t="s">
        <v>57</v>
      </c>
      <c r="G5231">
        <v>5</v>
      </c>
      <c r="H5231">
        <v>17616.490000000002</v>
      </c>
      <c r="I5231">
        <v>1205.75</v>
      </c>
      <c r="J5231" t="s">
        <v>71</v>
      </c>
      <c r="K5231" t="s">
        <v>33</v>
      </c>
      <c r="L5231">
        <f t="shared" si="243"/>
        <v>2022</v>
      </c>
      <c r="M5231" t="str">
        <f t="shared" si="244"/>
        <v>Mar</v>
      </c>
      <c r="N5231" s="2">
        <f t="shared" si="245"/>
        <v>6.8444394995824928E-2</v>
      </c>
    </row>
    <row r="5232" spans="1:14" x14ac:dyDescent="0.45">
      <c r="A5232" t="s">
        <v>9264</v>
      </c>
      <c r="B5232" s="1">
        <v>45537</v>
      </c>
      <c r="C5232" t="s">
        <v>9265</v>
      </c>
      <c r="D5232" t="s">
        <v>56</v>
      </c>
      <c r="E5232" t="s">
        <v>20</v>
      </c>
      <c r="F5232" t="s">
        <v>50</v>
      </c>
      <c r="G5232">
        <v>5</v>
      </c>
      <c r="H5232">
        <v>43582.13</v>
      </c>
      <c r="I5232">
        <v>8370.94</v>
      </c>
      <c r="J5232" t="s">
        <v>16</v>
      </c>
      <c r="K5232" t="s">
        <v>23</v>
      </c>
      <c r="L5232">
        <f t="shared" si="243"/>
        <v>2024</v>
      </c>
      <c r="M5232" t="str">
        <f t="shared" si="244"/>
        <v>Sep</v>
      </c>
      <c r="N5232" s="2">
        <f t="shared" si="245"/>
        <v>0.19207276009685623</v>
      </c>
    </row>
    <row r="5233" spans="1:14" x14ac:dyDescent="0.45">
      <c r="A5233" t="s">
        <v>9266</v>
      </c>
      <c r="B5233" s="1">
        <v>45141</v>
      </c>
      <c r="C5233" t="s">
        <v>6078</v>
      </c>
      <c r="D5233" t="s">
        <v>56</v>
      </c>
      <c r="E5233" t="s">
        <v>20</v>
      </c>
      <c r="F5233" t="s">
        <v>50</v>
      </c>
      <c r="G5233">
        <v>1</v>
      </c>
      <c r="H5233">
        <v>26454.34</v>
      </c>
      <c r="I5233">
        <v>5312.84</v>
      </c>
      <c r="J5233" t="s">
        <v>22</v>
      </c>
      <c r="K5233" t="s">
        <v>17</v>
      </c>
      <c r="L5233">
        <f t="shared" si="243"/>
        <v>2023</v>
      </c>
      <c r="M5233" t="str">
        <f t="shared" si="244"/>
        <v>Aug</v>
      </c>
      <c r="N5233" s="2">
        <f t="shared" si="245"/>
        <v>0.20083056315145265</v>
      </c>
    </row>
    <row r="5234" spans="1:14" x14ac:dyDescent="0.45">
      <c r="A5234" t="s">
        <v>9267</v>
      </c>
      <c r="B5234" s="1">
        <v>44899</v>
      </c>
      <c r="C5234" t="s">
        <v>9268</v>
      </c>
      <c r="D5234" t="s">
        <v>26</v>
      </c>
      <c r="E5234" t="s">
        <v>20</v>
      </c>
      <c r="F5234" t="s">
        <v>43</v>
      </c>
      <c r="G5234">
        <v>4</v>
      </c>
      <c r="H5234">
        <v>23675.49</v>
      </c>
      <c r="I5234">
        <v>3198.73</v>
      </c>
      <c r="J5234" t="s">
        <v>22</v>
      </c>
      <c r="K5234" t="s">
        <v>33</v>
      </c>
      <c r="L5234">
        <f t="shared" si="243"/>
        <v>2022</v>
      </c>
      <c r="M5234" t="str">
        <f t="shared" si="244"/>
        <v>Dec</v>
      </c>
      <c r="N5234" s="2">
        <f t="shared" si="245"/>
        <v>0.13510723537295319</v>
      </c>
    </row>
    <row r="5235" spans="1:14" x14ac:dyDescent="0.45">
      <c r="A5235" t="s">
        <v>9269</v>
      </c>
      <c r="B5235" s="1">
        <v>44885</v>
      </c>
      <c r="C5235" t="s">
        <v>9270</v>
      </c>
      <c r="D5235" t="s">
        <v>56</v>
      </c>
      <c r="E5235" t="s">
        <v>36</v>
      </c>
      <c r="F5235" t="s">
        <v>46</v>
      </c>
      <c r="G5235">
        <v>1</v>
      </c>
      <c r="H5235">
        <v>11575.1</v>
      </c>
      <c r="I5235">
        <v>2281.84</v>
      </c>
      <c r="J5235" t="s">
        <v>28</v>
      </c>
      <c r="K5235" t="s">
        <v>33</v>
      </c>
      <c r="L5235">
        <f t="shared" si="243"/>
        <v>2022</v>
      </c>
      <c r="M5235" t="str">
        <f t="shared" si="244"/>
        <v>Nov</v>
      </c>
      <c r="N5235" s="2">
        <f t="shared" si="245"/>
        <v>0.19713350208637506</v>
      </c>
    </row>
    <row r="5236" spans="1:14" x14ac:dyDescent="0.45">
      <c r="A5236" t="s">
        <v>9271</v>
      </c>
      <c r="B5236" s="1">
        <v>44768</v>
      </c>
      <c r="C5236" t="s">
        <v>9272</v>
      </c>
      <c r="D5236" t="s">
        <v>26</v>
      </c>
      <c r="E5236" t="s">
        <v>20</v>
      </c>
      <c r="F5236" t="s">
        <v>21</v>
      </c>
      <c r="G5236">
        <v>2</v>
      </c>
      <c r="H5236">
        <v>15792.56</v>
      </c>
      <c r="I5236">
        <v>1291.43</v>
      </c>
      <c r="J5236" t="s">
        <v>16</v>
      </c>
      <c r="K5236" t="s">
        <v>29</v>
      </c>
      <c r="L5236">
        <f t="shared" si="243"/>
        <v>2022</v>
      </c>
      <c r="M5236" t="str">
        <f t="shared" si="244"/>
        <v>Jul</v>
      </c>
      <c r="N5236" s="2">
        <f t="shared" si="245"/>
        <v>8.1774582461614842E-2</v>
      </c>
    </row>
    <row r="5237" spans="1:14" x14ac:dyDescent="0.45">
      <c r="A5237" t="s">
        <v>9273</v>
      </c>
      <c r="B5237" s="1">
        <v>45087</v>
      </c>
      <c r="C5237" t="s">
        <v>781</v>
      </c>
      <c r="D5237" t="s">
        <v>13</v>
      </c>
      <c r="E5237" t="s">
        <v>14</v>
      </c>
      <c r="F5237" t="s">
        <v>15</v>
      </c>
      <c r="G5237">
        <v>4</v>
      </c>
      <c r="H5237">
        <v>48002.22</v>
      </c>
      <c r="I5237">
        <v>5895.42</v>
      </c>
      <c r="J5237" t="s">
        <v>71</v>
      </c>
      <c r="K5237" t="s">
        <v>33</v>
      </c>
      <c r="L5237">
        <f t="shared" si="243"/>
        <v>2023</v>
      </c>
      <c r="M5237" t="str">
        <f t="shared" si="244"/>
        <v>Jun</v>
      </c>
      <c r="N5237" s="2">
        <f t="shared" si="245"/>
        <v>0.12281556977989767</v>
      </c>
    </row>
    <row r="5238" spans="1:14" x14ac:dyDescent="0.45">
      <c r="A5238" t="s">
        <v>9274</v>
      </c>
      <c r="B5238" s="1">
        <v>45278</v>
      </c>
      <c r="C5238" t="s">
        <v>8045</v>
      </c>
      <c r="D5238" t="s">
        <v>56</v>
      </c>
      <c r="E5238" t="s">
        <v>36</v>
      </c>
      <c r="F5238" t="s">
        <v>37</v>
      </c>
      <c r="G5238">
        <v>3</v>
      </c>
      <c r="H5238">
        <v>28353.48</v>
      </c>
      <c r="I5238">
        <v>6415.42</v>
      </c>
      <c r="J5238" t="s">
        <v>28</v>
      </c>
      <c r="K5238" t="s">
        <v>23</v>
      </c>
      <c r="L5238">
        <f t="shared" si="243"/>
        <v>2023</v>
      </c>
      <c r="M5238" t="str">
        <f t="shared" si="244"/>
        <v>Dec</v>
      </c>
      <c r="N5238" s="2">
        <f t="shared" si="245"/>
        <v>0.22626570001283794</v>
      </c>
    </row>
    <row r="5239" spans="1:14" x14ac:dyDescent="0.45">
      <c r="A5239" t="s">
        <v>9275</v>
      </c>
      <c r="B5239" s="1">
        <v>45530</v>
      </c>
      <c r="C5239" t="s">
        <v>9276</v>
      </c>
      <c r="D5239" t="s">
        <v>13</v>
      </c>
      <c r="E5239" t="s">
        <v>20</v>
      </c>
      <c r="F5239" t="s">
        <v>43</v>
      </c>
      <c r="G5239">
        <v>5</v>
      </c>
      <c r="H5239">
        <v>29666.35</v>
      </c>
      <c r="I5239">
        <v>6837.66</v>
      </c>
      <c r="J5239" t="s">
        <v>71</v>
      </c>
      <c r="K5239" t="s">
        <v>23</v>
      </c>
      <c r="L5239">
        <f t="shared" si="243"/>
        <v>2024</v>
      </c>
      <c r="M5239" t="str">
        <f t="shared" si="244"/>
        <v>Aug</v>
      </c>
      <c r="N5239" s="2">
        <f t="shared" si="245"/>
        <v>0.23048538158553378</v>
      </c>
    </row>
    <row r="5240" spans="1:14" x14ac:dyDescent="0.45">
      <c r="A5240" t="s">
        <v>9277</v>
      </c>
      <c r="B5240" s="1">
        <v>45617</v>
      </c>
      <c r="C5240" t="s">
        <v>9278</v>
      </c>
      <c r="D5240" t="s">
        <v>26</v>
      </c>
      <c r="E5240" t="s">
        <v>36</v>
      </c>
      <c r="F5240" t="s">
        <v>46</v>
      </c>
      <c r="G5240">
        <v>1</v>
      </c>
      <c r="H5240">
        <v>40175.97</v>
      </c>
      <c r="I5240">
        <v>3214.35</v>
      </c>
      <c r="J5240" t="s">
        <v>22</v>
      </c>
      <c r="K5240" t="s">
        <v>17</v>
      </c>
      <c r="L5240">
        <f t="shared" si="243"/>
        <v>2024</v>
      </c>
      <c r="M5240" t="str">
        <f t="shared" si="244"/>
        <v>Nov</v>
      </c>
      <c r="N5240" s="2">
        <f t="shared" si="245"/>
        <v>8.0006780172326888E-2</v>
      </c>
    </row>
    <row r="5241" spans="1:14" x14ac:dyDescent="0.45">
      <c r="A5241" t="s">
        <v>9279</v>
      </c>
      <c r="B5241" s="1">
        <v>45484</v>
      </c>
      <c r="C5241" t="s">
        <v>9280</v>
      </c>
      <c r="D5241" t="s">
        <v>13</v>
      </c>
      <c r="E5241" t="s">
        <v>14</v>
      </c>
      <c r="F5241" t="s">
        <v>32</v>
      </c>
      <c r="G5241">
        <v>3</v>
      </c>
      <c r="H5241">
        <v>22229.69</v>
      </c>
      <c r="I5241">
        <v>3760.34</v>
      </c>
      <c r="J5241" t="s">
        <v>22</v>
      </c>
      <c r="K5241" t="s">
        <v>17</v>
      </c>
      <c r="L5241">
        <f t="shared" si="243"/>
        <v>2024</v>
      </c>
      <c r="M5241" t="str">
        <f t="shared" si="244"/>
        <v>Jul</v>
      </c>
      <c r="N5241" s="2">
        <f t="shared" si="245"/>
        <v>0.16915845430143203</v>
      </c>
    </row>
    <row r="5242" spans="1:14" x14ac:dyDescent="0.45">
      <c r="A5242" t="s">
        <v>9281</v>
      </c>
      <c r="B5242" s="1">
        <v>45175</v>
      </c>
      <c r="C5242" t="s">
        <v>9282</v>
      </c>
      <c r="D5242" t="s">
        <v>56</v>
      </c>
      <c r="E5242" t="s">
        <v>14</v>
      </c>
      <c r="F5242" t="s">
        <v>15</v>
      </c>
      <c r="G5242">
        <v>1</v>
      </c>
      <c r="H5242">
        <v>15525.76</v>
      </c>
      <c r="I5242">
        <v>1246.8699999999999</v>
      </c>
      <c r="J5242" t="s">
        <v>71</v>
      </c>
      <c r="K5242" t="s">
        <v>29</v>
      </c>
      <c r="L5242">
        <f t="shared" si="243"/>
        <v>2023</v>
      </c>
      <c r="M5242" t="str">
        <f t="shared" si="244"/>
        <v>Sep</v>
      </c>
      <c r="N5242" s="2">
        <f t="shared" si="245"/>
        <v>8.030975617296672E-2</v>
      </c>
    </row>
    <row r="5243" spans="1:14" x14ac:dyDescent="0.45">
      <c r="A5243" t="s">
        <v>9283</v>
      </c>
      <c r="B5243" s="1">
        <v>45199</v>
      </c>
      <c r="C5243" t="s">
        <v>9284</v>
      </c>
      <c r="D5243" t="s">
        <v>13</v>
      </c>
      <c r="E5243" t="s">
        <v>36</v>
      </c>
      <c r="F5243" t="s">
        <v>53</v>
      </c>
      <c r="G5243">
        <v>5</v>
      </c>
      <c r="H5243">
        <v>4594.32</v>
      </c>
      <c r="I5243">
        <v>635.41999999999996</v>
      </c>
      <c r="J5243" t="s">
        <v>22</v>
      </c>
      <c r="K5243" t="s">
        <v>17</v>
      </c>
      <c r="L5243">
        <f t="shared" si="243"/>
        <v>2023</v>
      </c>
      <c r="M5243" t="str">
        <f t="shared" si="244"/>
        <v>Sep</v>
      </c>
      <c r="N5243" s="2">
        <f t="shared" si="245"/>
        <v>0.1383055599087569</v>
      </c>
    </row>
    <row r="5244" spans="1:14" x14ac:dyDescent="0.45">
      <c r="A5244" t="s">
        <v>9285</v>
      </c>
      <c r="B5244" s="1">
        <v>45282</v>
      </c>
      <c r="C5244" t="s">
        <v>9286</v>
      </c>
      <c r="D5244" t="s">
        <v>56</v>
      </c>
      <c r="E5244" t="s">
        <v>20</v>
      </c>
      <c r="F5244" t="s">
        <v>27</v>
      </c>
      <c r="G5244">
        <v>1</v>
      </c>
      <c r="H5244">
        <v>36700.120000000003</v>
      </c>
      <c r="I5244">
        <v>4248.49</v>
      </c>
      <c r="J5244" t="s">
        <v>47</v>
      </c>
      <c r="K5244" t="s">
        <v>33</v>
      </c>
      <c r="L5244">
        <f t="shared" si="243"/>
        <v>2023</v>
      </c>
      <c r="M5244" t="str">
        <f t="shared" si="244"/>
        <v>Dec</v>
      </c>
      <c r="N5244" s="2">
        <f t="shared" si="245"/>
        <v>0.11576229178542194</v>
      </c>
    </row>
    <row r="5245" spans="1:14" x14ac:dyDescent="0.45">
      <c r="A5245" t="s">
        <v>9287</v>
      </c>
      <c r="B5245" s="1">
        <v>44628</v>
      </c>
      <c r="C5245" t="s">
        <v>522</v>
      </c>
      <c r="D5245" t="s">
        <v>13</v>
      </c>
      <c r="E5245" t="s">
        <v>14</v>
      </c>
      <c r="F5245" t="s">
        <v>32</v>
      </c>
      <c r="G5245">
        <v>3</v>
      </c>
      <c r="H5245">
        <v>22175.759999999998</v>
      </c>
      <c r="I5245">
        <v>2039.07</v>
      </c>
      <c r="J5245" t="s">
        <v>47</v>
      </c>
      <c r="K5245" t="s">
        <v>23</v>
      </c>
      <c r="L5245">
        <f t="shared" si="243"/>
        <v>2022</v>
      </c>
      <c r="M5245" t="str">
        <f t="shared" si="244"/>
        <v>Mar</v>
      </c>
      <c r="N5245" s="2">
        <f t="shared" si="245"/>
        <v>9.1950399896102777E-2</v>
      </c>
    </row>
    <row r="5246" spans="1:14" x14ac:dyDescent="0.45">
      <c r="A5246" t="s">
        <v>9288</v>
      </c>
      <c r="B5246" s="1">
        <v>45500</v>
      </c>
      <c r="C5246" t="s">
        <v>9289</v>
      </c>
      <c r="D5246" t="s">
        <v>26</v>
      </c>
      <c r="E5246" t="s">
        <v>14</v>
      </c>
      <c r="F5246" t="s">
        <v>57</v>
      </c>
      <c r="G5246">
        <v>2</v>
      </c>
      <c r="H5246">
        <v>7298.34</v>
      </c>
      <c r="I5246">
        <v>1598.76</v>
      </c>
      <c r="J5246" t="s">
        <v>71</v>
      </c>
      <c r="K5246" t="s">
        <v>17</v>
      </c>
      <c r="L5246">
        <f t="shared" si="243"/>
        <v>2024</v>
      </c>
      <c r="M5246" t="str">
        <f t="shared" si="244"/>
        <v>Jul</v>
      </c>
      <c r="N5246" s="2">
        <f t="shared" si="245"/>
        <v>0.21905803237448515</v>
      </c>
    </row>
    <row r="5247" spans="1:14" x14ac:dyDescent="0.45">
      <c r="A5247" t="s">
        <v>9290</v>
      </c>
      <c r="B5247" s="1">
        <v>45646</v>
      </c>
      <c r="C5247" t="s">
        <v>9291</v>
      </c>
      <c r="D5247" t="s">
        <v>26</v>
      </c>
      <c r="E5247" t="s">
        <v>14</v>
      </c>
      <c r="F5247" t="s">
        <v>40</v>
      </c>
      <c r="G5247">
        <v>2</v>
      </c>
      <c r="H5247">
        <v>923.47</v>
      </c>
      <c r="I5247">
        <v>154.37</v>
      </c>
      <c r="J5247" t="s">
        <v>71</v>
      </c>
      <c r="K5247" t="s">
        <v>33</v>
      </c>
      <c r="L5247">
        <f t="shared" si="243"/>
        <v>2024</v>
      </c>
      <c r="M5247" t="str">
        <f t="shared" si="244"/>
        <v>Dec</v>
      </c>
      <c r="N5247" s="2">
        <f t="shared" si="245"/>
        <v>0.16716298309636479</v>
      </c>
    </row>
    <row r="5248" spans="1:14" x14ac:dyDescent="0.45">
      <c r="A5248" t="s">
        <v>9292</v>
      </c>
      <c r="B5248" s="1">
        <v>44898</v>
      </c>
      <c r="C5248" t="s">
        <v>9293</v>
      </c>
      <c r="D5248" t="s">
        <v>26</v>
      </c>
      <c r="E5248" t="s">
        <v>36</v>
      </c>
      <c r="F5248" t="s">
        <v>46</v>
      </c>
      <c r="G5248">
        <v>3</v>
      </c>
      <c r="H5248">
        <v>31090.880000000001</v>
      </c>
      <c r="I5248">
        <v>3347.59</v>
      </c>
      <c r="J5248" t="s">
        <v>47</v>
      </c>
      <c r="K5248" t="s">
        <v>23</v>
      </c>
      <c r="L5248">
        <f t="shared" si="243"/>
        <v>2022</v>
      </c>
      <c r="M5248" t="str">
        <f t="shared" si="244"/>
        <v>Dec</v>
      </c>
      <c r="N5248" s="2">
        <f t="shared" si="245"/>
        <v>0.10767112413672433</v>
      </c>
    </row>
    <row r="5249" spans="1:14" x14ac:dyDescent="0.45">
      <c r="A5249" t="s">
        <v>9294</v>
      </c>
      <c r="B5249" s="1">
        <v>45404</v>
      </c>
      <c r="C5249" t="s">
        <v>1396</v>
      </c>
      <c r="D5249" t="s">
        <v>56</v>
      </c>
      <c r="E5249" t="s">
        <v>14</v>
      </c>
      <c r="F5249" t="s">
        <v>57</v>
      </c>
      <c r="G5249">
        <v>2</v>
      </c>
      <c r="H5249">
        <v>21218.11</v>
      </c>
      <c r="I5249">
        <v>3399.62</v>
      </c>
      <c r="J5249" t="s">
        <v>22</v>
      </c>
      <c r="K5249" t="s">
        <v>17</v>
      </c>
      <c r="L5249">
        <f t="shared" si="243"/>
        <v>2024</v>
      </c>
      <c r="M5249" t="str">
        <f t="shared" si="244"/>
        <v>Apr</v>
      </c>
      <c r="N5249" s="2">
        <f t="shared" si="245"/>
        <v>0.16022256459222806</v>
      </c>
    </row>
    <row r="5250" spans="1:14" x14ac:dyDescent="0.45">
      <c r="A5250" t="s">
        <v>9295</v>
      </c>
      <c r="B5250" s="1">
        <v>44899</v>
      </c>
      <c r="C5250" t="s">
        <v>2338</v>
      </c>
      <c r="D5250" t="s">
        <v>56</v>
      </c>
      <c r="E5250" t="s">
        <v>20</v>
      </c>
      <c r="F5250" t="s">
        <v>50</v>
      </c>
      <c r="G5250">
        <v>4</v>
      </c>
      <c r="H5250">
        <v>14080.67</v>
      </c>
      <c r="I5250">
        <v>3428.25</v>
      </c>
      <c r="J5250" t="s">
        <v>47</v>
      </c>
      <c r="K5250" t="s">
        <v>23</v>
      </c>
      <c r="L5250">
        <f t="shared" si="243"/>
        <v>2022</v>
      </c>
      <c r="M5250" t="str">
        <f t="shared" si="244"/>
        <v>Dec</v>
      </c>
      <c r="N5250" s="2">
        <f t="shared" si="245"/>
        <v>0.24347207909850879</v>
      </c>
    </row>
    <row r="5251" spans="1:14" x14ac:dyDescent="0.45">
      <c r="A5251" t="s">
        <v>9296</v>
      </c>
      <c r="B5251" s="1">
        <v>44627</v>
      </c>
      <c r="C5251" t="s">
        <v>9297</v>
      </c>
      <c r="D5251" t="s">
        <v>13</v>
      </c>
      <c r="E5251" t="s">
        <v>14</v>
      </c>
      <c r="F5251" t="s">
        <v>15</v>
      </c>
      <c r="G5251">
        <v>5</v>
      </c>
      <c r="H5251">
        <v>36752.769999999997</v>
      </c>
      <c r="I5251">
        <v>5525.57</v>
      </c>
      <c r="J5251" t="s">
        <v>47</v>
      </c>
      <c r="K5251" t="s">
        <v>29</v>
      </c>
      <c r="L5251">
        <f t="shared" ref="L5251:L5314" si="246">YEAR(B5251 )</f>
        <v>2022</v>
      </c>
      <c r="M5251" t="str">
        <f t="shared" ref="M5251:M5314" si="247">TEXT(B5251,"MMM")</f>
        <v>Mar</v>
      </c>
      <c r="N5251" s="2">
        <f t="shared" ref="N5251:N5314" si="248">I5251 / H5251</f>
        <v>0.15034431418366562</v>
      </c>
    </row>
    <row r="5252" spans="1:14" x14ac:dyDescent="0.45">
      <c r="A5252" t="s">
        <v>9298</v>
      </c>
      <c r="B5252" s="1">
        <v>44702</v>
      </c>
      <c r="C5252" t="s">
        <v>9299</v>
      </c>
      <c r="D5252" t="s">
        <v>13</v>
      </c>
      <c r="E5252" t="s">
        <v>14</v>
      </c>
      <c r="F5252" t="s">
        <v>32</v>
      </c>
      <c r="G5252">
        <v>5</v>
      </c>
      <c r="H5252">
        <v>45371.69</v>
      </c>
      <c r="I5252">
        <v>10873.12</v>
      </c>
      <c r="J5252" t="s">
        <v>22</v>
      </c>
      <c r="K5252" t="s">
        <v>17</v>
      </c>
      <c r="L5252">
        <f t="shared" si="246"/>
        <v>2022</v>
      </c>
      <c r="M5252" t="str">
        <f t="shared" si="247"/>
        <v>May</v>
      </c>
      <c r="N5252" s="2">
        <f t="shared" si="248"/>
        <v>0.23964547055664007</v>
      </c>
    </row>
    <row r="5253" spans="1:14" x14ac:dyDescent="0.45">
      <c r="A5253" t="s">
        <v>9300</v>
      </c>
      <c r="B5253" s="1">
        <v>44673</v>
      </c>
      <c r="C5253" t="s">
        <v>9301</v>
      </c>
      <c r="D5253" t="s">
        <v>13</v>
      </c>
      <c r="E5253" t="s">
        <v>14</v>
      </c>
      <c r="F5253" t="s">
        <v>40</v>
      </c>
      <c r="G5253">
        <v>4</v>
      </c>
      <c r="H5253">
        <v>24098.21</v>
      </c>
      <c r="I5253">
        <v>1956.41</v>
      </c>
      <c r="J5253" t="s">
        <v>47</v>
      </c>
      <c r="K5253" t="s">
        <v>23</v>
      </c>
      <c r="L5253">
        <f t="shared" si="246"/>
        <v>2022</v>
      </c>
      <c r="M5253" t="str">
        <f t="shared" si="247"/>
        <v>Apr</v>
      </c>
      <c r="N5253" s="2">
        <f t="shared" si="248"/>
        <v>8.1184868087712747E-2</v>
      </c>
    </row>
    <row r="5254" spans="1:14" x14ac:dyDescent="0.45">
      <c r="A5254" t="s">
        <v>9302</v>
      </c>
      <c r="B5254" s="1">
        <v>44662</v>
      </c>
      <c r="C5254" t="s">
        <v>4442</v>
      </c>
      <c r="D5254" t="s">
        <v>13</v>
      </c>
      <c r="E5254" t="s">
        <v>14</v>
      </c>
      <c r="F5254" t="s">
        <v>57</v>
      </c>
      <c r="G5254">
        <v>3</v>
      </c>
      <c r="H5254">
        <v>2861.26</v>
      </c>
      <c r="I5254">
        <v>349.71</v>
      </c>
      <c r="J5254" t="s">
        <v>22</v>
      </c>
      <c r="K5254" t="s">
        <v>23</v>
      </c>
      <c r="L5254">
        <f t="shared" si="246"/>
        <v>2022</v>
      </c>
      <c r="M5254" t="str">
        <f t="shared" si="247"/>
        <v>Apr</v>
      </c>
      <c r="N5254" s="2">
        <f t="shared" si="248"/>
        <v>0.12222237755394474</v>
      </c>
    </row>
    <row r="5255" spans="1:14" x14ac:dyDescent="0.45">
      <c r="A5255" t="s">
        <v>9303</v>
      </c>
      <c r="B5255" s="1">
        <v>45173</v>
      </c>
      <c r="C5255" t="s">
        <v>6675</v>
      </c>
      <c r="D5255" t="s">
        <v>26</v>
      </c>
      <c r="E5255" t="s">
        <v>20</v>
      </c>
      <c r="F5255" t="s">
        <v>27</v>
      </c>
      <c r="G5255">
        <v>4</v>
      </c>
      <c r="H5255">
        <v>38070.089999999997</v>
      </c>
      <c r="I5255">
        <v>8207</v>
      </c>
      <c r="J5255" t="s">
        <v>47</v>
      </c>
      <c r="K5255" t="s">
        <v>29</v>
      </c>
      <c r="L5255">
        <f t="shared" si="246"/>
        <v>2023</v>
      </c>
      <c r="M5255" t="str">
        <f t="shared" si="247"/>
        <v>Sep</v>
      </c>
      <c r="N5255" s="2">
        <f t="shared" si="248"/>
        <v>0.21557605984120345</v>
      </c>
    </row>
    <row r="5256" spans="1:14" x14ac:dyDescent="0.45">
      <c r="A5256" t="s">
        <v>9304</v>
      </c>
      <c r="B5256" s="1">
        <v>45021</v>
      </c>
      <c r="C5256" t="s">
        <v>9305</v>
      </c>
      <c r="D5256" t="s">
        <v>56</v>
      </c>
      <c r="E5256" t="s">
        <v>20</v>
      </c>
      <c r="F5256" t="s">
        <v>21</v>
      </c>
      <c r="G5256">
        <v>4</v>
      </c>
      <c r="H5256">
        <v>31945.46</v>
      </c>
      <c r="I5256">
        <v>5759.99</v>
      </c>
      <c r="J5256" t="s">
        <v>22</v>
      </c>
      <c r="K5256" t="s">
        <v>29</v>
      </c>
      <c r="L5256">
        <f t="shared" si="246"/>
        <v>2023</v>
      </c>
      <c r="M5256" t="str">
        <f t="shared" si="247"/>
        <v>Apr</v>
      </c>
      <c r="N5256" s="2">
        <f t="shared" si="248"/>
        <v>0.1803069982401255</v>
      </c>
    </row>
    <row r="5257" spans="1:14" x14ac:dyDescent="0.45">
      <c r="A5257" t="s">
        <v>9306</v>
      </c>
      <c r="B5257" s="1">
        <v>44801</v>
      </c>
      <c r="C5257" t="s">
        <v>9307</v>
      </c>
      <c r="D5257" t="s">
        <v>56</v>
      </c>
      <c r="E5257" t="s">
        <v>14</v>
      </c>
      <c r="F5257" t="s">
        <v>40</v>
      </c>
      <c r="G5257">
        <v>1</v>
      </c>
      <c r="H5257">
        <v>2235.5100000000002</v>
      </c>
      <c r="I5257">
        <v>276.02999999999997</v>
      </c>
      <c r="J5257" t="s">
        <v>22</v>
      </c>
      <c r="K5257" t="s">
        <v>23</v>
      </c>
      <c r="L5257">
        <f t="shared" si="246"/>
        <v>2022</v>
      </c>
      <c r="M5257" t="str">
        <f t="shared" si="247"/>
        <v>Aug</v>
      </c>
      <c r="N5257" s="2">
        <f t="shared" si="248"/>
        <v>0.12347518016023187</v>
      </c>
    </row>
    <row r="5258" spans="1:14" x14ac:dyDescent="0.45">
      <c r="A5258" t="s">
        <v>9308</v>
      </c>
      <c r="B5258" s="1">
        <v>45610</v>
      </c>
      <c r="C5258" t="s">
        <v>9309</v>
      </c>
      <c r="D5258" t="s">
        <v>56</v>
      </c>
      <c r="E5258" t="s">
        <v>36</v>
      </c>
      <c r="F5258" t="s">
        <v>46</v>
      </c>
      <c r="G5258">
        <v>1</v>
      </c>
      <c r="H5258">
        <v>42433.79</v>
      </c>
      <c r="I5258">
        <v>6608.58</v>
      </c>
      <c r="J5258" t="s">
        <v>71</v>
      </c>
      <c r="K5258" t="s">
        <v>17</v>
      </c>
      <c r="L5258">
        <f t="shared" si="246"/>
        <v>2024</v>
      </c>
      <c r="M5258" t="str">
        <f t="shared" si="247"/>
        <v>Nov</v>
      </c>
      <c r="N5258" s="2">
        <f t="shared" si="248"/>
        <v>0.1557386224515887</v>
      </c>
    </row>
    <row r="5259" spans="1:14" x14ac:dyDescent="0.45">
      <c r="A5259" t="s">
        <v>9310</v>
      </c>
      <c r="B5259" s="1">
        <v>45267</v>
      </c>
      <c r="C5259" t="s">
        <v>9311</v>
      </c>
      <c r="D5259" t="s">
        <v>56</v>
      </c>
      <c r="E5259" t="s">
        <v>14</v>
      </c>
      <c r="F5259" t="s">
        <v>40</v>
      </c>
      <c r="G5259">
        <v>4</v>
      </c>
      <c r="H5259">
        <v>15519.44</v>
      </c>
      <c r="I5259">
        <v>1821.11</v>
      </c>
      <c r="J5259" t="s">
        <v>28</v>
      </c>
      <c r="K5259" t="s">
        <v>17</v>
      </c>
      <c r="L5259">
        <f t="shared" si="246"/>
        <v>2023</v>
      </c>
      <c r="M5259" t="str">
        <f t="shared" si="247"/>
        <v>Dec</v>
      </c>
      <c r="N5259" s="2">
        <f t="shared" si="248"/>
        <v>0.1173437959101617</v>
      </c>
    </row>
    <row r="5260" spans="1:14" x14ac:dyDescent="0.45">
      <c r="A5260" t="s">
        <v>9312</v>
      </c>
      <c r="B5260" s="1">
        <v>45128</v>
      </c>
      <c r="C5260" t="s">
        <v>9313</v>
      </c>
      <c r="D5260" t="s">
        <v>56</v>
      </c>
      <c r="E5260" t="s">
        <v>14</v>
      </c>
      <c r="F5260" t="s">
        <v>57</v>
      </c>
      <c r="G5260">
        <v>5</v>
      </c>
      <c r="H5260">
        <v>17650.21</v>
      </c>
      <c r="I5260">
        <v>3123.03</v>
      </c>
      <c r="J5260" t="s">
        <v>47</v>
      </c>
      <c r="K5260" t="s">
        <v>17</v>
      </c>
      <c r="L5260">
        <f t="shared" si="246"/>
        <v>2023</v>
      </c>
      <c r="M5260" t="str">
        <f t="shared" si="247"/>
        <v>Jul</v>
      </c>
      <c r="N5260" s="2">
        <f t="shared" si="248"/>
        <v>0.17694010439535848</v>
      </c>
    </row>
    <row r="5261" spans="1:14" x14ac:dyDescent="0.45">
      <c r="A5261" t="s">
        <v>9314</v>
      </c>
      <c r="B5261" s="1">
        <v>45179</v>
      </c>
      <c r="C5261" t="s">
        <v>9315</v>
      </c>
      <c r="D5261" t="s">
        <v>56</v>
      </c>
      <c r="E5261" t="s">
        <v>14</v>
      </c>
      <c r="F5261" t="s">
        <v>57</v>
      </c>
      <c r="G5261">
        <v>4</v>
      </c>
      <c r="H5261">
        <v>48760.75</v>
      </c>
      <c r="I5261">
        <v>8023.82</v>
      </c>
      <c r="J5261" t="s">
        <v>47</v>
      </c>
      <c r="K5261" t="s">
        <v>17</v>
      </c>
      <c r="L5261">
        <f t="shared" si="246"/>
        <v>2023</v>
      </c>
      <c r="M5261" t="str">
        <f t="shared" si="247"/>
        <v>Sep</v>
      </c>
      <c r="N5261" s="2">
        <f t="shared" si="248"/>
        <v>0.16455489302358967</v>
      </c>
    </row>
    <row r="5262" spans="1:14" x14ac:dyDescent="0.45">
      <c r="A5262" t="s">
        <v>9316</v>
      </c>
      <c r="B5262" s="1">
        <v>45409</v>
      </c>
      <c r="C5262" t="s">
        <v>3312</v>
      </c>
      <c r="D5262" t="s">
        <v>13</v>
      </c>
      <c r="E5262" t="s">
        <v>36</v>
      </c>
      <c r="F5262" t="s">
        <v>46</v>
      </c>
      <c r="G5262">
        <v>1</v>
      </c>
      <c r="H5262">
        <v>39705.230000000003</v>
      </c>
      <c r="I5262">
        <v>4966.84</v>
      </c>
      <c r="J5262" t="s">
        <v>16</v>
      </c>
      <c r="K5262" t="s">
        <v>23</v>
      </c>
      <c r="L5262">
        <f t="shared" si="246"/>
        <v>2024</v>
      </c>
      <c r="M5262" t="str">
        <f t="shared" si="247"/>
        <v>Apr</v>
      </c>
      <c r="N5262" s="2">
        <f t="shared" si="248"/>
        <v>0.1250928404142225</v>
      </c>
    </row>
    <row r="5263" spans="1:14" x14ac:dyDescent="0.45">
      <c r="A5263" t="s">
        <v>9317</v>
      </c>
      <c r="B5263" s="1">
        <v>45480</v>
      </c>
      <c r="C5263" t="s">
        <v>9318</v>
      </c>
      <c r="D5263" t="s">
        <v>13</v>
      </c>
      <c r="E5263" t="s">
        <v>36</v>
      </c>
      <c r="F5263" t="s">
        <v>37</v>
      </c>
      <c r="G5263">
        <v>4</v>
      </c>
      <c r="H5263">
        <v>43979.33</v>
      </c>
      <c r="I5263">
        <v>5708.18</v>
      </c>
      <c r="J5263" t="s">
        <v>71</v>
      </c>
      <c r="K5263" t="s">
        <v>23</v>
      </c>
      <c r="L5263">
        <f t="shared" si="246"/>
        <v>2024</v>
      </c>
      <c r="M5263" t="str">
        <f t="shared" si="247"/>
        <v>Jul</v>
      </c>
      <c r="N5263" s="2">
        <f t="shared" si="248"/>
        <v>0.12979233653627739</v>
      </c>
    </row>
    <row r="5264" spans="1:14" x14ac:dyDescent="0.45">
      <c r="A5264" t="s">
        <v>9319</v>
      </c>
      <c r="B5264" s="1">
        <v>45150</v>
      </c>
      <c r="C5264" t="s">
        <v>9320</v>
      </c>
      <c r="D5264" t="s">
        <v>13</v>
      </c>
      <c r="E5264" t="s">
        <v>14</v>
      </c>
      <c r="F5264" t="s">
        <v>57</v>
      </c>
      <c r="G5264">
        <v>1</v>
      </c>
      <c r="H5264">
        <v>42239.17</v>
      </c>
      <c r="I5264">
        <v>3099.89</v>
      </c>
      <c r="J5264" t="s">
        <v>16</v>
      </c>
      <c r="K5264" t="s">
        <v>33</v>
      </c>
      <c r="L5264">
        <f t="shared" si="246"/>
        <v>2023</v>
      </c>
      <c r="M5264" t="str">
        <f t="shared" si="247"/>
        <v>Aug</v>
      </c>
      <c r="N5264" s="2">
        <f t="shared" si="248"/>
        <v>7.3388989414327976E-2</v>
      </c>
    </row>
    <row r="5265" spans="1:14" x14ac:dyDescent="0.45">
      <c r="A5265" t="s">
        <v>9321</v>
      </c>
      <c r="B5265" s="1">
        <v>45639</v>
      </c>
      <c r="C5265" t="s">
        <v>35</v>
      </c>
      <c r="D5265" t="s">
        <v>56</v>
      </c>
      <c r="E5265" t="s">
        <v>20</v>
      </c>
      <c r="F5265" t="s">
        <v>50</v>
      </c>
      <c r="G5265">
        <v>1</v>
      </c>
      <c r="H5265">
        <v>4715.01</v>
      </c>
      <c r="I5265">
        <v>387.85</v>
      </c>
      <c r="J5265" t="s">
        <v>71</v>
      </c>
      <c r="K5265" t="s">
        <v>17</v>
      </c>
      <c r="L5265">
        <f t="shared" si="246"/>
        <v>2024</v>
      </c>
      <c r="M5265" t="str">
        <f t="shared" si="247"/>
        <v>Dec</v>
      </c>
      <c r="N5265" s="2">
        <f t="shared" si="248"/>
        <v>8.2258574212992125E-2</v>
      </c>
    </row>
    <row r="5266" spans="1:14" x14ac:dyDescent="0.45">
      <c r="A5266" t="s">
        <v>9322</v>
      </c>
      <c r="B5266" s="1">
        <v>44924</v>
      </c>
      <c r="C5266" t="s">
        <v>3580</v>
      </c>
      <c r="D5266" t="s">
        <v>13</v>
      </c>
      <c r="E5266" t="s">
        <v>14</v>
      </c>
      <c r="F5266" t="s">
        <v>32</v>
      </c>
      <c r="G5266">
        <v>2</v>
      </c>
      <c r="H5266">
        <v>4622.3599999999997</v>
      </c>
      <c r="I5266">
        <v>1128.76</v>
      </c>
      <c r="J5266" t="s">
        <v>71</v>
      </c>
      <c r="K5266" t="s">
        <v>17</v>
      </c>
      <c r="L5266">
        <f t="shared" si="246"/>
        <v>2022</v>
      </c>
      <c r="M5266" t="str">
        <f t="shared" si="247"/>
        <v>Dec</v>
      </c>
      <c r="N5266" s="2">
        <f t="shared" si="248"/>
        <v>0.2441956057079068</v>
      </c>
    </row>
    <row r="5267" spans="1:14" x14ac:dyDescent="0.45">
      <c r="A5267" t="s">
        <v>9323</v>
      </c>
      <c r="B5267" s="1">
        <v>45582</v>
      </c>
      <c r="C5267" t="s">
        <v>744</v>
      </c>
      <c r="D5267" t="s">
        <v>26</v>
      </c>
      <c r="E5267" t="s">
        <v>20</v>
      </c>
      <c r="F5267" t="s">
        <v>27</v>
      </c>
      <c r="G5267">
        <v>2</v>
      </c>
      <c r="H5267">
        <v>18767.73</v>
      </c>
      <c r="I5267">
        <v>2488.5700000000002</v>
      </c>
      <c r="J5267" t="s">
        <v>47</v>
      </c>
      <c r="K5267" t="s">
        <v>33</v>
      </c>
      <c r="L5267">
        <f t="shared" si="246"/>
        <v>2024</v>
      </c>
      <c r="M5267" t="str">
        <f t="shared" si="247"/>
        <v>Oct</v>
      </c>
      <c r="N5267" s="2">
        <f t="shared" si="248"/>
        <v>0.13259834833514764</v>
      </c>
    </row>
    <row r="5268" spans="1:14" x14ac:dyDescent="0.45">
      <c r="A5268" t="s">
        <v>9324</v>
      </c>
      <c r="B5268" s="1">
        <v>44769</v>
      </c>
      <c r="C5268" t="s">
        <v>9318</v>
      </c>
      <c r="D5268" t="s">
        <v>13</v>
      </c>
      <c r="E5268" t="s">
        <v>14</v>
      </c>
      <c r="F5268" t="s">
        <v>32</v>
      </c>
      <c r="G5268">
        <v>4</v>
      </c>
      <c r="H5268">
        <v>46608.77</v>
      </c>
      <c r="I5268">
        <v>6458.92</v>
      </c>
      <c r="J5268" t="s">
        <v>47</v>
      </c>
      <c r="K5268" t="s">
        <v>33</v>
      </c>
      <c r="L5268">
        <f t="shared" si="246"/>
        <v>2022</v>
      </c>
      <c r="M5268" t="str">
        <f t="shared" si="247"/>
        <v>Jul</v>
      </c>
      <c r="N5268" s="2">
        <f t="shared" si="248"/>
        <v>0.13857735357530354</v>
      </c>
    </row>
    <row r="5269" spans="1:14" x14ac:dyDescent="0.45">
      <c r="A5269" t="s">
        <v>9325</v>
      </c>
      <c r="B5269" s="1">
        <v>44676</v>
      </c>
      <c r="C5269" t="s">
        <v>178</v>
      </c>
      <c r="D5269" t="s">
        <v>26</v>
      </c>
      <c r="E5269" t="s">
        <v>14</v>
      </c>
      <c r="F5269" t="s">
        <v>57</v>
      </c>
      <c r="G5269">
        <v>5</v>
      </c>
      <c r="H5269">
        <v>12575.55</v>
      </c>
      <c r="I5269">
        <v>1973.66</v>
      </c>
      <c r="J5269" t="s">
        <v>47</v>
      </c>
      <c r="K5269" t="s">
        <v>23</v>
      </c>
      <c r="L5269">
        <f t="shared" si="246"/>
        <v>2022</v>
      </c>
      <c r="M5269" t="str">
        <f t="shared" si="247"/>
        <v>Apr</v>
      </c>
      <c r="N5269" s="2">
        <f t="shared" si="248"/>
        <v>0.15694422907944386</v>
      </c>
    </row>
    <row r="5270" spans="1:14" x14ac:dyDescent="0.45">
      <c r="A5270" t="s">
        <v>9326</v>
      </c>
      <c r="B5270" s="1">
        <v>45233</v>
      </c>
      <c r="C5270" t="s">
        <v>1932</v>
      </c>
      <c r="D5270" t="s">
        <v>26</v>
      </c>
      <c r="E5270" t="s">
        <v>14</v>
      </c>
      <c r="F5270" t="s">
        <v>15</v>
      </c>
      <c r="G5270">
        <v>5</v>
      </c>
      <c r="H5270">
        <v>18407.27</v>
      </c>
      <c r="I5270">
        <v>2771.21</v>
      </c>
      <c r="J5270" t="s">
        <v>47</v>
      </c>
      <c r="K5270" t="s">
        <v>29</v>
      </c>
      <c r="L5270">
        <f t="shared" si="246"/>
        <v>2023</v>
      </c>
      <c r="M5270" t="str">
        <f t="shared" si="247"/>
        <v>Nov</v>
      </c>
      <c r="N5270" s="2">
        <f t="shared" si="248"/>
        <v>0.15054975561286382</v>
      </c>
    </row>
    <row r="5271" spans="1:14" x14ac:dyDescent="0.45">
      <c r="A5271" t="s">
        <v>9327</v>
      </c>
      <c r="B5271" s="1">
        <v>44933</v>
      </c>
      <c r="C5271" t="s">
        <v>9328</v>
      </c>
      <c r="D5271" t="s">
        <v>56</v>
      </c>
      <c r="E5271" t="s">
        <v>36</v>
      </c>
      <c r="F5271" t="s">
        <v>37</v>
      </c>
      <c r="G5271">
        <v>5</v>
      </c>
      <c r="H5271">
        <v>19214.54</v>
      </c>
      <c r="I5271">
        <v>3610.66</v>
      </c>
      <c r="J5271" t="s">
        <v>71</v>
      </c>
      <c r="K5271" t="s">
        <v>23</v>
      </c>
      <c r="L5271">
        <f t="shared" si="246"/>
        <v>2023</v>
      </c>
      <c r="M5271" t="str">
        <f t="shared" si="247"/>
        <v>Jan</v>
      </c>
      <c r="N5271" s="2">
        <f t="shared" si="248"/>
        <v>0.18791290345748582</v>
      </c>
    </row>
    <row r="5272" spans="1:14" x14ac:dyDescent="0.45">
      <c r="A5272" t="s">
        <v>9329</v>
      </c>
      <c r="B5272" s="1">
        <v>44703</v>
      </c>
      <c r="C5272" t="s">
        <v>9330</v>
      </c>
      <c r="D5272" t="s">
        <v>56</v>
      </c>
      <c r="E5272" t="s">
        <v>36</v>
      </c>
      <c r="F5272" t="s">
        <v>53</v>
      </c>
      <c r="G5272">
        <v>1</v>
      </c>
      <c r="H5272">
        <v>47034.239999999998</v>
      </c>
      <c r="I5272">
        <v>4613.3599999999997</v>
      </c>
      <c r="J5272" t="s">
        <v>22</v>
      </c>
      <c r="K5272" t="s">
        <v>29</v>
      </c>
      <c r="L5272">
        <f t="shared" si="246"/>
        <v>2022</v>
      </c>
      <c r="M5272" t="str">
        <f t="shared" si="247"/>
        <v>May</v>
      </c>
      <c r="N5272" s="2">
        <f t="shared" si="248"/>
        <v>9.8085139676967248E-2</v>
      </c>
    </row>
    <row r="5273" spans="1:14" x14ac:dyDescent="0.45">
      <c r="A5273" t="s">
        <v>9331</v>
      </c>
      <c r="B5273" s="1">
        <v>44741</v>
      </c>
      <c r="C5273" t="s">
        <v>5941</v>
      </c>
      <c r="D5273" t="s">
        <v>13</v>
      </c>
      <c r="E5273" t="s">
        <v>36</v>
      </c>
      <c r="F5273" t="s">
        <v>37</v>
      </c>
      <c r="G5273">
        <v>3</v>
      </c>
      <c r="H5273">
        <v>33897.64</v>
      </c>
      <c r="I5273">
        <v>2227.41</v>
      </c>
      <c r="J5273" t="s">
        <v>47</v>
      </c>
      <c r="K5273" t="s">
        <v>33</v>
      </c>
      <c r="L5273">
        <f t="shared" si="246"/>
        <v>2022</v>
      </c>
      <c r="M5273" t="str">
        <f t="shared" si="247"/>
        <v>Jun</v>
      </c>
      <c r="N5273" s="2">
        <f t="shared" si="248"/>
        <v>6.5709884227928547E-2</v>
      </c>
    </row>
    <row r="5274" spans="1:14" x14ac:dyDescent="0.45">
      <c r="A5274" t="s">
        <v>9332</v>
      </c>
      <c r="B5274" s="1">
        <v>45159</v>
      </c>
      <c r="C5274" t="s">
        <v>9333</v>
      </c>
      <c r="D5274" t="s">
        <v>26</v>
      </c>
      <c r="E5274" t="s">
        <v>20</v>
      </c>
      <c r="F5274" t="s">
        <v>50</v>
      </c>
      <c r="G5274">
        <v>3</v>
      </c>
      <c r="H5274">
        <v>6921.3</v>
      </c>
      <c r="I5274">
        <v>1567.41</v>
      </c>
      <c r="J5274" t="s">
        <v>28</v>
      </c>
      <c r="K5274" t="s">
        <v>17</v>
      </c>
      <c r="L5274">
        <f t="shared" si="246"/>
        <v>2023</v>
      </c>
      <c r="M5274" t="str">
        <f t="shared" si="247"/>
        <v>Aug</v>
      </c>
      <c r="N5274" s="2">
        <f t="shared" si="248"/>
        <v>0.22646179185991072</v>
      </c>
    </row>
    <row r="5275" spans="1:14" x14ac:dyDescent="0.45">
      <c r="A5275" t="s">
        <v>9334</v>
      </c>
      <c r="B5275" s="1">
        <v>45108</v>
      </c>
      <c r="C5275" t="s">
        <v>3611</v>
      </c>
      <c r="D5275" t="s">
        <v>13</v>
      </c>
      <c r="E5275" t="s">
        <v>14</v>
      </c>
      <c r="F5275" t="s">
        <v>32</v>
      </c>
      <c r="G5275">
        <v>3</v>
      </c>
      <c r="H5275">
        <v>2337.3000000000002</v>
      </c>
      <c r="I5275">
        <v>262.87</v>
      </c>
      <c r="J5275" t="s">
        <v>22</v>
      </c>
      <c r="K5275" t="s">
        <v>29</v>
      </c>
      <c r="L5275">
        <f t="shared" si="246"/>
        <v>2023</v>
      </c>
      <c r="M5275" t="str">
        <f t="shared" si="247"/>
        <v>Jul</v>
      </c>
      <c r="N5275" s="2">
        <f t="shared" si="248"/>
        <v>0.11246737688786206</v>
      </c>
    </row>
    <row r="5276" spans="1:14" x14ac:dyDescent="0.45">
      <c r="A5276" t="s">
        <v>9335</v>
      </c>
      <c r="B5276" s="1">
        <v>45011</v>
      </c>
      <c r="C5276" t="s">
        <v>9336</v>
      </c>
      <c r="D5276" t="s">
        <v>13</v>
      </c>
      <c r="E5276" t="s">
        <v>14</v>
      </c>
      <c r="F5276" t="s">
        <v>32</v>
      </c>
      <c r="G5276">
        <v>4</v>
      </c>
      <c r="H5276">
        <v>22638.39</v>
      </c>
      <c r="I5276">
        <v>2214.9</v>
      </c>
      <c r="J5276" t="s">
        <v>47</v>
      </c>
      <c r="K5276" t="s">
        <v>33</v>
      </c>
      <c r="L5276">
        <f t="shared" si="246"/>
        <v>2023</v>
      </c>
      <c r="M5276" t="str">
        <f t="shared" si="247"/>
        <v>Mar</v>
      </c>
      <c r="N5276" s="2">
        <f t="shared" si="248"/>
        <v>9.78382296620917E-2</v>
      </c>
    </row>
    <row r="5277" spans="1:14" x14ac:dyDescent="0.45">
      <c r="A5277" t="s">
        <v>9337</v>
      </c>
      <c r="B5277" s="1">
        <v>44783</v>
      </c>
      <c r="C5277" t="s">
        <v>7004</v>
      </c>
      <c r="D5277" t="s">
        <v>56</v>
      </c>
      <c r="E5277" t="s">
        <v>36</v>
      </c>
      <c r="F5277" t="s">
        <v>53</v>
      </c>
      <c r="G5277">
        <v>2</v>
      </c>
      <c r="H5277">
        <v>10509.03</v>
      </c>
      <c r="I5277">
        <v>1957.52</v>
      </c>
      <c r="J5277" t="s">
        <v>22</v>
      </c>
      <c r="K5277" t="s">
        <v>33</v>
      </c>
      <c r="L5277">
        <f t="shared" si="246"/>
        <v>2022</v>
      </c>
      <c r="M5277" t="str">
        <f t="shared" si="247"/>
        <v>Aug</v>
      </c>
      <c r="N5277" s="2">
        <f t="shared" si="248"/>
        <v>0.18627028374645421</v>
      </c>
    </row>
    <row r="5278" spans="1:14" x14ac:dyDescent="0.45">
      <c r="A5278" t="s">
        <v>9338</v>
      </c>
      <c r="B5278" s="1">
        <v>45052</v>
      </c>
      <c r="C5278" t="s">
        <v>9339</v>
      </c>
      <c r="D5278" t="s">
        <v>26</v>
      </c>
      <c r="E5278" t="s">
        <v>36</v>
      </c>
      <c r="F5278" t="s">
        <v>46</v>
      </c>
      <c r="G5278">
        <v>1</v>
      </c>
      <c r="H5278">
        <v>6702.58</v>
      </c>
      <c r="I5278">
        <v>1484.71</v>
      </c>
      <c r="J5278" t="s">
        <v>47</v>
      </c>
      <c r="K5278" t="s">
        <v>33</v>
      </c>
      <c r="L5278">
        <f t="shared" si="246"/>
        <v>2023</v>
      </c>
      <c r="M5278" t="str">
        <f t="shared" si="247"/>
        <v>May</v>
      </c>
      <c r="N5278" s="2">
        <f t="shared" si="248"/>
        <v>0.22151320834663668</v>
      </c>
    </row>
    <row r="5279" spans="1:14" x14ac:dyDescent="0.45">
      <c r="A5279" t="s">
        <v>9340</v>
      </c>
      <c r="B5279" s="1">
        <v>45549</v>
      </c>
      <c r="C5279" t="s">
        <v>9341</v>
      </c>
      <c r="D5279" t="s">
        <v>56</v>
      </c>
      <c r="E5279" t="s">
        <v>36</v>
      </c>
      <c r="F5279" t="s">
        <v>37</v>
      </c>
      <c r="G5279">
        <v>4</v>
      </c>
      <c r="H5279">
        <v>27076.91</v>
      </c>
      <c r="I5279">
        <v>5201.2700000000004</v>
      </c>
      <c r="J5279" t="s">
        <v>28</v>
      </c>
      <c r="K5279" t="s">
        <v>33</v>
      </c>
      <c r="L5279">
        <f t="shared" si="246"/>
        <v>2024</v>
      </c>
      <c r="M5279" t="str">
        <f t="shared" si="247"/>
        <v>Sep</v>
      </c>
      <c r="N5279" s="2">
        <f t="shared" si="248"/>
        <v>0.19209245072646769</v>
      </c>
    </row>
    <row r="5280" spans="1:14" x14ac:dyDescent="0.45">
      <c r="A5280" t="s">
        <v>9342</v>
      </c>
      <c r="B5280" s="1">
        <v>44775</v>
      </c>
      <c r="C5280" t="s">
        <v>9343</v>
      </c>
      <c r="D5280" t="s">
        <v>26</v>
      </c>
      <c r="E5280" t="s">
        <v>36</v>
      </c>
      <c r="F5280" t="s">
        <v>64</v>
      </c>
      <c r="G5280">
        <v>3</v>
      </c>
      <c r="H5280">
        <v>27420.02</v>
      </c>
      <c r="I5280">
        <v>1949.43</v>
      </c>
      <c r="J5280" t="s">
        <v>16</v>
      </c>
      <c r="K5280" t="s">
        <v>29</v>
      </c>
      <c r="L5280">
        <f t="shared" si="246"/>
        <v>2022</v>
      </c>
      <c r="M5280" t="str">
        <f t="shared" si="247"/>
        <v>Aug</v>
      </c>
      <c r="N5280" s="2">
        <f t="shared" si="248"/>
        <v>7.1095134139216531E-2</v>
      </c>
    </row>
    <row r="5281" spans="1:14" x14ac:dyDescent="0.45">
      <c r="A5281" t="s">
        <v>9344</v>
      </c>
      <c r="B5281" s="1">
        <v>44722</v>
      </c>
      <c r="C5281" t="s">
        <v>9345</v>
      </c>
      <c r="D5281" t="s">
        <v>26</v>
      </c>
      <c r="E5281" t="s">
        <v>36</v>
      </c>
      <c r="F5281" t="s">
        <v>46</v>
      </c>
      <c r="G5281">
        <v>3</v>
      </c>
      <c r="H5281">
        <v>1496.69</v>
      </c>
      <c r="I5281">
        <v>334.92</v>
      </c>
      <c r="J5281" t="s">
        <v>22</v>
      </c>
      <c r="K5281" t="s">
        <v>33</v>
      </c>
      <c r="L5281">
        <f t="shared" si="246"/>
        <v>2022</v>
      </c>
      <c r="M5281" t="str">
        <f t="shared" si="247"/>
        <v>Jun</v>
      </c>
      <c r="N5281" s="2">
        <f t="shared" si="248"/>
        <v>0.22377379417247392</v>
      </c>
    </row>
    <row r="5282" spans="1:14" x14ac:dyDescent="0.45">
      <c r="A5282" t="s">
        <v>9346</v>
      </c>
      <c r="B5282" s="1">
        <v>45313</v>
      </c>
      <c r="C5282" t="s">
        <v>9347</v>
      </c>
      <c r="D5282" t="s">
        <v>26</v>
      </c>
      <c r="E5282" t="s">
        <v>14</v>
      </c>
      <c r="F5282" t="s">
        <v>15</v>
      </c>
      <c r="G5282">
        <v>2</v>
      </c>
      <c r="H5282">
        <v>11529.21</v>
      </c>
      <c r="I5282">
        <v>2338.83</v>
      </c>
      <c r="J5282" t="s">
        <v>16</v>
      </c>
      <c r="K5282" t="s">
        <v>17</v>
      </c>
      <c r="L5282">
        <f t="shared" si="246"/>
        <v>2024</v>
      </c>
      <c r="M5282" t="str">
        <f t="shared" si="247"/>
        <v>Jan</v>
      </c>
      <c r="N5282" s="2">
        <f t="shared" si="248"/>
        <v>0.20286125415358036</v>
      </c>
    </row>
    <row r="5283" spans="1:14" x14ac:dyDescent="0.45">
      <c r="A5283" t="s">
        <v>9348</v>
      </c>
      <c r="B5283" s="1">
        <v>44604</v>
      </c>
      <c r="C5283" t="s">
        <v>9349</v>
      </c>
      <c r="D5283" t="s">
        <v>13</v>
      </c>
      <c r="E5283" t="s">
        <v>14</v>
      </c>
      <c r="F5283" t="s">
        <v>40</v>
      </c>
      <c r="G5283">
        <v>3</v>
      </c>
      <c r="H5283">
        <v>29665.57</v>
      </c>
      <c r="I5283">
        <v>5066.87</v>
      </c>
      <c r="J5283" t="s">
        <v>71</v>
      </c>
      <c r="K5283" t="s">
        <v>17</v>
      </c>
      <c r="L5283">
        <f t="shared" si="246"/>
        <v>2022</v>
      </c>
      <c r="M5283" t="str">
        <f t="shared" si="247"/>
        <v>Feb</v>
      </c>
      <c r="N5283" s="2">
        <f t="shared" si="248"/>
        <v>0.17079968461755496</v>
      </c>
    </row>
    <row r="5284" spans="1:14" x14ac:dyDescent="0.45">
      <c r="A5284" t="s">
        <v>9350</v>
      </c>
      <c r="B5284" s="1">
        <v>45401</v>
      </c>
      <c r="C5284" t="s">
        <v>1633</v>
      </c>
      <c r="D5284" t="s">
        <v>26</v>
      </c>
      <c r="E5284" t="s">
        <v>14</v>
      </c>
      <c r="F5284" t="s">
        <v>32</v>
      </c>
      <c r="G5284">
        <v>3</v>
      </c>
      <c r="H5284">
        <v>15565.74</v>
      </c>
      <c r="I5284">
        <v>3782.01</v>
      </c>
      <c r="J5284" t="s">
        <v>71</v>
      </c>
      <c r="K5284" t="s">
        <v>29</v>
      </c>
      <c r="L5284">
        <f t="shared" si="246"/>
        <v>2024</v>
      </c>
      <c r="M5284" t="str">
        <f t="shared" si="247"/>
        <v>Apr</v>
      </c>
      <c r="N5284" s="2">
        <f t="shared" si="248"/>
        <v>0.24297013826519009</v>
      </c>
    </row>
    <row r="5285" spans="1:14" x14ac:dyDescent="0.45">
      <c r="A5285" t="s">
        <v>9351</v>
      </c>
      <c r="B5285" s="1">
        <v>45505</v>
      </c>
      <c r="C5285" t="s">
        <v>9352</v>
      </c>
      <c r="D5285" t="s">
        <v>56</v>
      </c>
      <c r="E5285" t="s">
        <v>36</v>
      </c>
      <c r="F5285" t="s">
        <v>64</v>
      </c>
      <c r="G5285">
        <v>2</v>
      </c>
      <c r="H5285">
        <v>31260.720000000001</v>
      </c>
      <c r="I5285">
        <v>3906.62</v>
      </c>
      <c r="J5285" t="s">
        <v>22</v>
      </c>
      <c r="K5285" t="s">
        <v>33</v>
      </c>
      <c r="L5285">
        <f t="shared" si="246"/>
        <v>2024</v>
      </c>
      <c r="M5285" t="str">
        <f t="shared" si="247"/>
        <v>Aug</v>
      </c>
      <c r="N5285" s="2">
        <f t="shared" si="248"/>
        <v>0.12496897064431017</v>
      </c>
    </row>
    <row r="5286" spans="1:14" x14ac:dyDescent="0.45">
      <c r="A5286" t="s">
        <v>9353</v>
      </c>
      <c r="B5286" s="1">
        <v>44750</v>
      </c>
      <c r="C5286" t="s">
        <v>9354</v>
      </c>
      <c r="D5286" t="s">
        <v>56</v>
      </c>
      <c r="E5286" t="s">
        <v>14</v>
      </c>
      <c r="F5286" t="s">
        <v>40</v>
      </c>
      <c r="G5286">
        <v>1</v>
      </c>
      <c r="H5286">
        <v>19762.55</v>
      </c>
      <c r="I5286">
        <v>4528.9399999999996</v>
      </c>
      <c r="J5286" t="s">
        <v>22</v>
      </c>
      <c r="K5286" t="s">
        <v>33</v>
      </c>
      <c r="L5286">
        <f t="shared" si="246"/>
        <v>2022</v>
      </c>
      <c r="M5286" t="str">
        <f t="shared" si="247"/>
        <v>Jul</v>
      </c>
      <c r="N5286" s="2">
        <f t="shared" si="248"/>
        <v>0.22916779464188577</v>
      </c>
    </row>
    <row r="5287" spans="1:14" x14ac:dyDescent="0.45">
      <c r="A5287" t="s">
        <v>9355</v>
      </c>
      <c r="B5287" s="1">
        <v>45450</v>
      </c>
      <c r="C5287" t="s">
        <v>3316</v>
      </c>
      <c r="D5287" t="s">
        <v>13</v>
      </c>
      <c r="E5287" t="s">
        <v>36</v>
      </c>
      <c r="F5287" t="s">
        <v>46</v>
      </c>
      <c r="G5287">
        <v>2</v>
      </c>
      <c r="H5287">
        <v>49007.39</v>
      </c>
      <c r="I5287">
        <v>2941.99</v>
      </c>
      <c r="J5287" t="s">
        <v>16</v>
      </c>
      <c r="K5287" t="s">
        <v>33</v>
      </c>
      <c r="L5287">
        <f t="shared" si="246"/>
        <v>2024</v>
      </c>
      <c r="M5287" t="str">
        <f t="shared" si="247"/>
        <v>Jun</v>
      </c>
      <c r="N5287" s="2">
        <f t="shared" si="248"/>
        <v>6.0031558505768211E-2</v>
      </c>
    </row>
    <row r="5288" spans="1:14" x14ac:dyDescent="0.45">
      <c r="A5288" t="s">
        <v>9356</v>
      </c>
      <c r="B5288" s="1">
        <v>45387</v>
      </c>
      <c r="C5288" t="s">
        <v>9357</v>
      </c>
      <c r="D5288" t="s">
        <v>26</v>
      </c>
      <c r="E5288" t="s">
        <v>14</v>
      </c>
      <c r="F5288" t="s">
        <v>32</v>
      </c>
      <c r="G5288">
        <v>4</v>
      </c>
      <c r="H5288">
        <v>22903.09</v>
      </c>
      <c r="I5288">
        <v>1729.43</v>
      </c>
      <c r="J5288" t="s">
        <v>22</v>
      </c>
      <c r="K5288" t="s">
        <v>23</v>
      </c>
      <c r="L5288">
        <f t="shared" si="246"/>
        <v>2024</v>
      </c>
      <c r="M5288" t="str">
        <f t="shared" si="247"/>
        <v>Apr</v>
      </c>
      <c r="N5288" s="2">
        <f t="shared" si="248"/>
        <v>7.5510771690632139E-2</v>
      </c>
    </row>
    <row r="5289" spans="1:14" x14ac:dyDescent="0.45">
      <c r="A5289" t="s">
        <v>9358</v>
      </c>
      <c r="B5289" s="1">
        <v>45140</v>
      </c>
      <c r="C5289" t="s">
        <v>9359</v>
      </c>
      <c r="D5289" t="s">
        <v>26</v>
      </c>
      <c r="E5289" t="s">
        <v>36</v>
      </c>
      <c r="F5289" t="s">
        <v>37</v>
      </c>
      <c r="G5289">
        <v>5</v>
      </c>
      <c r="H5289">
        <v>29894.400000000001</v>
      </c>
      <c r="I5289">
        <v>2012.34</v>
      </c>
      <c r="J5289" t="s">
        <v>16</v>
      </c>
      <c r="K5289" t="s">
        <v>17</v>
      </c>
      <c r="L5289">
        <f t="shared" si="246"/>
        <v>2023</v>
      </c>
      <c r="M5289" t="str">
        <f t="shared" si="247"/>
        <v>Aug</v>
      </c>
      <c r="N5289" s="2">
        <f t="shared" si="248"/>
        <v>6.7314948619139364E-2</v>
      </c>
    </row>
    <row r="5290" spans="1:14" x14ac:dyDescent="0.45">
      <c r="A5290" t="s">
        <v>9360</v>
      </c>
      <c r="B5290" s="1">
        <v>45622</v>
      </c>
      <c r="C5290" t="s">
        <v>9361</v>
      </c>
      <c r="D5290" t="s">
        <v>26</v>
      </c>
      <c r="E5290" t="s">
        <v>20</v>
      </c>
      <c r="F5290" t="s">
        <v>50</v>
      </c>
      <c r="G5290">
        <v>5</v>
      </c>
      <c r="H5290">
        <v>4091.69</v>
      </c>
      <c r="I5290">
        <v>215.25</v>
      </c>
      <c r="J5290" t="s">
        <v>71</v>
      </c>
      <c r="K5290" t="s">
        <v>33</v>
      </c>
      <c r="L5290">
        <f t="shared" si="246"/>
        <v>2024</v>
      </c>
      <c r="M5290" t="str">
        <f t="shared" si="247"/>
        <v>Nov</v>
      </c>
      <c r="N5290" s="2">
        <f t="shared" si="248"/>
        <v>5.2606624646539694E-2</v>
      </c>
    </row>
    <row r="5291" spans="1:14" x14ac:dyDescent="0.45">
      <c r="A5291" t="s">
        <v>9362</v>
      </c>
      <c r="B5291" s="1">
        <v>44812</v>
      </c>
      <c r="C5291" t="s">
        <v>9363</v>
      </c>
      <c r="D5291" t="s">
        <v>56</v>
      </c>
      <c r="E5291" t="s">
        <v>36</v>
      </c>
      <c r="F5291" t="s">
        <v>46</v>
      </c>
      <c r="G5291">
        <v>4</v>
      </c>
      <c r="H5291">
        <v>40378.75</v>
      </c>
      <c r="I5291">
        <v>6670.54</v>
      </c>
      <c r="J5291" t="s">
        <v>47</v>
      </c>
      <c r="K5291" t="s">
        <v>23</v>
      </c>
      <c r="L5291">
        <f t="shared" si="246"/>
        <v>2022</v>
      </c>
      <c r="M5291" t="str">
        <f t="shared" si="247"/>
        <v>Sep</v>
      </c>
      <c r="N5291" s="2">
        <f t="shared" si="248"/>
        <v>0.16519926941770113</v>
      </c>
    </row>
    <row r="5292" spans="1:14" x14ac:dyDescent="0.45">
      <c r="A5292" t="s">
        <v>9364</v>
      </c>
      <c r="B5292" s="1">
        <v>44688</v>
      </c>
      <c r="C5292" t="s">
        <v>9365</v>
      </c>
      <c r="D5292" t="s">
        <v>26</v>
      </c>
      <c r="E5292" t="s">
        <v>36</v>
      </c>
      <c r="F5292" t="s">
        <v>53</v>
      </c>
      <c r="G5292">
        <v>4</v>
      </c>
      <c r="H5292">
        <v>9343.49</v>
      </c>
      <c r="I5292">
        <v>499.34</v>
      </c>
      <c r="J5292" t="s">
        <v>22</v>
      </c>
      <c r="K5292" t="s">
        <v>29</v>
      </c>
      <c r="L5292">
        <f t="shared" si="246"/>
        <v>2022</v>
      </c>
      <c r="M5292" t="str">
        <f t="shared" si="247"/>
        <v>May</v>
      </c>
      <c r="N5292" s="2">
        <f t="shared" si="248"/>
        <v>5.344255733136119E-2</v>
      </c>
    </row>
    <row r="5293" spans="1:14" x14ac:dyDescent="0.45">
      <c r="A5293" t="s">
        <v>9366</v>
      </c>
      <c r="B5293" s="1">
        <v>45009</v>
      </c>
      <c r="C5293" t="s">
        <v>9367</v>
      </c>
      <c r="D5293" t="s">
        <v>26</v>
      </c>
      <c r="E5293" t="s">
        <v>14</v>
      </c>
      <c r="F5293" t="s">
        <v>15</v>
      </c>
      <c r="G5293">
        <v>2</v>
      </c>
      <c r="H5293">
        <v>43906.83</v>
      </c>
      <c r="I5293">
        <v>2759.53</v>
      </c>
      <c r="J5293" t="s">
        <v>22</v>
      </c>
      <c r="K5293" t="s">
        <v>33</v>
      </c>
      <c r="L5293">
        <f t="shared" si="246"/>
        <v>2023</v>
      </c>
      <c r="M5293" t="str">
        <f t="shared" si="247"/>
        <v>Mar</v>
      </c>
      <c r="N5293" s="2">
        <f t="shared" si="248"/>
        <v>6.2849675096106922E-2</v>
      </c>
    </row>
    <row r="5294" spans="1:14" x14ac:dyDescent="0.45">
      <c r="A5294" t="s">
        <v>9368</v>
      </c>
      <c r="B5294" s="1">
        <v>44734</v>
      </c>
      <c r="C5294" t="s">
        <v>9369</v>
      </c>
      <c r="D5294" t="s">
        <v>56</v>
      </c>
      <c r="E5294" t="s">
        <v>36</v>
      </c>
      <c r="F5294" t="s">
        <v>46</v>
      </c>
      <c r="G5294">
        <v>2</v>
      </c>
      <c r="H5294">
        <v>47266.11</v>
      </c>
      <c r="I5294">
        <v>9084.11</v>
      </c>
      <c r="J5294" t="s">
        <v>71</v>
      </c>
      <c r="K5294" t="s">
        <v>33</v>
      </c>
      <c r="L5294">
        <f t="shared" si="246"/>
        <v>2022</v>
      </c>
      <c r="M5294" t="str">
        <f t="shared" si="247"/>
        <v>Jun</v>
      </c>
      <c r="N5294" s="2">
        <f t="shared" si="248"/>
        <v>0.19219076839621455</v>
      </c>
    </row>
    <row r="5295" spans="1:14" x14ac:dyDescent="0.45">
      <c r="A5295" t="s">
        <v>9370</v>
      </c>
      <c r="B5295" s="1">
        <v>44671</v>
      </c>
      <c r="C5295" t="s">
        <v>9371</v>
      </c>
      <c r="D5295" t="s">
        <v>56</v>
      </c>
      <c r="E5295" t="s">
        <v>20</v>
      </c>
      <c r="F5295" t="s">
        <v>21</v>
      </c>
      <c r="G5295">
        <v>1</v>
      </c>
      <c r="H5295">
        <v>30051.49</v>
      </c>
      <c r="I5295">
        <v>6346.86</v>
      </c>
      <c r="J5295" t="s">
        <v>47</v>
      </c>
      <c r="K5295" t="s">
        <v>33</v>
      </c>
      <c r="L5295">
        <f t="shared" si="246"/>
        <v>2022</v>
      </c>
      <c r="M5295" t="str">
        <f t="shared" si="247"/>
        <v>Apr</v>
      </c>
      <c r="N5295" s="2">
        <f t="shared" si="248"/>
        <v>0.21119951123887698</v>
      </c>
    </row>
    <row r="5296" spans="1:14" x14ac:dyDescent="0.45">
      <c r="A5296" t="s">
        <v>9372</v>
      </c>
      <c r="B5296" s="1">
        <v>44786</v>
      </c>
      <c r="C5296" t="s">
        <v>5861</v>
      </c>
      <c r="D5296" t="s">
        <v>13</v>
      </c>
      <c r="E5296" t="s">
        <v>20</v>
      </c>
      <c r="F5296" t="s">
        <v>21</v>
      </c>
      <c r="G5296">
        <v>5</v>
      </c>
      <c r="H5296">
        <v>751.28</v>
      </c>
      <c r="I5296">
        <v>120.47</v>
      </c>
      <c r="J5296" t="s">
        <v>47</v>
      </c>
      <c r="K5296" t="s">
        <v>29</v>
      </c>
      <c r="L5296">
        <f t="shared" si="246"/>
        <v>2022</v>
      </c>
      <c r="M5296" t="str">
        <f t="shared" si="247"/>
        <v>Aug</v>
      </c>
      <c r="N5296" s="2">
        <f t="shared" si="248"/>
        <v>0.16035299755084656</v>
      </c>
    </row>
    <row r="5297" spans="1:14" x14ac:dyDescent="0.45">
      <c r="A5297" t="s">
        <v>9373</v>
      </c>
      <c r="B5297" s="1">
        <v>45604</v>
      </c>
      <c r="C5297" t="s">
        <v>9374</v>
      </c>
      <c r="D5297" t="s">
        <v>56</v>
      </c>
      <c r="E5297" t="s">
        <v>14</v>
      </c>
      <c r="F5297" t="s">
        <v>32</v>
      </c>
      <c r="G5297">
        <v>4</v>
      </c>
      <c r="H5297">
        <v>2776.12</v>
      </c>
      <c r="I5297">
        <v>557.87</v>
      </c>
      <c r="J5297" t="s">
        <v>16</v>
      </c>
      <c r="K5297" t="s">
        <v>29</v>
      </c>
      <c r="L5297">
        <f t="shared" si="246"/>
        <v>2024</v>
      </c>
      <c r="M5297" t="str">
        <f t="shared" si="247"/>
        <v>Nov</v>
      </c>
      <c r="N5297" s="2">
        <f t="shared" si="248"/>
        <v>0.20095312882728414</v>
      </c>
    </row>
    <row r="5298" spans="1:14" x14ac:dyDescent="0.45">
      <c r="A5298" t="s">
        <v>9375</v>
      </c>
      <c r="B5298" s="1">
        <v>45599</v>
      </c>
      <c r="C5298" t="s">
        <v>9376</v>
      </c>
      <c r="D5298" t="s">
        <v>56</v>
      </c>
      <c r="E5298" t="s">
        <v>14</v>
      </c>
      <c r="F5298" t="s">
        <v>32</v>
      </c>
      <c r="G5298">
        <v>2</v>
      </c>
      <c r="H5298">
        <v>35654.99</v>
      </c>
      <c r="I5298">
        <v>4596.33</v>
      </c>
      <c r="J5298" t="s">
        <v>22</v>
      </c>
      <c r="K5298" t="s">
        <v>23</v>
      </c>
      <c r="L5298">
        <f t="shared" si="246"/>
        <v>2024</v>
      </c>
      <c r="M5298" t="str">
        <f t="shared" si="247"/>
        <v>Nov</v>
      </c>
      <c r="N5298" s="2">
        <f t="shared" si="248"/>
        <v>0.12891126880136553</v>
      </c>
    </row>
    <row r="5299" spans="1:14" x14ac:dyDescent="0.45">
      <c r="A5299" t="s">
        <v>9377</v>
      </c>
      <c r="B5299" s="1">
        <v>45248</v>
      </c>
      <c r="C5299" t="s">
        <v>9378</v>
      </c>
      <c r="D5299" t="s">
        <v>56</v>
      </c>
      <c r="E5299" t="s">
        <v>36</v>
      </c>
      <c r="F5299" t="s">
        <v>46</v>
      </c>
      <c r="G5299">
        <v>1</v>
      </c>
      <c r="H5299">
        <v>47697.33</v>
      </c>
      <c r="I5299">
        <v>6966.87</v>
      </c>
      <c r="J5299" t="s">
        <v>22</v>
      </c>
      <c r="K5299" t="s">
        <v>33</v>
      </c>
      <c r="L5299">
        <f t="shared" si="246"/>
        <v>2023</v>
      </c>
      <c r="M5299" t="str">
        <f t="shared" si="247"/>
        <v>Nov</v>
      </c>
      <c r="N5299" s="2">
        <f t="shared" si="248"/>
        <v>0.14606415076064005</v>
      </c>
    </row>
    <row r="5300" spans="1:14" x14ac:dyDescent="0.45">
      <c r="A5300" t="s">
        <v>9379</v>
      </c>
      <c r="B5300" s="1">
        <v>45291</v>
      </c>
      <c r="C5300" t="s">
        <v>9380</v>
      </c>
      <c r="D5300" t="s">
        <v>26</v>
      </c>
      <c r="E5300" t="s">
        <v>36</v>
      </c>
      <c r="F5300" t="s">
        <v>46</v>
      </c>
      <c r="G5300">
        <v>2</v>
      </c>
      <c r="H5300">
        <v>40344.199999999997</v>
      </c>
      <c r="I5300">
        <v>7966.13</v>
      </c>
      <c r="J5300" t="s">
        <v>71</v>
      </c>
      <c r="K5300" t="s">
        <v>23</v>
      </c>
      <c r="L5300">
        <f t="shared" si="246"/>
        <v>2023</v>
      </c>
      <c r="M5300" t="str">
        <f t="shared" si="247"/>
        <v>Dec</v>
      </c>
      <c r="N5300" s="2">
        <f t="shared" si="248"/>
        <v>0.19745415697919405</v>
      </c>
    </row>
    <row r="5301" spans="1:14" x14ac:dyDescent="0.45">
      <c r="A5301" t="s">
        <v>9381</v>
      </c>
      <c r="B5301" s="1">
        <v>45027</v>
      </c>
      <c r="C5301" t="s">
        <v>9382</v>
      </c>
      <c r="D5301" t="s">
        <v>56</v>
      </c>
      <c r="E5301" t="s">
        <v>36</v>
      </c>
      <c r="F5301" t="s">
        <v>46</v>
      </c>
      <c r="G5301">
        <v>5</v>
      </c>
      <c r="H5301">
        <v>31356.9</v>
      </c>
      <c r="I5301">
        <v>4742.93</v>
      </c>
      <c r="J5301" t="s">
        <v>47</v>
      </c>
      <c r="K5301" t="s">
        <v>33</v>
      </c>
      <c r="L5301">
        <f t="shared" si="246"/>
        <v>2023</v>
      </c>
      <c r="M5301" t="str">
        <f t="shared" si="247"/>
        <v>Apr</v>
      </c>
      <c r="N5301" s="2">
        <f t="shared" si="248"/>
        <v>0.15125634230424564</v>
      </c>
    </row>
    <row r="5302" spans="1:14" x14ac:dyDescent="0.45">
      <c r="A5302" t="s">
        <v>9383</v>
      </c>
      <c r="B5302" s="1">
        <v>44731</v>
      </c>
      <c r="C5302" t="s">
        <v>287</v>
      </c>
      <c r="D5302" t="s">
        <v>56</v>
      </c>
      <c r="E5302" t="s">
        <v>14</v>
      </c>
      <c r="F5302" t="s">
        <v>15</v>
      </c>
      <c r="G5302">
        <v>1</v>
      </c>
      <c r="H5302">
        <v>11215.28</v>
      </c>
      <c r="I5302">
        <v>1399.23</v>
      </c>
      <c r="J5302" t="s">
        <v>47</v>
      </c>
      <c r="K5302" t="s">
        <v>33</v>
      </c>
      <c r="L5302">
        <f t="shared" si="246"/>
        <v>2022</v>
      </c>
      <c r="M5302" t="str">
        <f t="shared" si="247"/>
        <v>Jun</v>
      </c>
      <c r="N5302" s="2">
        <f t="shared" si="248"/>
        <v>0.12476104029502606</v>
      </c>
    </row>
    <row r="5303" spans="1:14" x14ac:dyDescent="0.45">
      <c r="A5303" t="s">
        <v>9384</v>
      </c>
      <c r="B5303" s="1">
        <v>45307</v>
      </c>
      <c r="C5303" t="s">
        <v>6026</v>
      </c>
      <c r="D5303" t="s">
        <v>56</v>
      </c>
      <c r="E5303" t="s">
        <v>36</v>
      </c>
      <c r="F5303" t="s">
        <v>46</v>
      </c>
      <c r="G5303">
        <v>1</v>
      </c>
      <c r="H5303">
        <v>14140.48</v>
      </c>
      <c r="I5303">
        <v>1201.43</v>
      </c>
      <c r="J5303" t="s">
        <v>28</v>
      </c>
      <c r="K5303" t="s">
        <v>29</v>
      </c>
      <c r="L5303">
        <f t="shared" si="246"/>
        <v>2024</v>
      </c>
      <c r="M5303" t="str">
        <f t="shared" si="247"/>
        <v>Jan</v>
      </c>
      <c r="N5303" s="2">
        <f t="shared" si="248"/>
        <v>8.496387675665891E-2</v>
      </c>
    </row>
    <row r="5304" spans="1:14" x14ac:dyDescent="0.45">
      <c r="A5304" t="s">
        <v>9385</v>
      </c>
      <c r="B5304" s="1">
        <v>45283</v>
      </c>
      <c r="C5304" t="s">
        <v>9386</v>
      </c>
      <c r="D5304" t="s">
        <v>13</v>
      </c>
      <c r="E5304" t="s">
        <v>20</v>
      </c>
      <c r="F5304" t="s">
        <v>50</v>
      </c>
      <c r="G5304">
        <v>1</v>
      </c>
      <c r="H5304">
        <v>42641.59</v>
      </c>
      <c r="I5304">
        <v>3148.26</v>
      </c>
      <c r="J5304" t="s">
        <v>71</v>
      </c>
      <c r="K5304" t="s">
        <v>29</v>
      </c>
      <c r="L5304">
        <f t="shared" si="246"/>
        <v>2023</v>
      </c>
      <c r="M5304" t="str">
        <f t="shared" si="247"/>
        <v>Dec</v>
      </c>
      <c r="N5304" s="2">
        <f t="shared" si="248"/>
        <v>7.3830736611838366E-2</v>
      </c>
    </row>
    <row r="5305" spans="1:14" x14ac:dyDescent="0.45">
      <c r="A5305" t="s">
        <v>9387</v>
      </c>
      <c r="B5305" s="1">
        <v>44985</v>
      </c>
      <c r="C5305" t="s">
        <v>3004</v>
      </c>
      <c r="D5305" t="s">
        <v>56</v>
      </c>
      <c r="E5305" t="s">
        <v>36</v>
      </c>
      <c r="F5305" t="s">
        <v>46</v>
      </c>
      <c r="G5305">
        <v>2</v>
      </c>
      <c r="H5305">
        <v>29331.97</v>
      </c>
      <c r="I5305">
        <v>3408.89</v>
      </c>
      <c r="J5305" t="s">
        <v>71</v>
      </c>
      <c r="K5305" t="s">
        <v>17</v>
      </c>
      <c r="L5305">
        <f t="shared" si="246"/>
        <v>2023</v>
      </c>
      <c r="M5305" t="str">
        <f t="shared" si="247"/>
        <v>Feb</v>
      </c>
      <c r="N5305" s="2">
        <f t="shared" si="248"/>
        <v>0.11621756056616721</v>
      </c>
    </row>
    <row r="5306" spans="1:14" x14ac:dyDescent="0.45">
      <c r="A5306" t="s">
        <v>9388</v>
      </c>
      <c r="B5306" s="1">
        <v>44843</v>
      </c>
      <c r="C5306" t="s">
        <v>9389</v>
      </c>
      <c r="D5306" t="s">
        <v>56</v>
      </c>
      <c r="E5306" t="s">
        <v>36</v>
      </c>
      <c r="F5306" t="s">
        <v>64</v>
      </c>
      <c r="G5306">
        <v>4</v>
      </c>
      <c r="H5306">
        <v>22068.95</v>
      </c>
      <c r="I5306">
        <v>3997.87</v>
      </c>
      <c r="J5306" t="s">
        <v>16</v>
      </c>
      <c r="K5306" t="s">
        <v>29</v>
      </c>
      <c r="L5306">
        <f t="shared" si="246"/>
        <v>2022</v>
      </c>
      <c r="M5306" t="str">
        <f t="shared" si="247"/>
        <v>Oct</v>
      </c>
      <c r="N5306" s="2">
        <f t="shared" si="248"/>
        <v>0.18115361174863326</v>
      </c>
    </row>
    <row r="5307" spans="1:14" x14ac:dyDescent="0.45">
      <c r="A5307" t="s">
        <v>9390</v>
      </c>
      <c r="B5307" s="1">
        <v>44998</v>
      </c>
      <c r="C5307" t="s">
        <v>9391</v>
      </c>
      <c r="D5307" t="s">
        <v>13</v>
      </c>
      <c r="E5307" t="s">
        <v>14</v>
      </c>
      <c r="F5307" t="s">
        <v>15</v>
      </c>
      <c r="G5307">
        <v>2</v>
      </c>
      <c r="H5307">
        <v>24643.279999999999</v>
      </c>
      <c r="I5307">
        <v>4104.26</v>
      </c>
      <c r="J5307" t="s">
        <v>28</v>
      </c>
      <c r="K5307" t="s">
        <v>17</v>
      </c>
      <c r="L5307">
        <f t="shared" si="246"/>
        <v>2023</v>
      </c>
      <c r="M5307" t="str">
        <f t="shared" si="247"/>
        <v>Mar</v>
      </c>
      <c r="N5307" s="2">
        <f t="shared" si="248"/>
        <v>0.16654682331248113</v>
      </c>
    </row>
    <row r="5308" spans="1:14" x14ac:dyDescent="0.45">
      <c r="A5308" t="s">
        <v>9392</v>
      </c>
      <c r="B5308" s="1">
        <v>44984</v>
      </c>
      <c r="C5308" t="s">
        <v>9393</v>
      </c>
      <c r="D5308" t="s">
        <v>56</v>
      </c>
      <c r="E5308" t="s">
        <v>36</v>
      </c>
      <c r="F5308" t="s">
        <v>53</v>
      </c>
      <c r="G5308">
        <v>1</v>
      </c>
      <c r="H5308">
        <v>2429.04</v>
      </c>
      <c r="I5308">
        <v>395.97</v>
      </c>
      <c r="J5308" t="s">
        <v>22</v>
      </c>
      <c r="K5308" t="s">
        <v>29</v>
      </c>
      <c r="L5308">
        <f t="shared" si="246"/>
        <v>2023</v>
      </c>
      <c r="M5308" t="str">
        <f t="shared" si="247"/>
        <v>Feb</v>
      </c>
      <c r="N5308" s="2">
        <f t="shared" si="248"/>
        <v>0.16301501827882622</v>
      </c>
    </row>
    <row r="5309" spans="1:14" x14ac:dyDescent="0.45">
      <c r="A5309" t="s">
        <v>9394</v>
      </c>
      <c r="B5309" s="1">
        <v>44790</v>
      </c>
      <c r="C5309" t="s">
        <v>9395</v>
      </c>
      <c r="D5309" t="s">
        <v>26</v>
      </c>
      <c r="E5309" t="s">
        <v>36</v>
      </c>
      <c r="F5309" t="s">
        <v>53</v>
      </c>
      <c r="G5309">
        <v>4</v>
      </c>
      <c r="H5309">
        <v>37019.620000000003</v>
      </c>
      <c r="I5309">
        <v>7381.5</v>
      </c>
      <c r="J5309" t="s">
        <v>16</v>
      </c>
      <c r="K5309" t="s">
        <v>33</v>
      </c>
      <c r="L5309">
        <f t="shared" si="246"/>
        <v>2022</v>
      </c>
      <c r="M5309" t="str">
        <f t="shared" si="247"/>
        <v>Aug</v>
      </c>
      <c r="N5309" s="2">
        <f t="shared" si="248"/>
        <v>0.19939426714806904</v>
      </c>
    </row>
    <row r="5310" spans="1:14" x14ac:dyDescent="0.45">
      <c r="A5310" t="s">
        <v>9396</v>
      </c>
      <c r="B5310" s="1">
        <v>45395</v>
      </c>
      <c r="C5310" t="s">
        <v>9397</v>
      </c>
      <c r="D5310" t="s">
        <v>26</v>
      </c>
      <c r="E5310" t="s">
        <v>36</v>
      </c>
      <c r="F5310" t="s">
        <v>64</v>
      </c>
      <c r="G5310">
        <v>2</v>
      </c>
      <c r="H5310">
        <v>32472.13</v>
      </c>
      <c r="I5310">
        <v>3314.24</v>
      </c>
      <c r="J5310" t="s">
        <v>22</v>
      </c>
      <c r="K5310" t="s">
        <v>33</v>
      </c>
      <c r="L5310">
        <f t="shared" si="246"/>
        <v>2024</v>
      </c>
      <c r="M5310" t="str">
        <f t="shared" si="247"/>
        <v>Apr</v>
      </c>
      <c r="N5310" s="2">
        <f t="shared" si="248"/>
        <v>0.10206413930961719</v>
      </c>
    </row>
    <row r="5311" spans="1:14" x14ac:dyDescent="0.45">
      <c r="A5311" t="s">
        <v>9398</v>
      </c>
      <c r="B5311" s="1">
        <v>45254</v>
      </c>
      <c r="C5311" t="s">
        <v>9399</v>
      </c>
      <c r="D5311" t="s">
        <v>26</v>
      </c>
      <c r="E5311" t="s">
        <v>14</v>
      </c>
      <c r="F5311" t="s">
        <v>57</v>
      </c>
      <c r="G5311">
        <v>1</v>
      </c>
      <c r="H5311">
        <v>18143.47</v>
      </c>
      <c r="I5311">
        <v>1427.58</v>
      </c>
      <c r="J5311" t="s">
        <v>28</v>
      </c>
      <c r="K5311" t="s">
        <v>17</v>
      </c>
      <c r="L5311">
        <f t="shared" si="246"/>
        <v>2023</v>
      </c>
      <c r="M5311" t="str">
        <f t="shared" si="247"/>
        <v>Nov</v>
      </c>
      <c r="N5311" s="2">
        <f t="shared" si="248"/>
        <v>7.8682853941390477E-2</v>
      </c>
    </row>
    <row r="5312" spans="1:14" x14ac:dyDescent="0.45">
      <c r="A5312" t="s">
        <v>9400</v>
      </c>
      <c r="B5312" s="1">
        <v>45286</v>
      </c>
      <c r="C5312" t="s">
        <v>9401</v>
      </c>
      <c r="D5312" t="s">
        <v>13</v>
      </c>
      <c r="E5312" t="s">
        <v>14</v>
      </c>
      <c r="F5312" t="s">
        <v>57</v>
      </c>
      <c r="G5312">
        <v>1</v>
      </c>
      <c r="H5312">
        <v>35455.800000000003</v>
      </c>
      <c r="I5312">
        <v>2413.8000000000002</v>
      </c>
      <c r="J5312" t="s">
        <v>47</v>
      </c>
      <c r="K5312" t="s">
        <v>23</v>
      </c>
      <c r="L5312">
        <f t="shared" si="246"/>
        <v>2023</v>
      </c>
      <c r="M5312" t="str">
        <f t="shared" si="247"/>
        <v>Dec</v>
      </c>
      <c r="N5312" s="2">
        <f t="shared" si="248"/>
        <v>6.8079129507725114E-2</v>
      </c>
    </row>
    <row r="5313" spans="1:14" x14ac:dyDescent="0.45">
      <c r="A5313" t="s">
        <v>9402</v>
      </c>
      <c r="B5313" s="1">
        <v>44688</v>
      </c>
      <c r="C5313" t="s">
        <v>9403</v>
      </c>
      <c r="D5313" t="s">
        <v>13</v>
      </c>
      <c r="E5313" t="s">
        <v>20</v>
      </c>
      <c r="F5313" t="s">
        <v>43</v>
      </c>
      <c r="G5313">
        <v>2</v>
      </c>
      <c r="H5313">
        <v>25790.67</v>
      </c>
      <c r="I5313">
        <v>1929.57</v>
      </c>
      <c r="J5313" t="s">
        <v>47</v>
      </c>
      <c r="K5313" t="s">
        <v>23</v>
      </c>
      <c r="L5313">
        <f t="shared" si="246"/>
        <v>2022</v>
      </c>
      <c r="M5313" t="str">
        <f t="shared" si="247"/>
        <v>May</v>
      </c>
      <c r="N5313" s="2">
        <f t="shared" si="248"/>
        <v>7.481659065080512E-2</v>
      </c>
    </row>
    <row r="5314" spans="1:14" x14ac:dyDescent="0.45">
      <c r="A5314" t="s">
        <v>9404</v>
      </c>
      <c r="B5314" s="1">
        <v>45054</v>
      </c>
      <c r="C5314" t="s">
        <v>9405</v>
      </c>
      <c r="D5314" t="s">
        <v>26</v>
      </c>
      <c r="E5314" t="s">
        <v>14</v>
      </c>
      <c r="F5314" t="s">
        <v>57</v>
      </c>
      <c r="G5314">
        <v>5</v>
      </c>
      <c r="H5314">
        <v>27266.91</v>
      </c>
      <c r="I5314">
        <v>3170.13</v>
      </c>
      <c r="J5314" t="s">
        <v>47</v>
      </c>
      <c r="K5314" t="s">
        <v>33</v>
      </c>
      <c r="L5314">
        <f t="shared" si="246"/>
        <v>2023</v>
      </c>
      <c r="M5314" t="str">
        <f t="shared" si="247"/>
        <v>May</v>
      </c>
      <c r="N5314" s="2">
        <f t="shared" si="248"/>
        <v>0.11626289887633033</v>
      </c>
    </row>
    <row r="5315" spans="1:14" x14ac:dyDescent="0.45">
      <c r="A5315" t="s">
        <v>9406</v>
      </c>
      <c r="B5315" s="1">
        <v>44868</v>
      </c>
      <c r="C5315" t="s">
        <v>9407</v>
      </c>
      <c r="D5315" t="s">
        <v>26</v>
      </c>
      <c r="E5315" t="s">
        <v>20</v>
      </c>
      <c r="F5315" t="s">
        <v>50</v>
      </c>
      <c r="G5315">
        <v>2</v>
      </c>
      <c r="H5315">
        <v>3047.6</v>
      </c>
      <c r="I5315">
        <v>416.41</v>
      </c>
      <c r="J5315" t="s">
        <v>47</v>
      </c>
      <c r="K5315" t="s">
        <v>33</v>
      </c>
      <c r="L5315">
        <f t="shared" ref="L5315:L5378" si="249">YEAR(B5315 )</f>
        <v>2022</v>
      </c>
      <c r="M5315" t="str">
        <f t="shared" ref="M5315:M5378" si="250">TEXT(B5315,"MMM")</f>
        <v>Nov</v>
      </c>
      <c r="N5315" s="2">
        <f t="shared" ref="N5315:N5378" si="251">I5315 / H5315</f>
        <v>0.13663538522115765</v>
      </c>
    </row>
    <row r="5316" spans="1:14" x14ac:dyDescent="0.45">
      <c r="A5316" t="s">
        <v>9408</v>
      </c>
      <c r="B5316" s="1">
        <v>44847</v>
      </c>
      <c r="C5316" t="s">
        <v>1175</v>
      </c>
      <c r="D5316" t="s">
        <v>26</v>
      </c>
      <c r="E5316" t="s">
        <v>36</v>
      </c>
      <c r="F5316" t="s">
        <v>64</v>
      </c>
      <c r="G5316">
        <v>4</v>
      </c>
      <c r="H5316">
        <v>27278.43</v>
      </c>
      <c r="I5316">
        <v>5273.82</v>
      </c>
      <c r="J5316" t="s">
        <v>47</v>
      </c>
      <c r="K5316" t="s">
        <v>23</v>
      </c>
      <c r="L5316">
        <f t="shared" si="249"/>
        <v>2022</v>
      </c>
      <c r="M5316" t="str">
        <f t="shared" si="250"/>
        <v>Oct</v>
      </c>
      <c r="N5316" s="2">
        <f t="shared" si="251"/>
        <v>0.19333297407512087</v>
      </c>
    </row>
    <row r="5317" spans="1:14" x14ac:dyDescent="0.45">
      <c r="A5317" t="s">
        <v>9409</v>
      </c>
      <c r="B5317" s="1">
        <v>45427</v>
      </c>
      <c r="C5317" t="s">
        <v>9320</v>
      </c>
      <c r="D5317" t="s">
        <v>26</v>
      </c>
      <c r="E5317" t="s">
        <v>14</v>
      </c>
      <c r="F5317" t="s">
        <v>15</v>
      </c>
      <c r="G5317">
        <v>2</v>
      </c>
      <c r="H5317">
        <v>24758.76</v>
      </c>
      <c r="I5317">
        <v>6159.12</v>
      </c>
      <c r="J5317" t="s">
        <v>71</v>
      </c>
      <c r="K5317" t="s">
        <v>17</v>
      </c>
      <c r="L5317">
        <f t="shared" si="249"/>
        <v>2024</v>
      </c>
      <c r="M5317" t="str">
        <f t="shared" si="250"/>
        <v>May</v>
      </c>
      <c r="N5317" s="2">
        <f t="shared" si="251"/>
        <v>0.24876528549895069</v>
      </c>
    </row>
    <row r="5318" spans="1:14" x14ac:dyDescent="0.45">
      <c r="A5318" t="s">
        <v>9410</v>
      </c>
      <c r="B5318" s="1">
        <v>45053</v>
      </c>
      <c r="C5318" t="s">
        <v>5885</v>
      </c>
      <c r="D5318" t="s">
        <v>13</v>
      </c>
      <c r="E5318" t="s">
        <v>20</v>
      </c>
      <c r="F5318" t="s">
        <v>21</v>
      </c>
      <c r="G5318">
        <v>3</v>
      </c>
      <c r="H5318">
        <v>47055.18</v>
      </c>
      <c r="I5318">
        <v>2436.33</v>
      </c>
      <c r="J5318" t="s">
        <v>71</v>
      </c>
      <c r="K5318" t="s">
        <v>29</v>
      </c>
      <c r="L5318">
        <f t="shared" si="249"/>
        <v>2023</v>
      </c>
      <c r="M5318" t="str">
        <f t="shared" si="250"/>
        <v>May</v>
      </c>
      <c r="N5318" s="2">
        <f t="shared" si="251"/>
        <v>5.1776021258445937E-2</v>
      </c>
    </row>
    <row r="5319" spans="1:14" x14ac:dyDescent="0.45">
      <c r="A5319" t="s">
        <v>9411</v>
      </c>
      <c r="B5319" s="1">
        <v>44870</v>
      </c>
      <c r="C5319" t="s">
        <v>2878</v>
      </c>
      <c r="D5319" t="s">
        <v>26</v>
      </c>
      <c r="E5319" t="s">
        <v>14</v>
      </c>
      <c r="F5319" t="s">
        <v>40</v>
      </c>
      <c r="G5319">
        <v>2</v>
      </c>
      <c r="H5319">
        <v>27547.21</v>
      </c>
      <c r="I5319">
        <v>1683.83</v>
      </c>
      <c r="J5319" t="s">
        <v>22</v>
      </c>
      <c r="K5319" t="s">
        <v>23</v>
      </c>
      <c r="L5319">
        <f t="shared" si="249"/>
        <v>2022</v>
      </c>
      <c r="M5319" t="str">
        <f t="shared" si="250"/>
        <v>Nov</v>
      </c>
      <c r="N5319" s="2">
        <f t="shared" si="251"/>
        <v>6.112524644056512E-2</v>
      </c>
    </row>
    <row r="5320" spans="1:14" x14ac:dyDescent="0.45">
      <c r="A5320" t="s">
        <v>9412</v>
      </c>
      <c r="B5320" s="1">
        <v>45350</v>
      </c>
      <c r="C5320" t="s">
        <v>9413</v>
      </c>
      <c r="D5320" t="s">
        <v>56</v>
      </c>
      <c r="E5320" t="s">
        <v>36</v>
      </c>
      <c r="F5320" t="s">
        <v>37</v>
      </c>
      <c r="G5320">
        <v>3</v>
      </c>
      <c r="H5320">
        <v>46609.08</v>
      </c>
      <c r="I5320">
        <v>6189.6</v>
      </c>
      <c r="J5320" t="s">
        <v>47</v>
      </c>
      <c r="K5320" t="s">
        <v>33</v>
      </c>
      <c r="L5320">
        <f t="shared" si="249"/>
        <v>2024</v>
      </c>
      <c r="M5320" t="str">
        <f t="shared" si="250"/>
        <v>Feb</v>
      </c>
      <c r="N5320" s="2">
        <f t="shared" si="251"/>
        <v>0.13279815864205</v>
      </c>
    </row>
    <row r="5321" spans="1:14" x14ac:dyDescent="0.45">
      <c r="A5321" t="s">
        <v>9414</v>
      </c>
      <c r="B5321" s="1">
        <v>45490</v>
      </c>
      <c r="C5321" t="s">
        <v>9415</v>
      </c>
      <c r="D5321" t="s">
        <v>26</v>
      </c>
      <c r="E5321" t="s">
        <v>14</v>
      </c>
      <c r="F5321" t="s">
        <v>57</v>
      </c>
      <c r="G5321">
        <v>2</v>
      </c>
      <c r="H5321">
        <v>15771.61</v>
      </c>
      <c r="I5321">
        <v>3400.87</v>
      </c>
      <c r="J5321" t="s">
        <v>47</v>
      </c>
      <c r="K5321" t="s">
        <v>23</v>
      </c>
      <c r="L5321">
        <f t="shared" si="249"/>
        <v>2024</v>
      </c>
      <c r="M5321" t="str">
        <f t="shared" si="250"/>
        <v>Jul</v>
      </c>
      <c r="N5321" s="2">
        <f t="shared" si="251"/>
        <v>0.2156323926346137</v>
      </c>
    </row>
    <row r="5322" spans="1:14" x14ac:dyDescent="0.45">
      <c r="A5322" t="s">
        <v>9416</v>
      </c>
      <c r="B5322" s="1">
        <v>44970</v>
      </c>
      <c r="C5322" t="s">
        <v>9417</v>
      </c>
      <c r="D5322" t="s">
        <v>26</v>
      </c>
      <c r="E5322" t="s">
        <v>14</v>
      </c>
      <c r="F5322" t="s">
        <v>40</v>
      </c>
      <c r="G5322">
        <v>3</v>
      </c>
      <c r="H5322">
        <v>20160.169999999998</v>
      </c>
      <c r="I5322">
        <v>1793.41</v>
      </c>
      <c r="J5322" t="s">
        <v>28</v>
      </c>
      <c r="K5322" t="s">
        <v>29</v>
      </c>
      <c r="L5322">
        <f t="shared" si="249"/>
        <v>2023</v>
      </c>
      <c r="M5322" t="str">
        <f t="shared" si="250"/>
        <v>Feb</v>
      </c>
      <c r="N5322" s="2">
        <f t="shared" si="251"/>
        <v>8.8958079222546255E-2</v>
      </c>
    </row>
    <row r="5323" spans="1:14" x14ac:dyDescent="0.45">
      <c r="A5323" t="s">
        <v>9418</v>
      </c>
      <c r="B5323" s="1">
        <v>45237</v>
      </c>
      <c r="C5323" t="s">
        <v>9419</v>
      </c>
      <c r="D5323" t="s">
        <v>13</v>
      </c>
      <c r="E5323" t="s">
        <v>36</v>
      </c>
      <c r="F5323" t="s">
        <v>53</v>
      </c>
      <c r="G5323">
        <v>2</v>
      </c>
      <c r="H5323">
        <v>5498.94</v>
      </c>
      <c r="I5323">
        <v>405.87</v>
      </c>
      <c r="J5323" t="s">
        <v>28</v>
      </c>
      <c r="K5323" t="s">
        <v>17</v>
      </c>
      <c r="L5323">
        <f t="shared" si="249"/>
        <v>2023</v>
      </c>
      <c r="M5323" t="str">
        <f t="shared" si="250"/>
        <v>Nov</v>
      </c>
      <c r="N5323" s="2">
        <f t="shared" si="251"/>
        <v>7.380877041757139E-2</v>
      </c>
    </row>
    <row r="5324" spans="1:14" x14ac:dyDescent="0.45">
      <c r="A5324" t="s">
        <v>9420</v>
      </c>
      <c r="B5324" s="1">
        <v>44713</v>
      </c>
      <c r="C5324" t="s">
        <v>840</v>
      </c>
      <c r="D5324" t="s">
        <v>26</v>
      </c>
      <c r="E5324" t="s">
        <v>20</v>
      </c>
      <c r="F5324" t="s">
        <v>21</v>
      </c>
      <c r="G5324">
        <v>3</v>
      </c>
      <c r="H5324">
        <v>7916.16</v>
      </c>
      <c r="I5324">
        <v>1084.76</v>
      </c>
      <c r="J5324" t="s">
        <v>47</v>
      </c>
      <c r="K5324" t="s">
        <v>23</v>
      </c>
      <c r="L5324">
        <f t="shared" si="249"/>
        <v>2022</v>
      </c>
      <c r="M5324" t="str">
        <f t="shared" si="250"/>
        <v>Jun</v>
      </c>
      <c r="N5324" s="2">
        <f t="shared" si="251"/>
        <v>0.13703108577896353</v>
      </c>
    </row>
    <row r="5325" spans="1:14" x14ac:dyDescent="0.45">
      <c r="A5325" t="s">
        <v>9421</v>
      </c>
      <c r="B5325" s="1">
        <v>45276</v>
      </c>
      <c r="C5325" t="s">
        <v>9422</v>
      </c>
      <c r="D5325" t="s">
        <v>26</v>
      </c>
      <c r="E5325" t="s">
        <v>14</v>
      </c>
      <c r="F5325" t="s">
        <v>57</v>
      </c>
      <c r="G5325">
        <v>4</v>
      </c>
      <c r="H5325">
        <v>34522.29</v>
      </c>
      <c r="I5325">
        <v>4909.95</v>
      </c>
      <c r="J5325" t="s">
        <v>47</v>
      </c>
      <c r="K5325" t="s">
        <v>17</v>
      </c>
      <c r="L5325">
        <f t="shared" si="249"/>
        <v>2023</v>
      </c>
      <c r="M5325" t="str">
        <f t="shared" si="250"/>
        <v>Dec</v>
      </c>
      <c r="N5325" s="2">
        <f t="shared" si="251"/>
        <v>0.14222550126309697</v>
      </c>
    </row>
    <row r="5326" spans="1:14" x14ac:dyDescent="0.45">
      <c r="A5326" t="s">
        <v>9423</v>
      </c>
      <c r="B5326" s="1">
        <v>45513</v>
      </c>
      <c r="C5326" t="s">
        <v>4145</v>
      </c>
      <c r="D5326" t="s">
        <v>26</v>
      </c>
      <c r="E5326" t="s">
        <v>20</v>
      </c>
      <c r="F5326" t="s">
        <v>50</v>
      </c>
      <c r="G5326">
        <v>2</v>
      </c>
      <c r="H5326">
        <v>17611.75</v>
      </c>
      <c r="I5326">
        <v>2640.08</v>
      </c>
      <c r="J5326" t="s">
        <v>47</v>
      </c>
      <c r="K5326" t="s">
        <v>23</v>
      </c>
      <c r="L5326">
        <f t="shared" si="249"/>
        <v>2024</v>
      </c>
      <c r="M5326" t="str">
        <f t="shared" si="250"/>
        <v>Aug</v>
      </c>
      <c r="N5326" s="2">
        <f t="shared" si="251"/>
        <v>0.14990446718809886</v>
      </c>
    </row>
    <row r="5327" spans="1:14" x14ac:dyDescent="0.45">
      <c r="A5327" t="s">
        <v>9424</v>
      </c>
      <c r="B5327" s="1">
        <v>44583</v>
      </c>
      <c r="C5327" t="s">
        <v>9425</v>
      </c>
      <c r="D5327" t="s">
        <v>26</v>
      </c>
      <c r="E5327" t="s">
        <v>20</v>
      </c>
      <c r="F5327" t="s">
        <v>21</v>
      </c>
      <c r="G5327">
        <v>2</v>
      </c>
      <c r="H5327">
        <v>41421.15</v>
      </c>
      <c r="I5327">
        <v>4204.59</v>
      </c>
      <c r="J5327" t="s">
        <v>16</v>
      </c>
      <c r="K5327" t="s">
        <v>23</v>
      </c>
      <c r="L5327">
        <f t="shared" si="249"/>
        <v>2022</v>
      </c>
      <c r="M5327" t="str">
        <f t="shared" si="250"/>
        <v>Jan</v>
      </c>
      <c r="N5327" s="2">
        <f t="shared" si="251"/>
        <v>0.10150828743286944</v>
      </c>
    </row>
    <row r="5328" spans="1:14" x14ac:dyDescent="0.45">
      <c r="A5328" t="s">
        <v>9426</v>
      </c>
      <c r="B5328" s="1">
        <v>45195</v>
      </c>
      <c r="C5328" t="s">
        <v>3611</v>
      </c>
      <c r="D5328" t="s">
        <v>26</v>
      </c>
      <c r="E5328" t="s">
        <v>14</v>
      </c>
      <c r="F5328" t="s">
        <v>57</v>
      </c>
      <c r="G5328">
        <v>2</v>
      </c>
      <c r="H5328">
        <v>5677.61</v>
      </c>
      <c r="I5328">
        <v>1232.42</v>
      </c>
      <c r="J5328" t="s">
        <v>47</v>
      </c>
      <c r="K5328" t="s">
        <v>17</v>
      </c>
      <c r="L5328">
        <f t="shared" si="249"/>
        <v>2023</v>
      </c>
      <c r="M5328" t="str">
        <f t="shared" si="250"/>
        <v>Sep</v>
      </c>
      <c r="N5328" s="2">
        <f t="shared" si="251"/>
        <v>0.21706668827200179</v>
      </c>
    </row>
    <row r="5329" spans="1:14" x14ac:dyDescent="0.45">
      <c r="A5329" t="s">
        <v>9427</v>
      </c>
      <c r="B5329" s="1">
        <v>45098</v>
      </c>
      <c r="C5329" t="s">
        <v>4938</v>
      </c>
      <c r="D5329" t="s">
        <v>13</v>
      </c>
      <c r="E5329" t="s">
        <v>14</v>
      </c>
      <c r="F5329" t="s">
        <v>32</v>
      </c>
      <c r="G5329">
        <v>4</v>
      </c>
      <c r="H5329">
        <v>3339.96</v>
      </c>
      <c r="I5329">
        <v>540.92999999999995</v>
      </c>
      <c r="J5329" t="s">
        <v>22</v>
      </c>
      <c r="K5329" t="s">
        <v>29</v>
      </c>
      <c r="L5329">
        <f t="shared" si="249"/>
        <v>2023</v>
      </c>
      <c r="M5329" t="str">
        <f t="shared" si="250"/>
        <v>Jun</v>
      </c>
      <c r="N5329" s="2">
        <f t="shared" si="251"/>
        <v>0.16195702942550208</v>
      </c>
    </row>
    <row r="5330" spans="1:14" x14ac:dyDescent="0.45">
      <c r="A5330" t="s">
        <v>9428</v>
      </c>
      <c r="B5330" s="1">
        <v>45364</v>
      </c>
      <c r="C5330" t="s">
        <v>6754</v>
      </c>
      <c r="D5330" t="s">
        <v>26</v>
      </c>
      <c r="E5330" t="s">
        <v>36</v>
      </c>
      <c r="F5330" t="s">
        <v>53</v>
      </c>
      <c r="G5330">
        <v>2</v>
      </c>
      <c r="H5330">
        <v>23438.12</v>
      </c>
      <c r="I5330">
        <v>3294.72</v>
      </c>
      <c r="J5330" t="s">
        <v>47</v>
      </c>
      <c r="K5330" t="s">
        <v>33</v>
      </c>
      <c r="L5330">
        <f t="shared" si="249"/>
        <v>2024</v>
      </c>
      <c r="M5330" t="str">
        <f t="shared" si="250"/>
        <v>Mar</v>
      </c>
      <c r="N5330" s="2">
        <f t="shared" si="251"/>
        <v>0.1405710014284422</v>
      </c>
    </row>
    <row r="5331" spans="1:14" x14ac:dyDescent="0.45">
      <c r="A5331" t="s">
        <v>9429</v>
      </c>
      <c r="B5331" s="1">
        <v>44969</v>
      </c>
      <c r="C5331" t="s">
        <v>2635</v>
      </c>
      <c r="D5331" t="s">
        <v>26</v>
      </c>
      <c r="E5331" t="s">
        <v>14</v>
      </c>
      <c r="F5331" t="s">
        <v>32</v>
      </c>
      <c r="G5331">
        <v>1</v>
      </c>
      <c r="H5331">
        <v>23915.82</v>
      </c>
      <c r="I5331">
        <v>2563.94</v>
      </c>
      <c r="J5331" t="s">
        <v>47</v>
      </c>
      <c r="K5331" t="s">
        <v>17</v>
      </c>
      <c r="L5331">
        <f t="shared" si="249"/>
        <v>2023</v>
      </c>
      <c r="M5331" t="str">
        <f t="shared" si="250"/>
        <v>Feb</v>
      </c>
      <c r="N5331" s="2">
        <f t="shared" si="251"/>
        <v>0.10720686139969277</v>
      </c>
    </row>
    <row r="5332" spans="1:14" x14ac:dyDescent="0.45">
      <c r="A5332" t="s">
        <v>9430</v>
      </c>
      <c r="B5332" s="1">
        <v>45344</v>
      </c>
      <c r="C5332" t="s">
        <v>9431</v>
      </c>
      <c r="D5332" t="s">
        <v>13</v>
      </c>
      <c r="E5332" t="s">
        <v>14</v>
      </c>
      <c r="F5332" t="s">
        <v>40</v>
      </c>
      <c r="G5332">
        <v>1</v>
      </c>
      <c r="H5332">
        <v>49220.7</v>
      </c>
      <c r="I5332">
        <v>3172.25</v>
      </c>
      <c r="J5332" t="s">
        <v>16</v>
      </c>
      <c r="K5332" t="s">
        <v>23</v>
      </c>
      <c r="L5332">
        <f t="shared" si="249"/>
        <v>2024</v>
      </c>
      <c r="M5332" t="str">
        <f t="shared" si="250"/>
        <v>Feb</v>
      </c>
      <c r="N5332" s="2">
        <f t="shared" si="251"/>
        <v>6.4449510063855256E-2</v>
      </c>
    </row>
    <row r="5333" spans="1:14" x14ac:dyDescent="0.45">
      <c r="A5333" t="s">
        <v>9432</v>
      </c>
      <c r="B5333" s="1">
        <v>45521</v>
      </c>
      <c r="C5333" t="s">
        <v>9433</v>
      </c>
      <c r="D5333" t="s">
        <v>26</v>
      </c>
      <c r="E5333" t="s">
        <v>14</v>
      </c>
      <c r="F5333" t="s">
        <v>32</v>
      </c>
      <c r="G5333">
        <v>5</v>
      </c>
      <c r="H5333">
        <v>34338.550000000003</v>
      </c>
      <c r="I5333">
        <v>4229.3599999999997</v>
      </c>
      <c r="J5333" t="s">
        <v>47</v>
      </c>
      <c r="K5333" t="s">
        <v>23</v>
      </c>
      <c r="L5333">
        <f t="shared" si="249"/>
        <v>2024</v>
      </c>
      <c r="M5333" t="str">
        <f t="shared" si="250"/>
        <v>Aug</v>
      </c>
      <c r="N5333" s="2">
        <f t="shared" si="251"/>
        <v>0.12316652858085153</v>
      </c>
    </row>
    <row r="5334" spans="1:14" x14ac:dyDescent="0.45">
      <c r="A5334" t="s">
        <v>9434</v>
      </c>
      <c r="B5334" s="1">
        <v>45101</v>
      </c>
      <c r="C5334" t="s">
        <v>9435</v>
      </c>
      <c r="D5334" t="s">
        <v>13</v>
      </c>
      <c r="E5334" t="s">
        <v>20</v>
      </c>
      <c r="F5334" t="s">
        <v>21</v>
      </c>
      <c r="G5334">
        <v>5</v>
      </c>
      <c r="H5334">
        <v>29920.720000000001</v>
      </c>
      <c r="I5334">
        <v>6242.31</v>
      </c>
      <c r="J5334" t="s">
        <v>47</v>
      </c>
      <c r="K5334" t="s">
        <v>29</v>
      </c>
      <c r="L5334">
        <f t="shared" si="249"/>
        <v>2023</v>
      </c>
      <c r="M5334" t="str">
        <f t="shared" si="250"/>
        <v>Jun</v>
      </c>
      <c r="N5334" s="2">
        <f t="shared" si="251"/>
        <v>0.20862833514701518</v>
      </c>
    </row>
    <row r="5335" spans="1:14" x14ac:dyDescent="0.45">
      <c r="A5335" t="s">
        <v>9436</v>
      </c>
      <c r="B5335" s="1">
        <v>45143</v>
      </c>
      <c r="C5335" t="s">
        <v>6770</v>
      </c>
      <c r="D5335" t="s">
        <v>13</v>
      </c>
      <c r="E5335" t="s">
        <v>36</v>
      </c>
      <c r="F5335" t="s">
        <v>46</v>
      </c>
      <c r="G5335">
        <v>2</v>
      </c>
      <c r="H5335">
        <v>45106.33</v>
      </c>
      <c r="I5335">
        <v>7579.57</v>
      </c>
      <c r="J5335" t="s">
        <v>28</v>
      </c>
      <c r="K5335" t="s">
        <v>33</v>
      </c>
      <c r="L5335">
        <f t="shared" si="249"/>
        <v>2023</v>
      </c>
      <c r="M5335" t="str">
        <f t="shared" si="250"/>
        <v>Aug</v>
      </c>
      <c r="N5335" s="2">
        <f t="shared" si="251"/>
        <v>0.16803783415764481</v>
      </c>
    </row>
    <row r="5336" spans="1:14" x14ac:dyDescent="0.45">
      <c r="A5336" t="s">
        <v>9437</v>
      </c>
      <c r="B5336" s="1">
        <v>44562</v>
      </c>
      <c r="C5336" t="s">
        <v>9438</v>
      </c>
      <c r="D5336" t="s">
        <v>13</v>
      </c>
      <c r="E5336" t="s">
        <v>14</v>
      </c>
      <c r="F5336" t="s">
        <v>32</v>
      </c>
      <c r="G5336">
        <v>2</v>
      </c>
      <c r="H5336">
        <v>9468.19</v>
      </c>
      <c r="I5336">
        <v>856.39</v>
      </c>
      <c r="J5336" t="s">
        <v>71</v>
      </c>
      <c r="K5336" t="s">
        <v>33</v>
      </c>
      <c r="L5336">
        <f t="shared" si="249"/>
        <v>2022</v>
      </c>
      <c r="M5336" t="str">
        <f t="shared" si="250"/>
        <v>Jan</v>
      </c>
      <c r="N5336" s="2">
        <f t="shared" si="251"/>
        <v>9.0449177720345705E-2</v>
      </c>
    </row>
    <row r="5337" spans="1:14" x14ac:dyDescent="0.45">
      <c r="A5337" t="s">
        <v>9439</v>
      </c>
      <c r="B5337" s="1">
        <v>44663</v>
      </c>
      <c r="C5337" t="s">
        <v>9440</v>
      </c>
      <c r="D5337" t="s">
        <v>56</v>
      </c>
      <c r="E5337" t="s">
        <v>36</v>
      </c>
      <c r="F5337" t="s">
        <v>37</v>
      </c>
      <c r="G5337">
        <v>2</v>
      </c>
      <c r="H5337">
        <v>23965.03</v>
      </c>
      <c r="I5337">
        <v>1291.3699999999999</v>
      </c>
      <c r="J5337" t="s">
        <v>71</v>
      </c>
      <c r="K5337" t="s">
        <v>17</v>
      </c>
      <c r="L5337">
        <f t="shared" si="249"/>
        <v>2022</v>
      </c>
      <c r="M5337" t="str">
        <f t="shared" si="250"/>
        <v>Apr</v>
      </c>
      <c r="N5337" s="2">
        <f t="shared" si="251"/>
        <v>5.3885599141749459E-2</v>
      </c>
    </row>
    <row r="5338" spans="1:14" x14ac:dyDescent="0.45">
      <c r="A5338" t="s">
        <v>9441</v>
      </c>
      <c r="B5338" s="1">
        <v>45095</v>
      </c>
      <c r="C5338" t="s">
        <v>8244</v>
      </c>
      <c r="D5338" t="s">
        <v>13</v>
      </c>
      <c r="E5338" t="s">
        <v>14</v>
      </c>
      <c r="F5338" t="s">
        <v>15</v>
      </c>
      <c r="G5338">
        <v>2</v>
      </c>
      <c r="H5338">
        <v>8847.01</v>
      </c>
      <c r="I5338">
        <v>2023.53</v>
      </c>
      <c r="J5338" t="s">
        <v>28</v>
      </c>
      <c r="K5338" t="s">
        <v>17</v>
      </c>
      <c r="L5338">
        <f t="shared" si="249"/>
        <v>2023</v>
      </c>
      <c r="M5338" t="str">
        <f t="shared" si="250"/>
        <v>Jun</v>
      </c>
      <c r="N5338" s="2">
        <f t="shared" si="251"/>
        <v>0.22872473298888552</v>
      </c>
    </row>
    <row r="5339" spans="1:14" x14ac:dyDescent="0.45">
      <c r="A5339" t="s">
        <v>9442</v>
      </c>
      <c r="B5339" s="1">
        <v>44962</v>
      </c>
      <c r="C5339" t="s">
        <v>9443</v>
      </c>
      <c r="D5339" t="s">
        <v>13</v>
      </c>
      <c r="E5339" t="s">
        <v>20</v>
      </c>
      <c r="F5339" t="s">
        <v>50</v>
      </c>
      <c r="G5339">
        <v>5</v>
      </c>
      <c r="H5339">
        <v>15268.48</v>
      </c>
      <c r="I5339">
        <v>3120.86</v>
      </c>
      <c r="J5339" t="s">
        <v>16</v>
      </c>
      <c r="K5339" t="s">
        <v>23</v>
      </c>
      <c r="L5339">
        <f t="shared" si="249"/>
        <v>2023</v>
      </c>
      <c r="M5339" t="str">
        <f t="shared" si="250"/>
        <v>Feb</v>
      </c>
      <c r="N5339" s="2">
        <f t="shared" si="251"/>
        <v>0.20439886616087524</v>
      </c>
    </row>
    <row r="5340" spans="1:14" x14ac:dyDescent="0.45">
      <c r="A5340" t="s">
        <v>9444</v>
      </c>
      <c r="B5340" s="1">
        <v>45492</v>
      </c>
      <c r="C5340" t="s">
        <v>9445</v>
      </c>
      <c r="D5340" t="s">
        <v>56</v>
      </c>
      <c r="E5340" t="s">
        <v>20</v>
      </c>
      <c r="F5340" t="s">
        <v>43</v>
      </c>
      <c r="G5340">
        <v>1</v>
      </c>
      <c r="H5340">
        <v>38956.730000000003</v>
      </c>
      <c r="I5340">
        <v>8818.52</v>
      </c>
      <c r="J5340" t="s">
        <v>16</v>
      </c>
      <c r="K5340" t="s">
        <v>17</v>
      </c>
      <c r="L5340">
        <f t="shared" si="249"/>
        <v>2024</v>
      </c>
      <c r="M5340" t="str">
        <f t="shared" si="250"/>
        <v>Jul</v>
      </c>
      <c r="N5340" s="2">
        <f t="shared" si="251"/>
        <v>0.22636704877437094</v>
      </c>
    </row>
    <row r="5341" spans="1:14" x14ac:dyDescent="0.45">
      <c r="A5341" t="s">
        <v>9446</v>
      </c>
      <c r="B5341" s="1">
        <v>44922</v>
      </c>
      <c r="C5341" t="s">
        <v>3666</v>
      </c>
      <c r="D5341" t="s">
        <v>13</v>
      </c>
      <c r="E5341" t="s">
        <v>14</v>
      </c>
      <c r="F5341" t="s">
        <v>32</v>
      </c>
      <c r="G5341">
        <v>4</v>
      </c>
      <c r="H5341">
        <v>3484.68</v>
      </c>
      <c r="I5341">
        <v>723.18</v>
      </c>
      <c r="J5341" t="s">
        <v>16</v>
      </c>
      <c r="K5341" t="s">
        <v>23</v>
      </c>
      <c r="L5341">
        <f t="shared" si="249"/>
        <v>2022</v>
      </c>
      <c r="M5341" t="str">
        <f t="shared" si="250"/>
        <v>Dec</v>
      </c>
      <c r="N5341" s="2">
        <f t="shared" si="251"/>
        <v>0.20753125107613898</v>
      </c>
    </row>
    <row r="5342" spans="1:14" x14ac:dyDescent="0.45">
      <c r="A5342" t="s">
        <v>9447</v>
      </c>
      <c r="B5342" s="1">
        <v>45415</v>
      </c>
      <c r="C5342" t="s">
        <v>9448</v>
      </c>
      <c r="D5342" t="s">
        <v>13</v>
      </c>
      <c r="E5342" t="s">
        <v>20</v>
      </c>
      <c r="F5342" t="s">
        <v>50</v>
      </c>
      <c r="G5342">
        <v>1</v>
      </c>
      <c r="H5342">
        <v>15099.74</v>
      </c>
      <c r="I5342">
        <v>3508.36</v>
      </c>
      <c r="J5342" t="s">
        <v>22</v>
      </c>
      <c r="K5342" t="s">
        <v>29</v>
      </c>
      <c r="L5342">
        <f t="shared" si="249"/>
        <v>2024</v>
      </c>
      <c r="M5342" t="str">
        <f t="shared" si="250"/>
        <v>May</v>
      </c>
      <c r="N5342" s="2">
        <f t="shared" si="251"/>
        <v>0.2323457225091293</v>
      </c>
    </row>
    <row r="5343" spans="1:14" x14ac:dyDescent="0.45">
      <c r="A5343" t="s">
        <v>9449</v>
      </c>
      <c r="B5343" s="1">
        <v>44994</v>
      </c>
      <c r="C5343" t="s">
        <v>9450</v>
      </c>
      <c r="D5343" t="s">
        <v>56</v>
      </c>
      <c r="E5343" t="s">
        <v>20</v>
      </c>
      <c r="F5343" t="s">
        <v>21</v>
      </c>
      <c r="G5343">
        <v>1</v>
      </c>
      <c r="H5343">
        <v>22754.27</v>
      </c>
      <c r="I5343">
        <v>3224.59</v>
      </c>
      <c r="J5343" t="s">
        <v>28</v>
      </c>
      <c r="K5343" t="s">
        <v>17</v>
      </c>
      <c r="L5343">
        <f t="shared" si="249"/>
        <v>2023</v>
      </c>
      <c r="M5343" t="str">
        <f t="shared" si="250"/>
        <v>Mar</v>
      </c>
      <c r="N5343" s="2">
        <f t="shared" si="251"/>
        <v>0.14171362122362088</v>
      </c>
    </row>
    <row r="5344" spans="1:14" x14ac:dyDescent="0.45">
      <c r="A5344" t="s">
        <v>9451</v>
      </c>
      <c r="B5344" s="1">
        <v>44990</v>
      </c>
      <c r="C5344" t="s">
        <v>2945</v>
      </c>
      <c r="D5344" t="s">
        <v>26</v>
      </c>
      <c r="E5344" t="s">
        <v>14</v>
      </c>
      <c r="F5344" t="s">
        <v>40</v>
      </c>
      <c r="G5344">
        <v>2</v>
      </c>
      <c r="H5344">
        <v>8907.36</v>
      </c>
      <c r="I5344">
        <v>1086.5999999999999</v>
      </c>
      <c r="J5344" t="s">
        <v>71</v>
      </c>
      <c r="K5344" t="s">
        <v>29</v>
      </c>
      <c r="L5344">
        <f t="shared" si="249"/>
        <v>2023</v>
      </c>
      <c r="M5344" t="str">
        <f t="shared" si="250"/>
        <v>Mar</v>
      </c>
      <c r="N5344" s="2">
        <f t="shared" si="251"/>
        <v>0.12198900684377861</v>
      </c>
    </row>
    <row r="5345" spans="1:14" x14ac:dyDescent="0.45">
      <c r="A5345" t="s">
        <v>9452</v>
      </c>
      <c r="B5345" s="1">
        <v>45584</v>
      </c>
      <c r="C5345" t="s">
        <v>9453</v>
      </c>
      <c r="D5345" t="s">
        <v>13</v>
      </c>
      <c r="E5345" t="s">
        <v>36</v>
      </c>
      <c r="F5345" t="s">
        <v>37</v>
      </c>
      <c r="G5345">
        <v>3</v>
      </c>
      <c r="H5345">
        <v>26239.18</v>
      </c>
      <c r="I5345">
        <v>1980.94</v>
      </c>
      <c r="J5345" t="s">
        <v>47</v>
      </c>
      <c r="K5345" t="s">
        <v>23</v>
      </c>
      <c r="L5345">
        <f t="shared" si="249"/>
        <v>2024</v>
      </c>
      <c r="M5345" t="str">
        <f t="shared" si="250"/>
        <v>Oct</v>
      </c>
      <c r="N5345" s="2">
        <f t="shared" si="251"/>
        <v>7.5495499478261133E-2</v>
      </c>
    </row>
    <row r="5346" spans="1:14" x14ac:dyDescent="0.45">
      <c r="A5346" t="s">
        <v>9454</v>
      </c>
      <c r="B5346" s="1">
        <v>45247</v>
      </c>
      <c r="C5346" t="s">
        <v>9455</v>
      </c>
      <c r="D5346" t="s">
        <v>13</v>
      </c>
      <c r="E5346" t="s">
        <v>36</v>
      </c>
      <c r="F5346" t="s">
        <v>53</v>
      </c>
      <c r="G5346">
        <v>4</v>
      </c>
      <c r="H5346">
        <v>38966.28</v>
      </c>
      <c r="I5346">
        <v>9039.7099999999991</v>
      </c>
      <c r="J5346" t="s">
        <v>47</v>
      </c>
      <c r="K5346" t="s">
        <v>23</v>
      </c>
      <c r="L5346">
        <f t="shared" si="249"/>
        <v>2023</v>
      </c>
      <c r="M5346" t="str">
        <f t="shared" si="250"/>
        <v>Nov</v>
      </c>
      <c r="N5346" s="2">
        <f t="shared" si="251"/>
        <v>0.23198801630537991</v>
      </c>
    </row>
    <row r="5347" spans="1:14" x14ac:dyDescent="0.45">
      <c r="A5347" t="s">
        <v>9456</v>
      </c>
      <c r="B5347" s="1">
        <v>45151</v>
      </c>
      <c r="C5347" t="s">
        <v>9457</v>
      </c>
      <c r="D5347" t="s">
        <v>26</v>
      </c>
      <c r="E5347" t="s">
        <v>14</v>
      </c>
      <c r="F5347" t="s">
        <v>15</v>
      </c>
      <c r="G5347">
        <v>3</v>
      </c>
      <c r="H5347">
        <v>22880.45</v>
      </c>
      <c r="I5347">
        <v>3198.53</v>
      </c>
      <c r="J5347" t="s">
        <v>71</v>
      </c>
      <c r="K5347" t="s">
        <v>23</v>
      </c>
      <c r="L5347">
        <f t="shared" si="249"/>
        <v>2023</v>
      </c>
      <c r="M5347" t="str">
        <f t="shared" si="250"/>
        <v>Aug</v>
      </c>
      <c r="N5347" s="2">
        <f t="shared" si="251"/>
        <v>0.13979314218033301</v>
      </c>
    </row>
    <row r="5348" spans="1:14" x14ac:dyDescent="0.45">
      <c r="A5348" t="s">
        <v>9458</v>
      </c>
      <c r="B5348" s="1">
        <v>44870</v>
      </c>
      <c r="C5348" t="s">
        <v>240</v>
      </c>
      <c r="D5348" t="s">
        <v>26</v>
      </c>
      <c r="E5348" t="s">
        <v>20</v>
      </c>
      <c r="F5348" t="s">
        <v>43</v>
      </c>
      <c r="G5348">
        <v>5</v>
      </c>
      <c r="H5348">
        <v>46709.02</v>
      </c>
      <c r="I5348">
        <v>5974.15</v>
      </c>
      <c r="J5348" t="s">
        <v>47</v>
      </c>
      <c r="K5348" t="s">
        <v>29</v>
      </c>
      <c r="L5348">
        <f t="shared" si="249"/>
        <v>2022</v>
      </c>
      <c r="M5348" t="str">
        <f t="shared" si="250"/>
        <v>Nov</v>
      </c>
      <c r="N5348" s="2">
        <f t="shared" si="251"/>
        <v>0.1279014203252391</v>
      </c>
    </row>
    <row r="5349" spans="1:14" x14ac:dyDescent="0.45">
      <c r="A5349" t="s">
        <v>9459</v>
      </c>
      <c r="B5349" s="1">
        <v>44740</v>
      </c>
      <c r="C5349" t="s">
        <v>9460</v>
      </c>
      <c r="D5349" t="s">
        <v>56</v>
      </c>
      <c r="E5349" t="s">
        <v>14</v>
      </c>
      <c r="F5349" t="s">
        <v>40</v>
      </c>
      <c r="G5349">
        <v>5</v>
      </c>
      <c r="H5349">
        <v>7727.63</v>
      </c>
      <c r="I5349">
        <v>478.58</v>
      </c>
      <c r="J5349" t="s">
        <v>71</v>
      </c>
      <c r="K5349" t="s">
        <v>23</v>
      </c>
      <c r="L5349">
        <f t="shared" si="249"/>
        <v>2022</v>
      </c>
      <c r="M5349" t="str">
        <f t="shared" si="250"/>
        <v>Jun</v>
      </c>
      <c r="N5349" s="2">
        <f t="shared" si="251"/>
        <v>6.1931018954064825E-2</v>
      </c>
    </row>
    <row r="5350" spans="1:14" x14ac:dyDescent="0.45">
      <c r="A5350" t="s">
        <v>9461</v>
      </c>
      <c r="B5350" s="1">
        <v>45517</v>
      </c>
      <c r="C5350" t="s">
        <v>8954</v>
      </c>
      <c r="D5350" t="s">
        <v>26</v>
      </c>
      <c r="E5350" t="s">
        <v>20</v>
      </c>
      <c r="F5350" t="s">
        <v>43</v>
      </c>
      <c r="G5350">
        <v>5</v>
      </c>
      <c r="H5350">
        <v>1415.6</v>
      </c>
      <c r="I5350">
        <v>186.54</v>
      </c>
      <c r="J5350" t="s">
        <v>28</v>
      </c>
      <c r="K5350" t="s">
        <v>17</v>
      </c>
      <c r="L5350">
        <f t="shared" si="249"/>
        <v>2024</v>
      </c>
      <c r="M5350" t="str">
        <f t="shared" si="250"/>
        <v>Aug</v>
      </c>
      <c r="N5350" s="2">
        <f t="shared" si="251"/>
        <v>0.1317745125741735</v>
      </c>
    </row>
    <row r="5351" spans="1:14" x14ac:dyDescent="0.45">
      <c r="A5351" t="s">
        <v>9462</v>
      </c>
      <c r="B5351" s="1">
        <v>45366</v>
      </c>
      <c r="C5351" t="s">
        <v>9463</v>
      </c>
      <c r="D5351" t="s">
        <v>13</v>
      </c>
      <c r="E5351" t="s">
        <v>14</v>
      </c>
      <c r="F5351" t="s">
        <v>40</v>
      </c>
      <c r="G5351">
        <v>3</v>
      </c>
      <c r="H5351">
        <v>23896.76</v>
      </c>
      <c r="I5351">
        <v>1551.84</v>
      </c>
      <c r="J5351" t="s">
        <v>47</v>
      </c>
      <c r="K5351" t="s">
        <v>23</v>
      </c>
      <c r="L5351">
        <f t="shared" si="249"/>
        <v>2024</v>
      </c>
      <c r="M5351" t="str">
        <f t="shared" si="250"/>
        <v>Mar</v>
      </c>
      <c r="N5351" s="2">
        <f t="shared" si="251"/>
        <v>6.4939347426178282E-2</v>
      </c>
    </row>
    <row r="5352" spans="1:14" x14ac:dyDescent="0.45">
      <c r="A5352" t="s">
        <v>9464</v>
      </c>
      <c r="B5352" s="1">
        <v>44931</v>
      </c>
      <c r="C5352" t="s">
        <v>5816</v>
      </c>
      <c r="D5352" t="s">
        <v>56</v>
      </c>
      <c r="E5352" t="s">
        <v>20</v>
      </c>
      <c r="F5352" t="s">
        <v>43</v>
      </c>
      <c r="G5352">
        <v>2</v>
      </c>
      <c r="H5352">
        <v>30836.98</v>
      </c>
      <c r="I5352">
        <v>2849.04</v>
      </c>
      <c r="J5352" t="s">
        <v>22</v>
      </c>
      <c r="K5352" t="s">
        <v>29</v>
      </c>
      <c r="L5352">
        <f t="shared" si="249"/>
        <v>2023</v>
      </c>
      <c r="M5352" t="str">
        <f t="shared" si="250"/>
        <v>Jan</v>
      </c>
      <c r="N5352" s="2">
        <f t="shared" si="251"/>
        <v>9.2390370263235891E-2</v>
      </c>
    </row>
    <row r="5353" spans="1:14" x14ac:dyDescent="0.45">
      <c r="A5353" t="s">
        <v>9465</v>
      </c>
      <c r="B5353" s="1">
        <v>44760</v>
      </c>
      <c r="C5353" t="s">
        <v>9466</v>
      </c>
      <c r="D5353" t="s">
        <v>13</v>
      </c>
      <c r="E5353" t="s">
        <v>20</v>
      </c>
      <c r="F5353" t="s">
        <v>21</v>
      </c>
      <c r="G5353">
        <v>4</v>
      </c>
      <c r="H5353">
        <v>7621.74</v>
      </c>
      <c r="I5353">
        <v>1192.52</v>
      </c>
      <c r="J5353" t="s">
        <v>16</v>
      </c>
      <c r="K5353" t="s">
        <v>23</v>
      </c>
      <c r="L5353">
        <f t="shared" si="249"/>
        <v>2022</v>
      </c>
      <c r="M5353" t="str">
        <f t="shared" si="250"/>
        <v>Jul</v>
      </c>
      <c r="N5353" s="2">
        <f t="shared" si="251"/>
        <v>0.1564629599015448</v>
      </c>
    </row>
    <row r="5354" spans="1:14" x14ac:dyDescent="0.45">
      <c r="A5354" t="s">
        <v>9467</v>
      </c>
      <c r="B5354" s="1">
        <v>44612</v>
      </c>
      <c r="C5354" t="s">
        <v>281</v>
      </c>
      <c r="D5354" t="s">
        <v>56</v>
      </c>
      <c r="E5354" t="s">
        <v>20</v>
      </c>
      <c r="F5354" t="s">
        <v>43</v>
      </c>
      <c r="G5354">
        <v>1</v>
      </c>
      <c r="H5354">
        <v>24527.75</v>
      </c>
      <c r="I5354">
        <v>2422.58</v>
      </c>
      <c r="J5354" t="s">
        <v>47</v>
      </c>
      <c r="K5354" t="s">
        <v>23</v>
      </c>
      <c r="L5354">
        <f t="shared" si="249"/>
        <v>2022</v>
      </c>
      <c r="M5354" t="str">
        <f t="shared" si="250"/>
        <v>Feb</v>
      </c>
      <c r="N5354" s="2">
        <f t="shared" si="251"/>
        <v>9.8768945378194084E-2</v>
      </c>
    </row>
    <row r="5355" spans="1:14" x14ac:dyDescent="0.45">
      <c r="A5355" t="s">
        <v>9468</v>
      </c>
      <c r="B5355" s="1">
        <v>45353</v>
      </c>
      <c r="C5355" t="s">
        <v>9469</v>
      </c>
      <c r="D5355" t="s">
        <v>56</v>
      </c>
      <c r="E5355" t="s">
        <v>20</v>
      </c>
      <c r="F5355" t="s">
        <v>21</v>
      </c>
      <c r="G5355">
        <v>1</v>
      </c>
      <c r="H5355">
        <v>46441.36</v>
      </c>
      <c r="I5355">
        <v>6844.84</v>
      </c>
      <c r="J5355" t="s">
        <v>71</v>
      </c>
      <c r="K5355" t="s">
        <v>33</v>
      </c>
      <c r="L5355">
        <f t="shared" si="249"/>
        <v>2024</v>
      </c>
      <c r="M5355" t="str">
        <f t="shared" si="250"/>
        <v>Mar</v>
      </c>
      <c r="N5355" s="2">
        <f t="shared" si="251"/>
        <v>0.14738672597012664</v>
      </c>
    </row>
    <row r="5356" spans="1:14" x14ac:dyDescent="0.45">
      <c r="A5356" t="s">
        <v>9470</v>
      </c>
      <c r="B5356" s="1">
        <v>44955</v>
      </c>
      <c r="C5356" t="s">
        <v>9471</v>
      </c>
      <c r="D5356" t="s">
        <v>56</v>
      </c>
      <c r="E5356" t="s">
        <v>20</v>
      </c>
      <c r="F5356" t="s">
        <v>21</v>
      </c>
      <c r="G5356">
        <v>5</v>
      </c>
      <c r="H5356">
        <v>41838.080000000002</v>
      </c>
      <c r="I5356">
        <v>3628.03</v>
      </c>
      <c r="J5356" t="s">
        <v>71</v>
      </c>
      <c r="K5356" t="s">
        <v>29</v>
      </c>
      <c r="L5356">
        <f t="shared" si="249"/>
        <v>2023</v>
      </c>
      <c r="M5356" t="str">
        <f t="shared" si="250"/>
        <v>Jan</v>
      </c>
      <c r="N5356" s="2">
        <f t="shared" si="251"/>
        <v>8.6715977406228967E-2</v>
      </c>
    </row>
    <row r="5357" spans="1:14" x14ac:dyDescent="0.45">
      <c r="A5357" t="s">
        <v>9472</v>
      </c>
      <c r="B5357" s="1">
        <v>44652</v>
      </c>
      <c r="C5357" t="s">
        <v>9473</v>
      </c>
      <c r="D5357" t="s">
        <v>26</v>
      </c>
      <c r="E5357" t="s">
        <v>20</v>
      </c>
      <c r="F5357" t="s">
        <v>27</v>
      </c>
      <c r="G5357">
        <v>1</v>
      </c>
      <c r="H5357">
        <v>37322.559999999998</v>
      </c>
      <c r="I5357">
        <v>7907.31</v>
      </c>
      <c r="J5357" t="s">
        <v>16</v>
      </c>
      <c r="K5357" t="s">
        <v>33</v>
      </c>
      <c r="L5357">
        <f t="shared" si="249"/>
        <v>2022</v>
      </c>
      <c r="M5357" t="str">
        <f t="shared" si="250"/>
        <v>Apr</v>
      </c>
      <c r="N5357" s="2">
        <f t="shared" si="251"/>
        <v>0.21186408435005533</v>
      </c>
    </row>
    <row r="5358" spans="1:14" x14ac:dyDescent="0.45">
      <c r="A5358" t="s">
        <v>9474</v>
      </c>
      <c r="B5358" s="1">
        <v>45230</v>
      </c>
      <c r="C5358" t="s">
        <v>9475</v>
      </c>
      <c r="D5358" t="s">
        <v>13</v>
      </c>
      <c r="E5358" t="s">
        <v>36</v>
      </c>
      <c r="F5358" t="s">
        <v>53</v>
      </c>
      <c r="G5358">
        <v>1</v>
      </c>
      <c r="H5358">
        <v>18349.11</v>
      </c>
      <c r="I5358">
        <v>3572.82</v>
      </c>
      <c r="J5358" t="s">
        <v>71</v>
      </c>
      <c r="K5358" t="s">
        <v>33</v>
      </c>
      <c r="L5358">
        <f t="shared" si="249"/>
        <v>2023</v>
      </c>
      <c r="M5358" t="str">
        <f t="shared" si="250"/>
        <v>Oct</v>
      </c>
      <c r="N5358" s="2">
        <f t="shared" si="251"/>
        <v>0.19471353106499445</v>
      </c>
    </row>
    <row r="5359" spans="1:14" x14ac:dyDescent="0.45">
      <c r="A5359" t="s">
        <v>9476</v>
      </c>
      <c r="B5359" s="1">
        <v>45367</v>
      </c>
      <c r="C5359" t="s">
        <v>7389</v>
      </c>
      <c r="D5359" t="s">
        <v>56</v>
      </c>
      <c r="E5359" t="s">
        <v>14</v>
      </c>
      <c r="F5359" t="s">
        <v>32</v>
      </c>
      <c r="G5359">
        <v>2</v>
      </c>
      <c r="H5359">
        <v>42501.02</v>
      </c>
      <c r="I5359">
        <v>2971.84</v>
      </c>
      <c r="J5359" t="s">
        <v>16</v>
      </c>
      <c r="K5359" t="s">
        <v>23</v>
      </c>
      <c r="L5359">
        <f t="shared" si="249"/>
        <v>2024</v>
      </c>
      <c r="M5359" t="str">
        <f t="shared" si="250"/>
        <v>Mar</v>
      </c>
      <c r="N5359" s="2">
        <f t="shared" si="251"/>
        <v>6.9923968883570331E-2</v>
      </c>
    </row>
    <row r="5360" spans="1:14" x14ac:dyDescent="0.45">
      <c r="A5360" t="s">
        <v>9477</v>
      </c>
      <c r="B5360" s="1">
        <v>45598</v>
      </c>
      <c r="C5360" t="s">
        <v>9478</v>
      </c>
      <c r="D5360" t="s">
        <v>13</v>
      </c>
      <c r="E5360" t="s">
        <v>14</v>
      </c>
      <c r="F5360" t="s">
        <v>15</v>
      </c>
      <c r="G5360">
        <v>5</v>
      </c>
      <c r="H5360">
        <v>37201.99</v>
      </c>
      <c r="I5360">
        <v>7756.17</v>
      </c>
      <c r="J5360" t="s">
        <v>22</v>
      </c>
      <c r="K5360" t="s">
        <v>29</v>
      </c>
      <c r="L5360">
        <f t="shared" si="249"/>
        <v>2024</v>
      </c>
      <c r="M5360" t="str">
        <f t="shared" si="250"/>
        <v>Nov</v>
      </c>
      <c r="N5360" s="2">
        <f t="shared" si="251"/>
        <v>0.20848804055912065</v>
      </c>
    </row>
    <row r="5361" spans="1:14" x14ac:dyDescent="0.45">
      <c r="A5361" t="s">
        <v>9479</v>
      </c>
      <c r="B5361" s="1">
        <v>45180</v>
      </c>
      <c r="C5361" t="s">
        <v>9480</v>
      </c>
      <c r="D5361" t="s">
        <v>13</v>
      </c>
      <c r="E5361" t="s">
        <v>14</v>
      </c>
      <c r="F5361" t="s">
        <v>40</v>
      </c>
      <c r="G5361">
        <v>5</v>
      </c>
      <c r="H5361">
        <v>49878.42</v>
      </c>
      <c r="I5361">
        <v>3627.83</v>
      </c>
      <c r="J5361" t="s">
        <v>16</v>
      </c>
      <c r="K5361" t="s">
        <v>29</v>
      </c>
      <c r="L5361">
        <f t="shared" si="249"/>
        <v>2023</v>
      </c>
      <c r="M5361" t="str">
        <f t="shared" si="250"/>
        <v>Sep</v>
      </c>
      <c r="N5361" s="2">
        <f t="shared" si="251"/>
        <v>7.2733458678121726E-2</v>
      </c>
    </row>
    <row r="5362" spans="1:14" x14ac:dyDescent="0.45">
      <c r="A5362" t="s">
        <v>9481</v>
      </c>
      <c r="B5362" s="1">
        <v>44971</v>
      </c>
      <c r="C5362" t="s">
        <v>9482</v>
      </c>
      <c r="D5362" t="s">
        <v>13</v>
      </c>
      <c r="E5362" t="s">
        <v>20</v>
      </c>
      <c r="F5362" t="s">
        <v>43</v>
      </c>
      <c r="G5362">
        <v>4</v>
      </c>
      <c r="H5362">
        <v>8528.56</v>
      </c>
      <c r="I5362">
        <v>1436.9</v>
      </c>
      <c r="J5362" t="s">
        <v>47</v>
      </c>
      <c r="K5362" t="s">
        <v>23</v>
      </c>
      <c r="L5362">
        <f t="shared" si="249"/>
        <v>2023</v>
      </c>
      <c r="M5362" t="str">
        <f t="shared" si="250"/>
        <v>Feb</v>
      </c>
      <c r="N5362" s="2">
        <f t="shared" si="251"/>
        <v>0.16848096278855987</v>
      </c>
    </row>
    <row r="5363" spans="1:14" x14ac:dyDescent="0.45">
      <c r="A5363" t="s">
        <v>9483</v>
      </c>
      <c r="B5363" s="1">
        <v>44619</v>
      </c>
      <c r="C5363" t="s">
        <v>1690</v>
      </c>
      <c r="D5363" t="s">
        <v>13</v>
      </c>
      <c r="E5363" t="s">
        <v>20</v>
      </c>
      <c r="F5363" t="s">
        <v>43</v>
      </c>
      <c r="G5363">
        <v>5</v>
      </c>
      <c r="H5363">
        <v>36800.79</v>
      </c>
      <c r="I5363">
        <v>4908.84</v>
      </c>
      <c r="J5363" t="s">
        <v>71</v>
      </c>
      <c r="K5363" t="s">
        <v>23</v>
      </c>
      <c r="L5363">
        <f t="shared" si="249"/>
        <v>2022</v>
      </c>
      <c r="M5363" t="str">
        <f t="shared" si="250"/>
        <v>Feb</v>
      </c>
      <c r="N5363" s="2">
        <f t="shared" si="251"/>
        <v>0.13338952777915908</v>
      </c>
    </row>
    <row r="5364" spans="1:14" x14ac:dyDescent="0.45">
      <c r="A5364" t="s">
        <v>9484</v>
      </c>
      <c r="B5364" s="1">
        <v>45107</v>
      </c>
      <c r="C5364" t="s">
        <v>480</v>
      </c>
      <c r="D5364" t="s">
        <v>26</v>
      </c>
      <c r="E5364" t="s">
        <v>14</v>
      </c>
      <c r="F5364" t="s">
        <v>57</v>
      </c>
      <c r="G5364">
        <v>5</v>
      </c>
      <c r="H5364">
        <v>28945.3</v>
      </c>
      <c r="I5364">
        <v>5770.44</v>
      </c>
      <c r="J5364" t="s">
        <v>47</v>
      </c>
      <c r="K5364" t="s">
        <v>17</v>
      </c>
      <c r="L5364">
        <f t="shared" si="249"/>
        <v>2023</v>
      </c>
      <c r="M5364" t="str">
        <f t="shared" si="250"/>
        <v>Jun</v>
      </c>
      <c r="N5364" s="2">
        <f t="shared" si="251"/>
        <v>0.1993567176709172</v>
      </c>
    </row>
    <row r="5365" spans="1:14" x14ac:dyDescent="0.45">
      <c r="A5365" t="s">
        <v>9485</v>
      </c>
      <c r="B5365" s="1">
        <v>44585</v>
      </c>
      <c r="C5365" t="s">
        <v>9486</v>
      </c>
      <c r="D5365" t="s">
        <v>56</v>
      </c>
      <c r="E5365" t="s">
        <v>36</v>
      </c>
      <c r="F5365" t="s">
        <v>46</v>
      </c>
      <c r="G5365">
        <v>2</v>
      </c>
      <c r="H5365">
        <v>2862.46</v>
      </c>
      <c r="I5365">
        <v>160.16999999999999</v>
      </c>
      <c r="J5365" t="s">
        <v>16</v>
      </c>
      <c r="K5365" t="s">
        <v>17</v>
      </c>
      <c r="L5365">
        <f t="shared" si="249"/>
        <v>2022</v>
      </c>
      <c r="M5365" t="str">
        <f t="shared" si="250"/>
        <v>Jan</v>
      </c>
      <c r="N5365" s="2">
        <f t="shared" si="251"/>
        <v>5.5955367061897805E-2</v>
      </c>
    </row>
    <row r="5366" spans="1:14" x14ac:dyDescent="0.45">
      <c r="A5366" t="s">
        <v>9487</v>
      </c>
      <c r="B5366" s="1">
        <v>45153</v>
      </c>
      <c r="C5366" t="s">
        <v>9488</v>
      </c>
      <c r="D5366" t="s">
        <v>13</v>
      </c>
      <c r="E5366" t="s">
        <v>36</v>
      </c>
      <c r="F5366" t="s">
        <v>46</v>
      </c>
      <c r="G5366">
        <v>2</v>
      </c>
      <c r="H5366">
        <v>1245.92</v>
      </c>
      <c r="I5366">
        <v>83.88</v>
      </c>
      <c r="J5366" t="s">
        <v>28</v>
      </c>
      <c r="K5366" t="s">
        <v>29</v>
      </c>
      <c r="L5366">
        <f t="shared" si="249"/>
        <v>2023</v>
      </c>
      <c r="M5366" t="str">
        <f t="shared" si="250"/>
        <v>Aug</v>
      </c>
      <c r="N5366" s="2">
        <f t="shared" si="251"/>
        <v>6.7323744702709631E-2</v>
      </c>
    </row>
    <row r="5367" spans="1:14" x14ac:dyDescent="0.45">
      <c r="A5367" t="s">
        <v>9489</v>
      </c>
      <c r="B5367" s="1">
        <v>45199</v>
      </c>
      <c r="C5367" t="s">
        <v>9490</v>
      </c>
      <c r="D5367" t="s">
        <v>56</v>
      </c>
      <c r="E5367" t="s">
        <v>20</v>
      </c>
      <c r="F5367" t="s">
        <v>43</v>
      </c>
      <c r="G5367">
        <v>3</v>
      </c>
      <c r="H5367">
        <v>10789.63</v>
      </c>
      <c r="I5367">
        <v>1913.87</v>
      </c>
      <c r="J5367" t="s">
        <v>16</v>
      </c>
      <c r="K5367" t="s">
        <v>29</v>
      </c>
      <c r="L5367">
        <f t="shared" si="249"/>
        <v>2023</v>
      </c>
      <c r="M5367" t="str">
        <f t="shared" si="250"/>
        <v>Sep</v>
      </c>
      <c r="N5367" s="2">
        <f t="shared" si="251"/>
        <v>0.17738050331661048</v>
      </c>
    </row>
    <row r="5368" spans="1:14" x14ac:dyDescent="0.45">
      <c r="A5368" t="s">
        <v>9491</v>
      </c>
      <c r="B5368" s="1">
        <v>45217</v>
      </c>
      <c r="C5368" t="s">
        <v>9492</v>
      </c>
      <c r="D5368" t="s">
        <v>26</v>
      </c>
      <c r="E5368" t="s">
        <v>36</v>
      </c>
      <c r="F5368" t="s">
        <v>46</v>
      </c>
      <c r="G5368">
        <v>2</v>
      </c>
      <c r="H5368">
        <v>7065.39</v>
      </c>
      <c r="I5368">
        <v>1414.11</v>
      </c>
      <c r="J5368" t="s">
        <v>71</v>
      </c>
      <c r="K5368" t="s">
        <v>17</v>
      </c>
      <c r="L5368">
        <f t="shared" si="249"/>
        <v>2023</v>
      </c>
      <c r="M5368" t="str">
        <f t="shared" si="250"/>
        <v>Oct</v>
      </c>
      <c r="N5368" s="2">
        <f t="shared" si="251"/>
        <v>0.20014606412384878</v>
      </c>
    </row>
    <row r="5369" spans="1:14" x14ac:dyDescent="0.45">
      <c r="A5369" t="s">
        <v>9493</v>
      </c>
      <c r="B5369" s="1">
        <v>44893</v>
      </c>
      <c r="C5369" t="s">
        <v>9494</v>
      </c>
      <c r="D5369" t="s">
        <v>13</v>
      </c>
      <c r="E5369" t="s">
        <v>36</v>
      </c>
      <c r="F5369" t="s">
        <v>53</v>
      </c>
      <c r="G5369">
        <v>5</v>
      </c>
      <c r="H5369">
        <v>4064.39</v>
      </c>
      <c r="I5369">
        <v>968.7</v>
      </c>
      <c r="J5369" t="s">
        <v>71</v>
      </c>
      <c r="K5369" t="s">
        <v>33</v>
      </c>
      <c r="L5369">
        <f t="shared" si="249"/>
        <v>2022</v>
      </c>
      <c r="M5369" t="str">
        <f t="shared" si="250"/>
        <v>Nov</v>
      </c>
      <c r="N5369" s="2">
        <f t="shared" si="251"/>
        <v>0.2383383484360507</v>
      </c>
    </row>
    <row r="5370" spans="1:14" x14ac:dyDescent="0.45">
      <c r="A5370" t="s">
        <v>9495</v>
      </c>
      <c r="B5370" s="1">
        <v>45325</v>
      </c>
      <c r="C5370" t="s">
        <v>9496</v>
      </c>
      <c r="D5370" t="s">
        <v>13</v>
      </c>
      <c r="E5370" t="s">
        <v>14</v>
      </c>
      <c r="F5370" t="s">
        <v>15</v>
      </c>
      <c r="G5370">
        <v>2</v>
      </c>
      <c r="H5370">
        <v>43018.78</v>
      </c>
      <c r="I5370">
        <v>9448.94</v>
      </c>
      <c r="J5370" t="s">
        <v>47</v>
      </c>
      <c r="K5370" t="s">
        <v>29</v>
      </c>
      <c r="L5370">
        <f t="shared" si="249"/>
        <v>2024</v>
      </c>
      <c r="M5370" t="str">
        <f t="shared" si="250"/>
        <v>Feb</v>
      </c>
      <c r="N5370" s="2">
        <f t="shared" si="251"/>
        <v>0.21964686120805846</v>
      </c>
    </row>
    <row r="5371" spans="1:14" x14ac:dyDescent="0.45">
      <c r="A5371" t="s">
        <v>9497</v>
      </c>
      <c r="B5371" s="1">
        <v>45140</v>
      </c>
      <c r="C5371" t="s">
        <v>9498</v>
      </c>
      <c r="D5371" t="s">
        <v>56</v>
      </c>
      <c r="E5371" t="s">
        <v>20</v>
      </c>
      <c r="F5371" t="s">
        <v>27</v>
      </c>
      <c r="G5371">
        <v>5</v>
      </c>
      <c r="H5371">
        <v>9084.4500000000007</v>
      </c>
      <c r="I5371">
        <v>1348.43</v>
      </c>
      <c r="J5371" t="s">
        <v>28</v>
      </c>
      <c r="K5371" t="s">
        <v>33</v>
      </c>
      <c r="L5371">
        <f t="shared" si="249"/>
        <v>2023</v>
      </c>
      <c r="M5371" t="str">
        <f t="shared" si="250"/>
        <v>Aug</v>
      </c>
      <c r="N5371" s="2">
        <f t="shared" si="251"/>
        <v>0.14843276147702941</v>
      </c>
    </row>
    <row r="5372" spans="1:14" x14ac:dyDescent="0.45">
      <c r="A5372" t="s">
        <v>9499</v>
      </c>
      <c r="B5372" s="1">
        <v>45101</v>
      </c>
      <c r="C5372" t="s">
        <v>9500</v>
      </c>
      <c r="D5372" t="s">
        <v>26</v>
      </c>
      <c r="E5372" t="s">
        <v>20</v>
      </c>
      <c r="F5372" t="s">
        <v>21</v>
      </c>
      <c r="G5372">
        <v>3</v>
      </c>
      <c r="H5372">
        <v>23057.37</v>
      </c>
      <c r="I5372">
        <v>1817.03</v>
      </c>
      <c r="J5372" t="s">
        <v>16</v>
      </c>
      <c r="K5372" t="s">
        <v>33</v>
      </c>
      <c r="L5372">
        <f t="shared" si="249"/>
        <v>2023</v>
      </c>
      <c r="M5372" t="str">
        <f t="shared" si="250"/>
        <v>Jun</v>
      </c>
      <c r="N5372" s="2">
        <f t="shared" si="251"/>
        <v>7.8804737921107218E-2</v>
      </c>
    </row>
    <row r="5373" spans="1:14" x14ac:dyDescent="0.45">
      <c r="A5373" t="s">
        <v>9501</v>
      </c>
      <c r="B5373" s="1">
        <v>44989</v>
      </c>
      <c r="C5373" t="s">
        <v>9502</v>
      </c>
      <c r="D5373" t="s">
        <v>56</v>
      </c>
      <c r="E5373" t="s">
        <v>20</v>
      </c>
      <c r="F5373" t="s">
        <v>21</v>
      </c>
      <c r="G5373">
        <v>4</v>
      </c>
      <c r="H5373">
        <v>13268.7</v>
      </c>
      <c r="I5373">
        <v>1324.77</v>
      </c>
      <c r="J5373" t="s">
        <v>47</v>
      </c>
      <c r="K5373" t="s">
        <v>29</v>
      </c>
      <c r="L5373">
        <f t="shared" si="249"/>
        <v>2023</v>
      </c>
      <c r="M5373" t="str">
        <f t="shared" si="250"/>
        <v>Mar</v>
      </c>
      <c r="N5373" s="2">
        <f t="shared" si="251"/>
        <v>9.9841732799746771E-2</v>
      </c>
    </row>
    <row r="5374" spans="1:14" x14ac:dyDescent="0.45">
      <c r="A5374" t="s">
        <v>9503</v>
      </c>
      <c r="B5374" s="1">
        <v>45282</v>
      </c>
      <c r="C5374" t="s">
        <v>7643</v>
      </c>
      <c r="D5374" t="s">
        <v>56</v>
      </c>
      <c r="E5374" t="s">
        <v>14</v>
      </c>
      <c r="F5374" t="s">
        <v>15</v>
      </c>
      <c r="G5374">
        <v>2</v>
      </c>
      <c r="H5374">
        <v>16642.55</v>
      </c>
      <c r="I5374">
        <v>3831.97</v>
      </c>
      <c r="J5374" t="s">
        <v>71</v>
      </c>
      <c r="K5374" t="s">
        <v>29</v>
      </c>
      <c r="L5374">
        <f t="shared" si="249"/>
        <v>2023</v>
      </c>
      <c r="M5374" t="str">
        <f t="shared" si="250"/>
        <v>Dec</v>
      </c>
      <c r="N5374" s="2">
        <f t="shared" si="251"/>
        <v>0.23025137373779858</v>
      </c>
    </row>
    <row r="5375" spans="1:14" x14ac:dyDescent="0.45">
      <c r="A5375" t="s">
        <v>9504</v>
      </c>
      <c r="B5375" s="1">
        <v>45534</v>
      </c>
      <c r="C5375" t="s">
        <v>9505</v>
      </c>
      <c r="D5375" t="s">
        <v>13</v>
      </c>
      <c r="E5375" t="s">
        <v>20</v>
      </c>
      <c r="F5375" t="s">
        <v>50</v>
      </c>
      <c r="G5375">
        <v>4</v>
      </c>
      <c r="H5375">
        <v>7060.15</v>
      </c>
      <c r="I5375">
        <v>976.67</v>
      </c>
      <c r="J5375" t="s">
        <v>47</v>
      </c>
      <c r="K5375" t="s">
        <v>33</v>
      </c>
      <c r="L5375">
        <f t="shared" si="249"/>
        <v>2024</v>
      </c>
      <c r="M5375" t="str">
        <f t="shared" si="250"/>
        <v>Aug</v>
      </c>
      <c r="N5375" s="2">
        <f t="shared" si="251"/>
        <v>0.13833558777079807</v>
      </c>
    </row>
    <row r="5376" spans="1:14" x14ac:dyDescent="0.45">
      <c r="A5376" t="s">
        <v>9506</v>
      </c>
      <c r="B5376" s="1">
        <v>45473</v>
      </c>
      <c r="C5376" t="s">
        <v>7502</v>
      </c>
      <c r="D5376" t="s">
        <v>13</v>
      </c>
      <c r="E5376" t="s">
        <v>14</v>
      </c>
      <c r="F5376" t="s">
        <v>32</v>
      </c>
      <c r="G5376">
        <v>3</v>
      </c>
      <c r="H5376">
        <v>46838.97</v>
      </c>
      <c r="I5376">
        <v>2696.06</v>
      </c>
      <c r="J5376" t="s">
        <v>47</v>
      </c>
      <c r="K5376" t="s">
        <v>23</v>
      </c>
      <c r="L5376">
        <f t="shared" si="249"/>
        <v>2024</v>
      </c>
      <c r="M5376" t="str">
        <f t="shared" si="250"/>
        <v>Jun</v>
      </c>
      <c r="N5376" s="2">
        <f t="shared" si="251"/>
        <v>5.7560189730901427E-2</v>
      </c>
    </row>
    <row r="5377" spans="1:14" x14ac:dyDescent="0.45">
      <c r="A5377" t="s">
        <v>9507</v>
      </c>
      <c r="B5377" s="1">
        <v>45212</v>
      </c>
      <c r="C5377" t="s">
        <v>7071</v>
      </c>
      <c r="D5377" t="s">
        <v>13</v>
      </c>
      <c r="E5377" t="s">
        <v>20</v>
      </c>
      <c r="F5377" t="s">
        <v>43</v>
      </c>
      <c r="G5377">
        <v>4</v>
      </c>
      <c r="H5377">
        <v>27220.32</v>
      </c>
      <c r="I5377">
        <v>5407.57</v>
      </c>
      <c r="J5377" t="s">
        <v>71</v>
      </c>
      <c r="K5377" t="s">
        <v>17</v>
      </c>
      <c r="L5377">
        <f t="shared" si="249"/>
        <v>2023</v>
      </c>
      <c r="M5377" t="str">
        <f t="shared" si="250"/>
        <v>Oct</v>
      </c>
      <c r="N5377" s="2">
        <f t="shared" si="251"/>
        <v>0.19865931039752655</v>
      </c>
    </row>
    <row r="5378" spans="1:14" x14ac:dyDescent="0.45">
      <c r="A5378" t="s">
        <v>9508</v>
      </c>
      <c r="B5378" s="1">
        <v>45121</v>
      </c>
      <c r="C5378" t="s">
        <v>9509</v>
      </c>
      <c r="D5378" t="s">
        <v>56</v>
      </c>
      <c r="E5378" t="s">
        <v>36</v>
      </c>
      <c r="F5378" t="s">
        <v>64</v>
      </c>
      <c r="G5378">
        <v>3</v>
      </c>
      <c r="H5378">
        <v>33088.61</v>
      </c>
      <c r="I5378">
        <v>7192.88</v>
      </c>
      <c r="J5378" t="s">
        <v>28</v>
      </c>
      <c r="K5378" t="s">
        <v>17</v>
      </c>
      <c r="L5378">
        <f t="shared" si="249"/>
        <v>2023</v>
      </c>
      <c r="M5378" t="str">
        <f t="shared" si="250"/>
        <v>Jul</v>
      </c>
      <c r="N5378" s="2">
        <f t="shared" si="251"/>
        <v>0.21738235604336356</v>
      </c>
    </row>
    <row r="5379" spans="1:14" x14ac:dyDescent="0.45">
      <c r="A5379" t="s">
        <v>9510</v>
      </c>
      <c r="B5379" s="1">
        <v>45596</v>
      </c>
      <c r="C5379" t="s">
        <v>9511</v>
      </c>
      <c r="D5379" t="s">
        <v>13</v>
      </c>
      <c r="E5379" t="s">
        <v>20</v>
      </c>
      <c r="F5379" t="s">
        <v>43</v>
      </c>
      <c r="G5379">
        <v>4</v>
      </c>
      <c r="H5379">
        <v>14185.13</v>
      </c>
      <c r="I5379">
        <v>2456.9299999999998</v>
      </c>
      <c r="J5379" t="s">
        <v>47</v>
      </c>
      <c r="K5379" t="s">
        <v>33</v>
      </c>
      <c r="L5379">
        <f t="shared" ref="L5379:L5442" si="252">YEAR(B5379 )</f>
        <v>2024</v>
      </c>
      <c r="M5379" t="str">
        <f t="shared" ref="M5379:M5442" si="253">TEXT(B5379,"MMM")</f>
        <v>Oct</v>
      </c>
      <c r="N5379" s="2">
        <f t="shared" ref="N5379:N5442" si="254">I5379 / H5379</f>
        <v>0.17320461638349455</v>
      </c>
    </row>
    <row r="5380" spans="1:14" x14ac:dyDescent="0.45">
      <c r="A5380" t="s">
        <v>9512</v>
      </c>
      <c r="B5380" s="1">
        <v>45506</v>
      </c>
      <c r="C5380" t="s">
        <v>9513</v>
      </c>
      <c r="D5380" t="s">
        <v>26</v>
      </c>
      <c r="E5380" t="s">
        <v>36</v>
      </c>
      <c r="F5380" t="s">
        <v>46</v>
      </c>
      <c r="G5380">
        <v>4</v>
      </c>
      <c r="H5380">
        <v>41266.19</v>
      </c>
      <c r="I5380">
        <v>9915.5</v>
      </c>
      <c r="J5380" t="s">
        <v>22</v>
      </c>
      <c r="K5380" t="s">
        <v>17</v>
      </c>
      <c r="L5380">
        <f t="shared" si="252"/>
        <v>2024</v>
      </c>
      <c r="M5380" t="str">
        <f t="shared" si="253"/>
        <v>Aug</v>
      </c>
      <c r="N5380" s="2">
        <f t="shared" si="254"/>
        <v>0.24028145074696741</v>
      </c>
    </row>
    <row r="5381" spans="1:14" x14ac:dyDescent="0.45">
      <c r="A5381" t="s">
        <v>9514</v>
      </c>
      <c r="B5381" s="1">
        <v>45577</v>
      </c>
      <c r="C5381" t="s">
        <v>9099</v>
      </c>
      <c r="D5381" t="s">
        <v>13</v>
      </c>
      <c r="E5381" t="s">
        <v>14</v>
      </c>
      <c r="F5381" t="s">
        <v>40</v>
      </c>
      <c r="G5381">
        <v>5</v>
      </c>
      <c r="H5381">
        <v>17048.57</v>
      </c>
      <c r="I5381">
        <v>3651.63</v>
      </c>
      <c r="J5381" t="s">
        <v>71</v>
      </c>
      <c r="K5381" t="s">
        <v>29</v>
      </c>
      <c r="L5381">
        <f t="shared" si="252"/>
        <v>2024</v>
      </c>
      <c r="M5381" t="str">
        <f t="shared" si="253"/>
        <v>Oct</v>
      </c>
      <c r="N5381" s="2">
        <f t="shared" si="254"/>
        <v>0.21418981181412869</v>
      </c>
    </row>
    <row r="5382" spans="1:14" x14ac:dyDescent="0.45">
      <c r="A5382" t="s">
        <v>9515</v>
      </c>
      <c r="B5382" s="1">
        <v>45201</v>
      </c>
      <c r="C5382" t="s">
        <v>9516</v>
      </c>
      <c r="D5382" t="s">
        <v>56</v>
      </c>
      <c r="E5382" t="s">
        <v>36</v>
      </c>
      <c r="F5382" t="s">
        <v>53</v>
      </c>
      <c r="G5382">
        <v>3</v>
      </c>
      <c r="H5382">
        <v>16995.95</v>
      </c>
      <c r="I5382">
        <v>2198.39</v>
      </c>
      <c r="J5382" t="s">
        <v>71</v>
      </c>
      <c r="K5382" t="s">
        <v>17</v>
      </c>
      <c r="L5382">
        <f t="shared" si="252"/>
        <v>2023</v>
      </c>
      <c r="M5382" t="str">
        <f t="shared" si="253"/>
        <v>Oct</v>
      </c>
      <c r="N5382" s="2">
        <f t="shared" si="254"/>
        <v>0.12934787405234774</v>
      </c>
    </row>
    <row r="5383" spans="1:14" x14ac:dyDescent="0.45">
      <c r="A5383" t="s">
        <v>9517</v>
      </c>
      <c r="B5383" s="1">
        <v>45602</v>
      </c>
      <c r="C5383" t="s">
        <v>529</v>
      </c>
      <c r="D5383" t="s">
        <v>13</v>
      </c>
      <c r="E5383" t="s">
        <v>36</v>
      </c>
      <c r="F5383" t="s">
        <v>64</v>
      </c>
      <c r="G5383">
        <v>5</v>
      </c>
      <c r="H5383">
        <v>32869.54</v>
      </c>
      <c r="I5383">
        <v>5546.75</v>
      </c>
      <c r="J5383" t="s">
        <v>28</v>
      </c>
      <c r="K5383" t="s">
        <v>29</v>
      </c>
      <c r="L5383">
        <f t="shared" si="252"/>
        <v>2024</v>
      </c>
      <c r="M5383" t="str">
        <f t="shared" si="253"/>
        <v>Nov</v>
      </c>
      <c r="N5383" s="2">
        <f t="shared" si="254"/>
        <v>0.16875046015246942</v>
      </c>
    </row>
    <row r="5384" spans="1:14" x14ac:dyDescent="0.45">
      <c r="A5384" t="s">
        <v>9518</v>
      </c>
      <c r="B5384" s="1">
        <v>45045</v>
      </c>
      <c r="C5384" t="s">
        <v>1236</v>
      </c>
      <c r="D5384" t="s">
        <v>26</v>
      </c>
      <c r="E5384" t="s">
        <v>14</v>
      </c>
      <c r="F5384" t="s">
        <v>57</v>
      </c>
      <c r="G5384">
        <v>2</v>
      </c>
      <c r="H5384">
        <v>22154.12</v>
      </c>
      <c r="I5384">
        <v>4046.41</v>
      </c>
      <c r="J5384" t="s">
        <v>28</v>
      </c>
      <c r="K5384" t="s">
        <v>17</v>
      </c>
      <c r="L5384">
        <f t="shared" si="252"/>
        <v>2023</v>
      </c>
      <c r="M5384" t="str">
        <f t="shared" si="253"/>
        <v>Apr</v>
      </c>
      <c r="N5384" s="2">
        <f t="shared" si="254"/>
        <v>0.1826481936542729</v>
      </c>
    </row>
    <row r="5385" spans="1:14" x14ac:dyDescent="0.45">
      <c r="A5385" t="s">
        <v>9519</v>
      </c>
      <c r="B5385" s="1">
        <v>45057</v>
      </c>
      <c r="C5385" t="s">
        <v>9520</v>
      </c>
      <c r="D5385" t="s">
        <v>26</v>
      </c>
      <c r="E5385" t="s">
        <v>36</v>
      </c>
      <c r="F5385" t="s">
        <v>64</v>
      </c>
      <c r="G5385">
        <v>3</v>
      </c>
      <c r="H5385">
        <v>33303.31</v>
      </c>
      <c r="I5385">
        <v>4031.39</v>
      </c>
      <c r="J5385" t="s">
        <v>22</v>
      </c>
      <c r="K5385" t="s">
        <v>29</v>
      </c>
      <c r="L5385">
        <f t="shared" si="252"/>
        <v>2023</v>
      </c>
      <c r="M5385" t="str">
        <f t="shared" si="253"/>
        <v>May</v>
      </c>
      <c r="N5385" s="2">
        <f t="shared" si="254"/>
        <v>0.12105073039286486</v>
      </c>
    </row>
    <row r="5386" spans="1:14" x14ac:dyDescent="0.45">
      <c r="A5386" t="s">
        <v>9521</v>
      </c>
      <c r="B5386" s="1">
        <v>44599</v>
      </c>
      <c r="C5386" t="s">
        <v>9522</v>
      </c>
      <c r="D5386" t="s">
        <v>56</v>
      </c>
      <c r="E5386" t="s">
        <v>14</v>
      </c>
      <c r="F5386" t="s">
        <v>15</v>
      </c>
      <c r="G5386">
        <v>3</v>
      </c>
      <c r="H5386">
        <v>18899.57</v>
      </c>
      <c r="I5386">
        <v>2001.29</v>
      </c>
      <c r="J5386" t="s">
        <v>22</v>
      </c>
      <c r="K5386" t="s">
        <v>17</v>
      </c>
      <c r="L5386">
        <f t="shared" si="252"/>
        <v>2022</v>
      </c>
      <c r="M5386" t="str">
        <f t="shared" si="253"/>
        <v>Feb</v>
      </c>
      <c r="N5386" s="2">
        <f t="shared" si="254"/>
        <v>0.10589076894342041</v>
      </c>
    </row>
    <row r="5387" spans="1:14" x14ac:dyDescent="0.45">
      <c r="A5387" t="s">
        <v>9523</v>
      </c>
      <c r="B5387" s="1">
        <v>44644</v>
      </c>
      <c r="C5387" t="s">
        <v>909</v>
      </c>
      <c r="D5387" t="s">
        <v>13</v>
      </c>
      <c r="E5387" t="s">
        <v>14</v>
      </c>
      <c r="F5387" t="s">
        <v>32</v>
      </c>
      <c r="G5387">
        <v>1</v>
      </c>
      <c r="H5387">
        <v>22058.44</v>
      </c>
      <c r="I5387">
        <v>1427.17</v>
      </c>
      <c r="J5387" t="s">
        <v>71</v>
      </c>
      <c r="K5387" t="s">
        <v>23</v>
      </c>
      <c r="L5387">
        <f t="shared" si="252"/>
        <v>2022</v>
      </c>
      <c r="M5387" t="str">
        <f t="shared" si="253"/>
        <v>Mar</v>
      </c>
      <c r="N5387" s="2">
        <f t="shared" si="254"/>
        <v>6.4699498241942779E-2</v>
      </c>
    </row>
    <row r="5388" spans="1:14" x14ac:dyDescent="0.45">
      <c r="A5388" t="s">
        <v>9524</v>
      </c>
      <c r="B5388" s="1">
        <v>45045</v>
      </c>
      <c r="C5388" t="s">
        <v>9525</v>
      </c>
      <c r="D5388" t="s">
        <v>56</v>
      </c>
      <c r="E5388" t="s">
        <v>20</v>
      </c>
      <c r="F5388" t="s">
        <v>50</v>
      </c>
      <c r="G5388">
        <v>2</v>
      </c>
      <c r="H5388">
        <v>36555.620000000003</v>
      </c>
      <c r="I5388">
        <v>4279.08</v>
      </c>
      <c r="J5388" t="s">
        <v>71</v>
      </c>
      <c r="K5388" t="s">
        <v>23</v>
      </c>
      <c r="L5388">
        <f t="shared" si="252"/>
        <v>2023</v>
      </c>
      <c r="M5388" t="str">
        <f t="shared" si="253"/>
        <v>Apr</v>
      </c>
      <c r="N5388" s="2">
        <f t="shared" si="254"/>
        <v>0.11705669333470475</v>
      </c>
    </row>
    <row r="5389" spans="1:14" x14ac:dyDescent="0.45">
      <c r="A5389" t="s">
        <v>9526</v>
      </c>
      <c r="B5389" s="1">
        <v>44893</v>
      </c>
      <c r="C5389" t="s">
        <v>2427</v>
      </c>
      <c r="D5389" t="s">
        <v>26</v>
      </c>
      <c r="E5389" t="s">
        <v>20</v>
      </c>
      <c r="F5389" t="s">
        <v>27</v>
      </c>
      <c r="G5389">
        <v>1</v>
      </c>
      <c r="H5389">
        <v>31763.74</v>
      </c>
      <c r="I5389">
        <v>2473.87</v>
      </c>
      <c r="J5389" t="s">
        <v>28</v>
      </c>
      <c r="K5389" t="s">
        <v>23</v>
      </c>
      <c r="L5389">
        <f t="shared" si="252"/>
        <v>2022</v>
      </c>
      <c r="M5389" t="str">
        <f t="shared" si="253"/>
        <v>Nov</v>
      </c>
      <c r="N5389" s="2">
        <f t="shared" si="254"/>
        <v>7.7883460826716239E-2</v>
      </c>
    </row>
    <row r="5390" spans="1:14" x14ac:dyDescent="0.45">
      <c r="A5390" t="s">
        <v>9527</v>
      </c>
      <c r="B5390" s="1">
        <v>45043</v>
      </c>
      <c r="C5390" t="s">
        <v>9528</v>
      </c>
      <c r="D5390" t="s">
        <v>56</v>
      </c>
      <c r="E5390" t="s">
        <v>36</v>
      </c>
      <c r="F5390" t="s">
        <v>37</v>
      </c>
      <c r="G5390">
        <v>5</v>
      </c>
      <c r="H5390">
        <v>27710.92</v>
      </c>
      <c r="I5390">
        <v>6621.74</v>
      </c>
      <c r="J5390" t="s">
        <v>71</v>
      </c>
      <c r="K5390" t="s">
        <v>29</v>
      </c>
      <c r="L5390">
        <f t="shared" si="252"/>
        <v>2023</v>
      </c>
      <c r="M5390" t="str">
        <f t="shared" si="253"/>
        <v>Apr</v>
      </c>
      <c r="N5390" s="2">
        <f t="shared" si="254"/>
        <v>0.23895778270804435</v>
      </c>
    </row>
    <row r="5391" spans="1:14" x14ac:dyDescent="0.45">
      <c r="A5391" t="s">
        <v>9529</v>
      </c>
      <c r="B5391" s="1">
        <v>44613</v>
      </c>
      <c r="C5391" t="s">
        <v>9530</v>
      </c>
      <c r="D5391" t="s">
        <v>13</v>
      </c>
      <c r="E5391" t="s">
        <v>36</v>
      </c>
      <c r="F5391" t="s">
        <v>53</v>
      </c>
      <c r="G5391">
        <v>3</v>
      </c>
      <c r="H5391">
        <v>27870.07</v>
      </c>
      <c r="I5391">
        <v>6083.16</v>
      </c>
      <c r="J5391" t="s">
        <v>16</v>
      </c>
      <c r="K5391" t="s">
        <v>23</v>
      </c>
      <c r="L5391">
        <f t="shared" si="252"/>
        <v>2022</v>
      </c>
      <c r="M5391" t="str">
        <f t="shared" si="253"/>
        <v>Feb</v>
      </c>
      <c r="N5391" s="2">
        <f t="shared" si="254"/>
        <v>0.21826855834951259</v>
      </c>
    </row>
    <row r="5392" spans="1:14" x14ac:dyDescent="0.45">
      <c r="A5392" t="s">
        <v>9531</v>
      </c>
      <c r="B5392" s="1">
        <v>45203</v>
      </c>
      <c r="C5392" t="s">
        <v>8685</v>
      </c>
      <c r="D5392" t="s">
        <v>13</v>
      </c>
      <c r="E5392" t="s">
        <v>36</v>
      </c>
      <c r="F5392" t="s">
        <v>64</v>
      </c>
      <c r="G5392">
        <v>2</v>
      </c>
      <c r="H5392">
        <v>34913.94</v>
      </c>
      <c r="I5392">
        <v>6976.02</v>
      </c>
      <c r="J5392" t="s">
        <v>71</v>
      </c>
      <c r="K5392" t="s">
        <v>17</v>
      </c>
      <c r="L5392">
        <f t="shared" si="252"/>
        <v>2023</v>
      </c>
      <c r="M5392" t="str">
        <f t="shared" si="253"/>
        <v>Oct</v>
      </c>
      <c r="N5392" s="2">
        <f t="shared" si="254"/>
        <v>0.19980615192670892</v>
      </c>
    </row>
    <row r="5393" spans="1:14" x14ac:dyDescent="0.45">
      <c r="A5393" t="s">
        <v>9532</v>
      </c>
      <c r="B5393" s="1">
        <v>44746</v>
      </c>
      <c r="C5393" t="s">
        <v>7425</v>
      </c>
      <c r="D5393" t="s">
        <v>26</v>
      </c>
      <c r="E5393" t="s">
        <v>20</v>
      </c>
      <c r="F5393" t="s">
        <v>21</v>
      </c>
      <c r="G5393">
        <v>3</v>
      </c>
      <c r="H5393">
        <v>33216.99</v>
      </c>
      <c r="I5393">
        <v>3440.04</v>
      </c>
      <c r="J5393" t="s">
        <v>16</v>
      </c>
      <c r="K5393" t="s">
        <v>33</v>
      </c>
      <c r="L5393">
        <f t="shared" si="252"/>
        <v>2022</v>
      </c>
      <c r="M5393" t="str">
        <f t="shared" si="253"/>
        <v>Jul</v>
      </c>
      <c r="N5393" s="2">
        <f t="shared" si="254"/>
        <v>0.1035626647688427</v>
      </c>
    </row>
    <row r="5394" spans="1:14" x14ac:dyDescent="0.45">
      <c r="A5394" t="s">
        <v>9533</v>
      </c>
      <c r="B5394" s="1">
        <v>44711</v>
      </c>
      <c r="C5394" t="s">
        <v>9534</v>
      </c>
      <c r="D5394" t="s">
        <v>13</v>
      </c>
      <c r="E5394" t="s">
        <v>14</v>
      </c>
      <c r="F5394" t="s">
        <v>15</v>
      </c>
      <c r="G5394">
        <v>5</v>
      </c>
      <c r="H5394">
        <v>45680.72</v>
      </c>
      <c r="I5394">
        <v>6729.4</v>
      </c>
      <c r="J5394" t="s">
        <v>71</v>
      </c>
      <c r="K5394" t="s">
        <v>33</v>
      </c>
      <c r="L5394">
        <f t="shared" si="252"/>
        <v>2022</v>
      </c>
      <c r="M5394" t="str">
        <f t="shared" si="253"/>
        <v>May</v>
      </c>
      <c r="N5394" s="2">
        <f t="shared" si="254"/>
        <v>0.14731379015041793</v>
      </c>
    </row>
    <row r="5395" spans="1:14" x14ac:dyDescent="0.45">
      <c r="A5395" t="s">
        <v>9535</v>
      </c>
      <c r="B5395" s="1">
        <v>44981</v>
      </c>
      <c r="C5395" t="s">
        <v>9536</v>
      </c>
      <c r="D5395" t="s">
        <v>56</v>
      </c>
      <c r="E5395" t="s">
        <v>36</v>
      </c>
      <c r="F5395" t="s">
        <v>53</v>
      </c>
      <c r="G5395">
        <v>2</v>
      </c>
      <c r="H5395">
        <v>18755.03</v>
      </c>
      <c r="I5395">
        <v>2069.71</v>
      </c>
      <c r="J5395" t="s">
        <v>22</v>
      </c>
      <c r="K5395" t="s">
        <v>29</v>
      </c>
      <c r="L5395">
        <f t="shared" si="252"/>
        <v>2023</v>
      </c>
      <c r="M5395" t="str">
        <f t="shared" si="253"/>
        <v>Feb</v>
      </c>
      <c r="N5395" s="2">
        <f t="shared" si="254"/>
        <v>0.1103549287844381</v>
      </c>
    </row>
    <row r="5396" spans="1:14" x14ac:dyDescent="0.45">
      <c r="A5396" t="s">
        <v>9537</v>
      </c>
      <c r="B5396" s="1">
        <v>45110</v>
      </c>
      <c r="C5396" t="s">
        <v>3811</v>
      </c>
      <c r="D5396" t="s">
        <v>13</v>
      </c>
      <c r="E5396" t="s">
        <v>20</v>
      </c>
      <c r="F5396" t="s">
        <v>21</v>
      </c>
      <c r="G5396">
        <v>4</v>
      </c>
      <c r="H5396">
        <v>48707.59</v>
      </c>
      <c r="I5396">
        <v>9521.48</v>
      </c>
      <c r="J5396" t="s">
        <v>22</v>
      </c>
      <c r="K5396" t="s">
        <v>23</v>
      </c>
      <c r="L5396">
        <f t="shared" si="252"/>
        <v>2023</v>
      </c>
      <c r="M5396" t="str">
        <f t="shared" si="253"/>
        <v>Jul</v>
      </c>
      <c r="N5396" s="2">
        <f t="shared" si="254"/>
        <v>0.1954824699805513</v>
      </c>
    </row>
    <row r="5397" spans="1:14" x14ac:dyDescent="0.45">
      <c r="A5397" t="s">
        <v>9538</v>
      </c>
      <c r="B5397" s="1">
        <v>44835</v>
      </c>
      <c r="C5397" t="s">
        <v>4458</v>
      </c>
      <c r="D5397" t="s">
        <v>26</v>
      </c>
      <c r="E5397" t="s">
        <v>20</v>
      </c>
      <c r="F5397" t="s">
        <v>27</v>
      </c>
      <c r="G5397">
        <v>1</v>
      </c>
      <c r="H5397">
        <v>33099.07</v>
      </c>
      <c r="I5397">
        <v>7666.23</v>
      </c>
      <c r="J5397" t="s">
        <v>22</v>
      </c>
      <c r="K5397" t="s">
        <v>29</v>
      </c>
      <c r="L5397">
        <f t="shared" si="252"/>
        <v>2022</v>
      </c>
      <c r="M5397" t="str">
        <f t="shared" si="253"/>
        <v>Oct</v>
      </c>
      <c r="N5397" s="2">
        <f t="shared" si="254"/>
        <v>0.2316146647020596</v>
      </c>
    </row>
    <row r="5398" spans="1:14" x14ac:dyDescent="0.45">
      <c r="A5398" t="s">
        <v>9539</v>
      </c>
      <c r="B5398" s="1">
        <v>45444</v>
      </c>
      <c r="C5398" t="s">
        <v>9540</v>
      </c>
      <c r="D5398" t="s">
        <v>13</v>
      </c>
      <c r="E5398" t="s">
        <v>36</v>
      </c>
      <c r="F5398" t="s">
        <v>46</v>
      </c>
      <c r="G5398">
        <v>3</v>
      </c>
      <c r="H5398">
        <v>26399.84</v>
      </c>
      <c r="I5398">
        <v>4153.5</v>
      </c>
      <c r="J5398" t="s">
        <v>71</v>
      </c>
      <c r="K5398" t="s">
        <v>29</v>
      </c>
      <c r="L5398">
        <f t="shared" si="252"/>
        <v>2024</v>
      </c>
      <c r="M5398" t="str">
        <f t="shared" si="253"/>
        <v>Jun</v>
      </c>
      <c r="N5398" s="2">
        <f t="shared" si="254"/>
        <v>0.15733049897272106</v>
      </c>
    </row>
    <row r="5399" spans="1:14" x14ac:dyDescent="0.45">
      <c r="A5399" t="s">
        <v>9541</v>
      </c>
      <c r="B5399" s="1">
        <v>45573</v>
      </c>
      <c r="C5399" t="s">
        <v>9542</v>
      </c>
      <c r="D5399" t="s">
        <v>26</v>
      </c>
      <c r="E5399" t="s">
        <v>14</v>
      </c>
      <c r="F5399" t="s">
        <v>15</v>
      </c>
      <c r="G5399">
        <v>5</v>
      </c>
      <c r="H5399">
        <v>26279.87</v>
      </c>
      <c r="I5399">
        <v>3602.47</v>
      </c>
      <c r="J5399" t="s">
        <v>22</v>
      </c>
      <c r="K5399" t="s">
        <v>17</v>
      </c>
      <c r="L5399">
        <f t="shared" si="252"/>
        <v>2024</v>
      </c>
      <c r="M5399" t="str">
        <f t="shared" si="253"/>
        <v>Oct</v>
      </c>
      <c r="N5399" s="2">
        <f t="shared" si="254"/>
        <v>0.13708096729550032</v>
      </c>
    </row>
    <row r="5400" spans="1:14" x14ac:dyDescent="0.45">
      <c r="A5400" t="s">
        <v>9543</v>
      </c>
      <c r="B5400" s="1">
        <v>45322</v>
      </c>
      <c r="C5400" t="s">
        <v>9544</v>
      </c>
      <c r="D5400" t="s">
        <v>13</v>
      </c>
      <c r="E5400" t="s">
        <v>20</v>
      </c>
      <c r="F5400" t="s">
        <v>21</v>
      </c>
      <c r="G5400">
        <v>2</v>
      </c>
      <c r="H5400">
        <v>47441.75</v>
      </c>
      <c r="I5400">
        <v>8897.7999999999993</v>
      </c>
      <c r="J5400" t="s">
        <v>47</v>
      </c>
      <c r="K5400" t="s">
        <v>23</v>
      </c>
      <c r="L5400">
        <f t="shared" si="252"/>
        <v>2024</v>
      </c>
      <c r="M5400" t="str">
        <f t="shared" si="253"/>
        <v>Jan</v>
      </c>
      <c r="N5400" s="2">
        <f t="shared" si="254"/>
        <v>0.18755210336886813</v>
      </c>
    </row>
    <row r="5401" spans="1:14" x14ac:dyDescent="0.45">
      <c r="A5401" t="s">
        <v>9545</v>
      </c>
      <c r="B5401" s="1">
        <v>45007</v>
      </c>
      <c r="C5401" t="s">
        <v>9546</v>
      </c>
      <c r="D5401" t="s">
        <v>56</v>
      </c>
      <c r="E5401" t="s">
        <v>36</v>
      </c>
      <c r="F5401" t="s">
        <v>37</v>
      </c>
      <c r="G5401">
        <v>3</v>
      </c>
      <c r="H5401">
        <v>18795.48</v>
      </c>
      <c r="I5401">
        <v>1201.42</v>
      </c>
      <c r="J5401" t="s">
        <v>16</v>
      </c>
      <c r="K5401" t="s">
        <v>33</v>
      </c>
      <c r="L5401">
        <f t="shared" si="252"/>
        <v>2023</v>
      </c>
      <c r="M5401" t="str">
        <f t="shared" si="253"/>
        <v>Mar</v>
      </c>
      <c r="N5401" s="2">
        <f t="shared" si="254"/>
        <v>6.3920687314184058E-2</v>
      </c>
    </row>
    <row r="5402" spans="1:14" x14ac:dyDescent="0.45">
      <c r="A5402" t="s">
        <v>9547</v>
      </c>
      <c r="B5402" s="1">
        <v>45527</v>
      </c>
      <c r="C5402" t="s">
        <v>2039</v>
      </c>
      <c r="D5402" t="s">
        <v>26</v>
      </c>
      <c r="E5402" t="s">
        <v>14</v>
      </c>
      <c r="F5402" t="s">
        <v>57</v>
      </c>
      <c r="G5402">
        <v>5</v>
      </c>
      <c r="H5402">
        <v>15434.39</v>
      </c>
      <c r="I5402">
        <v>3527.04</v>
      </c>
      <c r="J5402" t="s">
        <v>71</v>
      </c>
      <c r="K5402" t="s">
        <v>29</v>
      </c>
      <c r="L5402">
        <f t="shared" si="252"/>
        <v>2024</v>
      </c>
      <c r="M5402" t="str">
        <f t="shared" si="253"/>
        <v>Aug</v>
      </c>
      <c r="N5402" s="2">
        <f t="shared" si="254"/>
        <v>0.22851826343639109</v>
      </c>
    </row>
    <row r="5403" spans="1:14" x14ac:dyDescent="0.45">
      <c r="A5403" t="s">
        <v>9548</v>
      </c>
      <c r="B5403" s="1">
        <v>45007</v>
      </c>
      <c r="C5403" t="s">
        <v>6675</v>
      </c>
      <c r="D5403" t="s">
        <v>56</v>
      </c>
      <c r="E5403" t="s">
        <v>20</v>
      </c>
      <c r="F5403" t="s">
        <v>27</v>
      </c>
      <c r="G5403">
        <v>4</v>
      </c>
      <c r="H5403">
        <v>7766.12</v>
      </c>
      <c r="I5403">
        <v>1291.1199999999999</v>
      </c>
      <c r="J5403" t="s">
        <v>71</v>
      </c>
      <c r="K5403" t="s">
        <v>17</v>
      </c>
      <c r="L5403">
        <f t="shared" si="252"/>
        <v>2023</v>
      </c>
      <c r="M5403" t="str">
        <f t="shared" si="253"/>
        <v>Mar</v>
      </c>
      <c r="N5403" s="2">
        <f t="shared" si="254"/>
        <v>0.16625032834929152</v>
      </c>
    </row>
    <row r="5404" spans="1:14" x14ac:dyDescent="0.45">
      <c r="A5404" t="s">
        <v>9549</v>
      </c>
      <c r="B5404" s="1">
        <v>45360</v>
      </c>
      <c r="C5404" t="s">
        <v>3634</v>
      </c>
      <c r="D5404" t="s">
        <v>26</v>
      </c>
      <c r="E5404" t="s">
        <v>20</v>
      </c>
      <c r="F5404" t="s">
        <v>27</v>
      </c>
      <c r="G5404">
        <v>1</v>
      </c>
      <c r="H5404">
        <v>33127.19</v>
      </c>
      <c r="I5404">
        <v>2834.86</v>
      </c>
      <c r="J5404" t="s">
        <v>16</v>
      </c>
      <c r="K5404" t="s">
        <v>33</v>
      </c>
      <c r="L5404">
        <f t="shared" si="252"/>
        <v>2024</v>
      </c>
      <c r="M5404" t="str">
        <f t="shared" si="253"/>
        <v>Mar</v>
      </c>
      <c r="N5404" s="2">
        <f t="shared" si="254"/>
        <v>8.5575021606118712E-2</v>
      </c>
    </row>
    <row r="5405" spans="1:14" x14ac:dyDescent="0.45">
      <c r="A5405" t="s">
        <v>9550</v>
      </c>
      <c r="B5405" s="1">
        <v>45620</v>
      </c>
      <c r="C5405" t="s">
        <v>4396</v>
      </c>
      <c r="D5405" t="s">
        <v>56</v>
      </c>
      <c r="E5405" t="s">
        <v>36</v>
      </c>
      <c r="F5405" t="s">
        <v>37</v>
      </c>
      <c r="G5405">
        <v>2</v>
      </c>
      <c r="H5405">
        <v>48882.47</v>
      </c>
      <c r="I5405">
        <v>5316.81</v>
      </c>
      <c r="J5405" t="s">
        <v>71</v>
      </c>
      <c r="K5405" t="s">
        <v>29</v>
      </c>
      <c r="L5405">
        <f t="shared" si="252"/>
        <v>2024</v>
      </c>
      <c r="M5405" t="str">
        <f t="shared" si="253"/>
        <v>Nov</v>
      </c>
      <c r="N5405" s="2">
        <f t="shared" si="254"/>
        <v>0.10876721245878124</v>
      </c>
    </row>
    <row r="5406" spans="1:14" x14ac:dyDescent="0.45">
      <c r="A5406" t="s">
        <v>9551</v>
      </c>
      <c r="B5406" s="1">
        <v>45325</v>
      </c>
      <c r="C5406" t="s">
        <v>9552</v>
      </c>
      <c r="D5406" t="s">
        <v>56</v>
      </c>
      <c r="E5406" t="s">
        <v>36</v>
      </c>
      <c r="F5406" t="s">
        <v>64</v>
      </c>
      <c r="G5406">
        <v>4</v>
      </c>
      <c r="H5406">
        <v>42676.9</v>
      </c>
      <c r="I5406">
        <v>8500.39</v>
      </c>
      <c r="J5406" t="s">
        <v>28</v>
      </c>
      <c r="K5406" t="s">
        <v>17</v>
      </c>
      <c r="L5406">
        <f t="shared" si="252"/>
        <v>2024</v>
      </c>
      <c r="M5406" t="str">
        <f t="shared" si="253"/>
        <v>Feb</v>
      </c>
      <c r="N5406" s="2">
        <f t="shared" si="254"/>
        <v>0.19918011851844908</v>
      </c>
    </row>
    <row r="5407" spans="1:14" x14ac:dyDescent="0.45">
      <c r="A5407" t="s">
        <v>9553</v>
      </c>
      <c r="B5407" s="1">
        <v>44782</v>
      </c>
      <c r="C5407" t="s">
        <v>2665</v>
      </c>
      <c r="D5407" t="s">
        <v>13</v>
      </c>
      <c r="E5407" t="s">
        <v>14</v>
      </c>
      <c r="F5407" t="s">
        <v>57</v>
      </c>
      <c r="G5407">
        <v>2</v>
      </c>
      <c r="H5407">
        <v>24744.240000000002</v>
      </c>
      <c r="I5407">
        <v>2721.76</v>
      </c>
      <c r="J5407" t="s">
        <v>71</v>
      </c>
      <c r="K5407" t="s">
        <v>29</v>
      </c>
      <c r="L5407">
        <f t="shared" si="252"/>
        <v>2022</v>
      </c>
      <c r="M5407" t="str">
        <f t="shared" si="253"/>
        <v>Aug</v>
      </c>
      <c r="N5407" s="2">
        <f t="shared" si="254"/>
        <v>0.10999570000937592</v>
      </c>
    </row>
    <row r="5408" spans="1:14" x14ac:dyDescent="0.45">
      <c r="A5408" t="s">
        <v>9554</v>
      </c>
      <c r="B5408" s="1">
        <v>45563</v>
      </c>
      <c r="C5408" t="s">
        <v>9555</v>
      </c>
      <c r="D5408" t="s">
        <v>13</v>
      </c>
      <c r="E5408" t="s">
        <v>14</v>
      </c>
      <c r="F5408" t="s">
        <v>15</v>
      </c>
      <c r="G5408">
        <v>2</v>
      </c>
      <c r="H5408">
        <v>12624.91</v>
      </c>
      <c r="I5408">
        <v>1943.17</v>
      </c>
      <c r="J5408" t="s">
        <v>47</v>
      </c>
      <c r="K5408" t="s">
        <v>17</v>
      </c>
      <c r="L5408">
        <f t="shared" si="252"/>
        <v>2024</v>
      </c>
      <c r="M5408" t="str">
        <f t="shared" si="253"/>
        <v>Sep</v>
      </c>
      <c r="N5408" s="2">
        <f t="shared" si="254"/>
        <v>0.15391555266532594</v>
      </c>
    </row>
    <row r="5409" spans="1:14" x14ac:dyDescent="0.45">
      <c r="A5409" t="s">
        <v>9556</v>
      </c>
      <c r="B5409" s="1">
        <v>45051</v>
      </c>
      <c r="C5409" t="s">
        <v>5082</v>
      </c>
      <c r="D5409" t="s">
        <v>56</v>
      </c>
      <c r="E5409" t="s">
        <v>14</v>
      </c>
      <c r="F5409" t="s">
        <v>40</v>
      </c>
      <c r="G5409">
        <v>1</v>
      </c>
      <c r="H5409">
        <v>43317.38</v>
      </c>
      <c r="I5409">
        <v>4192.3500000000004</v>
      </c>
      <c r="J5409" t="s">
        <v>28</v>
      </c>
      <c r="K5409" t="s">
        <v>29</v>
      </c>
      <c r="L5409">
        <f t="shared" si="252"/>
        <v>2023</v>
      </c>
      <c r="M5409" t="str">
        <f t="shared" si="253"/>
        <v>May</v>
      </c>
      <c r="N5409" s="2">
        <f t="shared" si="254"/>
        <v>9.678216918936465E-2</v>
      </c>
    </row>
    <row r="5410" spans="1:14" x14ac:dyDescent="0.45">
      <c r="A5410" t="s">
        <v>9557</v>
      </c>
      <c r="B5410" s="1">
        <v>45332</v>
      </c>
      <c r="C5410" t="s">
        <v>1555</v>
      </c>
      <c r="D5410" t="s">
        <v>26</v>
      </c>
      <c r="E5410" t="s">
        <v>20</v>
      </c>
      <c r="F5410" t="s">
        <v>21</v>
      </c>
      <c r="G5410">
        <v>2</v>
      </c>
      <c r="H5410">
        <v>48869.5</v>
      </c>
      <c r="I5410">
        <v>5054.0600000000004</v>
      </c>
      <c r="J5410" t="s">
        <v>28</v>
      </c>
      <c r="K5410" t="s">
        <v>23</v>
      </c>
      <c r="L5410">
        <f t="shared" si="252"/>
        <v>2024</v>
      </c>
      <c r="M5410" t="str">
        <f t="shared" si="253"/>
        <v>Feb</v>
      </c>
      <c r="N5410" s="2">
        <f t="shared" si="254"/>
        <v>0.10341951523956661</v>
      </c>
    </row>
    <row r="5411" spans="1:14" x14ac:dyDescent="0.45">
      <c r="A5411" t="s">
        <v>9558</v>
      </c>
      <c r="B5411" s="1">
        <v>44643</v>
      </c>
      <c r="C5411" t="s">
        <v>3548</v>
      </c>
      <c r="D5411" t="s">
        <v>13</v>
      </c>
      <c r="E5411" t="s">
        <v>36</v>
      </c>
      <c r="F5411" t="s">
        <v>37</v>
      </c>
      <c r="G5411">
        <v>4</v>
      </c>
      <c r="H5411">
        <v>44618.559999999998</v>
      </c>
      <c r="I5411">
        <v>10554.9</v>
      </c>
      <c r="J5411" t="s">
        <v>71</v>
      </c>
      <c r="K5411" t="s">
        <v>23</v>
      </c>
      <c r="L5411">
        <f t="shared" si="252"/>
        <v>2022</v>
      </c>
      <c r="M5411" t="str">
        <f t="shared" si="253"/>
        <v>Mar</v>
      </c>
      <c r="N5411" s="2">
        <f t="shared" si="254"/>
        <v>0.23655850838754097</v>
      </c>
    </row>
    <row r="5412" spans="1:14" x14ac:dyDescent="0.45">
      <c r="A5412" t="s">
        <v>9559</v>
      </c>
      <c r="B5412" s="1">
        <v>44592</v>
      </c>
      <c r="C5412" t="s">
        <v>9560</v>
      </c>
      <c r="D5412" t="s">
        <v>26</v>
      </c>
      <c r="E5412" t="s">
        <v>20</v>
      </c>
      <c r="F5412" t="s">
        <v>43</v>
      </c>
      <c r="G5412">
        <v>5</v>
      </c>
      <c r="H5412">
        <v>42992.75</v>
      </c>
      <c r="I5412">
        <v>7208.86</v>
      </c>
      <c r="J5412" t="s">
        <v>71</v>
      </c>
      <c r="K5412" t="s">
        <v>17</v>
      </c>
      <c r="L5412">
        <f t="shared" si="252"/>
        <v>2022</v>
      </c>
      <c r="M5412" t="str">
        <f t="shared" si="253"/>
        <v>Jan</v>
      </c>
      <c r="N5412" s="2">
        <f t="shared" si="254"/>
        <v>0.16767617796023748</v>
      </c>
    </row>
    <row r="5413" spans="1:14" x14ac:dyDescent="0.45">
      <c r="A5413" t="s">
        <v>9561</v>
      </c>
      <c r="B5413" s="1">
        <v>45485</v>
      </c>
      <c r="C5413" t="s">
        <v>4272</v>
      </c>
      <c r="D5413" t="s">
        <v>26</v>
      </c>
      <c r="E5413" t="s">
        <v>36</v>
      </c>
      <c r="F5413" t="s">
        <v>46</v>
      </c>
      <c r="G5413">
        <v>3</v>
      </c>
      <c r="H5413">
        <v>31022.26</v>
      </c>
      <c r="I5413">
        <v>6634.42</v>
      </c>
      <c r="J5413" t="s">
        <v>47</v>
      </c>
      <c r="K5413" t="s">
        <v>23</v>
      </c>
      <c r="L5413">
        <f t="shared" si="252"/>
        <v>2024</v>
      </c>
      <c r="M5413" t="str">
        <f t="shared" si="253"/>
        <v>Jul</v>
      </c>
      <c r="N5413" s="2">
        <f t="shared" si="254"/>
        <v>0.21385998312179708</v>
      </c>
    </row>
    <row r="5414" spans="1:14" x14ac:dyDescent="0.45">
      <c r="A5414" t="s">
        <v>9562</v>
      </c>
      <c r="B5414" s="1">
        <v>45112</v>
      </c>
      <c r="C5414" t="s">
        <v>2878</v>
      </c>
      <c r="D5414" t="s">
        <v>26</v>
      </c>
      <c r="E5414" t="s">
        <v>20</v>
      </c>
      <c r="F5414" t="s">
        <v>27</v>
      </c>
      <c r="G5414">
        <v>4</v>
      </c>
      <c r="H5414">
        <v>38016.29</v>
      </c>
      <c r="I5414">
        <v>3242.9</v>
      </c>
      <c r="J5414" t="s">
        <v>22</v>
      </c>
      <c r="K5414" t="s">
        <v>23</v>
      </c>
      <c r="L5414">
        <f t="shared" si="252"/>
        <v>2023</v>
      </c>
      <c r="M5414" t="str">
        <f t="shared" si="253"/>
        <v>Jul</v>
      </c>
      <c r="N5414" s="2">
        <f t="shared" si="254"/>
        <v>8.5302905675435456E-2</v>
      </c>
    </row>
    <row r="5415" spans="1:14" x14ac:dyDescent="0.45">
      <c r="A5415" t="s">
        <v>9563</v>
      </c>
      <c r="B5415" s="1">
        <v>45390</v>
      </c>
      <c r="C5415" t="s">
        <v>9564</v>
      </c>
      <c r="D5415" t="s">
        <v>56</v>
      </c>
      <c r="E5415" t="s">
        <v>20</v>
      </c>
      <c r="F5415" t="s">
        <v>21</v>
      </c>
      <c r="G5415">
        <v>1</v>
      </c>
      <c r="H5415">
        <v>20522.61</v>
      </c>
      <c r="I5415">
        <v>4278.4799999999996</v>
      </c>
      <c r="J5415" t="s">
        <v>71</v>
      </c>
      <c r="K5415" t="s">
        <v>33</v>
      </c>
      <c r="L5415">
        <f t="shared" si="252"/>
        <v>2024</v>
      </c>
      <c r="M5415" t="str">
        <f t="shared" si="253"/>
        <v>Apr</v>
      </c>
      <c r="N5415" s="2">
        <f t="shared" si="254"/>
        <v>0.20847640724059949</v>
      </c>
    </row>
    <row r="5416" spans="1:14" x14ac:dyDescent="0.45">
      <c r="A5416" t="s">
        <v>9565</v>
      </c>
      <c r="B5416" s="1">
        <v>44921</v>
      </c>
      <c r="C5416" t="s">
        <v>9566</v>
      </c>
      <c r="D5416" t="s">
        <v>26</v>
      </c>
      <c r="E5416" t="s">
        <v>14</v>
      </c>
      <c r="F5416" t="s">
        <v>32</v>
      </c>
      <c r="G5416">
        <v>5</v>
      </c>
      <c r="H5416">
        <v>2090.58</v>
      </c>
      <c r="I5416">
        <v>487.25</v>
      </c>
      <c r="J5416" t="s">
        <v>16</v>
      </c>
      <c r="K5416" t="s">
        <v>33</v>
      </c>
      <c r="L5416">
        <f t="shared" si="252"/>
        <v>2022</v>
      </c>
      <c r="M5416" t="str">
        <f t="shared" si="253"/>
        <v>Dec</v>
      </c>
      <c r="N5416" s="2">
        <f t="shared" si="254"/>
        <v>0.23306929177548816</v>
      </c>
    </row>
    <row r="5417" spans="1:14" x14ac:dyDescent="0.45">
      <c r="A5417" t="s">
        <v>9567</v>
      </c>
      <c r="B5417" s="1">
        <v>45642</v>
      </c>
      <c r="C5417" t="s">
        <v>9568</v>
      </c>
      <c r="D5417" t="s">
        <v>26</v>
      </c>
      <c r="E5417" t="s">
        <v>36</v>
      </c>
      <c r="F5417" t="s">
        <v>64</v>
      </c>
      <c r="G5417">
        <v>5</v>
      </c>
      <c r="H5417">
        <v>23758.39</v>
      </c>
      <c r="I5417">
        <v>1565.61</v>
      </c>
      <c r="J5417" t="s">
        <v>71</v>
      </c>
      <c r="K5417" t="s">
        <v>29</v>
      </c>
      <c r="L5417">
        <f t="shared" si="252"/>
        <v>2024</v>
      </c>
      <c r="M5417" t="str">
        <f t="shared" si="253"/>
        <v>Dec</v>
      </c>
      <c r="N5417" s="2">
        <f t="shared" si="254"/>
        <v>6.5897142020145308E-2</v>
      </c>
    </row>
    <row r="5418" spans="1:14" x14ac:dyDescent="0.45">
      <c r="A5418" t="s">
        <v>9569</v>
      </c>
      <c r="B5418" s="1">
        <v>44998</v>
      </c>
      <c r="C5418" t="s">
        <v>2619</v>
      </c>
      <c r="D5418" t="s">
        <v>13</v>
      </c>
      <c r="E5418" t="s">
        <v>20</v>
      </c>
      <c r="F5418" t="s">
        <v>43</v>
      </c>
      <c r="G5418">
        <v>4</v>
      </c>
      <c r="H5418">
        <v>42615.78</v>
      </c>
      <c r="I5418">
        <v>9719.5300000000007</v>
      </c>
      <c r="J5418" t="s">
        <v>16</v>
      </c>
      <c r="K5418" t="s">
        <v>17</v>
      </c>
      <c r="L5418">
        <f t="shared" si="252"/>
        <v>2023</v>
      </c>
      <c r="M5418" t="str">
        <f t="shared" si="253"/>
        <v>Mar</v>
      </c>
      <c r="N5418" s="2">
        <f t="shared" si="254"/>
        <v>0.22807349765744053</v>
      </c>
    </row>
    <row r="5419" spans="1:14" x14ac:dyDescent="0.45">
      <c r="A5419" t="s">
        <v>9570</v>
      </c>
      <c r="B5419" s="1">
        <v>44856</v>
      </c>
      <c r="C5419" t="s">
        <v>3776</v>
      </c>
      <c r="D5419" t="s">
        <v>26</v>
      </c>
      <c r="E5419" t="s">
        <v>20</v>
      </c>
      <c r="F5419" t="s">
        <v>50</v>
      </c>
      <c r="G5419">
        <v>2</v>
      </c>
      <c r="H5419">
        <v>30100.87</v>
      </c>
      <c r="I5419">
        <v>4664.05</v>
      </c>
      <c r="J5419" t="s">
        <v>22</v>
      </c>
      <c r="K5419" t="s">
        <v>17</v>
      </c>
      <c r="L5419">
        <f t="shared" si="252"/>
        <v>2022</v>
      </c>
      <c r="M5419" t="str">
        <f t="shared" si="253"/>
        <v>Oct</v>
      </c>
      <c r="N5419" s="2">
        <f t="shared" si="254"/>
        <v>0.15494734869789478</v>
      </c>
    </row>
    <row r="5420" spans="1:14" x14ac:dyDescent="0.45">
      <c r="A5420" t="s">
        <v>9571</v>
      </c>
      <c r="B5420" s="1">
        <v>44685</v>
      </c>
      <c r="C5420" t="s">
        <v>4983</v>
      </c>
      <c r="D5420" t="s">
        <v>26</v>
      </c>
      <c r="E5420" t="s">
        <v>14</v>
      </c>
      <c r="F5420" t="s">
        <v>57</v>
      </c>
      <c r="G5420">
        <v>2</v>
      </c>
      <c r="H5420">
        <v>20561.900000000001</v>
      </c>
      <c r="I5420">
        <v>2992.18</v>
      </c>
      <c r="J5420" t="s">
        <v>71</v>
      </c>
      <c r="K5420" t="s">
        <v>33</v>
      </c>
      <c r="L5420">
        <f t="shared" si="252"/>
        <v>2022</v>
      </c>
      <c r="M5420" t="str">
        <f t="shared" si="253"/>
        <v>May</v>
      </c>
      <c r="N5420" s="2">
        <f t="shared" si="254"/>
        <v>0.14552059877735032</v>
      </c>
    </row>
    <row r="5421" spans="1:14" x14ac:dyDescent="0.45">
      <c r="A5421" t="s">
        <v>9572</v>
      </c>
      <c r="B5421" s="1">
        <v>45346</v>
      </c>
      <c r="C5421" t="s">
        <v>9573</v>
      </c>
      <c r="D5421" t="s">
        <v>13</v>
      </c>
      <c r="E5421" t="s">
        <v>36</v>
      </c>
      <c r="F5421" t="s">
        <v>46</v>
      </c>
      <c r="G5421">
        <v>5</v>
      </c>
      <c r="H5421">
        <v>1901.78</v>
      </c>
      <c r="I5421">
        <v>434.15</v>
      </c>
      <c r="J5421" t="s">
        <v>16</v>
      </c>
      <c r="K5421" t="s">
        <v>17</v>
      </c>
      <c r="L5421">
        <f t="shared" si="252"/>
        <v>2024</v>
      </c>
      <c r="M5421" t="str">
        <f t="shared" si="253"/>
        <v>Feb</v>
      </c>
      <c r="N5421" s="2">
        <f t="shared" si="254"/>
        <v>0.22828613193955136</v>
      </c>
    </row>
    <row r="5422" spans="1:14" x14ac:dyDescent="0.45">
      <c r="A5422" t="s">
        <v>9574</v>
      </c>
      <c r="B5422" s="1">
        <v>45352</v>
      </c>
      <c r="C5422" t="s">
        <v>5121</v>
      </c>
      <c r="D5422" t="s">
        <v>56</v>
      </c>
      <c r="E5422" t="s">
        <v>14</v>
      </c>
      <c r="F5422" t="s">
        <v>57</v>
      </c>
      <c r="G5422">
        <v>2</v>
      </c>
      <c r="H5422">
        <v>43454.04</v>
      </c>
      <c r="I5422">
        <v>10693.72</v>
      </c>
      <c r="J5422" t="s">
        <v>16</v>
      </c>
      <c r="K5422" t="s">
        <v>29</v>
      </c>
      <c r="L5422">
        <f t="shared" si="252"/>
        <v>2024</v>
      </c>
      <c r="M5422" t="str">
        <f t="shared" si="253"/>
        <v>Mar</v>
      </c>
      <c r="N5422" s="2">
        <f t="shared" si="254"/>
        <v>0.24609265329529773</v>
      </c>
    </row>
    <row r="5423" spans="1:14" x14ac:dyDescent="0.45">
      <c r="A5423" t="s">
        <v>9575</v>
      </c>
      <c r="B5423" s="1">
        <v>44641</v>
      </c>
      <c r="C5423" t="s">
        <v>9576</v>
      </c>
      <c r="D5423" t="s">
        <v>13</v>
      </c>
      <c r="E5423" t="s">
        <v>14</v>
      </c>
      <c r="F5423" t="s">
        <v>57</v>
      </c>
      <c r="G5423">
        <v>2</v>
      </c>
      <c r="H5423">
        <v>3244.82</v>
      </c>
      <c r="I5423">
        <v>642.5</v>
      </c>
      <c r="J5423" t="s">
        <v>16</v>
      </c>
      <c r="K5423" t="s">
        <v>29</v>
      </c>
      <c r="L5423">
        <f t="shared" si="252"/>
        <v>2022</v>
      </c>
      <c r="M5423" t="str">
        <f t="shared" si="253"/>
        <v>Mar</v>
      </c>
      <c r="N5423" s="2">
        <f t="shared" si="254"/>
        <v>0.1980079018250627</v>
      </c>
    </row>
    <row r="5424" spans="1:14" x14ac:dyDescent="0.45">
      <c r="A5424" t="s">
        <v>9577</v>
      </c>
      <c r="B5424" s="1">
        <v>44937</v>
      </c>
      <c r="C5424" t="s">
        <v>5340</v>
      </c>
      <c r="D5424" t="s">
        <v>13</v>
      </c>
      <c r="E5424" t="s">
        <v>36</v>
      </c>
      <c r="F5424" t="s">
        <v>53</v>
      </c>
      <c r="G5424">
        <v>2</v>
      </c>
      <c r="H5424">
        <v>45167.49</v>
      </c>
      <c r="I5424">
        <v>9257.92</v>
      </c>
      <c r="J5424" t="s">
        <v>22</v>
      </c>
      <c r="K5424" t="s">
        <v>17</v>
      </c>
      <c r="L5424">
        <f t="shared" si="252"/>
        <v>2023</v>
      </c>
      <c r="M5424" t="str">
        <f t="shared" si="253"/>
        <v>Jan</v>
      </c>
      <c r="N5424" s="2">
        <f t="shared" si="254"/>
        <v>0.20496866219486629</v>
      </c>
    </row>
    <row r="5425" spans="1:14" x14ac:dyDescent="0.45">
      <c r="A5425" t="s">
        <v>9578</v>
      </c>
      <c r="B5425" s="1">
        <v>44664</v>
      </c>
      <c r="C5425" t="s">
        <v>5594</v>
      </c>
      <c r="D5425" t="s">
        <v>56</v>
      </c>
      <c r="E5425" t="s">
        <v>36</v>
      </c>
      <c r="F5425" t="s">
        <v>37</v>
      </c>
      <c r="G5425">
        <v>3</v>
      </c>
      <c r="H5425">
        <v>21445.85</v>
      </c>
      <c r="I5425">
        <v>2237.2800000000002</v>
      </c>
      <c r="J5425" t="s">
        <v>71</v>
      </c>
      <c r="K5425" t="s">
        <v>17</v>
      </c>
      <c r="L5425">
        <f t="shared" si="252"/>
        <v>2022</v>
      </c>
      <c r="M5425" t="str">
        <f t="shared" si="253"/>
        <v>Apr</v>
      </c>
      <c r="N5425" s="2">
        <f t="shared" si="254"/>
        <v>0.10432228146704375</v>
      </c>
    </row>
    <row r="5426" spans="1:14" x14ac:dyDescent="0.45">
      <c r="A5426" t="s">
        <v>9579</v>
      </c>
      <c r="B5426" s="1">
        <v>44739</v>
      </c>
      <c r="C5426" t="s">
        <v>9580</v>
      </c>
      <c r="D5426" t="s">
        <v>56</v>
      </c>
      <c r="E5426" t="s">
        <v>20</v>
      </c>
      <c r="F5426" t="s">
        <v>21</v>
      </c>
      <c r="G5426">
        <v>3</v>
      </c>
      <c r="H5426">
        <v>39266.47</v>
      </c>
      <c r="I5426">
        <v>5488.64</v>
      </c>
      <c r="J5426" t="s">
        <v>47</v>
      </c>
      <c r="K5426" t="s">
        <v>23</v>
      </c>
      <c r="L5426">
        <f t="shared" si="252"/>
        <v>2022</v>
      </c>
      <c r="M5426" t="str">
        <f t="shared" si="253"/>
        <v>Jun</v>
      </c>
      <c r="N5426" s="2">
        <f t="shared" si="254"/>
        <v>0.13977930789296822</v>
      </c>
    </row>
    <row r="5427" spans="1:14" x14ac:dyDescent="0.45">
      <c r="A5427" t="s">
        <v>9581</v>
      </c>
      <c r="B5427" s="1">
        <v>44717</v>
      </c>
      <c r="C5427" t="s">
        <v>8149</v>
      </c>
      <c r="D5427" t="s">
        <v>26</v>
      </c>
      <c r="E5427" t="s">
        <v>14</v>
      </c>
      <c r="F5427" t="s">
        <v>32</v>
      </c>
      <c r="G5427">
        <v>2</v>
      </c>
      <c r="H5427">
        <v>13624.36</v>
      </c>
      <c r="I5427">
        <v>1754.03</v>
      </c>
      <c r="J5427" t="s">
        <v>71</v>
      </c>
      <c r="K5427" t="s">
        <v>29</v>
      </c>
      <c r="L5427">
        <f t="shared" si="252"/>
        <v>2022</v>
      </c>
      <c r="M5427" t="str">
        <f t="shared" si="253"/>
        <v>Jun</v>
      </c>
      <c r="N5427" s="2">
        <f t="shared" si="254"/>
        <v>0.12874219412875174</v>
      </c>
    </row>
    <row r="5428" spans="1:14" x14ac:dyDescent="0.45">
      <c r="A5428" t="s">
        <v>9582</v>
      </c>
      <c r="B5428" s="1">
        <v>45015</v>
      </c>
      <c r="C5428" t="s">
        <v>9583</v>
      </c>
      <c r="D5428" t="s">
        <v>26</v>
      </c>
      <c r="E5428" t="s">
        <v>20</v>
      </c>
      <c r="F5428" t="s">
        <v>21</v>
      </c>
      <c r="G5428">
        <v>4</v>
      </c>
      <c r="H5428">
        <v>6363.16</v>
      </c>
      <c r="I5428">
        <v>625.80999999999995</v>
      </c>
      <c r="J5428" t="s">
        <v>71</v>
      </c>
      <c r="K5428" t="s">
        <v>29</v>
      </c>
      <c r="L5428">
        <f t="shared" si="252"/>
        <v>2023</v>
      </c>
      <c r="M5428" t="str">
        <f t="shared" si="253"/>
        <v>Mar</v>
      </c>
      <c r="N5428" s="2">
        <f t="shared" si="254"/>
        <v>9.8348933548739928E-2</v>
      </c>
    </row>
    <row r="5429" spans="1:14" x14ac:dyDescent="0.45">
      <c r="A5429" t="s">
        <v>9584</v>
      </c>
      <c r="B5429" s="1">
        <v>45297</v>
      </c>
      <c r="C5429" t="s">
        <v>6196</v>
      </c>
      <c r="D5429" t="s">
        <v>26</v>
      </c>
      <c r="E5429" t="s">
        <v>14</v>
      </c>
      <c r="F5429" t="s">
        <v>40</v>
      </c>
      <c r="G5429">
        <v>4</v>
      </c>
      <c r="H5429">
        <v>9971.9</v>
      </c>
      <c r="I5429">
        <v>1209.6500000000001</v>
      </c>
      <c r="J5429" t="s">
        <v>71</v>
      </c>
      <c r="K5429" t="s">
        <v>29</v>
      </c>
      <c r="L5429">
        <f t="shared" si="252"/>
        <v>2024</v>
      </c>
      <c r="M5429" t="str">
        <f t="shared" si="253"/>
        <v>Jan</v>
      </c>
      <c r="N5429" s="2">
        <f t="shared" si="254"/>
        <v>0.12130586949327613</v>
      </c>
    </row>
    <row r="5430" spans="1:14" x14ac:dyDescent="0.45">
      <c r="A5430" t="s">
        <v>9585</v>
      </c>
      <c r="B5430" s="1">
        <v>45156</v>
      </c>
      <c r="C5430" t="s">
        <v>9586</v>
      </c>
      <c r="D5430" t="s">
        <v>13</v>
      </c>
      <c r="E5430" t="s">
        <v>14</v>
      </c>
      <c r="F5430" t="s">
        <v>57</v>
      </c>
      <c r="G5430">
        <v>5</v>
      </c>
      <c r="H5430">
        <v>22316.46</v>
      </c>
      <c r="I5430">
        <v>3150.47</v>
      </c>
      <c r="J5430" t="s">
        <v>71</v>
      </c>
      <c r="K5430" t="s">
        <v>29</v>
      </c>
      <c r="L5430">
        <f t="shared" si="252"/>
        <v>2023</v>
      </c>
      <c r="M5430" t="str">
        <f t="shared" si="253"/>
        <v>Aug</v>
      </c>
      <c r="N5430" s="2">
        <f t="shared" si="254"/>
        <v>0.14117247986463802</v>
      </c>
    </row>
    <row r="5431" spans="1:14" x14ac:dyDescent="0.45">
      <c r="A5431" t="s">
        <v>9587</v>
      </c>
      <c r="B5431" s="1">
        <v>45558</v>
      </c>
      <c r="C5431" t="s">
        <v>602</v>
      </c>
      <c r="D5431" t="s">
        <v>13</v>
      </c>
      <c r="E5431" t="s">
        <v>14</v>
      </c>
      <c r="F5431" t="s">
        <v>57</v>
      </c>
      <c r="G5431">
        <v>5</v>
      </c>
      <c r="H5431">
        <v>1913.6</v>
      </c>
      <c r="I5431">
        <v>168.05</v>
      </c>
      <c r="J5431" t="s">
        <v>22</v>
      </c>
      <c r="K5431" t="s">
        <v>29</v>
      </c>
      <c r="L5431">
        <f t="shared" si="252"/>
        <v>2024</v>
      </c>
      <c r="M5431" t="str">
        <f t="shared" si="253"/>
        <v>Sep</v>
      </c>
      <c r="N5431" s="2">
        <f t="shared" si="254"/>
        <v>8.7818770903010046E-2</v>
      </c>
    </row>
    <row r="5432" spans="1:14" x14ac:dyDescent="0.45">
      <c r="A5432" t="s">
        <v>9588</v>
      </c>
      <c r="B5432" s="1">
        <v>45166</v>
      </c>
      <c r="C5432" t="s">
        <v>9589</v>
      </c>
      <c r="D5432" t="s">
        <v>26</v>
      </c>
      <c r="E5432" t="s">
        <v>36</v>
      </c>
      <c r="F5432" t="s">
        <v>64</v>
      </c>
      <c r="G5432">
        <v>2</v>
      </c>
      <c r="H5432">
        <v>33843.879999999997</v>
      </c>
      <c r="I5432">
        <v>4178.8599999999997</v>
      </c>
      <c r="J5432" t="s">
        <v>16</v>
      </c>
      <c r="K5432" t="s">
        <v>17</v>
      </c>
      <c r="L5432">
        <f t="shared" si="252"/>
        <v>2023</v>
      </c>
      <c r="M5432" t="str">
        <f t="shared" si="253"/>
        <v>Aug</v>
      </c>
      <c r="N5432" s="2">
        <f t="shared" si="254"/>
        <v>0.12347461343084776</v>
      </c>
    </row>
    <row r="5433" spans="1:14" x14ac:dyDescent="0.45">
      <c r="A5433" t="s">
        <v>9590</v>
      </c>
      <c r="B5433" s="1">
        <v>44793</v>
      </c>
      <c r="C5433" t="s">
        <v>992</v>
      </c>
      <c r="D5433" t="s">
        <v>26</v>
      </c>
      <c r="E5433" t="s">
        <v>14</v>
      </c>
      <c r="F5433" t="s">
        <v>40</v>
      </c>
      <c r="G5433">
        <v>3</v>
      </c>
      <c r="H5433">
        <v>38083.47</v>
      </c>
      <c r="I5433">
        <v>7710.62</v>
      </c>
      <c r="J5433" t="s">
        <v>16</v>
      </c>
      <c r="K5433" t="s">
        <v>29</v>
      </c>
      <c r="L5433">
        <f t="shared" si="252"/>
        <v>2022</v>
      </c>
      <c r="M5433" t="str">
        <f t="shared" si="253"/>
        <v>Aug</v>
      </c>
      <c r="N5433" s="2">
        <f t="shared" si="254"/>
        <v>0.2024663193768845</v>
      </c>
    </row>
    <row r="5434" spans="1:14" x14ac:dyDescent="0.45">
      <c r="A5434" t="s">
        <v>9591</v>
      </c>
      <c r="B5434" s="1">
        <v>44755</v>
      </c>
      <c r="C5434" t="s">
        <v>1530</v>
      </c>
      <c r="D5434" t="s">
        <v>26</v>
      </c>
      <c r="E5434" t="s">
        <v>14</v>
      </c>
      <c r="F5434" t="s">
        <v>15</v>
      </c>
      <c r="G5434">
        <v>1</v>
      </c>
      <c r="H5434">
        <v>29207.77</v>
      </c>
      <c r="I5434">
        <v>3119.53</v>
      </c>
      <c r="J5434" t="s">
        <v>47</v>
      </c>
      <c r="K5434" t="s">
        <v>17</v>
      </c>
      <c r="L5434">
        <f t="shared" si="252"/>
        <v>2022</v>
      </c>
      <c r="M5434" t="str">
        <f t="shared" si="253"/>
        <v>Jul</v>
      </c>
      <c r="N5434" s="2">
        <f t="shared" si="254"/>
        <v>0.10680479886002937</v>
      </c>
    </row>
    <row r="5435" spans="1:14" x14ac:dyDescent="0.45">
      <c r="A5435" t="s">
        <v>9592</v>
      </c>
      <c r="B5435" s="1">
        <v>45437</v>
      </c>
      <c r="C5435" t="s">
        <v>9593</v>
      </c>
      <c r="D5435" t="s">
        <v>26</v>
      </c>
      <c r="E5435" t="s">
        <v>14</v>
      </c>
      <c r="F5435" t="s">
        <v>32</v>
      </c>
      <c r="G5435">
        <v>3</v>
      </c>
      <c r="H5435">
        <v>35606.980000000003</v>
      </c>
      <c r="I5435">
        <v>6994.54</v>
      </c>
      <c r="J5435" t="s">
        <v>22</v>
      </c>
      <c r="K5435" t="s">
        <v>33</v>
      </c>
      <c r="L5435">
        <f t="shared" si="252"/>
        <v>2024</v>
      </c>
      <c r="M5435" t="str">
        <f t="shared" si="253"/>
        <v>May</v>
      </c>
      <c r="N5435" s="2">
        <f t="shared" si="254"/>
        <v>0.19643732773742675</v>
      </c>
    </row>
    <row r="5436" spans="1:14" x14ac:dyDescent="0.45">
      <c r="A5436" t="s">
        <v>9594</v>
      </c>
      <c r="B5436" s="1">
        <v>45428</v>
      </c>
      <c r="C5436" t="s">
        <v>9595</v>
      </c>
      <c r="D5436" t="s">
        <v>26</v>
      </c>
      <c r="E5436" t="s">
        <v>20</v>
      </c>
      <c r="F5436" t="s">
        <v>43</v>
      </c>
      <c r="G5436">
        <v>3</v>
      </c>
      <c r="H5436">
        <v>745.85</v>
      </c>
      <c r="I5436">
        <v>176.02</v>
      </c>
      <c r="J5436" t="s">
        <v>71</v>
      </c>
      <c r="K5436" t="s">
        <v>23</v>
      </c>
      <c r="L5436">
        <f t="shared" si="252"/>
        <v>2024</v>
      </c>
      <c r="M5436" t="str">
        <f t="shared" si="253"/>
        <v>May</v>
      </c>
      <c r="N5436" s="2">
        <f t="shared" si="254"/>
        <v>0.23599919554870283</v>
      </c>
    </row>
    <row r="5437" spans="1:14" x14ac:dyDescent="0.45">
      <c r="A5437" t="s">
        <v>9596</v>
      </c>
      <c r="B5437" s="1">
        <v>44970</v>
      </c>
      <c r="C5437" t="s">
        <v>9597</v>
      </c>
      <c r="D5437" t="s">
        <v>26</v>
      </c>
      <c r="E5437" t="s">
        <v>14</v>
      </c>
      <c r="F5437" t="s">
        <v>32</v>
      </c>
      <c r="G5437">
        <v>4</v>
      </c>
      <c r="H5437">
        <v>21653.25</v>
      </c>
      <c r="I5437">
        <v>3282.49</v>
      </c>
      <c r="J5437" t="s">
        <v>28</v>
      </c>
      <c r="K5437" t="s">
        <v>33</v>
      </c>
      <c r="L5437">
        <f t="shared" si="252"/>
        <v>2023</v>
      </c>
      <c r="M5437" t="str">
        <f t="shared" si="253"/>
        <v>Feb</v>
      </c>
      <c r="N5437" s="2">
        <f t="shared" si="254"/>
        <v>0.15159340976527771</v>
      </c>
    </row>
    <row r="5438" spans="1:14" x14ac:dyDescent="0.45">
      <c r="A5438" t="s">
        <v>9598</v>
      </c>
      <c r="B5438" s="1">
        <v>45070</v>
      </c>
      <c r="C5438" t="s">
        <v>1206</v>
      </c>
      <c r="D5438" t="s">
        <v>13</v>
      </c>
      <c r="E5438" t="s">
        <v>20</v>
      </c>
      <c r="F5438" t="s">
        <v>50</v>
      </c>
      <c r="G5438">
        <v>3</v>
      </c>
      <c r="H5438">
        <v>36664.18</v>
      </c>
      <c r="I5438">
        <v>4735.51</v>
      </c>
      <c r="J5438" t="s">
        <v>22</v>
      </c>
      <c r="K5438" t="s">
        <v>17</v>
      </c>
      <c r="L5438">
        <f t="shared" si="252"/>
        <v>2023</v>
      </c>
      <c r="M5438" t="str">
        <f t="shared" si="253"/>
        <v>May</v>
      </c>
      <c r="N5438" s="2">
        <f t="shared" si="254"/>
        <v>0.12915903205799231</v>
      </c>
    </row>
    <row r="5439" spans="1:14" x14ac:dyDescent="0.45">
      <c r="A5439" t="s">
        <v>9599</v>
      </c>
      <c r="B5439" s="1">
        <v>45266</v>
      </c>
      <c r="C5439" t="s">
        <v>9600</v>
      </c>
      <c r="D5439" t="s">
        <v>26</v>
      </c>
      <c r="E5439" t="s">
        <v>36</v>
      </c>
      <c r="F5439" t="s">
        <v>37</v>
      </c>
      <c r="G5439">
        <v>4</v>
      </c>
      <c r="H5439">
        <v>18712.86</v>
      </c>
      <c r="I5439">
        <v>4531.12</v>
      </c>
      <c r="J5439" t="s">
        <v>16</v>
      </c>
      <c r="K5439" t="s">
        <v>17</v>
      </c>
      <c r="L5439">
        <f t="shared" si="252"/>
        <v>2023</v>
      </c>
      <c r="M5439" t="str">
        <f t="shared" si="253"/>
        <v>Dec</v>
      </c>
      <c r="N5439" s="2">
        <f t="shared" si="254"/>
        <v>0.24213936298353109</v>
      </c>
    </row>
    <row r="5440" spans="1:14" x14ac:dyDescent="0.45">
      <c r="A5440" t="s">
        <v>9601</v>
      </c>
      <c r="B5440" s="1">
        <v>45078</v>
      </c>
      <c r="C5440" t="s">
        <v>3493</v>
      </c>
      <c r="D5440" t="s">
        <v>26</v>
      </c>
      <c r="E5440" t="s">
        <v>36</v>
      </c>
      <c r="F5440" t="s">
        <v>53</v>
      </c>
      <c r="G5440">
        <v>1</v>
      </c>
      <c r="H5440">
        <v>43731.94</v>
      </c>
      <c r="I5440">
        <v>5271.7</v>
      </c>
      <c r="J5440" t="s">
        <v>71</v>
      </c>
      <c r="K5440" t="s">
        <v>17</v>
      </c>
      <c r="L5440">
        <f t="shared" si="252"/>
        <v>2023</v>
      </c>
      <c r="M5440" t="str">
        <f t="shared" si="253"/>
        <v>Jun</v>
      </c>
      <c r="N5440" s="2">
        <f t="shared" si="254"/>
        <v>0.12054576129026061</v>
      </c>
    </row>
    <row r="5441" spans="1:14" x14ac:dyDescent="0.45">
      <c r="A5441" t="s">
        <v>9602</v>
      </c>
      <c r="B5441" s="1">
        <v>45488</v>
      </c>
      <c r="C5441" t="s">
        <v>6931</v>
      </c>
      <c r="D5441" t="s">
        <v>56</v>
      </c>
      <c r="E5441" t="s">
        <v>14</v>
      </c>
      <c r="F5441" t="s">
        <v>32</v>
      </c>
      <c r="G5441">
        <v>3</v>
      </c>
      <c r="H5441">
        <v>47206.92</v>
      </c>
      <c r="I5441">
        <v>11768.46</v>
      </c>
      <c r="J5441" t="s">
        <v>16</v>
      </c>
      <c r="K5441" t="s">
        <v>29</v>
      </c>
      <c r="L5441">
        <f t="shared" si="252"/>
        <v>2024</v>
      </c>
      <c r="M5441" t="str">
        <f t="shared" si="253"/>
        <v>Jul</v>
      </c>
      <c r="N5441" s="2">
        <f t="shared" si="254"/>
        <v>0.24929523044502797</v>
      </c>
    </row>
    <row r="5442" spans="1:14" x14ac:dyDescent="0.45">
      <c r="A5442" t="s">
        <v>9603</v>
      </c>
      <c r="B5442" s="1">
        <v>45109</v>
      </c>
      <c r="C5442" t="s">
        <v>9604</v>
      </c>
      <c r="D5442" t="s">
        <v>26</v>
      </c>
      <c r="E5442" t="s">
        <v>36</v>
      </c>
      <c r="F5442" t="s">
        <v>46</v>
      </c>
      <c r="G5442">
        <v>2</v>
      </c>
      <c r="H5442">
        <v>45708.31</v>
      </c>
      <c r="I5442">
        <v>10426.48</v>
      </c>
      <c r="J5442" t="s">
        <v>28</v>
      </c>
      <c r="K5442" t="s">
        <v>33</v>
      </c>
      <c r="L5442">
        <f t="shared" si="252"/>
        <v>2023</v>
      </c>
      <c r="M5442" t="str">
        <f t="shared" si="253"/>
        <v>Jul</v>
      </c>
      <c r="N5442" s="2">
        <f t="shared" si="254"/>
        <v>0.2281090681322499</v>
      </c>
    </row>
    <row r="5443" spans="1:14" x14ac:dyDescent="0.45">
      <c r="A5443" t="s">
        <v>9605</v>
      </c>
      <c r="B5443" s="1">
        <v>44746</v>
      </c>
      <c r="C5443" t="s">
        <v>1256</v>
      </c>
      <c r="D5443" t="s">
        <v>13</v>
      </c>
      <c r="E5443" t="s">
        <v>20</v>
      </c>
      <c r="F5443" t="s">
        <v>43</v>
      </c>
      <c r="G5443">
        <v>3</v>
      </c>
      <c r="H5443">
        <v>42310.54</v>
      </c>
      <c r="I5443">
        <v>3723.98</v>
      </c>
      <c r="J5443" t="s">
        <v>28</v>
      </c>
      <c r="K5443" t="s">
        <v>23</v>
      </c>
      <c r="L5443">
        <f t="shared" ref="L5443:L5506" si="255">YEAR(B5443 )</f>
        <v>2022</v>
      </c>
      <c r="M5443" t="str">
        <f t="shared" ref="M5443:M5506" si="256">TEXT(B5443,"MMM")</f>
        <v>Jul</v>
      </c>
      <c r="N5443" s="2">
        <f t="shared" ref="N5443:N5506" si="257">I5443 / H5443</f>
        <v>8.801542121655738E-2</v>
      </c>
    </row>
    <row r="5444" spans="1:14" x14ac:dyDescent="0.45">
      <c r="A5444" t="s">
        <v>9606</v>
      </c>
      <c r="B5444" s="1">
        <v>45216</v>
      </c>
      <c r="C5444" t="s">
        <v>9607</v>
      </c>
      <c r="D5444" t="s">
        <v>56</v>
      </c>
      <c r="E5444" t="s">
        <v>14</v>
      </c>
      <c r="F5444" t="s">
        <v>15</v>
      </c>
      <c r="G5444">
        <v>4</v>
      </c>
      <c r="H5444">
        <v>39731.78</v>
      </c>
      <c r="I5444">
        <v>3927.98</v>
      </c>
      <c r="J5444" t="s">
        <v>71</v>
      </c>
      <c r="K5444" t="s">
        <v>29</v>
      </c>
      <c r="L5444">
        <f t="shared" si="255"/>
        <v>2023</v>
      </c>
      <c r="M5444" t="str">
        <f t="shared" si="256"/>
        <v>Oct</v>
      </c>
      <c r="N5444" s="2">
        <f t="shared" si="257"/>
        <v>9.8862421970523348E-2</v>
      </c>
    </row>
    <row r="5445" spans="1:14" x14ac:dyDescent="0.45">
      <c r="A5445" t="s">
        <v>9608</v>
      </c>
      <c r="B5445" s="1">
        <v>45255</v>
      </c>
      <c r="C5445" t="s">
        <v>2246</v>
      </c>
      <c r="D5445" t="s">
        <v>13</v>
      </c>
      <c r="E5445" t="s">
        <v>14</v>
      </c>
      <c r="F5445" t="s">
        <v>57</v>
      </c>
      <c r="G5445">
        <v>2</v>
      </c>
      <c r="H5445">
        <v>47951.05</v>
      </c>
      <c r="I5445">
        <v>7541.48</v>
      </c>
      <c r="J5445" t="s">
        <v>16</v>
      </c>
      <c r="K5445" t="s">
        <v>23</v>
      </c>
      <c r="L5445">
        <f t="shared" si="255"/>
        <v>2023</v>
      </c>
      <c r="M5445" t="str">
        <f t="shared" si="256"/>
        <v>Nov</v>
      </c>
      <c r="N5445" s="2">
        <f t="shared" si="257"/>
        <v>0.15727455394615966</v>
      </c>
    </row>
    <row r="5446" spans="1:14" x14ac:dyDescent="0.45">
      <c r="A5446" t="s">
        <v>9609</v>
      </c>
      <c r="B5446" s="1">
        <v>45373</v>
      </c>
      <c r="C5446" t="s">
        <v>9610</v>
      </c>
      <c r="D5446" t="s">
        <v>13</v>
      </c>
      <c r="E5446" t="s">
        <v>20</v>
      </c>
      <c r="F5446" t="s">
        <v>21</v>
      </c>
      <c r="G5446">
        <v>1</v>
      </c>
      <c r="H5446">
        <v>36048.410000000003</v>
      </c>
      <c r="I5446">
        <v>2857.64</v>
      </c>
      <c r="J5446" t="s">
        <v>71</v>
      </c>
      <c r="K5446" t="s">
        <v>29</v>
      </c>
      <c r="L5446">
        <f t="shared" si="255"/>
        <v>2024</v>
      </c>
      <c r="M5446" t="str">
        <f t="shared" si="256"/>
        <v>Mar</v>
      </c>
      <c r="N5446" s="2">
        <f t="shared" si="257"/>
        <v>7.9272289679350613E-2</v>
      </c>
    </row>
    <row r="5447" spans="1:14" x14ac:dyDescent="0.45">
      <c r="A5447" t="s">
        <v>9611</v>
      </c>
      <c r="B5447" s="1">
        <v>45067</v>
      </c>
      <c r="C5447" t="s">
        <v>6585</v>
      </c>
      <c r="D5447" t="s">
        <v>56</v>
      </c>
      <c r="E5447" t="s">
        <v>36</v>
      </c>
      <c r="F5447" t="s">
        <v>64</v>
      </c>
      <c r="G5447">
        <v>3</v>
      </c>
      <c r="H5447">
        <v>41024.65</v>
      </c>
      <c r="I5447">
        <v>4962.54</v>
      </c>
      <c r="J5447" t="s">
        <v>47</v>
      </c>
      <c r="K5447" t="s">
        <v>29</v>
      </c>
      <c r="L5447">
        <f t="shared" si="255"/>
        <v>2023</v>
      </c>
      <c r="M5447" t="str">
        <f t="shared" si="256"/>
        <v>May</v>
      </c>
      <c r="N5447" s="2">
        <f t="shared" si="257"/>
        <v>0.12096483455678475</v>
      </c>
    </row>
    <row r="5448" spans="1:14" x14ac:dyDescent="0.45">
      <c r="A5448" t="s">
        <v>9612</v>
      </c>
      <c r="B5448" s="1">
        <v>44756</v>
      </c>
      <c r="C5448" t="s">
        <v>9613</v>
      </c>
      <c r="D5448" t="s">
        <v>56</v>
      </c>
      <c r="E5448" t="s">
        <v>14</v>
      </c>
      <c r="F5448" t="s">
        <v>32</v>
      </c>
      <c r="G5448">
        <v>2</v>
      </c>
      <c r="H5448">
        <v>44887.66</v>
      </c>
      <c r="I5448">
        <v>3432.65</v>
      </c>
      <c r="J5448" t="s">
        <v>47</v>
      </c>
      <c r="K5448" t="s">
        <v>23</v>
      </c>
      <c r="L5448">
        <f t="shared" si="255"/>
        <v>2022</v>
      </c>
      <c r="M5448" t="str">
        <f t="shared" si="256"/>
        <v>Jul</v>
      </c>
      <c r="N5448" s="2">
        <f t="shared" si="257"/>
        <v>7.6472019258745055E-2</v>
      </c>
    </row>
    <row r="5449" spans="1:14" x14ac:dyDescent="0.45">
      <c r="A5449" t="s">
        <v>9614</v>
      </c>
      <c r="B5449" s="1">
        <v>45360</v>
      </c>
      <c r="C5449" t="s">
        <v>9615</v>
      </c>
      <c r="D5449" t="s">
        <v>26</v>
      </c>
      <c r="E5449" t="s">
        <v>14</v>
      </c>
      <c r="F5449" t="s">
        <v>57</v>
      </c>
      <c r="G5449">
        <v>5</v>
      </c>
      <c r="H5449">
        <v>46712.14</v>
      </c>
      <c r="I5449">
        <v>10225.02</v>
      </c>
      <c r="J5449" t="s">
        <v>47</v>
      </c>
      <c r="K5449" t="s">
        <v>17</v>
      </c>
      <c r="L5449">
        <f t="shared" si="255"/>
        <v>2024</v>
      </c>
      <c r="M5449" t="str">
        <f t="shared" si="256"/>
        <v>Mar</v>
      </c>
      <c r="N5449" s="2">
        <f t="shared" si="257"/>
        <v>0.21889427459328561</v>
      </c>
    </row>
    <row r="5450" spans="1:14" x14ac:dyDescent="0.45">
      <c r="A5450" t="s">
        <v>9616</v>
      </c>
      <c r="B5450" s="1">
        <v>44596</v>
      </c>
      <c r="C5450" t="s">
        <v>2589</v>
      </c>
      <c r="D5450" t="s">
        <v>26</v>
      </c>
      <c r="E5450" t="s">
        <v>20</v>
      </c>
      <c r="F5450" t="s">
        <v>43</v>
      </c>
      <c r="G5450">
        <v>5</v>
      </c>
      <c r="H5450">
        <v>40941.33</v>
      </c>
      <c r="I5450">
        <v>6799.81</v>
      </c>
      <c r="J5450" t="s">
        <v>28</v>
      </c>
      <c r="K5450" t="s">
        <v>23</v>
      </c>
      <c r="L5450">
        <f t="shared" si="255"/>
        <v>2022</v>
      </c>
      <c r="M5450" t="str">
        <f t="shared" si="256"/>
        <v>Feb</v>
      </c>
      <c r="N5450" s="2">
        <f t="shared" si="257"/>
        <v>0.16608669039330184</v>
      </c>
    </row>
    <row r="5451" spans="1:14" x14ac:dyDescent="0.45">
      <c r="A5451" t="s">
        <v>9617</v>
      </c>
      <c r="B5451" s="1">
        <v>44676</v>
      </c>
      <c r="C5451" t="s">
        <v>1583</v>
      </c>
      <c r="D5451" t="s">
        <v>13</v>
      </c>
      <c r="E5451" t="s">
        <v>36</v>
      </c>
      <c r="F5451" t="s">
        <v>53</v>
      </c>
      <c r="G5451">
        <v>4</v>
      </c>
      <c r="H5451">
        <v>47007.01</v>
      </c>
      <c r="I5451">
        <v>7029.62</v>
      </c>
      <c r="J5451" t="s">
        <v>71</v>
      </c>
      <c r="K5451" t="s">
        <v>33</v>
      </c>
      <c r="L5451">
        <f t="shared" si="255"/>
        <v>2022</v>
      </c>
      <c r="M5451" t="str">
        <f t="shared" si="256"/>
        <v>Apr</v>
      </c>
      <c r="N5451" s="2">
        <f t="shared" si="257"/>
        <v>0.1495440786384839</v>
      </c>
    </row>
    <row r="5452" spans="1:14" x14ac:dyDescent="0.45">
      <c r="A5452" t="s">
        <v>9618</v>
      </c>
      <c r="B5452" s="1">
        <v>44797</v>
      </c>
      <c r="C5452" t="s">
        <v>5772</v>
      </c>
      <c r="D5452" t="s">
        <v>26</v>
      </c>
      <c r="E5452" t="s">
        <v>36</v>
      </c>
      <c r="F5452" t="s">
        <v>37</v>
      </c>
      <c r="G5452">
        <v>4</v>
      </c>
      <c r="H5452">
        <v>6518.54</v>
      </c>
      <c r="I5452">
        <v>1248.31</v>
      </c>
      <c r="J5452" t="s">
        <v>22</v>
      </c>
      <c r="K5452" t="s">
        <v>33</v>
      </c>
      <c r="L5452">
        <f t="shared" si="255"/>
        <v>2022</v>
      </c>
      <c r="M5452" t="str">
        <f t="shared" si="256"/>
        <v>Aug</v>
      </c>
      <c r="N5452" s="2">
        <f t="shared" si="257"/>
        <v>0.19150147118833358</v>
      </c>
    </row>
    <row r="5453" spans="1:14" x14ac:dyDescent="0.45">
      <c r="A5453" t="s">
        <v>9619</v>
      </c>
      <c r="B5453" s="1">
        <v>45189</v>
      </c>
      <c r="C5453" t="s">
        <v>9620</v>
      </c>
      <c r="D5453" t="s">
        <v>56</v>
      </c>
      <c r="E5453" t="s">
        <v>14</v>
      </c>
      <c r="F5453" t="s">
        <v>57</v>
      </c>
      <c r="G5453">
        <v>5</v>
      </c>
      <c r="H5453">
        <v>47940.41</v>
      </c>
      <c r="I5453">
        <v>11317.07</v>
      </c>
      <c r="J5453" t="s">
        <v>22</v>
      </c>
      <c r="K5453" t="s">
        <v>33</v>
      </c>
      <c r="L5453">
        <f t="shared" si="255"/>
        <v>2023</v>
      </c>
      <c r="M5453" t="str">
        <f t="shared" si="256"/>
        <v>Sep</v>
      </c>
      <c r="N5453" s="2">
        <f t="shared" si="257"/>
        <v>0.23606535697128997</v>
      </c>
    </row>
    <row r="5454" spans="1:14" x14ac:dyDescent="0.45">
      <c r="A5454" t="s">
        <v>9621</v>
      </c>
      <c r="B5454" s="1">
        <v>44630</v>
      </c>
      <c r="C5454" t="s">
        <v>9622</v>
      </c>
      <c r="D5454" t="s">
        <v>56</v>
      </c>
      <c r="E5454" t="s">
        <v>20</v>
      </c>
      <c r="F5454" t="s">
        <v>50</v>
      </c>
      <c r="G5454">
        <v>1</v>
      </c>
      <c r="H5454">
        <v>9163.4500000000007</v>
      </c>
      <c r="I5454">
        <v>1025.1600000000001</v>
      </c>
      <c r="J5454" t="s">
        <v>71</v>
      </c>
      <c r="K5454" t="s">
        <v>29</v>
      </c>
      <c r="L5454">
        <f t="shared" si="255"/>
        <v>2022</v>
      </c>
      <c r="M5454" t="str">
        <f t="shared" si="256"/>
        <v>Mar</v>
      </c>
      <c r="N5454" s="2">
        <f t="shared" si="257"/>
        <v>0.11187489428108409</v>
      </c>
    </row>
    <row r="5455" spans="1:14" x14ac:dyDescent="0.45">
      <c r="A5455" t="s">
        <v>9623</v>
      </c>
      <c r="B5455" s="1">
        <v>44663</v>
      </c>
      <c r="C5455" t="s">
        <v>9624</v>
      </c>
      <c r="D5455" t="s">
        <v>13</v>
      </c>
      <c r="E5455" t="s">
        <v>20</v>
      </c>
      <c r="F5455" t="s">
        <v>43</v>
      </c>
      <c r="G5455">
        <v>5</v>
      </c>
      <c r="H5455">
        <v>20000.47</v>
      </c>
      <c r="I5455">
        <v>3870.27</v>
      </c>
      <c r="J5455" t="s">
        <v>22</v>
      </c>
      <c r="K5455" t="s">
        <v>17</v>
      </c>
      <c r="L5455">
        <f t="shared" si="255"/>
        <v>2022</v>
      </c>
      <c r="M5455" t="str">
        <f t="shared" si="256"/>
        <v>Apr</v>
      </c>
      <c r="N5455" s="2">
        <f t="shared" si="257"/>
        <v>0.19350895253961531</v>
      </c>
    </row>
    <row r="5456" spans="1:14" x14ac:dyDescent="0.45">
      <c r="A5456" t="s">
        <v>9625</v>
      </c>
      <c r="B5456" s="1">
        <v>44638</v>
      </c>
      <c r="C5456" t="s">
        <v>5772</v>
      </c>
      <c r="D5456" t="s">
        <v>56</v>
      </c>
      <c r="E5456" t="s">
        <v>36</v>
      </c>
      <c r="F5456" t="s">
        <v>37</v>
      </c>
      <c r="G5456">
        <v>4</v>
      </c>
      <c r="H5456">
        <v>16856.39</v>
      </c>
      <c r="I5456">
        <v>1343.98</v>
      </c>
      <c r="J5456" t="s">
        <v>28</v>
      </c>
      <c r="K5456" t="s">
        <v>33</v>
      </c>
      <c r="L5456">
        <f t="shared" si="255"/>
        <v>2022</v>
      </c>
      <c r="M5456" t="str">
        <f t="shared" si="256"/>
        <v>Mar</v>
      </c>
      <c r="N5456" s="2">
        <f t="shared" si="257"/>
        <v>7.9731187994582467E-2</v>
      </c>
    </row>
    <row r="5457" spans="1:14" x14ac:dyDescent="0.45">
      <c r="A5457" t="s">
        <v>9626</v>
      </c>
      <c r="B5457" s="1">
        <v>45626</v>
      </c>
      <c r="C5457" t="s">
        <v>4026</v>
      </c>
      <c r="D5457" t="s">
        <v>56</v>
      </c>
      <c r="E5457" t="s">
        <v>14</v>
      </c>
      <c r="F5457" t="s">
        <v>32</v>
      </c>
      <c r="G5457">
        <v>3</v>
      </c>
      <c r="H5457">
        <v>28695.46</v>
      </c>
      <c r="I5457">
        <v>7133.6</v>
      </c>
      <c r="J5457" t="s">
        <v>22</v>
      </c>
      <c r="K5457" t="s">
        <v>23</v>
      </c>
      <c r="L5457">
        <f t="shared" si="255"/>
        <v>2024</v>
      </c>
      <c r="M5457" t="str">
        <f t="shared" si="256"/>
        <v>Nov</v>
      </c>
      <c r="N5457" s="2">
        <f t="shared" si="257"/>
        <v>0.24859681636049746</v>
      </c>
    </row>
    <row r="5458" spans="1:14" x14ac:dyDescent="0.45">
      <c r="A5458" t="s">
        <v>9627</v>
      </c>
      <c r="B5458" s="1">
        <v>44759</v>
      </c>
      <c r="C5458" t="s">
        <v>9469</v>
      </c>
      <c r="D5458" t="s">
        <v>56</v>
      </c>
      <c r="E5458" t="s">
        <v>20</v>
      </c>
      <c r="F5458" t="s">
        <v>43</v>
      </c>
      <c r="G5458">
        <v>5</v>
      </c>
      <c r="H5458">
        <v>25839.26</v>
      </c>
      <c r="I5458">
        <v>3462.29</v>
      </c>
      <c r="J5458" t="s">
        <v>16</v>
      </c>
      <c r="K5458" t="s">
        <v>29</v>
      </c>
      <c r="L5458">
        <f t="shared" si="255"/>
        <v>2022</v>
      </c>
      <c r="M5458" t="str">
        <f t="shared" si="256"/>
        <v>Jul</v>
      </c>
      <c r="N5458" s="2">
        <f t="shared" si="257"/>
        <v>0.13399338835554889</v>
      </c>
    </row>
    <row r="5459" spans="1:14" x14ac:dyDescent="0.45">
      <c r="A5459" t="s">
        <v>9628</v>
      </c>
      <c r="B5459" s="1">
        <v>45083</v>
      </c>
      <c r="C5459" t="s">
        <v>8318</v>
      </c>
      <c r="D5459" t="s">
        <v>13</v>
      </c>
      <c r="E5459" t="s">
        <v>20</v>
      </c>
      <c r="F5459" t="s">
        <v>21</v>
      </c>
      <c r="G5459">
        <v>1</v>
      </c>
      <c r="H5459">
        <v>4973.6099999999997</v>
      </c>
      <c r="I5459">
        <v>604.46</v>
      </c>
      <c r="J5459" t="s">
        <v>22</v>
      </c>
      <c r="K5459" t="s">
        <v>17</v>
      </c>
      <c r="L5459">
        <f t="shared" si="255"/>
        <v>2023</v>
      </c>
      <c r="M5459" t="str">
        <f t="shared" si="256"/>
        <v>Jun</v>
      </c>
      <c r="N5459" s="2">
        <f t="shared" si="257"/>
        <v>0.12153345356793156</v>
      </c>
    </row>
    <row r="5460" spans="1:14" x14ac:dyDescent="0.45">
      <c r="A5460" t="s">
        <v>9629</v>
      </c>
      <c r="B5460" s="1">
        <v>45323</v>
      </c>
      <c r="C5460" t="s">
        <v>9630</v>
      </c>
      <c r="D5460" t="s">
        <v>13</v>
      </c>
      <c r="E5460" t="s">
        <v>14</v>
      </c>
      <c r="F5460" t="s">
        <v>40</v>
      </c>
      <c r="G5460">
        <v>5</v>
      </c>
      <c r="H5460">
        <v>27179.42</v>
      </c>
      <c r="I5460">
        <v>6187.19</v>
      </c>
      <c r="J5460" t="s">
        <v>16</v>
      </c>
      <c r="K5460" t="s">
        <v>17</v>
      </c>
      <c r="L5460">
        <f t="shared" si="255"/>
        <v>2024</v>
      </c>
      <c r="M5460" t="str">
        <f t="shared" si="256"/>
        <v>Feb</v>
      </c>
      <c r="N5460" s="2">
        <f t="shared" si="257"/>
        <v>0.22764245888985121</v>
      </c>
    </row>
    <row r="5461" spans="1:14" x14ac:dyDescent="0.45">
      <c r="A5461" t="s">
        <v>9631</v>
      </c>
      <c r="B5461" s="1">
        <v>45064</v>
      </c>
      <c r="C5461" t="s">
        <v>2593</v>
      </c>
      <c r="D5461" t="s">
        <v>56</v>
      </c>
      <c r="E5461" t="s">
        <v>20</v>
      </c>
      <c r="F5461" t="s">
        <v>21</v>
      </c>
      <c r="G5461">
        <v>5</v>
      </c>
      <c r="H5461">
        <v>41670.629999999997</v>
      </c>
      <c r="I5461">
        <v>3066.83</v>
      </c>
      <c r="J5461" t="s">
        <v>16</v>
      </c>
      <c r="K5461" t="s">
        <v>17</v>
      </c>
      <c r="L5461">
        <f t="shared" si="255"/>
        <v>2023</v>
      </c>
      <c r="M5461" t="str">
        <f t="shared" si="256"/>
        <v>May</v>
      </c>
      <c r="N5461" s="2">
        <f t="shared" si="257"/>
        <v>7.3596919461020871E-2</v>
      </c>
    </row>
    <row r="5462" spans="1:14" x14ac:dyDescent="0.45">
      <c r="A5462" t="s">
        <v>9632</v>
      </c>
      <c r="B5462" s="1">
        <v>45591</v>
      </c>
      <c r="C5462" t="s">
        <v>1886</v>
      </c>
      <c r="D5462" t="s">
        <v>26</v>
      </c>
      <c r="E5462" t="s">
        <v>14</v>
      </c>
      <c r="F5462" t="s">
        <v>57</v>
      </c>
      <c r="G5462">
        <v>5</v>
      </c>
      <c r="H5462">
        <v>46047.67</v>
      </c>
      <c r="I5462">
        <v>4747.76</v>
      </c>
      <c r="J5462" t="s">
        <v>16</v>
      </c>
      <c r="K5462" t="s">
        <v>23</v>
      </c>
      <c r="L5462">
        <f t="shared" si="255"/>
        <v>2024</v>
      </c>
      <c r="M5462" t="str">
        <f t="shared" si="256"/>
        <v>Oct</v>
      </c>
      <c r="N5462" s="2">
        <f t="shared" si="257"/>
        <v>0.10310532541603083</v>
      </c>
    </row>
    <row r="5463" spans="1:14" x14ac:dyDescent="0.45">
      <c r="A5463" t="s">
        <v>9633</v>
      </c>
      <c r="B5463" s="1">
        <v>44938</v>
      </c>
      <c r="C5463" t="s">
        <v>3675</v>
      </c>
      <c r="D5463" t="s">
        <v>56</v>
      </c>
      <c r="E5463" t="s">
        <v>14</v>
      </c>
      <c r="F5463" t="s">
        <v>32</v>
      </c>
      <c r="G5463">
        <v>4</v>
      </c>
      <c r="H5463">
        <v>49719.56</v>
      </c>
      <c r="I5463">
        <v>10114.700000000001</v>
      </c>
      <c r="J5463" t="s">
        <v>71</v>
      </c>
      <c r="K5463" t="s">
        <v>33</v>
      </c>
      <c r="L5463">
        <f t="shared" si="255"/>
        <v>2023</v>
      </c>
      <c r="M5463" t="str">
        <f t="shared" si="256"/>
        <v>Jan</v>
      </c>
      <c r="N5463" s="2">
        <f t="shared" si="257"/>
        <v>0.20343502637593738</v>
      </c>
    </row>
    <row r="5464" spans="1:14" x14ac:dyDescent="0.45">
      <c r="A5464" t="s">
        <v>9634</v>
      </c>
      <c r="B5464" s="1">
        <v>44963</v>
      </c>
      <c r="C5464" t="s">
        <v>3202</v>
      </c>
      <c r="D5464" t="s">
        <v>13</v>
      </c>
      <c r="E5464" t="s">
        <v>36</v>
      </c>
      <c r="F5464" t="s">
        <v>37</v>
      </c>
      <c r="G5464">
        <v>3</v>
      </c>
      <c r="H5464">
        <v>23789.21</v>
      </c>
      <c r="I5464">
        <v>4424.0600000000004</v>
      </c>
      <c r="J5464" t="s">
        <v>47</v>
      </c>
      <c r="K5464" t="s">
        <v>17</v>
      </c>
      <c r="L5464">
        <f t="shared" si="255"/>
        <v>2023</v>
      </c>
      <c r="M5464" t="str">
        <f t="shared" si="256"/>
        <v>Feb</v>
      </c>
      <c r="N5464" s="2">
        <f t="shared" si="257"/>
        <v>0.18596918518941993</v>
      </c>
    </row>
    <row r="5465" spans="1:14" x14ac:dyDescent="0.45">
      <c r="A5465" t="s">
        <v>9635</v>
      </c>
      <c r="B5465" s="1">
        <v>44815</v>
      </c>
      <c r="C5465" t="s">
        <v>9636</v>
      </c>
      <c r="D5465" t="s">
        <v>56</v>
      </c>
      <c r="E5465" t="s">
        <v>20</v>
      </c>
      <c r="F5465" t="s">
        <v>27</v>
      </c>
      <c r="G5465">
        <v>1</v>
      </c>
      <c r="H5465">
        <v>29750.11</v>
      </c>
      <c r="I5465">
        <v>3091.46</v>
      </c>
      <c r="J5465" t="s">
        <v>16</v>
      </c>
      <c r="K5465" t="s">
        <v>33</v>
      </c>
      <c r="L5465">
        <f t="shared" si="255"/>
        <v>2022</v>
      </c>
      <c r="M5465" t="str">
        <f t="shared" si="256"/>
        <v>Sep</v>
      </c>
      <c r="N5465" s="2">
        <f t="shared" si="257"/>
        <v>0.10391423762802894</v>
      </c>
    </row>
    <row r="5466" spans="1:14" x14ac:dyDescent="0.45">
      <c r="A5466" t="s">
        <v>9637</v>
      </c>
      <c r="B5466" s="1">
        <v>45621</v>
      </c>
      <c r="C5466" t="s">
        <v>9638</v>
      </c>
      <c r="D5466" t="s">
        <v>13</v>
      </c>
      <c r="E5466" t="s">
        <v>36</v>
      </c>
      <c r="F5466" t="s">
        <v>37</v>
      </c>
      <c r="G5466">
        <v>5</v>
      </c>
      <c r="H5466">
        <v>15215.22</v>
      </c>
      <c r="I5466">
        <v>3281.82</v>
      </c>
      <c r="J5466" t="s">
        <v>28</v>
      </c>
      <c r="K5466" t="s">
        <v>23</v>
      </c>
      <c r="L5466">
        <f t="shared" si="255"/>
        <v>2024</v>
      </c>
      <c r="M5466" t="str">
        <f t="shared" si="256"/>
        <v>Nov</v>
      </c>
      <c r="N5466" s="2">
        <f t="shared" si="257"/>
        <v>0.21569323348594371</v>
      </c>
    </row>
    <row r="5467" spans="1:14" x14ac:dyDescent="0.45">
      <c r="A5467" t="s">
        <v>9639</v>
      </c>
      <c r="B5467" s="1">
        <v>45562</v>
      </c>
      <c r="C5467" t="s">
        <v>9640</v>
      </c>
      <c r="D5467" t="s">
        <v>26</v>
      </c>
      <c r="E5467" t="s">
        <v>20</v>
      </c>
      <c r="F5467" t="s">
        <v>21</v>
      </c>
      <c r="G5467">
        <v>4</v>
      </c>
      <c r="H5467">
        <v>44815.07</v>
      </c>
      <c r="I5467">
        <v>2427.94</v>
      </c>
      <c r="J5467" t="s">
        <v>71</v>
      </c>
      <c r="K5467" t="s">
        <v>17</v>
      </c>
      <c r="L5467">
        <f t="shared" si="255"/>
        <v>2024</v>
      </c>
      <c r="M5467" t="str">
        <f t="shared" si="256"/>
        <v>Sep</v>
      </c>
      <c r="N5467" s="2">
        <f t="shared" si="257"/>
        <v>5.4176865059008053E-2</v>
      </c>
    </row>
    <row r="5468" spans="1:14" x14ac:dyDescent="0.45">
      <c r="A5468" t="s">
        <v>9641</v>
      </c>
      <c r="B5468" s="1">
        <v>45324</v>
      </c>
      <c r="C5468" t="s">
        <v>8127</v>
      </c>
      <c r="D5468" t="s">
        <v>13</v>
      </c>
      <c r="E5468" t="s">
        <v>20</v>
      </c>
      <c r="F5468" t="s">
        <v>27</v>
      </c>
      <c r="G5468">
        <v>3</v>
      </c>
      <c r="H5468">
        <v>16075.65</v>
      </c>
      <c r="I5468">
        <v>1616.12</v>
      </c>
      <c r="J5468" t="s">
        <v>47</v>
      </c>
      <c r="K5468" t="s">
        <v>23</v>
      </c>
      <c r="L5468">
        <f t="shared" si="255"/>
        <v>2024</v>
      </c>
      <c r="M5468" t="str">
        <f t="shared" si="256"/>
        <v>Feb</v>
      </c>
      <c r="N5468" s="2">
        <f t="shared" si="257"/>
        <v>0.10053217132744244</v>
      </c>
    </row>
    <row r="5469" spans="1:14" x14ac:dyDescent="0.45">
      <c r="A5469" t="s">
        <v>9642</v>
      </c>
      <c r="B5469" s="1">
        <v>45123</v>
      </c>
      <c r="C5469" t="s">
        <v>9643</v>
      </c>
      <c r="D5469" t="s">
        <v>13</v>
      </c>
      <c r="E5469" t="s">
        <v>20</v>
      </c>
      <c r="F5469" t="s">
        <v>21</v>
      </c>
      <c r="G5469">
        <v>5</v>
      </c>
      <c r="H5469">
        <v>49916.24</v>
      </c>
      <c r="I5469">
        <v>2523.7399999999998</v>
      </c>
      <c r="J5469" t="s">
        <v>47</v>
      </c>
      <c r="K5469" t="s">
        <v>33</v>
      </c>
      <c r="L5469">
        <f t="shared" si="255"/>
        <v>2023</v>
      </c>
      <c r="M5469" t="str">
        <f t="shared" si="256"/>
        <v>Jul</v>
      </c>
      <c r="N5469" s="2">
        <f t="shared" si="257"/>
        <v>5.0559497269826413E-2</v>
      </c>
    </row>
    <row r="5470" spans="1:14" x14ac:dyDescent="0.45">
      <c r="A5470" t="s">
        <v>9644</v>
      </c>
      <c r="B5470" s="1">
        <v>45345</v>
      </c>
      <c r="C5470" t="s">
        <v>9645</v>
      </c>
      <c r="D5470" t="s">
        <v>56</v>
      </c>
      <c r="E5470" t="s">
        <v>20</v>
      </c>
      <c r="F5470" t="s">
        <v>50</v>
      </c>
      <c r="G5470">
        <v>3</v>
      </c>
      <c r="H5470">
        <v>42201.72</v>
      </c>
      <c r="I5470">
        <v>5474.86</v>
      </c>
      <c r="J5470" t="s">
        <v>28</v>
      </c>
      <c r="K5470" t="s">
        <v>17</v>
      </c>
      <c r="L5470">
        <f t="shared" si="255"/>
        <v>2024</v>
      </c>
      <c r="M5470" t="str">
        <f t="shared" si="256"/>
        <v>Feb</v>
      </c>
      <c r="N5470" s="2">
        <f t="shared" si="257"/>
        <v>0.12973073135407751</v>
      </c>
    </row>
    <row r="5471" spans="1:14" x14ac:dyDescent="0.45">
      <c r="A5471" t="s">
        <v>9646</v>
      </c>
      <c r="B5471" s="1">
        <v>45642</v>
      </c>
      <c r="C5471" t="s">
        <v>4307</v>
      </c>
      <c r="D5471" t="s">
        <v>13</v>
      </c>
      <c r="E5471" t="s">
        <v>20</v>
      </c>
      <c r="F5471" t="s">
        <v>27</v>
      </c>
      <c r="G5471">
        <v>3</v>
      </c>
      <c r="H5471">
        <v>40831.49</v>
      </c>
      <c r="I5471">
        <v>5764.5</v>
      </c>
      <c r="J5471" t="s">
        <v>28</v>
      </c>
      <c r="K5471" t="s">
        <v>29</v>
      </c>
      <c r="L5471">
        <f t="shared" si="255"/>
        <v>2024</v>
      </c>
      <c r="M5471" t="str">
        <f t="shared" si="256"/>
        <v>Dec</v>
      </c>
      <c r="N5471" s="2">
        <f t="shared" si="257"/>
        <v>0.1411778017407643</v>
      </c>
    </row>
    <row r="5472" spans="1:14" x14ac:dyDescent="0.45">
      <c r="A5472" t="s">
        <v>9647</v>
      </c>
      <c r="B5472" s="1">
        <v>44652</v>
      </c>
      <c r="C5472" t="s">
        <v>9648</v>
      </c>
      <c r="D5472" t="s">
        <v>13</v>
      </c>
      <c r="E5472" t="s">
        <v>36</v>
      </c>
      <c r="F5472" t="s">
        <v>46</v>
      </c>
      <c r="G5472">
        <v>4</v>
      </c>
      <c r="H5472">
        <v>7047.31</v>
      </c>
      <c r="I5472">
        <v>1507.3</v>
      </c>
      <c r="J5472" t="s">
        <v>71</v>
      </c>
      <c r="K5472" t="s">
        <v>33</v>
      </c>
      <c r="L5472">
        <f t="shared" si="255"/>
        <v>2022</v>
      </c>
      <c r="M5472" t="str">
        <f t="shared" si="256"/>
        <v>Apr</v>
      </c>
      <c r="N5472" s="2">
        <f t="shared" si="257"/>
        <v>0.21388302770844475</v>
      </c>
    </row>
    <row r="5473" spans="1:14" x14ac:dyDescent="0.45">
      <c r="A5473" t="s">
        <v>9649</v>
      </c>
      <c r="B5473" s="1">
        <v>44746</v>
      </c>
      <c r="C5473" t="s">
        <v>150</v>
      </c>
      <c r="D5473" t="s">
        <v>13</v>
      </c>
      <c r="E5473" t="s">
        <v>20</v>
      </c>
      <c r="F5473" t="s">
        <v>27</v>
      </c>
      <c r="G5473">
        <v>4</v>
      </c>
      <c r="H5473">
        <v>48759.31</v>
      </c>
      <c r="I5473">
        <v>6301.63</v>
      </c>
      <c r="J5473" t="s">
        <v>47</v>
      </c>
      <c r="K5473" t="s">
        <v>17</v>
      </c>
      <c r="L5473">
        <f t="shared" si="255"/>
        <v>2022</v>
      </c>
      <c r="M5473" t="str">
        <f t="shared" si="256"/>
        <v>Jul</v>
      </c>
      <c r="N5473" s="2">
        <f t="shared" si="257"/>
        <v>0.12923952369301372</v>
      </c>
    </row>
    <row r="5474" spans="1:14" x14ac:dyDescent="0.45">
      <c r="A5474" t="s">
        <v>9650</v>
      </c>
      <c r="B5474" s="1">
        <v>45391</v>
      </c>
      <c r="C5474" t="s">
        <v>4865</v>
      </c>
      <c r="D5474" t="s">
        <v>13</v>
      </c>
      <c r="E5474" t="s">
        <v>36</v>
      </c>
      <c r="F5474" t="s">
        <v>53</v>
      </c>
      <c r="G5474">
        <v>5</v>
      </c>
      <c r="H5474">
        <v>12974.96</v>
      </c>
      <c r="I5474">
        <v>1042.55</v>
      </c>
      <c r="J5474" t="s">
        <v>28</v>
      </c>
      <c r="K5474" t="s">
        <v>29</v>
      </c>
      <c r="L5474">
        <f t="shared" si="255"/>
        <v>2024</v>
      </c>
      <c r="M5474" t="str">
        <f t="shared" si="256"/>
        <v>Apr</v>
      </c>
      <c r="N5474" s="2">
        <f t="shared" si="257"/>
        <v>8.0350922083767498E-2</v>
      </c>
    </row>
    <row r="5475" spans="1:14" x14ac:dyDescent="0.45">
      <c r="A5475" t="s">
        <v>9651</v>
      </c>
      <c r="B5475" s="1">
        <v>44836</v>
      </c>
      <c r="C5475" t="s">
        <v>3219</v>
      </c>
      <c r="D5475" t="s">
        <v>56</v>
      </c>
      <c r="E5475" t="s">
        <v>14</v>
      </c>
      <c r="F5475" t="s">
        <v>15</v>
      </c>
      <c r="G5475">
        <v>5</v>
      </c>
      <c r="H5475">
        <v>35034.019999999997</v>
      </c>
      <c r="I5475">
        <v>6217.82</v>
      </c>
      <c r="J5475" t="s">
        <v>47</v>
      </c>
      <c r="K5475" t="s">
        <v>33</v>
      </c>
      <c r="L5475">
        <f t="shared" si="255"/>
        <v>2022</v>
      </c>
      <c r="M5475" t="str">
        <f t="shared" si="256"/>
        <v>Oct</v>
      </c>
      <c r="N5475" s="2">
        <f t="shared" si="257"/>
        <v>0.17747948993578241</v>
      </c>
    </row>
    <row r="5476" spans="1:14" x14ac:dyDescent="0.45">
      <c r="A5476" t="s">
        <v>9652</v>
      </c>
      <c r="B5476" s="1">
        <v>45593</v>
      </c>
      <c r="C5476" t="s">
        <v>9653</v>
      </c>
      <c r="D5476" t="s">
        <v>13</v>
      </c>
      <c r="E5476" t="s">
        <v>14</v>
      </c>
      <c r="F5476" t="s">
        <v>32</v>
      </c>
      <c r="G5476">
        <v>3</v>
      </c>
      <c r="H5476">
        <v>30540.92</v>
      </c>
      <c r="I5476">
        <v>4287.4399999999996</v>
      </c>
      <c r="J5476" t="s">
        <v>28</v>
      </c>
      <c r="K5476" t="s">
        <v>33</v>
      </c>
      <c r="L5476">
        <f t="shared" si="255"/>
        <v>2024</v>
      </c>
      <c r="M5476" t="str">
        <f t="shared" si="256"/>
        <v>Oct</v>
      </c>
      <c r="N5476" s="2">
        <f t="shared" si="257"/>
        <v>0.14038345930639942</v>
      </c>
    </row>
    <row r="5477" spans="1:14" x14ac:dyDescent="0.45">
      <c r="A5477" t="s">
        <v>9654</v>
      </c>
      <c r="B5477" s="1">
        <v>45550</v>
      </c>
      <c r="C5477" t="s">
        <v>3489</v>
      </c>
      <c r="D5477" t="s">
        <v>13</v>
      </c>
      <c r="E5477" t="s">
        <v>20</v>
      </c>
      <c r="F5477" t="s">
        <v>21</v>
      </c>
      <c r="G5477">
        <v>3</v>
      </c>
      <c r="H5477">
        <v>32988.050000000003</v>
      </c>
      <c r="I5477">
        <v>4877.07</v>
      </c>
      <c r="J5477" t="s">
        <v>47</v>
      </c>
      <c r="K5477" t="s">
        <v>33</v>
      </c>
      <c r="L5477">
        <f t="shared" si="255"/>
        <v>2024</v>
      </c>
      <c r="M5477" t="str">
        <f t="shared" si="256"/>
        <v>Sep</v>
      </c>
      <c r="N5477" s="2">
        <f t="shared" si="257"/>
        <v>0.14784353728092445</v>
      </c>
    </row>
    <row r="5478" spans="1:14" x14ac:dyDescent="0.45">
      <c r="A5478" t="s">
        <v>9655</v>
      </c>
      <c r="B5478" s="1">
        <v>44753</v>
      </c>
      <c r="C5478" t="s">
        <v>4206</v>
      </c>
      <c r="D5478" t="s">
        <v>13</v>
      </c>
      <c r="E5478" t="s">
        <v>36</v>
      </c>
      <c r="F5478" t="s">
        <v>64</v>
      </c>
      <c r="G5478">
        <v>3</v>
      </c>
      <c r="H5478">
        <v>615.33000000000004</v>
      </c>
      <c r="I5478">
        <v>118.59</v>
      </c>
      <c r="J5478" t="s">
        <v>22</v>
      </c>
      <c r="K5478" t="s">
        <v>33</v>
      </c>
      <c r="L5478">
        <f t="shared" si="255"/>
        <v>2022</v>
      </c>
      <c r="M5478" t="str">
        <f t="shared" si="256"/>
        <v>Jul</v>
      </c>
      <c r="N5478" s="2">
        <f t="shared" si="257"/>
        <v>0.19272585441957973</v>
      </c>
    </row>
    <row r="5479" spans="1:14" x14ac:dyDescent="0.45">
      <c r="A5479" t="s">
        <v>9656</v>
      </c>
      <c r="B5479" s="1">
        <v>45576</v>
      </c>
      <c r="C5479" t="s">
        <v>2511</v>
      </c>
      <c r="D5479" t="s">
        <v>26</v>
      </c>
      <c r="E5479" t="s">
        <v>36</v>
      </c>
      <c r="F5479" t="s">
        <v>37</v>
      </c>
      <c r="G5479">
        <v>3</v>
      </c>
      <c r="H5479">
        <v>26660.720000000001</v>
      </c>
      <c r="I5479">
        <v>1422.02</v>
      </c>
      <c r="J5479" t="s">
        <v>47</v>
      </c>
      <c r="K5479" t="s">
        <v>23</v>
      </c>
      <c r="L5479">
        <f t="shared" si="255"/>
        <v>2024</v>
      </c>
      <c r="M5479" t="str">
        <f t="shared" si="256"/>
        <v>Oct</v>
      </c>
      <c r="N5479" s="2">
        <f t="shared" si="257"/>
        <v>5.3337644294677709E-2</v>
      </c>
    </row>
    <row r="5480" spans="1:14" x14ac:dyDescent="0.45">
      <c r="A5480" t="s">
        <v>9657</v>
      </c>
      <c r="B5480" s="1">
        <v>45529</v>
      </c>
      <c r="C5480" t="s">
        <v>9658</v>
      </c>
      <c r="D5480" t="s">
        <v>13</v>
      </c>
      <c r="E5480" t="s">
        <v>14</v>
      </c>
      <c r="F5480" t="s">
        <v>40</v>
      </c>
      <c r="G5480">
        <v>1</v>
      </c>
      <c r="H5480">
        <v>48726.2</v>
      </c>
      <c r="I5480">
        <v>4723.8100000000004</v>
      </c>
      <c r="J5480" t="s">
        <v>28</v>
      </c>
      <c r="K5480" t="s">
        <v>23</v>
      </c>
      <c r="L5480">
        <f t="shared" si="255"/>
        <v>2024</v>
      </c>
      <c r="M5480" t="str">
        <f t="shared" si="256"/>
        <v>Aug</v>
      </c>
      <c r="N5480" s="2">
        <f t="shared" si="257"/>
        <v>9.6945996199170076E-2</v>
      </c>
    </row>
    <row r="5481" spans="1:14" x14ac:dyDescent="0.45">
      <c r="A5481" t="s">
        <v>9659</v>
      </c>
      <c r="B5481" s="1">
        <v>44947</v>
      </c>
      <c r="C5481" t="s">
        <v>383</v>
      </c>
      <c r="D5481" t="s">
        <v>13</v>
      </c>
      <c r="E5481" t="s">
        <v>20</v>
      </c>
      <c r="F5481" t="s">
        <v>43</v>
      </c>
      <c r="G5481">
        <v>1</v>
      </c>
      <c r="H5481">
        <v>32407.85</v>
      </c>
      <c r="I5481">
        <v>2598.9499999999998</v>
      </c>
      <c r="J5481" t="s">
        <v>71</v>
      </c>
      <c r="K5481" t="s">
        <v>33</v>
      </c>
      <c r="L5481">
        <f t="shared" si="255"/>
        <v>2023</v>
      </c>
      <c r="M5481" t="str">
        <f t="shared" si="256"/>
        <v>Jan</v>
      </c>
      <c r="N5481" s="2">
        <f t="shared" si="257"/>
        <v>8.0195076192959416E-2</v>
      </c>
    </row>
    <row r="5482" spans="1:14" x14ac:dyDescent="0.45">
      <c r="A5482" t="s">
        <v>9660</v>
      </c>
      <c r="B5482" s="1">
        <v>44768</v>
      </c>
      <c r="C5482" t="s">
        <v>9661</v>
      </c>
      <c r="D5482" t="s">
        <v>26</v>
      </c>
      <c r="E5482" t="s">
        <v>14</v>
      </c>
      <c r="F5482" t="s">
        <v>15</v>
      </c>
      <c r="G5482">
        <v>4</v>
      </c>
      <c r="H5482">
        <v>7539.46</v>
      </c>
      <c r="I5482">
        <v>632.03</v>
      </c>
      <c r="J5482" t="s">
        <v>28</v>
      </c>
      <c r="K5482" t="s">
        <v>33</v>
      </c>
      <c r="L5482">
        <f t="shared" si="255"/>
        <v>2022</v>
      </c>
      <c r="M5482" t="str">
        <f t="shared" si="256"/>
        <v>Jul</v>
      </c>
      <c r="N5482" s="2">
        <f t="shared" si="257"/>
        <v>8.3829611139259311E-2</v>
      </c>
    </row>
    <row r="5483" spans="1:14" x14ac:dyDescent="0.45">
      <c r="A5483" t="s">
        <v>9662</v>
      </c>
      <c r="B5483" s="1">
        <v>44680</v>
      </c>
      <c r="C5483" t="s">
        <v>2429</v>
      </c>
      <c r="D5483" t="s">
        <v>26</v>
      </c>
      <c r="E5483" t="s">
        <v>14</v>
      </c>
      <c r="F5483" t="s">
        <v>57</v>
      </c>
      <c r="G5483">
        <v>1</v>
      </c>
      <c r="H5483">
        <v>30091.23</v>
      </c>
      <c r="I5483">
        <v>4843.4399999999996</v>
      </c>
      <c r="J5483" t="s">
        <v>71</v>
      </c>
      <c r="K5483" t="s">
        <v>23</v>
      </c>
      <c r="L5483">
        <f t="shared" si="255"/>
        <v>2022</v>
      </c>
      <c r="M5483" t="str">
        <f t="shared" si="256"/>
        <v>Apr</v>
      </c>
      <c r="N5483" s="2">
        <f t="shared" si="257"/>
        <v>0.16095852512509456</v>
      </c>
    </row>
    <row r="5484" spans="1:14" x14ac:dyDescent="0.45">
      <c r="A5484" t="s">
        <v>9663</v>
      </c>
      <c r="B5484" s="1">
        <v>44664</v>
      </c>
      <c r="C5484" t="s">
        <v>3314</v>
      </c>
      <c r="D5484" t="s">
        <v>13</v>
      </c>
      <c r="E5484" t="s">
        <v>20</v>
      </c>
      <c r="F5484" t="s">
        <v>27</v>
      </c>
      <c r="G5484">
        <v>1</v>
      </c>
      <c r="H5484">
        <v>39766.51</v>
      </c>
      <c r="I5484">
        <v>7763.69</v>
      </c>
      <c r="J5484" t="s">
        <v>22</v>
      </c>
      <c r="K5484" t="s">
        <v>23</v>
      </c>
      <c r="L5484">
        <f t="shared" si="255"/>
        <v>2022</v>
      </c>
      <c r="M5484" t="str">
        <f t="shared" si="256"/>
        <v>Apr</v>
      </c>
      <c r="N5484" s="2">
        <f t="shared" si="257"/>
        <v>0.19523186721691191</v>
      </c>
    </row>
    <row r="5485" spans="1:14" x14ac:dyDescent="0.45">
      <c r="A5485" t="s">
        <v>9664</v>
      </c>
      <c r="B5485" s="1">
        <v>44738</v>
      </c>
      <c r="C5485" t="s">
        <v>9665</v>
      </c>
      <c r="D5485" t="s">
        <v>26</v>
      </c>
      <c r="E5485" t="s">
        <v>20</v>
      </c>
      <c r="F5485" t="s">
        <v>27</v>
      </c>
      <c r="G5485">
        <v>3</v>
      </c>
      <c r="H5485">
        <v>41088.53</v>
      </c>
      <c r="I5485">
        <v>4676.41</v>
      </c>
      <c r="J5485" t="s">
        <v>47</v>
      </c>
      <c r="K5485" t="s">
        <v>23</v>
      </c>
      <c r="L5485">
        <f t="shared" si="255"/>
        <v>2022</v>
      </c>
      <c r="M5485" t="str">
        <f t="shared" si="256"/>
        <v>Jun</v>
      </c>
      <c r="N5485" s="2">
        <f t="shared" si="257"/>
        <v>0.11381302762595791</v>
      </c>
    </row>
    <row r="5486" spans="1:14" x14ac:dyDescent="0.45">
      <c r="A5486" t="s">
        <v>9666</v>
      </c>
      <c r="B5486" s="1">
        <v>44813</v>
      </c>
      <c r="C5486" t="s">
        <v>9667</v>
      </c>
      <c r="D5486" t="s">
        <v>13</v>
      </c>
      <c r="E5486" t="s">
        <v>14</v>
      </c>
      <c r="F5486" t="s">
        <v>40</v>
      </c>
      <c r="G5486">
        <v>1</v>
      </c>
      <c r="H5486">
        <v>1780.4</v>
      </c>
      <c r="I5486">
        <v>228.63</v>
      </c>
      <c r="J5486" t="s">
        <v>22</v>
      </c>
      <c r="K5486" t="s">
        <v>17</v>
      </c>
      <c r="L5486">
        <f t="shared" si="255"/>
        <v>2022</v>
      </c>
      <c r="M5486" t="str">
        <f t="shared" si="256"/>
        <v>Sep</v>
      </c>
      <c r="N5486" s="2">
        <f t="shared" si="257"/>
        <v>0.12841496292967872</v>
      </c>
    </row>
    <row r="5487" spans="1:14" x14ac:dyDescent="0.45">
      <c r="A5487" t="s">
        <v>9668</v>
      </c>
      <c r="B5487" s="1">
        <v>45235</v>
      </c>
      <c r="C5487" t="s">
        <v>9669</v>
      </c>
      <c r="D5487" t="s">
        <v>26</v>
      </c>
      <c r="E5487" t="s">
        <v>36</v>
      </c>
      <c r="F5487" t="s">
        <v>37</v>
      </c>
      <c r="G5487">
        <v>5</v>
      </c>
      <c r="H5487">
        <v>21251.26</v>
      </c>
      <c r="I5487">
        <v>5025.3</v>
      </c>
      <c r="J5487" t="s">
        <v>16</v>
      </c>
      <c r="K5487" t="s">
        <v>29</v>
      </c>
      <c r="L5487">
        <f t="shared" si="255"/>
        <v>2023</v>
      </c>
      <c r="M5487" t="str">
        <f t="shared" si="256"/>
        <v>Nov</v>
      </c>
      <c r="N5487" s="2">
        <f t="shared" si="257"/>
        <v>0.23647068456176248</v>
      </c>
    </row>
    <row r="5488" spans="1:14" x14ac:dyDescent="0.45">
      <c r="A5488" t="s">
        <v>9670</v>
      </c>
      <c r="B5488" s="1">
        <v>45330</v>
      </c>
      <c r="C5488" t="s">
        <v>9671</v>
      </c>
      <c r="D5488" t="s">
        <v>56</v>
      </c>
      <c r="E5488" t="s">
        <v>20</v>
      </c>
      <c r="F5488" t="s">
        <v>43</v>
      </c>
      <c r="G5488">
        <v>2</v>
      </c>
      <c r="H5488">
        <v>36869.07</v>
      </c>
      <c r="I5488">
        <v>7568.32</v>
      </c>
      <c r="J5488" t="s">
        <v>16</v>
      </c>
      <c r="K5488" t="s">
        <v>17</v>
      </c>
      <c r="L5488">
        <f t="shared" si="255"/>
        <v>2024</v>
      </c>
      <c r="M5488" t="str">
        <f t="shared" si="256"/>
        <v>Feb</v>
      </c>
      <c r="N5488" s="2">
        <f t="shared" si="257"/>
        <v>0.20527558736903317</v>
      </c>
    </row>
    <row r="5489" spans="1:14" x14ac:dyDescent="0.45">
      <c r="A5489" t="s">
        <v>9672</v>
      </c>
      <c r="B5489" s="1">
        <v>45374</v>
      </c>
      <c r="C5489" t="s">
        <v>4546</v>
      </c>
      <c r="D5489" t="s">
        <v>56</v>
      </c>
      <c r="E5489" t="s">
        <v>36</v>
      </c>
      <c r="F5489" t="s">
        <v>37</v>
      </c>
      <c r="G5489">
        <v>5</v>
      </c>
      <c r="H5489">
        <v>4421.04</v>
      </c>
      <c r="I5489">
        <v>612.79</v>
      </c>
      <c r="J5489" t="s">
        <v>22</v>
      </c>
      <c r="K5489" t="s">
        <v>33</v>
      </c>
      <c r="L5489">
        <f t="shared" si="255"/>
        <v>2024</v>
      </c>
      <c r="M5489" t="str">
        <f t="shared" si="256"/>
        <v>Mar</v>
      </c>
      <c r="N5489" s="2">
        <f t="shared" si="257"/>
        <v>0.13860765792664168</v>
      </c>
    </row>
    <row r="5490" spans="1:14" x14ac:dyDescent="0.45">
      <c r="A5490" t="s">
        <v>9673</v>
      </c>
      <c r="B5490" s="1">
        <v>44833</v>
      </c>
      <c r="C5490" t="s">
        <v>9674</v>
      </c>
      <c r="D5490" t="s">
        <v>13</v>
      </c>
      <c r="E5490" t="s">
        <v>20</v>
      </c>
      <c r="F5490" t="s">
        <v>21</v>
      </c>
      <c r="G5490">
        <v>2</v>
      </c>
      <c r="H5490">
        <v>26583.39</v>
      </c>
      <c r="I5490">
        <v>5247.53</v>
      </c>
      <c r="J5490" t="s">
        <v>47</v>
      </c>
      <c r="K5490" t="s">
        <v>23</v>
      </c>
      <c r="L5490">
        <f t="shared" si="255"/>
        <v>2022</v>
      </c>
      <c r="M5490" t="str">
        <f t="shared" si="256"/>
        <v>Sep</v>
      </c>
      <c r="N5490" s="2">
        <f t="shared" si="257"/>
        <v>0.1973988268614349</v>
      </c>
    </row>
    <row r="5491" spans="1:14" x14ac:dyDescent="0.45">
      <c r="A5491" t="s">
        <v>9675</v>
      </c>
      <c r="B5491" s="1">
        <v>44821</v>
      </c>
      <c r="C5491" t="s">
        <v>726</v>
      </c>
      <c r="D5491" t="s">
        <v>13</v>
      </c>
      <c r="E5491" t="s">
        <v>20</v>
      </c>
      <c r="F5491" t="s">
        <v>50</v>
      </c>
      <c r="G5491">
        <v>5</v>
      </c>
      <c r="H5491">
        <v>3532.68</v>
      </c>
      <c r="I5491">
        <v>631.97</v>
      </c>
      <c r="J5491" t="s">
        <v>16</v>
      </c>
      <c r="K5491" t="s">
        <v>33</v>
      </c>
      <c r="L5491">
        <f t="shared" si="255"/>
        <v>2022</v>
      </c>
      <c r="M5491" t="str">
        <f t="shared" si="256"/>
        <v>Sep</v>
      </c>
      <c r="N5491" s="2">
        <f t="shared" si="257"/>
        <v>0.17889251220036914</v>
      </c>
    </row>
    <row r="5492" spans="1:14" x14ac:dyDescent="0.45">
      <c r="A5492" t="s">
        <v>9676</v>
      </c>
      <c r="B5492" s="1">
        <v>45113</v>
      </c>
      <c r="C5492" t="s">
        <v>4222</v>
      </c>
      <c r="D5492" t="s">
        <v>56</v>
      </c>
      <c r="E5492" t="s">
        <v>14</v>
      </c>
      <c r="F5492" t="s">
        <v>32</v>
      </c>
      <c r="G5492">
        <v>2</v>
      </c>
      <c r="H5492">
        <v>18664.419999999998</v>
      </c>
      <c r="I5492">
        <v>1871.1</v>
      </c>
      <c r="J5492" t="s">
        <v>28</v>
      </c>
      <c r="K5492" t="s">
        <v>17</v>
      </c>
      <c r="L5492">
        <f t="shared" si="255"/>
        <v>2023</v>
      </c>
      <c r="M5492" t="str">
        <f t="shared" si="256"/>
        <v>Jul</v>
      </c>
      <c r="N5492" s="2">
        <f t="shared" si="257"/>
        <v>0.1002495657513065</v>
      </c>
    </row>
    <row r="5493" spans="1:14" x14ac:dyDescent="0.45">
      <c r="A5493" t="s">
        <v>9677</v>
      </c>
      <c r="B5493" s="1">
        <v>45347</v>
      </c>
      <c r="C5493" t="s">
        <v>9678</v>
      </c>
      <c r="D5493" t="s">
        <v>26</v>
      </c>
      <c r="E5493" t="s">
        <v>20</v>
      </c>
      <c r="F5493" t="s">
        <v>43</v>
      </c>
      <c r="G5493">
        <v>3</v>
      </c>
      <c r="H5493">
        <v>26923.57</v>
      </c>
      <c r="I5493">
        <v>4861.7700000000004</v>
      </c>
      <c r="J5493" t="s">
        <v>47</v>
      </c>
      <c r="K5493" t="s">
        <v>29</v>
      </c>
      <c r="L5493">
        <f t="shared" si="255"/>
        <v>2024</v>
      </c>
      <c r="M5493" t="str">
        <f t="shared" si="256"/>
        <v>Feb</v>
      </c>
      <c r="N5493" s="2">
        <f t="shared" si="257"/>
        <v>0.18057672143775882</v>
      </c>
    </row>
    <row r="5494" spans="1:14" x14ac:dyDescent="0.45">
      <c r="A5494" t="s">
        <v>9679</v>
      </c>
      <c r="B5494" s="1">
        <v>44590</v>
      </c>
      <c r="C5494" t="s">
        <v>4587</v>
      </c>
      <c r="D5494" t="s">
        <v>56</v>
      </c>
      <c r="E5494" t="s">
        <v>14</v>
      </c>
      <c r="F5494" t="s">
        <v>40</v>
      </c>
      <c r="G5494">
        <v>3</v>
      </c>
      <c r="H5494">
        <v>16736.57</v>
      </c>
      <c r="I5494">
        <v>1215.4000000000001</v>
      </c>
      <c r="J5494" t="s">
        <v>28</v>
      </c>
      <c r="K5494" t="s">
        <v>29</v>
      </c>
      <c r="L5494">
        <f t="shared" si="255"/>
        <v>2022</v>
      </c>
      <c r="M5494" t="str">
        <f t="shared" si="256"/>
        <v>Jan</v>
      </c>
      <c r="N5494" s="2">
        <f t="shared" si="257"/>
        <v>7.2619419630187074E-2</v>
      </c>
    </row>
    <row r="5495" spans="1:14" x14ac:dyDescent="0.45">
      <c r="A5495" t="s">
        <v>9680</v>
      </c>
      <c r="B5495" s="1">
        <v>44949</v>
      </c>
      <c r="C5495" t="s">
        <v>9681</v>
      </c>
      <c r="D5495" t="s">
        <v>13</v>
      </c>
      <c r="E5495" t="s">
        <v>20</v>
      </c>
      <c r="F5495" t="s">
        <v>50</v>
      </c>
      <c r="G5495">
        <v>5</v>
      </c>
      <c r="H5495">
        <v>23380.79</v>
      </c>
      <c r="I5495">
        <v>2163.27</v>
      </c>
      <c r="J5495" t="s">
        <v>71</v>
      </c>
      <c r="K5495" t="s">
        <v>17</v>
      </c>
      <c r="L5495">
        <f t="shared" si="255"/>
        <v>2023</v>
      </c>
      <c r="M5495" t="str">
        <f t="shared" si="256"/>
        <v>Jan</v>
      </c>
      <c r="N5495" s="2">
        <f t="shared" si="257"/>
        <v>9.2523392066735127E-2</v>
      </c>
    </row>
    <row r="5496" spans="1:14" x14ac:dyDescent="0.45">
      <c r="A5496" t="s">
        <v>9682</v>
      </c>
      <c r="B5496" s="1">
        <v>44818</v>
      </c>
      <c r="C5496" t="s">
        <v>9667</v>
      </c>
      <c r="D5496" t="s">
        <v>56</v>
      </c>
      <c r="E5496" t="s">
        <v>20</v>
      </c>
      <c r="F5496" t="s">
        <v>27</v>
      </c>
      <c r="G5496">
        <v>4</v>
      </c>
      <c r="H5496">
        <v>1573.22</v>
      </c>
      <c r="I5496">
        <v>201.36</v>
      </c>
      <c r="J5496" t="s">
        <v>28</v>
      </c>
      <c r="K5496" t="s">
        <v>29</v>
      </c>
      <c r="L5496">
        <f t="shared" si="255"/>
        <v>2022</v>
      </c>
      <c r="M5496" t="str">
        <f t="shared" si="256"/>
        <v>Sep</v>
      </c>
      <c r="N5496" s="2">
        <f t="shared" si="257"/>
        <v>0.12799227062966401</v>
      </c>
    </row>
    <row r="5497" spans="1:14" x14ac:dyDescent="0.45">
      <c r="A5497" t="s">
        <v>9683</v>
      </c>
      <c r="B5497" s="1">
        <v>44950</v>
      </c>
      <c r="C5497" t="s">
        <v>8696</v>
      </c>
      <c r="D5497" t="s">
        <v>26</v>
      </c>
      <c r="E5497" t="s">
        <v>36</v>
      </c>
      <c r="F5497" t="s">
        <v>46</v>
      </c>
      <c r="G5497">
        <v>1</v>
      </c>
      <c r="H5497">
        <v>7429.38</v>
      </c>
      <c r="I5497">
        <v>1647.61</v>
      </c>
      <c r="J5497" t="s">
        <v>47</v>
      </c>
      <c r="K5497" t="s">
        <v>23</v>
      </c>
      <c r="L5497">
        <f t="shared" si="255"/>
        <v>2023</v>
      </c>
      <c r="M5497" t="str">
        <f t="shared" si="256"/>
        <v>Jan</v>
      </c>
      <c r="N5497" s="2">
        <f t="shared" si="257"/>
        <v>0.22176951508739623</v>
      </c>
    </row>
    <row r="5498" spans="1:14" x14ac:dyDescent="0.45">
      <c r="A5498" t="s">
        <v>9684</v>
      </c>
      <c r="B5498" s="1">
        <v>45440</v>
      </c>
      <c r="C5498" t="s">
        <v>2449</v>
      </c>
      <c r="D5498" t="s">
        <v>26</v>
      </c>
      <c r="E5498" t="s">
        <v>36</v>
      </c>
      <c r="F5498" t="s">
        <v>53</v>
      </c>
      <c r="G5498">
        <v>1</v>
      </c>
      <c r="H5498">
        <v>18618.75</v>
      </c>
      <c r="I5498">
        <v>1579.41</v>
      </c>
      <c r="J5498" t="s">
        <v>47</v>
      </c>
      <c r="K5498" t="s">
        <v>17</v>
      </c>
      <c r="L5498">
        <f t="shared" si="255"/>
        <v>2024</v>
      </c>
      <c r="M5498" t="str">
        <f t="shared" si="256"/>
        <v>May</v>
      </c>
      <c r="N5498" s="2">
        <f t="shared" si="257"/>
        <v>8.4829003021148042E-2</v>
      </c>
    </row>
    <row r="5499" spans="1:14" x14ac:dyDescent="0.45">
      <c r="A5499" t="s">
        <v>9685</v>
      </c>
      <c r="B5499" s="1">
        <v>44631</v>
      </c>
      <c r="C5499" t="s">
        <v>9686</v>
      </c>
      <c r="D5499" t="s">
        <v>13</v>
      </c>
      <c r="E5499" t="s">
        <v>20</v>
      </c>
      <c r="F5499" t="s">
        <v>50</v>
      </c>
      <c r="G5499">
        <v>4</v>
      </c>
      <c r="H5499">
        <v>11665.14</v>
      </c>
      <c r="I5499">
        <v>2571.0100000000002</v>
      </c>
      <c r="J5499" t="s">
        <v>22</v>
      </c>
      <c r="K5499" t="s">
        <v>23</v>
      </c>
      <c r="L5499">
        <f t="shared" si="255"/>
        <v>2022</v>
      </c>
      <c r="M5499" t="str">
        <f t="shared" si="256"/>
        <v>Mar</v>
      </c>
      <c r="N5499" s="2">
        <f t="shared" si="257"/>
        <v>0.22040112677601814</v>
      </c>
    </row>
    <row r="5500" spans="1:14" x14ac:dyDescent="0.45">
      <c r="A5500" t="s">
        <v>9687</v>
      </c>
      <c r="B5500" s="1">
        <v>45312</v>
      </c>
      <c r="C5500" t="s">
        <v>9688</v>
      </c>
      <c r="D5500" t="s">
        <v>56</v>
      </c>
      <c r="E5500" t="s">
        <v>14</v>
      </c>
      <c r="F5500" t="s">
        <v>57</v>
      </c>
      <c r="G5500">
        <v>2</v>
      </c>
      <c r="H5500">
        <v>46566.1</v>
      </c>
      <c r="I5500">
        <v>3653.59</v>
      </c>
      <c r="J5500" t="s">
        <v>28</v>
      </c>
      <c r="K5500" t="s">
        <v>29</v>
      </c>
      <c r="L5500">
        <f t="shared" si="255"/>
        <v>2024</v>
      </c>
      <c r="M5500" t="str">
        <f t="shared" si="256"/>
        <v>Jan</v>
      </c>
      <c r="N5500" s="2">
        <f t="shared" si="257"/>
        <v>7.8460296224077172E-2</v>
      </c>
    </row>
    <row r="5501" spans="1:14" x14ac:dyDescent="0.45">
      <c r="A5501" t="s">
        <v>9689</v>
      </c>
      <c r="B5501" s="1">
        <v>45635</v>
      </c>
      <c r="C5501" t="s">
        <v>9690</v>
      </c>
      <c r="D5501" t="s">
        <v>26</v>
      </c>
      <c r="E5501" t="s">
        <v>36</v>
      </c>
      <c r="F5501" t="s">
        <v>46</v>
      </c>
      <c r="G5501">
        <v>1</v>
      </c>
      <c r="H5501">
        <v>47775.31</v>
      </c>
      <c r="I5501">
        <v>9754.65</v>
      </c>
      <c r="J5501" t="s">
        <v>28</v>
      </c>
      <c r="K5501" t="s">
        <v>17</v>
      </c>
      <c r="L5501">
        <f t="shared" si="255"/>
        <v>2024</v>
      </c>
      <c r="M5501" t="str">
        <f t="shared" si="256"/>
        <v>Dec</v>
      </c>
      <c r="N5501" s="2">
        <f t="shared" si="257"/>
        <v>0.20417763903572786</v>
      </c>
    </row>
    <row r="5502" spans="1:14" x14ac:dyDescent="0.45">
      <c r="A5502" t="s">
        <v>9691</v>
      </c>
      <c r="B5502" s="1">
        <v>45077</v>
      </c>
      <c r="C5502" t="s">
        <v>7041</v>
      </c>
      <c r="D5502" t="s">
        <v>26</v>
      </c>
      <c r="E5502" t="s">
        <v>14</v>
      </c>
      <c r="F5502" t="s">
        <v>32</v>
      </c>
      <c r="G5502">
        <v>1</v>
      </c>
      <c r="H5502">
        <v>46926.82</v>
      </c>
      <c r="I5502">
        <v>8578.5499999999993</v>
      </c>
      <c r="J5502" t="s">
        <v>71</v>
      </c>
      <c r="K5502" t="s">
        <v>17</v>
      </c>
      <c r="L5502">
        <f t="shared" si="255"/>
        <v>2023</v>
      </c>
      <c r="M5502" t="str">
        <f t="shared" si="256"/>
        <v>May</v>
      </c>
      <c r="N5502" s="2">
        <f t="shared" si="257"/>
        <v>0.18280697477476632</v>
      </c>
    </row>
    <row r="5503" spans="1:14" x14ac:dyDescent="0.45">
      <c r="A5503" t="s">
        <v>9692</v>
      </c>
      <c r="B5503" s="1">
        <v>45208</v>
      </c>
      <c r="C5503" t="s">
        <v>9693</v>
      </c>
      <c r="D5503" t="s">
        <v>26</v>
      </c>
      <c r="E5503" t="s">
        <v>36</v>
      </c>
      <c r="F5503" t="s">
        <v>46</v>
      </c>
      <c r="G5503">
        <v>2</v>
      </c>
      <c r="H5503">
        <v>9844.61</v>
      </c>
      <c r="I5503">
        <v>1608.68</v>
      </c>
      <c r="J5503" t="s">
        <v>22</v>
      </c>
      <c r="K5503" t="s">
        <v>33</v>
      </c>
      <c r="L5503">
        <f t="shared" si="255"/>
        <v>2023</v>
      </c>
      <c r="M5503" t="str">
        <f t="shared" si="256"/>
        <v>Oct</v>
      </c>
      <c r="N5503" s="2">
        <f t="shared" si="257"/>
        <v>0.16340718423584072</v>
      </c>
    </row>
    <row r="5504" spans="1:14" x14ac:dyDescent="0.45">
      <c r="A5504" t="s">
        <v>9694</v>
      </c>
      <c r="B5504" s="1">
        <v>45431</v>
      </c>
      <c r="C5504" t="s">
        <v>3320</v>
      </c>
      <c r="D5504" t="s">
        <v>56</v>
      </c>
      <c r="E5504" t="s">
        <v>14</v>
      </c>
      <c r="F5504" t="s">
        <v>57</v>
      </c>
      <c r="G5504">
        <v>5</v>
      </c>
      <c r="H5504">
        <v>7902.97</v>
      </c>
      <c r="I5504">
        <v>1033.95</v>
      </c>
      <c r="J5504" t="s">
        <v>47</v>
      </c>
      <c r="K5504" t="s">
        <v>29</v>
      </c>
      <c r="L5504">
        <f t="shared" si="255"/>
        <v>2024</v>
      </c>
      <c r="M5504" t="str">
        <f t="shared" si="256"/>
        <v>May</v>
      </c>
      <c r="N5504" s="2">
        <f t="shared" si="257"/>
        <v>0.13083056116877578</v>
      </c>
    </row>
    <row r="5505" spans="1:14" x14ac:dyDescent="0.45">
      <c r="A5505" t="s">
        <v>9695</v>
      </c>
      <c r="B5505" s="1">
        <v>45525</v>
      </c>
      <c r="C5505" t="s">
        <v>2815</v>
      </c>
      <c r="D5505" t="s">
        <v>13</v>
      </c>
      <c r="E5505" t="s">
        <v>36</v>
      </c>
      <c r="F5505" t="s">
        <v>64</v>
      </c>
      <c r="G5505">
        <v>1</v>
      </c>
      <c r="H5505">
        <v>7061.94</v>
      </c>
      <c r="I5505">
        <v>625.85</v>
      </c>
      <c r="J5505" t="s">
        <v>28</v>
      </c>
      <c r="K5505" t="s">
        <v>33</v>
      </c>
      <c r="L5505">
        <f t="shared" si="255"/>
        <v>2024</v>
      </c>
      <c r="M5505" t="str">
        <f t="shared" si="256"/>
        <v>Aug</v>
      </c>
      <c r="N5505" s="2">
        <f t="shared" si="257"/>
        <v>8.862295629812772E-2</v>
      </c>
    </row>
    <row r="5506" spans="1:14" x14ac:dyDescent="0.45">
      <c r="A5506" t="s">
        <v>9696</v>
      </c>
      <c r="B5506" s="1">
        <v>45047</v>
      </c>
      <c r="C5506" t="s">
        <v>6765</v>
      </c>
      <c r="D5506" t="s">
        <v>13</v>
      </c>
      <c r="E5506" t="s">
        <v>36</v>
      </c>
      <c r="F5506" t="s">
        <v>53</v>
      </c>
      <c r="G5506">
        <v>2</v>
      </c>
      <c r="H5506">
        <v>13242.49</v>
      </c>
      <c r="I5506">
        <v>1987.74</v>
      </c>
      <c r="J5506" t="s">
        <v>47</v>
      </c>
      <c r="K5506" t="s">
        <v>17</v>
      </c>
      <c r="L5506">
        <f t="shared" si="255"/>
        <v>2023</v>
      </c>
      <c r="M5506" t="str">
        <f t="shared" si="256"/>
        <v>May</v>
      </c>
      <c r="N5506" s="2">
        <f t="shared" si="257"/>
        <v>0.15010319056310406</v>
      </c>
    </row>
    <row r="5507" spans="1:14" x14ac:dyDescent="0.45">
      <c r="A5507" t="s">
        <v>9697</v>
      </c>
      <c r="B5507" s="1">
        <v>45650</v>
      </c>
      <c r="C5507" t="s">
        <v>1660</v>
      </c>
      <c r="D5507" t="s">
        <v>26</v>
      </c>
      <c r="E5507" t="s">
        <v>36</v>
      </c>
      <c r="F5507" t="s">
        <v>46</v>
      </c>
      <c r="G5507">
        <v>4</v>
      </c>
      <c r="H5507">
        <v>10134.61</v>
      </c>
      <c r="I5507">
        <v>2231.1799999999998</v>
      </c>
      <c r="J5507" t="s">
        <v>16</v>
      </c>
      <c r="K5507" t="s">
        <v>23</v>
      </c>
      <c r="L5507">
        <f t="shared" ref="L5507:L5570" si="258">YEAR(B5507 )</f>
        <v>2024</v>
      </c>
      <c r="M5507" t="str">
        <f t="shared" ref="M5507:M5570" si="259">TEXT(B5507,"MMM")</f>
        <v>Dec</v>
      </c>
      <c r="N5507" s="2">
        <f t="shared" ref="N5507:N5570" si="260">I5507 / H5507</f>
        <v>0.22015450027184072</v>
      </c>
    </row>
    <row r="5508" spans="1:14" x14ac:dyDescent="0.45">
      <c r="A5508" t="s">
        <v>9698</v>
      </c>
      <c r="B5508" s="1">
        <v>45043</v>
      </c>
      <c r="C5508" t="s">
        <v>9699</v>
      </c>
      <c r="D5508" t="s">
        <v>26</v>
      </c>
      <c r="E5508" t="s">
        <v>20</v>
      </c>
      <c r="F5508" t="s">
        <v>43</v>
      </c>
      <c r="G5508">
        <v>5</v>
      </c>
      <c r="H5508">
        <v>29810.9</v>
      </c>
      <c r="I5508">
        <v>6273.97</v>
      </c>
      <c r="J5508" t="s">
        <v>28</v>
      </c>
      <c r="K5508" t="s">
        <v>33</v>
      </c>
      <c r="L5508">
        <f t="shared" si="258"/>
        <v>2023</v>
      </c>
      <c r="M5508" t="str">
        <f t="shared" si="259"/>
        <v>Apr</v>
      </c>
      <c r="N5508" s="2">
        <f t="shared" si="260"/>
        <v>0.21045892609750125</v>
      </c>
    </row>
    <row r="5509" spans="1:14" x14ac:dyDescent="0.45">
      <c r="A5509" t="s">
        <v>9700</v>
      </c>
      <c r="B5509" s="1">
        <v>45439</v>
      </c>
      <c r="C5509" t="s">
        <v>9701</v>
      </c>
      <c r="D5509" t="s">
        <v>13</v>
      </c>
      <c r="E5509" t="s">
        <v>14</v>
      </c>
      <c r="F5509" t="s">
        <v>57</v>
      </c>
      <c r="G5509">
        <v>3</v>
      </c>
      <c r="H5509">
        <v>3014.53</v>
      </c>
      <c r="I5509">
        <v>455.02</v>
      </c>
      <c r="J5509" t="s">
        <v>16</v>
      </c>
      <c r="K5509" t="s">
        <v>29</v>
      </c>
      <c r="L5509">
        <f t="shared" si="258"/>
        <v>2024</v>
      </c>
      <c r="M5509" t="str">
        <f t="shared" si="259"/>
        <v>May</v>
      </c>
      <c r="N5509" s="2">
        <f t="shared" si="260"/>
        <v>0.15094226960753415</v>
      </c>
    </row>
    <row r="5510" spans="1:14" x14ac:dyDescent="0.45">
      <c r="A5510" t="s">
        <v>9702</v>
      </c>
      <c r="B5510" s="1">
        <v>45354</v>
      </c>
      <c r="C5510" t="s">
        <v>9703</v>
      </c>
      <c r="D5510" t="s">
        <v>56</v>
      </c>
      <c r="E5510" t="s">
        <v>14</v>
      </c>
      <c r="F5510" t="s">
        <v>57</v>
      </c>
      <c r="G5510">
        <v>3</v>
      </c>
      <c r="H5510">
        <v>37224.39</v>
      </c>
      <c r="I5510">
        <v>4666.58</v>
      </c>
      <c r="J5510" t="s">
        <v>71</v>
      </c>
      <c r="K5510" t="s">
        <v>23</v>
      </c>
      <c r="L5510">
        <f t="shared" si="258"/>
        <v>2024</v>
      </c>
      <c r="M5510" t="str">
        <f t="shared" si="259"/>
        <v>Mar</v>
      </c>
      <c r="N5510" s="2">
        <f t="shared" si="260"/>
        <v>0.12536350494930878</v>
      </c>
    </row>
    <row r="5511" spans="1:14" x14ac:dyDescent="0.45">
      <c r="A5511" t="s">
        <v>9704</v>
      </c>
      <c r="B5511" s="1">
        <v>45355</v>
      </c>
      <c r="C5511" t="s">
        <v>9705</v>
      </c>
      <c r="D5511" t="s">
        <v>56</v>
      </c>
      <c r="E5511" t="s">
        <v>14</v>
      </c>
      <c r="F5511" t="s">
        <v>40</v>
      </c>
      <c r="G5511">
        <v>4</v>
      </c>
      <c r="H5511">
        <v>45873.41</v>
      </c>
      <c r="I5511">
        <v>5417.15</v>
      </c>
      <c r="J5511" t="s">
        <v>47</v>
      </c>
      <c r="K5511" t="s">
        <v>33</v>
      </c>
      <c r="L5511">
        <f t="shared" si="258"/>
        <v>2024</v>
      </c>
      <c r="M5511" t="str">
        <f t="shared" si="259"/>
        <v>Mar</v>
      </c>
      <c r="N5511" s="2">
        <f t="shared" si="260"/>
        <v>0.11808910652162112</v>
      </c>
    </row>
    <row r="5512" spans="1:14" x14ac:dyDescent="0.45">
      <c r="A5512" t="s">
        <v>9706</v>
      </c>
      <c r="B5512" s="1">
        <v>44855</v>
      </c>
      <c r="C5512" t="s">
        <v>9707</v>
      </c>
      <c r="D5512" t="s">
        <v>56</v>
      </c>
      <c r="E5512" t="s">
        <v>14</v>
      </c>
      <c r="F5512" t="s">
        <v>57</v>
      </c>
      <c r="G5512">
        <v>4</v>
      </c>
      <c r="H5512">
        <v>12287.17</v>
      </c>
      <c r="I5512">
        <v>1515.58</v>
      </c>
      <c r="J5512" t="s">
        <v>22</v>
      </c>
      <c r="K5512" t="s">
        <v>33</v>
      </c>
      <c r="L5512">
        <f t="shared" si="258"/>
        <v>2022</v>
      </c>
      <c r="M5512" t="str">
        <f t="shared" si="259"/>
        <v>Oct</v>
      </c>
      <c r="N5512" s="2">
        <f t="shared" si="260"/>
        <v>0.12334654765906225</v>
      </c>
    </row>
    <row r="5513" spans="1:14" x14ac:dyDescent="0.45">
      <c r="A5513" t="s">
        <v>9708</v>
      </c>
      <c r="B5513" s="1">
        <v>45581</v>
      </c>
      <c r="C5513" t="s">
        <v>9709</v>
      </c>
      <c r="D5513" t="s">
        <v>26</v>
      </c>
      <c r="E5513" t="s">
        <v>14</v>
      </c>
      <c r="F5513" t="s">
        <v>15</v>
      </c>
      <c r="G5513">
        <v>3</v>
      </c>
      <c r="H5513">
        <v>18644.29</v>
      </c>
      <c r="I5513">
        <v>2223.69</v>
      </c>
      <c r="J5513" t="s">
        <v>22</v>
      </c>
      <c r="K5513" t="s">
        <v>33</v>
      </c>
      <c r="L5513">
        <f t="shared" si="258"/>
        <v>2024</v>
      </c>
      <c r="M5513" t="str">
        <f t="shared" si="259"/>
        <v>Oct</v>
      </c>
      <c r="N5513" s="2">
        <f t="shared" si="260"/>
        <v>0.11926922398224872</v>
      </c>
    </row>
    <row r="5514" spans="1:14" x14ac:dyDescent="0.45">
      <c r="A5514" t="s">
        <v>9710</v>
      </c>
      <c r="B5514" s="1">
        <v>45482</v>
      </c>
      <c r="C5514" t="s">
        <v>9711</v>
      </c>
      <c r="D5514" t="s">
        <v>26</v>
      </c>
      <c r="E5514" t="s">
        <v>36</v>
      </c>
      <c r="F5514" t="s">
        <v>64</v>
      </c>
      <c r="G5514">
        <v>1</v>
      </c>
      <c r="H5514">
        <v>4235.7700000000004</v>
      </c>
      <c r="I5514">
        <v>614.14</v>
      </c>
      <c r="J5514" t="s">
        <v>28</v>
      </c>
      <c r="K5514" t="s">
        <v>17</v>
      </c>
      <c r="L5514">
        <f t="shared" si="258"/>
        <v>2024</v>
      </c>
      <c r="M5514" t="str">
        <f t="shared" si="259"/>
        <v>Jul</v>
      </c>
      <c r="N5514" s="2">
        <f t="shared" si="260"/>
        <v>0.14498898665413842</v>
      </c>
    </row>
    <row r="5515" spans="1:14" x14ac:dyDescent="0.45">
      <c r="A5515" t="s">
        <v>9712</v>
      </c>
      <c r="B5515" s="1">
        <v>44790</v>
      </c>
      <c r="C5515" t="s">
        <v>8657</v>
      </c>
      <c r="D5515" t="s">
        <v>13</v>
      </c>
      <c r="E5515" t="s">
        <v>20</v>
      </c>
      <c r="F5515" t="s">
        <v>27</v>
      </c>
      <c r="G5515">
        <v>3</v>
      </c>
      <c r="H5515">
        <v>30063.54</v>
      </c>
      <c r="I5515">
        <v>3382.15</v>
      </c>
      <c r="J5515" t="s">
        <v>47</v>
      </c>
      <c r="K5515" t="s">
        <v>23</v>
      </c>
      <c r="L5515">
        <f t="shared" si="258"/>
        <v>2022</v>
      </c>
      <c r="M5515" t="str">
        <f t="shared" si="259"/>
        <v>Aug</v>
      </c>
      <c r="N5515" s="2">
        <f t="shared" si="260"/>
        <v>0.11250005821004445</v>
      </c>
    </row>
    <row r="5516" spans="1:14" x14ac:dyDescent="0.45">
      <c r="A5516" t="s">
        <v>9713</v>
      </c>
      <c r="B5516" s="1">
        <v>45408</v>
      </c>
      <c r="C5516" t="s">
        <v>8525</v>
      </c>
      <c r="D5516" t="s">
        <v>13</v>
      </c>
      <c r="E5516" t="s">
        <v>14</v>
      </c>
      <c r="F5516" t="s">
        <v>32</v>
      </c>
      <c r="G5516">
        <v>3</v>
      </c>
      <c r="H5516">
        <v>31343.55</v>
      </c>
      <c r="I5516">
        <v>5003.5</v>
      </c>
      <c r="J5516" t="s">
        <v>71</v>
      </c>
      <c r="K5516" t="s">
        <v>29</v>
      </c>
      <c r="L5516">
        <f t="shared" si="258"/>
        <v>2024</v>
      </c>
      <c r="M5516" t="str">
        <f t="shared" si="259"/>
        <v>Apr</v>
      </c>
      <c r="N5516" s="2">
        <f t="shared" si="260"/>
        <v>0.15963411930046215</v>
      </c>
    </row>
    <row r="5517" spans="1:14" x14ac:dyDescent="0.45">
      <c r="A5517" t="s">
        <v>9714</v>
      </c>
      <c r="B5517" s="1">
        <v>44745</v>
      </c>
      <c r="C5517" t="s">
        <v>105</v>
      </c>
      <c r="D5517" t="s">
        <v>26</v>
      </c>
      <c r="E5517" t="s">
        <v>20</v>
      </c>
      <c r="F5517" t="s">
        <v>50</v>
      </c>
      <c r="G5517">
        <v>4</v>
      </c>
      <c r="H5517">
        <v>25333.24</v>
      </c>
      <c r="I5517">
        <v>6127.98</v>
      </c>
      <c r="J5517" t="s">
        <v>16</v>
      </c>
      <c r="K5517" t="s">
        <v>23</v>
      </c>
      <c r="L5517">
        <f t="shared" si="258"/>
        <v>2022</v>
      </c>
      <c r="M5517" t="str">
        <f t="shared" si="259"/>
        <v>Jul</v>
      </c>
      <c r="N5517" s="2">
        <f t="shared" si="260"/>
        <v>0.24189483855993149</v>
      </c>
    </row>
    <row r="5518" spans="1:14" x14ac:dyDescent="0.45">
      <c r="A5518" t="s">
        <v>9715</v>
      </c>
      <c r="B5518" s="1">
        <v>44870</v>
      </c>
      <c r="C5518" t="s">
        <v>746</v>
      </c>
      <c r="D5518" t="s">
        <v>13</v>
      </c>
      <c r="E5518" t="s">
        <v>14</v>
      </c>
      <c r="F5518" t="s">
        <v>15</v>
      </c>
      <c r="G5518">
        <v>3</v>
      </c>
      <c r="H5518">
        <v>31176.51</v>
      </c>
      <c r="I5518">
        <v>7577.72</v>
      </c>
      <c r="J5518" t="s">
        <v>16</v>
      </c>
      <c r="K5518" t="s">
        <v>29</v>
      </c>
      <c r="L5518">
        <f t="shared" si="258"/>
        <v>2022</v>
      </c>
      <c r="M5518" t="str">
        <f t="shared" si="259"/>
        <v>Nov</v>
      </c>
      <c r="N5518" s="2">
        <f t="shared" si="260"/>
        <v>0.24305863613342227</v>
      </c>
    </row>
    <row r="5519" spans="1:14" x14ac:dyDescent="0.45">
      <c r="A5519" t="s">
        <v>9716</v>
      </c>
      <c r="B5519" s="1">
        <v>44808</v>
      </c>
      <c r="C5519" t="s">
        <v>6147</v>
      </c>
      <c r="D5519" t="s">
        <v>26</v>
      </c>
      <c r="E5519" t="s">
        <v>36</v>
      </c>
      <c r="F5519" t="s">
        <v>53</v>
      </c>
      <c r="G5519">
        <v>3</v>
      </c>
      <c r="H5519">
        <v>12797.41</v>
      </c>
      <c r="I5519">
        <v>1459.59</v>
      </c>
      <c r="J5519" t="s">
        <v>28</v>
      </c>
      <c r="K5519" t="s">
        <v>29</v>
      </c>
      <c r="L5519">
        <f t="shared" si="258"/>
        <v>2022</v>
      </c>
      <c r="M5519" t="str">
        <f t="shared" si="259"/>
        <v>Sep</v>
      </c>
      <c r="N5519" s="2">
        <f t="shared" si="260"/>
        <v>0.11405354677235471</v>
      </c>
    </row>
    <row r="5520" spans="1:14" x14ac:dyDescent="0.45">
      <c r="A5520" t="s">
        <v>9717</v>
      </c>
      <c r="B5520" s="1">
        <v>45114</v>
      </c>
      <c r="C5520" t="s">
        <v>9718</v>
      </c>
      <c r="D5520" t="s">
        <v>56</v>
      </c>
      <c r="E5520" t="s">
        <v>14</v>
      </c>
      <c r="F5520" t="s">
        <v>15</v>
      </c>
      <c r="G5520">
        <v>5</v>
      </c>
      <c r="H5520">
        <v>42718.89</v>
      </c>
      <c r="I5520">
        <v>6598.43</v>
      </c>
      <c r="J5520" t="s">
        <v>28</v>
      </c>
      <c r="K5520" t="s">
        <v>23</v>
      </c>
      <c r="L5520">
        <f t="shared" si="258"/>
        <v>2023</v>
      </c>
      <c r="M5520" t="str">
        <f t="shared" si="259"/>
        <v>Jul</v>
      </c>
      <c r="N5520" s="2">
        <f t="shared" si="260"/>
        <v>0.15446164448561281</v>
      </c>
    </row>
    <row r="5521" spans="1:14" x14ac:dyDescent="0.45">
      <c r="A5521" t="s">
        <v>9719</v>
      </c>
      <c r="B5521" s="1">
        <v>45356</v>
      </c>
      <c r="C5521" t="s">
        <v>2107</v>
      </c>
      <c r="D5521" t="s">
        <v>13</v>
      </c>
      <c r="E5521" t="s">
        <v>20</v>
      </c>
      <c r="F5521" t="s">
        <v>21</v>
      </c>
      <c r="G5521">
        <v>2</v>
      </c>
      <c r="H5521">
        <v>28329.3</v>
      </c>
      <c r="I5521">
        <v>2460.88</v>
      </c>
      <c r="J5521" t="s">
        <v>22</v>
      </c>
      <c r="K5521" t="s">
        <v>17</v>
      </c>
      <c r="L5521">
        <f t="shared" si="258"/>
        <v>2024</v>
      </c>
      <c r="M5521" t="str">
        <f t="shared" si="259"/>
        <v>Mar</v>
      </c>
      <c r="N5521" s="2">
        <f t="shared" si="260"/>
        <v>8.6866954001687299E-2</v>
      </c>
    </row>
    <row r="5522" spans="1:14" x14ac:dyDescent="0.45">
      <c r="A5522" t="s">
        <v>9720</v>
      </c>
      <c r="B5522" s="1">
        <v>44879</v>
      </c>
      <c r="C5522" t="s">
        <v>7717</v>
      </c>
      <c r="D5522" t="s">
        <v>26</v>
      </c>
      <c r="E5522" t="s">
        <v>14</v>
      </c>
      <c r="F5522" t="s">
        <v>15</v>
      </c>
      <c r="G5522">
        <v>5</v>
      </c>
      <c r="H5522">
        <v>4143.3599999999997</v>
      </c>
      <c r="I5522">
        <v>320.02999999999997</v>
      </c>
      <c r="J5522" t="s">
        <v>47</v>
      </c>
      <c r="K5522" t="s">
        <v>17</v>
      </c>
      <c r="L5522">
        <f t="shared" si="258"/>
        <v>2022</v>
      </c>
      <c r="M5522" t="str">
        <f t="shared" si="259"/>
        <v>Nov</v>
      </c>
      <c r="N5522" s="2">
        <f t="shared" si="260"/>
        <v>7.7239245443311705E-2</v>
      </c>
    </row>
    <row r="5523" spans="1:14" x14ac:dyDescent="0.45">
      <c r="A5523" t="s">
        <v>9721</v>
      </c>
      <c r="B5523" s="1">
        <v>45079</v>
      </c>
      <c r="C5523" t="s">
        <v>988</v>
      </c>
      <c r="D5523" t="s">
        <v>26</v>
      </c>
      <c r="E5523" t="s">
        <v>36</v>
      </c>
      <c r="F5523" t="s">
        <v>37</v>
      </c>
      <c r="G5523">
        <v>4</v>
      </c>
      <c r="H5523">
        <v>41875.839999999997</v>
      </c>
      <c r="I5523">
        <v>9825.16</v>
      </c>
      <c r="J5523" t="s">
        <v>47</v>
      </c>
      <c r="K5523" t="s">
        <v>17</v>
      </c>
      <c r="L5523">
        <f t="shared" si="258"/>
        <v>2023</v>
      </c>
      <c r="M5523" t="str">
        <f t="shared" si="259"/>
        <v>Jun</v>
      </c>
      <c r="N5523" s="2">
        <f t="shared" si="260"/>
        <v>0.2346259800400422</v>
      </c>
    </row>
    <row r="5524" spans="1:14" x14ac:dyDescent="0.45">
      <c r="A5524" t="s">
        <v>9722</v>
      </c>
      <c r="B5524" s="1">
        <v>44695</v>
      </c>
      <c r="C5524" t="s">
        <v>5784</v>
      </c>
      <c r="D5524" t="s">
        <v>26</v>
      </c>
      <c r="E5524" t="s">
        <v>36</v>
      </c>
      <c r="F5524" t="s">
        <v>64</v>
      </c>
      <c r="G5524">
        <v>1</v>
      </c>
      <c r="H5524">
        <v>26692.5</v>
      </c>
      <c r="I5524">
        <v>5638.69</v>
      </c>
      <c r="J5524" t="s">
        <v>22</v>
      </c>
      <c r="K5524" t="s">
        <v>33</v>
      </c>
      <c r="L5524">
        <f t="shared" si="258"/>
        <v>2022</v>
      </c>
      <c r="M5524" t="str">
        <f t="shared" si="259"/>
        <v>May</v>
      </c>
      <c r="N5524" s="2">
        <f t="shared" si="260"/>
        <v>0.21124623021447972</v>
      </c>
    </row>
    <row r="5525" spans="1:14" x14ac:dyDescent="0.45">
      <c r="A5525" t="s">
        <v>9723</v>
      </c>
      <c r="B5525" s="1">
        <v>45648</v>
      </c>
      <c r="C5525" t="s">
        <v>5518</v>
      </c>
      <c r="D5525" t="s">
        <v>56</v>
      </c>
      <c r="E5525" t="s">
        <v>20</v>
      </c>
      <c r="F5525" t="s">
        <v>50</v>
      </c>
      <c r="G5525">
        <v>4</v>
      </c>
      <c r="H5525">
        <v>4376.51</v>
      </c>
      <c r="I5525">
        <v>360.32</v>
      </c>
      <c r="J5525" t="s">
        <v>71</v>
      </c>
      <c r="K5525" t="s">
        <v>33</v>
      </c>
      <c r="L5525">
        <f t="shared" si="258"/>
        <v>2024</v>
      </c>
      <c r="M5525" t="str">
        <f t="shared" si="259"/>
        <v>Dec</v>
      </c>
      <c r="N5525" s="2">
        <f t="shared" si="260"/>
        <v>8.2330441379089722E-2</v>
      </c>
    </row>
    <row r="5526" spans="1:14" x14ac:dyDescent="0.45">
      <c r="A5526" t="s">
        <v>9724</v>
      </c>
      <c r="B5526" s="1">
        <v>44846</v>
      </c>
      <c r="C5526" t="s">
        <v>8357</v>
      </c>
      <c r="D5526" t="s">
        <v>56</v>
      </c>
      <c r="E5526" t="s">
        <v>14</v>
      </c>
      <c r="F5526" t="s">
        <v>40</v>
      </c>
      <c r="G5526">
        <v>2</v>
      </c>
      <c r="H5526">
        <v>19880.939999999999</v>
      </c>
      <c r="I5526">
        <v>4427.79</v>
      </c>
      <c r="J5526" t="s">
        <v>47</v>
      </c>
      <c r="K5526" t="s">
        <v>33</v>
      </c>
      <c r="L5526">
        <f t="shared" si="258"/>
        <v>2022</v>
      </c>
      <c r="M5526" t="str">
        <f t="shared" si="259"/>
        <v>Oct</v>
      </c>
      <c r="N5526" s="2">
        <f t="shared" si="260"/>
        <v>0.22271532432571098</v>
      </c>
    </row>
    <row r="5527" spans="1:14" x14ac:dyDescent="0.45">
      <c r="A5527" t="s">
        <v>9725</v>
      </c>
      <c r="B5527" s="1">
        <v>44585</v>
      </c>
      <c r="C5527" t="s">
        <v>9726</v>
      </c>
      <c r="D5527" t="s">
        <v>26</v>
      </c>
      <c r="E5527" t="s">
        <v>36</v>
      </c>
      <c r="F5527" t="s">
        <v>53</v>
      </c>
      <c r="G5527">
        <v>3</v>
      </c>
      <c r="H5527">
        <v>3601.31</v>
      </c>
      <c r="I5527">
        <v>432.62</v>
      </c>
      <c r="J5527" t="s">
        <v>16</v>
      </c>
      <c r="K5527" t="s">
        <v>17</v>
      </c>
      <c r="L5527">
        <f t="shared" si="258"/>
        <v>2022</v>
      </c>
      <c r="M5527" t="str">
        <f t="shared" si="259"/>
        <v>Jan</v>
      </c>
      <c r="N5527" s="2">
        <f t="shared" si="260"/>
        <v>0.1201285087926338</v>
      </c>
    </row>
    <row r="5528" spans="1:14" x14ac:dyDescent="0.45">
      <c r="A5528" t="s">
        <v>9727</v>
      </c>
      <c r="B5528" s="1">
        <v>45496</v>
      </c>
      <c r="C5528" t="s">
        <v>6406</v>
      </c>
      <c r="D5528" t="s">
        <v>26</v>
      </c>
      <c r="E5528" t="s">
        <v>20</v>
      </c>
      <c r="F5528" t="s">
        <v>43</v>
      </c>
      <c r="G5528">
        <v>2</v>
      </c>
      <c r="H5528">
        <v>24855.97</v>
      </c>
      <c r="I5528">
        <v>5164.6400000000003</v>
      </c>
      <c r="J5528" t="s">
        <v>22</v>
      </c>
      <c r="K5528" t="s">
        <v>29</v>
      </c>
      <c r="L5528">
        <f t="shared" si="258"/>
        <v>2024</v>
      </c>
      <c r="M5528" t="str">
        <f t="shared" si="259"/>
        <v>Jul</v>
      </c>
      <c r="N5528" s="2">
        <f t="shared" si="260"/>
        <v>0.20778267756197003</v>
      </c>
    </row>
    <row r="5529" spans="1:14" x14ac:dyDescent="0.45">
      <c r="A5529" t="s">
        <v>9728</v>
      </c>
      <c r="B5529" s="1">
        <v>44811</v>
      </c>
      <c r="C5529" t="s">
        <v>9729</v>
      </c>
      <c r="D5529" t="s">
        <v>56</v>
      </c>
      <c r="E5529" t="s">
        <v>14</v>
      </c>
      <c r="F5529" t="s">
        <v>57</v>
      </c>
      <c r="G5529">
        <v>4</v>
      </c>
      <c r="H5529">
        <v>40267.050000000003</v>
      </c>
      <c r="I5529">
        <v>7976.03</v>
      </c>
      <c r="J5529" t="s">
        <v>28</v>
      </c>
      <c r="K5529" t="s">
        <v>23</v>
      </c>
      <c r="L5529">
        <f t="shared" si="258"/>
        <v>2022</v>
      </c>
      <c r="M5529" t="str">
        <f t="shared" si="259"/>
        <v>Sep</v>
      </c>
      <c r="N5529" s="2">
        <f t="shared" si="260"/>
        <v>0.19807832955232627</v>
      </c>
    </row>
    <row r="5530" spans="1:14" x14ac:dyDescent="0.45">
      <c r="A5530" t="s">
        <v>9730</v>
      </c>
      <c r="B5530" s="1">
        <v>44670</v>
      </c>
      <c r="C5530" t="s">
        <v>4712</v>
      </c>
      <c r="D5530" t="s">
        <v>13</v>
      </c>
      <c r="E5530" t="s">
        <v>14</v>
      </c>
      <c r="F5530" t="s">
        <v>40</v>
      </c>
      <c r="G5530">
        <v>1</v>
      </c>
      <c r="H5530">
        <v>38619.83</v>
      </c>
      <c r="I5530">
        <v>6959.01</v>
      </c>
      <c r="J5530" t="s">
        <v>28</v>
      </c>
      <c r="K5530" t="s">
        <v>33</v>
      </c>
      <c r="L5530">
        <f t="shared" si="258"/>
        <v>2022</v>
      </c>
      <c r="M5530" t="str">
        <f t="shared" si="259"/>
        <v>Apr</v>
      </c>
      <c r="N5530" s="2">
        <f t="shared" si="260"/>
        <v>0.180192662681322</v>
      </c>
    </row>
    <row r="5531" spans="1:14" x14ac:dyDescent="0.45">
      <c r="A5531" t="s">
        <v>9731</v>
      </c>
      <c r="B5531" s="1">
        <v>44908</v>
      </c>
      <c r="C5531" t="s">
        <v>5220</v>
      </c>
      <c r="D5531" t="s">
        <v>13</v>
      </c>
      <c r="E5531" t="s">
        <v>14</v>
      </c>
      <c r="F5531" t="s">
        <v>40</v>
      </c>
      <c r="G5531">
        <v>4</v>
      </c>
      <c r="H5531">
        <v>9687.94</v>
      </c>
      <c r="I5531">
        <v>1572.25</v>
      </c>
      <c r="J5531" t="s">
        <v>47</v>
      </c>
      <c r="K5531" t="s">
        <v>23</v>
      </c>
      <c r="L5531">
        <f t="shared" si="258"/>
        <v>2022</v>
      </c>
      <c r="M5531" t="str">
        <f t="shared" si="259"/>
        <v>Dec</v>
      </c>
      <c r="N5531" s="2">
        <f t="shared" si="260"/>
        <v>0.1622894031135618</v>
      </c>
    </row>
    <row r="5532" spans="1:14" x14ac:dyDescent="0.45">
      <c r="A5532" t="s">
        <v>9732</v>
      </c>
      <c r="B5532" s="1">
        <v>45122</v>
      </c>
      <c r="C5532" t="s">
        <v>9733</v>
      </c>
      <c r="D5532" t="s">
        <v>26</v>
      </c>
      <c r="E5532" t="s">
        <v>14</v>
      </c>
      <c r="F5532" t="s">
        <v>32</v>
      </c>
      <c r="G5532">
        <v>3</v>
      </c>
      <c r="H5532">
        <v>11839.35</v>
      </c>
      <c r="I5532">
        <v>1614.24</v>
      </c>
      <c r="J5532" t="s">
        <v>16</v>
      </c>
      <c r="K5532" t="s">
        <v>33</v>
      </c>
      <c r="L5532">
        <f t="shared" si="258"/>
        <v>2023</v>
      </c>
      <c r="M5532" t="str">
        <f t="shared" si="259"/>
        <v>Jul</v>
      </c>
      <c r="N5532" s="2">
        <f t="shared" si="260"/>
        <v>0.13634532301182076</v>
      </c>
    </row>
    <row r="5533" spans="1:14" x14ac:dyDescent="0.45">
      <c r="A5533" t="s">
        <v>9734</v>
      </c>
      <c r="B5533" s="1">
        <v>45324</v>
      </c>
      <c r="C5533" t="s">
        <v>9735</v>
      </c>
      <c r="D5533" t="s">
        <v>13</v>
      </c>
      <c r="E5533" t="s">
        <v>14</v>
      </c>
      <c r="F5533" t="s">
        <v>32</v>
      </c>
      <c r="G5533">
        <v>3</v>
      </c>
      <c r="H5533">
        <v>39373.800000000003</v>
      </c>
      <c r="I5533">
        <v>8151.72</v>
      </c>
      <c r="J5533" t="s">
        <v>22</v>
      </c>
      <c r="K5533" t="s">
        <v>29</v>
      </c>
      <c r="L5533">
        <f t="shared" si="258"/>
        <v>2024</v>
      </c>
      <c r="M5533" t="str">
        <f t="shared" si="259"/>
        <v>Feb</v>
      </c>
      <c r="N5533" s="2">
        <f t="shared" si="260"/>
        <v>0.20703411913505934</v>
      </c>
    </row>
    <row r="5534" spans="1:14" x14ac:dyDescent="0.45">
      <c r="A5534" t="s">
        <v>9736</v>
      </c>
      <c r="B5534" s="1">
        <v>45580</v>
      </c>
      <c r="C5534" t="s">
        <v>9737</v>
      </c>
      <c r="D5534" t="s">
        <v>26</v>
      </c>
      <c r="E5534" t="s">
        <v>36</v>
      </c>
      <c r="F5534" t="s">
        <v>53</v>
      </c>
      <c r="G5534">
        <v>4</v>
      </c>
      <c r="H5534">
        <v>41425.25</v>
      </c>
      <c r="I5534">
        <v>8897.39</v>
      </c>
      <c r="J5534" t="s">
        <v>16</v>
      </c>
      <c r="K5534" t="s">
        <v>33</v>
      </c>
      <c r="L5534">
        <f t="shared" si="258"/>
        <v>2024</v>
      </c>
      <c r="M5534" t="str">
        <f t="shared" si="259"/>
        <v>Oct</v>
      </c>
      <c r="N5534" s="2">
        <f t="shared" si="260"/>
        <v>0.21478180578270498</v>
      </c>
    </row>
    <row r="5535" spans="1:14" x14ac:dyDescent="0.45">
      <c r="A5535" t="s">
        <v>9738</v>
      </c>
      <c r="B5535" s="1">
        <v>45521</v>
      </c>
      <c r="C5535" t="s">
        <v>684</v>
      </c>
      <c r="D5535" t="s">
        <v>13</v>
      </c>
      <c r="E5535" t="s">
        <v>14</v>
      </c>
      <c r="F5535" t="s">
        <v>15</v>
      </c>
      <c r="G5535">
        <v>4</v>
      </c>
      <c r="H5535">
        <v>14644.89</v>
      </c>
      <c r="I5535">
        <v>1482.51</v>
      </c>
      <c r="J5535" t="s">
        <v>47</v>
      </c>
      <c r="K5535" t="s">
        <v>33</v>
      </c>
      <c r="L5535">
        <f t="shared" si="258"/>
        <v>2024</v>
      </c>
      <c r="M5535" t="str">
        <f t="shared" si="259"/>
        <v>Aug</v>
      </c>
      <c r="N5535" s="2">
        <f t="shared" si="260"/>
        <v>0.10123053160522202</v>
      </c>
    </row>
    <row r="5536" spans="1:14" x14ac:dyDescent="0.45">
      <c r="A5536" t="s">
        <v>9739</v>
      </c>
      <c r="B5536" s="1">
        <v>45444</v>
      </c>
      <c r="C5536" t="s">
        <v>7900</v>
      </c>
      <c r="D5536" t="s">
        <v>56</v>
      </c>
      <c r="E5536" t="s">
        <v>14</v>
      </c>
      <c r="F5536" t="s">
        <v>40</v>
      </c>
      <c r="G5536">
        <v>2</v>
      </c>
      <c r="H5536">
        <v>48927.51</v>
      </c>
      <c r="I5536">
        <v>4223.8999999999996</v>
      </c>
      <c r="J5536" t="s">
        <v>22</v>
      </c>
      <c r="K5536" t="s">
        <v>29</v>
      </c>
      <c r="L5536">
        <f t="shared" si="258"/>
        <v>2024</v>
      </c>
      <c r="M5536" t="str">
        <f t="shared" si="259"/>
        <v>Jun</v>
      </c>
      <c r="N5536" s="2">
        <f t="shared" si="260"/>
        <v>8.6329756000254249E-2</v>
      </c>
    </row>
    <row r="5537" spans="1:14" x14ac:dyDescent="0.45">
      <c r="A5537" t="s">
        <v>9740</v>
      </c>
      <c r="B5537" s="1">
        <v>45308</v>
      </c>
      <c r="C5537" t="s">
        <v>9741</v>
      </c>
      <c r="D5537" t="s">
        <v>56</v>
      </c>
      <c r="E5537" t="s">
        <v>14</v>
      </c>
      <c r="F5537" t="s">
        <v>32</v>
      </c>
      <c r="G5537">
        <v>5</v>
      </c>
      <c r="H5537">
        <v>43839.44</v>
      </c>
      <c r="I5537">
        <v>4736.7700000000004</v>
      </c>
      <c r="J5537" t="s">
        <v>28</v>
      </c>
      <c r="K5537" t="s">
        <v>33</v>
      </c>
      <c r="L5537">
        <f t="shared" si="258"/>
        <v>2024</v>
      </c>
      <c r="M5537" t="str">
        <f t="shared" si="259"/>
        <v>Jan</v>
      </c>
      <c r="N5537" s="2">
        <f t="shared" si="260"/>
        <v>0.1080481411258903</v>
      </c>
    </row>
    <row r="5538" spans="1:14" x14ac:dyDescent="0.45">
      <c r="A5538" t="s">
        <v>9742</v>
      </c>
      <c r="B5538" s="1">
        <v>45637</v>
      </c>
      <c r="C5538" t="s">
        <v>9743</v>
      </c>
      <c r="D5538" t="s">
        <v>13</v>
      </c>
      <c r="E5538" t="s">
        <v>36</v>
      </c>
      <c r="F5538" t="s">
        <v>53</v>
      </c>
      <c r="G5538">
        <v>3</v>
      </c>
      <c r="H5538">
        <v>1682.5</v>
      </c>
      <c r="I5538">
        <v>223.85</v>
      </c>
      <c r="J5538" t="s">
        <v>22</v>
      </c>
      <c r="K5538" t="s">
        <v>17</v>
      </c>
      <c r="L5538">
        <f t="shared" si="258"/>
        <v>2024</v>
      </c>
      <c r="M5538" t="str">
        <f t="shared" si="259"/>
        <v>Dec</v>
      </c>
      <c r="N5538" s="2">
        <f t="shared" si="260"/>
        <v>0.13304606240713224</v>
      </c>
    </row>
    <row r="5539" spans="1:14" x14ac:dyDescent="0.45">
      <c r="A5539" t="s">
        <v>9744</v>
      </c>
      <c r="B5539" s="1">
        <v>45577</v>
      </c>
      <c r="C5539" t="s">
        <v>3907</v>
      </c>
      <c r="D5539" t="s">
        <v>26</v>
      </c>
      <c r="E5539" t="s">
        <v>20</v>
      </c>
      <c r="F5539" t="s">
        <v>21</v>
      </c>
      <c r="G5539">
        <v>2</v>
      </c>
      <c r="H5539">
        <v>25186.13</v>
      </c>
      <c r="I5539">
        <v>3137.73</v>
      </c>
      <c r="J5539" t="s">
        <v>28</v>
      </c>
      <c r="K5539" t="s">
        <v>17</v>
      </c>
      <c r="L5539">
        <f t="shared" si="258"/>
        <v>2024</v>
      </c>
      <c r="M5539" t="str">
        <f t="shared" si="259"/>
        <v>Oct</v>
      </c>
      <c r="N5539" s="2">
        <f t="shared" si="260"/>
        <v>0.12458166459078866</v>
      </c>
    </row>
    <row r="5540" spans="1:14" x14ac:dyDescent="0.45">
      <c r="A5540" t="s">
        <v>9745</v>
      </c>
      <c r="B5540" s="1">
        <v>45089</v>
      </c>
      <c r="C5540" t="s">
        <v>9471</v>
      </c>
      <c r="D5540" t="s">
        <v>13</v>
      </c>
      <c r="E5540" t="s">
        <v>14</v>
      </c>
      <c r="F5540" t="s">
        <v>15</v>
      </c>
      <c r="G5540">
        <v>1</v>
      </c>
      <c r="H5540">
        <v>16272.78</v>
      </c>
      <c r="I5540">
        <v>1829.49</v>
      </c>
      <c r="J5540" t="s">
        <v>47</v>
      </c>
      <c r="K5540" t="s">
        <v>17</v>
      </c>
      <c r="L5540">
        <f t="shared" si="258"/>
        <v>2023</v>
      </c>
      <c r="M5540" t="str">
        <f t="shared" si="259"/>
        <v>Jun</v>
      </c>
      <c r="N5540" s="2">
        <f t="shared" si="260"/>
        <v>0.11242639548989171</v>
      </c>
    </row>
    <row r="5541" spans="1:14" x14ac:dyDescent="0.45">
      <c r="A5541" t="s">
        <v>9746</v>
      </c>
      <c r="B5541" s="1">
        <v>44706</v>
      </c>
      <c r="C5541" t="s">
        <v>964</v>
      </c>
      <c r="D5541" t="s">
        <v>13</v>
      </c>
      <c r="E5541" t="s">
        <v>36</v>
      </c>
      <c r="F5541" t="s">
        <v>46</v>
      </c>
      <c r="G5541">
        <v>4</v>
      </c>
      <c r="H5541">
        <v>1208.54</v>
      </c>
      <c r="I5541">
        <v>162.86000000000001</v>
      </c>
      <c r="J5541" t="s">
        <v>47</v>
      </c>
      <c r="K5541" t="s">
        <v>29</v>
      </c>
      <c r="L5541">
        <f t="shared" si="258"/>
        <v>2022</v>
      </c>
      <c r="M5541" t="str">
        <f t="shared" si="259"/>
        <v>May</v>
      </c>
      <c r="N5541" s="2">
        <f t="shared" si="260"/>
        <v>0.13475764145166896</v>
      </c>
    </row>
    <row r="5542" spans="1:14" x14ac:dyDescent="0.45">
      <c r="A5542" t="s">
        <v>9747</v>
      </c>
      <c r="B5542" s="1">
        <v>45419</v>
      </c>
      <c r="C5542" t="s">
        <v>1192</v>
      </c>
      <c r="D5542" t="s">
        <v>26</v>
      </c>
      <c r="E5542" t="s">
        <v>36</v>
      </c>
      <c r="F5542" t="s">
        <v>37</v>
      </c>
      <c r="G5542">
        <v>4</v>
      </c>
      <c r="H5542">
        <v>31260.45</v>
      </c>
      <c r="I5542">
        <v>2591.7399999999998</v>
      </c>
      <c r="J5542" t="s">
        <v>22</v>
      </c>
      <c r="K5542" t="s">
        <v>17</v>
      </c>
      <c r="L5542">
        <f t="shared" si="258"/>
        <v>2024</v>
      </c>
      <c r="M5542" t="str">
        <f t="shared" si="259"/>
        <v>May</v>
      </c>
      <c r="N5542" s="2">
        <f t="shared" si="260"/>
        <v>8.290795557965415E-2</v>
      </c>
    </row>
    <row r="5543" spans="1:14" x14ac:dyDescent="0.45">
      <c r="A5543" t="s">
        <v>9748</v>
      </c>
      <c r="B5543" s="1">
        <v>44799</v>
      </c>
      <c r="C5543" t="s">
        <v>9749</v>
      </c>
      <c r="D5543" t="s">
        <v>26</v>
      </c>
      <c r="E5543" t="s">
        <v>20</v>
      </c>
      <c r="F5543" t="s">
        <v>50</v>
      </c>
      <c r="G5543">
        <v>3</v>
      </c>
      <c r="H5543">
        <v>13951.15</v>
      </c>
      <c r="I5543">
        <v>1628.76</v>
      </c>
      <c r="J5543" t="s">
        <v>28</v>
      </c>
      <c r="K5543" t="s">
        <v>23</v>
      </c>
      <c r="L5543">
        <f t="shared" si="258"/>
        <v>2022</v>
      </c>
      <c r="M5543" t="str">
        <f t="shared" si="259"/>
        <v>Aug</v>
      </c>
      <c r="N5543" s="2">
        <f t="shared" si="260"/>
        <v>0.11674736491256993</v>
      </c>
    </row>
    <row r="5544" spans="1:14" x14ac:dyDescent="0.45">
      <c r="A5544" t="s">
        <v>9750</v>
      </c>
      <c r="B5544" s="1">
        <v>45332</v>
      </c>
      <c r="C5544" t="s">
        <v>9751</v>
      </c>
      <c r="D5544" t="s">
        <v>13</v>
      </c>
      <c r="E5544" t="s">
        <v>20</v>
      </c>
      <c r="F5544" t="s">
        <v>27</v>
      </c>
      <c r="G5544">
        <v>2</v>
      </c>
      <c r="H5544">
        <v>29139.919999999998</v>
      </c>
      <c r="I5544">
        <v>5537.05</v>
      </c>
      <c r="J5544" t="s">
        <v>28</v>
      </c>
      <c r="K5544" t="s">
        <v>33</v>
      </c>
      <c r="L5544">
        <f t="shared" si="258"/>
        <v>2024</v>
      </c>
      <c r="M5544" t="str">
        <f t="shared" si="259"/>
        <v>Feb</v>
      </c>
      <c r="N5544" s="2">
        <f t="shared" si="260"/>
        <v>0.19001596435405452</v>
      </c>
    </row>
    <row r="5545" spans="1:14" x14ac:dyDescent="0.45">
      <c r="A5545" t="s">
        <v>9752</v>
      </c>
      <c r="B5545" s="1">
        <v>45634</v>
      </c>
      <c r="C5545" t="s">
        <v>5899</v>
      </c>
      <c r="D5545" t="s">
        <v>13</v>
      </c>
      <c r="E5545" t="s">
        <v>14</v>
      </c>
      <c r="F5545" t="s">
        <v>57</v>
      </c>
      <c r="G5545">
        <v>2</v>
      </c>
      <c r="H5545">
        <v>11544.91</v>
      </c>
      <c r="I5545">
        <v>1443.37</v>
      </c>
      <c r="J5545" t="s">
        <v>71</v>
      </c>
      <c r="K5545" t="s">
        <v>29</v>
      </c>
      <c r="L5545">
        <f t="shared" si="258"/>
        <v>2024</v>
      </c>
      <c r="M5545" t="str">
        <f t="shared" si="259"/>
        <v>Dec</v>
      </c>
      <c r="N5545" s="2">
        <f t="shared" si="260"/>
        <v>0.12502219592876859</v>
      </c>
    </row>
    <row r="5546" spans="1:14" x14ac:dyDescent="0.45">
      <c r="A5546" t="s">
        <v>9753</v>
      </c>
      <c r="B5546" s="1">
        <v>45059</v>
      </c>
      <c r="C5546" t="s">
        <v>2868</v>
      </c>
      <c r="D5546" t="s">
        <v>26</v>
      </c>
      <c r="E5546" t="s">
        <v>14</v>
      </c>
      <c r="F5546" t="s">
        <v>15</v>
      </c>
      <c r="G5546">
        <v>1</v>
      </c>
      <c r="H5546">
        <v>30387.98</v>
      </c>
      <c r="I5546">
        <v>2629.68</v>
      </c>
      <c r="J5546" t="s">
        <v>47</v>
      </c>
      <c r="K5546" t="s">
        <v>17</v>
      </c>
      <c r="L5546">
        <f t="shared" si="258"/>
        <v>2023</v>
      </c>
      <c r="M5546" t="str">
        <f t="shared" si="259"/>
        <v>May</v>
      </c>
      <c r="N5546" s="2">
        <f t="shared" si="260"/>
        <v>8.6536847793107663E-2</v>
      </c>
    </row>
    <row r="5547" spans="1:14" x14ac:dyDescent="0.45">
      <c r="A5547" t="s">
        <v>9754</v>
      </c>
      <c r="B5547" s="1">
        <v>45033</v>
      </c>
      <c r="C5547" t="s">
        <v>9755</v>
      </c>
      <c r="D5547" t="s">
        <v>56</v>
      </c>
      <c r="E5547" t="s">
        <v>20</v>
      </c>
      <c r="F5547" t="s">
        <v>43</v>
      </c>
      <c r="G5547">
        <v>2</v>
      </c>
      <c r="H5547">
        <v>46753.82</v>
      </c>
      <c r="I5547">
        <v>7089.78</v>
      </c>
      <c r="J5547" t="s">
        <v>28</v>
      </c>
      <c r="K5547" t="s">
        <v>29</v>
      </c>
      <c r="L5547">
        <f t="shared" si="258"/>
        <v>2023</v>
      </c>
      <c r="M5547" t="str">
        <f t="shared" si="259"/>
        <v>Apr</v>
      </c>
      <c r="N5547" s="2">
        <f t="shared" si="260"/>
        <v>0.15164065738371751</v>
      </c>
    </row>
    <row r="5548" spans="1:14" x14ac:dyDescent="0.45">
      <c r="A5548" t="s">
        <v>9756</v>
      </c>
      <c r="B5548" s="1">
        <v>44775</v>
      </c>
      <c r="C5548" t="s">
        <v>7800</v>
      </c>
      <c r="D5548" t="s">
        <v>26</v>
      </c>
      <c r="E5548" t="s">
        <v>20</v>
      </c>
      <c r="F5548" t="s">
        <v>21</v>
      </c>
      <c r="G5548">
        <v>4</v>
      </c>
      <c r="H5548">
        <v>1378.72</v>
      </c>
      <c r="I5548">
        <v>203.24</v>
      </c>
      <c r="J5548" t="s">
        <v>71</v>
      </c>
      <c r="K5548" t="s">
        <v>17</v>
      </c>
      <c r="L5548">
        <f t="shared" si="258"/>
        <v>2022</v>
      </c>
      <c r="M5548" t="str">
        <f t="shared" si="259"/>
        <v>Aug</v>
      </c>
      <c r="N5548" s="2">
        <f t="shared" si="260"/>
        <v>0.14741209237553674</v>
      </c>
    </row>
    <row r="5549" spans="1:14" x14ac:dyDescent="0.45">
      <c r="A5549" t="s">
        <v>9757</v>
      </c>
      <c r="B5549" s="1">
        <v>45102</v>
      </c>
      <c r="C5549" t="s">
        <v>9758</v>
      </c>
      <c r="D5549" t="s">
        <v>13</v>
      </c>
      <c r="E5549" t="s">
        <v>20</v>
      </c>
      <c r="F5549" t="s">
        <v>43</v>
      </c>
      <c r="G5549">
        <v>3</v>
      </c>
      <c r="H5549">
        <v>16714.84</v>
      </c>
      <c r="I5549">
        <v>1945.14</v>
      </c>
      <c r="J5549" t="s">
        <v>28</v>
      </c>
      <c r="K5549" t="s">
        <v>23</v>
      </c>
      <c r="L5549">
        <f t="shared" si="258"/>
        <v>2023</v>
      </c>
      <c r="M5549" t="str">
        <f t="shared" si="259"/>
        <v>Jun</v>
      </c>
      <c r="N5549" s="2">
        <f t="shared" si="260"/>
        <v>0.11637203826061153</v>
      </c>
    </row>
    <row r="5550" spans="1:14" x14ac:dyDescent="0.45">
      <c r="A5550" t="s">
        <v>9759</v>
      </c>
      <c r="B5550" s="1">
        <v>44857</v>
      </c>
      <c r="C5550" t="s">
        <v>9419</v>
      </c>
      <c r="D5550" t="s">
        <v>26</v>
      </c>
      <c r="E5550" t="s">
        <v>14</v>
      </c>
      <c r="F5550" t="s">
        <v>40</v>
      </c>
      <c r="G5550">
        <v>3</v>
      </c>
      <c r="H5550">
        <v>44012.14</v>
      </c>
      <c r="I5550">
        <v>2964.04</v>
      </c>
      <c r="J5550" t="s">
        <v>28</v>
      </c>
      <c r="K5550" t="s">
        <v>29</v>
      </c>
      <c r="L5550">
        <f t="shared" si="258"/>
        <v>2022</v>
      </c>
      <c r="M5550" t="str">
        <f t="shared" si="259"/>
        <v>Oct</v>
      </c>
      <c r="N5550" s="2">
        <f t="shared" si="260"/>
        <v>6.7345964090816765E-2</v>
      </c>
    </row>
    <row r="5551" spans="1:14" x14ac:dyDescent="0.45">
      <c r="A5551" t="s">
        <v>9760</v>
      </c>
      <c r="B5551" s="1">
        <v>45469</v>
      </c>
      <c r="C5551" t="s">
        <v>9761</v>
      </c>
      <c r="D5551" t="s">
        <v>56</v>
      </c>
      <c r="E5551" t="s">
        <v>36</v>
      </c>
      <c r="F5551" t="s">
        <v>46</v>
      </c>
      <c r="G5551">
        <v>2</v>
      </c>
      <c r="H5551">
        <v>23010.52</v>
      </c>
      <c r="I5551">
        <v>4235.7700000000004</v>
      </c>
      <c r="J5551" t="s">
        <v>71</v>
      </c>
      <c r="K5551" t="s">
        <v>33</v>
      </c>
      <c r="L5551">
        <f t="shared" si="258"/>
        <v>2024</v>
      </c>
      <c r="M5551" t="str">
        <f t="shared" si="259"/>
        <v>Jun</v>
      </c>
      <c r="N5551" s="2">
        <f t="shared" si="260"/>
        <v>0.18407971658180694</v>
      </c>
    </row>
    <row r="5552" spans="1:14" x14ac:dyDescent="0.45">
      <c r="A5552" t="s">
        <v>9762</v>
      </c>
      <c r="B5552" s="1">
        <v>44748</v>
      </c>
      <c r="C5552" t="s">
        <v>9763</v>
      </c>
      <c r="D5552" t="s">
        <v>26</v>
      </c>
      <c r="E5552" t="s">
        <v>36</v>
      </c>
      <c r="F5552" t="s">
        <v>53</v>
      </c>
      <c r="G5552">
        <v>4</v>
      </c>
      <c r="H5552">
        <v>23658.85</v>
      </c>
      <c r="I5552">
        <v>3260.71</v>
      </c>
      <c r="J5552" t="s">
        <v>28</v>
      </c>
      <c r="K5552" t="s">
        <v>29</v>
      </c>
      <c r="L5552">
        <f t="shared" si="258"/>
        <v>2022</v>
      </c>
      <c r="M5552" t="str">
        <f t="shared" si="259"/>
        <v>Jul</v>
      </c>
      <c r="N5552" s="2">
        <f t="shared" si="260"/>
        <v>0.13782199895599323</v>
      </c>
    </row>
    <row r="5553" spans="1:14" x14ac:dyDescent="0.45">
      <c r="A5553" t="s">
        <v>9764</v>
      </c>
      <c r="B5553" s="1">
        <v>45228</v>
      </c>
      <c r="C5553" t="s">
        <v>9765</v>
      </c>
      <c r="D5553" t="s">
        <v>26</v>
      </c>
      <c r="E5553" t="s">
        <v>14</v>
      </c>
      <c r="F5553" t="s">
        <v>15</v>
      </c>
      <c r="G5553">
        <v>5</v>
      </c>
      <c r="H5553">
        <v>34098.910000000003</v>
      </c>
      <c r="I5553">
        <v>5748.27</v>
      </c>
      <c r="J5553" t="s">
        <v>71</v>
      </c>
      <c r="K5553" t="s">
        <v>29</v>
      </c>
      <c r="L5553">
        <f t="shared" si="258"/>
        <v>2023</v>
      </c>
      <c r="M5553" t="str">
        <f t="shared" si="259"/>
        <v>Oct</v>
      </c>
      <c r="N5553" s="2">
        <f t="shared" si="260"/>
        <v>0.16857635625302977</v>
      </c>
    </row>
    <row r="5554" spans="1:14" x14ac:dyDescent="0.45">
      <c r="A5554" t="s">
        <v>9766</v>
      </c>
      <c r="B5554" s="1">
        <v>45536</v>
      </c>
      <c r="C5554" t="s">
        <v>7154</v>
      </c>
      <c r="D5554" t="s">
        <v>13</v>
      </c>
      <c r="E5554" t="s">
        <v>20</v>
      </c>
      <c r="F5554" t="s">
        <v>43</v>
      </c>
      <c r="G5554">
        <v>1</v>
      </c>
      <c r="H5554">
        <v>47456.03</v>
      </c>
      <c r="I5554">
        <v>2981.14</v>
      </c>
      <c r="J5554" t="s">
        <v>16</v>
      </c>
      <c r="K5554" t="s">
        <v>17</v>
      </c>
      <c r="L5554">
        <f t="shared" si="258"/>
        <v>2024</v>
      </c>
      <c r="M5554" t="str">
        <f t="shared" si="259"/>
        <v>Sep</v>
      </c>
      <c r="N5554" s="2">
        <f t="shared" si="260"/>
        <v>6.2818992654884956E-2</v>
      </c>
    </row>
    <row r="5555" spans="1:14" x14ac:dyDescent="0.45">
      <c r="A5555" t="s">
        <v>9767</v>
      </c>
      <c r="B5555" s="1">
        <v>45096</v>
      </c>
      <c r="C5555" t="s">
        <v>4779</v>
      </c>
      <c r="D5555" t="s">
        <v>56</v>
      </c>
      <c r="E5555" t="s">
        <v>20</v>
      </c>
      <c r="F5555" t="s">
        <v>43</v>
      </c>
      <c r="G5555">
        <v>5</v>
      </c>
      <c r="H5555">
        <v>1777.22</v>
      </c>
      <c r="I5555">
        <v>398.67</v>
      </c>
      <c r="J5555" t="s">
        <v>47</v>
      </c>
      <c r="K5555" t="s">
        <v>33</v>
      </c>
      <c r="L5555">
        <f t="shared" si="258"/>
        <v>2023</v>
      </c>
      <c r="M5555" t="str">
        <f t="shared" si="259"/>
        <v>Jun</v>
      </c>
      <c r="N5555" s="2">
        <f t="shared" si="260"/>
        <v>0.22432225610785383</v>
      </c>
    </row>
    <row r="5556" spans="1:14" x14ac:dyDescent="0.45">
      <c r="A5556" t="s">
        <v>9768</v>
      </c>
      <c r="B5556" s="1">
        <v>45422</v>
      </c>
      <c r="C5556" t="s">
        <v>9769</v>
      </c>
      <c r="D5556" t="s">
        <v>13</v>
      </c>
      <c r="E5556" t="s">
        <v>14</v>
      </c>
      <c r="F5556" t="s">
        <v>40</v>
      </c>
      <c r="G5556">
        <v>4</v>
      </c>
      <c r="H5556">
        <v>25296.66</v>
      </c>
      <c r="I5556">
        <v>6165.6</v>
      </c>
      <c r="J5556" t="s">
        <v>47</v>
      </c>
      <c r="K5556" t="s">
        <v>33</v>
      </c>
      <c r="L5556">
        <f t="shared" si="258"/>
        <v>2024</v>
      </c>
      <c r="M5556" t="str">
        <f t="shared" si="259"/>
        <v>May</v>
      </c>
      <c r="N5556" s="2">
        <f t="shared" si="260"/>
        <v>0.24373178119166722</v>
      </c>
    </row>
    <row r="5557" spans="1:14" x14ac:dyDescent="0.45">
      <c r="A5557" t="s">
        <v>9770</v>
      </c>
      <c r="B5557" s="1">
        <v>45067</v>
      </c>
      <c r="C5557" t="s">
        <v>9771</v>
      </c>
      <c r="D5557" t="s">
        <v>56</v>
      </c>
      <c r="E5557" t="s">
        <v>14</v>
      </c>
      <c r="F5557" t="s">
        <v>32</v>
      </c>
      <c r="G5557">
        <v>1</v>
      </c>
      <c r="H5557">
        <v>32744.34</v>
      </c>
      <c r="I5557">
        <v>6335.16</v>
      </c>
      <c r="J5557" t="s">
        <v>71</v>
      </c>
      <c r="K5557" t="s">
        <v>33</v>
      </c>
      <c r="L5557">
        <f t="shared" si="258"/>
        <v>2023</v>
      </c>
      <c r="M5557" t="str">
        <f t="shared" si="259"/>
        <v>May</v>
      </c>
      <c r="N5557" s="2">
        <f t="shared" si="260"/>
        <v>0.19347343693597122</v>
      </c>
    </row>
    <row r="5558" spans="1:14" x14ac:dyDescent="0.45">
      <c r="A5558" t="s">
        <v>9772</v>
      </c>
      <c r="B5558" s="1">
        <v>44717</v>
      </c>
      <c r="C5558" t="s">
        <v>9773</v>
      </c>
      <c r="D5558" t="s">
        <v>13</v>
      </c>
      <c r="E5558" t="s">
        <v>36</v>
      </c>
      <c r="F5558" t="s">
        <v>37</v>
      </c>
      <c r="G5558">
        <v>3</v>
      </c>
      <c r="H5558">
        <v>38184.92</v>
      </c>
      <c r="I5558">
        <v>5795.35</v>
      </c>
      <c r="J5558" t="s">
        <v>28</v>
      </c>
      <c r="K5558" t="s">
        <v>29</v>
      </c>
      <c r="L5558">
        <f t="shared" si="258"/>
        <v>2022</v>
      </c>
      <c r="M5558" t="str">
        <f t="shared" si="259"/>
        <v>Jun</v>
      </c>
      <c r="N5558" s="2">
        <f t="shared" si="260"/>
        <v>0.15177064663223075</v>
      </c>
    </row>
    <row r="5559" spans="1:14" x14ac:dyDescent="0.45">
      <c r="A5559" t="s">
        <v>9774</v>
      </c>
      <c r="B5559" s="1">
        <v>45412</v>
      </c>
      <c r="C5559" t="s">
        <v>9775</v>
      </c>
      <c r="D5559" t="s">
        <v>13</v>
      </c>
      <c r="E5559" t="s">
        <v>14</v>
      </c>
      <c r="F5559" t="s">
        <v>32</v>
      </c>
      <c r="G5559">
        <v>4</v>
      </c>
      <c r="H5559">
        <v>10643.38</v>
      </c>
      <c r="I5559">
        <v>677.63</v>
      </c>
      <c r="J5559" t="s">
        <v>47</v>
      </c>
      <c r="K5559" t="s">
        <v>33</v>
      </c>
      <c r="L5559">
        <f t="shared" si="258"/>
        <v>2024</v>
      </c>
      <c r="M5559" t="str">
        <f t="shared" si="259"/>
        <v>Apr</v>
      </c>
      <c r="N5559" s="2">
        <f t="shared" si="260"/>
        <v>6.3666805093870557E-2</v>
      </c>
    </row>
    <row r="5560" spans="1:14" x14ac:dyDescent="0.45">
      <c r="A5560" t="s">
        <v>9776</v>
      </c>
      <c r="B5560" s="1">
        <v>45267</v>
      </c>
      <c r="C5560" t="s">
        <v>5354</v>
      </c>
      <c r="D5560" t="s">
        <v>26</v>
      </c>
      <c r="E5560" t="s">
        <v>36</v>
      </c>
      <c r="F5560" t="s">
        <v>53</v>
      </c>
      <c r="G5560">
        <v>5</v>
      </c>
      <c r="H5560">
        <v>5577.75</v>
      </c>
      <c r="I5560">
        <v>875.76</v>
      </c>
      <c r="J5560" t="s">
        <v>28</v>
      </c>
      <c r="K5560" t="s">
        <v>17</v>
      </c>
      <c r="L5560">
        <f t="shared" si="258"/>
        <v>2023</v>
      </c>
      <c r="M5560" t="str">
        <f t="shared" si="259"/>
        <v>Dec</v>
      </c>
      <c r="N5560" s="2">
        <f t="shared" si="260"/>
        <v>0.15700954686029311</v>
      </c>
    </row>
    <row r="5561" spans="1:14" x14ac:dyDescent="0.45">
      <c r="A5561" t="s">
        <v>9777</v>
      </c>
      <c r="B5561" s="1">
        <v>45279</v>
      </c>
      <c r="C5561" t="s">
        <v>9778</v>
      </c>
      <c r="D5561" t="s">
        <v>13</v>
      </c>
      <c r="E5561" t="s">
        <v>20</v>
      </c>
      <c r="F5561" t="s">
        <v>27</v>
      </c>
      <c r="G5561">
        <v>4</v>
      </c>
      <c r="H5561">
        <v>7737.21</v>
      </c>
      <c r="I5561">
        <v>1359.97</v>
      </c>
      <c r="J5561" t="s">
        <v>16</v>
      </c>
      <c r="K5561" t="s">
        <v>33</v>
      </c>
      <c r="L5561">
        <f t="shared" si="258"/>
        <v>2023</v>
      </c>
      <c r="M5561" t="str">
        <f t="shared" si="259"/>
        <v>Dec</v>
      </c>
      <c r="N5561" s="2">
        <f t="shared" si="260"/>
        <v>0.17577007732761551</v>
      </c>
    </row>
    <row r="5562" spans="1:14" x14ac:dyDescent="0.45">
      <c r="A5562" t="s">
        <v>9779</v>
      </c>
      <c r="B5562" s="1">
        <v>45450</v>
      </c>
      <c r="C5562" t="s">
        <v>9780</v>
      </c>
      <c r="D5562" t="s">
        <v>13</v>
      </c>
      <c r="E5562" t="s">
        <v>14</v>
      </c>
      <c r="F5562" t="s">
        <v>15</v>
      </c>
      <c r="G5562">
        <v>4</v>
      </c>
      <c r="H5562">
        <v>16888.05</v>
      </c>
      <c r="I5562">
        <v>2975.27</v>
      </c>
      <c r="J5562" t="s">
        <v>22</v>
      </c>
      <c r="K5562" t="s">
        <v>29</v>
      </c>
      <c r="L5562">
        <f t="shared" si="258"/>
        <v>2024</v>
      </c>
      <c r="M5562" t="str">
        <f t="shared" si="259"/>
        <v>Jun</v>
      </c>
      <c r="N5562" s="2">
        <f t="shared" si="260"/>
        <v>0.17617605348160387</v>
      </c>
    </row>
    <row r="5563" spans="1:14" x14ac:dyDescent="0.45">
      <c r="A5563" t="s">
        <v>9781</v>
      </c>
      <c r="B5563" s="1">
        <v>45214</v>
      </c>
      <c r="C5563" t="s">
        <v>9371</v>
      </c>
      <c r="D5563" t="s">
        <v>56</v>
      </c>
      <c r="E5563" t="s">
        <v>14</v>
      </c>
      <c r="F5563" t="s">
        <v>40</v>
      </c>
      <c r="G5563">
        <v>2</v>
      </c>
      <c r="H5563">
        <v>18622.73</v>
      </c>
      <c r="I5563">
        <v>4116.47</v>
      </c>
      <c r="J5563" t="s">
        <v>28</v>
      </c>
      <c r="K5563" t="s">
        <v>29</v>
      </c>
      <c r="L5563">
        <f t="shared" si="258"/>
        <v>2023</v>
      </c>
      <c r="M5563" t="str">
        <f t="shared" si="259"/>
        <v>Oct</v>
      </c>
      <c r="N5563" s="2">
        <f t="shared" si="260"/>
        <v>0.22104546433310263</v>
      </c>
    </row>
    <row r="5564" spans="1:14" x14ac:dyDescent="0.45">
      <c r="A5564" t="s">
        <v>9782</v>
      </c>
      <c r="B5564" s="1">
        <v>45009</v>
      </c>
      <c r="C5564" t="s">
        <v>7504</v>
      </c>
      <c r="D5564" t="s">
        <v>56</v>
      </c>
      <c r="E5564" t="s">
        <v>36</v>
      </c>
      <c r="F5564" t="s">
        <v>64</v>
      </c>
      <c r="G5564">
        <v>4</v>
      </c>
      <c r="H5564">
        <v>45108.160000000003</v>
      </c>
      <c r="I5564">
        <v>9843.94</v>
      </c>
      <c r="J5564" t="s">
        <v>22</v>
      </c>
      <c r="K5564" t="s">
        <v>29</v>
      </c>
      <c r="L5564">
        <f t="shared" si="258"/>
        <v>2023</v>
      </c>
      <c r="M5564" t="str">
        <f t="shared" si="259"/>
        <v>Mar</v>
      </c>
      <c r="N5564" s="2">
        <f t="shared" si="260"/>
        <v>0.21822969502635442</v>
      </c>
    </row>
    <row r="5565" spans="1:14" x14ac:dyDescent="0.45">
      <c r="A5565" t="s">
        <v>9783</v>
      </c>
      <c r="B5565" s="1">
        <v>45520</v>
      </c>
      <c r="C5565" t="s">
        <v>9784</v>
      </c>
      <c r="D5565" t="s">
        <v>26</v>
      </c>
      <c r="E5565" t="s">
        <v>36</v>
      </c>
      <c r="F5565" t="s">
        <v>53</v>
      </c>
      <c r="G5565">
        <v>1</v>
      </c>
      <c r="H5565">
        <v>31948.11</v>
      </c>
      <c r="I5565">
        <v>2031.65</v>
      </c>
      <c r="J5565" t="s">
        <v>28</v>
      </c>
      <c r="K5565" t="s">
        <v>17</v>
      </c>
      <c r="L5565">
        <f t="shared" si="258"/>
        <v>2024</v>
      </c>
      <c r="M5565" t="str">
        <f t="shared" si="259"/>
        <v>Aug</v>
      </c>
      <c r="N5565" s="2">
        <f t="shared" si="260"/>
        <v>6.3592181196321165E-2</v>
      </c>
    </row>
    <row r="5566" spans="1:14" x14ac:dyDescent="0.45">
      <c r="A5566" t="s">
        <v>9785</v>
      </c>
      <c r="B5566" s="1">
        <v>45499</v>
      </c>
      <c r="C5566" t="s">
        <v>4196</v>
      </c>
      <c r="D5566" t="s">
        <v>56</v>
      </c>
      <c r="E5566" t="s">
        <v>14</v>
      </c>
      <c r="F5566" t="s">
        <v>40</v>
      </c>
      <c r="G5566">
        <v>2</v>
      </c>
      <c r="H5566">
        <v>43465.1</v>
      </c>
      <c r="I5566">
        <v>4578.76</v>
      </c>
      <c r="J5566" t="s">
        <v>28</v>
      </c>
      <c r="K5566" t="s">
        <v>23</v>
      </c>
      <c r="L5566">
        <f t="shared" si="258"/>
        <v>2024</v>
      </c>
      <c r="M5566" t="str">
        <f t="shared" si="259"/>
        <v>Jul</v>
      </c>
      <c r="N5566" s="2">
        <f t="shared" si="260"/>
        <v>0.10534336743732328</v>
      </c>
    </row>
    <row r="5567" spans="1:14" x14ac:dyDescent="0.45">
      <c r="A5567" t="s">
        <v>9786</v>
      </c>
      <c r="B5567" s="1">
        <v>44768</v>
      </c>
      <c r="C5567" t="s">
        <v>8265</v>
      </c>
      <c r="D5567" t="s">
        <v>56</v>
      </c>
      <c r="E5567" t="s">
        <v>14</v>
      </c>
      <c r="F5567" t="s">
        <v>32</v>
      </c>
      <c r="G5567">
        <v>2</v>
      </c>
      <c r="H5567">
        <v>2582.4299999999998</v>
      </c>
      <c r="I5567">
        <v>134.52000000000001</v>
      </c>
      <c r="J5567" t="s">
        <v>71</v>
      </c>
      <c r="K5567" t="s">
        <v>17</v>
      </c>
      <c r="L5567">
        <f t="shared" si="258"/>
        <v>2022</v>
      </c>
      <c r="M5567" t="str">
        <f t="shared" si="259"/>
        <v>Jul</v>
      </c>
      <c r="N5567" s="2">
        <f t="shared" si="260"/>
        <v>5.2090472926662107E-2</v>
      </c>
    </row>
    <row r="5568" spans="1:14" x14ac:dyDescent="0.45">
      <c r="A5568" t="s">
        <v>9787</v>
      </c>
      <c r="B5568" s="1">
        <v>45355</v>
      </c>
      <c r="C5568" t="s">
        <v>3627</v>
      </c>
      <c r="D5568" t="s">
        <v>13</v>
      </c>
      <c r="E5568" t="s">
        <v>20</v>
      </c>
      <c r="F5568" t="s">
        <v>27</v>
      </c>
      <c r="G5568">
        <v>5</v>
      </c>
      <c r="H5568">
        <v>3347.8</v>
      </c>
      <c r="I5568">
        <v>551.09</v>
      </c>
      <c r="J5568" t="s">
        <v>16</v>
      </c>
      <c r="K5568" t="s">
        <v>23</v>
      </c>
      <c r="L5568">
        <f t="shared" si="258"/>
        <v>2024</v>
      </c>
      <c r="M5568" t="str">
        <f t="shared" si="259"/>
        <v>Mar</v>
      </c>
      <c r="N5568" s="2">
        <f t="shared" si="260"/>
        <v>0.16461258139673815</v>
      </c>
    </row>
    <row r="5569" spans="1:14" x14ac:dyDescent="0.45">
      <c r="A5569" t="s">
        <v>9788</v>
      </c>
      <c r="B5569" s="1">
        <v>44717</v>
      </c>
      <c r="C5569" t="s">
        <v>4298</v>
      </c>
      <c r="D5569" t="s">
        <v>56</v>
      </c>
      <c r="E5569" t="s">
        <v>14</v>
      </c>
      <c r="F5569" t="s">
        <v>40</v>
      </c>
      <c r="G5569">
        <v>2</v>
      </c>
      <c r="H5569">
        <v>38628.769999999997</v>
      </c>
      <c r="I5569">
        <v>7152.08</v>
      </c>
      <c r="J5569" t="s">
        <v>22</v>
      </c>
      <c r="K5569" t="s">
        <v>29</v>
      </c>
      <c r="L5569">
        <f t="shared" si="258"/>
        <v>2022</v>
      </c>
      <c r="M5569" t="str">
        <f t="shared" si="259"/>
        <v>Jun</v>
      </c>
      <c r="N5569" s="2">
        <f t="shared" si="260"/>
        <v>0.18514904823529199</v>
      </c>
    </row>
    <row r="5570" spans="1:14" x14ac:dyDescent="0.45">
      <c r="A5570" t="s">
        <v>9789</v>
      </c>
      <c r="B5570" s="1">
        <v>45404</v>
      </c>
      <c r="C5570" t="s">
        <v>9120</v>
      </c>
      <c r="D5570" t="s">
        <v>26</v>
      </c>
      <c r="E5570" t="s">
        <v>14</v>
      </c>
      <c r="F5570" t="s">
        <v>57</v>
      </c>
      <c r="G5570">
        <v>3</v>
      </c>
      <c r="H5570">
        <v>44185.87</v>
      </c>
      <c r="I5570">
        <v>3070.93</v>
      </c>
      <c r="J5570" t="s">
        <v>16</v>
      </c>
      <c r="K5570" t="s">
        <v>23</v>
      </c>
      <c r="L5570">
        <f t="shared" si="258"/>
        <v>2024</v>
      </c>
      <c r="M5570" t="str">
        <f t="shared" si="259"/>
        <v>Apr</v>
      </c>
      <c r="N5570" s="2">
        <f t="shared" si="260"/>
        <v>6.9500272372140681E-2</v>
      </c>
    </row>
    <row r="5571" spans="1:14" x14ac:dyDescent="0.45">
      <c r="A5571" t="s">
        <v>9790</v>
      </c>
      <c r="B5571" s="1">
        <v>45485</v>
      </c>
      <c r="C5571" t="s">
        <v>9791</v>
      </c>
      <c r="D5571" t="s">
        <v>56</v>
      </c>
      <c r="E5571" t="s">
        <v>20</v>
      </c>
      <c r="F5571" t="s">
        <v>50</v>
      </c>
      <c r="G5571">
        <v>4</v>
      </c>
      <c r="H5571">
        <v>26447.040000000001</v>
      </c>
      <c r="I5571">
        <v>5203.17</v>
      </c>
      <c r="J5571" t="s">
        <v>22</v>
      </c>
      <c r="K5571" t="s">
        <v>23</v>
      </c>
      <c r="L5571">
        <f t="shared" ref="L5571:L5634" si="261">YEAR(B5571 )</f>
        <v>2024</v>
      </c>
      <c r="M5571" t="str">
        <f t="shared" ref="M5571:M5634" si="262">TEXT(B5571,"MMM")</f>
        <v>Jul</v>
      </c>
      <c r="N5571" s="2">
        <f t="shared" ref="N5571:N5634" si="263">I5571 / H5571</f>
        <v>0.19673921920940868</v>
      </c>
    </row>
    <row r="5572" spans="1:14" x14ac:dyDescent="0.45">
      <c r="A5572" t="s">
        <v>9792</v>
      </c>
      <c r="B5572" s="1">
        <v>44707</v>
      </c>
      <c r="C5572" t="s">
        <v>9793</v>
      </c>
      <c r="D5572" t="s">
        <v>13</v>
      </c>
      <c r="E5572" t="s">
        <v>14</v>
      </c>
      <c r="F5572" t="s">
        <v>32</v>
      </c>
      <c r="G5572">
        <v>1</v>
      </c>
      <c r="H5572">
        <v>4721.3599999999997</v>
      </c>
      <c r="I5572">
        <v>864.66</v>
      </c>
      <c r="J5572" t="s">
        <v>22</v>
      </c>
      <c r="K5572" t="s">
        <v>29</v>
      </c>
      <c r="L5572">
        <f t="shared" si="261"/>
        <v>2022</v>
      </c>
      <c r="M5572" t="str">
        <f t="shared" si="262"/>
        <v>May</v>
      </c>
      <c r="N5572" s="2">
        <f t="shared" si="263"/>
        <v>0.183137909415931</v>
      </c>
    </row>
    <row r="5573" spans="1:14" x14ac:dyDescent="0.45">
      <c r="A5573" t="s">
        <v>9794</v>
      </c>
      <c r="B5573" s="1">
        <v>45469</v>
      </c>
      <c r="C5573" t="s">
        <v>3347</v>
      </c>
      <c r="D5573" t="s">
        <v>56</v>
      </c>
      <c r="E5573" t="s">
        <v>14</v>
      </c>
      <c r="F5573" t="s">
        <v>57</v>
      </c>
      <c r="G5573">
        <v>2</v>
      </c>
      <c r="H5573">
        <v>6525.91</v>
      </c>
      <c r="I5573">
        <v>995.84</v>
      </c>
      <c r="J5573" t="s">
        <v>28</v>
      </c>
      <c r="K5573" t="s">
        <v>17</v>
      </c>
      <c r="L5573">
        <f t="shared" si="261"/>
        <v>2024</v>
      </c>
      <c r="M5573" t="str">
        <f t="shared" si="262"/>
        <v>Jun</v>
      </c>
      <c r="N5573" s="2">
        <f t="shared" si="263"/>
        <v>0.1525978752388556</v>
      </c>
    </row>
    <row r="5574" spans="1:14" x14ac:dyDescent="0.45">
      <c r="A5574" t="s">
        <v>9795</v>
      </c>
      <c r="B5574" s="1">
        <v>44768</v>
      </c>
      <c r="C5574" t="s">
        <v>9796</v>
      </c>
      <c r="D5574" t="s">
        <v>56</v>
      </c>
      <c r="E5574" t="s">
        <v>14</v>
      </c>
      <c r="F5574" t="s">
        <v>15</v>
      </c>
      <c r="G5574">
        <v>5</v>
      </c>
      <c r="H5574">
        <v>1940.06</v>
      </c>
      <c r="I5574">
        <v>356.96</v>
      </c>
      <c r="J5574" t="s">
        <v>22</v>
      </c>
      <c r="K5574" t="s">
        <v>23</v>
      </c>
      <c r="L5574">
        <f t="shared" si="261"/>
        <v>2022</v>
      </c>
      <c r="M5574" t="str">
        <f t="shared" si="262"/>
        <v>Jul</v>
      </c>
      <c r="N5574" s="2">
        <f t="shared" si="263"/>
        <v>0.18399430945434678</v>
      </c>
    </row>
    <row r="5575" spans="1:14" x14ac:dyDescent="0.45">
      <c r="A5575" t="s">
        <v>9797</v>
      </c>
      <c r="B5575" s="1">
        <v>44779</v>
      </c>
      <c r="C5575" t="s">
        <v>9597</v>
      </c>
      <c r="D5575" t="s">
        <v>56</v>
      </c>
      <c r="E5575" t="s">
        <v>36</v>
      </c>
      <c r="F5575" t="s">
        <v>64</v>
      </c>
      <c r="G5575">
        <v>2</v>
      </c>
      <c r="H5575">
        <v>34811.699999999997</v>
      </c>
      <c r="I5575">
        <v>4858.47</v>
      </c>
      <c r="J5575" t="s">
        <v>71</v>
      </c>
      <c r="K5575" t="s">
        <v>17</v>
      </c>
      <c r="L5575">
        <f t="shared" si="261"/>
        <v>2022</v>
      </c>
      <c r="M5575" t="str">
        <f t="shared" si="262"/>
        <v>Aug</v>
      </c>
      <c r="N5575" s="2">
        <f t="shared" si="263"/>
        <v>0.13956428442161689</v>
      </c>
    </row>
    <row r="5576" spans="1:14" x14ac:dyDescent="0.45">
      <c r="A5576" t="s">
        <v>9798</v>
      </c>
      <c r="B5576" s="1">
        <v>44907</v>
      </c>
      <c r="C5576" t="s">
        <v>9799</v>
      </c>
      <c r="D5576" t="s">
        <v>56</v>
      </c>
      <c r="E5576" t="s">
        <v>14</v>
      </c>
      <c r="F5576" t="s">
        <v>40</v>
      </c>
      <c r="G5576">
        <v>1</v>
      </c>
      <c r="H5576">
        <v>44684.9</v>
      </c>
      <c r="I5576">
        <v>9323.48</v>
      </c>
      <c r="J5576" t="s">
        <v>16</v>
      </c>
      <c r="K5576" t="s">
        <v>23</v>
      </c>
      <c r="L5576">
        <f t="shared" si="261"/>
        <v>2022</v>
      </c>
      <c r="M5576" t="str">
        <f t="shared" si="262"/>
        <v>Dec</v>
      </c>
      <c r="N5576" s="2">
        <f t="shared" si="263"/>
        <v>0.2086494542899279</v>
      </c>
    </row>
    <row r="5577" spans="1:14" x14ac:dyDescent="0.45">
      <c r="A5577" t="s">
        <v>9800</v>
      </c>
      <c r="B5577" s="1">
        <v>44836</v>
      </c>
      <c r="C5577" t="s">
        <v>6288</v>
      </c>
      <c r="D5577" t="s">
        <v>13</v>
      </c>
      <c r="E5577" t="s">
        <v>36</v>
      </c>
      <c r="F5577" t="s">
        <v>46</v>
      </c>
      <c r="G5577">
        <v>5</v>
      </c>
      <c r="H5577">
        <v>6307.05</v>
      </c>
      <c r="I5577">
        <v>871.06</v>
      </c>
      <c r="J5577" t="s">
        <v>71</v>
      </c>
      <c r="K5577" t="s">
        <v>17</v>
      </c>
      <c r="L5577">
        <f t="shared" si="261"/>
        <v>2022</v>
      </c>
      <c r="M5577" t="str">
        <f t="shared" si="262"/>
        <v>Oct</v>
      </c>
      <c r="N5577" s="2">
        <f t="shared" si="263"/>
        <v>0.13810894158124637</v>
      </c>
    </row>
    <row r="5578" spans="1:14" x14ac:dyDescent="0.45">
      <c r="A5578" t="s">
        <v>9801</v>
      </c>
      <c r="B5578" s="1">
        <v>45578</v>
      </c>
      <c r="C5578" t="s">
        <v>9802</v>
      </c>
      <c r="D5578" t="s">
        <v>56</v>
      </c>
      <c r="E5578" t="s">
        <v>36</v>
      </c>
      <c r="F5578" t="s">
        <v>64</v>
      </c>
      <c r="G5578">
        <v>3</v>
      </c>
      <c r="H5578">
        <v>40582.46</v>
      </c>
      <c r="I5578">
        <v>8457.83</v>
      </c>
      <c r="J5578" t="s">
        <v>71</v>
      </c>
      <c r="K5578" t="s">
        <v>29</v>
      </c>
      <c r="L5578">
        <f t="shared" si="261"/>
        <v>2024</v>
      </c>
      <c r="M5578" t="str">
        <f t="shared" si="262"/>
        <v>Oct</v>
      </c>
      <c r="N5578" s="2">
        <f t="shared" si="263"/>
        <v>0.20841097360780989</v>
      </c>
    </row>
    <row r="5579" spans="1:14" x14ac:dyDescent="0.45">
      <c r="A5579" t="s">
        <v>9803</v>
      </c>
      <c r="B5579" s="1">
        <v>44642</v>
      </c>
      <c r="C5579" t="s">
        <v>9804</v>
      </c>
      <c r="D5579" t="s">
        <v>26</v>
      </c>
      <c r="E5579" t="s">
        <v>20</v>
      </c>
      <c r="F5579" t="s">
        <v>50</v>
      </c>
      <c r="G5579">
        <v>1</v>
      </c>
      <c r="H5579">
        <v>47646.74</v>
      </c>
      <c r="I5579">
        <v>5004.1400000000003</v>
      </c>
      <c r="J5579" t="s">
        <v>47</v>
      </c>
      <c r="K5579" t="s">
        <v>33</v>
      </c>
      <c r="L5579">
        <f t="shared" si="261"/>
        <v>2022</v>
      </c>
      <c r="M5579" t="str">
        <f t="shared" si="262"/>
        <v>Mar</v>
      </c>
      <c r="N5579" s="2">
        <f t="shared" si="263"/>
        <v>0.10502586325948009</v>
      </c>
    </row>
    <row r="5580" spans="1:14" x14ac:dyDescent="0.45">
      <c r="A5580" t="s">
        <v>9805</v>
      </c>
      <c r="B5580" s="1">
        <v>45029</v>
      </c>
      <c r="C5580" t="s">
        <v>9806</v>
      </c>
      <c r="D5580" t="s">
        <v>56</v>
      </c>
      <c r="E5580" t="s">
        <v>14</v>
      </c>
      <c r="F5580" t="s">
        <v>57</v>
      </c>
      <c r="G5580">
        <v>2</v>
      </c>
      <c r="H5580">
        <v>21146.61</v>
      </c>
      <c r="I5580">
        <v>5157</v>
      </c>
      <c r="J5580" t="s">
        <v>16</v>
      </c>
      <c r="K5580" t="s">
        <v>29</v>
      </c>
      <c r="L5580">
        <f t="shared" si="261"/>
        <v>2023</v>
      </c>
      <c r="M5580" t="str">
        <f t="shared" si="262"/>
        <v>Apr</v>
      </c>
      <c r="N5580" s="2">
        <f t="shared" si="263"/>
        <v>0.24386887543677213</v>
      </c>
    </row>
    <row r="5581" spans="1:14" x14ac:dyDescent="0.45">
      <c r="A5581" t="s">
        <v>9807</v>
      </c>
      <c r="B5581" s="1">
        <v>45595</v>
      </c>
      <c r="C5581" t="s">
        <v>9378</v>
      </c>
      <c r="D5581" t="s">
        <v>56</v>
      </c>
      <c r="E5581" t="s">
        <v>36</v>
      </c>
      <c r="F5581" t="s">
        <v>46</v>
      </c>
      <c r="G5581">
        <v>4</v>
      </c>
      <c r="H5581">
        <v>26660.13</v>
      </c>
      <c r="I5581">
        <v>1973.66</v>
      </c>
      <c r="J5581" t="s">
        <v>47</v>
      </c>
      <c r="K5581" t="s">
        <v>23</v>
      </c>
      <c r="L5581">
        <f t="shared" si="261"/>
        <v>2024</v>
      </c>
      <c r="M5581" t="str">
        <f t="shared" si="262"/>
        <v>Oct</v>
      </c>
      <c r="N5581" s="2">
        <f t="shared" si="263"/>
        <v>7.4030396700991333E-2</v>
      </c>
    </row>
    <row r="5582" spans="1:14" x14ac:dyDescent="0.45">
      <c r="A5582" t="s">
        <v>9808</v>
      </c>
      <c r="B5582" s="1">
        <v>45619</v>
      </c>
      <c r="C5582" t="s">
        <v>1216</v>
      </c>
      <c r="D5582" t="s">
        <v>26</v>
      </c>
      <c r="E5582" t="s">
        <v>14</v>
      </c>
      <c r="F5582" t="s">
        <v>40</v>
      </c>
      <c r="G5582">
        <v>3</v>
      </c>
      <c r="H5582">
        <v>32564.05</v>
      </c>
      <c r="I5582">
        <v>2566.41</v>
      </c>
      <c r="J5582" t="s">
        <v>16</v>
      </c>
      <c r="K5582" t="s">
        <v>17</v>
      </c>
      <c r="L5582">
        <f t="shared" si="261"/>
        <v>2024</v>
      </c>
      <c r="M5582" t="str">
        <f t="shared" si="262"/>
        <v>Nov</v>
      </c>
      <c r="N5582" s="2">
        <f t="shared" si="263"/>
        <v>7.8811142962868563E-2</v>
      </c>
    </row>
    <row r="5583" spans="1:14" x14ac:dyDescent="0.45">
      <c r="A5583" t="s">
        <v>9809</v>
      </c>
      <c r="B5583" s="1">
        <v>45074</v>
      </c>
      <c r="C5583" t="s">
        <v>8631</v>
      </c>
      <c r="D5583" t="s">
        <v>13</v>
      </c>
      <c r="E5583" t="s">
        <v>36</v>
      </c>
      <c r="F5583" t="s">
        <v>37</v>
      </c>
      <c r="G5583">
        <v>1</v>
      </c>
      <c r="H5583">
        <v>46030.61</v>
      </c>
      <c r="I5583">
        <v>6207.46</v>
      </c>
      <c r="J5583" t="s">
        <v>28</v>
      </c>
      <c r="K5583" t="s">
        <v>29</v>
      </c>
      <c r="L5583">
        <f t="shared" si="261"/>
        <v>2023</v>
      </c>
      <c r="M5583" t="str">
        <f t="shared" si="262"/>
        <v>May</v>
      </c>
      <c r="N5583" s="2">
        <f t="shared" si="263"/>
        <v>0.13485504537089557</v>
      </c>
    </row>
    <row r="5584" spans="1:14" x14ac:dyDescent="0.45">
      <c r="A5584" t="s">
        <v>9810</v>
      </c>
      <c r="B5584" s="1">
        <v>45522</v>
      </c>
      <c r="C5584" t="s">
        <v>3888</v>
      </c>
      <c r="D5584" t="s">
        <v>26</v>
      </c>
      <c r="E5584" t="s">
        <v>14</v>
      </c>
      <c r="F5584" t="s">
        <v>57</v>
      </c>
      <c r="G5584">
        <v>5</v>
      </c>
      <c r="H5584">
        <v>32008.720000000001</v>
      </c>
      <c r="I5584">
        <v>1837.07</v>
      </c>
      <c r="J5584" t="s">
        <v>28</v>
      </c>
      <c r="K5584" t="s">
        <v>33</v>
      </c>
      <c r="L5584">
        <f t="shared" si="261"/>
        <v>2024</v>
      </c>
      <c r="M5584" t="str">
        <f t="shared" si="262"/>
        <v>Aug</v>
      </c>
      <c r="N5584" s="2">
        <f t="shared" si="263"/>
        <v>5.7392797962555198E-2</v>
      </c>
    </row>
    <row r="5585" spans="1:14" x14ac:dyDescent="0.45">
      <c r="A5585" t="s">
        <v>9811</v>
      </c>
      <c r="B5585" s="1">
        <v>45016</v>
      </c>
      <c r="C5585" t="s">
        <v>8685</v>
      </c>
      <c r="D5585" t="s">
        <v>26</v>
      </c>
      <c r="E5585" t="s">
        <v>36</v>
      </c>
      <c r="F5585" t="s">
        <v>53</v>
      </c>
      <c r="G5585">
        <v>4</v>
      </c>
      <c r="H5585">
        <v>9501.9699999999993</v>
      </c>
      <c r="I5585">
        <v>1739.56</v>
      </c>
      <c r="J5585" t="s">
        <v>22</v>
      </c>
      <c r="K5585" t="s">
        <v>23</v>
      </c>
      <c r="L5585">
        <f t="shared" si="261"/>
        <v>2023</v>
      </c>
      <c r="M5585" t="str">
        <f t="shared" si="262"/>
        <v>Mar</v>
      </c>
      <c r="N5585" s="2">
        <f t="shared" si="263"/>
        <v>0.1830736152608354</v>
      </c>
    </row>
    <row r="5586" spans="1:14" x14ac:dyDescent="0.45">
      <c r="A5586" t="s">
        <v>9812</v>
      </c>
      <c r="B5586" s="1">
        <v>44563</v>
      </c>
      <c r="C5586" t="s">
        <v>9813</v>
      </c>
      <c r="D5586" t="s">
        <v>56</v>
      </c>
      <c r="E5586" t="s">
        <v>14</v>
      </c>
      <c r="F5586" t="s">
        <v>57</v>
      </c>
      <c r="G5586">
        <v>3</v>
      </c>
      <c r="H5586">
        <v>23232.48</v>
      </c>
      <c r="I5586">
        <v>5591.5</v>
      </c>
      <c r="J5586" t="s">
        <v>71</v>
      </c>
      <c r="K5586" t="s">
        <v>33</v>
      </c>
      <c r="L5586">
        <f t="shared" si="261"/>
        <v>2022</v>
      </c>
      <c r="M5586" t="str">
        <f t="shared" si="262"/>
        <v>Jan</v>
      </c>
      <c r="N5586" s="2">
        <f t="shared" si="263"/>
        <v>0.2406759846559644</v>
      </c>
    </row>
    <row r="5587" spans="1:14" x14ac:dyDescent="0.45">
      <c r="A5587" t="s">
        <v>9814</v>
      </c>
      <c r="B5587" s="1">
        <v>45068</v>
      </c>
      <c r="C5587" t="s">
        <v>9815</v>
      </c>
      <c r="D5587" t="s">
        <v>13</v>
      </c>
      <c r="E5587" t="s">
        <v>20</v>
      </c>
      <c r="F5587" t="s">
        <v>27</v>
      </c>
      <c r="G5587">
        <v>4</v>
      </c>
      <c r="H5587">
        <v>18928.93</v>
      </c>
      <c r="I5587">
        <v>4271</v>
      </c>
      <c r="J5587" t="s">
        <v>71</v>
      </c>
      <c r="K5587" t="s">
        <v>23</v>
      </c>
      <c r="L5587">
        <f t="shared" si="261"/>
        <v>2023</v>
      </c>
      <c r="M5587" t="str">
        <f t="shared" si="262"/>
        <v>May</v>
      </c>
      <c r="N5587" s="2">
        <f t="shared" si="263"/>
        <v>0.22563346158499187</v>
      </c>
    </row>
    <row r="5588" spans="1:14" x14ac:dyDescent="0.45">
      <c r="A5588" t="s">
        <v>9816</v>
      </c>
      <c r="B5588" s="1">
        <v>44882</v>
      </c>
      <c r="C5588" t="s">
        <v>9374</v>
      </c>
      <c r="D5588" t="s">
        <v>56</v>
      </c>
      <c r="E5588" t="s">
        <v>20</v>
      </c>
      <c r="F5588" t="s">
        <v>21</v>
      </c>
      <c r="G5588">
        <v>1</v>
      </c>
      <c r="H5588">
        <v>45441.81</v>
      </c>
      <c r="I5588">
        <v>6559.81</v>
      </c>
      <c r="J5588" t="s">
        <v>16</v>
      </c>
      <c r="K5588" t="s">
        <v>17</v>
      </c>
      <c r="L5588">
        <f t="shared" si="261"/>
        <v>2022</v>
      </c>
      <c r="M5588" t="str">
        <f t="shared" si="262"/>
        <v>Nov</v>
      </c>
      <c r="N5588" s="2">
        <f t="shared" si="263"/>
        <v>0.14435626573853463</v>
      </c>
    </row>
    <row r="5589" spans="1:14" x14ac:dyDescent="0.45">
      <c r="A5589" t="s">
        <v>9817</v>
      </c>
      <c r="B5589" s="1">
        <v>45645</v>
      </c>
      <c r="C5589" t="s">
        <v>9818</v>
      </c>
      <c r="D5589" t="s">
        <v>56</v>
      </c>
      <c r="E5589" t="s">
        <v>36</v>
      </c>
      <c r="F5589" t="s">
        <v>64</v>
      </c>
      <c r="G5589">
        <v>5</v>
      </c>
      <c r="H5589">
        <v>15778.09</v>
      </c>
      <c r="I5589">
        <v>1888.59</v>
      </c>
      <c r="J5589" t="s">
        <v>16</v>
      </c>
      <c r="K5589" t="s">
        <v>33</v>
      </c>
      <c r="L5589">
        <f t="shared" si="261"/>
        <v>2024</v>
      </c>
      <c r="M5589" t="str">
        <f t="shared" si="262"/>
        <v>Dec</v>
      </c>
      <c r="N5589" s="2">
        <f t="shared" si="263"/>
        <v>0.11969699754533025</v>
      </c>
    </row>
    <row r="5590" spans="1:14" x14ac:dyDescent="0.45">
      <c r="A5590" t="s">
        <v>9819</v>
      </c>
      <c r="B5590" s="1">
        <v>45322</v>
      </c>
      <c r="C5590" t="s">
        <v>9820</v>
      </c>
      <c r="D5590" t="s">
        <v>56</v>
      </c>
      <c r="E5590" t="s">
        <v>36</v>
      </c>
      <c r="F5590" t="s">
        <v>53</v>
      </c>
      <c r="G5590">
        <v>5</v>
      </c>
      <c r="H5590">
        <v>28894.14</v>
      </c>
      <c r="I5590">
        <v>5396.52</v>
      </c>
      <c r="J5590" t="s">
        <v>16</v>
      </c>
      <c r="K5590" t="s">
        <v>23</v>
      </c>
      <c r="L5590">
        <f t="shared" si="261"/>
        <v>2024</v>
      </c>
      <c r="M5590" t="str">
        <f t="shared" si="262"/>
        <v>Jan</v>
      </c>
      <c r="N5590" s="2">
        <f t="shared" si="263"/>
        <v>0.18676866658775795</v>
      </c>
    </row>
    <row r="5591" spans="1:14" x14ac:dyDescent="0.45">
      <c r="A5591" t="s">
        <v>9821</v>
      </c>
      <c r="B5591" s="1">
        <v>44814</v>
      </c>
      <c r="C5591" t="s">
        <v>616</v>
      </c>
      <c r="D5591" t="s">
        <v>13</v>
      </c>
      <c r="E5591" t="s">
        <v>36</v>
      </c>
      <c r="F5591" t="s">
        <v>53</v>
      </c>
      <c r="G5591">
        <v>5</v>
      </c>
      <c r="H5591">
        <v>11427.13</v>
      </c>
      <c r="I5591">
        <v>1079.28</v>
      </c>
      <c r="J5591" t="s">
        <v>28</v>
      </c>
      <c r="K5591" t="s">
        <v>29</v>
      </c>
      <c r="L5591">
        <f t="shared" si="261"/>
        <v>2022</v>
      </c>
      <c r="M5591" t="str">
        <f t="shared" si="262"/>
        <v>Sep</v>
      </c>
      <c r="N5591" s="2">
        <f t="shared" si="263"/>
        <v>9.444891236907256E-2</v>
      </c>
    </row>
    <row r="5592" spans="1:14" x14ac:dyDescent="0.45">
      <c r="A5592" t="s">
        <v>9822</v>
      </c>
      <c r="B5592" s="1">
        <v>44629</v>
      </c>
      <c r="C5592" t="s">
        <v>9823</v>
      </c>
      <c r="D5592" t="s">
        <v>56</v>
      </c>
      <c r="E5592" t="s">
        <v>20</v>
      </c>
      <c r="F5592" t="s">
        <v>50</v>
      </c>
      <c r="G5592">
        <v>1</v>
      </c>
      <c r="H5592">
        <v>10656.3</v>
      </c>
      <c r="I5592">
        <v>760.79</v>
      </c>
      <c r="J5592" t="s">
        <v>47</v>
      </c>
      <c r="K5592" t="s">
        <v>17</v>
      </c>
      <c r="L5592">
        <f t="shared" si="261"/>
        <v>2022</v>
      </c>
      <c r="M5592" t="str">
        <f t="shared" si="262"/>
        <v>Mar</v>
      </c>
      <c r="N5592" s="2">
        <f t="shared" si="263"/>
        <v>7.1393448007282076E-2</v>
      </c>
    </row>
    <row r="5593" spans="1:14" x14ac:dyDescent="0.45">
      <c r="A5593" t="s">
        <v>9824</v>
      </c>
      <c r="B5593" s="1">
        <v>44836</v>
      </c>
      <c r="C5593" t="s">
        <v>9825</v>
      </c>
      <c r="D5593" t="s">
        <v>26</v>
      </c>
      <c r="E5593" t="s">
        <v>14</v>
      </c>
      <c r="F5593" t="s">
        <v>32</v>
      </c>
      <c r="G5593">
        <v>1</v>
      </c>
      <c r="H5593">
        <v>2031.95</v>
      </c>
      <c r="I5593">
        <v>338.24</v>
      </c>
      <c r="J5593" t="s">
        <v>22</v>
      </c>
      <c r="K5593" t="s">
        <v>29</v>
      </c>
      <c r="L5593">
        <f t="shared" si="261"/>
        <v>2022</v>
      </c>
      <c r="M5593" t="str">
        <f t="shared" si="262"/>
        <v>Oct</v>
      </c>
      <c r="N5593" s="2">
        <f t="shared" si="263"/>
        <v>0.1664607888973646</v>
      </c>
    </row>
    <row r="5594" spans="1:14" x14ac:dyDescent="0.45">
      <c r="A5594" t="s">
        <v>9826</v>
      </c>
      <c r="B5594" s="1">
        <v>44870</v>
      </c>
      <c r="C5594" t="s">
        <v>9827</v>
      </c>
      <c r="D5594" t="s">
        <v>56</v>
      </c>
      <c r="E5594" t="s">
        <v>36</v>
      </c>
      <c r="F5594" t="s">
        <v>53</v>
      </c>
      <c r="G5594">
        <v>2</v>
      </c>
      <c r="H5594">
        <v>14974.96</v>
      </c>
      <c r="I5594">
        <v>1480.85</v>
      </c>
      <c r="J5594" t="s">
        <v>47</v>
      </c>
      <c r="K5594" t="s">
        <v>33</v>
      </c>
      <c r="L5594">
        <f t="shared" si="261"/>
        <v>2022</v>
      </c>
      <c r="M5594" t="str">
        <f t="shared" si="262"/>
        <v>Nov</v>
      </c>
      <c r="N5594" s="2">
        <f t="shared" si="263"/>
        <v>9.8888411054186456E-2</v>
      </c>
    </row>
    <row r="5595" spans="1:14" x14ac:dyDescent="0.45">
      <c r="A5595" t="s">
        <v>9828</v>
      </c>
      <c r="B5595" s="1">
        <v>45280</v>
      </c>
      <c r="C5595" t="s">
        <v>9829</v>
      </c>
      <c r="D5595" t="s">
        <v>13</v>
      </c>
      <c r="E5595" t="s">
        <v>20</v>
      </c>
      <c r="F5595" t="s">
        <v>43</v>
      </c>
      <c r="G5595">
        <v>5</v>
      </c>
      <c r="H5595">
        <v>10280.73</v>
      </c>
      <c r="I5595">
        <v>629.23</v>
      </c>
      <c r="J5595" t="s">
        <v>22</v>
      </c>
      <c r="K5595" t="s">
        <v>23</v>
      </c>
      <c r="L5595">
        <f t="shared" si="261"/>
        <v>2023</v>
      </c>
      <c r="M5595" t="str">
        <f t="shared" si="262"/>
        <v>Dec</v>
      </c>
      <c r="N5595" s="2">
        <f t="shared" si="263"/>
        <v>6.1204797713781033E-2</v>
      </c>
    </row>
    <row r="5596" spans="1:14" x14ac:dyDescent="0.45">
      <c r="A5596" t="s">
        <v>9830</v>
      </c>
      <c r="B5596" s="1">
        <v>45290</v>
      </c>
      <c r="C5596" t="s">
        <v>9831</v>
      </c>
      <c r="D5596" t="s">
        <v>56</v>
      </c>
      <c r="E5596" t="s">
        <v>20</v>
      </c>
      <c r="F5596" t="s">
        <v>27</v>
      </c>
      <c r="G5596">
        <v>1</v>
      </c>
      <c r="H5596">
        <v>31410.52</v>
      </c>
      <c r="I5596">
        <v>3459.49</v>
      </c>
      <c r="J5596" t="s">
        <v>28</v>
      </c>
      <c r="K5596" t="s">
        <v>23</v>
      </c>
      <c r="L5596">
        <f t="shared" si="261"/>
        <v>2023</v>
      </c>
      <c r="M5596" t="str">
        <f t="shared" si="262"/>
        <v>Dec</v>
      </c>
      <c r="N5596" s="2">
        <f t="shared" si="263"/>
        <v>0.11013794104650289</v>
      </c>
    </row>
    <row r="5597" spans="1:14" x14ac:dyDescent="0.45">
      <c r="A5597" t="s">
        <v>9832</v>
      </c>
      <c r="B5597" s="1">
        <v>44602</v>
      </c>
      <c r="C5597" t="s">
        <v>9833</v>
      </c>
      <c r="D5597" t="s">
        <v>26</v>
      </c>
      <c r="E5597" t="s">
        <v>36</v>
      </c>
      <c r="F5597" t="s">
        <v>64</v>
      </c>
      <c r="G5597">
        <v>5</v>
      </c>
      <c r="H5597">
        <v>35890.980000000003</v>
      </c>
      <c r="I5597">
        <v>8672.35</v>
      </c>
      <c r="J5597" t="s">
        <v>47</v>
      </c>
      <c r="K5597" t="s">
        <v>23</v>
      </c>
      <c r="L5597">
        <f t="shared" si="261"/>
        <v>2022</v>
      </c>
      <c r="M5597" t="str">
        <f t="shared" si="262"/>
        <v>Feb</v>
      </c>
      <c r="N5597" s="2">
        <f t="shared" si="263"/>
        <v>0.24163034834936242</v>
      </c>
    </row>
    <row r="5598" spans="1:14" x14ac:dyDescent="0.45">
      <c r="A5598" t="s">
        <v>9834</v>
      </c>
      <c r="B5598" s="1">
        <v>44685</v>
      </c>
      <c r="C5598" t="s">
        <v>9835</v>
      </c>
      <c r="D5598" t="s">
        <v>56</v>
      </c>
      <c r="E5598" t="s">
        <v>36</v>
      </c>
      <c r="F5598" t="s">
        <v>64</v>
      </c>
      <c r="G5598">
        <v>5</v>
      </c>
      <c r="H5598">
        <v>16911.939999999999</v>
      </c>
      <c r="I5598">
        <v>2762.48</v>
      </c>
      <c r="J5598" t="s">
        <v>22</v>
      </c>
      <c r="K5598" t="s">
        <v>17</v>
      </c>
      <c r="L5598">
        <f t="shared" si="261"/>
        <v>2022</v>
      </c>
      <c r="M5598" t="str">
        <f t="shared" si="262"/>
        <v>May</v>
      </c>
      <c r="N5598" s="2">
        <f t="shared" si="263"/>
        <v>0.16334495037234051</v>
      </c>
    </row>
    <row r="5599" spans="1:14" x14ac:dyDescent="0.45">
      <c r="A5599" t="s">
        <v>9836</v>
      </c>
      <c r="B5599" s="1">
        <v>44732</v>
      </c>
      <c r="C5599" t="s">
        <v>1054</v>
      </c>
      <c r="D5599" t="s">
        <v>56</v>
      </c>
      <c r="E5599" t="s">
        <v>20</v>
      </c>
      <c r="F5599" t="s">
        <v>21</v>
      </c>
      <c r="G5599">
        <v>4</v>
      </c>
      <c r="H5599">
        <v>3328.01</v>
      </c>
      <c r="I5599">
        <v>644.82000000000005</v>
      </c>
      <c r="J5599" t="s">
        <v>22</v>
      </c>
      <c r="K5599" t="s">
        <v>33</v>
      </c>
      <c r="L5599">
        <f t="shared" si="261"/>
        <v>2022</v>
      </c>
      <c r="M5599" t="str">
        <f t="shared" si="262"/>
        <v>Jun</v>
      </c>
      <c r="N5599" s="2">
        <f t="shared" si="263"/>
        <v>0.19375542741758589</v>
      </c>
    </row>
    <row r="5600" spans="1:14" x14ac:dyDescent="0.45">
      <c r="A5600" t="s">
        <v>9837</v>
      </c>
      <c r="B5600" s="1">
        <v>45616</v>
      </c>
      <c r="C5600" t="s">
        <v>9838</v>
      </c>
      <c r="D5600" t="s">
        <v>26</v>
      </c>
      <c r="E5600" t="s">
        <v>14</v>
      </c>
      <c r="F5600" t="s">
        <v>57</v>
      </c>
      <c r="G5600">
        <v>1</v>
      </c>
      <c r="H5600">
        <v>9405.15</v>
      </c>
      <c r="I5600">
        <v>1866.95</v>
      </c>
      <c r="J5600" t="s">
        <v>28</v>
      </c>
      <c r="K5600" t="s">
        <v>29</v>
      </c>
      <c r="L5600">
        <f t="shared" si="261"/>
        <v>2024</v>
      </c>
      <c r="M5600" t="str">
        <f t="shared" si="262"/>
        <v>Nov</v>
      </c>
      <c r="N5600" s="2">
        <f t="shared" si="263"/>
        <v>0.19850294785303799</v>
      </c>
    </row>
    <row r="5601" spans="1:14" x14ac:dyDescent="0.45">
      <c r="A5601" t="s">
        <v>9839</v>
      </c>
      <c r="B5601" s="1">
        <v>45200</v>
      </c>
      <c r="C5601" t="s">
        <v>3210</v>
      </c>
      <c r="D5601" t="s">
        <v>56</v>
      </c>
      <c r="E5601" t="s">
        <v>36</v>
      </c>
      <c r="F5601" t="s">
        <v>53</v>
      </c>
      <c r="G5601">
        <v>5</v>
      </c>
      <c r="H5601">
        <v>32294.75</v>
      </c>
      <c r="I5601">
        <v>2392.79</v>
      </c>
      <c r="J5601" t="s">
        <v>47</v>
      </c>
      <c r="K5601" t="s">
        <v>17</v>
      </c>
      <c r="L5601">
        <f t="shared" si="261"/>
        <v>2023</v>
      </c>
      <c r="M5601" t="str">
        <f t="shared" si="262"/>
        <v>Oct</v>
      </c>
      <c r="N5601" s="2">
        <f t="shared" si="263"/>
        <v>7.4092228613009847E-2</v>
      </c>
    </row>
    <row r="5602" spans="1:14" x14ac:dyDescent="0.45">
      <c r="A5602" t="s">
        <v>9840</v>
      </c>
      <c r="B5602" s="1">
        <v>44896</v>
      </c>
      <c r="C5602" t="s">
        <v>913</v>
      </c>
      <c r="D5602" t="s">
        <v>13</v>
      </c>
      <c r="E5602" t="s">
        <v>14</v>
      </c>
      <c r="F5602" t="s">
        <v>57</v>
      </c>
      <c r="G5602">
        <v>3</v>
      </c>
      <c r="H5602">
        <v>36409.4</v>
      </c>
      <c r="I5602">
        <v>7842.86</v>
      </c>
      <c r="J5602" t="s">
        <v>28</v>
      </c>
      <c r="K5602" t="s">
        <v>29</v>
      </c>
      <c r="L5602">
        <f t="shared" si="261"/>
        <v>2022</v>
      </c>
      <c r="M5602" t="str">
        <f t="shared" si="262"/>
        <v>Dec</v>
      </c>
      <c r="N5602" s="2">
        <f t="shared" si="263"/>
        <v>0.21540755958626068</v>
      </c>
    </row>
    <row r="5603" spans="1:14" x14ac:dyDescent="0.45">
      <c r="A5603" t="s">
        <v>9841</v>
      </c>
      <c r="B5603" s="1">
        <v>44626</v>
      </c>
      <c r="C5603" t="s">
        <v>915</v>
      </c>
      <c r="D5603" t="s">
        <v>26</v>
      </c>
      <c r="E5603" t="s">
        <v>20</v>
      </c>
      <c r="F5603" t="s">
        <v>21</v>
      </c>
      <c r="G5603">
        <v>2</v>
      </c>
      <c r="H5603">
        <v>46433.29</v>
      </c>
      <c r="I5603">
        <v>3311.31</v>
      </c>
      <c r="J5603" t="s">
        <v>22</v>
      </c>
      <c r="K5603" t="s">
        <v>17</v>
      </c>
      <c r="L5603">
        <f t="shared" si="261"/>
        <v>2022</v>
      </c>
      <c r="M5603" t="str">
        <f t="shared" si="262"/>
        <v>Mar</v>
      </c>
      <c r="N5603" s="2">
        <f t="shared" si="263"/>
        <v>7.131327545388233E-2</v>
      </c>
    </row>
    <row r="5604" spans="1:14" x14ac:dyDescent="0.45">
      <c r="A5604" t="s">
        <v>9842</v>
      </c>
      <c r="B5604" s="1">
        <v>45438</v>
      </c>
      <c r="C5604" t="s">
        <v>9843</v>
      </c>
      <c r="D5604" t="s">
        <v>13</v>
      </c>
      <c r="E5604" t="s">
        <v>20</v>
      </c>
      <c r="F5604" t="s">
        <v>21</v>
      </c>
      <c r="G5604">
        <v>4</v>
      </c>
      <c r="H5604">
        <v>34171.82</v>
      </c>
      <c r="I5604">
        <v>3926.18</v>
      </c>
      <c r="J5604" t="s">
        <v>71</v>
      </c>
      <c r="K5604" t="s">
        <v>17</v>
      </c>
      <c r="L5604">
        <f t="shared" si="261"/>
        <v>2024</v>
      </c>
      <c r="M5604" t="str">
        <f t="shared" si="262"/>
        <v>May</v>
      </c>
      <c r="N5604" s="2">
        <f t="shared" si="263"/>
        <v>0.11489525579849126</v>
      </c>
    </row>
    <row r="5605" spans="1:14" x14ac:dyDescent="0.45">
      <c r="A5605" t="s">
        <v>9844</v>
      </c>
      <c r="B5605" s="1">
        <v>45450</v>
      </c>
      <c r="C5605" t="s">
        <v>9513</v>
      </c>
      <c r="D5605" t="s">
        <v>26</v>
      </c>
      <c r="E5605" t="s">
        <v>20</v>
      </c>
      <c r="F5605" t="s">
        <v>21</v>
      </c>
      <c r="G5605">
        <v>5</v>
      </c>
      <c r="H5605">
        <v>24844.37</v>
      </c>
      <c r="I5605">
        <v>2584.85</v>
      </c>
      <c r="J5605" t="s">
        <v>16</v>
      </c>
      <c r="K5605" t="s">
        <v>29</v>
      </c>
      <c r="L5605">
        <f t="shared" si="261"/>
        <v>2024</v>
      </c>
      <c r="M5605" t="str">
        <f t="shared" si="262"/>
        <v>Jun</v>
      </c>
      <c r="N5605" s="2">
        <f t="shared" si="263"/>
        <v>0.10404168026800438</v>
      </c>
    </row>
    <row r="5606" spans="1:14" x14ac:dyDescent="0.45">
      <c r="A5606" t="s">
        <v>9845</v>
      </c>
      <c r="B5606" s="1">
        <v>45347</v>
      </c>
      <c r="C5606" t="s">
        <v>413</v>
      </c>
      <c r="D5606" t="s">
        <v>26</v>
      </c>
      <c r="E5606" t="s">
        <v>14</v>
      </c>
      <c r="F5606" t="s">
        <v>15</v>
      </c>
      <c r="G5606">
        <v>5</v>
      </c>
      <c r="H5606">
        <v>33726.080000000002</v>
      </c>
      <c r="I5606">
        <v>6883.52</v>
      </c>
      <c r="J5606" t="s">
        <v>71</v>
      </c>
      <c r="K5606" t="s">
        <v>29</v>
      </c>
      <c r="L5606">
        <f t="shared" si="261"/>
        <v>2024</v>
      </c>
      <c r="M5606" t="str">
        <f t="shared" si="262"/>
        <v>Feb</v>
      </c>
      <c r="N5606" s="2">
        <f t="shared" si="263"/>
        <v>0.20410080270224112</v>
      </c>
    </row>
    <row r="5607" spans="1:14" x14ac:dyDescent="0.45">
      <c r="A5607" t="s">
        <v>9846</v>
      </c>
      <c r="B5607" s="1">
        <v>45229</v>
      </c>
      <c r="C5607" t="s">
        <v>1726</v>
      </c>
      <c r="D5607" t="s">
        <v>13</v>
      </c>
      <c r="E5607" t="s">
        <v>20</v>
      </c>
      <c r="F5607" t="s">
        <v>27</v>
      </c>
      <c r="G5607">
        <v>3</v>
      </c>
      <c r="H5607">
        <v>16788.97</v>
      </c>
      <c r="I5607">
        <v>4036.08</v>
      </c>
      <c r="J5607" t="s">
        <v>71</v>
      </c>
      <c r="K5607" t="s">
        <v>17</v>
      </c>
      <c r="L5607">
        <f t="shared" si="261"/>
        <v>2023</v>
      </c>
      <c r="M5607" t="str">
        <f t="shared" si="262"/>
        <v>Oct</v>
      </c>
      <c r="N5607" s="2">
        <f t="shared" si="263"/>
        <v>0.24040069164457376</v>
      </c>
    </row>
    <row r="5608" spans="1:14" x14ac:dyDescent="0.45">
      <c r="A5608" t="s">
        <v>9847</v>
      </c>
      <c r="B5608" s="1">
        <v>44854</v>
      </c>
      <c r="C5608" t="s">
        <v>3160</v>
      </c>
      <c r="D5608" t="s">
        <v>13</v>
      </c>
      <c r="E5608" t="s">
        <v>14</v>
      </c>
      <c r="F5608" t="s">
        <v>57</v>
      </c>
      <c r="G5608">
        <v>5</v>
      </c>
      <c r="H5608">
        <v>23692.080000000002</v>
      </c>
      <c r="I5608">
        <v>2888.22</v>
      </c>
      <c r="J5608" t="s">
        <v>16</v>
      </c>
      <c r="K5608" t="s">
        <v>23</v>
      </c>
      <c r="L5608">
        <f t="shared" si="261"/>
        <v>2022</v>
      </c>
      <c r="M5608" t="str">
        <f t="shared" si="262"/>
        <v>Oct</v>
      </c>
      <c r="N5608" s="2">
        <f t="shared" si="263"/>
        <v>0.12190656117993859</v>
      </c>
    </row>
    <row r="5609" spans="1:14" x14ac:dyDescent="0.45">
      <c r="A5609" t="s">
        <v>9848</v>
      </c>
      <c r="B5609" s="1">
        <v>44914</v>
      </c>
      <c r="C5609" t="s">
        <v>6312</v>
      </c>
      <c r="D5609" t="s">
        <v>13</v>
      </c>
      <c r="E5609" t="s">
        <v>36</v>
      </c>
      <c r="F5609" t="s">
        <v>46</v>
      </c>
      <c r="G5609">
        <v>5</v>
      </c>
      <c r="H5609">
        <v>26401.81</v>
      </c>
      <c r="I5609">
        <v>6417.36</v>
      </c>
      <c r="J5609" t="s">
        <v>22</v>
      </c>
      <c r="K5609" t="s">
        <v>29</v>
      </c>
      <c r="L5609">
        <f t="shared" si="261"/>
        <v>2022</v>
      </c>
      <c r="M5609" t="str">
        <f t="shared" si="262"/>
        <v>Dec</v>
      </c>
      <c r="N5609" s="2">
        <f t="shared" si="263"/>
        <v>0.24306515348758284</v>
      </c>
    </row>
    <row r="5610" spans="1:14" x14ac:dyDescent="0.45">
      <c r="A5610" t="s">
        <v>9849</v>
      </c>
      <c r="B5610" s="1">
        <v>45149</v>
      </c>
      <c r="C5610" t="s">
        <v>9850</v>
      </c>
      <c r="D5610" t="s">
        <v>56</v>
      </c>
      <c r="E5610" t="s">
        <v>36</v>
      </c>
      <c r="F5610" t="s">
        <v>46</v>
      </c>
      <c r="G5610">
        <v>4</v>
      </c>
      <c r="H5610">
        <v>4192.8500000000004</v>
      </c>
      <c r="I5610">
        <v>680.39</v>
      </c>
      <c r="J5610" t="s">
        <v>71</v>
      </c>
      <c r="K5610" t="s">
        <v>29</v>
      </c>
      <c r="L5610">
        <f t="shared" si="261"/>
        <v>2023</v>
      </c>
      <c r="M5610" t="str">
        <f t="shared" si="262"/>
        <v>Aug</v>
      </c>
      <c r="N5610" s="2">
        <f t="shared" si="263"/>
        <v>0.16227387099466947</v>
      </c>
    </row>
    <row r="5611" spans="1:14" x14ac:dyDescent="0.45">
      <c r="A5611" t="s">
        <v>9851</v>
      </c>
      <c r="B5611" s="1">
        <v>44830</v>
      </c>
      <c r="C5611" t="s">
        <v>117</v>
      </c>
      <c r="D5611" t="s">
        <v>26</v>
      </c>
      <c r="E5611" t="s">
        <v>36</v>
      </c>
      <c r="F5611" t="s">
        <v>53</v>
      </c>
      <c r="G5611">
        <v>1</v>
      </c>
      <c r="H5611">
        <v>46592.61</v>
      </c>
      <c r="I5611">
        <v>6891.59</v>
      </c>
      <c r="J5611" t="s">
        <v>28</v>
      </c>
      <c r="K5611" t="s">
        <v>33</v>
      </c>
      <c r="L5611">
        <f t="shared" si="261"/>
        <v>2022</v>
      </c>
      <c r="M5611" t="str">
        <f t="shared" si="262"/>
        <v>Sep</v>
      </c>
      <c r="N5611" s="2">
        <f t="shared" si="263"/>
        <v>0.14791165380089247</v>
      </c>
    </row>
    <row r="5612" spans="1:14" x14ac:dyDescent="0.45">
      <c r="A5612" t="s">
        <v>9852</v>
      </c>
      <c r="B5612" s="1">
        <v>45492</v>
      </c>
      <c r="C5612" t="s">
        <v>9853</v>
      </c>
      <c r="D5612" t="s">
        <v>26</v>
      </c>
      <c r="E5612" t="s">
        <v>14</v>
      </c>
      <c r="F5612" t="s">
        <v>57</v>
      </c>
      <c r="G5612">
        <v>5</v>
      </c>
      <c r="H5612">
        <v>13529.12</v>
      </c>
      <c r="I5612">
        <v>756.89</v>
      </c>
      <c r="J5612" t="s">
        <v>28</v>
      </c>
      <c r="K5612" t="s">
        <v>33</v>
      </c>
      <c r="L5612">
        <f t="shared" si="261"/>
        <v>2024</v>
      </c>
      <c r="M5612" t="str">
        <f t="shared" si="262"/>
        <v>Jul</v>
      </c>
      <c r="N5612" s="2">
        <f t="shared" si="263"/>
        <v>5.5945249949738041E-2</v>
      </c>
    </row>
    <row r="5613" spans="1:14" x14ac:dyDescent="0.45">
      <c r="A5613" t="s">
        <v>9854</v>
      </c>
      <c r="B5613" s="1">
        <v>44611</v>
      </c>
      <c r="C5613" t="s">
        <v>9112</v>
      </c>
      <c r="D5613" t="s">
        <v>56</v>
      </c>
      <c r="E5613" t="s">
        <v>20</v>
      </c>
      <c r="F5613" t="s">
        <v>27</v>
      </c>
      <c r="G5613">
        <v>5</v>
      </c>
      <c r="H5613">
        <v>5790.15</v>
      </c>
      <c r="I5613">
        <v>669.05</v>
      </c>
      <c r="J5613" t="s">
        <v>22</v>
      </c>
      <c r="K5613" t="s">
        <v>29</v>
      </c>
      <c r="L5613">
        <f t="shared" si="261"/>
        <v>2022</v>
      </c>
      <c r="M5613" t="str">
        <f t="shared" si="262"/>
        <v>Feb</v>
      </c>
      <c r="N5613" s="2">
        <f t="shared" si="263"/>
        <v>0.11554968351424402</v>
      </c>
    </row>
    <row r="5614" spans="1:14" x14ac:dyDescent="0.45">
      <c r="A5614" t="s">
        <v>9855</v>
      </c>
      <c r="B5614" s="1">
        <v>45502</v>
      </c>
      <c r="C5614" t="s">
        <v>9856</v>
      </c>
      <c r="D5614" t="s">
        <v>56</v>
      </c>
      <c r="E5614" t="s">
        <v>14</v>
      </c>
      <c r="F5614" t="s">
        <v>40</v>
      </c>
      <c r="G5614">
        <v>5</v>
      </c>
      <c r="H5614">
        <v>37314.85</v>
      </c>
      <c r="I5614">
        <v>6135.18</v>
      </c>
      <c r="J5614" t="s">
        <v>16</v>
      </c>
      <c r="K5614" t="s">
        <v>33</v>
      </c>
      <c r="L5614">
        <f t="shared" si="261"/>
        <v>2024</v>
      </c>
      <c r="M5614" t="str">
        <f t="shared" si="262"/>
        <v>Jul</v>
      </c>
      <c r="N5614" s="2">
        <f t="shared" si="263"/>
        <v>0.1644165794583122</v>
      </c>
    </row>
    <row r="5615" spans="1:14" x14ac:dyDescent="0.45">
      <c r="A5615" t="s">
        <v>9857</v>
      </c>
      <c r="B5615" s="1">
        <v>45492</v>
      </c>
      <c r="C5615" t="s">
        <v>9858</v>
      </c>
      <c r="D5615" t="s">
        <v>13</v>
      </c>
      <c r="E5615" t="s">
        <v>14</v>
      </c>
      <c r="F5615" t="s">
        <v>32</v>
      </c>
      <c r="G5615">
        <v>1</v>
      </c>
      <c r="H5615">
        <v>14568.69</v>
      </c>
      <c r="I5615">
        <v>1994.97</v>
      </c>
      <c r="J5615" t="s">
        <v>71</v>
      </c>
      <c r="K5615" t="s">
        <v>33</v>
      </c>
      <c r="L5615">
        <f t="shared" si="261"/>
        <v>2024</v>
      </c>
      <c r="M5615" t="str">
        <f t="shared" si="262"/>
        <v>Jul</v>
      </c>
      <c r="N5615" s="2">
        <f t="shared" si="263"/>
        <v>0.13693544169036476</v>
      </c>
    </row>
    <row r="5616" spans="1:14" x14ac:dyDescent="0.45">
      <c r="A5616" t="s">
        <v>9859</v>
      </c>
      <c r="B5616" s="1">
        <v>45352</v>
      </c>
      <c r="C5616" t="s">
        <v>9860</v>
      </c>
      <c r="D5616" t="s">
        <v>56</v>
      </c>
      <c r="E5616" t="s">
        <v>36</v>
      </c>
      <c r="F5616" t="s">
        <v>37</v>
      </c>
      <c r="G5616">
        <v>5</v>
      </c>
      <c r="H5616">
        <v>8568.27</v>
      </c>
      <c r="I5616">
        <v>655.11</v>
      </c>
      <c r="J5616" t="s">
        <v>28</v>
      </c>
      <c r="K5616" t="s">
        <v>29</v>
      </c>
      <c r="L5616">
        <f t="shared" si="261"/>
        <v>2024</v>
      </c>
      <c r="M5616" t="str">
        <f t="shared" si="262"/>
        <v>Mar</v>
      </c>
      <c r="N5616" s="2">
        <f t="shared" si="263"/>
        <v>7.6457674653109667E-2</v>
      </c>
    </row>
    <row r="5617" spans="1:14" x14ac:dyDescent="0.45">
      <c r="A5617" t="s">
        <v>9861</v>
      </c>
      <c r="B5617" s="1">
        <v>44664</v>
      </c>
      <c r="C5617" t="s">
        <v>9862</v>
      </c>
      <c r="D5617" t="s">
        <v>26</v>
      </c>
      <c r="E5617" t="s">
        <v>36</v>
      </c>
      <c r="F5617" t="s">
        <v>53</v>
      </c>
      <c r="G5617">
        <v>5</v>
      </c>
      <c r="H5617">
        <v>18262.11</v>
      </c>
      <c r="I5617">
        <v>3594.15</v>
      </c>
      <c r="J5617" t="s">
        <v>28</v>
      </c>
      <c r="K5617" t="s">
        <v>23</v>
      </c>
      <c r="L5617">
        <f t="shared" si="261"/>
        <v>2022</v>
      </c>
      <c r="M5617" t="str">
        <f t="shared" si="262"/>
        <v>Apr</v>
      </c>
      <c r="N5617" s="2">
        <f t="shared" si="263"/>
        <v>0.19680913103688458</v>
      </c>
    </row>
    <row r="5618" spans="1:14" x14ac:dyDescent="0.45">
      <c r="A5618" t="s">
        <v>9863</v>
      </c>
      <c r="B5618" s="1">
        <v>44874</v>
      </c>
      <c r="C5618" t="s">
        <v>3557</v>
      </c>
      <c r="D5618" t="s">
        <v>13</v>
      </c>
      <c r="E5618" t="s">
        <v>20</v>
      </c>
      <c r="F5618" t="s">
        <v>27</v>
      </c>
      <c r="G5618">
        <v>3</v>
      </c>
      <c r="H5618">
        <v>32226.04</v>
      </c>
      <c r="I5618">
        <v>4650.96</v>
      </c>
      <c r="J5618" t="s">
        <v>16</v>
      </c>
      <c r="K5618" t="s">
        <v>17</v>
      </c>
      <c r="L5618">
        <f t="shared" si="261"/>
        <v>2022</v>
      </c>
      <c r="M5618" t="str">
        <f t="shared" si="262"/>
        <v>Nov</v>
      </c>
      <c r="N5618" s="2">
        <f t="shared" si="263"/>
        <v>0.14432303813934322</v>
      </c>
    </row>
    <row r="5619" spans="1:14" x14ac:dyDescent="0.45">
      <c r="A5619" t="s">
        <v>9864</v>
      </c>
      <c r="B5619" s="1">
        <v>44995</v>
      </c>
      <c r="C5619" t="s">
        <v>9865</v>
      </c>
      <c r="D5619" t="s">
        <v>56</v>
      </c>
      <c r="E5619" t="s">
        <v>36</v>
      </c>
      <c r="F5619" t="s">
        <v>64</v>
      </c>
      <c r="G5619">
        <v>5</v>
      </c>
      <c r="H5619">
        <v>36743.360000000001</v>
      </c>
      <c r="I5619">
        <v>2476.08</v>
      </c>
      <c r="J5619" t="s">
        <v>71</v>
      </c>
      <c r="K5619" t="s">
        <v>29</v>
      </c>
      <c r="L5619">
        <f t="shared" si="261"/>
        <v>2023</v>
      </c>
      <c r="M5619" t="str">
        <f t="shared" si="262"/>
        <v>Mar</v>
      </c>
      <c r="N5619" s="2">
        <f t="shared" si="263"/>
        <v>6.7388502303545456E-2</v>
      </c>
    </row>
    <row r="5620" spans="1:14" x14ac:dyDescent="0.45">
      <c r="A5620" t="s">
        <v>9866</v>
      </c>
      <c r="B5620" s="1">
        <v>44856</v>
      </c>
      <c r="C5620" t="s">
        <v>9867</v>
      </c>
      <c r="D5620" t="s">
        <v>13</v>
      </c>
      <c r="E5620" t="s">
        <v>20</v>
      </c>
      <c r="F5620" t="s">
        <v>21</v>
      </c>
      <c r="G5620">
        <v>4</v>
      </c>
      <c r="H5620">
        <v>44676.6</v>
      </c>
      <c r="I5620">
        <v>6833.85</v>
      </c>
      <c r="J5620" t="s">
        <v>16</v>
      </c>
      <c r="K5620" t="s">
        <v>23</v>
      </c>
      <c r="L5620">
        <f t="shared" si="261"/>
        <v>2022</v>
      </c>
      <c r="M5620" t="str">
        <f t="shared" si="262"/>
        <v>Oct</v>
      </c>
      <c r="N5620" s="2">
        <f t="shared" si="263"/>
        <v>0.1529626247297243</v>
      </c>
    </row>
    <row r="5621" spans="1:14" x14ac:dyDescent="0.45">
      <c r="A5621" t="s">
        <v>9868</v>
      </c>
      <c r="B5621" s="1">
        <v>44659</v>
      </c>
      <c r="C5621" t="s">
        <v>9869</v>
      </c>
      <c r="D5621" t="s">
        <v>26</v>
      </c>
      <c r="E5621" t="s">
        <v>20</v>
      </c>
      <c r="F5621" t="s">
        <v>50</v>
      </c>
      <c r="G5621">
        <v>3</v>
      </c>
      <c r="H5621">
        <v>6283.18</v>
      </c>
      <c r="I5621">
        <v>722.12</v>
      </c>
      <c r="J5621" t="s">
        <v>47</v>
      </c>
      <c r="K5621" t="s">
        <v>29</v>
      </c>
      <c r="L5621">
        <f t="shared" si="261"/>
        <v>2022</v>
      </c>
      <c r="M5621" t="str">
        <f t="shared" si="262"/>
        <v>Apr</v>
      </c>
      <c r="N5621" s="2">
        <f t="shared" si="263"/>
        <v>0.11492906458194735</v>
      </c>
    </row>
    <row r="5622" spans="1:14" x14ac:dyDescent="0.45">
      <c r="A5622" t="s">
        <v>9870</v>
      </c>
      <c r="B5622" s="1">
        <v>44809</v>
      </c>
      <c r="C5622" t="s">
        <v>9871</v>
      </c>
      <c r="D5622" t="s">
        <v>26</v>
      </c>
      <c r="E5622" t="s">
        <v>20</v>
      </c>
      <c r="F5622" t="s">
        <v>27</v>
      </c>
      <c r="G5622">
        <v>4</v>
      </c>
      <c r="H5622">
        <v>44834.51</v>
      </c>
      <c r="I5622">
        <v>8067.49</v>
      </c>
      <c r="J5622" t="s">
        <v>28</v>
      </c>
      <c r="K5622" t="s">
        <v>29</v>
      </c>
      <c r="L5622">
        <f t="shared" si="261"/>
        <v>2022</v>
      </c>
      <c r="M5622" t="str">
        <f t="shared" si="262"/>
        <v>Sep</v>
      </c>
      <c r="N5622" s="2">
        <f t="shared" si="263"/>
        <v>0.17993929229961472</v>
      </c>
    </row>
    <row r="5623" spans="1:14" x14ac:dyDescent="0.45">
      <c r="A5623" t="s">
        <v>9872</v>
      </c>
      <c r="B5623" s="1">
        <v>44879</v>
      </c>
      <c r="C5623" t="s">
        <v>5963</v>
      </c>
      <c r="D5623" t="s">
        <v>13</v>
      </c>
      <c r="E5623" t="s">
        <v>20</v>
      </c>
      <c r="F5623" t="s">
        <v>27</v>
      </c>
      <c r="G5623">
        <v>2</v>
      </c>
      <c r="H5623">
        <v>15461.35</v>
      </c>
      <c r="I5623">
        <v>2926.71</v>
      </c>
      <c r="J5623" t="s">
        <v>47</v>
      </c>
      <c r="K5623" t="s">
        <v>17</v>
      </c>
      <c r="L5623">
        <f t="shared" si="261"/>
        <v>2022</v>
      </c>
      <c r="M5623" t="str">
        <f t="shared" si="262"/>
        <v>Nov</v>
      </c>
      <c r="N5623" s="2">
        <f t="shared" si="263"/>
        <v>0.18929200878319163</v>
      </c>
    </row>
    <row r="5624" spans="1:14" x14ac:dyDescent="0.45">
      <c r="A5624" t="s">
        <v>9873</v>
      </c>
      <c r="B5624" s="1">
        <v>44732</v>
      </c>
      <c r="C5624" t="s">
        <v>9874</v>
      </c>
      <c r="D5624" t="s">
        <v>26</v>
      </c>
      <c r="E5624" t="s">
        <v>36</v>
      </c>
      <c r="F5624" t="s">
        <v>64</v>
      </c>
      <c r="G5624">
        <v>4</v>
      </c>
      <c r="H5624">
        <v>41298.239999999998</v>
      </c>
      <c r="I5624">
        <v>9285.42</v>
      </c>
      <c r="J5624" t="s">
        <v>28</v>
      </c>
      <c r="K5624" t="s">
        <v>23</v>
      </c>
      <c r="L5624">
        <f t="shared" si="261"/>
        <v>2022</v>
      </c>
      <c r="M5624" t="str">
        <f t="shared" si="262"/>
        <v>Jun</v>
      </c>
      <c r="N5624" s="2">
        <f t="shared" si="263"/>
        <v>0.22483815290917969</v>
      </c>
    </row>
    <row r="5625" spans="1:14" x14ac:dyDescent="0.45">
      <c r="A5625" t="s">
        <v>9875</v>
      </c>
      <c r="B5625" s="1">
        <v>45276</v>
      </c>
      <c r="C5625" t="s">
        <v>5078</v>
      </c>
      <c r="D5625" t="s">
        <v>26</v>
      </c>
      <c r="E5625" t="s">
        <v>20</v>
      </c>
      <c r="F5625" t="s">
        <v>43</v>
      </c>
      <c r="G5625">
        <v>4</v>
      </c>
      <c r="H5625">
        <v>43200.91</v>
      </c>
      <c r="I5625">
        <v>4720.57</v>
      </c>
      <c r="J5625" t="s">
        <v>47</v>
      </c>
      <c r="K5625" t="s">
        <v>33</v>
      </c>
      <c r="L5625">
        <f t="shared" si="261"/>
        <v>2023</v>
      </c>
      <c r="M5625" t="str">
        <f t="shared" si="262"/>
        <v>Dec</v>
      </c>
      <c r="N5625" s="2">
        <f t="shared" si="263"/>
        <v>0.10927015194818811</v>
      </c>
    </row>
    <row r="5626" spans="1:14" x14ac:dyDescent="0.45">
      <c r="A5626" t="s">
        <v>9876</v>
      </c>
      <c r="B5626" s="1">
        <v>45159</v>
      </c>
      <c r="C5626" t="s">
        <v>4040</v>
      </c>
      <c r="D5626" t="s">
        <v>26</v>
      </c>
      <c r="E5626" t="s">
        <v>14</v>
      </c>
      <c r="F5626" t="s">
        <v>57</v>
      </c>
      <c r="G5626">
        <v>4</v>
      </c>
      <c r="H5626">
        <v>27019.3</v>
      </c>
      <c r="I5626">
        <v>5669.55</v>
      </c>
      <c r="J5626" t="s">
        <v>28</v>
      </c>
      <c r="K5626" t="s">
        <v>17</v>
      </c>
      <c r="L5626">
        <f t="shared" si="261"/>
        <v>2023</v>
      </c>
      <c r="M5626" t="str">
        <f t="shared" si="262"/>
        <v>Aug</v>
      </c>
      <c r="N5626" s="2">
        <f t="shared" si="263"/>
        <v>0.20983334135229265</v>
      </c>
    </row>
    <row r="5627" spans="1:14" x14ac:dyDescent="0.45">
      <c r="A5627" t="s">
        <v>9877</v>
      </c>
      <c r="B5627" s="1">
        <v>45074</v>
      </c>
      <c r="C5627" t="s">
        <v>9878</v>
      </c>
      <c r="D5627" t="s">
        <v>13</v>
      </c>
      <c r="E5627" t="s">
        <v>36</v>
      </c>
      <c r="F5627" t="s">
        <v>53</v>
      </c>
      <c r="G5627">
        <v>5</v>
      </c>
      <c r="H5627">
        <v>17523.650000000001</v>
      </c>
      <c r="I5627">
        <v>1018.36</v>
      </c>
      <c r="J5627" t="s">
        <v>16</v>
      </c>
      <c r="K5627" t="s">
        <v>23</v>
      </c>
      <c r="L5627">
        <f t="shared" si="261"/>
        <v>2023</v>
      </c>
      <c r="M5627" t="str">
        <f t="shared" si="262"/>
        <v>May</v>
      </c>
      <c r="N5627" s="2">
        <f t="shared" si="263"/>
        <v>5.8113463804629742E-2</v>
      </c>
    </row>
    <row r="5628" spans="1:14" x14ac:dyDescent="0.45">
      <c r="A5628" t="s">
        <v>9879</v>
      </c>
      <c r="B5628" s="1">
        <v>44955</v>
      </c>
      <c r="C5628" t="s">
        <v>9880</v>
      </c>
      <c r="D5628" t="s">
        <v>26</v>
      </c>
      <c r="E5628" t="s">
        <v>20</v>
      </c>
      <c r="F5628" t="s">
        <v>27</v>
      </c>
      <c r="G5628">
        <v>2</v>
      </c>
      <c r="H5628">
        <v>45463.94</v>
      </c>
      <c r="I5628">
        <v>4576.97</v>
      </c>
      <c r="J5628" t="s">
        <v>22</v>
      </c>
      <c r="K5628" t="s">
        <v>23</v>
      </c>
      <c r="L5628">
        <f t="shared" si="261"/>
        <v>2023</v>
      </c>
      <c r="M5628" t="str">
        <f t="shared" si="262"/>
        <v>Jan</v>
      </c>
      <c r="N5628" s="2">
        <f t="shared" si="263"/>
        <v>0.10067253300087937</v>
      </c>
    </row>
    <row r="5629" spans="1:14" x14ac:dyDescent="0.45">
      <c r="A5629" t="s">
        <v>9881</v>
      </c>
      <c r="B5629" s="1">
        <v>45636</v>
      </c>
      <c r="C5629" t="s">
        <v>9882</v>
      </c>
      <c r="D5629" t="s">
        <v>56</v>
      </c>
      <c r="E5629" t="s">
        <v>14</v>
      </c>
      <c r="F5629" t="s">
        <v>40</v>
      </c>
      <c r="G5629">
        <v>4</v>
      </c>
      <c r="H5629">
        <v>45336.5</v>
      </c>
      <c r="I5629">
        <v>7281.65</v>
      </c>
      <c r="J5629" t="s">
        <v>47</v>
      </c>
      <c r="K5629" t="s">
        <v>17</v>
      </c>
      <c r="L5629">
        <f t="shared" si="261"/>
        <v>2024</v>
      </c>
      <c r="M5629" t="str">
        <f t="shared" si="262"/>
        <v>Dec</v>
      </c>
      <c r="N5629" s="2">
        <f t="shared" si="263"/>
        <v>0.16061341303364837</v>
      </c>
    </row>
    <row r="5630" spans="1:14" x14ac:dyDescent="0.45">
      <c r="A5630" t="s">
        <v>9883</v>
      </c>
      <c r="B5630" s="1">
        <v>45477</v>
      </c>
      <c r="C5630" t="s">
        <v>3926</v>
      </c>
      <c r="D5630" t="s">
        <v>26</v>
      </c>
      <c r="E5630" t="s">
        <v>14</v>
      </c>
      <c r="F5630" t="s">
        <v>32</v>
      </c>
      <c r="G5630">
        <v>1</v>
      </c>
      <c r="H5630">
        <v>6679.01</v>
      </c>
      <c r="I5630">
        <v>846.39</v>
      </c>
      <c r="J5630" t="s">
        <v>71</v>
      </c>
      <c r="K5630" t="s">
        <v>23</v>
      </c>
      <c r="L5630">
        <f t="shared" si="261"/>
        <v>2024</v>
      </c>
      <c r="M5630" t="str">
        <f t="shared" si="262"/>
        <v>Jul</v>
      </c>
      <c r="N5630" s="2">
        <f t="shared" si="263"/>
        <v>0.12672387075330027</v>
      </c>
    </row>
    <row r="5631" spans="1:14" x14ac:dyDescent="0.45">
      <c r="A5631" t="s">
        <v>9884</v>
      </c>
      <c r="B5631" s="1">
        <v>44583</v>
      </c>
      <c r="C5631" t="s">
        <v>9885</v>
      </c>
      <c r="D5631" t="s">
        <v>13</v>
      </c>
      <c r="E5631" t="s">
        <v>36</v>
      </c>
      <c r="F5631" t="s">
        <v>37</v>
      </c>
      <c r="G5631">
        <v>3</v>
      </c>
      <c r="H5631">
        <v>38350.080000000002</v>
      </c>
      <c r="I5631">
        <v>7453.51</v>
      </c>
      <c r="J5631" t="s">
        <v>16</v>
      </c>
      <c r="K5631" t="s">
        <v>17</v>
      </c>
      <c r="L5631">
        <f t="shared" si="261"/>
        <v>2022</v>
      </c>
      <c r="M5631" t="str">
        <f t="shared" si="262"/>
        <v>Jan</v>
      </c>
      <c r="N5631" s="2">
        <f t="shared" si="263"/>
        <v>0.19435448374553585</v>
      </c>
    </row>
    <row r="5632" spans="1:14" x14ac:dyDescent="0.45">
      <c r="A5632" t="s">
        <v>9886</v>
      </c>
      <c r="B5632" s="1">
        <v>45612</v>
      </c>
      <c r="C5632" t="s">
        <v>226</v>
      </c>
      <c r="D5632" t="s">
        <v>56</v>
      </c>
      <c r="E5632" t="s">
        <v>14</v>
      </c>
      <c r="F5632" t="s">
        <v>57</v>
      </c>
      <c r="G5632">
        <v>5</v>
      </c>
      <c r="H5632">
        <v>41238.15</v>
      </c>
      <c r="I5632">
        <v>5007.18</v>
      </c>
      <c r="J5632" t="s">
        <v>71</v>
      </c>
      <c r="K5632" t="s">
        <v>23</v>
      </c>
      <c r="L5632">
        <f t="shared" si="261"/>
        <v>2024</v>
      </c>
      <c r="M5632" t="str">
        <f t="shared" si="262"/>
        <v>Nov</v>
      </c>
      <c r="N5632" s="2">
        <f t="shared" si="263"/>
        <v>0.12142106277803442</v>
      </c>
    </row>
    <row r="5633" spans="1:14" x14ac:dyDescent="0.45">
      <c r="A5633" t="s">
        <v>9887</v>
      </c>
      <c r="B5633" s="1">
        <v>45239</v>
      </c>
      <c r="C5633" t="s">
        <v>2427</v>
      </c>
      <c r="D5633" t="s">
        <v>13</v>
      </c>
      <c r="E5633" t="s">
        <v>14</v>
      </c>
      <c r="F5633" t="s">
        <v>32</v>
      </c>
      <c r="G5633">
        <v>5</v>
      </c>
      <c r="H5633">
        <v>5582.57</v>
      </c>
      <c r="I5633">
        <v>1100.33</v>
      </c>
      <c r="J5633" t="s">
        <v>47</v>
      </c>
      <c r="K5633" t="s">
        <v>33</v>
      </c>
      <c r="L5633">
        <f t="shared" si="261"/>
        <v>2023</v>
      </c>
      <c r="M5633" t="str">
        <f t="shared" si="262"/>
        <v>Nov</v>
      </c>
      <c r="N5633" s="2">
        <f t="shared" si="263"/>
        <v>0.19710097679025967</v>
      </c>
    </row>
    <row r="5634" spans="1:14" x14ac:dyDescent="0.45">
      <c r="A5634" t="s">
        <v>9888</v>
      </c>
      <c r="B5634" s="1">
        <v>44688</v>
      </c>
      <c r="C5634" t="s">
        <v>9889</v>
      </c>
      <c r="D5634" t="s">
        <v>13</v>
      </c>
      <c r="E5634" t="s">
        <v>36</v>
      </c>
      <c r="F5634" t="s">
        <v>53</v>
      </c>
      <c r="G5634">
        <v>1</v>
      </c>
      <c r="H5634">
        <v>27506.32</v>
      </c>
      <c r="I5634">
        <v>4903.29</v>
      </c>
      <c r="J5634" t="s">
        <v>71</v>
      </c>
      <c r="K5634" t="s">
        <v>23</v>
      </c>
      <c r="L5634">
        <f t="shared" si="261"/>
        <v>2022</v>
      </c>
      <c r="M5634" t="str">
        <f t="shared" si="262"/>
        <v>May</v>
      </c>
      <c r="N5634" s="2">
        <f t="shared" si="263"/>
        <v>0.17826048704443198</v>
      </c>
    </row>
    <row r="5635" spans="1:14" x14ac:dyDescent="0.45">
      <c r="A5635" t="s">
        <v>9890</v>
      </c>
      <c r="B5635" s="1">
        <v>44886</v>
      </c>
      <c r="C5635" t="s">
        <v>9891</v>
      </c>
      <c r="D5635" t="s">
        <v>13</v>
      </c>
      <c r="E5635" t="s">
        <v>36</v>
      </c>
      <c r="F5635" t="s">
        <v>37</v>
      </c>
      <c r="G5635">
        <v>1</v>
      </c>
      <c r="H5635">
        <v>49028.83</v>
      </c>
      <c r="I5635">
        <v>10246.09</v>
      </c>
      <c r="J5635" t="s">
        <v>71</v>
      </c>
      <c r="K5635" t="s">
        <v>29</v>
      </c>
      <c r="L5635">
        <f t="shared" ref="L5635:L5698" si="264">YEAR(B5635 )</f>
        <v>2022</v>
      </c>
      <c r="M5635" t="str">
        <f t="shared" ref="M5635:M5698" si="265">TEXT(B5635,"MMM")</f>
        <v>Nov</v>
      </c>
      <c r="N5635" s="2">
        <f t="shared" ref="N5635:N5698" si="266">I5635 / H5635</f>
        <v>0.20898092000155827</v>
      </c>
    </row>
    <row r="5636" spans="1:14" x14ac:dyDescent="0.45">
      <c r="A5636" t="s">
        <v>9892</v>
      </c>
      <c r="B5636" s="1">
        <v>45361</v>
      </c>
      <c r="C5636" t="s">
        <v>9893</v>
      </c>
      <c r="D5636" t="s">
        <v>13</v>
      </c>
      <c r="E5636" t="s">
        <v>14</v>
      </c>
      <c r="F5636" t="s">
        <v>32</v>
      </c>
      <c r="G5636">
        <v>5</v>
      </c>
      <c r="H5636">
        <v>12001.73</v>
      </c>
      <c r="I5636">
        <v>1347.08</v>
      </c>
      <c r="J5636" t="s">
        <v>47</v>
      </c>
      <c r="K5636" t="s">
        <v>23</v>
      </c>
      <c r="L5636">
        <f t="shared" si="264"/>
        <v>2024</v>
      </c>
      <c r="M5636" t="str">
        <f t="shared" si="265"/>
        <v>Mar</v>
      </c>
      <c r="N5636" s="2">
        <f t="shared" si="266"/>
        <v>0.11224048533003159</v>
      </c>
    </row>
    <row r="5637" spans="1:14" x14ac:dyDescent="0.45">
      <c r="A5637" t="s">
        <v>9894</v>
      </c>
      <c r="B5637" s="1">
        <v>44965</v>
      </c>
      <c r="C5637" t="s">
        <v>2459</v>
      </c>
      <c r="D5637" t="s">
        <v>26</v>
      </c>
      <c r="E5637" t="s">
        <v>20</v>
      </c>
      <c r="F5637" t="s">
        <v>27</v>
      </c>
      <c r="G5637">
        <v>2</v>
      </c>
      <c r="H5637">
        <v>33610.160000000003</v>
      </c>
      <c r="I5637">
        <v>7855.9</v>
      </c>
      <c r="J5637" t="s">
        <v>28</v>
      </c>
      <c r="K5637" t="s">
        <v>17</v>
      </c>
      <c r="L5637">
        <f t="shared" si="264"/>
        <v>2023</v>
      </c>
      <c r="M5637" t="str">
        <f t="shared" si="265"/>
        <v>Feb</v>
      </c>
      <c r="N5637" s="2">
        <f t="shared" si="266"/>
        <v>0.23373587034396739</v>
      </c>
    </row>
    <row r="5638" spans="1:14" x14ac:dyDescent="0.45">
      <c r="A5638" t="s">
        <v>9895</v>
      </c>
      <c r="B5638" s="1">
        <v>44898</v>
      </c>
      <c r="C5638" t="s">
        <v>9896</v>
      </c>
      <c r="D5638" t="s">
        <v>13</v>
      </c>
      <c r="E5638" t="s">
        <v>14</v>
      </c>
      <c r="F5638" t="s">
        <v>57</v>
      </c>
      <c r="G5638">
        <v>1</v>
      </c>
      <c r="H5638">
        <v>18396.73</v>
      </c>
      <c r="I5638">
        <v>3587.08</v>
      </c>
      <c r="J5638" t="s">
        <v>71</v>
      </c>
      <c r="K5638" t="s">
        <v>29</v>
      </c>
      <c r="L5638">
        <f t="shared" si="264"/>
        <v>2022</v>
      </c>
      <c r="M5638" t="str">
        <f t="shared" si="265"/>
        <v>Dec</v>
      </c>
      <c r="N5638" s="2">
        <f t="shared" si="266"/>
        <v>0.19498465216372693</v>
      </c>
    </row>
    <row r="5639" spans="1:14" x14ac:dyDescent="0.45">
      <c r="A5639" t="s">
        <v>9897</v>
      </c>
      <c r="B5639" s="1">
        <v>45057</v>
      </c>
      <c r="C5639" t="s">
        <v>9898</v>
      </c>
      <c r="D5639" t="s">
        <v>13</v>
      </c>
      <c r="E5639" t="s">
        <v>14</v>
      </c>
      <c r="F5639" t="s">
        <v>57</v>
      </c>
      <c r="G5639">
        <v>2</v>
      </c>
      <c r="H5639">
        <v>47661.26</v>
      </c>
      <c r="I5639">
        <v>4927.08</v>
      </c>
      <c r="J5639" t="s">
        <v>71</v>
      </c>
      <c r="K5639" t="s">
        <v>29</v>
      </c>
      <c r="L5639">
        <f t="shared" si="264"/>
        <v>2023</v>
      </c>
      <c r="M5639" t="str">
        <f t="shared" si="265"/>
        <v>May</v>
      </c>
      <c r="N5639" s="2">
        <f t="shared" si="266"/>
        <v>0.10337704038877696</v>
      </c>
    </row>
    <row r="5640" spans="1:14" x14ac:dyDescent="0.45">
      <c r="A5640" t="s">
        <v>9899</v>
      </c>
      <c r="B5640" s="1">
        <v>45175</v>
      </c>
      <c r="C5640" t="s">
        <v>9900</v>
      </c>
      <c r="D5640" t="s">
        <v>56</v>
      </c>
      <c r="E5640" t="s">
        <v>20</v>
      </c>
      <c r="F5640" t="s">
        <v>50</v>
      </c>
      <c r="G5640">
        <v>2</v>
      </c>
      <c r="H5640">
        <v>21650.46</v>
      </c>
      <c r="I5640">
        <v>3602.59</v>
      </c>
      <c r="J5640" t="s">
        <v>28</v>
      </c>
      <c r="K5640" t="s">
        <v>29</v>
      </c>
      <c r="L5640">
        <f t="shared" si="264"/>
        <v>2023</v>
      </c>
      <c r="M5640" t="str">
        <f t="shared" si="265"/>
        <v>Sep</v>
      </c>
      <c r="N5640" s="2">
        <f t="shared" si="266"/>
        <v>0.16639785020733971</v>
      </c>
    </row>
    <row r="5641" spans="1:14" x14ac:dyDescent="0.45">
      <c r="A5641" t="s">
        <v>9901</v>
      </c>
      <c r="B5641" s="1">
        <v>45472</v>
      </c>
      <c r="C5641" t="s">
        <v>9902</v>
      </c>
      <c r="D5641" t="s">
        <v>13</v>
      </c>
      <c r="E5641" t="s">
        <v>36</v>
      </c>
      <c r="F5641" t="s">
        <v>37</v>
      </c>
      <c r="G5641">
        <v>2</v>
      </c>
      <c r="H5641">
        <v>46424.85</v>
      </c>
      <c r="I5641">
        <v>3382.42</v>
      </c>
      <c r="J5641" t="s">
        <v>71</v>
      </c>
      <c r="K5641" t="s">
        <v>23</v>
      </c>
      <c r="L5641">
        <f t="shared" si="264"/>
        <v>2024</v>
      </c>
      <c r="M5641" t="str">
        <f t="shared" si="265"/>
        <v>Jun</v>
      </c>
      <c r="N5641" s="2">
        <f t="shared" si="266"/>
        <v>7.2857962922874289E-2</v>
      </c>
    </row>
    <row r="5642" spans="1:14" x14ac:dyDescent="0.45">
      <c r="A5642" t="s">
        <v>9903</v>
      </c>
      <c r="B5642" s="1">
        <v>45352</v>
      </c>
      <c r="C5642" t="s">
        <v>66</v>
      </c>
      <c r="D5642" t="s">
        <v>26</v>
      </c>
      <c r="E5642" t="s">
        <v>36</v>
      </c>
      <c r="F5642" t="s">
        <v>46</v>
      </c>
      <c r="G5642">
        <v>5</v>
      </c>
      <c r="H5642">
        <v>18743.650000000001</v>
      </c>
      <c r="I5642">
        <v>3612.13</v>
      </c>
      <c r="J5642" t="s">
        <v>47</v>
      </c>
      <c r="K5642" t="s">
        <v>23</v>
      </c>
      <c r="L5642">
        <f t="shared" si="264"/>
        <v>2024</v>
      </c>
      <c r="M5642" t="str">
        <f t="shared" si="265"/>
        <v>Mar</v>
      </c>
      <c r="N5642" s="2">
        <f t="shared" si="266"/>
        <v>0.19271219853123589</v>
      </c>
    </row>
    <row r="5643" spans="1:14" x14ac:dyDescent="0.45">
      <c r="A5643" t="s">
        <v>9904</v>
      </c>
      <c r="B5643" s="1">
        <v>45584</v>
      </c>
      <c r="C5643" t="s">
        <v>3918</v>
      </c>
      <c r="D5643" t="s">
        <v>13</v>
      </c>
      <c r="E5643" t="s">
        <v>20</v>
      </c>
      <c r="F5643" t="s">
        <v>27</v>
      </c>
      <c r="G5643">
        <v>4</v>
      </c>
      <c r="H5643">
        <v>4127.87</v>
      </c>
      <c r="I5643">
        <v>618</v>
      </c>
      <c r="J5643" t="s">
        <v>16</v>
      </c>
      <c r="K5643" t="s">
        <v>29</v>
      </c>
      <c r="L5643">
        <f t="shared" si="264"/>
        <v>2024</v>
      </c>
      <c r="M5643" t="str">
        <f t="shared" si="265"/>
        <v>Oct</v>
      </c>
      <c r="N5643" s="2">
        <f t="shared" si="266"/>
        <v>0.14971401715654806</v>
      </c>
    </row>
    <row r="5644" spans="1:14" x14ac:dyDescent="0.45">
      <c r="A5644" t="s">
        <v>9905</v>
      </c>
      <c r="B5644" s="1">
        <v>45309</v>
      </c>
      <c r="C5644" t="s">
        <v>6387</v>
      </c>
      <c r="D5644" t="s">
        <v>13</v>
      </c>
      <c r="E5644" t="s">
        <v>14</v>
      </c>
      <c r="F5644" t="s">
        <v>57</v>
      </c>
      <c r="G5644">
        <v>3</v>
      </c>
      <c r="H5644">
        <v>34991.39</v>
      </c>
      <c r="I5644">
        <v>5862.42</v>
      </c>
      <c r="J5644" t="s">
        <v>71</v>
      </c>
      <c r="K5644" t="s">
        <v>29</v>
      </c>
      <c r="L5644">
        <f t="shared" si="264"/>
        <v>2024</v>
      </c>
      <c r="M5644" t="str">
        <f t="shared" si="265"/>
        <v>Jan</v>
      </c>
      <c r="N5644" s="2">
        <f t="shared" si="266"/>
        <v>0.16753892886221439</v>
      </c>
    </row>
    <row r="5645" spans="1:14" x14ac:dyDescent="0.45">
      <c r="A5645" t="s">
        <v>9906</v>
      </c>
      <c r="B5645" s="1">
        <v>45205</v>
      </c>
      <c r="C5645" t="s">
        <v>2884</v>
      </c>
      <c r="D5645" t="s">
        <v>13</v>
      </c>
      <c r="E5645" t="s">
        <v>20</v>
      </c>
      <c r="F5645" t="s">
        <v>50</v>
      </c>
      <c r="G5645">
        <v>3</v>
      </c>
      <c r="H5645">
        <v>9227.1200000000008</v>
      </c>
      <c r="I5645">
        <v>690.07</v>
      </c>
      <c r="J5645" t="s">
        <v>71</v>
      </c>
      <c r="K5645" t="s">
        <v>17</v>
      </c>
      <c r="L5645">
        <f t="shared" si="264"/>
        <v>2023</v>
      </c>
      <c r="M5645" t="str">
        <f t="shared" si="265"/>
        <v>Oct</v>
      </c>
      <c r="N5645" s="2">
        <f t="shared" si="266"/>
        <v>7.4787149186311658E-2</v>
      </c>
    </row>
    <row r="5646" spans="1:14" x14ac:dyDescent="0.45">
      <c r="A5646" t="s">
        <v>9907</v>
      </c>
      <c r="B5646" s="1">
        <v>44601</v>
      </c>
      <c r="C5646" t="s">
        <v>9908</v>
      </c>
      <c r="D5646" t="s">
        <v>26</v>
      </c>
      <c r="E5646" t="s">
        <v>36</v>
      </c>
      <c r="F5646" t="s">
        <v>64</v>
      </c>
      <c r="G5646">
        <v>1</v>
      </c>
      <c r="H5646">
        <v>19516.16</v>
      </c>
      <c r="I5646">
        <v>1948.75</v>
      </c>
      <c r="J5646" t="s">
        <v>28</v>
      </c>
      <c r="K5646" t="s">
        <v>29</v>
      </c>
      <c r="L5646">
        <f t="shared" si="264"/>
        <v>2022</v>
      </c>
      <c r="M5646" t="str">
        <f t="shared" si="265"/>
        <v>Feb</v>
      </c>
      <c r="N5646" s="2">
        <f t="shared" si="266"/>
        <v>9.9853147340460413E-2</v>
      </c>
    </row>
    <row r="5647" spans="1:14" x14ac:dyDescent="0.45">
      <c r="A5647" t="s">
        <v>9909</v>
      </c>
      <c r="B5647" s="1">
        <v>45548</v>
      </c>
      <c r="C5647" t="s">
        <v>3080</v>
      </c>
      <c r="D5647" t="s">
        <v>26</v>
      </c>
      <c r="E5647" t="s">
        <v>20</v>
      </c>
      <c r="F5647" t="s">
        <v>27</v>
      </c>
      <c r="G5647">
        <v>4</v>
      </c>
      <c r="H5647">
        <v>44902.87</v>
      </c>
      <c r="I5647">
        <v>10581.75</v>
      </c>
      <c r="J5647" t="s">
        <v>71</v>
      </c>
      <c r="K5647" t="s">
        <v>17</v>
      </c>
      <c r="L5647">
        <f t="shared" si="264"/>
        <v>2024</v>
      </c>
      <c r="M5647" t="str">
        <f t="shared" si="265"/>
        <v>Sep</v>
      </c>
      <c r="N5647" s="2">
        <f t="shared" si="266"/>
        <v>0.23565865611708114</v>
      </c>
    </row>
    <row r="5648" spans="1:14" x14ac:dyDescent="0.45">
      <c r="A5648" t="s">
        <v>9910</v>
      </c>
      <c r="B5648" s="1">
        <v>44997</v>
      </c>
      <c r="C5648" t="s">
        <v>9911</v>
      </c>
      <c r="D5648" t="s">
        <v>13</v>
      </c>
      <c r="E5648" t="s">
        <v>20</v>
      </c>
      <c r="F5648" t="s">
        <v>27</v>
      </c>
      <c r="G5648">
        <v>1</v>
      </c>
      <c r="H5648">
        <v>649.79</v>
      </c>
      <c r="I5648">
        <v>99.69</v>
      </c>
      <c r="J5648" t="s">
        <v>47</v>
      </c>
      <c r="K5648" t="s">
        <v>29</v>
      </c>
      <c r="L5648">
        <f t="shared" si="264"/>
        <v>2023</v>
      </c>
      <c r="M5648" t="str">
        <f t="shared" si="265"/>
        <v>Mar</v>
      </c>
      <c r="N5648" s="2">
        <f t="shared" si="266"/>
        <v>0.15341879684205667</v>
      </c>
    </row>
    <row r="5649" spans="1:14" x14ac:dyDescent="0.45">
      <c r="A5649" t="s">
        <v>9912</v>
      </c>
      <c r="B5649" s="1">
        <v>44690</v>
      </c>
      <c r="C5649" t="s">
        <v>802</v>
      </c>
      <c r="D5649" t="s">
        <v>56</v>
      </c>
      <c r="E5649" t="s">
        <v>20</v>
      </c>
      <c r="F5649" t="s">
        <v>21</v>
      </c>
      <c r="G5649">
        <v>5</v>
      </c>
      <c r="H5649">
        <v>40497.230000000003</v>
      </c>
      <c r="I5649">
        <v>5510.81</v>
      </c>
      <c r="J5649" t="s">
        <v>22</v>
      </c>
      <c r="K5649" t="s">
        <v>29</v>
      </c>
      <c r="L5649">
        <f t="shared" si="264"/>
        <v>2022</v>
      </c>
      <c r="M5649" t="str">
        <f t="shared" si="265"/>
        <v>May</v>
      </c>
      <c r="N5649" s="2">
        <f t="shared" si="266"/>
        <v>0.13607868982643997</v>
      </c>
    </row>
    <row r="5650" spans="1:14" x14ac:dyDescent="0.45">
      <c r="A5650" t="s">
        <v>9913</v>
      </c>
      <c r="B5650" s="1">
        <v>45635</v>
      </c>
      <c r="C5650" t="s">
        <v>2197</v>
      </c>
      <c r="D5650" t="s">
        <v>56</v>
      </c>
      <c r="E5650" t="s">
        <v>20</v>
      </c>
      <c r="F5650" t="s">
        <v>50</v>
      </c>
      <c r="G5650">
        <v>2</v>
      </c>
      <c r="H5650">
        <v>9026.58</v>
      </c>
      <c r="I5650">
        <v>1607.23</v>
      </c>
      <c r="J5650" t="s">
        <v>47</v>
      </c>
      <c r="K5650" t="s">
        <v>23</v>
      </c>
      <c r="L5650">
        <f t="shared" si="264"/>
        <v>2024</v>
      </c>
      <c r="M5650" t="str">
        <f t="shared" si="265"/>
        <v>Dec</v>
      </c>
      <c r="N5650" s="2">
        <f t="shared" si="266"/>
        <v>0.17805525459254778</v>
      </c>
    </row>
    <row r="5651" spans="1:14" x14ac:dyDescent="0.45">
      <c r="A5651" t="s">
        <v>9914</v>
      </c>
      <c r="B5651" s="1">
        <v>45034</v>
      </c>
      <c r="C5651" t="s">
        <v>2467</v>
      </c>
      <c r="D5651" t="s">
        <v>56</v>
      </c>
      <c r="E5651" t="s">
        <v>20</v>
      </c>
      <c r="F5651" t="s">
        <v>43</v>
      </c>
      <c r="G5651">
        <v>1</v>
      </c>
      <c r="H5651">
        <v>49472.959999999999</v>
      </c>
      <c r="I5651">
        <v>4733.83</v>
      </c>
      <c r="J5651" t="s">
        <v>47</v>
      </c>
      <c r="K5651" t="s">
        <v>23</v>
      </c>
      <c r="L5651">
        <f t="shared" si="264"/>
        <v>2023</v>
      </c>
      <c r="M5651" t="str">
        <f t="shared" si="265"/>
        <v>Apr</v>
      </c>
      <c r="N5651" s="2">
        <f t="shared" si="266"/>
        <v>9.5685198540778643E-2</v>
      </c>
    </row>
    <row r="5652" spans="1:14" x14ac:dyDescent="0.45">
      <c r="A5652" t="s">
        <v>9915</v>
      </c>
      <c r="B5652" s="1">
        <v>45157</v>
      </c>
      <c r="C5652" t="s">
        <v>3162</v>
      </c>
      <c r="D5652" t="s">
        <v>13</v>
      </c>
      <c r="E5652" t="s">
        <v>14</v>
      </c>
      <c r="F5652" t="s">
        <v>32</v>
      </c>
      <c r="G5652">
        <v>5</v>
      </c>
      <c r="H5652">
        <v>12432.72</v>
      </c>
      <c r="I5652">
        <v>1861.43</v>
      </c>
      <c r="J5652" t="s">
        <v>16</v>
      </c>
      <c r="K5652" t="s">
        <v>33</v>
      </c>
      <c r="L5652">
        <f t="shared" si="264"/>
        <v>2023</v>
      </c>
      <c r="M5652" t="str">
        <f t="shared" si="265"/>
        <v>Aug</v>
      </c>
      <c r="N5652" s="2">
        <f t="shared" si="266"/>
        <v>0.14972025429672672</v>
      </c>
    </row>
    <row r="5653" spans="1:14" x14ac:dyDescent="0.45">
      <c r="A5653" t="s">
        <v>9916</v>
      </c>
      <c r="B5653" s="1">
        <v>45604</v>
      </c>
      <c r="C5653" t="s">
        <v>4923</v>
      </c>
      <c r="D5653" t="s">
        <v>26</v>
      </c>
      <c r="E5653" t="s">
        <v>14</v>
      </c>
      <c r="F5653" t="s">
        <v>57</v>
      </c>
      <c r="G5653">
        <v>5</v>
      </c>
      <c r="H5653">
        <v>41589.03</v>
      </c>
      <c r="I5653">
        <v>9724.2000000000007</v>
      </c>
      <c r="J5653" t="s">
        <v>71</v>
      </c>
      <c r="K5653" t="s">
        <v>23</v>
      </c>
      <c r="L5653">
        <f t="shared" si="264"/>
        <v>2024</v>
      </c>
      <c r="M5653" t="str">
        <f t="shared" si="265"/>
        <v>Nov</v>
      </c>
      <c r="N5653" s="2">
        <f t="shared" si="266"/>
        <v>0.23381646554391869</v>
      </c>
    </row>
    <row r="5654" spans="1:14" x14ac:dyDescent="0.45">
      <c r="A5654" t="s">
        <v>9917</v>
      </c>
      <c r="B5654" s="1">
        <v>45240</v>
      </c>
      <c r="C5654" t="s">
        <v>4103</v>
      </c>
      <c r="D5654" t="s">
        <v>56</v>
      </c>
      <c r="E5654" t="s">
        <v>20</v>
      </c>
      <c r="F5654" t="s">
        <v>43</v>
      </c>
      <c r="G5654">
        <v>2</v>
      </c>
      <c r="H5654">
        <v>1760.07</v>
      </c>
      <c r="I5654">
        <v>125.19</v>
      </c>
      <c r="J5654" t="s">
        <v>28</v>
      </c>
      <c r="K5654" t="s">
        <v>17</v>
      </c>
      <c r="L5654">
        <f t="shared" si="264"/>
        <v>2023</v>
      </c>
      <c r="M5654" t="str">
        <f t="shared" si="265"/>
        <v>Nov</v>
      </c>
      <c r="N5654" s="2">
        <f t="shared" si="266"/>
        <v>7.1127852869488153E-2</v>
      </c>
    </row>
    <row r="5655" spans="1:14" x14ac:dyDescent="0.45">
      <c r="A5655" t="s">
        <v>9918</v>
      </c>
      <c r="B5655" s="1">
        <v>45500</v>
      </c>
      <c r="C5655" t="s">
        <v>9919</v>
      </c>
      <c r="D5655" t="s">
        <v>26</v>
      </c>
      <c r="E5655" t="s">
        <v>20</v>
      </c>
      <c r="F5655" t="s">
        <v>43</v>
      </c>
      <c r="G5655">
        <v>1</v>
      </c>
      <c r="H5655">
        <v>33167.29</v>
      </c>
      <c r="I5655">
        <v>2922.33</v>
      </c>
      <c r="J5655" t="s">
        <v>71</v>
      </c>
      <c r="K5655" t="s">
        <v>23</v>
      </c>
      <c r="L5655">
        <f t="shared" si="264"/>
        <v>2024</v>
      </c>
      <c r="M5655" t="str">
        <f t="shared" si="265"/>
        <v>Jul</v>
      </c>
      <c r="N5655" s="2">
        <f t="shared" si="266"/>
        <v>8.8108796347244528E-2</v>
      </c>
    </row>
    <row r="5656" spans="1:14" x14ac:dyDescent="0.45">
      <c r="A5656" t="s">
        <v>9920</v>
      </c>
      <c r="B5656" s="1">
        <v>44885</v>
      </c>
      <c r="C5656" t="s">
        <v>9921</v>
      </c>
      <c r="D5656" t="s">
        <v>26</v>
      </c>
      <c r="E5656" t="s">
        <v>36</v>
      </c>
      <c r="F5656" t="s">
        <v>46</v>
      </c>
      <c r="G5656">
        <v>1</v>
      </c>
      <c r="H5656">
        <v>28629.64</v>
      </c>
      <c r="I5656">
        <v>3427.16</v>
      </c>
      <c r="J5656" t="s">
        <v>47</v>
      </c>
      <c r="K5656" t="s">
        <v>33</v>
      </c>
      <c r="L5656">
        <f t="shared" si="264"/>
        <v>2022</v>
      </c>
      <c r="M5656" t="str">
        <f t="shared" si="265"/>
        <v>Nov</v>
      </c>
      <c r="N5656" s="2">
        <f t="shared" si="266"/>
        <v>0.1197067095499629</v>
      </c>
    </row>
    <row r="5657" spans="1:14" x14ac:dyDescent="0.45">
      <c r="A5657" t="s">
        <v>9922</v>
      </c>
      <c r="B5657" s="1">
        <v>44860</v>
      </c>
      <c r="C5657" t="s">
        <v>9923</v>
      </c>
      <c r="D5657" t="s">
        <v>13</v>
      </c>
      <c r="E5657" t="s">
        <v>20</v>
      </c>
      <c r="F5657" t="s">
        <v>43</v>
      </c>
      <c r="G5657">
        <v>4</v>
      </c>
      <c r="H5657">
        <v>44856.63</v>
      </c>
      <c r="I5657">
        <v>8216.52</v>
      </c>
      <c r="J5657" t="s">
        <v>22</v>
      </c>
      <c r="K5657" t="s">
        <v>33</v>
      </c>
      <c r="L5657">
        <f t="shared" si="264"/>
        <v>2022</v>
      </c>
      <c r="M5657" t="str">
        <f t="shared" si="265"/>
        <v>Oct</v>
      </c>
      <c r="N5657" s="2">
        <f t="shared" si="266"/>
        <v>0.18317292226366538</v>
      </c>
    </row>
    <row r="5658" spans="1:14" x14ac:dyDescent="0.45">
      <c r="A5658" t="s">
        <v>9924</v>
      </c>
      <c r="B5658" s="1">
        <v>44633</v>
      </c>
      <c r="C5658" t="s">
        <v>9925</v>
      </c>
      <c r="D5658" t="s">
        <v>26</v>
      </c>
      <c r="E5658" t="s">
        <v>14</v>
      </c>
      <c r="F5658" t="s">
        <v>57</v>
      </c>
      <c r="G5658">
        <v>1</v>
      </c>
      <c r="H5658">
        <v>2151.9</v>
      </c>
      <c r="I5658">
        <v>452.59</v>
      </c>
      <c r="J5658" t="s">
        <v>22</v>
      </c>
      <c r="K5658" t="s">
        <v>17</v>
      </c>
      <c r="L5658">
        <f t="shared" si="264"/>
        <v>2022</v>
      </c>
      <c r="M5658" t="str">
        <f t="shared" si="265"/>
        <v>Mar</v>
      </c>
      <c r="N5658" s="2">
        <f t="shared" si="266"/>
        <v>0.2103211115758167</v>
      </c>
    </row>
    <row r="5659" spans="1:14" x14ac:dyDescent="0.45">
      <c r="A5659" t="s">
        <v>9926</v>
      </c>
      <c r="B5659" s="1">
        <v>44734</v>
      </c>
      <c r="C5659" t="s">
        <v>9927</v>
      </c>
      <c r="D5659" t="s">
        <v>56</v>
      </c>
      <c r="E5659" t="s">
        <v>36</v>
      </c>
      <c r="F5659" t="s">
        <v>53</v>
      </c>
      <c r="G5659">
        <v>3</v>
      </c>
      <c r="H5659">
        <v>10559.43</v>
      </c>
      <c r="I5659">
        <v>1515.66</v>
      </c>
      <c r="J5659" t="s">
        <v>16</v>
      </c>
      <c r="K5659" t="s">
        <v>33</v>
      </c>
      <c r="L5659">
        <f t="shared" si="264"/>
        <v>2022</v>
      </c>
      <c r="M5659" t="str">
        <f t="shared" si="265"/>
        <v>Jun</v>
      </c>
      <c r="N5659" s="2">
        <f t="shared" si="266"/>
        <v>0.14353615678118989</v>
      </c>
    </row>
    <row r="5660" spans="1:14" x14ac:dyDescent="0.45">
      <c r="A5660" t="s">
        <v>9928</v>
      </c>
      <c r="B5660" s="1">
        <v>45152</v>
      </c>
      <c r="C5660" t="s">
        <v>3559</v>
      </c>
      <c r="D5660" t="s">
        <v>56</v>
      </c>
      <c r="E5660" t="s">
        <v>20</v>
      </c>
      <c r="F5660" t="s">
        <v>27</v>
      </c>
      <c r="G5660">
        <v>2</v>
      </c>
      <c r="H5660">
        <v>14036.41</v>
      </c>
      <c r="I5660">
        <v>1342.95</v>
      </c>
      <c r="J5660" t="s">
        <v>71</v>
      </c>
      <c r="K5660" t="s">
        <v>29</v>
      </c>
      <c r="L5660">
        <f t="shared" si="264"/>
        <v>2023</v>
      </c>
      <c r="M5660" t="str">
        <f t="shared" si="265"/>
        <v>Aug</v>
      </c>
      <c r="N5660" s="2">
        <f t="shared" si="266"/>
        <v>9.5676173608493911E-2</v>
      </c>
    </row>
    <row r="5661" spans="1:14" x14ac:dyDescent="0.45">
      <c r="A5661" t="s">
        <v>9929</v>
      </c>
      <c r="B5661" s="1">
        <v>45624</v>
      </c>
      <c r="C5661" t="s">
        <v>9930</v>
      </c>
      <c r="D5661" t="s">
        <v>26</v>
      </c>
      <c r="E5661" t="s">
        <v>36</v>
      </c>
      <c r="F5661" t="s">
        <v>37</v>
      </c>
      <c r="G5661">
        <v>2</v>
      </c>
      <c r="H5661">
        <v>33620.57</v>
      </c>
      <c r="I5661">
        <v>7229.7</v>
      </c>
      <c r="J5661" t="s">
        <v>28</v>
      </c>
      <c r="K5661" t="s">
        <v>23</v>
      </c>
      <c r="L5661">
        <f t="shared" si="264"/>
        <v>2024</v>
      </c>
      <c r="M5661" t="str">
        <f t="shared" si="265"/>
        <v>Nov</v>
      </c>
      <c r="N5661" s="2">
        <f t="shared" si="266"/>
        <v>0.21503799608394503</v>
      </c>
    </row>
    <row r="5662" spans="1:14" x14ac:dyDescent="0.45">
      <c r="A5662" t="s">
        <v>9931</v>
      </c>
      <c r="B5662" s="1">
        <v>44829</v>
      </c>
      <c r="C5662" t="s">
        <v>1614</v>
      </c>
      <c r="D5662" t="s">
        <v>56</v>
      </c>
      <c r="E5662" t="s">
        <v>36</v>
      </c>
      <c r="F5662" t="s">
        <v>46</v>
      </c>
      <c r="G5662">
        <v>3</v>
      </c>
      <c r="H5662">
        <v>13999.11</v>
      </c>
      <c r="I5662">
        <v>3386.68</v>
      </c>
      <c r="J5662" t="s">
        <v>47</v>
      </c>
      <c r="K5662" t="s">
        <v>23</v>
      </c>
      <c r="L5662">
        <f t="shared" si="264"/>
        <v>2022</v>
      </c>
      <c r="M5662" t="str">
        <f t="shared" si="265"/>
        <v>Sep</v>
      </c>
      <c r="N5662" s="2">
        <f t="shared" si="266"/>
        <v>0.24192109355523314</v>
      </c>
    </row>
    <row r="5663" spans="1:14" x14ac:dyDescent="0.45">
      <c r="A5663" t="s">
        <v>9932</v>
      </c>
      <c r="B5663" s="1">
        <v>44875</v>
      </c>
      <c r="C5663" t="s">
        <v>9933</v>
      </c>
      <c r="D5663" t="s">
        <v>26</v>
      </c>
      <c r="E5663" t="s">
        <v>14</v>
      </c>
      <c r="F5663" t="s">
        <v>57</v>
      </c>
      <c r="G5663">
        <v>2</v>
      </c>
      <c r="H5663">
        <v>20989.33</v>
      </c>
      <c r="I5663">
        <v>3169.3</v>
      </c>
      <c r="J5663" t="s">
        <v>22</v>
      </c>
      <c r="K5663" t="s">
        <v>23</v>
      </c>
      <c r="L5663">
        <f t="shared" si="264"/>
        <v>2022</v>
      </c>
      <c r="M5663" t="str">
        <f t="shared" si="265"/>
        <v>Nov</v>
      </c>
      <c r="N5663" s="2">
        <f t="shared" si="266"/>
        <v>0.15099576784966456</v>
      </c>
    </row>
    <row r="5664" spans="1:14" x14ac:dyDescent="0.45">
      <c r="A5664" t="s">
        <v>9934</v>
      </c>
      <c r="B5664" s="1">
        <v>44890</v>
      </c>
      <c r="C5664" t="s">
        <v>9935</v>
      </c>
      <c r="D5664" t="s">
        <v>26</v>
      </c>
      <c r="E5664" t="s">
        <v>20</v>
      </c>
      <c r="F5664" t="s">
        <v>43</v>
      </c>
      <c r="G5664">
        <v>5</v>
      </c>
      <c r="H5664">
        <v>37088.870000000003</v>
      </c>
      <c r="I5664">
        <v>8514.66</v>
      </c>
      <c r="J5664" t="s">
        <v>22</v>
      </c>
      <c r="K5664" t="s">
        <v>17</v>
      </c>
      <c r="L5664">
        <f t="shared" si="264"/>
        <v>2022</v>
      </c>
      <c r="M5664" t="str">
        <f t="shared" si="265"/>
        <v>Nov</v>
      </c>
      <c r="N5664" s="2">
        <f t="shared" si="266"/>
        <v>0.22957453273717962</v>
      </c>
    </row>
    <row r="5665" spans="1:14" x14ac:dyDescent="0.45">
      <c r="A5665" t="s">
        <v>9936</v>
      </c>
      <c r="B5665" s="1">
        <v>45370</v>
      </c>
      <c r="C5665" t="s">
        <v>9937</v>
      </c>
      <c r="D5665" t="s">
        <v>56</v>
      </c>
      <c r="E5665" t="s">
        <v>36</v>
      </c>
      <c r="F5665" t="s">
        <v>37</v>
      </c>
      <c r="G5665">
        <v>3</v>
      </c>
      <c r="H5665">
        <v>27395.49</v>
      </c>
      <c r="I5665">
        <v>2626.08</v>
      </c>
      <c r="J5665" t="s">
        <v>71</v>
      </c>
      <c r="K5665" t="s">
        <v>29</v>
      </c>
      <c r="L5665">
        <f t="shared" si="264"/>
        <v>2024</v>
      </c>
      <c r="M5665" t="str">
        <f t="shared" si="265"/>
        <v>Mar</v>
      </c>
      <c r="N5665" s="2">
        <f t="shared" si="266"/>
        <v>9.5858113872027834E-2</v>
      </c>
    </row>
    <row r="5666" spans="1:14" x14ac:dyDescent="0.45">
      <c r="A5666" t="s">
        <v>9938</v>
      </c>
      <c r="B5666" s="1">
        <v>44622</v>
      </c>
      <c r="C5666" t="s">
        <v>9939</v>
      </c>
      <c r="D5666" t="s">
        <v>13</v>
      </c>
      <c r="E5666" t="s">
        <v>14</v>
      </c>
      <c r="F5666" t="s">
        <v>15</v>
      </c>
      <c r="G5666">
        <v>2</v>
      </c>
      <c r="H5666">
        <v>16880.759999999998</v>
      </c>
      <c r="I5666">
        <v>3517.77</v>
      </c>
      <c r="J5666" t="s">
        <v>28</v>
      </c>
      <c r="K5666" t="s">
        <v>23</v>
      </c>
      <c r="L5666">
        <f t="shared" si="264"/>
        <v>2022</v>
      </c>
      <c r="M5666" t="str">
        <f t="shared" si="265"/>
        <v>Mar</v>
      </c>
      <c r="N5666" s="2">
        <f t="shared" si="266"/>
        <v>0.20838931422518894</v>
      </c>
    </row>
    <row r="5667" spans="1:14" x14ac:dyDescent="0.45">
      <c r="A5667" t="s">
        <v>9940</v>
      </c>
      <c r="B5667" s="1">
        <v>44642</v>
      </c>
      <c r="C5667" t="s">
        <v>2397</v>
      </c>
      <c r="D5667" t="s">
        <v>26</v>
      </c>
      <c r="E5667" t="s">
        <v>14</v>
      </c>
      <c r="F5667" t="s">
        <v>15</v>
      </c>
      <c r="G5667">
        <v>4</v>
      </c>
      <c r="H5667">
        <v>46715.44</v>
      </c>
      <c r="I5667">
        <v>9277.16</v>
      </c>
      <c r="J5667" t="s">
        <v>16</v>
      </c>
      <c r="K5667" t="s">
        <v>29</v>
      </c>
      <c r="L5667">
        <f t="shared" si="264"/>
        <v>2022</v>
      </c>
      <c r="M5667" t="str">
        <f t="shared" si="265"/>
        <v>Mar</v>
      </c>
      <c r="N5667" s="2">
        <f t="shared" si="266"/>
        <v>0.19858873211940206</v>
      </c>
    </row>
    <row r="5668" spans="1:14" x14ac:dyDescent="0.45">
      <c r="A5668" t="s">
        <v>9941</v>
      </c>
      <c r="B5668" s="1">
        <v>45614</v>
      </c>
      <c r="C5668" t="s">
        <v>2135</v>
      </c>
      <c r="D5668" t="s">
        <v>56</v>
      </c>
      <c r="E5668" t="s">
        <v>36</v>
      </c>
      <c r="F5668" t="s">
        <v>64</v>
      </c>
      <c r="G5668">
        <v>2</v>
      </c>
      <c r="H5668">
        <v>46034.65</v>
      </c>
      <c r="I5668">
        <v>8286.51</v>
      </c>
      <c r="J5668" t="s">
        <v>28</v>
      </c>
      <c r="K5668" t="s">
        <v>17</v>
      </c>
      <c r="L5668">
        <f t="shared" si="264"/>
        <v>2024</v>
      </c>
      <c r="M5668" t="str">
        <f t="shared" si="265"/>
        <v>Nov</v>
      </c>
      <c r="N5668" s="2">
        <f t="shared" si="266"/>
        <v>0.18000593031553405</v>
      </c>
    </row>
    <row r="5669" spans="1:14" x14ac:dyDescent="0.45">
      <c r="A5669" t="s">
        <v>9942</v>
      </c>
      <c r="B5669" s="1">
        <v>45354</v>
      </c>
      <c r="C5669" t="s">
        <v>7280</v>
      </c>
      <c r="D5669" t="s">
        <v>13</v>
      </c>
      <c r="E5669" t="s">
        <v>36</v>
      </c>
      <c r="F5669" t="s">
        <v>64</v>
      </c>
      <c r="G5669">
        <v>1</v>
      </c>
      <c r="H5669">
        <v>28603.37</v>
      </c>
      <c r="I5669">
        <v>2654.34</v>
      </c>
      <c r="J5669" t="s">
        <v>16</v>
      </c>
      <c r="K5669" t="s">
        <v>33</v>
      </c>
      <c r="L5669">
        <f t="shared" si="264"/>
        <v>2024</v>
      </c>
      <c r="M5669" t="str">
        <f t="shared" si="265"/>
        <v>Mar</v>
      </c>
      <c r="N5669" s="2">
        <f t="shared" si="266"/>
        <v>9.2798156301163129E-2</v>
      </c>
    </row>
    <row r="5670" spans="1:14" x14ac:dyDescent="0.45">
      <c r="A5670" t="s">
        <v>9943</v>
      </c>
      <c r="B5670" s="1">
        <v>45050</v>
      </c>
      <c r="C5670" t="s">
        <v>9944</v>
      </c>
      <c r="D5670" t="s">
        <v>26</v>
      </c>
      <c r="E5670" t="s">
        <v>36</v>
      </c>
      <c r="F5670" t="s">
        <v>37</v>
      </c>
      <c r="G5670">
        <v>2</v>
      </c>
      <c r="H5670">
        <v>1096.04</v>
      </c>
      <c r="I5670">
        <v>145.15</v>
      </c>
      <c r="J5670" t="s">
        <v>22</v>
      </c>
      <c r="K5670" t="s">
        <v>33</v>
      </c>
      <c r="L5670">
        <f t="shared" si="264"/>
        <v>2023</v>
      </c>
      <c r="M5670" t="str">
        <f t="shared" si="265"/>
        <v>May</v>
      </c>
      <c r="N5670" s="2">
        <f t="shared" si="266"/>
        <v>0.13243129812780557</v>
      </c>
    </row>
    <row r="5671" spans="1:14" x14ac:dyDescent="0.45">
      <c r="A5671" t="s">
        <v>9945</v>
      </c>
      <c r="B5671" s="1">
        <v>44797</v>
      </c>
      <c r="C5671" t="s">
        <v>9946</v>
      </c>
      <c r="D5671" t="s">
        <v>26</v>
      </c>
      <c r="E5671" t="s">
        <v>20</v>
      </c>
      <c r="F5671" t="s">
        <v>27</v>
      </c>
      <c r="G5671">
        <v>5</v>
      </c>
      <c r="H5671">
        <v>15151.55</v>
      </c>
      <c r="I5671">
        <v>2832.16</v>
      </c>
      <c r="J5671" t="s">
        <v>71</v>
      </c>
      <c r="K5671" t="s">
        <v>17</v>
      </c>
      <c r="L5671">
        <f t="shared" si="264"/>
        <v>2022</v>
      </c>
      <c r="M5671" t="str">
        <f t="shared" si="265"/>
        <v>Aug</v>
      </c>
      <c r="N5671" s="2">
        <f t="shared" si="266"/>
        <v>0.18692213007910083</v>
      </c>
    </row>
    <row r="5672" spans="1:14" x14ac:dyDescent="0.45">
      <c r="A5672" t="s">
        <v>9947</v>
      </c>
      <c r="B5672" s="1">
        <v>44692</v>
      </c>
      <c r="C5672" t="s">
        <v>8976</v>
      </c>
      <c r="D5672" t="s">
        <v>56</v>
      </c>
      <c r="E5672" t="s">
        <v>36</v>
      </c>
      <c r="F5672" t="s">
        <v>37</v>
      </c>
      <c r="G5672">
        <v>1</v>
      </c>
      <c r="H5672">
        <v>19484.689999999999</v>
      </c>
      <c r="I5672">
        <v>4057.63</v>
      </c>
      <c r="J5672" t="s">
        <v>47</v>
      </c>
      <c r="K5672" t="s">
        <v>29</v>
      </c>
      <c r="L5672">
        <f t="shared" si="264"/>
        <v>2022</v>
      </c>
      <c r="M5672" t="str">
        <f t="shared" si="265"/>
        <v>May</v>
      </c>
      <c r="N5672" s="2">
        <f t="shared" si="266"/>
        <v>0.2082470904079049</v>
      </c>
    </row>
    <row r="5673" spans="1:14" x14ac:dyDescent="0.45">
      <c r="A5673" t="s">
        <v>9948</v>
      </c>
      <c r="B5673" s="1">
        <v>44967</v>
      </c>
      <c r="C5673" t="s">
        <v>9949</v>
      </c>
      <c r="D5673" t="s">
        <v>56</v>
      </c>
      <c r="E5673" t="s">
        <v>20</v>
      </c>
      <c r="F5673" t="s">
        <v>27</v>
      </c>
      <c r="G5673">
        <v>4</v>
      </c>
      <c r="H5673">
        <v>48301.760000000002</v>
      </c>
      <c r="I5673">
        <v>7022.35</v>
      </c>
      <c r="J5673" t="s">
        <v>22</v>
      </c>
      <c r="K5673" t="s">
        <v>29</v>
      </c>
      <c r="L5673">
        <f t="shared" si="264"/>
        <v>2023</v>
      </c>
      <c r="M5673" t="str">
        <f t="shared" si="265"/>
        <v>Feb</v>
      </c>
      <c r="N5673" s="2">
        <f t="shared" si="266"/>
        <v>0.14538497147930013</v>
      </c>
    </row>
    <row r="5674" spans="1:14" x14ac:dyDescent="0.45">
      <c r="A5674" t="s">
        <v>9950</v>
      </c>
      <c r="B5674" s="1">
        <v>44615</v>
      </c>
      <c r="C5674" t="s">
        <v>208</v>
      </c>
      <c r="D5674" t="s">
        <v>13</v>
      </c>
      <c r="E5674" t="s">
        <v>14</v>
      </c>
      <c r="F5674" t="s">
        <v>15</v>
      </c>
      <c r="G5674">
        <v>2</v>
      </c>
      <c r="H5674">
        <v>24536.71</v>
      </c>
      <c r="I5674">
        <v>5745.15</v>
      </c>
      <c r="J5674" t="s">
        <v>22</v>
      </c>
      <c r="K5674" t="s">
        <v>29</v>
      </c>
      <c r="L5674">
        <f t="shared" si="264"/>
        <v>2022</v>
      </c>
      <c r="M5674" t="str">
        <f t="shared" si="265"/>
        <v>Feb</v>
      </c>
      <c r="N5674" s="2">
        <f t="shared" si="266"/>
        <v>0.23414508302050274</v>
      </c>
    </row>
    <row r="5675" spans="1:14" x14ac:dyDescent="0.45">
      <c r="A5675" t="s">
        <v>9951</v>
      </c>
      <c r="B5675" s="1">
        <v>45549</v>
      </c>
      <c r="C5675" t="s">
        <v>9952</v>
      </c>
      <c r="D5675" t="s">
        <v>13</v>
      </c>
      <c r="E5675" t="s">
        <v>36</v>
      </c>
      <c r="F5675" t="s">
        <v>64</v>
      </c>
      <c r="G5675">
        <v>5</v>
      </c>
      <c r="H5675">
        <v>38192.79</v>
      </c>
      <c r="I5675">
        <v>4844.57</v>
      </c>
      <c r="J5675" t="s">
        <v>22</v>
      </c>
      <c r="K5675" t="s">
        <v>17</v>
      </c>
      <c r="L5675">
        <f t="shared" si="264"/>
        <v>2024</v>
      </c>
      <c r="M5675" t="str">
        <f t="shared" si="265"/>
        <v>Sep</v>
      </c>
      <c r="N5675" s="2">
        <f t="shared" si="266"/>
        <v>0.12684514537953367</v>
      </c>
    </row>
    <row r="5676" spans="1:14" x14ac:dyDescent="0.45">
      <c r="A5676" t="s">
        <v>9953</v>
      </c>
      <c r="B5676" s="1">
        <v>45424</v>
      </c>
      <c r="C5676" t="s">
        <v>9954</v>
      </c>
      <c r="D5676" t="s">
        <v>13</v>
      </c>
      <c r="E5676" t="s">
        <v>36</v>
      </c>
      <c r="F5676" t="s">
        <v>37</v>
      </c>
      <c r="G5676">
        <v>2</v>
      </c>
      <c r="H5676">
        <v>31666.66</v>
      </c>
      <c r="I5676">
        <v>1934.44</v>
      </c>
      <c r="J5676" t="s">
        <v>47</v>
      </c>
      <c r="K5676" t="s">
        <v>23</v>
      </c>
      <c r="L5676">
        <f t="shared" si="264"/>
        <v>2024</v>
      </c>
      <c r="M5676" t="str">
        <f t="shared" si="265"/>
        <v>May</v>
      </c>
      <c r="N5676" s="2">
        <f t="shared" si="266"/>
        <v>6.1087591807914066E-2</v>
      </c>
    </row>
    <row r="5677" spans="1:14" x14ac:dyDescent="0.45">
      <c r="A5677" t="s">
        <v>9955</v>
      </c>
      <c r="B5677" s="1">
        <v>44741</v>
      </c>
      <c r="C5677" t="s">
        <v>9956</v>
      </c>
      <c r="D5677" t="s">
        <v>13</v>
      </c>
      <c r="E5677" t="s">
        <v>14</v>
      </c>
      <c r="F5677" t="s">
        <v>40</v>
      </c>
      <c r="G5677">
        <v>4</v>
      </c>
      <c r="H5677">
        <v>22635.51</v>
      </c>
      <c r="I5677">
        <v>4405.13</v>
      </c>
      <c r="J5677" t="s">
        <v>22</v>
      </c>
      <c r="K5677" t="s">
        <v>29</v>
      </c>
      <c r="L5677">
        <f t="shared" si="264"/>
        <v>2022</v>
      </c>
      <c r="M5677" t="str">
        <f t="shared" si="265"/>
        <v>Jun</v>
      </c>
      <c r="N5677" s="2">
        <f t="shared" si="266"/>
        <v>0.19461147550905636</v>
      </c>
    </row>
    <row r="5678" spans="1:14" x14ac:dyDescent="0.45">
      <c r="A5678" t="s">
        <v>9957</v>
      </c>
      <c r="B5678" s="1">
        <v>44623</v>
      </c>
      <c r="C5678" t="s">
        <v>1346</v>
      </c>
      <c r="D5678" t="s">
        <v>13</v>
      </c>
      <c r="E5678" t="s">
        <v>20</v>
      </c>
      <c r="F5678" t="s">
        <v>21</v>
      </c>
      <c r="G5678">
        <v>3</v>
      </c>
      <c r="H5678">
        <v>13561.96</v>
      </c>
      <c r="I5678">
        <v>1193.18</v>
      </c>
      <c r="J5678" t="s">
        <v>16</v>
      </c>
      <c r="K5678" t="s">
        <v>23</v>
      </c>
      <c r="L5678">
        <f t="shared" si="264"/>
        <v>2022</v>
      </c>
      <c r="M5678" t="str">
        <f t="shared" si="265"/>
        <v>Mar</v>
      </c>
      <c r="N5678" s="2">
        <f t="shared" si="266"/>
        <v>8.7979908508799623E-2</v>
      </c>
    </row>
    <row r="5679" spans="1:14" x14ac:dyDescent="0.45">
      <c r="A5679" t="s">
        <v>9958</v>
      </c>
      <c r="B5679" s="1">
        <v>44678</v>
      </c>
      <c r="C5679" t="s">
        <v>9959</v>
      </c>
      <c r="D5679" t="s">
        <v>13</v>
      </c>
      <c r="E5679" t="s">
        <v>36</v>
      </c>
      <c r="F5679" t="s">
        <v>37</v>
      </c>
      <c r="G5679">
        <v>4</v>
      </c>
      <c r="H5679">
        <v>11207.07</v>
      </c>
      <c r="I5679">
        <v>1116.3699999999999</v>
      </c>
      <c r="J5679" t="s">
        <v>16</v>
      </c>
      <c r="K5679" t="s">
        <v>17</v>
      </c>
      <c r="L5679">
        <f t="shared" si="264"/>
        <v>2022</v>
      </c>
      <c r="M5679" t="str">
        <f t="shared" si="265"/>
        <v>Apr</v>
      </c>
      <c r="N5679" s="2">
        <f t="shared" si="266"/>
        <v>9.9613012143227445E-2</v>
      </c>
    </row>
    <row r="5680" spans="1:14" x14ac:dyDescent="0.45">
      <c r="A5680" t="s">
        <v>9960</v>
      </c>
      <c r="B5680" s="1">
        <v>45222</v>
      </c>
      <c r="C5680" t="s">
        <v>4743</v>
      </c>
      <c r="D5680" t="s">
        <v>13</v>
      </c>
      <c r="E5680" t="s">
        <v>20</v>
      </c>
      <c r="F5680" t="s">
        <v>50</v>
      </c>
      <c r="G5680">
        <v>3</v>
      </c>
      <c r="H5680">
        <v>41227.89</v>
      </c>
      <c r="I5680">
        <v>5111.71</v>
      </c>
      <c r="J5680" t="s">
        <v>22</v>
      </c>
      <c r="K5680" t="s">
        <v>33</v>
      </c>
      <c r="L5680">
        <f t="shared" si="264"/>
        <v>2023</v>
      </c>
      <c r="M5680" t="str">
        <f t="shared" si="265"/>
        <v>Oct</v>
      </c>
      <c r="N5680" s="2">
        <f t="shared" si="266"/>
        <v>0.12398669929506458</v>
      </c>
    </row>
    <row r="5681" spans="1:14" x14ac:dyDescent="0.45">
      <c r="A5681" t="s">
        <v>9961</v>
      </c>
      <c r="B5681" s="1">
        <v>45614</v>
      </c>
      <c r="C5681" t="s">
        <v>9962</v>
      </c>
      <c r="D5681" t="s">
        <v>26</v>
      </c>
      <c r="E5681" t="s">
        <v>14</v>
      </c>
      <c r="F5681" t="s">
        <v>57</v>
      </c>
      <c r="G5681">
        <v>5</v>
      </c>
      <c r="H5681">
        <v>11693.05</v>
      </c>
      <c r="I5681">
        <v>1615.03</v>
      </c>
      <c r="J5681" t="s">
        <v>28</v>
      </c>
      <c r="K5681" t="s">
        <v>23</v>
      </c>
      <c r="L5681">
        <f t="shared" si="264"/>
        <v>2024</v>
      </c>
      <c r="M5681" t="str">
        <f t="shared" si="265"/>
        <v>Nov</v>
      </c>
      <c r="N5681" s="2">
        <f t="shared" si="266"/>
        <v>0.13811879706321276</v>
      </c>
    </row>
    <row r="5682" spans="1:14" x14ac:dyDescent="0.45">
      <c r="A5682" t="s">
        <v>9963</v>
      </c>
      <c r="B5682" s="1">
        <v>45469</v>
      </c>
      <c r="C5682" t="s">
        <v>9964</v>
      </c>
      <c r="D5682" t="s">
        <v>26</v>
      </c>
      <c r="E5682" t="s">
        <v>36</v>
      </c>
      <c r="F5682" t="s">
        <v>37</v>
      </c>
      <c r="G5682">
        <v>3</v>
      </c>
      <c r="H5682">
        <v>24788.48</v>
      </c>
      <c r="I5682">
        <v>2581.6999999999998</v>
      </c>
      <c r="J5682" t="s">
        <v>28</v>
      </c>
      <c r="K5682" t="s">
        <v>23</v>
      </c>
      <c r="L5682">
        <f t="shared" si="264"/>
        <v>2024</v>
      </c>
      <c r="M5682" t="str">
        <f t="shared" si="265"/>
        <v>Jun</v>
      </c>
      <c r="N5682" s="2">
        <f t="shared" si="266"/>
        <v>0.10414918542806981</v>
      </c>
    </row>
    <row r="5683" spans="1:14" x14ac:dyDescent="0.45">
      <c r="A5683" t="s">
        <v>9965</v>
      </c>
      <c r="B5683" s="1">
        <v>44768</v>
      </c>
      <c r="C5683" t="s">
        <v>3682</v>
      </c>
      <c r="D5683" t="s">
        <v>56</v>
      </c>
      <c r="E5683" t="s">
        <v>36</v>
      </c>
      <c r="F5683" t="s">
        <v>37</v>
      </c>
      <c r="G5683">
        <v>4</v>
      </c>
      <c r="H5683">
        <v>43423.01</v>
      </c>
      <c r="I5683">
        <v>2528.16</v>
      </c>
      <c r="J5683" t="s">
        <v>22</v>
      </c>
      <c r="K5683" t="s">
        <v>23</v>
      </c>
      <c r="L5683">
        <f t="shared" si="264"/>
        <v>2022</v>
      </c>
      <c r="M5683" t="str">
        <f t="shared" si="265"/>
        <v>Jul</v>
      </c>
      <c r="N5683" s="2">
        <f t="shared" si="266"/>
        <v>5.8221666346943701E-2</v>
      </c>
    </row>
    <row r="5684" spans="1:14" x14ac:dyDescent="0.45">
      <c r="A5684" t="s">
        <v>9966</v>
      </c>
      <c r="B5684" s="1">
        <v>44625</v>
      </c>
      <c r="C5684" t="s">
        <v>9967</v>
      </c>
      <c r="D5684" t="s">
        <v>26</v>
      </c>
      <c r="E5684" t="s">
        <v>14</v>
      </c>
      <c r="F5684" t="s">
        <v>15</v>
      </c>
      <c r="G5684">
        <v>1</v>
      </c>
      <c r="H5684">
        <v>32547.63</v>
      </c>
      <c r="I5684">
        <v>4929.82</v>
      </c>
      <c r="J5684" t="s">
        <v>71</v>
      </c>
      <c r="K5684" t="s">
        <v>29</v>
      </c>
      <c r="L5684">
        <f t="shared" si="264"/>
        <v>2022</v>
      </c>
      <c r="M5684" t="str">
        <f t="shared" si="265"/>
        <v>Mar</v>
      </c>
      <c r="N5684" s="2">
        <f t="shared" si="266"/>
        <v>0.15146479175288644</v>
      </c>
    </row>
    <row r="5685" spans="1:14" x14ac:dyDescent="0.45">
      <c r="A5685" t="s">
        <v>9968</v>
      </c>
      <c r="B5685" s="1">
        <v>45050</v>
      </c>
      <c r="C5685" t="s">
        <v>9969</v>
      </c>
      <c r="D5685" t="s">
        <v>13</v>
      </c>
      <c r="E5685" t="s">
        <v>14</v>
      </c>
      <c r="F5685" t="s">
        <v>15</v>
      </c>
      <c r="G5685">
        <v>4</v>
      </c>
      <c r="H5685">
        <v>41819.660000000003</v>
      </c>
      <c r="I5685">
        <v>3114.23</v>
      </c>
      <c r="J5685" t="s">
        <v>22</v>
      </c>
      <c r="K5685" t="s">
        <v>23</v>
      </c>
      <c r="L5685">
        <f t="shared" si="264"/>
        <v>2023</v>
      </c>
      <c r="M5685" t="str">
        <f t="shared" si="265"/>
        <v>May</v>
      </c>
      <c r="N5685" s="2">
        <f t="shared" si="266"/>
        <v>7.4468085106382975E-2</v>
      </c>
    </row>
    <row r="5686" spans="1:14" x14ac:dyDescent="0.45">
      <c r="A5686" t="s">
        <v>9970</v>
      </c>
      <c r="B5686" s="1">
        <v>45628</v>
      </c>
      <c r="C5686" t="s">
        <v>9971</v>
      </c>
      <c r="D5686" t="s">
        <v>26</v>
      </c>
      <c r="E5686" t="s">
        <v>36</v>
      </c>
      <c r="F5686" t="s">
        <v>53</v>
      </c>
      <c r="G5686">
        <v>5</v>
      </c>
      <c r="H5686">
        <v>24416.22</v>
      </c>
      <c r="I5686">
        <v>1732.19</v>
      </c>
      <c r="J5686" t="s">
        <v>28</v>
      </c>
      <c r="K5686" t="s">
        <v>17</v>
      </c>
      <c r="L5686">
        <f t="shared" si="264"/>
        <v>2024</v>
      </c>
      <c r="M5686" t="str">
        <f t="shared" si="265"/>
        <v>Dec</v>
      </c>
      <c r="N5686" s="2">
        <f t="shared" si="266"/>
        <v>7.0944232972999094E-2</v>
      </c>
    </row>
    <row r="5687" spans="1:14" x14ac:dyDescent="0.45">
      <c r="A5687" t="s">
        <v>9972</v>
      </c>
      <c r="B5687" s="1">
        <v>44768</v>
      </c>
      <c r="C5687" t="s">
        <v>9973</v>
      </c>
      <c r="D5687" t="s">
        <v>13</v>
      </c>
      <c r="E5687" t="s">
        <v>36</v>
      </c>
      <c r="F5687" t="s">
        <v>53</v>
      </c>
      <c r="G5687">
        <v>4</v>
      </c>
      <c r="H5687">
        <v>26094.87</v>
      </c>
      <c r="I5687">
        <v>3597.36</v>
      </c>
      <c r="J5687" t="s">
        <v>28</v>
      </c>
      <c r="K5687" t="s">
        <v>33</v>
      </c>
      <c r="L5687">
        <f t="shared" si="264"/>
        <v>2022</v>
      </c>
      <c r="M5687" t="str">
        <f t="shared" si="265"/>
        <v>Jul</v>
      </c>
      <c r="N5687" s="2">
        <f t="shared" si="266"/>
        <v>0.13785698108478794</v>
      </c>
    </row>
    <row r="5688" spans="1:14" x14ac:dyDescent="0.45">
      <c r="A5688" t="s">
        <v>9974</v>
      </c>
      <c r="B5688" s="1">
        <v>45289</v>
      </c>
      <c r="C5688" t="s">
        <v>9975</v>
      </c>
      <c r="D5688" t="s">
        <v>56</v>
      </c>
      <c r="E5688" t="s">
        <v>36</v>
      </c>
      <c r="F5688" t="s">
        <v>53</v>
      </c>
      <c r="G5688">
        <v>3</v>
      </c>
      <c r="H5688">
        <v>5663.07</v>
      </c>
      <c r="I5688">
        <v>1204.1500000000001</v>
      </c>
      <c r="J5688" t="s">
        <v>22</v>
      </c>
      <c r="K5688" t="s">
        <v>29</v>
      </c>
      <c r="L5688">
        <f t="shared" si="264"/>
        <v>2023</v>
      </c>
      <c r="M5688" t="str">
        <f t="shared" si="265"/>
        <v>Dec</v>
      </c>
      <c r="N5688" s="2">
        <f t="shared" si="266"/>
        <v>0.21263201761588682</v>
      </c>
    </row>
    <row r="5689" spans="1:14" x14ac:dyDescent="0.45">
      <c r="A5689" t="s">
        <v>9976</v>
      </c>
      <c r="B5689" s="1">
        <v>45133</v>
      </c>
      <c r="C5689" t="s">
        <v>9977</v>
      </c>
      <c r="D5689" t="s">
        <v>13</v>
      </c>
      <c r="E5689" t="s">
        <v>36</v>
      </c>
      <c r="F5689" t="s">
        <v>64</v>
      </c>
      <c r="G5689">
        <v>1</v>
      </c>
      <c r="H5689">
        <v>33053</v>
      </c>
      <c r="I5689">
        <v>5878.5</v>
      </c>
      <c r="J5689" t="s">
        <v>71</v>
      </c>
      <c r="K5689" t="s">
        <v>29</v>
      </c>
      <c r="L5689">
        <f t="shared" si="264"/>
        <v>2023</v>
      </c>
      <c r="M5689" t="str">
        <f t="shared" si="265"/>
        <v>Jul</v>
      </c>
      <c r="N5689" s="2">
        <f t="shared" si="266"/>
        <v>0.17785072459383414</v>
      </c>
    </row>
    <row r="5690" spans="1:14" x14ac:dyDescent="0.45">
      <c r="A5690" t="s">
        <v>9978</v>
      </c>
      <c r="B5690" s="1">
        <v>45098</v>
      </c>
      <c r="C5690" t="s">
        <v>9979</v>
      </c>
      <c r="D5690" t="s">
        <v>56</v>
      </c>
      <c r="E5690" t="s">
        <v>36</v>
      </c>
      <c r="F5690" t="s">
        <v>37</v>
      </c>
      <c r="G5690">
        <v>4</v>
      </c>
      <c r="H5690">
        <v>25253.3</v>
      </c>
      <c r="I5690">
        <v>3368.76</v>
      </c>
      <c r="J5690" t="s">
        <v>22</v>
      </c>
      <c r="K5690" t="s">
        <v>23</v>
      </c>
      <c r="L5690">
        <f t="shared" si="264"/>
        <v>2023</v>
      </c>
      <c r="M5690" t="str">
        <f t="shared" si="265"/>
        <v>Jun</v>
      </c>
      <c r="N5690" s="2">
        <f t="shared" si="266"/>
        <v>0.13339880332471402</v>
      </c>
    </row>
    <row r="5691" spans="1:14" x14ac:dyDescent="0.45">
      <c r="A5691" t="s">
        <v>9980</v>
      </c>
      <c r="B5691" s="1">
        <v>44704</v>
      </c>
      <c r="C5691" t="s">
        <v>9981</v>
      </c>
      <c r="D5691" t="s">
        <v>26</v>
      </c>
      <c r="E5691" t="s">
        <v>36</v>
      </c>
      <c r="F5691" t="s">
        <v>37</v>
      </c>
      <c r="G5691">
        <v>3</v>
      </c>
      <c r="H5691">
        <v>7206.28</v>
      </c>
      <c r="I5691">
        <v>630.17999999999995</v>
      </c>
      <c r="J5691" t="s">
        <v>71</v>
      </c>
      <c r="K5691" t="s">
        <v>33</v>
      </c>
      <c r="L5691">
        <f t="shared" si="264"/>
        <v>2022</v>
      </c>
      <c r="M5691" t="str">
        <f t="shared" si="265"/>
        <v>May</v>
      </c>
      <c r="N5691" s="2">
        <f t="shared" si="266"/>
        <v>8.744872527850707E-2</v>
      </c>
    </row>
    <row r="5692" spans="1:14" x14ac:dyDescent="0.45">
      <c r="A5692" t="s">
        <v>9982</v>
      </c>
      <c r="B5692" s="1">
        <v>45533</v>
      </c>
      <c r="C5692" t="s">
        <v>9983</v>
      </c>
      <c r="D5692" t="s">
        <v>26</v>
      </c>
      <c r="E5692" t="s">
        <v>14</v>
      </c>
      <c r="F5692" t="s">
        <v>32</v>
      </c>
      <c r="G5692">
        <v>3</v>
      </c>
      <c r="H5692">
        <v>45661.77</v>
      </c>
      <c r="I5692">
        <v>3294.54</v>
      </c>
      <c r="J5692" t="s">
        <v>22</v>
      </c>
      <c r="K5692" t="s">
        <v>17</v>
      </c>
      <c r="L5692">
        <f t="shared" si="264"/>
        <v>2024</v>
      </c>
      <c r="M5692" t="str">
        <f t="shared" si="265"/>
        <v>Aug</v>
      </c>
      <c r="N5692" s="2">
        <f t="shared" si="266"/>
        <v>7.2150948156411807E-2</v>
      </c>
    </row>
    <row r="5693" spans="1:14" x14ac:dyDescent="0.45">
      <c r="A5693" t="s">
        <v>9984</v>
      </c>
      <c r="B5693" s="1">
        <v>44818</v>
      </c>
      <c r="C5693" t="s">
        <v>9985</v>
      </c>
      <c r="D5693" t="s">
        <v>13</v>
      </c>
      <c r="E5693" t="s">
        <v>36</v>
      </c>
      <c r="F5693" t="s">
        <v>46</v>
      </c>
      <c r="G5693">
        <v>5</v>
      </c>
      <c r="H5693">
        <v>34453.39</v>
      </c>
      <c r="I5693">
        <v>7935.51</v>
      </c>
      <c r="J5693" t="s">
        <v>22</v>
      </c>
      <c r="K5693" t="s">
        <v>33</v>
      </c>
      <c r="L5693">
        <f t="shared" si="264"/>
        <v>2022</v>
      </c>
      <c r="M5693" t="str">
        <f t="shared" si="265"/>
        <v>Sep</v>
      </c>
      <c r="N5693" s="2">
        <f t="shared" si="266"/>
        <v>0.23032595631373284</v>
      </c>
    </row>
    <row r="5694" spans="1:14" x14ac:dyDescent="0.45">
      <c r="A5694" t="s">
        <v>9986</v>
      </c>
      <c r="B5694" s="1">
        <v>44966</v>
      </c>
      <c r="C5694" t="s">
        <v>9987</v>
      </c>
      <c r="D5694" t="s">
        <v>13</v>
      </c>
      <c r="E5694" t="s">
        <v>20</v>
      </c>
      <c r="F5694" t="s">
        <v>21</v>
      </c>
      <c r="G5694">
        <v>2</v>
      </c>
      <c r="H5694">
        <v>23739.45</v>
      </c>
      <c r="I5694">
        <v>5902.5</v>
      </c>
      <c r="J5694" t="s">
        <v>16</v>
      </c>
      <c r="K5694" t="s">
        <v>23</v>
      </c>
      <c r="L5694">
        <f t="shared" si="264"/>
        <v>2023</v>
      </c>
      <c r="M5694" t="str">
        <f t="shared" si="265"/>
        <v>Feb</v>
      </c>
      <c r="N5694" s="2">
        <f t="shared" si="266"/>
        <v>0.24863676285676373</v>
      </c>
    </row>
    <row r="5695" spans="1:14" x14ac:dyDescent="0.45">
      <c r="A5695" t="s">
        <v>9988</v>
      </c>
      <c r="B5695" s="1">
        <v>45484</v>
      </c>
      <c r="C5695" t="s">
        <v>9989</v>
      </c>
      <c r="D5695" t="s">
        <v>56</v>
      </c>
      <c r="E5695" t="s">
        <v>20</v>
      </c>
      <c r="F5695" t="s">
        <v>27</v>
      </c>
      <c r="G5695">
        <v>2</v>
      </c>
      <c r="H5695">
        <v>1260.8499999999999</v>
      </c>
      <c r="I5695">
        <v>278.54000000000002</v>
      </c>
      <c r="J5695" t="s">
        <v>16</v>
      </c>
      <c r="K5695" t="s">
        <v>29</v>
      </c>
      <c r="L5695">
        <f t="shared" si="264"/>
        <v>2024</v>
      </c>
      <c r="M5695" t="str">
        <f t="shared" si="265"/>
        <v>Jul</v>
      </c>
      <c r="N5695" s="2">
        <f t="shared" si="266"/>
        <v>0.22091446246579691</v>
      </c>
    </row>
    <row r="5696" spans="1:14" x14ac:dyDescent="0.45">
      <c r="A5696" t="s">
        <v>9990</v>
      </c>
      <c r="B5696" s="1">
        <v>44572</v>
      </c>
      <c r="C5696" t="s">
        <v>9991</v>
      </c>
      <c r="D5696" t="s">
        <v>26</v>
      </c>
      <c r="E5696" t="s">
        <v>14</v>
      </c>
      <c r="F5696" t="s">
        <v>57</v>
      </c>
      <c r="G5696">
        <v>1</v>
      </c>
      <c r="H5696">
        <v>32419</v>
      </c>
      <c r="I5696">
        <v>4105.1000000000004</v>
      </c>
      <c r="J5696" t="s">
        <v>47</v>
      </c>
      <c r="K5696" t="s">
        <v>33</v>
      </c>
      <c r="L5696">
        <f t="shared" si="264"/>
        <v>2022</v>
      </c>
      <c r="M5696" t="str">
        <f t="shared" si="265"/>
        <v>Jan</v>
      </c>
      <c r="N5696" s="2">
        <f t="shared" si="266"/>
        <v>0.12662636108454919</v>
      </c>
    </row>
    <row r="5697" spans="1:14" x14ac:dyDescent="0.45">
      <c r="A5697" t="s">
        <v>9992</v>
      </c>
      <c r="B5697" s="1">
        <v>44839</v>
      </c>
      <c r="C5697" t="s">
        <v>9993</v>
      </c>
      <c r="D5697" t="s">
        <v>56</v>
      </c>
      <c r="E5697" t="s">
        <v>20</v>
      </c>
      <c r="F5697" t="s">
        <v>27</v>
      </c>
      <c r="G5697">
        <v>1</v>
      </c>
      <c r="H5697">
        <v>48329.56</v>
      </c>
      <c r="I5697">
        <v>11753.55</v>
      </c>
      <c r="J5697" t="s">
        <v>16</v>
      </c>
      <c r="K5697" t="s">
        <v>33</v>
      </c>
      <c r="L5697">
        <f t="shared" si="264"/>
        <v>2022</v>
      </c>
      <c r="M5697" t="str">
        <f t="shared" si="265"/>
        <v>Oct</v>
      </c>
      <c r="N5697" s="2">
        <f t="shared" si="266"/>
        <v>0.24319588260269698</v>
      </c>
    </row>
    <row r="5698" spans="1:14" x14ac:dyDescent="0.45">
      <c r="A5698" t="s">
        <v>9994</v>
      </c>
      <c r="B5698" s="1">
        <v>44906</v>
      </c>
      <c r="C5698" t="s">
        <v>8993</v>
      </c>
      <c r="D5698" t="s">
        <v>56</v>
      </c>
      <c r="E5698" t="s">
        <v>20</v>
      </c>
      <c r="F5698" t="s">
        <v>21</v>
      </c>
      <c r="G5698">
        <v>3</v>
      </c>
      <c r="H5698">
        <v>41260.86</v>
      </c>
      <c r="I5698">
        <v>4045.83</v>
      </c>
      <c r="J5698" t="s">
        <v>47</v>
      </c>
      <c r="K5698" t="s">
        <v>29</v>
      </c>
      <c r="L5698">
        <f t="shared" si="264"/>
        <v>2022</v>
      </c>
      <c r="M5698" t="str">
        <f t="shared" si="265"/>
        <v>Dec</v>
      </c>
      <c r="N5698" s="2">
        <f t="shared" si="266"/>
        <v>9.8054912088599219E-2</v>
      </c>
    </row>
    <row r="5699" spans="1:14" x14ac:dyDescent="0.45">
      <c r="A5699" t="s">
        <v>9995</v>
      </c>
      <c r="B5699" s="1">
        <v>45048</v>
      </c>
      <c r="C5699" t="s">
        <v>4152</v>
      </c>
      <c r="D5699" t="s">
        <v>26</v>
      </c>
      <c r="E5699" t="s">
        <v>20</v>
      </c>
      <c r="F5699" t="s">
        <v>50</v>
      </c>
      <c r="G5699">
        <v>4</v>
      </c>
      <c r="H5699">
        <v>48828.53</v>
      </c>
      <c r="I5699">
        <v>8584.69</v>
      </c>
      <c r="J5699" t="s">
        <v>22</v>
      </c>
      <c r="K5699" t="s">
        <v>23</v>
      </c>
      <c r="L5699">
        <f t="shared" ref="L5699:L5762" si="267">YEAR(B5699 )</f>
        <v>2023</v>
      </c>
      <c r="M5699" t="str">
        <f t="shared" ref="M5699:M5762" si="268">TEXT(B5699,"MMM")</f>
        <v>May</v>
      </c>
      <c r="N5699" s="2">
        <f t="shared" ref="N5699:N5762" si="269">I5699 / H5699</f>
        <v>0.1758129929367114</v>
      </c>
    </row>
    <row r="5700" spans="1:14" x14ac:dyDescent="0.45">
      <c r="A5700" t="s">
        <v>9996</v>
      </c>
      <c r="B5700" s="1">
        <v>44930</v>
      </c>
      <c r="C5700" t="s">
        <v>9997</v>
      </c>
      <c r="D5700" t="s">
        <v>26</v>
      </c>
      <c r="E5700" t="s">
        <v>20</v>
      </c>
      <c r="F5700" t="s">
        <v>43</v>
      </c>
      <c r="G5700">
        <v>1</v>
      </c>
      <c r="H5700">
        <v>48074.85</v>
      </c>
      <c r="I5700">
        <v>3323.3</v>
      </c>
      <c r="J5700" t="s">
        <v>16</v>
      </c>
      <c r="K5700" t="s">
        <v>23</v>
      </c>
      <c r="L5700">
        <f t="shared" si="267"/>
        <v>2023</v>
      </c>
      <c r="M5700" t="str">
        <f t="shared" si="268"/>
        <v>Jan</v>
      </c>
      <c r="N5700" s="2">
        <f t="shared" si="269"/>
        <v>6.9127620783008173E-2</v>
      </c>
    </row>
    <row r="5701" spans="1:14" x14ac:dyDescent="0.45">
      <c r="A5701" t="s">
        <v>9998</v>
      </c>
      <c r="B5701" s="1">
        <v>45526</v>
      </c>
      <c r="C5701" t="s">
        <v>9823</v>
      </c>
      <c r="D5701" t="s">
        <v>56</v>
      </c>
      <c r="E5701" t="s">
        <v>20</v>
      </c>
      <c r="F5701" t="s">
        <v>50</v>
      </c>
      <c r="G5701">
        <v>1</v>
      </c>
      <c r="H5701">
        <v>16160.53</v>
      </c>
      <c r="I5701">
        <v>1794.29</v>
      </c>
      <c r="J5701" t="s">
        <v>47</v>
      </c>
      <c r="K5701" t="s">
        <v>33</v>
      </c>
      <c r="L5701">
        <f t="shared" si="267"/>
        <v>2024</v>
      </c>
      <c r="M5701" t="str">
        <f t="shared" si="268"/>
        <v>Aug</v>
      </c>
      <c r="N5701" s="2">
        <f t="shared" si="269"/>
        <v>0.11102915560318875</v>
      </c>
    </row>
    <row r="5702" spans="1:14" x14ac:dyDescent="0.45">
      <c r="A5702" t="s">
        <v>9999</v>
      </c>
      <c r="B5702" s="1">
        <v>45521</v>
      </c>
      <c r="C5702" t="s">
        <v>2035</v>
      </c>
      <c r="D5702" t="s">
        <v>13</v>
      </c>
      <c r="E5702" t="s">
        <v>36</v>
      </c>
      <c r="F5702" t="s">
        <v>37</v>
      </c>
      <c r="G5702">
        <v>1</v>
      </c>
      <c r="H5702">
        <v>11677.36</v>
      </c>
      <c r="I5702">
        <v>1194.32</v>
      </c>
      <c r="J5702" t="s">
        <v>71</v>
      </c>
      <c r="K5702" t="s">
        <v>33</v>
      </c>
      <c r="L5702">
        <f t="shared" si="267"/>
        <v>2024</v>
      </c>
      <c r="M5702" t="str">
        <f t="shared" si="268"/>
        <v>Aug</v>
      </c>
      <c r="N5702" s="2">
        <f t="shared" si="269"/>
        <v>0.10227654195811381</v>
      </c>
    </row>
    <row r="5703" spans="1:14" x14ac:dyDescent="0.45">
      <c r="A5703" t="s">
        <v>10000</v>
      </c>
      <c r="B5703" s="1">
        <v>45485</v>
      </c>
      <c r="C5703" t="s">
        <v>5481</v>
      </c>
      <c r="D5703" t="s">
        <v>13</v>
      </c>
      <c r="E5703" t="s">
        <v>14</v>
      </c>
      <c r="F5703" t="s">
        <v>32</v>
      </c>
      <c r="G5703">
        <v>1</v>
      </c>
      <c r="H5703">
        <v>27020.51</v>
      </c>
      <c r="I5703">
        <v>4368.2299999999996</v>
      </c>
      <c r="J5703" t="s">
        <v>22</v>
      </c>
      <c r="K5703" t="s">
        <v>29</v>
      </c>
      <c r="L5703">
        <f t="shared" si="267"/>
        <v>2024</v>
      </c>
      <c r="M5703" t="str">
        <f t="shared" si="268"/>
        <v>Jul</v>
      </c>
      <c r="N5703" s="2">
        <f t="shared" si="269"/>
        <v>0.16166349191780613</v>
      </c>
    </row>
    <row r="5704" spans="1:14" x14ac:dyDescent="0.45">
      <c r="A5704" t="s">
        <v>10001</v>
      </c>
      <c r="B5704" s="1">
        <v>44936</v>
      </c>
      <c r="C5704" t="s">
        <v>2342</v>
      </c>
      <c r="D5704" t="s">
        <v>13</v>
      </c>
      <c r="E5704" t="s">
        <v>36</v>
      </c>
      <c r="F5704" t="s">
        <v>64</v>
      </c>
      <c r="G5704">
        <v>2</v>
      </c>
      <c r="H5704">
        <v>44947.37</v>
      </c>
      <c r="I5704">
        <v>3699.73</v>
      </c>
      <c r="J5704" t="s">
        <v>22</v>
      </c>
      <c r="K5704" t="s">
        <v>23</v>
      </c>
      <c r="L5704">
        <f t="shared" si="267"/>
        <v>2023</v>
      </c>
      <c r="M5704" t="str">
        <f t="shared" si="268"/>
        <v>Jan</v>
      </c>
      <c r="N5704" s="2">
        <f t="shared" si="269"/>
        <v>8.2312491253659553E-2</v>
      </c>
    </row>
    <row r="5705" spans="1:14" x14ac:dyDescent="0.45">
      <c r="A5705" t="s">
        <v>10002</v>
      </c>
      <c r="B5705" s="1">
        <v>45175</v>
      </c>
      <c r="C5705" t="s">
        <v>10003</v>
      </c>
      <c r="D5705" t="s">
        <v>56</v>
      </c>
      <c r="E5705" t="s">
        <v>14</v>
      </c>
      <c r="F5705" t="s">
        <v>57</v>
      </c>
      <c r="G5705">
        <v>1</v>
      </c>
      <c r="H5705">
        <v>11166.05</v>
      </c>
      <c r="I5705">
        <v>1510.05</v>
      </c>
      <c r="J5705" t="s">
        <v>28</v>
      </c>
      <c r="K5705" t="s">
        <v>29</v>
      </c>
      <c r="L5705">
        <f t="shared" si="267"/>
        <v>2023</v>
      </c>
      <c r="M5705" t="str">
        <f t="shared" si="268"/>
        <v>Sep</v>
      </c>
      <c r="N5705" s="2">
        <f t="shared" si="269"/>
        <v>0.13523582645608787</v>
      </c>
    </row>
    <row r="5706" spans="1:14" x14ac:dyDescent="0.45">
      <c r="A5706" t="s">
        <v>10004</v>
      </c>
      <c r="B5706" s="1">
        <v>45641</v>
      </c>
      <c r="C5706" t="s">
        <v>10005</v>
      </c>
      <c r="D5706" t="s">
        <v>26</v>
      </c>
      <c r="E5706" t="s">
        <v>14</v>
      </c>
      <c r="F5706" t="s">
        <v>40</v>
      </c>
      <c r="G5706">
        <v>3</v>
      </c>
      <c r="H5706">
        <v>12060.26</v>
      </c>
      <c r="I5706">
        <v>1538.5</v>
      </c>
      <c r="J5706" t="s">
        <v>47</v>
      </c>
      <c r="K5706" t="s">
        <v>33</v>
      </c>
      <c r="L5706">
        <f t="shared" si="267"/>
        <v>2024</v>
      </c>
      <c r="M5706" t="str">
        <f t="shared" si="268"/>
        <v>Dec</v>
      </c>
      <c r="N5706" s="2">
        <f t="shared" si="269"/>
        <v>0.1275677307122732</v>
      </c>
    </row>
    <row r="5707" spans="1:14" x14ac:dyDescent="0.45">
      <c r="A5707" t="s">
        <v>10006</v>
      </c>
      <c r="B5707" s="1">
        <v>44582</v>
      </c>
      <c r="C5707" t="s">
        <v>7108</v>
      </c>
      <c r="D5707" t="s">
        <v>13</v>
      </c>
      <c r="E5707" t="s">
        <v>20</v>
      </c>
      <c r="F5707" t="s">
        <v>43</v>
      </c>
      <c r="G5707">
        <v>1</v>
      </c>
      <c r="H5707">
        <v>8886.7999999999993</v>
      </c>
      <c r="I5707">
        <v>1259.42</v>
      </c>
      <c r="J5707" t="s">
        <v>28</v>
      </c>
      <c r="K5707" t="s">
        <v>29</v>
      </c>
      <c r="L5707">
        <f t="shared" si="267"/>
        <v>2022</v>
      </c>
      <c r="M5707" t="str">
        <f t="shared" si="268"/>
        <v>Jan</v>
      </c>
      <c r="N5707" s="2">
        <f t="shared" si="269"/>
        <v>0.14171805374262952</v>
      </c>
    </row>
    <row r="5708" spans="1:14" x14ac:dyDescent="0.45">
      <c r="A5708" t="s">
        <v>10007</v>
      </c>
      <c r="B5708" s="1">
        <v>45027</v>
      </c>
      <c r="C5708" t="s">
        <v>10008</v>
      </c>
      <c r="D5708" t="s">
        <v>13</v>
      </c>
      <c r="E5708" t="s">
        <v>14</v>
      </c>
      <c r="F5708" t="s">
        <v>40</v>
      </c>
      <c r="G5708">
        <v>3</v>
      </c>
      <c r="H5708">
        <v>28247.71</v>
      </c>
      <c r="I5708">
        <v>5462.54</v>
      </c>
      <c r="J5708" t="s">
        <v>22</v>
      </c>
      <c r="K5708" t="s">
        <v>29</v>
      </c>
      <c r="L5708">
        <f t="shared" si="267"/>
        <v>2023</v>
      </c>
      <c r="M5708" t="str">
        <f t="shared" si="268"/>
        <v>Apr</v>
      </c>
      <c r="N5708" s="2">
        <f t="shared" si="269"/>
        <v>0.19337992354070471</v>
      </c>
    </row>
    <row r="5709" spans="1:14" x14ac:dyDescent="0.45">
      <c r="A5709" t="s">
        <v>10009</v>
      </c>
      <c r="B5709" s="1">
        <v>45211</v>
      </c>
      <c r="C5709" t="s">
        <v>6263</v>
      </c>
      <c r="D5709" t="s">
        <v>13</v>
      </c>
      <c r="E5709" t="s">
        <v>20</v>
      </c>
      <c r="F5709" t="s">
        <v>50</v>
      </c>
      <c r="G5709">
        <v>2</v>
      </c>
      <c r="H5709">
        <v>27147.52</v>
      </c>
      <c r="I5709">
        <v>1995.82</v>
      </c>
      <c r="J5709" t="s">
        <v>47</v>
      </c>
      <c r="K5709" t="s">
        <v>33</v>
      </c>
      <c r="L5709">
        <f t="shared" si="267"/>
        <v>2023</v>
      </c>
      <c r="M5709" t="str">
        <f t="shared" si="268"/>
        <v>Oct</v>
      </c>
      <c r="N5709" s="2">
        <f t="shared" si="269"/>
        <v>7.3517580979772734E-2</v>
      </c>
    </row>
    <row r="5710" spans="1:14" x14ac:dyDescent="0.45">
      <c r="A5710" t="s">
        <v>10010</v>
      </c>
      <c r="B5710" s="1">
        <v>45111</v>
      </c>
      <c r="C5710" t="s">
        <v>10011</v>
      </c>
      <c r="D5710" t="s">
        <v>56</v>
      </c>
      <c r="E5710" t="s">
        <v>20</v>
      </c>
      <c r="F5710" t="s">
        <v>27</v>
      </c>
      <c r="G5710">
        <v>2</v>
      </c>
      <c r="H5710">
        <v>1331.43</v>
      </c>
      <c r="I5710">
        <v>255.36</v>
      </c>
      <c r="J5710" t="s">
        <v>22</v>
      </c>
      <c r="K5710" t="s">
        <v>33</v>
      </c>
      <c r="L5710">
        <f t="shared" si="267"/>
        <v>2023</v>
      </c>
      <c r="M5710" t="str">
        <f t="shared" si="268"/>
        <v>Jul</v>
      </c>
      <c r="N5710" s="2">
        <f t="shared" si="269"/>
        <v>0.19179378562898539</v>
      </c>
    </row>
    <row r="5711" spans="1:14" x14ac:dyDescent="0.45">
      <c r="A5711" t="s">
        <v>10012</v>
      </c>
      <c r="B5711" s="1">
        <v>45502</v>
      </c>
      <c r="C5711" t="s">
        <v>10013</v>
      </c>
      <c r="D5711" t="s">
        <v>13</v>
      </c>
      <c r="E5711" t="s">
        <v>36</v>
      </c>
      <c r="F5711" t="s">
        <v>64</v>
      </c>
      <c r="G5711">
        <v>1</v>
      </c>
      <c r="H5711">
        <v>32925.79</v>
      </c>
      <c r="I5711">
        <v>7596.58</v>
      </c>
      <c r="J5711" t="s">
        <v>28</v>
      </c>
      <c r="K5711" t="s">
        <v>33</v>
      </c>
      <c r="L5711">
        <f t="shared" si="267"/>
        <v>2024</v>
      </c>
      <c r="M5711" t="str">
        <f t="shared" si="268"/>
        <v>Jul</v>
      </c>
      <c r="N5711" s="2">
        <f t="shared" si="269"/>
        <v>0.23071823029910596</v>
      </c>
    </row>
    <row r="5712" spans="1:14" x14ac:dyDescent="0.45">
      <c r="A5712" t="s">
        <v>10014</v>
      </c>
      <c r="B5712" s="1">
        <v>45609</v>
      </c>
      <c r="C5712" t="s">
        <v>228</v>
      </c>
      <c r="D5712" t="s">
        <v>56</v>
      </c>
      <c r="E5712" t="s">
        <v>20</v>
      </c>
      <c r="F5712" t="s">
        <v>43</v>
      </c>
      <c r="G5712">
        <v>2</v>
      </c>
      <c r="H5712">
        <v>17621.61</v>
      </c>
      <c r="I5712">
        <v>3625.98</v>
      </c>
      <c r="J5712" t="s">
        <v>16</v>
      </c>
      <c r="K5712" t="s">
        <v>23</v>
      </c>
      <c r="L5712">
        <f t="shared" si="267"/>
        <v>2024</v>
      </c>
      <c r="M5712" t="str">
        <f t="shared" si="268"/>
        <v>Nov</v>
      </c>
      <c r="N5712" s="2">
        <f t="shared" si="269"/>
        <v>0.20576893938749069</v>
      </c>
    </row>
    <row r="5713" spans="1:14" x14ac:dyDescent="0.45">
      <c r="A5713" t="s">
        <v>10015</v>
      </c>
      <c r="B5713" s="1">
        <v>44807</v>
      </c>
      <c r="C5713" t="s">
        <v>10016</v>
      </c>
      <c r="D5713" t="s">
        <v>13</v>
      </c>
      <c r="E5713" t="s">
        <v>14</v>
      </c>
      <c r="F5713" t="s">
        <v>40</v>
      </c>
      <c r="G5713">
        <v>2</v>
      </c>
      <c r="H5713">
        <v>35821.75</v>
      </c>
      <c r="I5713">
        <v>6111.17</v>
      </c>
      <c r="J5713" t="s">
        <v>47</v>
      </c>
      <c r="K5713" t="s">
        <v>33</v>
      </c>
      <c r="L5713">
        <f t="shared" si="267"/>
        <v>2022</v>
      </c>
      <c r="M5713" t="str">
        <f t="shared" si="268"/>
        <v>Sep</v>
      </c>
      <c r="N5713" s="2">
        <f t="shared" si="269"/>
        <v>0.17059942632618452</v>
      </c>
    </row>
    <row r="5714" spans="1:14" x14ac:dyDescent="0.45">
      <c r="A5714" t="s">
        <v>10017</v>
      </c>
      <c r="B5714" s="1">
        <v>45407</v>
      </c>
      <c r="C5714" t="s">
        <v>7376</v>
      </c>
      <c r="D5714" t="s">
        <v>56</v>
      </c>
      <c r="E5714" t="s">
        <v>36</v>
      </c>
      <c r="F5714" t="s">
        <v>46</v>
      </c>
      <c r="G5714">
        <v>5</v>
      </c>
      <c r="H5714">
        <v>40586.11</v>
      </c>
      <c r="I5714">
        <v>6714.9</v>
      </c>
      <c r="J5714" t="s">
        <v>22</v>
      </c>
      <c r="K5714" t="s">
        <v>17</v>
      </c>
      <c r="L5714">
        <f t="shared" si="267"/>
        <v>2024</v>
      </c>
      <c r="M5714" t="str">
        <f t="shared" si="268"/>
        <v>Apr</v>
      </c>
      <c r="N5714" s="2">
        <f t="shared" si="269"/>
        <v>0.16544822847028207</v>
      </c>
    </row>
    <row r="5715" spans="1:14" x14ac:dyDescent="0.45">
      <c r="A5715" t="s">
        <v>10018</v>
      </c>
      <c r="B5715" s="1">
        <v>45520</v>
      </c>
      <c r="C5715" t="s">
        <v>10019</v>
      </c>
      <c r="D5715" t="s">
        <v>26</v>
      </c>
      <c r="E5715" t="s">
        <v>14</v>
      </c>
      <c r="F5715" t="s">
        <v>57</v>
      </c>
      <c r="G5715">
        <v>4</v>
      </c>
      <c r="H5715">
        <v>21690.54</v>
      </c>
      <c r="I5715">
        <v>4271.2700000000004</v>
      </c>
      <c r="J5715" t="s">
        <v>47</v>
      </c>
      <c r="K5715" t="s">
        <v>23</v>
      </c>
      <c r="L5715">
        <f t="shared" si="267"/>
        <v>2024</v>
      </c>
      <c r="M5715" t="str">
        <f t="shared" si="268"/>
        <v>Aug</v>
      </c>
      <c r="N5715" s="2">
        <f t="shared" si="269"/>
        <v>0.19691856449862477</v>
      </c>
    </row>
    <row r="5716" spans="1:14" x14ac:dyDescent="0.45">
      <c r="A5716" t="s">
        <v>10020</v>
      </c>
      <c r="B5716" s="1">
        <v>45624</v>
      </c>
      <c r="C5716" t="s">
        <v>10021</v>
      </c>
      <c r="D5716" t="s">
        <v>26</v>
      </c>
      <c r="E5716" t="s">
        <v>14</v>
      </c>
      <c r="F5716" t="s">
        <v>40</v>
      </c>
      <c r="G5716">
        <v>1</v>
      </c>
      <c r="H5716">
        <v>10169</v>
      </c>
      <c r="I5716">
        <v>597.24</v>
      </c>
      <c r="J5716" t="s">
        <v>47</v>
      </c>
      <c r="K5716" t="s">
        <v>33</v>
      </c>
      <c r="L5716">
        <f t="shared" si="267"/>
        <v>2024</v>
      </c>
      <c r="M5716" t="str">
        <f t="shared" si="268"/>
        <v>Nov</v>
      </c>
      <c r="N5716" s="2">
        <f t="shared" si="269"/>
        <v>5.8731438686203168E-2</v>
      </c>
    </row>
    <row r="5717" spans="1:14" x14ac:dyDescent="0.45">
      <c r="A5717" t="s">
        <v>10022</v>
      </c>
      <c r="B5717" s="1">
        <v>45616</v>
      </c>
      <c r="C5717" t="s">
        <v>10023</v>
      </c>
      <c r="D5717" t="s">
        <v>26</v>
      </c>
      <c r="E5717" t="s">
        <v>36</v>
      </c>
      <c r="F5717" t="s">
        <v>37</v>
      </c>
      <c r="G5717">
        <v>5</v>
      </c>
      <c r="H5717">
        <v>43080.45</v>
      </c>
      <c r="I5717">
        <v>7451.04</v>
      </c>
      <c r="J5717" t="s">
        <v>28</v>
      </c>
      <c r="K5717" t="s">
        <v>29</v>
      </c>
      <c r="L5717">
        <f t="shared" si="267"/>
        <v>2024</v>
      </c>
      <c r="M5717" t="str">
        <f t="shared" si="268"/>
        <v>Nov</v>
      </c>
      <c r="N5717" s="2">
        <f t="shared" si="269"/>
        <v>0.17295641062245173</v>
      </c>
    </row>
    <row r="5718" spans="1:14" x14ac:dyDescent="0.45">
      <c r="A5718" t="s">
        <v>10024</v>
      </c>
      <c r="B5718" s="1">
        <v>44622</v>
      </c>
      <c r="C5718" t="s">
        <v>10025</v>
      </c>
      <c r="D5718" t="s">
        <v>13</v>
      </c>
      <c r="E5718" t="s">
        <v>20</v>
      </c>
      <c r="F5718" t="s">
        <v>50</v>
      </c>
      <c r="G5718">
        <v>3</v>
      </c>
      <c r="H5718">
        <v>24070.82</v>
      </c>
      <c r="I5718">
        <v>4282</v>
      </c>
      <c r="J5718" t="s">
        <v>47</v>
      </c>
      <c r="K5718" t="s">
        <v>29</v>
      </c>
      <c r="L5718">
        <f t="shared" si="267"/>
        <v>2022</v>
      </c>
      <c r="M5718" t="str">
        <f t="shared" si="268"/>
        <v>Mar</v>
      </c>
      <c r="N5718" s="2">
        <f t="shared" si="269"/>
        <v>0.17789173779705053</v>
      </c>
    </row>
    <row r="5719" spans="1:14" x14ac:dyDescent="0.45">
      <c r="A5719" t="s">
        <v>10026</v>
      </c>
      <c r="B5719" s="1">
        <v>44829</v>
      </c>
      <c r="C5719" t="s">
        <v>3306</v>
      </c>
      <c r="D5719" t="s">
        <v>13</v>
      </c>
      <c r="E5719" t="s">
        <v>36</v>
      </c>
      <c r="F5719" t="s">
        <v>53</v>
      </c>
      <c r="G5719">
        <v>5</v>
      </c>
      <c r="H5719">
        <v>29152.41</v>
      </c>
      <c r="I5719">
        <v>3393.1</v>
      </c>
      <c r="J5719" t="s">
        <v>28</v>
      </c>
      <c r="K5719" t="s">
        <v>23</v>
      </c>
      <c r="L5719">
        <f t="shared" si="267"/>
        <v>2022</v>
      </c>
      <c r="M5719" t="str">
        <f t="shared" si="268"/>
        <v>Sep</v>
      </c>
      <c r="N5719" s="2">
        <f t="shared" si="269"/>
        <v>0.11639174942997851</v>
      </c>
    </row>
    <row r="5720" spans="1:14" x14ac:dyDescent="0.45">
      <c r="A5720" t="s">
        <v>10027</v>
      </c>
      <c r="B5720" s="1">
        <v>44749</v>
      </c>
      <c r="C5720" t="s">
        <v>10028</v>
      </c>
      <c r="D5720" t="s">
        <v>56</v>
      </c>
      <c r="E5720" t="s">
        <v>36</v>
      </c>
      <c r="F5720" t="s">
        <v>64</v>
      </c>
      <c r="G5720">
        <v>2</v>
      </c>
      <c r="H5720">
        <v>13392.27</v>
      </c>
      <c r="I5720">
        <v>2702.04</v>
      </c>
      <c r="J5720" t="s">
        <v>16</v>
      </c>
      <c r="K5720" t="s">
        <v>17</v>
      </c>
      <c r="L5720">
        <f t="shared" si="267"/>
        <v>2022</v>
      </c>
      <c r="M5720" t="str">
        <f t="shared" si="268"/>
        <v>Jul</v>
      </c>
      <c r="N5720" s="2">
        <f t="shared" si="269"/>
        <v>0.20176116520948278</v>
      </c>
    </row>
    <row r="5721" spans="1:14" x14ac:dyDescent="0.45">
      <c r="A5721" t="s">
        <v>10029</v>
      </c>
      <c r="B5721" s="1">
        <v>45432</v>
      </c>
      <c r="C5721" t="s">
        <v>2397</v>
      </c>
      <c r="D5721" t="s">
        <v>56</v>
      </c>
      <c r="E5721" t="s">
        <v>36</v>
      </c>
      <c r="F5721" t="s">
        <v>64</v>
      </c>
      <c r="G5721">
        <v>2</v>
      </c>
      <c r="H5721">
        <v>18007.09</v>
      </c>
      <c r="I5721">
        <v>3306.56</v>
      </c>
      <c r="J5721" t="s">
        <v>47</v>
      </c>
      <c r="K5721" t="s">
        <v>17</v>
      </c>
      <c r="L5721">
        <f t="shared" si="267"/>
        <v>2024</v>
      </c>
      <c r="M5721" t="str">
        <f t="shared" si="268"/>
        <v>May</v>
      </c>
      <c r="N5721" s="2">
        <f t="shared" si="269"/>
        <v>0.18362544975340267</v>
      </c>
    </row>
    <row r="5722" spans="1:14" x14ac:dyDescent="0.45">
      <c r="A5722" t="s">
        <v>10030</v>
      </c>
      <c r="B5722" s="1">
        <v>45577</v>
      </c>
      <c r="C5722" t="s">
        <v>10031</v>
      </c>
      <c r="D5722" t="s">
        <v>26</v>
      </c>
      <c r="E5722" t="s">
        <v>20</v>
      </c>
      <c r="F5722" t="s">
        <v>50</v>
      </c>
      <c r="G5722">
        <v>4</v>
      </c>
      <c r="H5722">
        <v>10395.52</v>
      </c>
      <c r="I5722">
        <v>781.17</v>
      </c>
      <c r="J5722" t="s">
        <v>71</v>
      </c>
      <c r="K5722" t="s">
        <v>23</v>
      </c>
      <c r="L5722">
        <f t="shared" si="267"/>
        <v>2024</v>
      </c>
      <c r="M5722" t="str">
        <f t="shared" si="268"/>
        <v>Oct</v>
      </c>
      <c r="N5722" s="2">
        <f t="shared" si="269"/>
        <v>7.5144870097888311E-2</v>
      </c>
    </row>
    <row r="5723" spans="1:14" x14ac:dyDescent="0.45">
      <c r="A5723" t="s">
        <v>10032</v>
      </c>
      <c r="B5723" s="1">
        <v>44792</v>
      </c>
      <c r="C5723" t="s">
        <v>3984</v>
      </c>
      <c r="D5723" t="s">
        <v>13</v>
      </c>
      <c r="E5723" t="s">
        <v>20</v>
      </c>
      <c r="F5723" t="s">
        <v>50</v>
      </c>
      <c r="G5723">
        <v>2</v>
      </c>
      <c r="H5723">
        <v>20484.95</v>
      </c>
      <c r="I5723">
        <v>4050.44</v>
      </c>
      <c r="J5723" t="s">
        <v>16</v>
      </c>
      <c r="K5723" t="s">
        <v>33</v>
      </c>
      <c r="L5723">
        <f t="shared" si="267"/>
        <v>2022</v>
      </c>
      <c r="M5723" t="str">
        <f t="shared" si="268"/>
        <v>Aug</v>
      </c>
      <c r="N5723" s="2">
        <f t="shared" si="269"/>
        <v>0.19772760001855019</v>
      </c>
    </row>
    <row r="5724" spans="1:14" x14ac:dyDescent="0.45">
      <c r="A5724" t="s">
        <v>10033</v>
      </c>
      <c r="B5724" s="1">
        <v>45079</v>
      </c>
      <c r="C5724" t="s">
        <v>10034</v>
      </c>
      <c r="D5724" t="s">
        <v>26</v>
      </c>
      <c r="E5724" t="s">
        <v>36</v>
      </c>
      <c r="F5724" t="s">
        <v>46</v>
      </c>
      <c r="G5724">
        <v>5</v>
      </c>
      <c r="H5724">
        <v>27221.59</v>
      </c>
      <c r="I5724">
        <v>1854.36</v>
      </c>
      <c r="J5724" t="s">
        <v>71</v>
      </c>
      <c r="K5724" t="s">
        <v>17</v>
      </c>
      <c r="L5724">
        <f t="shared" si="267"/>
        <v>2023</v>
      </c>
      <c r="M5724" t="str">
        <f t="shared" si="268"/>
        <v>Jun</v>
      </c>
      <c r="N5724" s="2">
        <f t="shared" si="269"/>
        <v>6.8120929012596254E-2</v>
      </c>
    </row>
    <row r="5725" spans="1:14" x14ac:dyDescent="0.45">
      <c r="A5725" t="s">
        <v>10035</v>
      </c>
      <c r="B5725" s="1">
        <v>45028</v>
      </c>
      <c r="C5725" t="s">
        <v>10036</v>
      </c>
      <c r="D5725" t="s">
        <v>56</v>
      </c>
      <c r="E5725" t="s">
        <v>36</v>
      </c>
      <c r="F5725" t="s">
        <v>37</v>
      </c>
      <c r="G5725">
        <v>1</v>
      </c>
      <c r="H5725">
        <v>10978.01</v>
      </c>
      <c r="I5725">
        <v>2347.67</v>
      </c>
      <c r="J5725" t="s">
        <v>16</v>
      </c>
      <c r="K5725" t="s">
        <v>29</v>
      </c>
      <c r="L5725">
        <f t="shared" si="267"/>
        <v>2023</v>
      </c>
      <c r="M5725" t="str">
        <f t="shared" si="268"/>
        <v>Apr</v>
      </c>
      <c r="N5725" s="2">
        <f t="shared" si="269"/>
        <v>0.21385205515389402</v>
      </c>
    </row>
    <row r="5726" spans="1:14" x14ac:dyDescent="0.45">
      <c r="A5726" t="s">
        <v>10037</v>
      </c>
      <c r="B5726" s="1">
        <v>44666</v>
      </c>
      <c r="C5726" t="s">
        <v>8559</v>
      </c>
      <c r="D5726" t="s">
        <v>26</v>
      </c>
      <c r="E5726" t="s">
        <v>20</v>
      </c>
      <c r="F5726" t="s">
        <v>50</v>
      </c>
      <c r="G5726">
        <v>2</v>
      </c>
      <c r="H5726">
        <v>48984.24</v>
      </c>
      <c r="I5726">
        <v>2485.52</v>
      </c>
      <c r="J5726" t="s">
        <v>16</v>
      </c>
      <c r="K5726" t="s">
        <v>29</v>
      </c>
      <c r="L5726">
        <f t="shared" si="267"/>
        <v>2022</v>
      </c>
      <c r="M5726" t="str">
        <f t="shared" si="268"/>
        <v>Apr</v>
      </c>
      <c r="N5726" s="2">
        <f t="shared" si="269"/>
        <v>5.074121799174592E-2</v>
      </c>
    </row>
    <row r="5727" spans="1:14" x14ac:dyDescent="0.45">
      <c r="A5727" t="s">
        <v>10038</v>
      </c>
      <c r="B5727" s="1">
        <v>45608</v>
      </c>
      <c r="C5727" t="s">
        <v>10039</v>
      </c>
      <c r="D5727" t="s">
        <v>56</v>
      </c>
      <c r="E5727" t="s">
        <v>20</v>
      </c>
      <c r="F5727" t="s">
        <v>50</v>
      </c>
      <c r="G5727">
        <v>5</v>
      </c>
      <c r="H5727">
        <v>19803.669999999998</v>
      </c>
      <c r="I5727">
        <v>3400.44</v>
      </c>
      <c r="J5727" t="s">
        <v>28</v>
      </c>
      <c r="K5727" t="s">
        <v>17</v>
      </c>
      <c r="L5727">
        <f t="shared" si="267"/>
        <v>2024</v>
      </c>
      <c r="M5727" t="str">
        <f t="shared" si="268"/>
        <v>Nov</v>
      </c>
      <c r="N5727" s="2">
        <f t="shared" si="269"/>
        <v>0.17170756733474152</v>
      </c>
    </row>
    <row r="5728" spans="1:14" x14ac:dyDescent="0.45">
      <c r="A5728" t="s">
        <v>10040</v>
      </c>
      <c r="B5728" s="1">
        <v>45148</v>
      </c>
      <c r="C5728" t="s">
        <v>10041</v>
      </c>
      <c r="D5728" t="s">
        <v>56</v>
      </c>
      <c r="E5728" t="s">
        <v>14</v>
      </c>
      <c r="F5728" t="s">
        <v>32</v>
      </c>
      <c r="G5728">
        <v>1</v>
      </c>
      <c r="H5728">
        <v>5390.92</v>
      </c>
      <c r="I5728">
        <v>535.54</v>
      </c>
      <c r="J5728" t="s">
        <v>28</v>
      </c>
      <c r="K5728" t="s">
        <v>33</v>
      </c>
      <c r="L5728">
        <f t="shared" si="267"/>
        <v>2023</v>
      </c>
      <c r="M5728" t="str">
        <f t="shared" si="268"/>
        <v>Aug</v>
      </c>
      <c r="N5728" s="2">
        <f t="shared" si="269"/>
        <v>9.9341114318149765E-2</v>
      </c>
    </row>
    <row r="5729" spans="1:14" x14ac:dyDescent="0.45">
      <c r="A5729" t="s">
        <v>10042</v>
      </c>
      <c r="B5729" s="1">
        <v>45271</v>
      </c>
      <c r="C5729" t="s">
        <v>10043</v>
      </c>
      <c r="D5729" t="s">
        <v>13</v>
      </c>
      <c r="E5729" t="s">
        <v>20</v>
      </c>
      <c r="F5729" t="s">
        <v>50</v>
      </c>
      <c r="G5729">
        <v>5</v>
      </c>
      <c r="H5729">
        <v>8654.0499999999993</v>
      </c>
      <c r="I5729">
        <v>1604.66</v>
      </c>
      <c r="J5729" t="s">
        <v>71</v>
      </c>
      <c r="K5729" t="s">
        <v>17</v>
      </c>
      <c r="L5729">
        <f t="shared" si="267"/>
        <v>2023</v>
      </c>
      <c r="M5729" t="str">
        <f t="shared" si="268"/>
        <v>Dec</v>
      </c>
      <c r="N5729" s="2">
        <f t="shared" si="269"/>
        <v>0.18542301003576361</v>
      </c>
    </row>
    <row r="5730" spans="1:14" x14ac:dyDescent="0.45">
      <c r="A5730" t="s">
        <v>10044</v>
      </c>
      <c r="B5730" s="1">
        <v>45277</v>
      </c>
      <c r="C5730" t="s">
        <v>10045</v>
      </c>
      <c r="D5730" t="s">
        <v>56</v>
      </c>
      <c r="E5730" t="s">
        <v>36</v>
      </c>
      <c r="F5730" t="s">
        <v>46</v>
      </c>
      <c r="G5730">
        <v>4</v>
      </c>
      <c r="H5730">
        <v>31516.03</v>
      </c>
      <c r="I5730">
        <v>7497.02</v>
      </c>
      <c r="J5730" t="s">
        <v>16</v>
      </c>
      <c r="K5730" t="s">
        <v>23</v>
      </c>
      <c r="L5730">
        <f t="shared" si="267"/>
        <v>2023</v>
      </c>
      <c r="M5730" t="str">
        <f t="shared" si="268"/>
        <v>Dec</v>
      </c>
      <c r="N5730" s="2">
        <f t="shared" si="269"/>
        <v>0.23787958064515108</v>
      </c>
    </row>
    <row r="5731" spans="1:14" x14ac:dyDescent="0.45">
      <c r="A5731" t="s">
        <v>10046</v>
      </c>
      <c r="B5731" s="1">
        <v>45042</v>
      </c>
      <c r="C5731" t="s">
        <v>7761</v>
      </c>
      <c r="D5731" t="s">
        <v>26</v>
      </c>
      <c r="E5731" t="s">
        <v>36</v>
      </c>
      <c r="F5731" t="s">
        <v>46</v>
      </c>
      <c r="G5731">
        <v>2</v>
      </c>
      <c r="H5731">
        <v>35784.879999999997</v>
      </c>
      <c r="I5731">
        <v>8867.39</v>
      </c>
      <c r="J5731" t="s">
        <v>28</v>
      </c>
      <c r="K5731" t="s">
        <v>29</v>
      </c>
      <c r="L5731">
        <f t="shared" si="267"/>
        <v>2023</v>
      </c>
      <c r="M5731" t="str">
        <f t="shared" si="268"/>
        <v>Apr</v>
      </c>
      <c r="N5731" s="2">
        <f t="shared" si="269"/>
        <v>0.24779711431196641</v>
      </c>
    </row>
    <row r="5732" spans="1:14" x14ac:dyDescent="0.45">
      <c r="A5732" t="s">
        <v>10047</v>
      </c>
      <c r="B5732" s="1">
        <v>44711</v>
      </c>
      <c r="C5732" t="s">
        <v>6752</v>
      </c>
      <c r="D5732" t="s">
        <v>56</v>
      </c>
      <c r="E5732" t="s">
        <v>14</v>
      </c>
      <c r="F5732" t="s">
        <v>57</v>
      </c>
      <c r="G5732">
        <v>2</v>
      </c>
      <c r="H5732">
        <v>3815.05</v>
      </c>
      <c r="I5732">
        <v>598.09</v>
      </c>
      <c r="J5732" t="s">
        <v>28</v>
      </c>
      <c r="K5732" t="s">
        <v>33</v>
      </c>
      <c r="L5732">
        <f t="shared" si="267"/>
        <v>2022</v>
      </c>
      <c r="M5732" t="str">
        <f t="shared" si="268"/>
        <v>May</v>
      </c>
      <c r="N5732" s="2">
        <f t="shared" si="269"/>
        <v>0.15677120876528486</v>
      </c>
    </row>
    <row r="5733" spans="1:14" x14ac:dyDescent="0.45">
      <c r="A5733" t="s">
        <v>10048</v>
      </c>
      <c r="B5733" s="1">
        <v>44798</v>
      </c>
      <c r="C5733" t="s">
        <v>7909</v>
      </c>
      <c r="D5733" t="s">
        <v>13</v>
      </c>
      <c r="E5733" t="s">
        <v>20</v>
      </c>
      <c r="F5733" t="s">
        <v>27</v>
      </c>
      <c r="G5733">
        <v>5</v>
      </c>
      <c r="H5733">
        <v>16898.939999999999</v>
      </c>
      <c r="I5733">
        <v>2833.89</v>
      </c>
      <c r="J5733" t="s">
        <v>47</v>
      </c>
      <c r="K5733" t="s">
        <v>23</v>
      </c>
      <c r="L5733">
        <f t="shared" si="267"/>
        <v>2022</v>
      </c>
      <c r="M5733" t="str">
        <f t="shared" si="268"/>
        <v>Aug</v>
      </c>
      <c r="N5733" s="2">
        <f t="shared" si="269"/>
        <v>0.16769631704710475</v>
      </c>
    </row>
    <row r="5734" spans="1:14" x14ac:dyDescent="0.45">
      <c r="A5734" t="s">
        <v>10049</v>
      </c>
      <c r="B5734" s="1">
        <v>44567</v>
      </c>
      <c r="C5734" t="s">
        <v>4201</v>
      </c>
      <c r="D5734" t="s">
        <v>13</v>
      </c>
      <c r="E5734" t="s">
        <v>20</v>
      </c>
      <c r="F5734" t="s">
        <v>50</v>
      </c>
      <c r="G5734">
        <v>1</v>
      </c>
      <c r="H5734">
        <v>44407.97</v>
      </c>
      <c r="I5734">
        <v>10551.06</v>
      </c>
      <c r="J5734" t="s">
        <v>16</v>
      </c>
      <c r="K5734" t="s">
        <v>17</v>
      </c>
      <c r="L5734">
        <f t="shared" si="267"/>
        <v>2022</v>
      </c>
      <c r="M5734" t="str">
        <f t="shared" si="268"/>
        <v>Jan</v>
      </c>
      <c r="N5734" s="2">
        <f t="shared" si="269"/>
        <v>0.23759383732244457</v>
      </c>
    </row>
    <row r="5735" spans="1:14" x14ac:dyDescent="0.45">
      <c r="A5735" t="s">
        <v>10050</v>
      </c>
      <c r="B5735" s="1">
        <v>45237</v>
      </c>
      <c r="C5735" t="s">
        <v>10051</v>
      </c>
      <c r="D5735" t="s">
        <v>13</v>
      </c>
      <c r="E5735" t="s">
        <v>20</v>
      </c>
      <c r="F5735" t="s">
        <v>27</v>
      </c>
      <c r="G5735">
        <v>2</v>
      </c>
      <c r="H5735">
        <v>21366.19</v>
      </c>
      <c r="I5735">
        <v>5187.87</v>
      </c>
      <c r="J5735" t="s">
        <v>71</v>
      </c>
      <c r="K5735" t="s">
        <v>29</v>
      </c>
      <c r="L5735">
        <f t="shared" si="267"/>
        <v>2023</v>
      </c>
      <c r="M5735" t="str">
        <f t="shared" si="268"/>
        <v>Nov</v>
      </c>
      <c r="N5735" s="2">
        <f t="shared" si="269"/>
        <v>0.24280744484627348</v>
      </c>
    </row>
    <row r="5736" spans="1:14" x14ac:dyDescent="0.45">
      <c r="A5736" t="s">
        <v>10052</v>
      </c>
      <c r="B5736" s="1">
        <v>44859</v>
      </c>
      <c r="C5736" t="s">
        <v>2661</v>
      </c>
      <c r="D5736" t="s">
        <v>56</v>
      </c>
      <c r="E5736" t="s">
        <v>14</v>
      </c>
      <c r="F5736" t="s">
        <v>32</v>
      </c>
      <c r="G5736">
        <v>1</v>
      </c>
      <c r="H5736">
        <v>30645.8</v>
      </c>
      <c r="I5736">
        <v>7375.39</v>
      </c>
      <c r="J5736" t="s">
        <v>47</v>
      </c>
      <c r="K5736" t="s">
        <v>29</v>
      </c>
      <c r="L5736">
        <f t="shared" si="267"/>
        <v>2022</v>
      </c>
      <c r="M5736" t="str">
        <f t="shared" si="268"/>
        <v>Oct</v>
      </c>
      <c r="N5736" s="2">
        <f t="shared" si="269"/>
        <v>0.2406656050747574</v>
      </c>
    </row>
    <row r="5737" spans="1:14" x14ac:dyDescent="0.45">
      <c r="A5737" t="s">
        <v>10053</v>
      </c>
      <c r="B5737" s="1">
        <v>45062</v>
      </c>
      <c r="C5737" t="s">
        <v>8542</v>
      </c>
      <c r="D5737" t="s">
        <v>13</v>
      </c>
      <c r="E5737" t="s">
        <v>20</v>
      </c>
      <c r="F5737" t="s">
        <v>43</v>
      </c>
      <c r="G5737">
        <v>4</v>
      </c>
      <c r="H5737">
        <v>28681.86</v>
      </c>
      <c r="I5737">
        <v>5629.65</v>
      </c>
      <c r="J5737" t="s">
        <v>28</v>
      </c>
      <c r="K5737" t="s">
        <v>33</v>
      </c>
      <c r="L5737">
        <f t="shared" si="267"/>
        <v>2023</v>
      </c>
      <c r="M5737" t="str">
        <f t="shared" si="268"/>
        <v>May</v>
      </c>
      <c r="N5737" s="2">
        <f t="shared" si="269"/>
        <v>0.19627911160573266</v>
      </c>
    </row>
    <row r="5738" spans="1:14" x14ac:dyDescent="0.45">
      <c r="A5738" t="s">
        <v>10054</v>
      </c>
      <c r="B5738" s="1">
        <v>44866</v>
      </c>
      <c r="C5738" t="s">
        <v>5004</v>
      </c>
      <c r="D5738" t="s">
        <v>13</v>
      </c>
      <c r="E5738" t="s">
        <v>20</v>
      </c>
      <c r="F5738" t="s">
        <v>21</v>
      </c>
      <c r="G5738">
        <v>1</v>
      </c>
      <c r="H5738">
        <v>22680.87</v>
      </c>
      <c r="I5738">
        <v>3020.59</v>
      </c>
      <c r="J5738" t="s">
        <v>47</v>
      </c>
      <c r="K5738" t="s">
        <v>33</v>
      </c>
      <c r="L5738">
        <f t="shared" si="267"/>
        <v>2022</v>
      </c>
      <c r="M5738" t="str">
        <f t="shared" si="268"/>
        <v>Nov</v>
      </c>
      <c r="N5738" s="2">
        <f t="shared" si="269"/>
        <v>0.13317787192466604</v>
      </c>
    </row>
    <row r="5739" spans="1:14" x14ac:dyDescent="0.45">
      <c r="A5739" t="s">
        <v>10055</v>
      </c>
      <c r="B5739" s="1">
        <v>45114</v>
      </c>
      <c r="C5739" t="s">
        <v>10056</v>
      </c>
      <c r="D5739" t="s">
        <v>13</v>
      </c>
      <c r="E5739" t="s">
        <v>36</v>
      </c>
      <c r="F5739" t="s">
        <v>37</v>
      </c>
      <c r="G5739">
        <v>2</v>
      </c>
      <c r="H5739">
        <v>34190.050000000003</v>
      </c>
      <c r="I5739">
        <v>6460.85</v>
      </c>
      <c r="J5739" t="s">
        <v>47</v>
      </c>
      <c r="K5739" t="s">
        <v>23</v>
      </c>
      <c r="L5739">
        <f t="shared" si="267"/>
        <v>2023</v>
      </c>
      <c r="M5739" t="str">
        <f t="shared" si="268"/>
        <v>Jul</v>
      </c>
      <c r="N5739" s="2">
        <f t="shared" si="269"/>
        <v>0.18896872043182153</v>
      </c>
    </row>
    <row r="5740" spans="1:14" x14ac:dyDescent="0.45">
      <c r="A5740" t="s">
        <v>10057</v>
      </c>
      <c r="B5740" s="1">
        <v>44840</v>
      </c>
      <c r="C5740" t="s">
        <v>5821</v>
      </c>
      <c r="D5740" t="s">
        <v>26</v>
      </c>
      <c r="E5740" t="s">
        <v>14</v>
      </c>
      <c r="F5740" t="s">
        <v>57</v>
      </c>
      <c r="G5740">
        <v>4</v>
      </c>
      <c r="H5740">
        <v>19950.62</v>
      </c>
      <c r="I5740">
        <v>2240.66</v>
      </c>
      <c r="J5740" t="s">
        <v>47</v>
      </c>
      <c r="K5740" t="s">
        <v>23</v>
      </c>
      <c r="L5740">
        <f t="shared" si="267"/>
        <v>2022</v>
      </c>
      <c r="M5740" t="str">
        <f t="shared" si="268"/>
        <v>Oct</v>
      </c>
      <c r="N5740" s="2">
        <f t="shared" si="269"/>
        <v>0.11231029411617283</v>
      </c>
    </row>
    <row r="5741" spans="1:14" x14ac:dyDescent="0.45">
      <c r="A5741" t="s">
        <v>10058</v>
      </c>
      <c r="B5741" s="1">
        <v>44838</v>
      </c>
      <c r="C5741" t="s">
        <v>10059</v>
      </c>
      <c r="D5741" t="s">
        <v>13</v>
      </c>
      <c r="E5741" t="s">
        <v>14</v>
      </c>
      <c r="F5741" t="s">
        <v>40</v>
      </c>
      <c r="G5741">
        <v>3</v>
      </c>
      <c r="H5741">
        <v>20346.900000000001</v>
      </c>
      <c r="I5741">
        <v>4965.4799999999996</v>
      </c>
      <c r="J5741" t="s">
        <v>71</v>
      </c>
      <c r="K5741" t="s">
        <v>17</v>
      </c>
      <c r="L5741">
        <f t="shared" si="267"/>
        <v>2022</v>
      </c>
      <c r="M5741" t="str">
        <f t="shared" si="268"/>
        <v>Oct</v>
      </c>
      <c r="N5741" s="2">
        <f t="shared" si="269"/>
        <v>0.24404110699910056</v>
      </c>
    </row>
    <row r="5742" spans="1:14" x14ac:dyDescent="0.45">
      <c r="A5742" t="s">
        <v>10060</v>
      </c>
      <c r="B5742" s="1">
        <v>44587</v>
      </c>
      <c r="C5742" t="s">
        <v>3838</v>
      </c>
      <c r="D5742" t="s">
        <v>56</v>
      </c>
      <c r="E5742" t="s">
        <v>20</v>
      </c>
      <c r="F5742" t="s">
        <v>43</v>
      </c>
      <c r="G5742">
        <v>3</v>
      </c>
      <c r="H5742">
        <v>36611.03</v>
      </c>
      <c r="I5742">
        <v>2185.77</v>
      </c>
      <c r="J5742" t="s">
        <v>28</v>
      </c>
      <c r="K5742" t="s">
        <v>23</v>
      </c>
      <c r="L5742">
        <f t="shared" si="267"/>
        <v>2022</v>
      </c>
      <c r="M5742" t="str">
        <f t="shared" si="268"/>
        <v>Jan</v>
      </c>
      <c r="N5742" s="2">
        <f t="shared" si="269"/>
        <v>5.9702499492639241E-2</v>
      </c>
    </row>
    <row r="5743" spans="1:14" x14ac:dyDescent="0.45">
      <c r="A5743" t="s">
        <v>10061</v>
      </c>
      <c r="B5743" s="1">
        <v>44809</v>
      </c>
      <c r="C5743" t="s">
        <v>10062</v>
      </c>
      <c r="D5743" t="s">
        <v>26</v>
      </c>
      <c r="E5743" t="s">
        <v>36</v>
      </c>
      <c r="F5743" t="s">
        <v>53</v>
      </c>
      <c r="G5743">
        <v>2</v>
      </c>
      <c r="H5743">
        <v>26135.86</v>
      </c>
      <c r="I5743">
        <v>4614.41</v>
      </c>
      <c r="J5743" t="s">
        <v>22</v>
      </c>
      <c r="K5743" t="s">
        <v>17</v>
      </c>
      <c r="L5743">
        <f t="shared" si="267"/>
        <v>2022</v>
      </c>
      <c r="M5743" t="str">
        <f t="shared" si="268"/>
        <v>Sep</v>
      </c>
      <c r="N5743" s="2">
        <f t="shared" si="269"/>
        <v>0.17655474126353599</v>
      </c>
    </row>
    <row r="5744" spans="1:14" x14ac:dyDescent="0.45">
      <c r="A5744" t="s">
        <v>10063</v>
      </c>
      <c r="B5744" s="1">
        <v>45045</v>
      </c>
      <c r="C5744" t="s">
        <v>10064</v>
      </c>
      <c r="D5744" t="s">
        <v>13</v>
      </c>
      <c r="E5744" t="s">
        <v>14</v>
      </c>
      <c r="F5744" t="s">
        <v>40</v>
      </c>
      <c r="G5744">
        <v>5</v>
      </c>
      <c r="H5744">
        <v>6546.87</v>
      </c>
      <c r="I5744">
        <v>450.08</v>
      </c>
      <c r="J5744" t="s">
        <v>16</v>
      </c>
      <c r="K5744" t="s">
        <v>29</v>
      </c>
      <c r="L5744">
        <f t="shared" si="267"/>
        <v>2023</v>
      </c>
      <c r="M5744" t="str">
        <f t="shared" si="268"/>
        <v>Apr</v>
      </c>
      <c r="N5744" s="2">
        <f t="shared" si="269"/>
        <v>6.8747355606572302E-2</v>
      </c>
    </row>
    <row r="5745" spans="1:14" x14ac:dyDescent="0.45">
      <c r="A5745" t="s">
        <v>10065</v>
      </c>
      <c r="B5745" s="1">
        <v>45030</v>
      </c>
      <c r="C5745" t="s">
        <v>1384</v>
      </c>
      <c r="D5745" t="s">
        <v>26</v>
      </c>
      <c r="E5745" t="s">
        <v>36</v>
      </c>
      <c r="F5745" t="s">
        <v>37</v>
      </c>
      <c r="G5745">
        <v>3</v>
      </c>
      <c r="H5745">
        <v>46471.86</v>
      </c>
      <c r="I5745">
        <v>11327.27</v>
      </c>
      <c r="J5745" t="s">
        <v>16</v>
      </c>
      <c r="K5745" t="s">
        <v>33</v>
      </c>
      <c r="L5745">
        <f t="shared" si="267"/>
        <v>2023</v>
      </c>
      <c r="M5745" t="str">
        <f t="shared" si="268"/>
        <v>Apr</v>
      </c>
      <c r="N5745" s="2">
        <f t="shared" si="269"/>
        <v>0.24374470916378213</v>
      </c>
    </row>
    <row r="5746" spans="1:14" x14ac:dyDescent="0.45">
      <c r="A5746" t="s">
        <v>10066</v>
      </c>
      <c r="B5746" s="1">
        <v>45244</v>
      </c>
      <c r="C5746" t="s">
        <v>10067</v>
      </c>
      <c r="D5746" t="s">
        <v>13</v>
      </c>
      <c r="E5746" t="s">
        <v>14</v>
      </c>
      <c r="F5746" t="s">
        <v>32</v>
      </c>
      <c r="G5746">
        <v>1</v>
      </c>
      <c r="H5746">
        <v>11577.67</v>
      </c>
      <c r="I5746">
        <v>1339.6</v>
      </c>
      <c r="J5746" t="s">
        <v>16</v>
      </c>
      <c r="K5746" t="s">
        <v>33</v>
      </c>
      <c r="L5746">
        <f t="shared" si="267"/>
        <v>2023</v>
      </c>
      <c r="M5746" t="str">
        <f t="shared" si="268"/>
        <v>Nov</v>
      </c>
      <c r="N5746" s="2">
        <f t="shared" si="269"/>
        <v>0.11570549169219713</v>
      </c>
    </row>
    <row r="5747" spans="1:14" x14ac:dyDescent="0.45">
      <c r="A5747" t="s">
        <v>10068</v>
      </c>
      <c r="B5747" s="1">
        <v>45617</v>
      </c>
      <c r="C5747" t="s">
        <v>8210</v>
      </c>
      <c r="D5747" t="s">
        <v>56</v>
      </c>
      <c r="E5747" t="s">
        <v>20</v>
      </c>
      <c r="F5747" t="s">
        <v>27</v>
      </c>
      <c r="G5747">
        <v>2</v>
      </c>
      <c r="H5747">
        <v>10096.530000000001</v>
      </c>
      <c r="I5747">
        <v>1803.76</v>
      </c>
      <c r="J5747" t="s">
        <v>71</v>
      </c>
      <c r="K5747" t="s">
        <v>23</v>
      </c>
      <c r="L5747">
        <f t="shared" si="267"/>
        <v>2024</v>
      </c>
      <c r="M5747" t="str">
        <f t="shared" si="268"/>
        <v>Nov</v>
      </c>
      <c r="N5747" s="2">
        <f t="shared" si="269"/>
        <v>0.1786514772897223</v>
      </c>
    </row>
    <row r="5748" spans="1:14" x14ac:dyDescent="0.45">
      <c r="A5748" t="s">
        <v>10069</v>
      </c>
      <c r="B5748" s="1">
        <v>45124</v>
      </c>
      <c r="C5748" t="s">
        <v>10070</v>
      </c>
      <c r="D5748" t="s">
        <v>13</v>
      </c>
      <c r="E5748" t="s">
        <v>36</v>
      </c>
      <c r="F5748" t="s">
        <v>46</v>
      </c>
      <c r="G5748">
        <v>2</v>
      </c>
      <c r="H5748">
        <v>14782.09</v>
      </c>
      <c r="I5748">
        <v>874.6</v>
      </c>
      <c r="J5748" t="s">
        <v>28</v>
      </c>
      <c r="K5748" t="s">
        <v>17</v>
      </c>
      <c r="L5748">
        <f t="shared" si="267"/>
        <v>2023</v>
      </c>
      <c r="M5748" t="str">
        <f t="shared" si="268"/>
        <v>Jul</v>
      </c>
      <c r="N5748" s="2">
        <f t="shared" si="269"/>
        <v>5.9166193684384277E-2</v>
      </c>
    </row>
    <row r="5749" spans="1:14" x14ac:dyDescent="0.45">
      <c r="A5749" t="s">
        <v>10071</v>
      </c>
      <c r="B5749" s="1">
        <v>45591</v>
      </c>
      <c r="C5749" t="s">
        <v>3432</v>
      </c>
      <c r="D5749" t="s">
        <v>56</v>
      </c>
      <c r="E5749" t="s">
        <v>36</v>
      </c>
      <c r="F5749" t="s">
        <v>37</v>
      </c>
      <c r="G5749">
        <v>1</v>
      </c>
      <c r="H5749">
        <v>16938.45</v>
      </c>
      <c r="I5749">
        <v>1526.8</v>
      </c>
      <c r="J5749" t="s">
        <v>47</v>
      </c>
      <c r="K5749" t="s">
        <v>29</v>
      </c>
      <c r="L5749">
        <f t="shared" si="267"/>
        <v>2024</v>
      </c>
      <c r="M5749" t="str">
        <f t="shared" si="268"/>
        <v>Oct</v>
      </c>
      <c r="N5749" s="2">
        <f t="shared" si="269"/>
        <v>9.0138117714430768E-2</v>
      </c>
    </row>
    <row r="5750" spans="1:14" x14ac:dyDescent="0.45">
      <c r="A5750" t="s">
        <v>10072</v>
      </c>
      <c r="B5750" s="1">
        <v>45195</v>
      </c>
      <c r="C5750" t="s">
        <v>10073</v>
      </c>
      <c r="D5750" t="s">
        <v>26</v>
      </c>
      <c r="E5750" t="s">
        <v>14</v>
      </c>
      <c r="F5750" t="s">
        <v>40</v>
      </c>
      <c r="G5750">
        <v>5</v>
      </c>
      <c r="H5750">
        <v>19326.14</v>
      </c>
      <c r="I5750">
        <v>1540.64</v>
      </c>
      <c r="J5750" t="s">
        <v>28</v>
      </c>
      <c r="K5750" t="s">
        <v>17</v>
      </c>
      <c r="L5750">
        <f t="shared" si="267"/>
        <v>2023</v>
      </c>
      <c r="M5750" t="str">
        <f t="shared" si="268"/>
        <v>Sep</v>
      </c>
      <c r="N5750" s="2">
        <f t="shared" si="269"/>
        <v>7.9717936432210479E-2</v>
      </c>
    </row>
    <row r="5751" spans="1:14" x14ac:dyDescent="0.45">
      <c r="A5751" t="s">
        <v>10074</v>
      </c>
      <c r="B5751" s="1">
        <v>45542</v>
      </c>
      <c r="C5751" t="s">
        <v>10075</v>
      </c>
      <c r="D5751" t="s">
        <v>56</v>
      </c>
      <c r="E5751" t="s">
        <v>36</v>
      </c>
      <c r="F5751" t="s">
        <v>37</v>
      </c>
      <c r="G5751">
        <v>3</v>
      </c>
      <c r="H5751">
        <v>14922.28</v>
      </c>
      <c r="I5751">
        <v>2626.04</v>
      </c>
      <c r="J5751" t="s">
        <v>16</v>
      </c>
      <c r="K5751" t="s">
        <v>33</v>
      </c>
      <c r="L5751">
        <f t="shared" si="267"/>
        <v>2024</v>
      </c>
      <c r="M5751" t="str">
        <f t="shared" si="268"/>
        <v>Sep</v>
      </c>
      <c r="N5751" s="2">
        <f t="shared" si="269"/>
        <v>0.17598115033359513</v>
      </c>
    </row>
    <row r="5752" spans="1:14" x14ac:dyDescent="0.45">
      <c r="A5752" t="s">
        <v>10076</v>
      </c>
      <c r="B5752" s="1">
        <v>45550</v>
      </c>
      <c r="C5752" t="s">
        <v>10077</v>
      </c>
      <c r="D5752" t="s">
        <v>26</v>
      </c>
      <c r="E5752" t="s">
        <v>36</v>
      </c>
      <c r="F5752" t="s">
        <v>37</v>
      </c>
      <c r="G5752">
        <v>1</v>
      </c>
      <c r="H5752">
        <v>25415.55</v>
      </c>
      <c r="I5752">
        <v>4955.3</v>
      </c>
      <c r="J5752" t="s">
        <v>16</v>
      </c>
      <c r="K5752" t="s">
        <v>33</v>
      </c>
      <c r="L5752">
        <f t="shared" si="267"/>
        <v>2024</v>
      </c>
      <c r="M5752" t="str">
        <f t="shared" si="268"/>
        <v>Sep</v>
      </c>
      <c r="N5752" s="2">
        <f t="shared" si="269"/>
        <v>0.19497118889813522</v>
      </c>
    </row>
    <row r="5753" spans="1:14" x14ac:dyDescent="0.45">
      <c r="A5753" t="s">
        <v>10078</v>
      </c>
      <c r="B5753" s="1">
        <v>45369</v>
      </c>
      <c r="C5753" t="s">
        <v>10079</v>
      </c>
      <c r="D5753" t="s">
        <v>13</v>
      </c>
      <c r="E5753" t="s">
        <v>36</v>
      </c>
      <c r="F5753" t="s">
        <v>37</v>
      </c>
      <c r="G5753">
        <v>5</v>
      </c>
      <c r="H5753">
        <v>3748.65</v>
      </c>
      <c r="I5753">
        <v>262.24</v>
      </c>
      <c r="J5753" t="s">
        <v>28</v>
      </c>
      <c r="K5753" t="s">
        <v>33</v>
      </c>
      <c r="L5753">
        <f t="shared" si="267"/>
        <v>2024</v>
      </c>
      <c r="M5753" t="str">
        <f t="shared" si="268"/>
        <v>Mar</v>
      </c>
      <c r="N5753" s="2">
        <f t="shared" si="269"/>
        <v>6.995585077294493E-2</v>
      </c>
    </row>
    <row r="5754" spans="1:14" x14ac:dyDescent="0.45">
      <c r="A5754" t="s">
        <v>10080</v>
      </c>
      <c r="B5754" s="1">
        <v>45576</v>
      </c>
      <c r="C5754" t="s">
        <v>10081</v>
      </c>
      <c r="D5754" t="s">
        <v>56</v>
      </c>
      <c r="E5754" t="s">
        <v>14</v>
      </c>
      <c r="F5754" t="s">
        <v>57</v>
      </c>
      <c r="G5754">
        <v>5</v>
      </c>
      <c r="H5754">
        <v>3966.63</v>
      </c>
      <c r="I5754">
        <v>439.4</v>
      </c>
      <c r="J5754" t="s">
        <v>71</v>
      </c>
      <c r="K5754" t="s">
        <v>17</v>
      </c>
      <c r="L5754">
        <f t="shared" si="267"/>
        <v>2024</v>
      </c>
      <c r="M5754" t="str">
        <f t="shared" si="268"/>
        <v>Oct</v>
      </c>
      <c r="N5754" s="2">
        <f t="shared" si="269"/>
        <v>0.11077413320627333</v>
      </c>
    </row>
    <row r="5755" spans="1:14" x14ac:dyDescent="0.45">
      <c r="A5755" t="s">
        <v>10082</v>
      </c>
      <c r="B5755" s="1">
        <v>45504</v>
      </c>
      <c r="C5755" t="s">
        <v>4556</v>
      </c>
      <c r="D5755" t="s">
        <v>26</v>
      </c>
      <c r="E5755" t="s">
        <v>14</v>
      </c>
      <c r="F5755" t="s">
        <v>32</v>
      </c>
      <c r="G5755">
        <v>4</v>
      </c>
      <c r="H5755">
        <v>3175.77</v>
      </c>
      <c r="I5755">
        <v>423.08</v>
      </c>
      <c r="J5755" t="s">
        <v>71</v>
      </c>
      <c r="K5755" t="s">
        <v>23</v>
      </c>
      <c r="L5755">
        <f t="shared" si="267"/>
        <v>2024</v>
      </c>
      <c r="M5755" t="str">
        <f t="shared" si="268"/>
        <v>Jul</v>
      </c>
      <c r="N5755" s="2">
        <f t="shared" si="269"/>
        <v>0.13322123453524656</v>
      </c>
    </row>
    <row r="5756" spans="1:14" x14ac:dyDescent="0.45">
      <c r="A5756" t="s">
        <v>10083</v>
      </c>
      <c r="B5756" s="1">
        <v>44661</v>
      </c>
      <c r="C5756" t="s">
        <v>10084</v>
      </c>
      <c r="D5756" t="s">
        <v>56</v>
      </c>
      <c r="E5756" t="s">
        <v>20</v>
      </c>
      <c r="F5756" t="s">
        <v>50</v>
      </c>
      <c r="G5756">
        <v>3</v>
      </c>
      <c r="H5756">
        <v>43264.62</v>
      </c>
      <c r="I5756">
        <v>6462.36</v>
      </c>
      <c r="J5756" t="s">
        <v>22</v>
      </c>
      <c r="K5756" t="s">
        <v>29</v>
      </c>
      <c r="L5756">
        <f t="shared" si="267"/>
        <v>2022</v>
      </c>
      <c r="M5756" t="str">
        <f t="shared" si="268"/>
        <v>Apr</v>
      </c>
      <c r="N5756" s="2">
        <f t="shared" si="269"/>
        <v>0.14936823667930052</v>
      </c>
    </row>
    <row r="5757" spans="1:14" x14ac:dyDescent="0.45">
      <c r="A5757" t="s">
        <v>10085</v>
      </c>
      <c r="B5757" s="1">
        <v>45006</v>
      </c>
      <c r="C5757" t="s">
        <v>10086</v>
      </c>
      <c r="D5757" t="s">
        <v>26</v>
      </c>
      <c r="E5757" t="s">
        <v>20</v>
      </c>
      <c r="F5757" t="s">
        <v>27</v>
      </c>
      <c r="G5757">
        <v>2</v>
      </c>
      <c r="H5757">
        <v>3779.7</v>
      </c>
      <c r="I5757">
        <v>798.19</v>
      </c>
      <c r="J5757" t="s">
        <v>71</v>
      </c>
      <c r="K5757" t="s">
        <v>33</v>
      </c>
      <c r="L5757">
        <f t="shared" si="267"/>
        <v>2023</v>
      </c>
      <c r="M5757" t="str">
        <f t="shared" si="268"/>
        <v>Mar</v>
      </c>
      <c r="N5757" s="2">
        <f t="shared" si="269"/>
        <v>0.21117813583088607</v>
      </c>
    </row>
    <row r="5758" spans="1:14" x14ac:dyDescent="0.45">
      <c r="A5758" t="s">
        <v>10087</v>
      </c>
      <c r="B5758" s="1">
        <v>45487</v>
      </c>
      <c r="C5758" t="s">
        <v>10088</v>
      </c>
      <c r="D5758" t="s">
        <v>26</v>
      </c>
      <c r="E5758" t="s">
        <v>36</v>
      </c>
      <c r="F5758" t="s">
        <v>46</v>
      </c>
      <c r="G5758">
        <v>1</v>
      </c>
      <c r="H5758">
        <v>10346.86</v>
      </c>
      <c r="I5758">
        <v>2494.92</v>
      </c>
      <c r="J5758" t="s">
        <v>16</v>
      </c>
      <c r="K5758" t="s">
        <v>23</v>
      </c>
      <c r="L5758">
        <f t="shared" si="267"/>
        <v>2024</v>
      </c>
      <c r="M5758" t="str">
        <f t="shared" si="268"/>
        <v>Jul</v>
      </c>
      <c r="N5758" s="2">
        <f t="shared" si="269"/>
        <v>0.24112822634113151</v>
      </c>
    </row>
    <row r="5759" spans="1:14" x14ac:dyDescent="0.45">
      <c r="A5759" t="s">
        <v>10089</v>
      </c>
      <c r="B5759" s="1">
        <v>45056</v>
      </c>
      <c r="C5759" t="s">
        <v>4657</v>
      </c>
      <c r="D5759" t="s">
        <v>13</v>
      </c>
      <c r="E5759" t="s">
        <v>36</v>
      </c>
      <c r="F5759" t="s">
        <v>46</v>
      </c>
      <c r="G5759">
        <v>5</v>
      </c>
      <c r="H5759">
        <v>32433.93</v>
      </c>
      <c r="I5759">
        <v>2747.46</v>
      </c>
      <c r="J5759" t="s">
        <v>71</v>
      </c>
      <c r="K5759" t="s">
        <v>33</v>
      </c>
      <c r="L5759">
        <f t="shared" si="267"/>
        <v>2023</v>
      </c>
      <c r="M5759" t="str">
        <f t="shared" si="268"/>
        <v>May</v>
      </c>
      <c r="N5759" s="2">
        <f t="shared" si="269"/>
        <v>8.4709438541675341E-2</v>
      </c>
    </row>
    <row r="5760" spans="1:14" x14ac:dyDescent="0.45">
      <c r="A5760" t="s">
        <v>10090</v>
      </c>
      <c r="B5760" s="1">
        <v>44889</v>
      </c>
      <c r="C5760" t="s">
        <v>10091</v>
      </c>
      <c r="D5760" t="s">
        <v>26</v>
      </c>
      <c r="E5760" t="s">
        <v>14</v>
      </c>
      <c r="F5760" t="s">
        <v>40</v>
      </c>
      <c r="G5760">
        <v>4</v>
      </c>
      <c r="H5760">
        <v>22482.47</v>
      </c>
      <c r="I5760">
        <v>3942.09</v>
      </c>
      <c r="J5760" t="s">
        <v>16</v>
      </c>
      <c r="K5760" t="s">
        <v>17</v>
      </c>
      <c r="L5760">
        <f t="shared" si="267"/>
        <v>2022</v>
      </c>
      <c r="M5760" t="str">
        <f t="shared" si="268"/>
        <v>Nov</v>
      </c>
      <c r="N5760" s="2">
        <f t="shared" si="269"/>
        <v>0.17534060981733768</v>
      </c>
    </row>
    <row r="5761" spans="1:14" x14ac:dyDescent="0.45">
      <c r="A5761" t="s">
        <v>10092</v>
      </c>
      <c r="B5761" s="1">
        <v>45594</v>
      </c>
      <c r="C5761" t="s">
        <v>4990</v>
      </c>
      <c r="D5761" t="s">
        <v>26</v>
      </c>
      <c r="E5761" t="s">
        <v>20</v>
      </c>
      <c r="F5761" t="s">
        <v>43</v>
      </c>
      <c r="G5761">
        <v>3</v>
      </c>
      <c r="H5761">
        <v>22290.31</v>
      </c>
      <c r="I5761">
        <v>2925.91</v>
      </c>
      <c r="J5761" t="s">
        <v>71</v>
      </c>
      <c r="K5761" t="s">
        <v>33</v>
      </c>
      <c r="L5761">
        <f t="shared" si="267"/>
        <v>2024</v>
      </c>
      <c r="M5761" t="str">
        <f t="shared" si="268"/>
        <v>Oct</v>
      </c>
      <c r="N5761" s="2">
        <f t="shared" si="269"/>
        <v>0.13126376438910001</v>
      </c>
    </row>
    <row r="5762" spans="1:14" x14ac:dyDescent="0.45">
      <c r="A5762" t="s">
        <v>10093</v>
      </c>
      <c r="B5762" s="1">
        <v>44636</v>
      </c>
      <c r="C5762" t="s">
        <v>10094</v>
      </c>
      <c r="D5762" t="s">
        <v>56</v>
      </c>
      <c r="E5762" t="s">
        <v>20</v>
      </c>
      <c r="F5762" t="s">
        <v>27</v>
      </c>
      <c r="G5762">
        <v>4</v>
      </c>
      <c r="H5762">
        <v>44254.879999999997</v>
      </c>
      <c r="I5762">
        <v>10316.31</v>
      </c>
      <c r="J5762" t="s">
        <v>22</v>
      </c>
      <c r="K5762" t="s">
        <v>33</v>
      </c>
      <c r="L5762">
        <f t="shared" si="267"/>
        <v>2022</v>
      </c>
      <c r="M5762" t="str">
        <f t="shared" si="268"/>
        <v>Mar</v>
      </c>
      <c r="N5762" s="2">
        <f t="shared" si="269"/>
        <v>0.23311124106539211</v>
      </c>
    </row>
    <row r="5763" spans="1:14" x14ac:dyDescent="0.45">
      <c r="A5763" t="s">
        <v>10095</v>
      </c>
      <c r="B5763" s="1">
        <v>44698</v>
      </c>
      <c r="C5763" t="s">
        <v>10096</v>
      </c>
      <c r="D5763" t="s">
        <v>13</v>
      </c>
      <c r="E5763" t="s">
        <v>36</v>
      </c>
      <c r="F5763" t="s">
        <v>64</v>
      </c>
      <c r="G5763">
        <v>4</v>
      </c>
      <c r="H5763">
        <v>34531.410000000003</v>
      </c>
      <c r="I5763">
        <v>4313.4399999999996</v>
      </c>
      <c r="J5763" t="s">
        <v>71</v>
      </c>
      <c r="K5763" t="s">
        <v>17</v>
      </c>
      <c r="L5763">
        <f t="shared" ref="L5763:L5826" si="270">YEAR(B5763 )</f>
        <v>2022</v>
      </c>
      <c r="M5763" t="str">
        <f t="shared" ref="M5763:M5826" si="271">TEXT(B5763,"MMM")</f>
        <v>May</v>
      </c>
      <c r="N5763" s="2">
        <f t="shared" ref="N5763:N5826" si="272">I5763 / H5763</f>
        <v>0.1249135207626911</v>
      </c>
    </row>
    <row r="5764" spans="1:14" x14ac:dyDescent="0.45">
      <c r="A5764" t="s">
        <v>10097</v>
      </c>
      <c r="B5764" s="1">
        <v>45415</v>
      </c>
      <c r="C5764" t="s">
        <v>2880</v>
      </c>
      <c r="D5764" t="s">
        <v>26</v>
      </c>
      <c r="E5764" t="s">
        <v>36</v>
      </c>
      <c r="F5764" t="s">
        <v>64</v>
      </c>
      <c r="G5764">
        <v>4</v>
      </c>
      <c r="H5764">
        <v>49990.78</v>
      </c>
      <c r="I5764">
        <v>4673.88</v>
      </c>
      <c r="J5764" t="s">
        <v>16</v>
      </c>
      <c r="K5764" t="s">
        <v>23</v>
      </c>
      <c r="L5764">
        <f t="shared" si="270"/>
        <v>2024</v>
      </c>
      <c r="M5764" t="str">
        <f t="shared" si="271"/>
        <v>May</v>
      </c>
      <c r="N5764" s="2">
        <f t="shared" si="272"/>
        <v>9.3494840448578725E-2</v>
      </c>
    </row>
    <row r="5765" spans="1:14" x14ac:dyDescent="0.45">
      <c r="A5765" t="s">
        <v>10098</v>
      </c>
      <c r="B5765" s="1">
        <v>44887</v>
      </c>
      <c r="C5765" t="s">
        <v>132</v>
      </c>
      <c r="D5765" t="s">
        <v>26</v>
      </c>
      <c r="E5765" t="s">
        <v>36</v>
      </c>
      <c r="F5765" t="s">
        <v>64</v>
      </c>
      <c r="G5765">
        <v>2</v>
      </c>
      <c r="H5765">
        <v>26450.92</v>
      </c>
      <c r="I5765">
        <v>1826.72</v>
      </c>
      <c r="J5765" t="s">
        <v>22</v>
      </c>
      <c r="K5765" t="s">
        <v>33</v>
      </c>
      <c r="L5765">
        <f t="shared" si="270"/>
        <v>2022</v>
      </c>
      <c r="M5765" t="str">
        <f t="shared" si="271"/>
        <v>Nov</v>
      </c>
      <c r="N5765" s="2">
        <f t="shared" si="272"/>
        <v>6.9060735883666818E-2</v>
      </c>
    </row>
    <row r="5766" spans="1:14" x14ac:dyDescent="0.45">
      <c r="A5766" t="s">
        <v>10099</v>
      </c>
      <c r="B5766" s="1">
        <v>45363</v>
      </c>
      <c r="C5766" t="s">
        <v>10100</v>
      </c>
      <c r="D5766" t="s">
        <v>13</v>
      </c>
      <c r="E5766" t="s">
        <v>14</v>
      </c>
      <c r="F5766" t="s">
        <v>57</v>
      </c>
      <c r="G5766">
        <v>5</v>
      </c>
      <c r="H5766">
        <v>45686.720000000001</v>
      </c>
      <c r="I5766">
        <v>10365.1</v>
      </c>
      <c r="J5766" t="s">
        <v>47</v>
      </c>
      <c r="K5766" t="s">
        <v>17</v>
      </c>
      <c r="L5766">
        <f t="shared" si="270"/>
        <v>2024</v>
      </c>
      <c r="M5766" t="str">
        <f t="shared" si="271"/>
        <v>Mar</v>
      </c>
      <c r="N5766" s="2">
        <f t="shared" si="272"/>
        <v>0.22687336714038567</v>
      </c>
    </row>
    <row r="5767" spans="1:14" x14ac:dyDescent="0.45">
      <c r="A5767" t="s">
        <v>10101</v>
      </c>
      <c r="B5767" s="1">
        <v>45156</v>
      </c>
      <c r="C5767" t="s">
        <v>10102</v>
      </c>
      <c r="D5767" t="s">
        <v>13</v>
      </c>
      <c r="E5767" t="s">
        <v>14</v>
      </c>
      <c r="F5767" t="s">
        <v>32</v>
      </c>
      <c r="G5767">
        <v>1</v>
      </c>
      <c r="H5767">
        <v>18442.38</v>
      </c>
      <c r="I5767">
        <v>1797.88</v>
      </c>
      <c r="J5767" t="s">
        <v>28</v>
      </c>
      <c r="K5767" t="s">
        <v>29</v>
      </c>
      <c r="L5767">
        <f t="shared" si="270"/>
        <v>2023</v>
      </c>
      <c r="M5767" t="str">
        <f t="shared" si="271"/>
        <v>Aug</v>
      </c>
      <c r="N5767" s="2">
        <f t="shared" si="272"/>
        <v>9.7486333108850382E-2</v>
      </c>
    </row>
    <row r="5768" spans="1:14" x14ac:dyDescent="0.45">
      <c r="A5768" t="s">
        <v>10103</v>
      </c>
      <c r="B5768" s="1">
        <v>44986</v>
      </c>
      <c r="C5768" t="s">
        <v>3406</v>
      </c>
      <c r="D5768" t="s">
        <v>26</v>
      </c>
      <c r="E5768" t="s">
        <v>14</v>
      </c>
      <c r="F5768" t="s">
        <v>15</v>
      </c>
      <c r="G5768">
        <v>5</v>
      </c>
      <c r="H5768">
        <v>39766.06</v>
      </c>
      <c r="I5768">
        <v>6046.54</v>
      </c>
      <c r="J5768" t="s">
        <v>16</v>
      </c>
      <c r="K5768" t="s">
        <v>33</v>
      </c>
      <c r="L5768">
        <f t="shared" si="270"/>
        <v>2023</v>
      </c>
      <c r="M5768" t="str">
        <f t="shared" si="271"/>
        <v>Mar</v>
      </c>
      <c r="N5768" s="2">
        <f t="shared" si="272"/>
        <v>0.15205278068785291</v>
      </c>
    </row>
    <row r="5769" spans="1:14" x14ac:dyDescent="0.45">
      <c r="A5769" t="s">
        <v>10104</v>
      </c>
      <c r="B5769" s="1">
        <v>44646</v>
      </c>
      <c r="C5769" t="s">
        <v>976</v>
      </c>
      <c r="D5769" t="s">
        <v>56</v>
      </c>
      <c r="E5769" t="s">
        <v>36</v>
      </c>
      <c r="F5769" t="s">
        <v>64</v>
      </c>
      <c r="G5769">
        <v>5</v>
      </c>
      <c r="H5769">
        <v>16736.61</v>
      </c>
      <c r="I5769">
        <v>3601.88</v>
      </c>
      <c r="J5769" t="s">
        <v>47</v>
      </c>
      <c r="K5769" t="s">
        <v>17</v>
      </c>
      <c r="L5769">
        <f t="shared" si="270"/>
        <v>2022</v>
      </c>
      <c r="M5769" t="str">
        <f t="shared" si="271"/>
        <v>Mar</v>
      </c>
      <c r="N5769" s="2">
        <f t="shared" si="272"/>
        <v>0.21520965117786697</v>
      </c>
    </row>
    <row r="5770" spans="1:14" x14ac:dyDescent="0.45">
      <c r="A5770" t="s">
        <v>10105</v>
      </c>
      <c r="B5770" s="1">
        <v>44949</v>
      </c>
      <c r="C5770" t="s">
        <v>10106</v>
      </c>
      <c r="D5770" t="s">
        <v>13</v>
      </c>
      <c r="E5770" t="s">
        <v>14</v>
      </c>
      <c r="F5770" t="s">
        <v>15</v>
      </c>
      <c r="G5770">
        <v>1</v>
      </c>
      <c r="H5770">
        <v>39511.79</v>
      </c>
      <c r="I5770">
        <v>7153.4</v>
      </c>
      <c r="J5770" t="s">
        <v>28</v>
      </c>
      <c r="K5770" t="s">
        <v>23</v>
      </c>
      <c r="L5770">
        <f t="shared" si="270"/>
        <v>2023</v>
      </c>
      <c r="M5770" t="str">
        <f t="shared" si="271"/>
        <v>Jan</v>
      </c>
      <c r="N5770" s="2">
        <f t="shared" si="272"/>
        <v>0.18104469577308444</v>
      </c>
    </row>
    <row r="5771" spans="1:14" x14ac:dyDescent="0.45">
      <c r="A5771" t="s">
        <v>10107</v>
      </c>
      <c r="B5771" s="1">
        <v>45276</v>
      </c>
      <c r="C5771" t="s">
        <v>10108</v>
      </c>
      <c r="D5771" t="s">
        <v>13</v>
      </c>
      <c r="E5771" t="s">
        <v>36</v>
      </c>
      <c r="F5771" t="s">
        <v>53</v>
      </c>
      <c r="G5771">
        <v>3</v>
      </c>
      <c r="H5771">
        <v>41609.56</v>
      </c>
      <c r="I5771">
        <v>9968.2000000000007</v>
      </c>
      <c r="J5771" t="s">
        <v>28</v>
      </c>
      <c r="K5771" t="s">
        <v>29</v>
      </c>
      <c r="L5771">
        <f t="shared" si="270"/>
        <v>2023</v>
      </c>
      <c r="M5771" t="str">
        <f t="shared" si="271"/>
        <v>Dec</v>
      </c>
      <c r="N5771" s="2">
        <f t="shared" si="272"/>
        <v>0.23956513839608015</v>
      </c>
    </row>
    <row r="5772" spans="1:14" x14ac:dyDescent="0.45">
      <c r="A5772" t="s">
        <v>10109</v>
      </c>
      <c r="B5772" s="1">
        <v>44605</v>
      </c>
      <c r="C5772" t="s">
        <v>3776</v>
      </c>
      <c r="D5772" t="s">
        <v>13</v>
      </c>
      <c r="E5772" t="s">
        <v>36</v>
      </c>
      <c r="F5772" t="s">
        <v>46</v>
      </c>
      <c r="G5772">
        <v>3</v>
      </c>
      <c r="H5772">
        <v>40258.49</v>
      </c>
      <c r="I5772">
        <v>6104.46</v>
      </c>
      <c r="J5772" t="s">
        <v>47</v>
      </c>
      <c r="K5772" t="s">
        <v>17</v>
      </c>
      <c r="L5772">
        <f t="shared" si="270"/>
        <v>2022</v>
      </c>
      <c r="M5772" t="str">
        <f t="shared" si="271"/>
        <v>Feb</v>
      </c>
      <c r="N5772" s="2">
        <f t="shared" si="272"/>
        <v>0.15163161857287744</v>
      </c>
    </row>
    <row r="5773" spans="1:14" x14ac:dyDescent="0.45">
      <c r="A5773" t="s">
        <v>10110</v>
      </c>
      <c r="B5773" s="1">
        <v>45551</v>
      </c>
      <c r="C5773" t="s">
        <v>10111</v>
      </c>
      <c r="D5773" t="s">
        <v>26</v>
      </c>
      <c r="E5773" t="s">
        <v>20</v>
      </c>
      <c r="F5773" t="s">
        <v>50</v>
      </c>
      <c r="G5773">
        <v>3</v>
      </c>
      <c r="H5773">
        <v>8812.31</v>
      </c>
      <c r="I5773">
        <v>524.9</v>
      </c>
      <c r="J5773" t="s">
        <v>71</v>
      </c>
      <c r="K5773" t="s">
        <v>23</v>
      </c>
      <c r="L5773">
        <f t="shared" si="270"/>
        <v>2024</v>
      </c>
      <c r="M5773" t="str">
        <f t="shared" si="271"/>
        <v>Sep</v>
      </c>
      <c r="N5773" s="2">
        <f t="shared" si="272"/>
        <v>5.9564404792840926E-2</v>
      </c>
    </row>
    <row r="5774" spans="1:14" x14ac:dyDescent="0.45">
      <c r="A5774" t="s">
        <v>10112</v>
      </c>
      <c r="B5774" s="1">
        <v>45582</v>
      </c>
      <c r="C5774" t="s">
        <v>10113</v>
      </c>
      <c r="D5774" t="s">
        <v>56</v>
      </c>
      <c r="E5774" t="s">
        <v>36</v>
      </c>
      <c r="F5774" t="s">
        <v>53</v>
      </c>
      <c r="G5774">
        <v>5</v>
      </c>
      <c r="H5774">
        <v>19714.55</v>
      </c>
      <c r="I5774">
        <v>2166.77</v>
      </c>
      <c r="J5774" t="s">
        <v>16</v>
      </c>
      <c r="K5774" t="s">
        <v>33</v>
      </c>
      <c r="L5774">
        <f t="shared" si="270"/>
        <v>2024</v>
      </c>
      <c r="M5774" t="str">
        <f t="shared" si="271"/>
        <v>Oct</v>
      </c>
      <c r="N5774" s="2">
        <f t="shared" si="272"/>
        <v>0.10990714979545564</v>
      </c>
    </row>
    <row r="5775" spans="1:14" x14ac:dyDescent="0.45">
      <c r="A5775" t="s">
        <v>10114</v>
      </c>
      <c r="B5775" s="1">
        <v>44563</v>
      </c>
      <c r="C5775" t="s">
        <v>10115</v>
      </c>
      <c r="D5775" t="s">
        <v>13</v>
      </c>
      <c r="E5775" t="s">
        <v>36</v>
      </c>
      <c r="F5775" t="s">
        <v>37</v>
      </c>
      <c r="G5775">
        <v>4</v>
      </c>
      <c r="H5775">
        <v>20463.919999999998</v>
      </c>
      <c r="I5775">
        <v>4362.3599999999997</v>
      </c>
      <c r="J5775" t="s">
        <v>71</v>
      </c>
      <c r="K5775" t="s">
        <v>33</v>
      </c>
      <c r="L5775">
        <f t="shared" si="270"/>
        <v>2022</v>
      </c>
      <c r="M5775" t="str">
        <f t="shared" si="271"/>
        <v>Jan</v>
      </c>
      <c r="N5775" s="2">
        <f t="shared" si="272"/>
        <v>0.21317323367175009</v>
      </c>
    </row>
    <row r="5776" spans="1:14" x14ac:dyDescent="0.45">
      <c r="A5776" t="s">
        <v>10116</v>
      </c>
      <c r="B5776" s="1">
        <v>45525</v>
      </c>
      <c r="C5776" t="s">
        <v>10117</v>
      </c>
      <c r="D5776" t="s">
        <v>56</v>
      </c>
      <c r="E5776" t="s">
        <v>36</v>
      </c>
      <c r="F5776" t="s">
        <v>64</v>
      </c>
      <c r="G5776">
        <v>5</v>
      </c>
      <c r="H5776">
        <v>40166.86</v>
      </c>
      <c r="I5776">
        <v>7712.23</v>
      </c>
      <c r="J5776" t="s">
        <v>47</v>
      </c>
      <c r="K5776" t="s">
        <v>29</v>
      </c>
      <c r="L5776">
        <f t="shared" si="270"/>
        <v>2024</v>
      </c>
      <c r="M5776" t="str">
        <f t="shared" si="271"/>
        <v>Aug</v>
      </c>
      <c r="N5776" s="2">
        <f t="shared" si="272"/>
        <v>0.19200480196858802</v>
      </c>
    </row>
    <row r="5777" spans="1:14" x14ac:dyDescent="0.45">
      <c r="A5777" t="s">
        <v>10118</v>
      </c>
      <c r="B5777" s="1">
        <v>45453</v>
      </c>
      <c r="C5777" t="s">
        <v>10119</v>
      </c>
      <c r="D5777" t="s">
        <v>56</v>
      </c>
      <c r="E5777" t="s">
        <v>36</v>
      </c>
      <c r="F5777" t="s">
        <v>37</v>
      </c>
      <c r="G5777">
        <v>2</v>
      </c>
      <c r="H5777">
        <v>34877.43</v>
      </c>
      <c r="I5777">
        <v>8485.7199999999993</v>
      </c>
      <c r="J5777" t="s">
        <v>16</v>
      </c>
      <c r="K5777" t="s">
        <v>17</v>
      </c>
      <c r="L5777">
        <f t="shared" si="270"/>
        <v>2024</v>
      </c>
      <c r="M5777" t="str">
        <f t="shared" si="271"/>
        <v>Jun</v>
      </c>
      <c r="N5777" s="2">
        <f t="shared" si="272"/>
        <v>0.24330118360211744</v>
      </c>
    </row>
    <row r="5778" spans="1:14" x14ac:dyDescent="0.45">
      <c r="A5778" t="s">
        <v>10120</v>
      </c>
      <c r="B5778" s="1">
        <v>44897</v>
      </c>
      <c r="C5778" t="s">
        <v>1518</v>
      </c>
      <c r="D5778" t="s">
        <v>26</v>
      </c>
      <c r="E5778" t="s">
        <v>20</v>
      </c>
      <c r="F5778" t="s">
        <v>21</v>
      </c>
      <c r="G5778">
        <v>1</v>
      </c>
      <c r="H5778">
        <v>13608.97</v>
      </c>
      <c r="I5778">
        <v>2837.78</v>
      </c>
      <c r="J5778" t="s">
        <v>28</v>
      </c>
      <c r="K5778" t="s">
        <v>23</v>
      </c>
      <c r="L5778">
        <f t="shared" si="270"/>
        <v>2022</v>
      </c>
      <c r="M5778" t="str">
        <f t="shared" si="271"/>
        <v>Dec</v>
      </c>
      <c r="N5778" s="2">
        <f t="shared" si="272"/>
        <v>0.20852276109066303</v>
      </c>
    </row>
    <row r="5779" spans="1:14" x14ac:dyDescent="0.45">
      <c r="A5779" t="s">
        <v>10121</v>
      </c>
      <c r="B5779" s="1">
        <v>44649</v>
      </c>
      <c r="C5779" t="s">
        <v>10122</v>
      </c>
      <c r="D5779" t="s">
        <v>56</v>
      </c>
      <c r="E5779" t="s">
        <v>20</v>
      </c>
      <c r="F5779" t="s">
        <v>27</v>
      </c>
      <c r="G5779">
        <v>5</v>
      </c>
      <c r="H5779">
        <v>42633.37</v>
      </c>
      <c r="I5779">
        <v>8852.66</v>
      </c>
      <c r="J5779" t="s">
        <v>22</v>
      </c>
      <c r="K5779" t="s">
        <v>23</v>
      </c>
      <c r="L5779">
        <f t="shared" si="270"/>
        <v>2022</v>
      </c>
      <c r="M5779" t="str">
        <f t="shared" si="271"/>
        <v>Mar</v>
      </c>
      <c r="N5779" s="2">
        <f t="shared" si="272"/>
        <v>0.20764626394770105</v>
      </c>
    </row>
    <row r="5780" spans="1:14" x14ac:dyDescent="0.45">
      <c r="A5780" t="s">
        <v>10123</v>
      </c>
      <c r="B5780" s="1">
        <v>44957</v>
      </c>
      <c r="C5780" t="s">
        <v>10124</v>
      </c>
      <c r="D5780" t="s">
        <v>26</v>
      </c>
      <c r="E5780" t="s">
        <v>20</v>
      </c>
      <c r="F5780" t="s">
        <v>27</v>
      </c>
      <c r="G5780">
        <v>3</v>
      </c>
      <c r="H5780">
        <v>38466.769999999997</v>
      </c>
      <c r="I5780">
        <v>5681.88</v>
      </c>
      <c r="J5780" t="s">
        <v>47</v>
      </c>
      <c r="K5780" t="s">
        <v>29</v>
      </c>
      <c r="L5780">
        <f t="shared" si="270"/>
        <v>2023</v>
      </c>
      <c r="M5780" t="str">
        <f t="shared" si="271"/>
        <v>Jan</v>
      </c>
      <c r="N5780" s="2">
        <f t="shared" si="272"/>
        <v>0.14770878865056777</v>
      </c>
    </row>
    <row r="5781" spans="1:14" x14ac:dyDescent="0.45">
      <c r="A5781" t="s">
        <v>10125</v>
      </c>
      <c r="B5781" s="1">
        <v>45407</v>
      </c>
      <c r="C5781" t="s">
        <v>10126</v>
      </c>
      <c r="D5781" t="s">
        <v>26</v>
      </c>
      <c r="E5781" t="s">
        <v>36</v>
      </c>
      <c r="F5781" t="s">
        <v>53</v>
      </c>
      <c r="G5781">
        <v>1</v>
      </c>
      <c r="H5781">
        <v>4592.67</v>
      </c>
      <c r="I5781">
        <v>761.15</v>
      </c>
      <c r="J5781" t="s">
        <v>16</v>
      </c>
      <c r="K5781" t="s">
        <v>33</v>
      </c>
      <c r="L5781">
        <f t="shared" si="270"/>
        <v>2024</v>
      </c>
      <c r="M5781" t="str">
        <f t="shared" si="271"/>
        <v>Apr</v>
      </c>
      <c r="N5781" s="2">
        <f t="shared" si="272"/>
        <v>0.16573148081617012</v>
      </c>
    </row>
    <row r="5782" spans="1:14" x14ac:dyDescent="0.45">
      <c r="A5782" t="s">
        <v>10127</v>
      </c>
      <c r="B5782" s="1">
        <v>44759</v>
      </c>
      <c r="C5782" t="s">
        <v>10128</v>
      </c>
      <c r="D5782" t="s">
        <v>26</v>
      </c>
      <c r="E5782" t="s">
        <v>36</v>
      </c>
      <c r="F5782" t="s">
        <v>53</v>
      </c>
      <c r="G5782">
        <v>3</v>
      </c>
      <c r="H5782">
        <v>21603.43</v>
      </c>
      <c r="I5782">
        <v>3574.55</v>
      </c>
      <c r="J5782" t="s">
        <v>47</v>
      </c>
      <c r="K5782" t="s">
        <v>17</v>
      </c>
      <c r="L5782">
        <f t="shared" si="270"/>
        <v>2022</v>
      </c>
      <c r="M5782" t="str">
        <f t="shared" si="271"/>
        <v>Jul</v>
      </c>
      <c r="N5782" s="2">
        <f t="shared" si="272"/>
        <v>0.16546215114914622</v>
      </c>
    </row>
    <row r="5783" spans="1:14" x14ac:dyDescent="0.45">
      <c r="A5783" t="s">
        <v>10129</v>
      </c>
      <c r="B5783" s="1">
        <v>44982</v>
      </c>
      <c r="C5783" t="s">
        <v>10130</v>
      </c>
      <c r="D5783" t="s">
        <v>56</v>
      </c>
      <c r="E5783" t="s">
        <v>14</v>
      </c>
      <c r="F5783" t="s">
        <v>40</v>
      </c>
      <c r="G5783">
        <v>3</v>
      </c>
      <c r="H5783">
        <v>16385.439999999999</v>
      </c>
      <c r="I5783">
        <v>2902.73</v>
      </c>
      <c r="J5783" t="s">
        <v>47</v>
      </c>
      <c r="K5783" t="s">
        <v>23</v>
      </c>
      <c r="L5783">
        <f t="shared" si="270"/>
        <v>2023</v>
      </c>
      <c r="M5783" t="str">
        <f t="shared" si="271"/>
        <v>Feb</v>
      </c>
      <c r="N5783" s="2">
        <f t="shared" si="272"/>
        <v>0.17715300901287975</v>
      </c>
    </row>
    <row r="5784" spans="1:14" x14ac:dyDescent="0.45">
      <c r="A5784" t="s">
        <v>10131</v>
      </c>
      <c r="B5784" s="1">
        <v>45233</v>
      </c>
      <c r="C5784" t="s">
        <v>10132</v>
      </c>
      <c r="D5784" t="s">
        <v>13</v>
      </c>
      <c r="E5784" t="s">
        <v>20</v>
      </c>
      <c r="F5784" t="s">
        <v>21</v>
      </c>
      <c r="G5784">
        <v>4</v>
      </c>
      <c r="H5784">
        <v>9088.68</v>
      </c>
      <c r="I5784">
        <v>1613.12</v>
      </c>
      <c r="J5784" t="s">
        <v>28</v>
      </c>
      <c r="K5784" t="s">
        <v>17</v>
      </c>
      <c r="L5784">
        <f t="shared" si="270"/>
        <v>2023</v>
      </c>
      <c r="M5784" t="str">
        <f t="shared" si="271"/>
        <v>Nov</v>
      </c>
      <c r="N5784" s="2">
        <f t="shared" si="272"/>
        <v>0.17748671974368113</v>
      </c>
    </row>
    <row r="5785" spans="1:14" x14ac:dyDescent="0.45">
      <c r="A5785" t="s">
        <v>10133</v>
      </c>
      <c r="B5785" s="1">
        <v>45229</v>
      </c>
      <c r="C5785" t="s">
        <v>6650</v>
      </c>
      <c r="D5785" t="s">
        <v>56</v>
      </c>
      <c r="E5785" t="s">
        <v>36</v>
      </c>
      <c r="F5785" t="s">
        <v>46</v>
      </c>
      <c r="G5785">
        <v>1</v>
      </c>
      <c r="H5785">
        <v>49809.82</v>
      </c>
      <c r="I5785">
        <v>11179.07</v>
      </c>
      <c r="J5785" t="s">
        <v>47</v>
      </c>
      <c r="K5785" t="s">
        <v>33</v>
      </c>
      <c r="L5785">
        <f t="shared" si="270"/>
        <v>2023</v>
      </c>
      <c r="M5785" t="str">
        <f t="shared" si="271"/>
        <v>Oct</v>
      </c>
      <c r="N5785" s="2">
        <f t="shared" si="272"/>
        <v>0.22443506119877565</v>
      </c>
    </row>
    <row r="5786" spans="1:14" x14ac:dyDescent="0.45">
      <c r="A5786" t="s">
        <v>10134</v>
      </c>
      <c r="B5786" s="1">
        <v>45079</v>
      </c>
      <c r="C5786" t="s">
        <v>10135</v>
      </c>
      <c r="D5786" t="s">
        <v>13</v>
      </c>
      <c r="E5786" t="s">
        <v>14</v>
      </c>
      <c r="F5786" t="s">
        <v>15</v>
      </c>
      <c r="G5786">
        <v>4</v>
      </c>
      <c r="H5786">
        <v>36167.089999999997</v>
      </c>
      <c r="I5786">
        <v>2445.0700000000002</v>
      </c>
      <c r="J5786" t="s">
        <v>22</v>
      </c>
      <c r="K5786" t="s">
        <v>33</v>
      </c>
      <c r="L5786">
        <f t="shared" si="270"/>
        <v>2023</v>
      </c>
      <c r="M5786" t="str">
        <f t="shared" si="271"/>
        <v>Jun</v>
      </c>
      <c r="N5786" s="2">
        <f t="shared" si="272"/>
        <v>6.7604830800598009E-2</v>
      </c>
    </row>
    <row r="5787" spans="1:14" x14ac:dyDescent="0.45">
      <c r="A5787" t="s">
        <v>10136</v>
      </c>
      <c r="B5787" s="1">
        <v>44758</v>
      </c>
      <c r="C5787" t="s">
        <v>10137</v>
      </c>
      <c r="D5787" t="s">
        <v>56</v>
      </c>
      <c r="E5787" t="s">
        <v>14</v>
      </c>
      <c r="F5787" t="s">
        <v>40</v>
      </c>
      <c r="G5787">
        <v>1</v>
      </c>
      <c r="H5787">
        <v>13883.53</v>
      </c>
      <c r="I5787">
        <v>3217.01</v>
      </c>
      <c r="J5787" t="s">
        <v>22</v>
      </c>
      <c r="K5787" t="s">
        <v>33</v>
      </c>
      <c r="L5787">
        <f t="shared" si="270"/>
        <v>2022</v>
      </c>
      <c r="M5787" t="str">
        <f t="shared" si="271"/>
        <v>Jul</v>
      </c>
      <c r="N5787" s="2">
        <f t="shared" si="272"/>
        <v>0.23171412457782711</v>
      </c>
    </row>
    <row r="5788" spans="1:14" x14ac:dyDescent="0.45">
      <c r="A5788" t="s">
        <v>10138</v>
      </c>
      <c r="B5788" s="1">
        <v>45199</v>
      </c>
      <c r="C5788" t="s">
        <v>83</v>
      </c>
      <c r="D5788" t="s">
        <v>26</v>
      </c>
      <c r="E5788" t="s">
        <v>20</v>
      </c>
      <c r="F5788" t="s">
        <v>43</v>
      </c>
      <c r="G5788">
        <v>3</v>
      </c>
      <c r="H5788">
        <v>19727.59</v>
      </c>
      <c r="I5788">
        <v>2377.88</v>
      </c>
      <c r="J5788" t="s">
        <v>28</v>
      </c>
      <c r="K5788" t="s">
        <v>29</v>
      </c>
      <c r="L5788">
        <f t="shared" si="270"/>
        <v>2023</v>
      </c>
      <c r="M5788" t="str">
        <f t="shared" si="271"/>
        <v>Sep</v>
      </c>
      <c r="N5788" s="2">
        <f t="shared" si="272"/>
        <v>0.12053575728206031</v>
      </c>
    </row>
    <row r="5789" spans="1:14" x14ac:dyDescent="0.45">
      <c r="A5789" t="s">
        <v>10139</v>
      </c>
      <c r="B5789" s="1">
        <v>45486</v>
      </c>
      <c r="C5789" t="s">
        <v>10140</v>
      </c>
      <c r="D5789" t="s">
        <v>26</v>
      </c>
      <c r="E5789" t="s">
        <v>20</v>
      </c>
      <c r="F5789" t="s">
        <v>43</v>
      </c>
      <c r="G5789">
        <v>5</v>
      </c>
      <c r="H5789">
        <v>8027.1</v>
      </c>
      <c r="I5789">
        <v>1875.01</v>
      </c>
      <c r="J5789" t="s">
        <v>47</v>
      </c>
      <c r="K5789" t="s">
        <v>17</v>
      </c>
      <c r="L5789">
        <f t="shared" si="270"/>
        <v>2024</v>
      </c>
      <c r="M5789" t="str">
        <f t="shared" si="271"/>
        <v>Jul</v>
      </c>
      <c r="N5789" s="2">
        <f t="shared" si="272"/>
        <v>0.23358498087727822</v>
      </c>
    </row>
    <row r="5790" spans="1:14" x14ac:dyDescent="0.45">
      <c r="A5790" t="s">
        <v>10141</v>
      </c>
      <c r="B5790" s="1">
        <v>45133</v>
      </c>
      <c r="C5790" t="s">
        <v>10142</v>
      </c>
      <c r="D5790" t="s">
        <v>56</v>
      </c>
      <c r="E5790" t="s">
        <v>14</v>
      </c>
      <c r="F5790" t="s">
        <v>15</v>
      </c>
      <c r="G5790">
        <v>4</v>
      </c>
      <c r="H5790">
        <v>43159.81</v>
      </c>
      <c r="I5790">
        <v>8054.5</v>
      </c>
      <c r="J5790" t="s">
        <v>16</v>
      </c>
      <c r="K5790" t="s">
        <v>29</v>
      </c>
      <c r="L5790">
        <f t="shared" si="270"/>
        <v>2023</v>
      </c>
      <c r="M5790" t="str">
        <f t="shared" si="271"/>
        <v>Jul</v>
      </c>
      <c r="N5790" s="2">
        <f t="shared" si="272"/>
        <v>0.18662037668840525</v>
      </c>
    </row>
    <row r="5791" spans="1:14" x14ac:dyDescent="0.45">
      <c r="A5791" t="s">
        <v>10143</v>
      </c>
      <c r="B5791" s="1">
        <v>44587</v>
      </c>
      <c r="C5791" t="s">
        <v>10144</v>
      </c>
      <c r="D5791" t="s">
        <v>56</v>
      </c>
      <c r="E5791" t="s">
        <v>14</v>
      </c>
      <c r="F5791" t="s">
        <v>32</v>
      </c>
      <c r="G5791">
        <v>4</v>
      </c>
      <c r="H5791">
        <v>29657.14</v>
      </c>
      <c r="I5791">
        <v>6461.84</v>
      </c>
      <c r="J5791" t="s">
        <v>16</v>
      </c>
      <c r="K5791" t="s">
        <v>17</v>
      </c>
      <c r="L5791">
        <f t="shared" si="270"/>
        <v>2022</v>
      </c>
      <c r="M5791" t="str">
        <f t="shared" si="271"/>
        <v>Jan</v>
      </c>
      <c r="N5791" s="2">
        <f t="shared" si="272"/>
        <v>0.217884799410867</v>
      </c>
    </row>
    <row r="5792" spans="1:14" x14ac:dyDescent="0.45">
      <c r="A5792" t="s">
        <v>10145</v>
      </c>
      <c r="B5792" s="1">
        <v>45065</v>
      </c>
      <c r="C5792" t="s">
        <v>10146</v>
      </c>
      <c r="D5792" t="s">
        <v>13</v>
      </c>
      <c r="E5792" t="s">
        <v>20</v>
      </c>
      <c r="F5792" t="s">
        <v>50</v>
      </c>
      <c r="G5792">
        <v>2</v>
      </c>
      <c r="H5792">
        <v>41706.67</v>
      </c>
      <c r="I5792">
        <v>6572.95</v>
      </c>
      <c r="J5792" t="s">
        <v>71</v>
      </c>
      <c r="K5792" t="s">
        <v>33</v>
      </c>
      <c r="L5792">
        <f t="shared" si="270"/>
        <v>2023</v>
      </c>
      <c r="M5792" t="str">
        <f t="shared" si="271"/>
        <v>May</v>
      </c>
      <c r="N5792" s="2">
        <f t="shared" si="272"/>
        <v>0.15759949187983602</v>
      </c>
    </row>
    <row r="5793" spans="1:14" x14ac:dyDescent="0.45">
      <c r="A5793" t="s">
        <v>10147</v>
      </c>
      <c r="B5793" s="1">
        <v>45489</v>
      </c>
      <c r="C5793" t="s">
        <v>10148</v>
      </c>
      <c r="D5793" t="s">
        <v>56</v>
      </c>
      <c r="E5793" t="s">
        <v>36</v>
      </c>
      <c r="F5793" t="s">
        <v>37</v>
      </c>
      <c r="G5793">
        <v>3</v>
      </c>
      <c r="H5793">
        <v>28233.67</v>
      </c>
      <c r="I5793">
        <v>5137.34</v>
      </c>
      <c r="J5793" t="s">
        <v>22</v>
      </c>
      <c r="K5793" t="s">
        <v>29</v>
      </c>
      <c r="L5793">
        <f t="shared" si="270"/>
        <v>2024</v>
      </c>
      <c r="M5793" t="str">
        <f t="shared" si="271"/>
        <v>Jul</v>
      </c>
      <c r="N5793" s="2">
        <f t="shared" si="272"/>
        <v>0.18195792470479397</v>
      </c>
    </row>
    <row r="5794" spans="1:14" x14ac:dyDescent="0.45">
      <c r="A5794" t="s">
        <v>10149</v>
      </c>
      <c r="B5794" s="1">
        <v>44757</v>
      </c>
      <c r="C5794" t="s">
        <v>10150</v>
      </c>
      <c r="D5794" t="s">
        <v>13</v>
      </c>
      <c r="E5794" t="s">
        <v>36</v>
      </c>
      <c r="F5794" t="s">
        <v>46</v>
      </c>
      <c r="G5794">
        <v>1</v>
      </c>
      <c r="H5794">
        <v>27926.73</v>
      </c>
      <c r="I5794">
        <v>1408.53</v>
      </c>
      <c r="J5794" t="s">
        <v>28</v>
      </c>
      <c r="K5794" t="s">
        <v>23</v>
      </c>
      <c r="L5794">
        <f t="shared" si="270"/>
        <v>2022</v>
      </c>
      <c r="M5794" t="str">
        <f t="shared" si="271"/>
        <v>Jul</v>
      </c>
      <c r="N5794" s="2">
        <f t="shared" si="272"/>
        <v>5.0436624696124463E-2</v>
      </c>
    </row>
    <row r="5795" spans="1:14" x14ac:dyDescent="0.45">
      <c r="A5795" t="s">
        <v>10151</v>
      </c>
      <c r="B5795" s="1">
        <v>45219</v>
      </c>
      <c r="C5795" t="s">
        <v>10152</v>
      </c>
      <c r="D5795" t="s">
        <v>26</v>
      </c>
      <c r="E5795" t="s">
        <v>14</v>
      </c>
      <c r="F5795" t="s">
        <v>32</v>
      </c>
      <c r="G5795">
        <v>5</v>
      </c>
      <c r="H5795">
        <v>1907.43</v>
      </c>
      <c r="I5795">
        <v>340.59</v>
      </c>
      <c r="J5795" t="s">
        <v>71</v>
      </c>
      <c r="K5795" t="s">
        <v>17</v>
      </c>
      <c r="L5795">
        <f t="shared" si="270"/>
        <v>2023</v>
      </c>
      <c r="M5795" t="str">
        <f t="shared" si="271"/>
        <v>Oct</v>
      </c>
      <c r="N5795" s="2">
        <f t="shared" si="272"/>
        <v>0.17855963259464303</v>
      </c>
    </row>
    <row r="5796" spans="1:14" x14ac:dyDescent="0.45">
      <c r="A5796" t="s">
        <v>10153</v>
      </c>
      <c r="B5796" s="1">
        <v>45422</v>
      </c>
      <c r="C5796" t="s">
        <v>97</v>
      </c>
      <c r="D5796" t="s">
        <v>26</v>
      </c>
      <c r="E5796" t="s">
        <v>20</v>
      </c>
      <c r="F5796" t="s">
        <v>50</v>
      </c>
      <c r="G5796">
        <v>5</v>
      </c>
      <c r="H5796">
        <v>49404.02</v>
      </c>
      <c r="I5796">
        <v>4805.18</v>
      </c>
      <c r="J5796" t="s">
        <v>22</v>
      </c>
      <c r="K5796" t="s">
        <v>17</v>
      </c>
      <c r="L5796">
        <f t="shared" si="270"/>
        <v>2024</v>
      </c>
      <c r="M5796" t="str">
        <f t="shared" si="271"/>
        <v>May</v>
      </c>
      <c r="N5796" s="2">
        <f t="shared" si="272"/>
        <v>9.7262935283404073E-2</v>
      </c>
    </row>
    <row r="5797" spans="1:14" x14ac:dyDescent="0.45">
      <c r="A5797" t="s">
        <v>10154</v>
      </c>
      <c r="B5797" s="1">
        <v>44681</v>
      </c>
      <c r="C5797" t="s">
        <v>5166</v>
      </c>
      <c r="D5797" t="s">
        <v>56</v>
      </c>
      <c r="E5797" t="s">
        <v>14</v>
      </c>
      <c r="F5797" t="s">
        <v>40</v>
      </c>
      <c r="G5797">
        <v>4</v>
      </c>
      <c r="H5797">
        <v>19865.189999999999</v>
      </c>
      <c r="I5797">
        <v>1664.54</v>
      </c>
      <c r="J5797" t="s">
        <v>28</v>
      </c>
      <c r="K5797" t="s">
        <v>17</v>
      </c>
      <c r="L5797">
        <f t="shared" si="270"/>
        <v>2022</v>
      </c>
      <c r="M5797" t="str">
        <f t="shared" si="271"/>
        <v>Apr</v>
      </c>
      <c r="N5797" s="2">
        <f t="shared" si="272"/>
        <v>8.3791798618588598E-2</v>
      </c>
    </row>
    <row r="5798" spans="1:14" x14ac:dyDescent="0.45">
      <c r="A5798" t="s">
        <v>10155</v>
      </c>
      <c r="B5798" s="1">
        <v>45295</v>
      </c>
      <c r="C5798" t="s">
        <v>4240</v>
      </c>
      <c r="D5798" t="s">
        <v>56</v>
      </c>
      <c r="E5798" t="s">
        <v>14</v>
      </c>
      <c r="F5798" t="s">
        <v>57</v>
      </c>
      <c r="G5798">
        <v>5</v>
      </c>
      <c r="H5798">
        <v>47733.09</v>
      </c>
      <c r="I5798">
        <v>11927.18</v>
      </c>
      <c r="J5798" t="s">
        <v>71</v>
      </c>
      <c r="K5798" t="s">
        <v>23</v>
      </c>
      <c r="L5798">
        <f t="shared" si="270"/>
        <v>2024</v>
      </c>
      <c r="M5798" t="str">
        <f t="shared" si="271"/>
        <v>Jan</v>
      </c>
      <c r="N5798" s="2">
        <f t="shared" si="272"/>
        <v>0.24987236317615308</v>
      </c>
    </row>
    <row r="5799" spans="1:14" x14ac:dyDescent="0.45">
      <c r="A5799" t="s">
        <v>10156</v>
      </c>
      <c r="B5799" s="1">
        <v>44780</v>
      </c>
      <c r="C5799" t="s">
        <v>10157</v>
      </c>
      <c r="D5799" t="s">
        <v>56</v>
      </c>
      <c r="E5799" t="s">
        <v>20</v>
      </c>
      <c r="F5799" t="s">
        <v>27</v>
      </c>
      <c r="G5799">
        <v>4</v>
      </c>
      <c r="H5799">
        <v>49243.12</v>
      </c>
      <c r="I5799">
        <v>4738.78</v>
      </c>
      <c r="J5799" t="s">
        <v>71</v>
      </c>
      <c r="K5799" t="s">
        <v>17</v>
      </c>
      <c r="L5799">
        <f t="shared" si="270"/>
        <v>2022</v>
      </c>
      <c r="M5799" t="str">
        <f t="shared" si="271"/>
        <v>Aug</v>
      </c>
      <c r="N5799" s="2">
        <f t="shared" si="272"/>
        <v>9.6232326465098064E-2</v>
      </c>
    </row>
    <row r="5800" spans="1:14" x14ac:dyDescent="0.45">
      <c r="A5800" t="s">
        <v>10158</v>
      </c>
      <c r="B5800" s="1">
        <v>45145</v>
      </c>
      <c r="C5800" t="s">
        <v>10159</v>
      </c>
      <c r="D5800" t="s">
        <v>56</v>
      </c>
      <c r="E5800" t="s">
        <v>20</v>
      </c>
      <c r="F5800" t="s">
        <v>27</v>
      </c>
      <c r="G5800">
        <v>4</v>
      </c>
      <c r="H5800">
        <v>22225.25</v>
      </c>
      <c r="I5800">
        <v>2261.91</v>
      </c>
      <c r="J5800" t="s">
        <v>22</v>
      </c>
      <c r="K5800" t="s">
        <v>33</v>
      </c>
      <c r="L5800">
        <f t="shared" si="270"/>
        <v>2023</v>
      </c>
      <c r="M5800" t="str">
        <f t="shared" si="271"/>
        <v>Aug</v>
      </c>
      <c r="N5800" s="2">
        <f t="shared" si="272"/>
        <v>0.10177208355361582</v>
      </c>
    </row>
    <row r="5801" spans="1:14" x14ac:dyDescent="0.45">
      <c r="A5801" t="s">
        <v>10160</v>
      </c>
      <c r="B5801" s="1">
        <v>44791</v>
      </c>
      <c r="C5801" t="s">
        <v>10161</v>
      </c>
      <c r="D5801" t="s">
        <v>26</v>
      </c>
      <c r="E5801" t="s">
        <v>14</v>
      </c>
      <c r="F5801" t="s">
        <v>32</v>
      </c>
      <c r="G5801">
        <v>1</v>
      </c>
      <c r="H5801">
        <v>40287.300000000003</v>
      </c>
      <c r="I5801">
        <v>2665.34</v>
      </c>
      <c r="J5801" t="s">
        <v>16</v>
      </c>
      <c r="K5801" t="s">
        <v>33</v>
      </c>
      <c r="L5801">
        <f t="shared" si="270"/>
        <v>2022</v>
      </c>
      <c r="M5801" t="str">
        <f t="shared" si="271"/>
        <v>Aug</v>
      </c>
      <c r="N5801" s="2">
        <f t="shared" si="272"/>
        <v>6.6158317881813866E-2</v>
      </c>
    </row>
    <row r="5802" spans="1:14" x14ac:dyDescent="0.45">
      <c r="A5802" t="s">
        <v>10162</v>
      </c>
      <c r="B5802" s="1">
        <v>44731</v>
      </c>
      <c r="C5802" t="s">
        <v>4953</v>
      </c>
      <c r="D5802" t="s">
        <v>26</v>
      </c>
      <c r="E5802" t="s">
        <v>20</v>
      </c>
      <c r="F5802" t="s">
        <v>21</v>
      </c>
      <c r="G5802">
        <v>3</v>
      </c>
      <c r="H5802">
        <v>24327.3</v>
      </c>
      <c r="I5802">
        <v>2346.0700000000002</v>
      </c>
      <c r="J5802" t="s">
        <v>22</v>
      </c>
      <c r="K5802" t="s">
        <v>29</v>
      </c>
      <c r="L5802">
        <f t="shared" si="270"/>
        <v>2022</v>
      </c>
      <c r="M5802" t="str">
        <f t="shared" si="271"/>
        <v>Jun</v>
      </c>
      <c r="N5802" s="2">
        <f t="shared" si="272"/>
        <v>9.6437746893407825E-2</v>
      </c>
    </row>
    <row r="5803" spans="1:14" x14ac:dyDescent="0.45">
      <c r="A5803" t="s">
        <v>10163</v>
      </c>
      <c r="B5803" s="1">
        <v>44630</v>
      </c>
      <c r="C5803" t="s">
        <v>2475</v>
      </c>
      <c r="D5803" t="s">
        <v>56</v>
      </c>
      <c r="E5803" t="s">
        <v>20</v>
      </c>
      <c r="F5803" t="s">
        <v>21</v>
      </c>
      <c r="G5803">
        <v>3</v>
      </c>
      <c r="H5803">
        <v>36764.43</v>
      </c>
      <c r="I5803">
        <v>2654.74</v>
      </c>
      <c r="J5803" t="s">
        <v>22</v>
      </c>
      <c r="K5803" t="s">
        <v>23</v>
      </c>
      <c r="L5803">
        <f t="shared" si="270"/>
        <v>2022</v>
      </c>
      <c r="M5803" t="str">
        <f t="shared" si="271"/>
        <v>Mar</v>
      </c>
      <c r="N5803" s="2">
        <f t="shared" si="272"/>
        <v>7.2209469859861819E-2</v>
      </c>
    </row>
    <row r="5804" spans="1:14" x14ac:dyDescent="0.45">
      <c r="A5804" t="s">
        <v>10164</v>
      </c>
      <c r="B5804" s="1">
        <v>44952</v>
      </c>
      <c r="C5804" t="s">
        <v>10165</v>
      </c>
      <c r="D5804" t="s">
        <v>26</v>
      </c>
      <c r="E5804" t="s">
        <v>14</v>
      </c>
      <c r="F5804" t="s">
        <v>32</v>
      </c>
      <c r="G5804">
        <v>1</v>
      </c>
      <c r="H5804">
        <v>47767.57</v>
      </c>
      <c r="I5804">
        <v>10332.18</v>
      </c>
      <c r="J5804" t="s">
        <v>16</v>
      </c>
      <c r="K5804" t="s">
        <v>23</v>
      </c>
      <c r="L5804">
        <f t="shared" si="270"/>
        <v>2023</v>
      </c>
      <c r="M5804" t="str">
        <f t="shared" si="271"/>
        <v>Jan</v>
      </c>
      <c r="N5804" s="2">
        <f t="shared" si="272"/>
        <v>0.21630114322332078</v>
      </c>
    </row>
    <row r="5805" spans="1:14" x14ac:dyDescent="0.45">
      <c r="A5805" t="s">
        <v>10166</v>
      </c>
      <c r="B5805" s="1">
        <v>44841</v>
      </c>
      <c r="C5805" t="s">
        <v>10167</v>
      </c>
      <c r="D5805" t="s">
        <v>26</v>
      </c>
      <c r="E5805" t="s">
        <v>36</v>
      </c>
      <c r="F5805" t="s">
        <v>46</v>
      </c>
      <c r="G5805">
        <v>4</v>
      </c>
      <c r="H5805">
        <v>49627.8</v>
      </c>
      <c r="I5805">
        <v>10562.05</v>
      </c>
      <c r="J5805" t="s">
        <v>47</v>
      </c>
      <c r="K5805" t="s">
        <v>29</v>
      </c>
      <c r="L5805">
        <f t="shared" si="270"/>
        <v>2022</v>
      </c>
      <c r="M5805" t="str">
        <f t="shared" si="271"/>
        <v>Oct</v>
      </c>
      <c r="N5805" s="2">
        <f t="shared" si="272"/>
        <v>0.21282527131970386</v>
      </c>
    </row>
    <row r="5806" spans="1:14" x14ac:dyDescent="0.45">
      <c r="A5806" t="s">
        <v>10168</v>
      </c>
      <c r="B5806" s="1">
        <v>45154</v>
      </c>
      <c r="C5806" t="s">
        <v>5853</v>
      </c>
      <c r="D5806" t="s">
        <v>56</v>
      </c>
      <c r="E5806" t="s">
        <v>20</v>
      </c>
      <c r="F5806" t="s">
        <v>43</v>
      </c>
      <c r="G5806">
        <v>4</v>
      </c>
      <c r="H5806">
        <v>29305.31</v>
      </c>
      <c r="I5806">
        <v>3697.18</v>
      </c>
      <c r="J5806" t="s">
        <v>47</v>
      </c>
      <c r="K5806" t="s">
        <v>17</v>
      </c>
      <c r="L5806">
        <f t="shared" si="270"/>
        <v>2023</v>
      </c>
      <c r="M5806" t="str">
        <f t="shared" si="271"/>
        <v>Aug</v>
      </c>
      <c r="N5806" s="2">
        <f t="shared" si="272"/>
        <v>0.12616075380195602</v>
      </c>
    </row>
    <row r="5807" spans="1:14" x14ac:dyDescent="0.45">
      <c r="A5807" t="s">
        <v>10169</v>
      </c>
      <c r="B5807" s="1">
        <v>44714</v>
      </c>
      <c r="C5807" t="s">
        <v>10170</v>
      </c>
      <c r="D5807" t="s">
        <v>56</v>
      </c>
      <c r="E5807" t="s">
        <v>36</v>
      </c>
      <c r="F5807" t="s">
        <v>46</v>
      </c>
      <c r="G5807">
        <v>5</v>
      </c>
      <c r="H5807">
        <v>6853.81</v>
      </c>
      <c r="I5807">
        <v>434.83</v>
      </c>
      <c r="J5807" t="s">
        <v>28</v>
      </c>
      <c r="K5807" t="s">
        <v>29</v>
      </c>
      <c r="L5807">
        <f t="shared" si="270"/>
        <v>2022</v>
      </c>
      <c r="M5807" t="str">
        <f t="shared" si="271"/>
        <v>Jun</v>
      </c>
      <c r="N5807" s="2">
        <f t="shared" si="272"/>
        <v>6.3443544539460522E-2</v>
      </c>
    </row>
    <row r="5808" spans="1:14" x14ac:dyDescent="0.45">
      <c r="A5808" t="s">
        <v>10171</v>
      </c>
      <c r="B5808" s="1">
        <v>44582</v>
      </c>
      <c r="C5808" t="s">
        <v>4574</v>
      </c>
      <c r="D5808" t="s">
        <v>13</v>
      </c>
      <c r="E5808" t="s">
        <v>20</v>
      </c>
      <c r="F5808" t="s">
        <v>27</v>
      </c>
      <c r="G5808">
        <v>1</v>
      </c>
      <c r="H5808">
        <v>5843.65</v>
      </c>
      <c r="I5808">
        <v>468.47</v>
      </c>
      <c r="J5808" t="s">
        <v>16</v>
      </c>
      <c r="K5808" t="s">
        <v>17</v>
      </c>
      <c r="L5808">
        <f t="shared" si="270"/>
        <v>2022</v>
      </c>
      <c r="M5808" t="str">
        <f t="shared" si="271"/>
        <v>Jan</v>
      </c>
      <c r="N5808" s="2">
        <f t="shared" si="272"/>
        <v>8.0167361152704231E-2</v>
      </c>
    </row>
    <row r="5809" spans="1:14" x14ac:dyDescent="0.45">
      <c r="A5809" t="s">
        <v>10172</v>
      </c>
      <c r="B5809" s="1">
        <v>44931</v>
      </c>
      <c r="C5809" t="s">
        <v>2913</v>
      </c>
      <c r="D5809" t="s">
        <v>56</v>
      </c>
      <c r="E5809" t="s">
        <v>36</v>
      </c>
      <c r="F5809" t="s">
        <v>64</v>
      </c>
      <c r="G5809">
        <v>2</v>
      </c>
      <c r="H5809">
        <v>42251.91</v>
      </c>
      <c r="I5809">
        <v>3666.58</v>
      </c>
      <c r="J5809" t="s">
        <v>16</v>
      </c>
      <c r="K5809" t="s">
        <v>17</v>
      </c>
      <c r="L5809">
        <f t="shared" si="270"/>
        <v>2023</v>
      </c>
      <c r="M5809" t="str">
        <f t="shared" si="271"/>
        <v>Jan</v>
      </c>
      <c r="N5809" s="2">
        <f t="shared" si="272"/>
        <v>8.6779035551292225E-2</v>
      </c>
    </row>
    <row r="5810" spans="1:14" x14ac:dyDescent="0.45">
      <c r="A5810" t="s">
        <v>10173</v>
      </c>
      <c r="B5810" s="1">
        <v>44637</v>
      </c>
      <c r="C5810" t="s">
        <v>10174</v>
      </c>
      <c r="D5810" t="s">
        <v>13</v>
      </c>
      <c r="E5810" t="s">
        <v>36</v>
      </c>
      <c r="F5810" t="s">
        <v>64</v>
      </c>
      <c r="G5810">
        <v>1</v>
      </c>
      <c r="H5810">
        <v>20035.12</v>
      </c>
      <c r="I5810">
        <v>4887.3100000000004</v>
      </c>
      <c r="J5810" t="s">
        <v>16</v>
      </c>
      <c r="K5810" t="s">
        <v>23</v>
      </c>
      <c r="L5810">
        <f t="shared" si="270"/>
        <v>2022</v>
      </c>
      <c r="M5810" t="str">
        <f t="shared" si="271"/>
        <v>Mar</v>
      </c>
      <c r="N5810" s="2">
        <f t="shared" si="272"/>
        <v>0.24393714637097261</v>
      </c>
    </row>
    <row r="5811" spans="1:14" x14ac:dyDescent="0.45">
      <c r="A5811" t="s">
        <v>10175</v>
      </c>
      <c r="B5811" s="1">
        <v>45409</v>
      </c>
      <c r="C5811" t="s">
        <v>9658</v>
      </c>
      <c r="D5811" t="s">
        <v>56</v>
      </c>
      <c r="E5811" t="s">
        <v>20</v>
      </c>
      <c r="F5811" t="s">
        <v>43</v>
      </c>
      <c r="G5811">
        <v>4</v>
      </c>
      <c r="H5811">
        <v>21237.64</v>
      </c>
      <c r="I5811">
        <v>3338.98</v>
      </c>
      <c r="J5811" t="s">
        <v>22</v>
      </c>
      <c r="K5811" t="s">
        <v>29</v>
      </c>
      <c r="L5811">
        <f t="shared" si="270"/>
        <v>2024</v>
      </c>
      <c r="M5811" t="str">
        <f t="shared" si="271"/>
        <v>Apr</v>
      </c>
      <c r="N5811" s="2">
        <f t="shared" si="272"/>
        <v>0.15721991709059951</v>
      </c>
    </row>
    <row r="5812" spans="1:14" x14ac:dyDescent="0.45">
      <c r="A5812" t="s">
        <v>10176</v>
      </c>
      <c r="B5812" s="1">
        <v>45199</v>
      </c>
      <c r="C5812" t="s">
        <v>5424</v>
      </c>
      <c r="D5812" t="s">
        <v>26</v>
      </c>
      <c r="E5812" t="s">
        <v>14</v>
      </c>
      <c r="F5812" t="s">
        <v>32</v>
      </c>
      <c r="G5812">
        <v>4</v>
      </c>
      <c r="H5812">
        <v>40293.620000000003</v>
      </c>
      <c r="I5812">
        <v>2509.5500000000002</v>
      </c>
      <c r="J5812" t="s">
        <v>47</v>
      </c>
      <c r="K5812" t="s">
        <v>29</v>
      </c>
      <c r="L5812">
        <f t="shared" si="270"/>
        <v>2023</v>
      </c>
      <c r="M5812" t="str">
        <f t="shared" si="271"/>
        <v>Sep</v>
      </c>
      <c r="N5812" s="2">
        <f t="shared" si="272"/>
        <v>6.228157211985421E-2</v>
      </c>
    </row>
    <row r="5813" spans="1:14" x14ac:dyDescent="0.45">
      <c r="A5813" t="s">
        <v>10177</v>
      </c>
      <c r="B5813" s="1">
        <v>45035</v>
      </c>
      <c r="C5813" t="s">
        <v>10178</v>
      </c>
      <c r="D5813" t="s">
        <v>26</v>
      </c>
      <c r="E5813" t="s">
        <v>36</v>
      </c>
      <c r="F5813" t="s">
        <v>53</v>
      </c>
      <c r="G5813">
        <v>2</v>
      </c>
      <c r="H5813">
        <v>47175.15</v>
      </c>
      <c r="I5813">
        <v>8262.07</v>
      </c>
      <c r="J5813" t="s">
        <v>16</v>
      </c>
      <c r="K5813" t="s">
        <v>17</v>
      </c>
      <c r="L5813">
        <f t="shared" si="270"/>
        <v>2023</v>
      </c>
      <c r="M5813" t="str">
        <f t="shared" si="271"/>
        <v>Apr</v>
      </c>
      <c r="N5813" s="2">
        <f t="shared" si="272"/>
        <v>0.17513606210049146</v>
      </c>
    </row>
    <row r="5814" spans="1:14" x14ac:dyDescent="0.45">
      <c r="A5814" t="s">
        <v>10179</v>
      </c>
      <c r="B5814" s="1">
        <v>45560</v>
      </c>
      <c r="C5814" t="s">
        <v>7061</v>
      </c>
      <c r="D5814" t="s">
        <v>26</v>
      </c>
      <c r="E5814" t="s">
        <v>20</v>
      </c>
      <c r="F5814" t="s">
        <v>27</v>
      </c>
      <c r="G5814">
        <v>2</v>
      </c>
      <c r="H5814">
        <v>38184.800000000003</v>
      </c>
      <c r="I5814">
        <v>3286.24</v>
      </c>
      <c r="J5814" t="s">
        <v>71</v>
      </c>
      <c r="K5814" t="s">
        <v>17</v>
      </c>
      <c r="L5814">
        <f t="shared" si="270"/>
        <v>2024</v>
      </c>
      <c r="M5814" t="str">
        <f t="shared" si="271"/>
        <v>Sep</v>
      </c>
      <c r="N5814" s="2">
        <f t="shared" si="272"/>
        <v>8.6061469485240183E-2</v>
      </c>
    </row>
    <row r="5815" spans="1:14" x14ac:dyDescent="0.45">
      <c r="A5815" t="s">
        <v>10180</v>
      </c>
      <c r="B5815" s="1">
        <v>45512</v>
      </c>
      <c r="C5815" t="s">
        <v>7110</v>
      </c>
      <c r="D5815" t="s">
        <v>56</v>
      </c>
      <c r="E5815" t="s">
        <v>20</v>
      </c>
      <c r="F5815" t="s">
        <v>50</v>
      </c>
      <c r="G5815">
        <v>3</v>
      </c>
      <c r="H5815">
        <v>3267.77</v>
      </c>
      <c r="I5815">
        <v>257.94</v>
      </c>
      <c r="J5815" t="s">
        <v>16</v>
      </c>
      <c r="K5815" t="s">
        <v>23</v>
      </c>
      <c r="L5815">
        <f t="shared" si="270"/>
        <v>2024</v>
      </c>
      <c r="M5815" t="str">
        <f t="shared" si="271"/>
        <v>Aug</v>
      </c>
      <c r="N5815" s="2">
        <f t="shared" si="272"/>
        <v>7.8934563938098459E-2</v>
      </c>
    </row>
    <row r="5816" spans="1:14" x14ac:dyDescent="0.45">
      <c r="A5816" t="s">
        <v>10181</v>
      </c>
      <c r="B5816" s="1">
        <v>44878</v>
      </c>
      <c r="C5816" t="s">
        <v>10182</v>
      </c>
      <c r="D5816" t="s">
        <v>13</v>
      </c>
      <c r="E5816" t="s">
        <v>20</v>
      </c>
      <c r="F5816" t="s">
        <v>27</v>
      </c>
      <c r="G5816">
        <v>2</v>
      </c>
      <c r="H5816">
        <v>8791.86</v>
      </c>
      <c r="I5816">
        <v>1130.5899999999999</v>
      </c>
      <c r="J5816" t="s">
        <v>71</v>
      </c>
      <c r="K5816" t="s">
        <v>33</v>
      </c>
      <c r="L5816">
        <f t="shared" si="270"/>
        <v>2022</v>
      </c>
      <c r="M5816" t="str">
        <f t="shared" si="271"/>
        <v>Nov</v>
      </c>
      <c r="N5816" s="2">
        <f t="shared" si="272"/>
        <v>0.12859508681894388</v>
      </c>
    </row>
    <row r="5817" spans="1:14" x14ac:dyDescent="0.45">
      <c r="A5817" t="s">
        <v>10183</v>
      </c>
      <c r="B5817" s="1">
        <v>44638</v>
      </c>
      <c r="C5817" t="s">
        <v>5703</v>
      </c>
      <c r="D5817" t="s">
        <v>26</v>
      </c>
      <c r="E5817" t="s">
        <v>36</v>
      </c>
      <c r="F5817" t="s">
        <v>46</v>
      </c>
      <c r="G5817">
        <v>3</v>
      </c>
      <c r="H5817">
        <v>41532.120000000003</v>
      </c>
      <c r="I5817">
        <v>8533.34</v>
      </c>
      <c r="J5817" t="s">
        <v>28</v>
      </c>
      <c r="K5817" t="s">
        <v>33</v>
      </c>
      <c r="L5817">
        <f t="shared" si="270"/>
        <v>2022</v>
      </c>
      <c r="M5817" t="str">
        <f t="shared" si="271"/>
        <v>Mar</v>
      </c>
      <c r="N5817" s="2">
        <f t="shared" si="272"/>
        <v>0.20546362670626975</v>
      </c>
    </row>
    <row r="5818" spans="1:14" x14ac:dyDescent="0.45">
      <c r="A5818" t="s">
        <v>10184</v>
      </c>
      <c r="B5818" s="1">
        <v>45517</v>
      </c>
      <c r="C5818" t="s">
        <v>3258</v>
      </c>
      <c r="D5818" t="s">
        <v>26</v>
      </c>
      <c r="E5818" t="s">
        <v>14</v>
      </c>
      <c r="F5818" t="s">
        <v>15</v>
      </c>
      <c r="G5818">
        <v>5</v>
      </c>
      <c r="H5818">
        <v>23154.58</v>
      </c>
      <c r="I5818">
        <v>2830.89</v>
      </c>
      <c r="J5818" t="s">
        <v>28</v>
      </c>
      <c r="K5818" t="s">
        <v>17</v>
      </c>
      <c r="L5818">
        <f t="shared" si="270"/>
        <v>2024</v>
      </c>
      <c r="M5818" t="str">
        <f t="shared" si="271"/>
        <v>Aug</v>
      </c>
      <c r="N5818" s="2">
        <f t="shared" si="272"/>
        <v>0.12226047719284909</v>
      </c>
    </row>
    <row r="5819" spans="1:14" x14ac:dyDescent="0.45">
      <c r="A5819" t="s">
        <v>10185</v>
      </c>
      <c r="B5819" s="1">
        <v>44642</v>
      </c>
      <c r="C5819" t="s">
        <v>5846</v>
      </c>
      <c r="D5819" t="s">
        <v>56</v>
      </c>
      <c r="E5819" t="s">
        <v>36</v>
      </c>
      <c r="F5819" t="s">
        <v>37</v>
      </c>
      <c r="G5819">
        <v>3</v>
      </c>
      <c r="H5819">
        <v>38235.53</v>
      </c>
      <c r="I5819">
        <v>9400.64</v>
      </c>
      <c r="J5819" t="s">
        <v>22</v>
      </c>
      <c r="K5819" t="s">
        <v>23</v>
      </c>
      <c r="L5819">
        <f t="shared" si="270"/>
        <v>2022</v>
      </c>
      <c r="M5819" t="str">
        <f t="shared" si="271"/>
        <v>Mar</v>
      </c>
      <c r="N5819" s="2">
        <f t="shared" si="272"/>
        <v>0.24586137553212939</v>
      </c>
    </row>
    <row r="5820" spans="1:14" x14ac:dyDescent="0.45">
      <c r="A5820" t="s">
        <v>10186</v>
      </c>
      <c r="B5820" s="1">
        <v>45596</v>
      </c>
      <c r="C5820" t="s">
        <v>10187</v>
      </c>
      <c r="D5820" t="s">
        <v>13</v>
      </c>
      <c r="E5820" t="s">
        <v>36</v>
      </c>
      <c r="F5820" t="s">
        <v>46</v>
      </c>
      <c r="G5820">
        <v>4</v>
      </c>
      <c r="H5820">
        <v>11529.84</v>
      </c>
      <c r="I5820">
        <v>2764.89</v>
      </c>
      <c r="J5820" t="s">
        <v>22</v>
      </c>
      <c r="K5820" t="s">
        <v>29</v>
      </c>
      <c r="L5820">
        <f t="shared" si="270"/>
        <v>2024</v>
      </c>
      <c r="M5820" t="str">
        <f t="shared" si="271"/>
        <v>Oct</v>
      </c>
      <c r="N5820" s="2">
        <f t="shared" si="272"/>
        <v>0.23980298078724421</v>
      </c>
    </row>
    <row r="5821" spans="1:14" x14ac:dyDescent="0.45">
      <c r="A5821" t="s">
        <v>10188</v>
      </c>
      <c r="B5821" s="1">
        <v>44697</v>
      </c>
      <c r="C5821" t="s">
        <v>10189</v>
      </c>
      <c r="D5821" t="s">
        <v>13</v>
      </c>
      <c r="E5821" t="s">
        <v>36</v>
      </c>
      <c r="F5821" t="s">
        <v>64</v>
      </c>
      <c r="G5821">
        <v>1</v>
      </c>
      <c r="H5821">
        <v>11681.68</v>
      </c>
      <c r="I5821">
        <v>965.32</v>
      </c>
      <c r="J5821" t="s">
        <v>47</v>
      </c>
      <c r="K5821" t="s">
        <v>17</v>
      </c>
      <c r="L5821">
        <f t="shared" si="270"/>
        <v>2022</v>
      </c>
      <c r="M5821" t="str">
        <f t="shared" si="271"/>
        <v>May</v>
      </c>
      <c r="N5821" s="2">
        <f t="shared" si="272"/>
        <v>8.2635374363961345E-2</v>
      </c>
    </row>
    <row r="5822" spans="1:14" x14ac:dyDescent="0.45">
      <c r="A5822" t="s">
        <v>10190</v>
      </c>
      <c r="B5822" s="1">
        <v>45391</v>
      </c>
      <c r="C5822" t="s">
        <v>10191</v>
      </c>
      <c r="D5822" t="s">
        <v>56</v>
      </c>
      <c r="E5822" t="s">
        <v>36</v>
      </c>
      <c r="F5822" t="s">
        <v>64</v>
      </c>
      <c r="G5822">
        <v>1</v>
      </c>
      <c r="H5822">
        <v>2802.77</v>
      </c>
      <c r="I5822">
        <v>607.55999999999995</v>
      </c>
      <c r="J5822" t="s">
        <v>71</v>
      </c>
      <c r="K5822" t="s">
        <v>17</v>
      </c>
      <c r="L5822">
        <f t="shared" si="270"/>
        <v>2024</v>
      </c>
      <c r="M5822" t="str">
        <f t="shared" si="271"/>
        <v>Apr</v>
      </c>
      <c r="N5822" s="2">
        <f t="shared" si="272"/>
        <v>0.21677126556941881</v>
      </c>
    </row>
    <row r="5823" spans="1:14" x14ac:dyDescent="0.45">
      <c r="A5823" t="s">
        <v>10192</v>
      </c>
      <c r="B5823" s="1">
        <v>45203</v>
      </c>
      <c r="C5823" t="s">
        <v>10193</v>
      </c>
      <c r="D5823" t="s">
        <v>13</v>
      </c>
      <c r="E5823" t="s">
        <v>14</v>
      </c>
      <c r="F5823" t="s">
        <v>40</v>
      </c>
      <c r="G5823">
        <v>1</v>
      </c>
      <c r="H5823">
        <v>19513.82</v>
      </c>
      <c r="I5823">
        <v>4010.59</v>
      </c>
      <c r="J5823" t="s">
        <v>47</v>
      </c>
      <c r="K5823" t="s">
        <v>33</v>
      </c>
      <c r="L5823">
        <f t="shared" si="270"/>
        <v>2023</v>
      </c>
      <c r="M5823" t="str">
        <f t="shared" si="271"/>
        <v>Oct</v>
      </c>
      <c r="N5823" s="2">
        <f t="shared" si="272"/>
        <v>0.20552562235379851</v>
      </c>
    </row>
    <row r="5824" spans="1:14" x14ac:dyDescent="0.45">
      <c r="A5824" t="s">
        <v>10194</v>
      </c>
      <c r="B5824" s="1">
        <v>45449</v>
      </c>
      <c r="C5824" t="s">
        <v>10195</v>
      </c>
      <c r="D5824" t="s">
        <v>13</v>
      </c>
      <c r="E5824" t="s">
        <v>20</v>
      </c>
      <c r="F5824" t="s">
        <v>43</v>
      </c>
      <c r="G5824">
        <v>2</v>
      </c>
      <c r="H5824">
        <v>41175.94</v>
      </c>
      <c r="I5824">
        <v>8585.5</v>
      </c>
      <c r="J5824" t="s">
        <v>16</v>
      </c>
      <c r="K5824" t="s">
        <v>33</v>
      </c>
      <c r="L5824">
        <f t="shared" si="270"/>
        <v>2024</v>
      </c>
      <c r="M5824" t="str">
        <f t="shared" si="271"/>
        <v>Jun</v>
      </c>
      <c r="N5824" s="2">
        <f t="shared" si="272"/>
        <v>0.2085076867704781</v>
      </c>
    </row>
    <row r="5825" spans="1:14" x14ac:dyDescent="0.45">
      <c r="A5825" t="s">
        <v>10196</v>
      </c>
      <c r="B5825" s="1">
        <v>44883</v>
      </c>
      <c r="C5825" t="s">
        <v>10197</v>
      </c>
      <c r="D5825" t="s">
        <v>56</v>
      </c>
      <c r="E5825" t="s">
        <v>20</v>
      </c>
      <c r="F5825" t="s">
        <v>50</v>
      </c>
      <c r="G5825">
        <v>2</v>
      </c>
      <c r="H5825">
        <v>45512.89</v>
      </c>
      <c r="I5825">
        <v>5536.14</v>
      </c>
      <c r="J5825" t="s">
        <v>16</v>
      </c>
      <c r="K5825" t="s">
        <v>23</v>
      </c>
      <c r="L5825">
        <f t="shared" si="270"/>
        <v>2022</v>
      </c>
      <c r="M5825" t="str">
        <f t="shared" si="271"/>
        <v>Nov</v>
      </c>
      <c r="N5825" s="2">
        <f t="shared" si="272"/>
        <v>0.12163894668081944</v>
      </c>
    </row>
    <row r="5826" spans="1:14" x14ac:dyDescent="0.45">
      <c r="A5826" t="s">
        <v>10198</v>
      </c>
      <c r="B5826" s="1">
        <v>45220</v>
      </c>
      <c r="C5826" t="s">
        <v>10199</v>
      </c>
      <c r="D5826" t="s">
        <v>56</v>
      </c>
      <c r="E5826" t="s">
        <v>36</v>
      </c>
      <c r="F5826" t="s">
        <v>53</v>
      </c>
      <c r="G5826">
        <v>4</v>
      </c>
      <c r="H5826">
        <v>6853.29</v>
      </c>
      <c r="I5826">
        <v>669.06</v>
      </c>
      <c r="J5826" t="s">
        <v>28</v>
      </c>
      <c r="K5826" t="s">
        <v>29</v>
      </c>
      <c r="L5826">
        <f t="shared" si="270"/>
        <v>2023</v>
      </c>
      <c r="M5826" t="str">
        <f t="shared" si="271"/>
        <v>Oct</v>
      </c>
      <c r="N5826" s="2">
        <f t="shared" si="272"/>
        <v>9.7626103666997893E-2</v>
      </c>
    </row>
    <row r="5827" spans="1:14" x14ac:dyDescent="0.45">
      <c r="A5827" t="s">
        <v>10200</v>
      </c>
      <c r="B5827" s="1">
        <v>45165</v>
      </c>
      <c r="C5827" t="s">
        <v>10201</v>
      </c>
      <c r="D5827" t="s">
        <v>56</v>
      </c>
      <c r="E5827" t="s">
        <v>36</v>
      </c>
      <c r="F5827" t="s">
        <v>64</v>
      </c>
      <c r="G5827">
        <v>4</v>
      </c>
      <c r="H5827">
        <v>18147.740000000002</v>
      </c>
      <c r="I5827">
        <v>3823.94</v>
      </c>
      <c r="J5827" t="s">
        <v>28</v>
      </c>
      <c r="K5827" t="s">
        <v>33</v>
      </c>
      <c r="L5827">
        <f t="shared" ref="L5827:L5890" si="273">YEAR(B5827 )</f>
        <v>2023</v>
      </c>
      <c r="M5827" t="str">
        <f t="shared" ref="M5827:M5890" si="274">TEXT(B5827,"MMM")</f>
        <v>Aug</v>
      </c>
      <c r="N5827" s="2">
        <f t="shared" ref="N5827:N5890" si="275">I5827 / H5827</f>
        <v>0.21071163682089339</v>
      </c>
    </row>
    <row r="5828" spans="1:14" x14ac:dyDescent="0.45">
      <c r="A5828" t="s">
        <v>10202</v>
      </c>
      <c r="B5828" s="1">
        <v>45300</v>
      </c>
      <c r="C5828" t="s">
        <v>10203</v>
      </c>
      <c r="D5828" t="s">
        <v>56</v>
      </c>
      <c r="E5828" t="s">
        <v>20</v>
      </c>
      <c r="F5828" t="s">
        <v>27</v>
      </c>
      <c r="G5828">
        <v>2</v>
      </c>
      <c r="H5828">
        <v>4298.95</v>
      </c>
      <c r="I5828">
        <v>644.53</v>
      </c>
      <c r="J5828" t="s">
        <v>71</v>
      </c>
      <c r="K5828" t="s">
        <v>33</v>
      </c>
      <c r="L5828">
        <f t="shared" si="273"/>
        <v>2024</v>
      </c>
      <c r="M5828" t="str">
        <f t="shared" si="274"/>
        <v>Jan</v>
      </c>
      <c r="N5828" s="2">
        <f t="shared" si="275"/>
        <v>0.14992730783098199</v>
      </c>
    </row>
    <row r="5829" spans="1:14" x14ac:dyDescent="0.45">
      <c r="A5829" t="s">
        <v>10204</v>
      </c>
      <c r="B5829" s="1">
        <v>44956</v>
      </c>
      <c r="C5829" t="s">
        <v>7047</v>
      </c>
      <c r="D5829" t="s">
        <v>56</v>
      </c>
      <c r="E5829" t="s">
        <v>36</v>
      </c>
      <c r="F5829" t="s">
        <v>53</v>
      </c>
      <c r="G5829">
        <v>2</v>
      </c>
      <c r="H5829">
        <v>30678.9</v>
      </c>
      <c r="I5829">
        <v>3560.72</v>
      </c>
      <c r="J5829" t="s">
        <v>22</v>
      </c>
      <c r="K5829" t="s">
        <v>29</v>
      </c>
      <c r="L5829">
        <f t="shared" si="273"/>
        <v>2023</v>
      </c>
      <c r="M5829" t="str">
        <f t="shared" si="274"/>
        <v>Jan</v>
      </c>
      <c r="N5829" s="2">
        <f t="shared" si="275"/>
        <v>0.11606413528516341</v>
      </c>
    </row>
    <row r="5830" spans="1:14" x14ac:dyDescent="0.45">
      <c r="A5830" t="s">
        <v>10205</v>
      </c>
      <c r="B5830" s="1">
        <v>45451</v>
      </c>
      <c r="C5830" t="s">
        <v>2252</v>
      </c>
      <c r="D5830" t="s">
        <v>13</v>
      </c>
      <c r="E5830" t="s">
        <v>20</v>
      </c>
      <c r="F5830" t="s">
        <v>21</v>
      </c>
      <c r="G5830">
        <v>5</v>
      </c>
      <c r="H5830">
        <v>40897.46</v>
      </c>
      <c r="I5830">
        <v>8766.91</v>
      </c>
      <c r="J5830" t="s">
        <v>28</v>
      </c>
      <c r="K5830" t="s">
        <v>29</v>
      </c>
      <c r="L5830">
        <f t="shared" si="273"/>
        <v>2024</v>
      </c>
      <c r="M5830" t="str">
        <f t="shared" si="274"/>
        <v>Jun</v>
      </c>
      <c r="N5830" s="2">
        <f t="shared" si="275"/>
        <v>0.21436319028125464</v>
      </c>
    </row>
    <row r="5831" spans="1:14" x14ac:dyDescent="0.45">
      <c r="A5831" t="s">
        <v>10206</v>
      </c>
      <c r="B5831" s="1">
        <v>45062</v>
      </c>
      <c r="C5831" t="s">
        <v>10207</v>
      </c>
      <c r="D5831" t="s">
        <v>26</v>
      </c>
      <c r="E5831" t="s">
        <v>14</v>
      </c>
      <c r="F5831" t="s">
        <v>32</v>
      </c>
      <c r="G5831">
        <v>4</v>
      </c>
      <c r="H5831">
        <v>14612.01</v>
      </c>
      <c r="I5831">
        <v>896.88</v>
      </c>
      <c r="J5831" t="s">
        <v>71</v>
      </c>
      <c r="K5831" t="s">
        <v>23</v>
      </c>
      <c r="L5831">
        <f t="shared" si="273"/>
        <v>2023</v>
      </c>
      <c r="M5831" t="str">
        <f t="shared" si="274"/>
        <v>May</v>
      </c>
      <c r="N5831" s="2">
        <f t="shared" si="275"/>
        <v>6.1379645921403006E-2</v>
      </c>
    </row>
    <row r="5832" spans="1:14" x14ac:dyDescent="0.45">
      <c r="A5832" t="s">
        <v>10208</v>
      </c>
      <c r="B5832" s="1">
        <v>44717</v>
      </c>
      <c r="C5832" t="s">
        <v>10209</v>
      </c>
      <c r="D5832" t="s">
        <v>26</v>
      </c>
      <c r="E5832" t="s">
        <v>20</v>
      </c>
      <c r="F5832" t="s">
        <v>43</v>
      </c>
      <c r="G5832">
        <v>5</v>
      </c>
      <c r="H5832">
        <v>1989.05</v>
      </c>
      <c r="I5832">
        <v>166.72</v>
      </c>
      <c r="J5832" t="s">
        <v>16</v>
      </c>
      <c r="K5832" t="s">
        <v>29</v>
      </c>
      <c r="L5832">
        <f t="shared" si="273"/>
        <v>2022</v>
      </c>
      <c r="M5832" t="str">
        <f t="shared" si="274"/>
        <v>Jun</v>
      </c>
      <c r="N5832" s="2">
        <f t="shared" si="275"/>
        <v>8.381890852416983E-2</v>
      </c>
    </row>
    <row r="5833" spans="1:14" x14ac:dyDescent="0.45">
      <c r="A5833" t="s">
        <v>10210</v>
      </c>
      <c r="B5833" s="1">
        <v>44905</v>
      </c>
      <c r="C5833" t="s">
        <v>10211</v>
      </c>
      <c r="D5833" t="s">
        <v>56</v>
      </c>
      <c r="E5833" t="s">
        <v>14</v>
      </c>
      <c r="F5833" t="s">
        <v>32</v>
      </c>
      <c r="G5833">
        <v>2</v>
      </c>
      <c r="H5833">
        <v>48331.75</v>
      </c>
      <c r="I5833">
        <v>3018.31</v>
      </c>
      <c r="J5833" t="s">
        <v>28</v>
      </c>
      <c r="K5833" t="s">
        <v>33</v>
      </c>
      <c r="L5833">
        <f t="shared" si="273"/>
        <v>2022</v>
      </c>
      <c r="M5833" t="str">
        <f t="shared" si="274"/>
        <v>Dec</v>
      </c>
      <c r="N5833" s="2">
        <f t="shared" si="275"/>
        <v>6.2449838874032076E-2</v>
      </c>
    </row>
    <row r="5834" spans="1:14" x14ac:dyDescent="0.45">
      <c r="A5834" t="s">
        <v>10212</v>
      </c>
      <c r="B5834" s="1">
        <v>45350</v>
      </c>
      <c r="C5834" t="s">
        <v>10213</v>
      </c>
      <c r="D5834" t="s">
        <v>26</v>
      </c>
      <c r="E5834" t="s">
        <v>36</v>
      </c>
      <c r="F5834" t="s">
        <v>37</v>
      </c>
      <c r="G5834">
        <v>4</v>
      </c>
      <c r="H5834">
        <v>29229.74</v>
      </c>
      <c r="I5834">
        <v>2950.26</v>
      </c>
      <c r="J5834" t="s">
        <v>47</v>
      </c>
      <c r="K5834" t="s">
        <v>17</v>
      </c>
      <c r="L5834">
        <f t="shared" si="273"/>
        <v>2024</v>
      </c>
      <c r="M5834" t="str">
        <f t="shared" si="274"/>
        <v>Feb</v>
      </c>
      <c r="N5834" s="2">
        <f t="shared" si="275"/>
        <v>0.10093350129012438</v>
      </c>
    </row>
    <row r="5835" spans="1:14" x14ac:dyDescent="0.45">
      <c r="A5835" t="s">
        <v>10214</v>
      </c>
      <c r="B5835" s="1">
        <v>44879</v>
      </c>
      <c r="C5835" t="s">
        <v>1752</v>
      </c>
      <c r="D5835" t="s">
        <v>56</v>
      </c>
      <c r="E5835" t="s">
        <v>14</v>
      </c>
      <c r="F5835" t="s">
        <v>57</v>
      </c>
      <c r="G5835">
        <v>3</v>
      </c>
      <c r="H5835">
        <v>42739.06</v>
      </c>
      <c r="I5835">
        <v>9721.18</v>
      </c>
      <c r="J5835" t="s">
        <v>16</v>
      </c>
      <c r="K5835" t="s">
        <v>23</v>
      </c>
      <c r="L5835">
        <f t="shared" si="273"/>
        <v>2022</v>
      </c>
      <c r="M5835" t="str">
        <f t="shared" si="274"/>
        <v>Nov</v>
      </c>
      <c r="N5835" s="2">
        <f t="shared" si="275"/>
        <v>0.22745423039252621</v>
      </c>
    </row>
    <row r="5836" spans="1:14" x14ac:dyDescent="0.45">
      <c r="A5836" t="s">
        <v>10215</v>
      </c>
      <c r="B5836" s="1">
        <v>45580</v>
      </c>
      <c r="C5836" t="s">
        <v>9203</v>
      </c>
      <c r="D5836" t="s">
        <v>13</v>
      </c>
      <c r="E5836" t="s">
        <v>20</v>
      </c>
      <c r="F5836" t="s">
        <v>21</v>
      </c>
      <c r="G5836">
        <v>5</v>
      </c>
      <c r="H5836">
        <v>21725.94</v>
      </c>
      <c r="I5836">
        <v>2152.65</v>
      </c>
      <c r="J5836" t="s">
        <v>16</v>
      </c>
      <c r="K5836" t="s">
        <v>23</v>
      </c>
      <c r="L5836">
        <f t="shared" si="273"/>
        <v>2024</v>
      </c>
      <c r="M5836" t="str">
        <f t="shared" si="274"/>
        <v>Oct</v>
      </c>
      <c r="N5836" s="2">
        <f t="shared" si="275"/>
        <v>9.9082019005852007E-2</v>
      </c>
    </row>
    <row r="5837" spans="1:14" x14ac:dyDescent="0.45">
      <c r="A5837" t="s">
        <v>10216</v>
      </c>
      <c r="B5837" s="1">
        <v>45022</v>
      </c>
      <c r="C5837" t="s">
        <v>5241</v>
      </c>
      <c r="D5837" t="s">
        <v>26</v>
      </c>
      <c r="E5837" t="s">
        <v>14</v>
      </c>
      <c r="F5837" t="s">
        <v>15</v>
      </c>
      <c r="G5837">
        <v>3</v>
      </c>
      <c r="H5837">
        <v>25546.35</v>
      </c>
      <c r="I5837">
        <v>6341.37</v>
      </c>
      <c r="J5837" t="s">
        <v>16</v>
      </c>
      <c r="K5837" t="s">
        <v>33</v>
      </c>
      <c r="L5837">
        <f t="shared" si="273"/>
        <v>2023</v>
      </c>
      <c r="M5837" t="str">
        <f t="shared" si="274"/>
        <v>Apr</v>
      </c>
      <c r="N5837" s="2">
        <f t="shared" si="275"/>
        <v>0.2482299819739415</v>
      </c>
    </row>
    <row r="5838" spans="1:14" x14ac:dyDescent="0.45">
      <c r="A5838" t="s">
        <v>10217</v>
      </c>
      <c r="B5838" s="1">
        <v>45089</v>
      </c>
      <c r="C5838" t="s">
        <v>10218</v>
      </c>
      <c r="D5838" t="s">
        <v>56</v>
      </c>
      <c r="E5838" t="s">
        <v>20</v>
      </c>
      <c r="F5838" t="s">
        <v>27</v>
      </c>
      <c r="G5838">
        <v>3</v>
      </c>
      <c r="H5838">
        <v>49711.81</v>
      </c>
      <c r="I5838">
        <v>4220.4799999999996</v>
      </c>
      <c r="J5838" t="s">
        <v>71</v>
      </c>
      <c r="K5838" t="s">
        <v>17</v>
      </c>
      <c r="L5838">
        <f t="shared" si="273"/>
        <v>2023</v>
      </c>
      <c r="M5838" t="str">
        <f t="shared" si="274"/>
        <v>Jun</v>
      </c>
      <c r="N5838" s="2">
        <f t="shared" si="275"/>
        <v>8.4898940513330731E-2</v>
      </c>
    </row>
    <row r="5839" spans="1:14" x14ac:dyDescent="0.45">
      <c r="A5839" t="s">
        <v>10219</v>
      </c>
      <c r="B5839" s="1">
        <v>45582</v>
      </c>
      <c r="C5839" t="s">
        <v>10220</v>
      </c>
      <c r="D5839" t="s">
        <v>26</v>
      </c>
      <c r="E5839" t="s">
        <v>36</v>
      </c>
      <c r="F5839" t="s">
        <v>53</v>
      </c>
      <c r="G5839">
        <v>5</v>
      </c>
      <c r="H5839">
        <v>2216.5100000000002</v>
      </c>
      <c r="I5839">
        <v>367.76</v>
      </c>
      <c r="J5839" t="s">
        <v>47</v>
      </c>
      <c r="K5839" t="s">
        <v>17</v>
      </c>
      <c r="L5839">
        <f t="shared" si="273"/>
        <v>2024</v>
      </c>
      <c r="M5839" t="str">
        <f t="shared" si="274"/>
        <v>Oct</v>
      </c>
      <c r="N5839" s="2">
        <f t="shared" si="275"/>
        <v>0.16591849348750962</v>
      </c>
    </row>
    <row r="5840" spans="1:14" x14ac:dyDescent="0.45">
      <c r="A5840" t="s">
        <v>10221</v>
      </c>
      <c r="B5840" s="1">
        <v>45333</v>
      </c>
      <c r="C5840" t="s">
        <v>10222</v>
      </c>
      <c r="D5840" t="s">
        <v>13</v>
      </c>
      <c r="E5840" t="s">
        <v>36</v>
      </c>
      <c r="F5840" t="s">
        <v>46</v>
      </c>
      <c r="G5840">
        <v>3</v>
      </c>
      <c r="H5840">
        <v>34820.980000000003</v>
      </c>
      <c r="I5840">
        <v>2334.34</v>
      </c>
      <c r="J5840" t="s">
        <v>22</v>
      </c>
      <c r="K5840" t="s">
        <v>29</v>
      </c>
      <c r="L5840">
        <f t="shared" si="273"/>
        <v>2024</v>
      </c>
      <c r="M5840" t="str">
        <f t="shared" si="274"/>
        <v>Feb</v>
      </c>
      <c r="N5840" s="2">
        <f t="shared" si="275"/>
        <v>6.703832000133253E-2</v>
      </c>
    </row>
    <row r="5841" spans="1:14" x14ac:dyDescent="0.45">
      <c r="A5841" t="s">
        <v>10223</v>
      </c>
      <c r="B5841" s="1">
        <v>45138</v>
      </c>
      <c r="C5841" t="s">
        <v>3623</v>
      </c>
      <c r="D5841" t="s">
        <v>26</v>
      </c>
      <c r="E5841" t="s">
        <v>14</v>
      </c>
      <c r="F5841" t="s">
        <v>57</v>
      </c>
      <c r="G5841">
        <v>1</v>
      </c>
      <c r="H5841">
        <v>48448.1</v>
      </c>
      <c r="I5841">
        <v>8298.68</v>
      </c>
      <c r="J5841" t="s">
        <v>71</v>
      </c>
      <c r="K5841" t="s">
        <v>23</v>
      </c>
      <c r="L5841">
        <f t="shared" si="273"/>
        <v>2023</v>
      </c>
      <c r="M5841" t="str">
        <f t="shared" si="274"/>
        <v>Jul</v>
      </c>
      <c r="N5841" s="2">
        <f t="shared" si="275"/>
        <v>0.17129010219183002</v>
      </c>
    </row>
    <row r="5842" spans="1:14" x14ac:dyDescent="0.45">
      <c r="A5842" t="s">
        <v>10224</v>
      </c>
      <c r="B5842" s="1">
        <v>45559</v>
      </c>
      <c r="C5842" t="s">
        <v>927</v>
      </c>
      <c r="D5842" t="s">
        <v>56</v>
      </c>
      <c r="E5842" t="s">
        <v>20</v>
      </c>
      <c r="F5842" t="s">
        <v>27</v>
      </c>
      <c r="G5842">
        <v>4</v>
      </c>
      <c r="H5842">
        <v>25665.9</v>
      </c>
      <c r="I5842">
        <v>5171.66</v>
      </c>
      <c r="J5842" t="s">
        <v>16</v>
      </c>
      <c r="K5842" t="s">
        <v>23</v>
      </c>
      <c r="L5842">
        <f t="shared" si="273"/>
        <v>2024</v>
      </c>
      <c r="M5842" t="str">
        <f t="shared" si="274"/>
        <v>Sep</v>
      </c>
      <c r="N5842" s="2">
        <f t="shared" si="275"/>
        <v>0.20149926556247783</v>
      </c>
    </row>
    <row r="5843" spans="1:14" x14ac:dyDescent="0.45">
      <c r="A5843" t="s">
        <v>10225</v>
      </c>
      <c r="B5843" s="1">
        <v>44755</v>
      </c>
      <c r="C5843" t="s">
        <v>10226</v>
      </c>
      <c r="D5843" t="s">
        <v>56</v>
      </c>
      <c r="E5843" t="s">
        <v>20</v>
      </c>
      <c r="F5843" t="s">
        <v>21</v>
      </c>
      <c r="G5843">
        <v>2</v>
      </c>
      <c r="H5843">
        <v>48640.57</v>
      </c>
      <c r="I5843">
        <v>2820.11</v>
      </c>
      <c r="J5843" t="s">
        <v>47</v>
      </c>
      <c r="K5843" t="s">
        <v>29</v>
      </c>
      <c r="L5843">
        <f t="shared" si="273"/>
        <v>2022</v>
      </c>
      <c r="M5843" t="str">
        <f t="shared" si="274"/>
        <v>Jul</v>
      </c>
      <c r="N5843" s="2">
        <f t="shared" si="275"/>
        <v>5.7978555761168095E-2</v>
      </c>
    </row>
    <row r="5844" spans="1:14" x14ac:dyDescent="0.45">
      <c r="A5844" t="s">
        <v>10227</v>
      </c>
      <c r="B5844" s="1">
        <v>45181</v>
      </c>
      <c r="C5844" t="s">
        <v>1502</v>
      </c>
      <c r="D5844" t="s">
        <v>56</v>
      </c>
      <c r="E5844" t="s">
        <v>14</v>
      </c>
      <c r="F5844" t="s">
        <v>40</v>
      </c>
      <c r="G5844">
        <v>3</v>
      </c>
      <c r="H5844">
        <v>17629.990000000002</v>
      </c>
      <c r="I5844">
        <v>4347.2</v>
      </c>
      <c r="J5844" t="s">
        <v>28</v>
      </c>
      <c r="K5844" t="s">
        <v>29</v>
      </c>
      <c r="L5844">
        <f t="shared" si="273"/>
        <v>2023</v>
      </c>
      <c r="M5844" t="str">
        <f t="shared" si="274"/>
        <v>Sep</v>
      </c>
      <c r="N5844" s="2">
        <f t="shared" si="275"/>
        <v>0.24657983356768776</v>
      </c>
    </row>
    <row r="5845" spans="1:14" x14ac:dyDescent="0.45">
      <c r="A5845" t="s">
        <v>10228</v>
      </c>
      <c r="B5845" s="1">
        <v>45079</v>
      </c>
      <c r="C5845" t="s">
        <v>10229</v>
      </c>
      <c r="D5845" t="s">
        <v>13</v>
      </c>
      <c r="E5845" t="s">
        <v>36</v>
      </c>
      <c r="F5845" t="s">
        <v>37</v>
      </c>
      <c r="G5845">
        <v>1</v>
      </c>
      <c r="H5845">
        <v>6567.74</v>
      </c>
      <c r="I5845">
        <v>1485.82</v>
      </c>
      <c r="J5845" t="s">
        <v>22</v>
      </c>
      <c r="K5845" t="s">
        <v>17</v>
      </c>
      <c r="L5845">
        <f t="shared" si="273"/>
        <v>2023</v>
      </c>
      <c r="M5845" t="str">
        <f t="shared" si="274"/>
        <v>Jun</v>
      </c>
      <c r="N5845" s="2">
        <f t="shared" si="275"/>
        <v>0.22623002737623596</v>
      </c>
    </row>
    <row r="5846" spans="1:14" x14ac:dyDescent="0.45">
      <c r="A5846" t="s">
        <v>10230</v>
      </c>
      <c r="B5846" s="1">
        <v>44962</v>
      </c>
      <c r="C5846" t="s">
        <v>4926</v>
      </c>
      <c r="D5846" t="s">
        <v>56</v>
      </c>
      <c r="E5846" t="s">
        <v>14</v>
      </c>
      <c r="F5846" t="s">
        <v>40</v>
      </c>
      <c r="G5846">
        <v>2</v>
      </c>
      <c r="H5846">
        <v>38442.300000000003</v>
      </c>
      <c r="I5846">
        <v>3245.29</v>
      </c>
      <c r="J5846" t="s">
        <v>71</v>
      </c>
      <c r="K5846" t="s">
        <v>29</v>
      </c>
      <c r="L5846">
        <f t="shared" si="273"/>
        <v>2023</v>
      </c>
      <c r="M5846" t="str">
        <f t="shared" si="274"/>
        <v>Feb</v>
      </c>
      <c r="N5846" s="2">
        <f t="shared" si="275"/>
        <v>8.4419766767337021E-2</v>
      </c>
    </row>
    <row r="5847" spans="1:14" x14ac:dyDescent="0.45">
      <c r="A5847" t="s">
        <v>10231</v>
      </c>
      <c r="B5847" s="1">
        <v>45047</v>
      </c>
      <c r="C5847" t="s">
        <v>10232</v>
      </c>
      <c r="D5847" t="s">
        <v>56</v>
      </c>
      <c r="E5847" t="s">
        <v>20</v>
      </c>
      <c r="F5847" t="s">
        <v>27</v>
      </c>
      <c r="G5847">
        <v>4</v>
      </c>
      <c r="H5847">
        <v>10766.31</v>
      </c>
      <c r="I5847">
        <v>1394.19</v>
      </c>
      <c r="J5847" t="s">
        <v>28</v>
      </c>
      <c r="K5847" t="s">
        <v>29</v>
      </c>
      <c r="L5847">
        <f t="shared" si="273"/>
        <v>2023</v>
      </c>
      <c r="M5847" t="str">
        <f t="shared" si="274"/>
        <v>May</v>
      </c>
      <c r="N5847" s="2">
        <f t="shared" si="275"/>
        <v>0.12949562106236956</v>
      </c>
    </row>
    <row r="5848" spans="1:14" x14ac:dyDescent="0.45">
      <c r="A5848" t="s">
        <v>10233</v>
      </c>
      <c r="B5848" s="1">
        <v>45387</v>
      </c>
      <c r="C5848" t="s">
        <v>4552</v>
      </c>
      <c r="D5848" t="s">
        <v>56</v>
      </c>
      <c r="E5848" t="s">
        <v>20</v>
      </c>
      <c r="F5848" t="s">
        <v>27</v>
      </c>
      <c r="G5848">
        <v>5</v>
      </c>
      <c r="H5848">
        <v>6805.86</v>
      </c>
      <c r="I5848">
        <v>715.03</v>
      </c>
      <c r="J5848" t="s">
        <v>71</v>
      </c>
      <c r="K5848" t="s">
        <v>33</v>
      </c>
      <c r="L5848">
        <f t="shared" si="273"/>
        <v>2024</v>
      </c>
      <c r="M5848" t="str">
        <f t="shared" si="274"/>
        <v>Apr</v>
      </c>
      <c r="N5848" s="2">
        <f t="shared" si="275"/>
        <v>0.10506093278439463</v>
      </c>
    </row>
    <row r="5849" spans="1:14" x14ac:dyDescent="0.45">
      <c r="A5849" t="s">
        <v>10234</v>
      </c>
      <c r="B5849" s="1">
        <v>45592</v>
      </c>
      <c r="C5849" t="s">
        <v>1736</v>
      </c>
      <c r="D5849" t="s">
        <v>56</v>
      </c>
      <c r="E5849" t="s">
        <v>20</v>
      </c>
      <c r="F5849" t="s">
        <v>43</v>
      </c>
      <c r="G5849">
        <v>5</v>
      </c>
      <c r="H5849">
        <v>8470.4500000000007</v>
      </c>
      <c r="I5849">
        <v>937.63</v>
      </c>
      <c r="J5849" t="s">
        <v>71</v>
      </c>
      <c r="K5849" t="s">
        <v>33</v>
      </c>
      <c r="L5849">
        <f t="shared" si="273"/>
        <v>2024</v>
      </c>
      <c r="M5849" t="str">
        <f t="shared" si="274"/>
        <v>Oct</v>
      </c>
      <c r="N5849" s="2">
        <f t="shared" si="275"/>
        <v>0.11069423702400698</v>
      </c>
    </row>
    <row r="5850" spans="1:14" x14ac:dyDescent="0.45">
      <c r="A5850" t="s">
        <v>10235</v>
      </c>
      <c r="B5850" s="1">
        <v>44844</v>
      </c>
      <c r="C5850" t="s">
        <v>5833</v>
      </c>
      <c r="D5850" t="s">
        <v>56</v>
      </c>
      <c r="E5850" t="s">
        <v>14</v>
      </c>
      <c r="F5850" t="s">
        <v>57</v>
      </c>
      <c r="G5850">
        <v>5</v>
      </c>
      <c r="H5850">
        <v>43992.14</v>
      </c>
      <c r="I5850">
        <v>9729.6299999999992</v>
      </c>
      <c r="J5850" t="s">
        <v>47</v>
      </c>
      <c r="K5850" t="s">
        <v>17</v>
      </c>
      <c r="L5850">
        <f t="shared" si="273"/>
        <v>2022</v>
      </c>
      <c r="M5850" t="str">
        <f t="shared" si="274"/>
        <v>Oct</v>
      </c>
      <c r="N5850" s="2">
        <f t="shared" si="275"/>
        <v>0.22116746309681681</v>
      </c>
    </row>
    <row r="5851" spans="1:14" x14ac:dyDescent="0.45">
      <c r="A5851" t="s">
        <v>10236</v>
      </c>
      <c r="B5851" s="1">
        <v>44725</v>
      </c>
      <c r="C5851" t="s">
        <v>10237</v>
      </c>
      <c r="D5851" t="s">
        <v>26</v>
      </c>
      <c r="E5851" t="s">
        <v>20</v>
      </c>
      <c r="F5851" t="s">
        <v>27</v>
      </c>
      <c r="G5851">
        <v>5</v>
      </c>
      <c r="H5851">
        <v>10423.73</v>
      </c>
      <c r="I5851">
        <v>972.27</v>
      </c>
      <c r="J5851" t="s">
        <v>16</v>
      </c>
      <c r="K5851" t="s">
        <v>33</v>
      </c>
      <c r="L5851">
        <f t="shared" si="273"/>
        <v>2022</v>
      </c>
      <c r="M5851" t="str">
        <f t="shared" si="274"/>
        <v>Jun</v>
      </c>
      <c r="N5851" s="2">
        <f t="shared" si="275"/>
        <v>9.3274672310199896E-2</v>
      </c>
    </row>
    <row r="5852" spans="1:14" x14ac:dyDescent="0.45">
      <c r="A5852" t="s">
        <v>10238</v>
      </c>
      <c r="B5852" s="1">
        <v>44910</v>
      </c>
      <c r="C5852" t="s">
        <v>4916</v>
      </c>
      <c r="D5852" t="s">
        <v>56</v>
      </c>
      <c r="E5852" t="s">
        <v>36</v>
      </c>
      <c r="F5852" t="s">
        <v>53</v>
      </c>
      <c r="G5852">
        <v>3</v>
      </c>
      <c r="H5852">
        <v>23939.57</v>
      </c>
      <c r="I5852">
        <v>2685.06</v>
      </c>
      <c r="J5852" t="s">
        <v>47</v>
      </c>
      <c r="K5852" t="s">
        <v>23</v>
      </c>
      <c r="L5852">
        <f t="shared" si="273"/>
        <v>2022</v>
      </c>
      <c r="M5852" t="str">
        <f t="shared" si="274"/>
        <v>Dec</v>
      </c>
      <c r="N5852" s="2">
        <f t="shared" si="275"/>
        <v>0.1121599093049708</v>
      </c>
    </row>
    <row r="5853" spans="1:14" x14ac:dyDescent="0.45">
      <c r="A5853" t="s">
        <v>10239</v>
      </c>
      <c r="B5853" s="1">
        <v>44972</v>
      </c>
      <c r="C5853" t="s">
        <v>10240</v>
      </c>
      <c r="D5853" t="s">
        <v>56</v>
      </c>
      <c r="E5853" t="s">
        <v>20</v>
      </c>
      <c r="F5853" t="s">
        <v>43</v>
      </c>
      <c r="G5853">
        <v>3</v>
      </c>
      <c r="H5853">
        <v>10932.85</v>
      </c>
      <c r="I5853">
        <v>1767.8</v>
      </c>
      <c r="J5853" t="s">
        <v>28</v>
      </c>
      <c r="K5853" t="s">
        <v>23</v>
      </c>
      <c r="L5853">
        <f t="shared" si="273"/>
        <v>2023</v>
      </c>
      <c r="M5853" t="str">
        <f t="shared" si="274"/>
        <v>Feb</v>
      </c>
      <c r="N5853" s="2">
        <f t="shared" si="275"/>
        <v>0.16169617254421306</v>
      </c>
    </row>
    <row r="5854" spans="1:14" x14ac:dyDescent="0.45">
      <c r="A5854" t="s">
        <v>10241</v>
      </c>
      <c r="B5854" s="1">
        <v>45246</v>
      </c>
      <c r="C5854" t="s">
        <v>10242</v>
      </c>
      <c r="D5854" t="s">
        <v>26</v>
      </c>
      <c r="E5854" t="s">
        <v>36</v>
      </c>
      <c r="F5854" t="s">
        <v>64</v>
      </c>
      <c r="G5854">
        <v>1</v>
      </c>
      <c r="H5854">
        <v>36803.68</v>
      </c>
      <c r="I5854">
        <v>7073.21</v>
      </c>
      <c r="J5854" t="s">
        <v>47</v>
      </c>
      <c r="K5854" t="s">
        <v>17</v>
      </c>
      <c r="L5854">
        <f t="shared" si="273"/>
        <v>2023</v>
      </c>
      <c r="M5854" t="str">
        <f t="shared" si="274"/>
        <v>Nov</v>
      </c>
      <c r="N5854" s="2">
        <f t="shared" si="275"/>
        <v>0.19218757472078879</v>
      </c>
    </row>
    <row r="5855" spans="1:14" x14ac:dyDescent="0.45">
      <c r="A5855" t="s">
        <v>10243</v>
      </c>
      <c r="B5855" s="1">
        <v>44905</v>
      </c>
      <c r="C5855" t="s">
        <v>10244</v>
      </c>
      <c r="D5855" t="s">
        <v>56</v>
      </c>
      <c r="E5855" t="s">
        <v>14</v>
      </c>
      <c r="F5855" t="s">
        <v>32</v>
      </c>
      <c r="G5855">
        <v>3</v>
      </c>
      <c r="H5855">
        <v>27628.23</v>
      </c>
      <c r="I5855">
        <v>4874.4799999999996</v>
      </c>
      <c r="J5855" t="s">
        <v>16</v>
      </c>
      <c r="K5855" t="s">
        <v>29</v>
      </c>
      <c r="L5855">
        <f t="shared" si="273"/>
        <v>2022</v>
      </c>
      <c r="M5855" t="str">
        <f t="shared" si="274"/>
        <v>Dec</v>
      </c>
      <c r="N5855" s="2">
        <f t="shared" si="275"/>
        <v>0.17643113583461553</v>
      </c>
    </row>
    <row r="5856" spans="1:14" x14ac:dyDescent="0.45">
      <c r="A5856" t="s">
        <v>10245</v>
      </c>
      <c r="B5856" s="1">
        <v>44738</v>
      </c>
      <c r="C5856" t="s">
        <v>10246</v>
      </c>
      <c r="D5856" t="s">
        <v>26</v>
      </c>
      <c r="E5856" t="s">
        <v>20</v>
      </c>
      <c r="F5856" t="s">
        <v>21</v>
      </c>
      <c r="G5856">
        <v>5</v>
      </c>
      <c r="H5856">
        <v>15094.94</v>
      </c>
      <c r="I5856">
        <v>1253.99</v>
      </c>
      <c r="J5856" t="s">
        <v>22</v>
      </c>
      <c r="K5856" t="s">
        <v>23</v>
      </c>
      <c r="L5856">
        <f t="shared" si="273"/>
        <v>2022</v>
      </c>
      <c r="M5856" t="str">
        <f t="shared" si="274"/>
        <v>Jun</v>
      </c>
      <c r="N5856" s="2">
        <f t="shared" si="275"/>
        <v>8.3073533250214965E-2</v>
      </c>
    </row>
    <row r="5857" spans="1:14" x14ac:dyDescent="0.45">
      <c r="A5857" t="s">
        <v>10247</v>
      </c>
      <c r="B5857" s="1">
        <v>44856</v>
      </c>
      <c r="C5857" t="s">
        <v>10248</v>
      </c>
      <c r="D5857" t="s">
        <v>13</v>
      </c>
      <c r="E5857" t="s">
        <v>14</v>
      </c>
      <c r="F5857" t="s">
        <v>40</v>
      </c>
      <c r="G5857">
        <v>5</v>
      </c>
      <c r="H5857">
        <v>36731.440000000002</v>
      </c>
      <c r="I5857">
        <v>5334.14</v>
      </c>
      <c r="J5857" t="s">
        <v>22</v>
      </c>
      <c r="K5857" t="s">
        <v>29</v>
      </c>
      <c r="L5857">
        <f t="shared" si="273"/>
        <v>2022</v>
      </c>
      <c r="M5857" t="str">
        <f t="shared" si="274"/>
        <v>Oct</v>
      </c>
      <c r="N5857" s="2">
        <f t="shared" si="275"/>
        <v>0.14522000771001628</v>
      </c>
    </row>
    <row r="5858" spans="1:14" x14ac:dyDescent="0.45">
      <c r="A5858" t="s">
        <v>10249</v>
      </c>
      <c r="B5858" s="1">
        <v>44874</v>
      </c>
      <c r="C5858" t="s">
        <v>10250</v>
      </c>
      <c r="D5858" t="s">
        <v>13</v>
      </c>
      <c r="E5858" t="s">
        <v>20</v>
      </c>
      <c r="F5858" t="s">
        <v>21</v>
      </c>
      <c r="G5858">
        <v>1</v>
      </c>
      <c r="H5858">
        <v>13948.45</v>
      </c>
      <c r="I5858">
        <v>3076.16</v>
      </c>
      <c r="J5858" t="s">
        <v>71</v>
      </c>
      <c r="K5858" t="s">
        <v>23</v>
      </c>
      <c r="L5858">
        <f t="shared" si="273"/>
        <v>2022</v>
      </c>
      <c r="M5858" t="str">
        <f t="shared" si="274"/>
        <v>Nov</v>
      </c>
      <c r="N5858" s="2">
        <f t="shared" si="275"/>
        <v>0.2205377658449505</v>
      </c>
    </row>
    <row r="5859" spans="1:14" x14ac:dyDescent="0.45">
      <c r="A5859" t="s">
        <v>10251</v>
      </c>
      <c r="B5859" s="1">
        <v>44712</v>
      </c>
      <c r="C5859" t="s">
        <v>7013</v>
      </c>
      <c r="D5859" t="s">
        <v>56</v>
      </c>
      <c r="E5859" t="s">
        <v>14</v>
      </c>
      <c r="F5859" t="s">
        <v>15</v>
      </c>
      <c r="G5859">
        <v>1</v>
      </c>
      <c r="H5859">
        <v>40793.300000000003</v>
      </c>
      <c r="I5859">
        <v>7561.75</v>
      </c>
      <c r="J5859" t="s">
        <v>71</v>
      </c>
      <c r="K5859" t="s">
        <v>17</v>
      </c>
      <c r="L5859">
        <f t="shared" si="273"/>
        <v>2022</v>
      </c>
      <c r="M5859" t="str">
        <f t="shared" si="274"/>
        <v>May</v>
      </c>
      <c r="N5859" s="2">
        <f t="shared" si="275"/>
        <v>0.18536745004694397</v>
      </c>
    </row>
    <row r="5860" spans="1:14" x14ac:dyDescent="0.45">
      <c r="A5860" t="s">
        <v>10252</v>
      </c>
      <c r="B5860" s="1">
        <v>45065</v>
      </c>
      <c r="C5860" t="s">
        <v>10253</v>
      </c>
      <c r="D5860" t="s">
        <v>26</v>
      </c>
      <c r="E5860" t="s">
        <v>36</v>
      </c>
      <c r="F5860" t="s">
        <v>37</v>
      </c>
      <c r="G5860">
        <v>3</v>
      </c>
      <c r="H5860">
        <v>48424.25</v>
      </c>
      <c r="I5860">
        <v>4120.83</v>
      </c>
      <c r="J5860" t="s">
        <v>28</v>
      </c>
      <c r="K5860" t="s">
        <v>23</v>
      </c>
      <c r="L5860">
        <f t="shared" si="273"/>
        <v>2023</v>
      </c>
      <c r="M5860" t="str">
        <f t="shared" si="274"/>
        <v>May</v>
      </c>
      <c r="N5860" s="2">
        <f t="shared" si="275"/>
        <v>8.509847855155217E-2</v>
      </c>
    </row>
    <row r="5861" spans="1:14" x14ac:dyDescent="0.45">
      <c r="A5861" t="s">
        <v>10254</v>
      </c>
      <c r="B5861" s="1">
        <v>44816</v>
      </c>
      <c r="C5861" t="s">
        <v>10255</v>
      </c>
      <c r="D5861" t="s">
        <v>13</v>
      </c>
      <c r="E5861" t="s">
        <v>14</v>
      </c>
      <c r="F5861" t="s">
        <v>32</v>
      </c>
      <c r="G5861">
        <v>3</v>
      </c>
      <c r="H5861">
        <v>3134.72</v>
      </c>
      <c r="I5861">
        <v>682</v>
      </c>
      <c r="J5861" t="s">
        <v>16</v>
      </c>
      <c r="K5861" t="s">
        <v>23</v>
      </c>
      <c r="L5861">
        <f t="shared" si="273"/>
        <v>2022</v>
      </c>
      <c r="M5861" t="str">
        <f t="shared" si="274"/>
        <v>Sep</v>
      </c>
      <c r="N5861" s="2">
        <f t="shared" si="275"/>
        <v>0.21756329113924053</v>
      </c>
    </row>
    <row r="5862" spans="1:14" x14ac:dyDescent="0.45">
      <c r="A5862" t="s">
        <v>10256</v>
      </c>
      <c r="B5862" s="1">
        <v>45510</v>
      </c>
      <c r="C5862" t="s">
        <v>7704</v>
      </c>
      <c r="D5862" t="s">
        <v>56</v>
      </c>
      <c r="E5862" t="s">
        <v>20</v>
      </c>
      <c r="F5862" t="s">
        <v>43</v>
      </c>
      <c r="G5862">
        <v>3</v>
      </c>
      <c r="H5862">
        <v>33775.589999999997</v>
      </c>
      <c r="I5862">
        <v>5540.23</v>
      </c>
      <c r="J5862" t="s">
        <v>16</v>
      </c>
      <c r="K5862" t="s">
        <v>29</v>
      </c>
      <c r="L5862">
        <f t="shared" si="273"/>
        <v>2024</v>
      </c>
      <c r="M5862" t="str">
        <f t="shared" si="274"/>
        <v>Aug</v>
      </c>
      <c r="N5862" s="2">
        <f t="shared" si="275"/>
        <v>0.16403059132349723</v>
      </c>
    </row>
    <row r="5863" spans="1:14" x14ac:dyDescent="0.45">
      <c r="A5863" t="s">
        <v>10257</v>
      </c>
      <c r="B5863" s="1">
        <v>45518</v>
      </c>
      <c r="C5863" t="s">
        <v>10258</v>
      </c>
      <c r="D5863" t="s">
        <v>13</v>
      </c>
      <c r="E5863" t="s">
        <v>20</v>
      </c>
      <c r="F5863" t="s">
        <v>27</v>
      </c>
      <c r="G5863">
        <v>3</v>
      </c>
      <c r="H5863">
        <v>11502.12</v>
      </c>
      <c r="I5863">
        <v>1176.5</v>
      </c>
      <c r="J5863" t="s">
        <v>16</v>
      </c>
      <c r="K5863" t="s">
        <v>23</v>
      </c>
      <c r="L5863">
        <f t="shared" si="273"/>
        <v>2024</v>
      </c>
      <c r="M5863" t="str">
        <f t="shared" si="274"/>
        <v>Aug</v>
      </c>
      <c r="N5863" s="2">
        <f t="shared" si="275"/>
        <v>0.10228549171804849</v>
      </c>
    </row>
    <row r="5864" spans="1:14" x14ac:dyDescent="0.45">
      <c r="A5864" t="s">
        <v>10259</v>
      </c>
      <c r="B5864" s="1">
        <v>45390</v>
      </c>
      <c r="C5864" t="s">
        <v>10260</v>
      </c>
      <c r="D5864" t="s">
        <v>56</v>
      </c>
      <c r="E5864" t="s">
        <v>14</v>
      </c>
      <c r="F5864" t="s">
        <v>15</v>
      </c>
      <c r="G5864">
        <v>5</v>
      </c>
      <c r="H5864">
        <v>3568.99</v>
      </c>
      <c r="I5864">
        <v>530.66</v>
      </c>
      <c r="J5864" t="s">
        <v>28</v>
      </c>
      <c r="K5864" t="s">
        <v>17</v>
      </c>
      <c r="L5864">
        <f t="shared" si="273"/>
        <v>2024</v>
      </c>
      <c r="M5864" t="str">
        <f t="shared" si="274"/>
        <v>Apr</v>
      </c>
      <c r="N5864" s="2">
        <f t="shared" si="275"/>
        <v>0.14868632302135898</v>
      </c>
    </row>
    <row r="5865" spans="1:14" x14ac:dyDescent="0.45">
      <c r="A5865" t="s">
        <v>10261</v>
      </c>
      <c r="B5865" s="1">
        <v>45307</v>
      </c>
      <c r="C5865" t="s">
        <v>8757</v>
      </c>
      <c r="D5865" t="s">
        <v>56</v>
      </c>
      <c r="E5865" t="s">
        <v>14</v>
      </c>
      <c r="F5865" t="s">
        <v>15</v>
      </c>
      <c r="G5865">
        <v>3</v>
      </c>
      <c r="H5865">
        <v>33876.6</v>
      </c>
      <c r="I5865">
        <v>5438.49</v>
      </c>
      <c r="J5865" t="s">
        <v>47</v>
      </c>
      <c r="K5865" t="s">
        <v>29</v>
      </c>
      <c r="L5865">
        <f t="shared" si="273"/>
        <v>2024</v>
      </c>
      <c r="M5865" t="str">
        <f t="shared" si="274"/>
        <v>Jan</v>
      </c>
      <c r="N5865" s="2">
        <f t="shared" si="275"/>
        <v>0.16053824763996388</v>
      </c>
    </row>
    <row r="5866" spans="1:14" x14ac:dyDescent="0.45">
      <c r="A5866" t="s">
        <v>10262</v>
      </c>
      <c r="B5866" s="1">
        <v>44962</v>
      </c>
      <c r="C5866" t="s">
        <v>10263</v>
      </c>
      <c r="D5866" t="s">
        <v>13</v>
      </c>
      <c r="E5866" t="s">
        <v>14</v>
      </c>
      <c r="F5866" t="s">
        <v>40</v>
      </c>
      <c r="G5866">
        <v>5</v>
      </c>
      <c r="H5866">
        <v>18819.830000000002</v>
      </c>
      <c r="I5866">
        <v>1644.41</v>
      </c>
      <c r="J5866" t="s">
        <v>22</v>
      </c>
      <c r="K5866" t="s">
        <v>29</v>
      </c>
      <c r="L5866">
        <f t="shared" si="273"/>
        <v>2023</v>
      </c>
      <c r="M5866" t="str">
        <f t="shared" si="274"/>
        <v>Feb</v>
      </c>
      <c r="N5866" s="2">
        <f t="shared" si="275"/>
        <v>8.7376453453617803E-2</v>
      </c>
    </row>
    <row r="5867" spans="1:14" x14ac:dyDescent="0.45">
      <c r="A5867" t="s">
        <v>10264</v>
      </c>
      <c r="B5867" s="1">
        <v>45518</v>
      </c>
      <c r="C5867" t="s">
        <v>10265</v>
      </c>
      <c r="D5867" t="s">
        <v>26</v>
      </c>
      <c r="E5867" t="s">
        <v>14</v>
      </c>
      <c r="F5867" t="s">
        <v>40</v>
      </c>
      <c r="G5867">
        <v>2</v>
      </c>
      <c r="H5867">
        <v>30550.25</v>
      </c>
      <c r="I5867">
        <v>7518.17</v>
      </c>
      <c r="J5867" t="s">
        <v>22</v>
      </c>
      <c r="K5867" t="s">
        <v>17</v>
      </c>
      <c r="L5867">
        <f t="shared" si="273"/>
        <v>2024</v>
      </c>
      <c r="M5867" t="str">
        <f t="shared" si="274"/>
        <v>Aug</v>
      </c>
      <c r="N5867" s="2">
        <f t="shared" si="275"/>
        <v>0.24609193050793365</v>
      </c>
    </row>
    <row r="5868" spans="1:14" x14ac:dyDescent="0.45">
      <c r="A5868" t="s">
        <v>10266</v>
      </c>
      <c r="B5868" s="1">
        <v>44926</v>
      </c>
      <c r="C5868" t="s">
        <v>10267</v>
      </c>
      <c r="D5868" t="s">
        <v>13</v>
      </c>
      <c r="E5868" t="s">
        <v>36</v>
      </c>
      <c r="F5868" t="s">
        <v>53</v>
      </c>
      <c r="G5868">
        <v>3</v>
      </c>
      <c r="H5868">
        <v>22125.13</v>
      </c>
      <c r="I5868">
        <v>2681.1</v>
      </c>
      <c r="J5868" t="s">
        <v>22</v>
      </c>
      <c r="K5868" t="s">
        <v>17</v>
      </c>
      <c r="L5868">
        <f t="shared" si="273"/>
        <v>2022</v>
      </c>
      <c r="M5868" t="str">
        <f t="shared" si="274"/>
        <v>Dec</v>
      </c>
      <c r="N5868" s="2">
        <f t="shared" si="275"/>
        <v>0.12117894900504539</v>
      </c>
    </row>
    <row r="5869" spans="1:14" x14ac:dyDescent="0.45">
      <c r="A5869" t="s">
        <v>10268</v>
      </c>
      <c r="B5869" s="1">
        <v>45459</v>
      </c>
      <c r="C5869" t="s">
        <v>10269</v>
      </c>
      <c r="D5869" t="s">
        <v>26</v>
      </c>
      <c r="E5869" t="s">
        <v>36</v>
      </c>
      <c r="F5869" t="s">
        <v>46</v>
      </c>
      <c r="G5869">
        <v>2</v>
      </c>
      <c r="H5869">
        <v>9553.4699999999993</v>
      </c>
      <c r="I5869">
        <v>517.35</v>
      </c>
      <c r="J5869" t="s">
        <v>47</v>
      </c>
      <c r="K5869" t="s">
        <v>29</v>
      </c>
      <c r="L5869">
        <f t="shared" si="273"/>
        <v>2024</v>
      </c>
      <c r="M5869" t="str">
        <f t="shared" si="274"/>
        <v>Jun</v>
      </c>
      <c r="N5869" s="2">
        <f t="shared" si="275"/>
        <v>5.4153098298314647E-2</v>
      </c>
    </row>
    <row r="5870" spans="1:14" x14ac:dyDescent="0.45">
      <c r="A5870" t="s">
        <v>10270</v>
      </c>
      <c r="B5870" s="1">
        <v>45302</v>
      </c>
      <c r="C5870" t="s">
        <v>10271</v>
      </c>
      <c r="D5870" t="s">
        <v>26</v>
      </c>
      <c r="E5870" t="s">
        <v>36</v>
      </c>
      <c r="F5870" t="s">
        <v>64</v>
      </c>
      <c r="G5870">
        <v>2</v>
      </c>
      <c r="H5870">
        <v>38429.22</v>
      </c>
      <c r="I5870">
        <v>9110.39</v>
      </c>
      <c r="J5870" t="s">
        <v>28</v>
      </c>
      <c r="K5870" t="s">
        <v>33</v>
      </c>
      <c r="L5870">
        <f t="shared" si="273"/>
        <v>2024</v>
      </c>
      <c r="M5870" t="str">
        <f t="shared" si="274"/>
        <v>Jan</v>
      </c>
      <c r="N5870" s="2">
        <f t="shared" si="275"/>
        <v>0.23706934462890475</v>
      </c>
    </row>
    <row r="5871" spans="1:14" x14ac:dyDescent="0.45">
      <c r="A5871" t="s">
        <v>10272</v>
      </c>
      <c r="B5871" s="1">
        <v>44754</v>
      </c>
      <c r="C5871" t="s">
        <v>8822</v>
      </c>
      <c r="D5871" t="s">
        <v>26</v>
      </c>
      <c r="E5871" t="s">
        <v>14</v>
      </c>
      <c r="F5871" t="s">
        <v>40</v>
      </c>
      <c r="G5871">
        <v>2</v>
      </c>
      <c r="H5871">
        <v>38240.31</v>
      </c>
      <c r="I5871">
        <v>5483.11</v>
      </c>
      <c r="J5871" t="s">
        <v>22</v>
      </c>
      <c r="K5871" t="s">
        <v>33</v>
      </c>
      <c r="L5871">
        <f t="shared" si="273"/>
        <v>2022</v>
      </c>
      <c r="M5871" t="str">
        <f t="shared" si="274"/>
        <v>Jul</v>
      </c>
      <c r="N5871" s="2">
        <f t="shared" si="275"/>
        <v>0.1433856053991194</v>
      </c>
    </row>
    <row r="5872" spans="1:14" x14ac:dyDescent="0.45">
      <c r="A5872" t="s">
        <v>10273</v>
      </c>
      <c r="B5872" s="1">
        <v>45394</v>
      </c>
      <c r="C5872" t="s">
        <v>10274</v>
      </c>
      <c r="D5872" t="s">
        <v>56</v>
      </c>
      <c r="E5872" t="s">
        <v>14</v>
      </c>
      <c r="F5872" t="s">
        <v>15</v>
      </c>
      <c r="G5872">
        <v>4</v>
      </c>
      <c r="H5872">
        <v>26387.61</v>
      </c>
      <c r="I5872">
        <v>2117.9699999999998</v>
      </c>
      <c r="J5872" t="s">
        <v>22</v>
      </c>
      <c r="K5872" t="s">
        <v>17</v>
      </c>
      <c r="L5872">
        <f t="shared" si="273"/>
        <v>2024</v>
      </c>
      <c r="M5872" t="str">
        <f t="shared" si="274"/>
        <v>Apr</v>
      </c>
      <c r="N5872" s="2">
        <f t="shared" si="275"/>
        <v>8.0263805626959006E-2</v>
      </c>
    </row>
    <row r="5873" spans="1:14" x14ac:dyDescent="0.45">
      <c r="A5873" t="s">
        <v>10275</v>
      </c>
      <c r="B5873" s="1">
        <v>45402</v>
      </c>
      <c r="C5873" t="s">
        <v>1362</v>
      </c>
      <c r="D5873" t="s">
        <v>13</v>
      </c>
      <c r="E5873" t="s">
        <v>14</v>
      </c>
      <c r="F5873" t="s">
        <v>32</v>
      </c>
      <c r="G5873">
        <v>5</v>
      </c>
      <c r="H5873">
        <v>47545.54</v>
      </c>
      <c r="I5873">
        <v>11388.8</v>
      </c>
      <c r="J5873" t="s">
        <v>71</v>
      </c>
      <c r="K5873" t="s">
        <v>33</v>
      </c>
      <c r="L5873">
        <f t="shared" si="273"/>
        <v>2024</v>
      </c>
      <c r="M5873" t="str">
        <f t="shared" si="274"/>
        <v>Apr</v>
      </c>
      <c r="N5873" s="2">
        <f t="shared" si="275"/>
        <v>0.23953455991876418</v>
      </c>
    </row>
    <row r="5874" spans="1:14" x14ac:dyDescent="0.45">
      <c r="A5874" t="s">
        <v>10276</v>
      </c>
      <c r="B5874" s="1">
        <v>44933</v>
      </c>
      <c r="C5874" t="s">
        <v>6648</v>
      </c>
      <c r="D5874" t="s">
        <v>26</v>
      </c>
      <c r="E5874" t="s">
        <v>36</v>
      </c>
      <c r="F5874" t="s">
        <v>46</v>
      </c>
      <c r="G5874">
        <v>1</v>
      </c>
      <c r="H5874">
        <v>5714.58</v>
      </c>
      <c r="I5874">
        <v>1385.45</v>
      </c>
      <c r="J5874" t="s">
        <v>22</v>
      </c>
      <c r="K5874" t="s">
        <v>17</v>
      </c>
      <c r="L5874">
        <f t="shared" si="273"/>
        <v>2023</v>
      </c>
      <c r="M5874" t="str">
        <f t="shared" si="274"/>
        <v>Jan</v>
      </c>
      <c r="N5874" s="2">
        <f t="shared" si="275"/>
        <v>0.24244126427488985</v>
      </c>
    </row>
    <row r="5875" spans="1:14" x14ac:dyDescent="0.45">
      <c r="A5875" t="s">
        <v>10277</v>
      </c>
      <c r="B5875" s="1">
        <v>45037</v>
      </c>
      <c r="C5875" t="s">
        <v>488</v>
      </c>
      <c r="D5875" t="s">
        <v>13</v>
      </c>
      <c r="E5875" t="s">
        <v>36</v>
      </c>
      <c r="F5875" t="s">
        <v>46</v>
      </c>
      <c r="G5875">
        <v>5</v>
      </c>
      <c r="H5875">
        <v>14712.23</v>
      </c>
      <c r="I5875">
        <v>1210.81</v>
      </c>
      <c r="J5875" t="s">
        <v>16</v>
      </c>
      <c r="K5875" t="s">
        <v>17</v>
      </c>
      <c r="L5875">
        <f t="shared" si="273"/>
        <v>2023</v>
      </c>
      <c r="M5875" t="str">
        <f t="shared" si="274"/>
        <v>Apr</v>
      </c>
      <c r="N5875" s="2">
        <f t="shared" si="275"/>
        <v>8.2299556219553385E-2</v>
      </c>
    </row>
    <row r="5876" spans="1:14" x14ac:dyDescent="0.45">
      <c r="A5876" t="s">
        <v>10278</v>
      </c>
      <c r="B5876" s="1">
        <v>45321</v>
      </c>
      <c r="C5876" t="s">
        <v>10279</v>
      </c>
      <c r="D5876" t="s">
        <v>13</v>
      </c>
      <c r="E5876" t="s">
        <v>14</v>
      </c>
      <c r="F5876" t="s">
        <v>32</v>
      </c>
      <c r="G5876">
        <v>1</v>
      </c>
      <c r="H5876">
        <v>18525.12</v>
      </c>
      <c r="I5876">
        <v>2439.5300000000002</v>
      </c>
      <c r="J5876" t="s">
        <v>28</v>
      </c>
      <c r="K5876" t="s">
        <v>29</v>
      </c>
      <c r="L5876">
        <f t="shared" si="273"/>
        <v>2024</v>
      </c>
      <c r="M5876" t="str">
        <f t="shared" si="274"/>
        <v>Jan</v>
      </c>
      <c r="N5876" s="2">
        <f t="shared" si="275"/>
        <v>0.13168767597726763</v>
      </c>
    </row>
    <row r="5877" spans="1:14" x14ac:dyDescent="0.45">
      <c r="A5877" t="s">
        <v>10280</v>
      </c>
      <c r="B5877" s="1">
        <v>44993</v>
      </c>
      <c r="C5877" t="s">
        <v>2011</v>
      </c>
      <c r="D5877" t="s">
        <v>26</v>
      </c>
      <c r="E5877" t="s">
        <v>14</v>
      </c>
      <c r="F5877" t="s">
        <v>32</v>
      </c>
      <c r="G5877">
        <v>3</v>
      </c>
      <c r="H5877">
        <v>34295.120000000003</v>
      </c>
      <c r="I5877">
        <v>8489.73</v>
      </c>
      <c r="J5877" t="s">
        <v>47</v>
      </c>
      <c r="K5877" t="s">
        <v>29</v>
      </c>
      <c r="L5877">
        <f t="shared" si="273"/>
        <v>2023</v>
      </c>
      <c r="M5877" t="str">
        <f t="shared" si="274"/>
        <v>Mar</v>
      </c>
      <c r="N5877" s="2">
        <f t="shared" si="275"/>
        <v>0.2475492139989596</v>
      </c>
    </row>
    <row r="5878" spans="1:14" x14ac:dyDescent="0.45">
      <c r="A5878" t="s">
        <v>10281</v>
      </c>
      <c r="B5878" s="1">
        <v>45299</v>
      </c>
      <c r="C5878" t="s">
        <v>6249</v>
      </c>
      <c r="D5878" t="s">
        <v>26</v>
      </c>
      <c r="E5878" t="s">
        <v>14</v>
      </c>
      <c r="F5878" t="s">
        <v>32</v>
      </c>
      <c r="G5878">
        <v>4</v>
      </c>
      <c r="H5878">
        <v>22728.65</v>
      </c>
      <c r="I5878">
        <v>1729.42</v>
      </c>
      <c r="J5878" t="s">
        <v>16</v>
      </c>
      <c r="K5878" t="s">
        <v>23</v>
      </c>
      <c r="L5878">
        <f t="shared" si="273"/>
        <v>2024</v>
      </c>
      <c r="M5878" t="str">
        <f t="shared" si="274"/>
        <v>Jan</v>
      </c>
      <c r="N5878" s="2">
        <f t="shared" si="275"/>
        <v>7.6089868953941389E-2</v>
      </c>
    </row>
    <row r="5879" spans="1:14" x14ac:dyDescent="0.45">
      <c r="A5879" t="s">
        <v>10282</v>
      </c>
      <c r="B5879" s="1">
        <v>44571</v>
      </c>
      <c r="C5879" t="s">
        <v>2702</v>
      </c>
      <c r="D5879" t="s">
        <v>13</v>
      </c>
      <c r="E5879" t="s">
        <v>20</v>
      </c>
      <c r="F5879" t="s">
        <v>27</v>
      </c>
      <c r="G5879">
        <v>3</v>
      </c>
      <c r="H5879">
        <v>18741.98</v>
      </c>
      <c r="I5879">
        <v>4243.5</v>
      </c>
      <c r="J5879" t="s">
        <v>47</v>
      </c>
      <c r="K5879" t="s">
        <v>17</v>
      </c>
      <c r="L5879">
        <f t="shared" si="273"/>
        <v>2022</v>
      </c>
      <c r="M5879" t="str">
        <f t="shared" si="274"/>
        <v>Jan</v>
      </c>
      <c r="N5879" s="2">
        <f t="shared" si="275"/>
        <v>0.22641684603227621</v>
      </c>
    </row>
    <row r="5880" spans="1:14" x14ac:dyDescent="0.45">
      <c r="A5880" t="s">
        <v>10283</v>
      </c>
      <c r="B5880" s="1">
        <v>45636</v>
      </c>
      <c r="C5880" t="s">
        <v>10284</v>
      </c>
      <c r="D5880" t="s">
        <v>56</v>
      </c>
      <c r="E5880" t="s">
        <v>14</v>
      </c>
      <c r="F5880" t="s">
        <v>15</v>
      </c>
      <c r="G5880">
        <v>4</v>
      </c>
      <c r="H5880">
        <v>12074.57</v>
      </c>
      <c r="I5880">
        <v>2372.0500000000002</v>
      </c>
      <c r="J5880" t="s">
        <v>71</v>
      </c>
      <c r="K5880" t="s">
        <v>33</v>
      </c>
      <c r="L5880">
        <f t="shared" si="273"/>
        <v>2024</v>
      </c>
      <c r="M5880" t="str">
        <f t="shared" si="274"/>
        <v>Dec</v>
      </c>
      <c r="N5880" s="2">
        <f t="shared" si="275"/>
        <v>0.19645005991931805</v>
      </c>
    </row>
    <row r="5881" spans="1:14" x14ac:dyDescent="0.45">
      <c r="A5881" t="s">
        <v>10285</v>
      </c>
      <c r="B5881" s="1">
        <v>45347</v>
      </c>
      <c r="C5881" t="s">
        <v>3044</v>
      </c>
      <c r="D5881" t="s">
        <v>26</v>
      </c>
      <c r="E5881" t="s">
        <v>20</v>
      </c>
      <c r="F5881" t="s">
        <v>50</v>
      </c>
      <c r="G5881">
        <v>4</v>
      </c>
      <c r="H5881">
        <v>40564.160000000003</v>
      </c>
      <c r="I5881">
        <v>3368.08</v>
      </c>
      <c r="J5881" t="s">
        <v>28</v>
      </c>
      <c r="K5881" t="s">
        <v>23</v>
      </c>
      <c r="L5881">
        <f t="shared" si="273"/>
        <v>2024</v>
      </c>
      <c r="M5881" t="str">
        <f t="shared" si="274"/>
        <v>Feb</v>
      </c>
      <c r="N5881" s="2">
        <f t="shared" si="275"/>
        <v>8.3030931738756572E-2</v>
      </c>
    </row>
    <row r="5882" spans="1:14" x14ac:dyDescent="0.45">
      <c r="A5882" t="s">
        <v>10286</v>
      </c>
      <c r="B5882" s="1">
        <v>44911</v>
      </c>
      <c r="C5882" t="s">
        <v>10287</v>
      </c>
      <c r="D5882" t="s">
        <v>56</v>
      </c>
      <c r="E5882" t="s">
        <v>20</v>
      </c>
      <c r="F5882" t="s">
        <v>21</v>
      </c>
      <c r="G5882">
        <v>3</v>
      </c>
      <c r="H5882">
        <v>3240.72</v>
      </c>
      <c r="I5882">
        <v>358.49</v>
      </c>
      <c r="J5882" t="s">
        <v>16</v>
      </c>
      <c r="K5882" t="s">
        <v>29</v>
      </c>
      <c r="L5882">
        <f t="shared" si="273"/>
        <v>2022</v>
      </c>
      <c r="M5882" t="str">
        <f t="shared" si="274"/>
        <v>Dec</v>
      </c>
      <c r="N5882" s="2">
        <f t="shared" si="275"/>
        <v>0.11062047939963959</v>
      </c>
    </row>
    <row r="5883" spans="1:14" x14ac:dyDescent="0.45">
      <c r="A5883" t="s">
        <v>10288</v>
      </c>
      <c r="B5883" s="1">
        <v>45578</v>
      </c>
      <c r="C5883" t="s">
        <v>10289</v>
      </c>
      <c r="D5883" t="s">
        <v>13</v>
      </c>
      <c r="E5883" t="s">
        <v>36</v>
      </c>
      <c r="F5883" t="s">
        <v>53</v>
      </c>
      <c r="G5883">
        <v>3</v>
      </c>
      <c r="H5883">
        <v>583.11</v>
      </c>
      <c r="I5883">
        <v>55.44</v>
      </c>
      <c r="J5883" t="s">
        <v>47</v>
      </c>
      <c r="K5883" t="s">
        <v>29</v>
      </c>
      <c r="L5883">
        <f t="shared" si="273"/>
        <v>2024</v>
      </c>
      <c r="M5883" t="str">
        <f t="shared" si="274"/>
        <v>Oct</v>
      </c>
      <c r="N5883" s="2">
        <f t="shared" si="275"/>
        <v>9.5076400679117143E-2</v>
      </c>
    </row>
    <row r="5884" spans="1:14" x14ac:dyDescent="0.45">
      <c r="A5884" t="s">
        <v>10290</v>
      </c>
      <c r="B5884" s="1">
        <v>45437</v>
      </c>
      <c r="C5884" t="s">
        <v>10291</v>
      </c>
      <c r="D5884" t="s">
        <v>13</v>
      </c>
      <c r="E5884" t="s">
        <v>14</v>
      </c>
      <c r="F5884" t="s">
        <v>32</v>
      </c>
      <c r="G5884">
        <v>4</v>
      </c>
      <c r="H5884">
        <v>35166.71</v>
      </c>
      <c r="I5884">
        <v>3155.59</v>
      </c>
      <c r="J5884" t="s">
        <v>22</v>
      </c>
      <c r="K5884" t="s">
        <v>29</v>
      </c>
      <c r="L5884">
        <f t="shared" si="273"/>
        <v>2024</v>
      </c>
      <c r="M5884" t="str">
        <f t="shared" si="274"/>
        <v>May</v>
      </c>
      <c r="N5884" s="2">
        <f t="shared" si="275"/>
        <v>8.9732306490996741E-2</v>
      </c>
    </row>
    <row r="5885" spans="1:14" x14ac:dyDescent="0.45">
      <c r="A5885" t="s">
        <v>10292</v>
      </c>
      <c r="B5885" s="1">
        <v>45065</v>
      </c>
      <c r="C5885" t="s">
        <v>7203</v>
      </c>
      <c r="D5885" t="s">
        <v>26</v>
      </c>
      <c r="E5885" t="s">
        <v>20</v>
      </c>
      <c r="F5885" t="s">
        <v>27</v>
      </c>
      <c r="G5885">
        <v>1</v>
      </c>
      <c r="H5885">
        <v>7093.23</v>
      </c>
      <c r="I5885">
        <v>869.99</v>
      </c>
      <c r="J5885" t="s">
        <v>28</v>
      </c>
      <c r="K5885" t="s">
        <v>23</v>
      </c>
      <c r="L5885">
        <f t="shared" si="273"/>
        <v>2023</v>
      </c>
      <c r="M5885" t="str">
        <f t="shared" si="274"/>
        <v>May</v>
      </c>
      <c r="N5885" s="2">
        <f t="shared" si="275"/>
        <v>0.12265075290100562</v>
      </c>
    </row>
    <row r="5886" spans="1:14" x14ac:dyDescent="0.45">
      <c r="A5886" t="s">
        <v>10293</v>
      </c>
      <c r="B5886" s="1">
        <v>45624</v>
      </c>
      <c r="C5886" t="s">
        <v>10294</v>
      </c>
      <c r="D5886" t="s">
        <v>56</v>
      </c>
      <c r="E5886" t="s">
        <v>14</v>
      </c>
      <c r="F5886" t="s">
        <v>40</v>
      </c>
      <c r="G5886">
        <v>4</v>
      </c>
      <c r="H5886">
        <v>41451.919999999998</v>
      </c>
      <c r="I5886">
        <v>4821.93</v>
      </c>
      <c r="J5886" t="s">
        <v>22</v>
      </c>
      <c r="K5886" t="s">
        <v>29</v>
      </c>
      <c r="L5886">
        <f t="shared" si="273"/>
        <v>2024</v>
      </c>
      <c r="M5886" t="str">
        <f t="shared" si="274"/>
        <v>Nov</v>
      </c>
      <c r="N5886" s="2">
        <f t="shared" si="275"/>
        <v>0.1163258541462012</v>
      </c>
    </row>
    <row r="5887" spans="1:14" x14ac:dyDescent="0.45">
      <c r="A5887" t="s">
        <v>10295</v>
      </c>
      <c r="B5887" s="1">
        <v>45404</v>
      </c>
      <c r="C5887" t="s">
        <v>9701</v>
      </c>
      <c r="D5887" t="s">
        <v>26</v>
      </c>
      <c r="E5887" t="s">
        <v>14</v>
      </c>
      <c r="F5887" t="s">
        <v>40</v>
      </c>
      <c r="G5887">
        <v>5</v>
      </c>
      <c r="H5887">
        <v>43057.57</v>
      </c>
      <c r="I5887">
        <v>5131.4799999999996</v>
      </c>
      <c r="J5887" t="s">
        <v>28</v>
      </c>
      <c r="K5887" t="s">
        <v>33</v>
      </c>
      <c r="L5887">
        <f t="shared" si="273"/>
        <v>2024</v>
      </c>
      <c r="M5887" t="str">
        <f t="shared" si="274"/>
        <v>Apr</v>
      </c>
      <c r="N5887" s="2">
        <f t="shared" si="275"/>
        <v>0.11917718533581899</v>
      </c>
    </row>
    <row r="5888" spans="1:14" x14ac:dyDescent="0.45">
      <c r="A5888" t="s">
        <v>10296</v>
      </c>
      <c r="B5888" s="1">
        <v>44762</v>
      </c>
      <c r="C5888" t="s">
        <v>10297</v>
      </c>
      <c r="D5888" t="s">
        <v>13</v>
      </c>
      <c r="E5888" t="s">
        <v>36</v>
      </c>
      <c r="F5888" t="s">
        <v>64</v>
      </c>
      <c r="G5888">
        <v>2</v>
      </c>
      <c r="H5888">
        <v>45028.99</v>
      </c>
      <c r="I5888">
        <v>8881.9500000000007</v>
      </c>
      <c r="J5888" t="s">
        <v>16</v>
      </c>
      <c r="K5888" t="s">
        <v>29</v>
      </c>
      <c r="L5888">
        <f t="shared" si="273"/>
        <v>2022</v>
      </c>
      <c r="M5888" t="str">
        <f t="shared" si="274"/>
        <v>Jul</v>
      </c>
      <c r="N5888" s="2">
        <f t="shared" si="275"/>
        <v>0.19724959409482648</v>
      </c>
    </row>
    <row r="5889" spans="1:14" x14ac:dyDescent="0.45">
      <c r="A5889" t="s">
        <v>10298</v>
      </c>
      <c r="B5889" s="1">
        <v>45058</v>
      </c>
      <c r="C5889" t="s">
        <v>10299</v>
      </c>
      <c r="D5889" t="s">
        <v>13</v>
      </c>
      <c r="E5889" t="s">
        <v>36</v>
      </c>
      <c r="F5889" t="s">
        <v>64</v>
      </c>
      <c r="G5889">
        <v>2</v>
      </c>
      <c r="H5889">
        <v>5129.59</v>
      </c>
      <c r="I5889">
        <v>278.64999999999998</v>
      </c>
      <c r="J5889" t="s">
        <v>71</v>
      </c>
      <c r="K5889" t="s">
        <v>17</v>
      </c>
      <c r="L5889">
        <f t="shared" si="273"/>
        <v>2023</v>
      </c>
      <c r="M5889" t="str">
        <f t="shared" si="274"/>
        <v>May</v>
      </c>
      <c r="N5889" s="2">
        <f t="shared" si="275"/>
        <v>5.4322080322208983E-2</v>
      </c>
    </row>
    <row r="5890" spans="1:14" x14ac:dyDescent="0.45">
      <c r="A5890" t="s">
        <v>10300</v>
      </c>
      <c r="B5890" s="1">
        <v>44632</v>
      </c>
      <c r="C5890" t="s">
        <v>8745</v>
      </c>
      <c r="D5890" t="s">
        <v>26</v>
      </c>
      <c r="E5890" t="s">
        <v>36</v>
      </c>
      <c r="F5890" t="s">
        <v>46</v>
      </c>
      <c r="G5890">
        <v>3</v>
      </c>
      <c r="H5890">
        <v>33110.5</v>
      </c>
      <c r="I5890">
        <v>5076.0200000000004</v>
      </c>
      <c r="J5890" t="s">
        <v>71</v>
      </c>
      <c r="K5890" t="s">
        <v>23</v>
      </c>
      <c r="L5890">
        <f t="shared" si="273"/>
        <v>2022</v>
      </c>
      <c r="M5890" t="str">
        <f t="shared" si="274"/>
        <v>Mar</v>
      </c>
      <c r="N5890" s="2">
        <f t="shared" si="275"/>
        <v>0.1533054469126108</v>
      </c>
    </row>
    <row r="5891" spans="1:14" x14ac:dyDescent="0.45">
      <c r="A5891" t="s">
        <v>10301</v>
      </c>
      <c r="B5891" s="1">
        <v>44663</v>
      </c>
      <c r="C5891" t="s">
        <v>10302</v>
      </c>
      <c r="D5891" t="s">
        <v>56</v>
      </c>
      <c r="E5891" t="s">
        <v>20</v>
      </c>
      <c r="F5891" t="s">
        <v>50</v>
      </c>
      <c r="G5891">
        <v>4</v>
      </c>
      <c r="H5891">
        <v>17225.79</v>
      </c>
      <c r="I5891">
        <v>1004.49</v>
      </c>
      <c r="J5891" t="s">
        <v>47</v>
      </c>
      <c r="K5891" t="s">
        <v>33</v>
      </c>
      <c r="L5891">
        <f t="shared" ref="L5891:L5954" si="276">YEAR(B5891 )</f>
        <v>2022</v>
      </c>
      <c r="M5891" t="str">
        <f t="shared" ref="M5891:M5954" si="277">TEXT(B5891,"MMM")</f>
        <v>Apr</v>
      </c>
      <c r="N5891" s="2">
        <f t="shared" ref="N5891:N5954" si="278">I5891 / H5891</f>
        <v>5.8313145579970492E-2</v>
      </c>
    </row>
    <row r="5892" spans="1:14" x14ac:dyDescent="0.45">
      <c r="A5892" t="s">
        <v>10303</v>
      </c>
      <c r="B5892" s="1">
        <v>44884</v>
      </c>
      <c r="C5892" t="s">
        <v>10304</v>
      </c>
      <c r="D5892" t="s">
        <v>56</v>
      </c>
      <c r="E5892" t="s">
        <v>36</v>
      </c>
      <c r="F5892" t="s">
        <v>37</v>
      </c>
      <c r="G5892">
        <v>5</v>
      </c>
      <c r="H5892">
        <v>9810.26</v>
      </c>
      <c r="I5892">
        <v>722.2</v>
      </c>
      <c r="J5892" t="s">
        <v>71</v>
      </c>
      <c r="K5892" t="s">
        <v>29</v>
      </c>
      <c r="L5892">
        <f t="shared" si="276"/>
        <v>2022</v>
      </c>
      <c r="M5892" t="str">
        <f t="shared" si="277"/>
        <v>Nov</v>
      </c>
      <c r="N5892" s="2">
        <f t="shared" si="278"/>
        <v>7.361680526306133E-2</v>
      </c>
    </row>
    <row r="5893" spans="1:14" x14ac:dyDescent="0.45">
      <c r="A5893" t="s">
        <v>10305</v>
      </c>
      <c r="B5893" s="1">
        <v>45293</v>
      </c>
      <c r="C5893" t="s">
        <v>9309</v>
      </c>
      <c r="D5893" t="s">
        <v>13</v>
      </c>
      <c r="E5893" t="s">
        <v>20</v>
      </c>
      <c r="F5893" t="s">
        <v>50</v>
      </c>
      <c r="G5893">
        <v>3</v>
      </c>
      <c r="H5893">
        <v>20628.38</v>
      </c>
      <c r="I5893">
        <v>1373.75</v>
      </c>
      <c r="J5893" t="s">
        <v>22</v>
      </c>
      <c r="K5893" t="s">
        <v>17</v>
      </c>
      <c r="L5893">
        <f t="shared" si="276"/>
        <v>2024</v>
      </c>
      <c r="M5893" t="str">
        <f t="shared" si="277"/>
        <v>Jan</v>
      </c>
      <c r="N5893" s="2">
        <f t="shared" si="278"/>
        <v>6.65951470740795E-2</v>
      </c>
    </row>
    <row r="5894" spans="1:14" x14ac:dyDescent="0.45">
      <c r="A5894" t="s">
        <v>10306</v>
      </c>
      <c r="B5894" s="1">
        <v>44755</v>
      </c>
      <c r="C5894" t="s">
        <v>10307</v>
      </c>
      <c r="D5894" t="s">
        <v>56</v>
      </c>
      <c r="E5894" t="s">
        <v>36</v>
      </c>
      <c r="F5894" t="s">
        <v>37</v>
      </c>
      <c r="G5894">
        <v>1</v>
      </c>
      <c r="H5894">
        <v>1305.1099999999999</v>
      </c>
      <c r="I5894">
        <v>144.11000000000001</v>
      </c>
      <c r="J5894" t="s">
        <v>22</v>
      </c>
      <c r="K5894" t="s">
        <v>17</v>
      </c>
      <c r="L5894">
        <f t="shared" si="276"/>
        <v>2022</v>
      </c>
      <c r="M5894" t="str">
        <f t="shared" si="277"/>
        <v>Jul</v>
      </c>
      <c r="N5894" s="2">
        <f t="shared" si="278"/>
        <v>0.11041981135689714</v>
      </c>
    </row>
    <row r="5895" spans="1:14" x14ac:dyDescent="0.45">
      <c r="A5895" t="s">
        <v>10308</v>
      </c>
      <c r="B5895" s="1">
        <v>44918</v>
      </c>
      <c r="C5895" t="s">
        <v>10309</v>
      </c>
      <c r="D5895" t="s">
        <v>56</v>
      </c>
      <c r="E5895" t="s">
        <v>36</v>
      </c>
      <c r="F5895" t="s">
        <v>53</v>
      </c>
      <c r="G5895">
        <v>2</v>
      </c>
      <c r="H5895">
        <v>18869.78</v>
      </c>
      <c r="I5895">
        <v>4180.58</v>
      </c>
      <c r="J5895" t="s">
        <v>47</v>
      </c>
      <c r="K5895" t="s">
        <v>17</v>
      </c>
      <c r="L5895">
        <f t="shared" si="276"/>
        <v>2022</v>
      </c>
      <c r="M5895" t="str">
        <f t="shared" si="277"/>
        <v>Dec</v>
      </c>
      <c r="N5895" s="2">
        <f t="shared" si="278"/>
        <v>0.22154895287597418</v>
      </c>
    </row>
    <row r="5896" spans="1:14" x14ac:dyDescent="0.45">
      <c r="A5896" t="s">
        <v>10310</v>
      </c>
      <c r="B5896" s="1">
        <v>45465</v>
      </c>
      <c r="C5896" t="s">
        <v>10311</v>
      </c>
      <c r="D5896" t="s">
        <v>26</v>
      </c>
      <c r="E5896" t="s">
        <v>36</v>
      </c>
      <c r="F5896" t="s">
        <v>37</v>
      </c>
      <c r="G5896">
        <v>5</v>
      </c>
      <c r="H5896">
        <v>8592.2900000000009</v>
      </c>
      <c r="I5896">
        <v>548.49</v>
      </c>
      <c r="J5896" t="s">
        <v>28</v>
      </c>
      <c r="K5896" t="s">
        <v>17</v>
      </c>
      <c r="L5896">
        <f t="shared" si="276"/>
        <v>2024</v>
      </c>
      <c r="M5896" t="str">
        <f t="shared" si="277"/>
        <v>Jun</v>
      </c>
      <c r="N5896" s="2">
        <f t="shared" si="278"/>
        <v>6.3835135918364011E-2</v>
      </c>
    </row>
    <row r="5897" spans="1:14" x14ac:dyDescent="0.45">
      <c r="A5897" t="s">
        <v>10312</v>
      </c>
      <c r="B5897" s="1">
        <v>45105</v>
      </c>
      <c r="C5897" t="s">
        <v>10313</v>
      </c>
      <c r="D5897" t="s">
        <v>56</v>
      </c>
      <c r="E5897" t="s">
        <v>20</v>
      </c>
      <c r="F5897" t="s">
        <v>43</v>
      </c>
      <c r="G5897">
        <v>4</v>
      </c>
      <c r="H5897">
        <v>35271.5</v>
      </c>
      <c r="I5897">
        <v>1933.73</v>
      </c>
      <c r="J5897" t="s">
        <v>47</v>
      </c>
      <c r="K5897" t="s">
        <v>23</v>
      </c>
      <c r="L5897">
        <f t="shared" si="276"/>
        <v>2023</v>
      </c>
      <c r="M5897" t="str">
        <f t="shared" si="277"/>
        <v>Jun</v>
      </c>
      <c r="N5897" s="2">
        <f t="shared" si="278"/>
        <v>5.4824149809336149E-2</v>
      </c>
    </row>
    <row r="5898" spans="1:14" x14ac:dyDescent="0.45">
      <c r="A5898" t="s">
        <v>10314</v>
      </c>
      <c r="B5898" s="1">
        <v>44859</v>
      </c>
      <c r="C5898" t="s">
        <v>2654</v>
      </c>
      <c r="D5898" t="s">
        <v>13</v>
      </c>
      <c r="E5898" t="s">
        <v>36</v>
      </c>
      <c r="F5898" t="s">
        <v>53</v>
      </c>
      <c r="G5898">
        <v>5</v>
      </c>
      <c r="H5898">
        <v>29327.22</v>
      </c>
      <c r="I5898">
        <v>3665</v>
      </c>
      <c r="J5898" t="s">
        <v>16</v>
      </c>
      <c r="K5898" t="s">
        <v>29</v>
      </c>
      <c r="L5898">
        <f t="shared" si="276"/>
        <v>2022</v>
      </c>
      <c r="M5898" t="str">
        <f t="shared" si="277"/>
        <v>Oct</v>
      </c>
      <c r="N5898" s="2">
        <f t="shared" si="278"/>
        <v>0.12496922654107685</v>
      </c>
    </row>
    <row r="5899" spans="1:14" x14ac:dyDescent="0.45">
      <c r="A5899" t="s">
        <v>10315</v>
      </c>
      <c r="B5899" s="1">
        <v>45278</v>
      </c>
      <c r="C5899" t="s">
        <v>3275</v>
      </c>
      <c r="D5899" t="s">
        <v>13</v>
      </c>
      <c r="E5899" t="s">
        <v>14</v>
      </c>
      <c r="F5899" t="s">
        <v>32</v>
      </c>
      <c r="G5899">
        <v>3</v>
      </c>
      <c r="H5899">
        <v>33577.93</v>
      </c>
      <c r="I5899">
        <v>5403.5</v>
      </c>
      <c r="J5899" t="s">
        <v>16</v>
      </c>
      <c r="K5899" t="s">
        <v>23</v>
      </c>
      <c r="L5899">
        <f t="shared" si="276"/>
        <v>2023</v>
      </c>
      <c r="M5899" t="str">
        <f t="shared" si="277"/>
        <v>Dec</v>
      </c>
      <c r="N5899" s="2">
        <f t="shared" si="278"/>
        <v>0.16092415464562587</v>
      </c>
    </row>
    <row r="5900" spans="1:14" x14ac:dyDescent="0.45">
      <c r="A5900" t="s">
        <v>10316</v>
      </c>
      <c r="B5900" s="1">
        <v>44613</v>
      </c>
      <c r="C5900" t="s">
        <v>6864</v>
      </c>
      <c r="D5900" t="s">
        <v>13</v>
      </c>
      <c r="E5900" t="s">
        <v>20</v>
      </c>
      <c r="F5900" t="s">
        <v>21</v>
      </c>
      <c r="G5900">
        <v>2</v>
      </c>
      <c r="H5900">
        <v>38310.18</v>
      </c>
      <c r="I5900">
        <v>5111.72</v>
      </c>
      <c r="J5900" t="s">
        <v>16</v>
      </c>
      <c r="K5900" t="s">
        <v>23</v>
      </c>
      <c r="L5900">
        <f t="shared" si="276"/>
        <v>2022</v>
      </c>
      <c r="M5900" t="str">
        <f t="shared" si="277"/>
        <v>Feb</v>
      </c>
      <c r="N5900" s="2">
        <f t="shared" si="278"/>
        <v>0.1334298089959379</v>
      </c>
    </row>
    <row r="5901" spans="1:14" x14ac:dyDescent="0.45">
      <c r="A5901" t="s">
        <v>10317</v>
      </c>
      <c r="B5901" s="1">
        <v>45012</v>
      </c>
      <c r="C5901" t="s">
        <v>10318</v>
      </c>
      <c r="D5901" t="s">
        <v>26</v>
      </c>
      <c r="E5901" t="s">
        <v>36</v>
      </c>
      <c r="F5901" t="s">
        <v>64</v>
      </c>
      <c r="G5901">
        <v>1</v>
      </c>
      <c r="H5901">
        <v>35870.97</v>
      </c>
      <c r="I5901">
        <v>8506.32</v>
      </c>
      <c r="J5901" t="s">
        <v>16</v>
      </c>
      <c r="K5901" t="s">
        <v>29</v>
      </c>
      <c r="L5901">
        <f t="shared" si="276"/>
        <v>2023</v>
      </c>
      <c r="M5901" t="str">
        <f t="shared" si="277"/>
        <v>Mar</v>
      </c>
      <c r="N5901" s="2">
        <f t="shared" si="278"/>
        <v>0.23713660377737206</v>
      </c>
    </row>
    <row r="5902" spans="1:14" x14ac:dyDescent="0.45">
      <c r="A5902" t="s">
        <v>10319</v>
      </c>
      <c r="B5902" s="1">
        <v>45012</v>
      </c>
      <c r="C5902" t="s">
        <v>1284</v>
      </c>
      <c r="D5902" t="s">
        <v>56</v>
      </c>
      <c r="E5902" t="s">
        <v>14</v>
      </c>
      <c r="F5902" t="s">
        <v>57</v>
      </c>
      <c r="G5902">
        <v>4</v>
      </c>
      <c r="H5902">
        <v>23136.67</v>
      </c>
      <c r="I5902">
        <v>4819.6000000000004</v>
      </c>
      <c r="J5902" t="s">
        <v>28</v>
      </c>
      <c r="K5902" t="s">
        <v>23</v>
      </c>
      <c r="L5902">
        <f t="shared" si="276"/>
        <v>2023</v>
      </c>
      <c r="M5902" t="str">
        <f t="shared" si="277"/>
        <v>Mar</v>
      </c>
      <c r="N5902" s="2">
        <f t="shared" si="278"/>
        <v>0.20831001176919586</v>
      </c>
    </row>
    <row r="5903" spans="1:14" x14ac:dyDescent="0.45">
      <c r="A5903" t="s">
        <v>10320</v>
      </c>
      <c r="B5903" s="1">
        <v>44676</v>
      </c>
      <c r="C5903" t="s">
        <v>785</v>
      </c>
      <c r="D5903" t="s">
        <v>56</v>
      </c>
      <c r="E5903" t="s">
        <v>14</v>
      </c>
      <c r="F5903" t="s">
        <v>40</v>
      </c>
      <c r="G5903">
        <v>4</v>
      </c>
      <c r="H5903">
        <v>24289.71</v>
      </c>
      <c r="I5903">
        <v>1634.05</v>
      </c>
      <c r="J5903" t="s">
        <v>16</v>
      </c>
      <c r="K5903" t="s">
        <v>23</v>
      </c>
      <c r="L5903">
        <f t="shared" si="276"/>
        <v>2022</v>
      </c>
      <c r="M5903" t="str">
        <f t="shared" si="277"/>
        <v>Apr</v>
      </c>
      <c r="N5903" s="2">
        <f t="shared" si="278"/>
        <v>6.7273343321101811E-2</v>
      </c>
    </row>
    <row r="5904" spans="1:14" x14ac:dyDescent="0.45">
      <c r="A5904" t="s">
        <v>10321</v>
      </c>
      <c r="B5904" s="1">
        <v>45134</v>
      </c>
      <c r="C5904" t="s">
        <v>10322</v>
      </c>
      <c r="D5904" t="s">
        <v>26</v>
      </c>
      <c r="E5904" t="s">
        <v>36</v>
      </c>
      <c r="F5904" t="s">
        <v>64</v>
      </c>
      <c r="G5904">
        <v>2</v>
      </c>
      <c r="H5904">
        <v>40547.83</v>
      </c>
      <c r="I5904">
        <v>7107.32</v>
      </c>
      <c r="J5904" t="s">
        <v>22</v>
      </c>
      <c r="K5904" t="s">
        <v>33</v>
      </c>
      <c r="L5904">
        <f t="shared" si="276"/>
        <v>2023</v>
      </c>
      <c r="M5904" t="str">
        <f t="shared" si="277"/>
        <v>Jul</v>
      </c>
      <c r="N5904" s="2">
        <f t="shared" si="278"/>
        <v>0.17528237639350858</v>
      </c>
    </row>
    <row r="5905" spans="1:14" x14ac:dyDescent="0.45">
      <c r="A5905" t="s">
        <v>10323</v>
      </c>
      <c r="B5905" s="1">
        <v>45657</v>
      </c>
      <c r="C5905" t="s">
        <v>10324</v>
      </c>
      <c r="D5905" t="s">
        <v>26</v>
      </c>
      <c r="E5905" t="s">
        <v>14</v>
      </c>
      <c r="F5905" t="s">
        <v>32</v>
      </c>
      <c r="G5905">
        <v>1</v>
      </c>
      <c r="H5905">
        <v>21515.9</v>
      </c>
      <c r="I5905">
        <v>2292.71</v>
      </c>
      <c r="J5905" t="s">
        <v>16</v>
      </c>
      <c r="K5905" t="s">
        <v>29</v>
      </c>
      <c r="L5905">
        <f t="shared" si="276"/>
        <v>2024</v>
      </c>
      <c r="M5905" t="str">
        <f t="shared" si="277"/>
        <v>Dec</v>
      </c>
      <c r="N5905" s="2">
        <f t="shared" si="278"/>
        <v>0.10655887041676156</v>
      </c>
    </row>
    <row r="5906" spans="1:14" x14ac:dyDescent="0.45">
      <c r="A5906" t="s">
        <v>10325</v>
      </c>
      <c r="B5906" s="1">
        <v>45081</v>
      </c>
      <c r="C5906" t="s">
        <v>3283</v>
      </c>
      <c r="D5906" t="s">
        <v>56</v>
      </c>
      <c r="E5906" t="s">
        <v>36</v>
      </c>
      <c r="F5906" t="s">
        <v>64</v>
      </c>
      <c r="G5906">
        <v>1</v>
      </c>
      <c r="H5906">
        <v>25789.07</v>
      </c>
      <c r="I5906">
        <v>4269.79</v>
      </c>
      <c r="J5906" t="s">
        <v>28</v>
      </c>
      <c r="K5906" t="s">
        <v>23</v>
      </c>
      <c r="L5906">
        <f t="shared" si="276"/>
        <v>2023</v>
      </c>
      <c r="M5906" t="str">
        <f t="shared" si="277"/>
        <v>Jun</v>
      </c>
      <c r="N5906" s="2">
        <f t="shared" si="278"/>
        <v>0.16556587732710021</v>
      </c>
    </row>
    <row r="5907" spans="1:14" x14ac:dyDescent="0.45">
      <c r="A5907" t="s">
        <v>10326</v>
      </c>
      <c r="B5907" s="1">
        <v>45254</v>
      </c>
      <c r="C5907" t="s">
        <v>4394</v>
      </c>
      <c r="D5907" t="s">
        <v>13</v>
      </c>
      <c r="E5907" t="s">
        <v>36</v>
      </c>
      <c r="F5907" t="s">
        <v>46</v>
      </c>
      <c r="G5907">
        <v>1</v>
      </c>
      <c r="H5907">
        <v>46682.96</v>
      </c>
      <c r="I5907">
        <v>11260.88</v>
      </c>
      <c r="J5907" t="s">
        <v>47</v>
      </c>
      <c r="K5907" t="s">
        <v>29</v>
      </c>
      <c r="L5907">
        <f t="shared" si="276"/>
        <v>2023</v>
      </c>
      <c r="M5907" t="str">
        <f t="shared" si="277"/>
        <v>Nov</v>
      </c>
      <c r="N5907" s="2">
        <f t="shared" si="278"/>
        <v>0.24122035106599923</v>
      </c>
    </row>
    <row r="5908" spans="1:14" x14ac:dyDescent="0.45">
      <c r="A5908" t="s">
        <v>10327</v>
      </c>
      <c r="B5908" s="1">
        <v>45220</v>
      </c>
      <c r="C5908" t="s">
        <v>10328</v>
      </c>
      <c r="D5908" t="s">
        <v>56</v>
      </c>
      <c r="E5908" t="s">
        <v>20</v>
      </c>
      <c r="F5908" t="s">
        <v>50</v>
      </c>
      <c r="G5908">
        <v>3</v>
      </c>
      <c r="H5908">
        <v>21668.45</v>
      </c>
      <c r="I5908">
        <v>1172.93</v>
      </c>
      <c r="J5908" t="s">
        <v>28</v>
      </c>
      <c r="K5908" t="s">
        <v>29</v>
      </c>
      <c r="L5908">
        <f t="shared" si="276"/>
        <v>2023</v>
      </c>
      <c r="M5908" t="str">
        <f t="shared" si="277"/>
        <v>Oct</v>
      </c>
      <c r="N5908" s="2">
        <f t="shared" si="278"/>
        <v>5.4130775390025594E-2</v>
      </c>
    </row>
    <row r="5909" spans="1:14" x14ac:dyDescent="0.45">
      <c r="A5909" t="s">
        <v>10329</v>
      </c>
      <c r="B5909" s="1">
        <v>45372</v>
      </c>
      <c r="C5909" t="s">
        <v>10330</v>
      </c>
      <c r="D5909" t="s">
        <v>56</v>
      </c>
      <c r="E5909" t="s">
        <v>20</v>
      </c>
      <c r="F5909" t="s">
        <v>43</v>
      </c>
      <c r="G5909">
        <v>3</v>
      </c>
      <c r="H5909">
        <v>32793.69</v>
      </c>
      <c r="I5909">
        <v>7592.37</v>
      </c>
      <c r="J5909" t="s">
        <v>28</v>
      </c>
      <c r="K5909" t="s">
        <v>33</v>
      </c>
      <c r="L5909">
        <f t="shared" si="276"/>
        <v>2024</v>
      </c>
      <c r="M5909" t="str">
        <f t="shared" si="277"/>
        <v>Mar</v>
      </c>
      <c r="N5909" s="2">
        <f t="shared" si="278"/>
        <v>0.23151923434050878</v>
      </c>
    </row>
    <row r="5910" spans="1:14" x14ac:dyDescent="0.45">
      <c r="A5910" t="s">
        <v>10331</v>
      </c>
      <c r="B5910" s="1">
        <v>45593</v>
      </c>
      <c r="C5910" t="s">
        <v>7543</v>
      </c>
      <c r="D5910" t="s">
        <v>56</v>
      </c>
      <c r="E5910" t="s">
        <v>14</v>
      </c>
      <c r="F5910" t="s">
        <v>40</v>
      </c>
      <c r="G5910">
        <v>5</v>
      </c>
      <c r="H5910">
        <v>36135.370000000003</v>
      </c>
      <c r="I5910">
        <v>3864.22</v>
      </c>
      <c r="J5910" t="s">
        <v>47</v>
      </c>
      <c r="K5910" t="s">
        <v>17</v>
      </c>
      <c r="L5910">
        <f t="shared" si="276"/>
        <v>2024</v>
      </c>
      <c r="M5910" t="str">
        <f t="shared" si="277"/>
        <v>Oct</v>
      </c>
      <c r="N5910" s="2">
        <f t="shared" si="278"/>
        <v>0.10693733037741138</v>
      </c>
    </row>
    <row r="5911" spans="1:14" x14ac:dyDescent="0.45">
      <c r="A5911" t="s">
        <v>10332</v>
      </c>
      <c r="B5911" s="1">
        <v>44878</v>
      </c>
      <c r="C5911" t="s">
        <v>10333</v>
      </c>
      <c r="D5911" t="s">
        <v>26</v>
      </c>
      <c r="E5911" t="s">
        <v>14</v>
      </c>
      <c r="F5911" t="s">
        <v>40</v>
      </c>
      <c r="G5911">
        <v>4</v>
      </c>
      <c r="H5911">
        <v>24546.35</v>
      </c>
      <c r="I5911">
        <v>2774.98</v>
      </c>
      <c r="J5911" t="s">
        <v>47</v>
      </c>
      <c r="K5911" t="s">
        <v>33</v>
      </c>
      <c r="L5911">
        <f t="shared" si="276"/>
        <v>2022</v>
      </c>
      <c r="M5911" t="str">
        <f t="shared" si="277"/>
        <v>Nov</v>
      </c>
      <c r="N5911" s="2">
        <f t="shared" si="278"/>
        <v>0.11305061648676891</v>
      </c>
    </row>
    <row r="5912" spans="1:14" x14ac:dyDescent="0.45">
      <c r="A5912" t="s">
        <v>10334</v>
      </c>
      <c r="B5912" s="1">
        <v>44948</v>
      </c>
      <c r="C5912" t="s">
        <v>10335</v>
      </c>
      <c r="D5912" t="s">
        <v>26</v>
      </c>
      <c r="E5912" t="s">
        <v>36</v>
      </c>
      <c r="F5912" t="s">
        <v>37</v>
      </c>
      <c r="G5912">
        <v>5</v>
      </c>
      <c r="H5912">
        <v>19654.45</v>
      </c>
      <c r="I5912">
        <v>2527.9699999999998</v>
      </c>
      <c r="J5912" t="s">
        <v>71</v>
      </c>
      <c r="K5912" t="s">
        <v>23</v>
      </c>
      <c r="L5912">
        <f t="shared" si="276"/>
        <v>2023</v>
      </c>
      <c r="M5912" t="str">
        <f t="shared" si="277"/>
        <v>Jan</v>
      </c>
      <c r="N5912" s="2">
        <f t="shared" si="278"/>
        <v>0.12862074492036152</v>
      </c>
    </row>
    <row r="5913" spans="1:14" x14ac:dyDescent="0.45">
      <c r="A5913" t="s">
        <v>10336</v>
      </c>
      <c r="B5913" s="1">
        <v>45090</v>
      </c>
      <c r="C5913" t="s">
        <v>10337</v>
      </c>
      <c r="D5913" t="s">
        <v>13</v>
      </c>
      <c r="E5913" t="s">
        <v>20</v>
      </c>
      <c r="F5913" t="s">
        <v>27</v>
      </c>
      <c r="G5913">
        <v>3</v>
      </c>
      <c r="H5913">
        <v>46143.68</v>
      </c>
      <c r="I5913">
        <v>3645.11</v>
      </c>
      <c r="J5913" t="s">
        <v>22</v>
      </c>
      <c r="K5913" t="s">
        <v>23</v>
      </c>
      <c r="L5913">
        <f t="shared" si="276"/>
        <v>2023</v>
      </c>
      <c r="M5913" t="str">
        <f t="shared" si="277"/>
        <v>Jun</v>
      </c>
      <c r="N5913" s="2">
        <f t="shared" si="278"/>
        <v>7.8994783250924072E-2</v>
      </c>
    </row>
    <row r="5914" spans="1:14" x14ac:dyDescent="0.45">
      <c r="A5914" t="s">
        <v>10338</v>
      </c>
      <c r="B5914" s="1">
        <v>45176</v>
      </c>
      <c r="C5914" t="s">
        <v>976</v>
      </c>
      <c r="D5914" t="s">
        <v>13</v>
      </c>
      <c r="E5914" t="s">
        <v>14</v>
      </c>
      <c r="F5914" t="s">
        <v>57</v>
      </c>
      <c r="G5914">
        <v>2</v>
      </c>
      <c r="H5914">
        <v>36828.980000000003</v>
      </c>
      <c r="I5914">
        <v>7839.15</v>
      </c>
      <c r="J5914" t="s">
        <v>16</v>
      </c>
      <c r="K5914" t="s">
        <v>23</v>
      </c>
      <c r="L5914">
        <f t="shared" si="276"/>
        <v>2023</v>
      </c>
      <c r="M5914" t="str">
        <f t="shared" si="277"/>
        <v>Sep</v>
      </c>
      <c r="N5914" s="2">
        <f t="shared" si="278"/>
        <v>0.21285275888715893</v>
      </c>
    </row>
    <row r="5915" spans="1:14" x14ac:dyDescent="0.45">
      <c r="A5915" t="s">
        <v>10339</v>
      </c>
      <c r="B5915" s="1">
        <v>45103</v>
      </c>
      <c r="C5915" t="s">
        <v>8869</v>
      </c>
      <c r="D5915" t="s">
        <v>56</v>
      </c>
      <c r="E5915" t="s">
        <v>20</v>
      </c>
      <c r="F5915" t="s">
        <v>27</v>
      </c>
      <c r="G5915">
        <v>4</v>
      </c>
      <c r="H5915">
        <v>29068.12</v>
      </c>
      <c r="I5915">
        <v>4872.24</v>
      </c>
      <c r="J5915" t="s">
        <v>28</v>
      </c>
      <c r="K5915" t="s">
        <v>33</v>
      </c>
      <c r="L5915">
        <f t="shared" si="276"/>
        <v>2023</v>
      </c>
      <c r="M5915" t="str">
        <f t="shared" si="277"/>
        <v>Jun</v>
      </c>
      <c r="N5915" s="2">
        <f t="shared" si="278"/>
        <v>0.16761455505206391</v>
      </c>
    </row>
    <row r="5916" spans="1:14" x14ac:dyDescent="0.45">
      <c r="A5916" t="s">
        <v>10340</v>
      </c>
      <c r="B5916" s="1">
        <v>45327</v>
      </c>
      <c r="C5916" t="s">
        <v>4114</v>
      </c>
      <c r="D5916" t="s">
        <v>13</v>
      </c>
      <c r="E5916" t="s">
        <v>20</v>
      </c>
      <c r="F5916" t="s">
        <v>43</v>
      </c>
      <c r="G5916">
        <v>3</v>
      </c>
      <c r="H5916">
        <v>10499.39</v>
      </c>
      <c r="I5916">
        <v>2275.5100000000002</v>
      </c>
      <c r="J5916" t="s">
        <v>71</v>
      </c>
      <c r="K5916" t="s">
        <v>23</v>
      </c>
      <c r="L5916">
        <f t="shared" si="276"/>
        <v>2024</v>
      </c>
      <c r="M5916" t="str">
        <f t="shared" si="277"/>
        <v>Feb</v>
      </c>
      <c r="N5916" s="2">
        <f t="shared" si="278"/>
        <v>0.21672782895006285</v>
      </c>
    </row>
    <row r="5917" spans="1:14" x14ac:dyDescent="0.45">
      <c r="A5917" t="s">
        <v>10341</v>
      </c>
      <c r="B5917" s="1">
        <v>44882</v>
      </c>
      <c r="C5917" t="s">
        <v>7226</v>
      </c>
      <c r="D5917" t="s">
        <v>13</v>
      </c>
      <c r="E5917" t="s">
        <v>14</v>
      </c>
      <c r="F5917" t="s">
        <v>40</v>
      </c>
      <c r="G5917">
        <v>1</v>
      </c>
      <c r="H5917">
        <v>6977.08</v>
      </c>
      <c r="I5917">
        <v>1140.6199999999999</v>
      </c>
      <c r="J5917" t="s">
        <v>22</v>
      </c>
      <c r="K5917" t="s">
        <v>29</v>
      </c>
      <c r="L5917">
        <f t="shared" si="276"/>
        <v>2022</v>
      </c>
      <c r="M5917" t="str">
        <f t="shared" si="277"/>
        <v>Nov</v>
      </c>
      <c r="N5917" s="2">
        <f t="shared" si="278"/>
        <v>0.16348099778130679</v>
      </c>
    </row>
    <row r="5918" spans="1:14" x14ac:dyDescent="0.45">
      <c r="A5918" t="s">
        <v>10342</v>
      </c>
      <c r="B5918" s="1">
        <v>44904</v>
      </c>
      <c r="C5918" t="s">
        <v>10343</v>
      </c>
      <c r="D5918" t="s">
        <v>56</v>
      </c>
      <c r="E5918" t="s">
        <v>20</v>
      </c>
      <c r="F5918" t="s">
        <v>21</v>
      </c>
      <c r="G5918">
        <v>5</v>
      </c>
      <c r="H5918">
        <v>40146.39</v>
      </c>
      <c r="I5918">
        <v>9929.1299999999992</v>
      </c>
      <c r="J5918" t="s">
        <v>22</v>
      </c>
      <c r="K5918" t="s">
        <v>17</v>
      </c>
      <c r="L5918">
        <f t="shared" si="276"/>
        <v>2022</v>
      </c>
      <c r="M5918" t="str">
        <f t="shared" si="277"/>
        <v>Dec</v>
      </c>
      <c r="N5918" s="2">
        <f t="shared" si="278"/>
        <v>0.24732310925091894</v>
      </c>
    </row>
    <row r="5919" spans="1:14" x14ac:dyDescent="0.45">
      <c r="A5919" t="s">
        <v>10344</v>
      </c>
      <c r="B5919" s="1">
        <v>44928</v>
      </c>
      <c r="C5919" t="s">
        <v>10345</v>
      </c>
      <c r="D5919" t="s">
        <v>26</v>
      </c>
      <c r="E5919" t="s">
        <v>20</v>
      </c>
      <c r="F5919" t="s">
        <v>27</v>
      </c>
      <c r="G5919">
        <v>1</v>
      </c>
      <c r="H5919">
        <v>38071.01</v>
      </c>
      <c r="I5919">
        <v>4091.47</v>
      </c>
      <c r="J5919" t="s">
        <v>16</v>
      </c>
      <c r="K5919" t="s">
        <v>23</v>
      </c>
      <c r="L5919">
        <f t="shared" si="276"/>
        <v>2023</v>
      </c>
      <c r="M5919" t="str">
        <f t="shared" si="277"/>
        <v>Jan</v>
      </c>
      <c r="N5919" s="2">
        <f t="shared" si="278"/>
        <v>0.10746943671838492</v>
      </c>
    </row>
    <row r="5920" spans="1:14" x14ac:dyDescent="0.45">
      <c r="A5920" t="s">
        <v>10346</v>
      </c>
      <c r="B5920" s="1">
        <v>44696</v>
      </c>
      <c r="C5920" t="s">
        <v>10347</v>
      </c>
      <c r="D5920" t="s">
        <v>13</v>
      </c>
      <c r="E5920" t="s">
        <v>20</v>
      </c>
      <c r="F5920" t="s">
        <v>27</v>
      </c>
      <c r="G5920">
        <v>3</v>
      </c>
      <c r="H5920">
        <v>23114.58</v>
      </c>
      <c r="I5920">
        <v>1533.71</v>
      </c>
      <c r="J5920" t="s">
        <v>22</v>
      </c>
      <c r="K5920" t="s">
        <v>33</v>
      </c>
      <c r="L5920">
        <f t="shared" si="276"/>
        <v>2022</v>
      </c>
      <c r="M5920" t="str">
        <f t="shared" si="277"/>
        <v>May</v>
      </c>
      <c r="N5920" s="2">
        <f t="shared" si="278"/>
        <v>6.6352492669129182E-2</v>
      </c>
    </row>
    <row r="5921" spans="1:14" x14ac:dyDescent="0.45">
      <c r="A5921" t="s">
        <v>10348</v>
      </c>
      <c r="B5921" s="1">
        <v>44680</v>
      </c>
      <c r="C5921" t="s">
        <v>1015</v>
      </c>
      <c r="D5921" t="s">
        <v>26</v>
      </c>
      <c r="E5921" t="s">
        <v>36</v>
      </c>
      <c r="F5921" t="s">
        <v>37</v>
      </c>
      <c r="G5921">
        <v>1</v>
      </c>
      <c r="H5921">
        <v>49422.74</v>
      </c>
      <c r="I5921">
        <v>2648.8</v>
      </c>
      <c r="J5921" t="s">
        <v>28</v>
      </c>
      <c r="K5921" t="s">
        <v>17</v>
      </c>
      <c r="L5921">
        <f t="shared" si="276"/>
        <v>2022</v>
      </c>
      <c r="M5921" t="str">
        <f t="shared" si="277"/>
        <v>Apr</v>
      </c>
      <c r="N5921" s="2">
        <f t="shared" si="278"/>
        <v>5.3594762249118529E-2</v>
      </c>
    </row>
    <row r="5922" spans="1:14" x14ac:dyDescent="0.45">
      <c r="A5922" t="s">
        <v>10349</v>
      </c>
      <c r="B5922" s="1">
        <v>44843</v>
      </c>
      <c r="C5922" t="s">
        <v>10350</v>
      </c>
      <c r="D5922" t="s">
        <v>26</v>
      </c>
      <c r="E5922" t="s">
        <v>36</v>
      </c>
      <c r="F5922" t="s">
        <v>53</v>
      </c>
      <c r="G5922">
        <v>4</v>
      </c>
      <c r="H5922">
        <v>29520.62</v>
      </c>
      <c r="I5922">
        <v>7200.6</v>
      </c>
      <c r="J5922" t="s">
        <v>47</v>
      </c>
      <c r="K5922" t="s">
        <v>23</v>
      </c>
      <c r="L5922">
        <f t="shared" si="276"/>
        <v>2022</v>
      </c>
      <c r="M5922" t="str">
        <f t="shared" si="277"/>
        <v>Oct</v>
      </c>
      <c r="N5922" s="2">
        <f t="shared" si="278"/>
        <v>0.24391764129615165</v>
      </c>
    </row>
    <row r="5923" spans="1:14" x14ac:dyDescent="0.45">
      <c r="A5923" t="s">
        <v>10351</v>
      </c>
      <c r="B5923" s="1">
        <v>45600</v>
      </c>
      <c r="C5923" t="s">
        <v>10352</v>
      </c>
      <c r="D5923" t="s">
        <v>56</v>
      </c>
      <c r="E5923" t="s">
        <v>14</v>
      </c>
      <c r="F5923" t="s">
        <v>57</v>
      </c>
      <c r="G5923">
        <v>3</v>
      </c>
      <c r="H5923">
        <v>10177.75</v>
      </c>
      <c r="I5923">
        <v>2284.94</v>
      </c>
      <c r="J5923" t="s">
        <v>28</v>
      </c>
      <c r="K5923" t="s">
        <v>33</v>
      </c>
      <c r="L5923">
        <f t="shared" si="276"/>
        <v>2024</v>
      </c>
      <c r="M5923" t="str">
        <f t="shared" si="277"/>
        <v>Nov</v>
      </c>
      <c r="N5923" s="2">
        <f t="shared" si="278"/>
        <v>0.2245034511557073</v>
      </c>
    </row>
    <row r="5924" spans="1:14" x14ac:dyDescent="0.45">
      <c r="A5924" t="s">
        <v>10353</v>
      </c>
      <c r="B5924" s="1">
        <v>45489</v>
      </c>
      <c r="C5924" t="s">
        <v>6343</v>
      </c>
      <c r="D5924" t="s">
        <v>56</v>
      </c>
      <c r="E5924" t="s">
        <v>14</v>
      </c>
      <c r="F5924" t="s">
        <v>57</v>
      </c>
      <c r="G5924">
        <v>4</v>
      </c>
      <c r="H5924">
        <v>45904.69</v>
      </c>
      <c r="I5924">
        <v>10959.78</v>
      </c>
      <c r="J5924" t="s">
        <v>28</v>
      </c>
      <c r="K5924" t="s">
        <v>17</v>
      </c>
      <c r="L5924">
        <f t="shared" si="276"/>
        <v>2024</v>
      </c>
      <c r="M5924" t="str">
        <f t="shared" si="277"/>
        <v>Jul</v>
      </c>
      <c r="N5924" s="2">
        <f t="shared" si="278"/>
        <v>0.23875076816769703</v>
      </c>
    </row>
    <row r="5925" spans="1:14" x14ac:dyDescent="0.45">
      <c r="A5925" t="s">
        <v>10354</v>
      </c>
      <c r="B5925" s="1">
        <v>45138</v>
      </c>
      <c r="C5925" t="s">
        <v>49</v>
      </c>
      <c r="D5925" t="s">
        <v>13</v>
      </c>
      <c r="E5925" t="s">
        <v>14</v>
      </c>
      <c r="F5925" t="s">
        <v>32</v>
      </c>
      <c r="G5925">
        <v>4</v>
      </c>
      <c r="H5925">
        <v>6864.69</v>
      </c>
      <c r="I5925">
        <v>1655.47</v>
      </c>
      <c r="J5925" t="s">
        <v>28</v>
      </c>
      <c r="K5925" t="s">
        <v>33</v>
      </c>
      <c r="L5925">
        <f t="shared" si="276"/>
        <v>2023</v>
      </c>
      <c r="M5925" t="str">
        <f t="shared" si="277"/>
        <v>Jul</v>
      </c>
      <c r="N5925" s="2">
        <f t="shared" si="278"/>
        <v>0.2411572845969738</v>
      </c>
    </row>
    <row r="5926" spans="1:14" x14ac:dyDescent="0.45">
      <c r="A5926" t="s">
        <v>10355</v>
      </c>
      <c r="B5926" s="1">
        <v>45160</v>
      </c>
      <c r="C5926" t="s">
        <v>10356</v>
      </c>
      <c r="D5926" t="s">
        <v>13</v>
      </c>
      <c r="E5926" t="s">
        <v>20</v>
      </c>
      <c r="F5926" t="s">
        <v>43</v>
      </c>
      <c r="G5926">
        <v>3</v>
      </c>
      <c r="H5926">
        <v>11399.58</v>
      </c>
      <c r="I5926">
        <v>1654.15</v>
      </c>
      <c r="J5926" t="s">
        <v>71</v>
      </c>
      <c r="K5926" t="s">
        <v>29</v>
      </c>
      <c r="L5926">
        <f t="shared" si="276"/>
        <v>2023</v>
      </c>
      <c r="M5926" t="str">
        <f t="shared" si="277"/>
        <v>Aug</v>
      </c>
      <c r="N5926" s="2">
        <f t="shared" si="278"/>
        <v>0.14510622321173236</v>
      </c>
    </row>
    <row r="5927" spans="1:14" x14ac:dyDescent="0.45">
      <c r="A5927" t="s">
        <v>10357</v>
      </c>
      <c r="B5927" s="1">
        <v>44943</v>
      </c>
      <c r="C5927" t="s">
        <v>2972</v>
      </c>
      <c r="D5927" t="s">
        <v>26</v>
      </c>
      <c r="E5927" t="s">
        <v>36</v>
      </c>
      <c r="F5927" t="s">
        <v>37</v>
      </c>
      <c r="G5927">
        <v>3</v>
      </c>
      <c r="H5927">
        <v>41745.78</v>
      </c>
      <c r="I5927">
        <v>9097.19</v>
      </c>
      <c r="J5927" t="s">
        <v>47</v>
      </c>
      <c r="K5927" t="s">
        <v>23</v>
      </c>
      <c r="L5927">
        <f t="shared" si="276"/>
        <v>2023</v>
      </c>
      <c r="M5927" t="str">
        <f t="shared" si="277"/>
        <v>Jan</v>
      </c>
      <c r="N5927" s="2">
        <f t="shared" si="278"/>
        <v>0.21791879322892041</v>
      </c>
    </row>
    <row r="5928" spans="1:14" x14ac:dyDescent="0.45">
      <c r="A5928" t="s">
        <v>10358</v>
      </c>
      <c r="B5928" s="1">
        <v>45007</v>
      </c>
      <c r="C5928" t="s">
        <v>875</v>
      </c>
      <c r="D5928" t="s">
        <v>13</v>
      </c>
      <c r="E5928" t="s">
        <v>20</v>
      </c>
      <c r="F5928" t="s">
        <v>27</v>
      </c>
      <c r="G5928">
        <v>2</v>
      </c>
      <c r="H5928">
        <v>49273.31</v>
      </c>
      <c r="I5928">
        <v>10816.13</v>
      </c>
      <c r="J5928" t="s">
        <v>71</v>
      </c>
      <c r="K5928" t="s">
        <v>23</v>
      </c>
      <c r="L5928">
        <f t="shared" si="276"/>
        <v>2023</v>
      </c>
      <c r="M5928" t="str">
        <f t="shared" si="277"/>
        <v>Mar</v>
      </c>
      <c r="N5928" s="2">
        <f t="shared" si="278"/>
        <v>0.2195129574205589</v>
      </c>
    </row>
    <row r="5929" spans="1:14" x14ac:dyDescent="0.45">
      <c r="A5929" t="s">
        <v>10359</v>
      </c>
      <c r="B5929" s="1">
        <v>45265</v>
      </c>
      <c r="C5929" t="s">
        <v>10360</v>
      </c>
      <c r="D5929" t="s">
        <v>13</v>
      </c>
      <c r="E5929" t="s">
        <v>36</v>
      </c>
      <c r="F5929" t="s">
        <v>64</v>
      </c>
      <c r="G5929">
        <v>5</v>
      </c>
      <c r="H5929">
        <v>3354.07</v>
      </c>
      <c r="I5929">
        <v>732.68</v>
      </c>
      <c r="J5929" t="s">
        <v>28</v>
      </c>
      <c r="K5929" t="s">
        <v>23</v>
      </c>
      <c r="L5929">
        <f t="shared" si="276"/>
        <v>2023</v>
      </c>
      <c r="M5929" t="str">
        <f t="shared" si="277"/>
        <v>Dec</v>
      </c>
      <c r="N5929" s="2">
        <f t="shared" si="278"/>
        <v>0.21844505332327588</v>
      </c>
    </row>
    <row r="5930" spans="1:14" x14ac:dyDescent="0.45">
      <c r="A5930" t="s">
        <v>10361</v>
      </c>
      <c r="B5930" s="1">
        <v>44641</v>
      </c>
      <c r="C5930" t="s">
        <v>10362</v>
      </c>
      <c r="D5930" t="s">
        <v>26</v>
      </c>
      <c r="E5930" t="s">
        <v>14</v>
      </c>
      <c r="F5930" t="s">
        <v>40</v>
      </c>
      <c r="G5930">
        <v>1</v>
      </c>
      <c r="H5930">
        <v>2092.96</v>
      </c>
      <c r="I5930">
        <v>495.34</v>
      </c>
      <c r="J5930" t="s">
        <v>47</v>
      </c>
      <c r="K5930" t="s">
        <v>29</v>
      </c>
      <c r="L5930">
        <f t="shared" si="276"/>
        <v>2022</v>
      </c>
      <c r="M5930" t="str">
        <f t="shared" si="277"/>
        <v>Mar</v>
      </c>
      <c r="N5930" s="2">
        <f t="shared" si="278"/>
        <v>0.23666959712560201</v>
      </c>
    </row>
    <row r="5931" spans="1:14" x14ac:dyDescent="0.45">
      <c r="A5931" t="s">
        <v>10363</v>
      </c>
      <c r="B5931" s="1">
        <v>45231</v>
      </c>
      <c r="C5931" t="s">
        <v>10364</v>
      </c>
      <c r="D5931" t="s">
        <v>56</v>
      </c>
      <c r="E5931" t="s">
        <v>36</v>
      </c>
      <c r="F5931" t="s">
        <v>53</v>
      </c>
      <c r="G5931">
        <v>5</v>
      </c>
      <c r="H5931">
        <v>21054.2</v>
      </c>
      <c r="I5931">
        <v>5062.5600000000004</v>
      </c>
      <c r="J5931" t="s">
        <v>28</v>
      </c>
      <c r="K5931" t="s">
        <v>17</v>
      </c>
      <c r="L5931">
        <f t="shared" si="276"/>
        <v>2023</v>
      </c>
      <c r="M5931" t="str">
        <f t="shared" si="277"/>
        <v>Nov</v>
      </c>
      <c r="N5931" s="2">
        <f t="shared" si="278"/>
        <v>0.24045368620037808</v>
      </c>
    </row>
    <row r="5932" spans="1:14" x14ac:dyDescent="0.45">
      <c r="A5932" t="s">
        <v>10365</v>
      </c>
      <c r="B5932" s="1">
        <v>44814</v>
      </c>
      <c r="C5932" t="s">
        <v>10366</v>
      </c>
      <c r="D5932" t="s">
        <v>56</v>
      </c>
      <c r="E5932" t="s">
        <v>36</v>
      </c>
      <c r="F5932" t="s">
        <v>53</v>
      </c>
      <c r="G5932">
        <v>4</v>
      </c>
      <c r="H5932">
        <v>32612.69</v>
      </c>
      <c r="I5932">
        <v>6441.69</v>
      </c>
      <c r="J5932" t="s">
        <v>71</v>
      </c>
      <c r="K5932" t="s">
        <v>23</v>
      </c>
      <c r="L5932">
        <f t="shared" si="276"/>
        <v>2022</v>
      </c>
      <c r="M5932" t="str">
        <f t="shared" si="277"/>
        <v>Sep</v>
      </c>
      <c r="N5932" s="2">
        <f t="shared" si="278"/>
        <v>0.19752096499859409</v>
      </c>
    </row>
    <row r="5933" spans="1:14" x14ac:dyDescent="0.45">
      <c r="A5933" t="s">
        <v>10367</v>
      </c>
      <c r="B5933" s="1">
        <v>45092</v>
      </c>
      <c r="C5933" t="s">
        <v>10368</v>
      </c>
      <c r="D5933" t="s">
        <v>56</v>
      </c>
      <c r="E5933" t="s">
        <v>36</v>
      </c>
      <c r="F5933" t="s">
        <v>64</v>
      </c>
      <c r="G5933">
        <v>1</v>
      </c>
      <c r="H5933">
        <v>2093.7199999999998</v>
      </c>
      <c r="I5933">
        <v>127.36</v>
      </c>
      <c r="J5933" t="s">
        <v>47</v>
      </c>
      <c r="K5933" t="s">
        <v>29</v>
      </c>
      <c r="L5933">
        <f t="shared" si="276"/>
        <v>2023</v>
      </c>
      <c r="M5933" t="str">
        <f t="shared" si="277"/>
        <v>Jun</v>
      </c>
      <c r="N5933" s="2">
        <f t="shared" si="278"/>
        <v>6.082952830368913E-2</v>
      </c>
    </row>
    <row r="5934" spans="1:14" x14ac:dyDescent="0.45">
      <c r="A5934" t="s">
        <v>10369</v>
      </c>
      <c r="B5934" s="1">
        <v>45144</v>
      </c>
      <c r="C5934" t="s">
        <v>7230</v>
      </c>
      <c r="D5934" t="s">
        <v>56</v>
      </c>
      <c r="E5934" t="s">
        <v>36</v>
      </c>
      <c r="F5934" t="s">
        <v>37</v>
      </c>
      <c r="G5934">
        <v>4</v>
      </c>
      <c r="H5934">
        <v>3252.1</v>
      </c>
      <c r="I5934">
        <v>595.19000000000005</v>
      </c>
      <c r="J5934" t="s">
        <v>47</v>
      </c>
      <c r="K5934" t="s">
        <v>17</v>
      </c>
      <c r="L5934">
        <f t="shared" si="276"/>
        <v>2023</v>
      </c>
      <c r="M5934" t="str">
        <f t="shared" si="277"/>
        <v>Aug</v>
      </c>
      <c r="N5934" s="2">
        <f t="shared" si="278"/>
        <v>0.18301712739460657</v>
      </c>
    </row>
    <row r="5935" spans="1:14" x14ac:dyDescent="0.45">
      <c r="A5935" t="s">
        <v>10370</v>
      </c>
      <c r="B5935" s="1">
        <v>44863</v>
      </c>
      <c r="C5935" t="s">
        <v>9850</v>
      </c>
      <c r="D5935" t="s">
        <v>56</v>
      </c>
      <c r="E5935" t="s">
        <v>20</v>
      </c>
      <c r="F5935" t="s">
        <v>27</v>
      </c>
      <c r="G5935">
        <v>2</v>
      </c>
      <c r="H5935">
        <v>26958.46</v>
      </c>
      <c r="I5935">
        <v>1501.25</v>
      </c>
      <c r="J5935" t="s">
        <v>71</v>
      </c>
      <c r="K5935" t="s">
        <v>17</v>
      </c>
      <c r="L5935">
        <f t="shared" si="276"/>
        <v>2022</v>
      </c>
      <c r="M5935" t="str">
        <f t="shared" si="277"/>
        <v>Oct</v>
      </c>
      <c r="N5935" s="2">
        <f t="shared" si="278"/>
        <v>5.5687528145153695E-2</v>
      </c>
    </row>
    <row r="5936" spans="1:14" x14ac:dyDescent="0.45">
      <c r="A5936" t="s">
        <v>10371</v>
      </c>
      <c r="B5936" s="1">
        <v>45372</v>
      </c>
      <c r="C5936" t="s">
        <v>7469</v>
      </c>
      <c r="D5936" t="s">
        <v>56</v>
      </c>
      <c r="E5936" t="s">
        <v>36</v>
      </c>
      <c r="F5936" t="s">
        <v>46</v>
      </c>
      <c r="G5936">
        <v>3</v>
      </c>
      <c r="H5936">
        <v>39760.910000000003</v>
      </c>
      <c r="I5936">
        <v>6815.86</v>
      </c>
      <c r="J5936" t="s">
        <v>22</v>
      </c>
      <c r="K5936" t="s">
        <v>23</v>
      </c>
      <c r="L5936">
        <f t="shared" si="276"/>
        <v>2024</v>
      </c>
      <c r="M5936" t="str">
        <f t="shared" si="277"/>
        <v>Mar</v>
      </c>
      <c r="N5936" s="2">
        <f t="shared" si="278"/>
        <v>0.17142112693094799</v>
      </c>
    </row>
    <row r="5937" spans="1:14" x14ac:dyDescent="0.45">
      <c r="A5937" t="s">
        <v>10372</v>
      </c>
      <c r="B5937" s="1">
        <v>45494</v>
      </c>
      <c r="C5937" t="s">
        <v>10373</v>
      </c>
      <c r="D5937" t="s">
        <v>26</v>
      </c>
      <c r="E5937" t="s">
        <v>14</v>
      </c>
      <c r="F5937" t="s">
        <v>15</v>
      </c>
      <c r="G5937">
        <v>5</v>
      </c>
      <c r="H5937">
        <v>1066.22</v>
      </c>
      <c r="I5937">
        <v>62.44</v>
      </c>
      <c r="J5937" t="s">
        <v>71</v>
      </c>
      <c r="K5937" t="s">
        <v>33</v>
      </c>
      <c r="L5937">
        <f t="shared" si="276"/>
        <v>2024</v>
      </c>
      <c r="M5937" t="str">
        <f t="shared" si="277"/>
        <v>Jul</v>
      </c>
      <c r="N5937" s="2">
        <f t="shared" si="278"/>
        <v>5.8562022847067206E-2</v>
      </c>
    </row>
    <row r="5938" spans="1:14" x14ac:dyDescent="0.45">
      <c r="A5938" t="s">
        <v>10374</v>
      </c>
      <c r="B5938" s="1">
        <v>45501</v>
      </c>
      <c r="C5938" t="s">
        <v>6911</v>
      </c>
      <c r="D5938" t="s">
        <v>26</v>
      </c>
      <c r="E5938" t="s">
        <v>14</v>
      </c>
      <c r="F5938" t="s">
        <v>32</v>
      </c>
      <c r="G5938">
        <v>4</v>
      </c>
      <c r="H5938">
        <v>38869.67</v>
      </c>
      <c r="I5938">
        <v>2359.66</v>
      </c>
      <c r="J5938" t="s">
        <v>22</v>
      </c>
      <c r="K5938" t="s">
        <v>23</v>
      </c>
      <c r="L5938">
        <f t="shared" si="276"/>
        <v>2024</v>
      </c>
      <c r="M5938" t="str">
        <f t="shared" si="277"/>
        <v>Jul</v>
      </c>
      <c r="N5938" s="2">
        <f t="shared" si="278"/>
        <v>6.0706972814536374E-2</v>
      </c>
    </row>
    <row r="5939" spans="1:14" x14ac:dyDescent="0.45">
      <c r="A5939" t="s">
        <v>10375</v>
      </c>
      <c r="B5939" s="1">
        <v>44732</v>
      </c>
      <c r="C5939" t="s">
        <v>4675</v>
      </c>
      <c r="D5939" t="s">
        <v>56</v>
      </c>
      <c r="E5939" t="s">
        <v>14</v>
      </c>
      <c r="F5939" t="s">
        <v>40</v>
      </c>
      <c r="G5939">
        <v>3</v>
      </c>
      <c r="H5939">
        <v>29745.03</v>
      </c>
      <c r="I5939">
        <v>4985.6499999999996</v>
      </c>
      <c r="J5939" t="s">
        <v>28</v>
      </c>
      <c r="K5939" t="s">
        <v>17</v>
      </c>
      <c r="L5939">
        <f t="shared" si="276"/>
        <v>2022</v>
      </c>
      <c r="M5939" t="str">
        <f t="shared" si="277"/>
        <v>Jun</v>
      </c>
      <c r="N5939" s="2">
        <f t="shared" si="278"/>
        <v>0.16761287515931234</v>
      </c>
    </row>
    <row r="5940" spans="1:14" x14ac:dyDescent="0.45">
      <c r="A5940" t="s">
        <v>10376</v>
      </c>
      <c r="B5940" s="1">
        <v>44703</v>
      </c>
      <c r="C5940" t="s">
        <v>10377</v>
      </c>
      <c r="D5940" t="s">
        <v>13</v>
      </c>
      <c r="E5940" t="s">
        <v>20</v>
      </c>
      <c r="F5940" t="s">
        <v>21</v>
      </c>
      <c r="G5940">
        <v>4</v>
      </c>
      <c r="H5940">
        <v>12257.74</v>
      </c>
      <c r="I5940">
        <v>3014.06</v>
      </c>
      <c r="J5940" t="s">
        <v>22</v>
      </c>
      <c r="K5940" t="s">
        <v>29</v>
      </c>
      <c r="L5940">
        <f t="shared" si="276"/>
        <v>2022</v>
      </c>
      <c r="M5940" t="str">
        <f t="shared" si="277"/>
        <v>May</v>
      </c>
      <c r="N5940" s="2">
        <f t="shared" si="278"/>
        <v>0.24589035172878523</v>
      </c>
    </row>
    <row r="5941" spans="1:14" x14ac:dyDescent="0.45">
      <c r="A5941" t="s">
        <v>10378</v>
      </c>
      <c r="B5941" s="1">
        <v>44730</v>
      </c>
      <c r="C5941" t="s">
        <v>10379</v>
      </c>
      <c r="D5941" t="s">
        <v>56</v>
      </c>
      <c r="E5941" t="s">
        <v>14</v>
      </c>
      <c r="F5941" t="s">
        <v>32</v>
      </c>
      <c r="G5941">
        <v>4</v>
      </c>
      <c r="H5941">
        <v>9583.5499999999993</v>
      </c>
      <c r="I5941">
        <v>1787.43</v>
      </c>
      <c r="J5941" t="s">
        <v>16</v>
      </c>
      <c r="K5941" t="s">
        <v>23</v>
      </c>
      <c r="L5941">
        <f t="shared" si="276"/>
        <v>2022</v>
      </c>
      <c r="M5941" t="str">
        <f t="shared" si="277"/>
        <v>Jun</v>
      </c>
      <c r="N5941" s="2">
        <f t="shared" si="278"/>
        <v>0.18651021802985326</v>
      </c>
    </row>
    <row r="5942" spans="1:14" x14ac:dyDescent="0.45">
      <c r="A5942" t="s">
        <v>10380</v>
      </c>
      <c r="B5942" s="1">
        <v>44964</v>
      </c>
      <c r="C5942" t="s">
        <v>1736</v>
      </c>
      <c r="D5942" t="s">
        <v>13</v>
      </c>
      <c r="E5942" t="s">
        <v>36</v>
      </c>
      <c r="F5942" t="s">
        <v>37</v>
      </c>
      <c r="G5942">
        <v>1</v>
      </c>
      <c r="H5942">
        <v>23018.32</v>
      </c>
      <c r="I5942">
        <v>4557.13</v>
      </c>
      <c r="J5942" t="s">
        <v>47</v>
      </c>
      <c r="K5942" t="s">
        <v>29</v>
      </c>
      <c r="L5942">
        <f t="shared" si="276"/>
        <v>2023</v>
      </c>
      <c r="M5942" t="str">
        <f t="shared" si="277"/>
        <v>Feb</v>
      </c>
      <c r="N5942" s="2">
        <f t="shared" si="278"/>
        <v>0.19797839286272848</v>
      </c>
    </row>
    <row r="5943" spans="1:14" x14ac:dyDescent="0.45">
      <c r="A5943" t="s">
        <v>10381</v>
      </c>
      <c r="B5943" s="1">
        <v>44567</v>
      </c>
      <c r="C5943" t="s">
        <v>10382</v>
      </c>
      <c r="D5943" t="s">
        <v>56</v>
      </c>
      <c r="E5943" t="s">
        <v>36</v>
      </c>
      <c r="F5943" t="s">
        <v>64</v>
      </c>
      <c r="G5943">
        <v>4</v>
      </c>
      <c r="H5943">
        <v>11607.06</v>
      </c>
      <c r="I5943">
        <v>1994.47</v>
      </c>
      <c r="J5943" t="s">
        <v>47</v>
      </c>
      <c r="K5943" t="s">
        <v>33</v>
      </c>
      <c r="L5943">
        <f t="shared" si="276"/>
        <v>2022</v>
      </c>
      <c r="M5943" t="str">
        <f t="shared" si="277"/>
        <v>Jan</v>
      </c>
      <c r="N5943" s="2">
        <f t="shared" si="278"/>
        <v>0.17183248815806931</v>
      </c>
    </row>
    <row r="5944" spans="1:14" x14ac:dyDescent="0.45">
      <c r="A5944" t="s">
        <v>10383</v>
      </c>
      <c r="B5944" s="1">
        <v>45051</v>
      </c>
      <c r="C5944" t="s">
        <v>1506</v>
      </c>
      <c r="D5944" t="s">
        <v>13</v>
      </c>
      <c r="E5944" t="s">
        <v>36</v>
      </c>
      <c r="F5944" t="s">
        <v>46</v>
      </c>
      <c r="G5944">
        <v>5</v>
      </c>
      <c r="H5944">
        <v>8347.08</v>
      </c>
      <c r="I5944">
        <v>860.81</v>
      </c>
      <c r="J5944" t="s">
        <v>22</v>
      </c>
      <c r="K5944" t="s">
        <v>33</v>
      </c>
      <c r="L5944">
        <f t="shared" si="276"/>
        <v>2023</v>
      </c>
      <c r="M5944" t="str">
        <f t="shared" si="277"/>
        <v>May</v>
      </c>
      <c r="N5944" s="2">
        <f t="shared" si="278"/>
        <v>0.10312708156624831</v>
      </c>
    </row>
    <row r="5945" spans="1:14" x14ac:dyDescent="0.45">
      <c r="A5945" t="s">
        <v>10384</v>
      </c>
      <c r="B5945" s="1">
        <v>45116</v>
      </c>
      <c r="C5945" t="s">
        <v>8163</v>
      </c>
      <c r="D5945" t="s">
        <v>56</v>
      </c>
      <c r="E5945" t="s">
        <v>14</v>
      </c>
      <c r="F5945" t="s">
        <v>57</v>
      </c>
      <c r="G5945">
        <v>5</v>
      </c>
      <c r="H5945">
        <v>8525.83</v>
      </c>
      <c r="I5945">
        <v>1958.93</v>
      </c>
      <c r="J5945" t="s">
        <v>47</v>
      </c>
      <c r="K5945" t="s">
        <v>17</v>
      </c>
      <c r="L5945">
        <f t="shared" si="276"/>
        <v>2023</v>
      </c>
      <c r="M5945" t="str">
        <f t="shared" si="277"/>
        <v>Jul</v>
      </c>
      <c r="N5945" s="2">
        <f t="shared" si="278"/>
        <v>0.22976414026552255</v>
      </c>
    </row>
    <row r="5946" spans="1:14" x14ac:dyDescent="0.45">
      <c r="A5946" t="s">
        <v>10385</v>
      </c>
      <c r="B5946" s="1">
        <v>44742</v>
      </c>
      <c r="C5946" t="s">
        <v>10386</v>
      </c>
      <c r="D5946" t="s">
        <v>56</v>
      </c>
      <c r="E5946" t="s">
        <v>20</v>
      </c>
      <c r="F5946" t="s">
        <v>27</v>
      </c>
      <c r="G5946">
        <v>1</v>
      </c>
      <c r="H5946">
        <v>46068.72</v>
      </c>
      <c r="I5946">
        <v>8811.7099999999991</v>
      </c>
      <c r="J5946" t="s">
        <v>47</v>
      </c>
      <c r="K5946" t="s">
        <v>33</v>
      </c>
      <c r="L5946">
        <f t="shared" si="276"/>
        <v>2022</v>
      </c>
      <c r="M5946" t="str">
        <f t="shared" si="277"/>
        <v>Jun</v>
      </c>
      <c r="N5946" s="2">
        <f t="shared" si="278"/>
        <v>0.19127316756358759</v>
      </c>
    </row>
    <row r="5947" spans="1:14" x14ac:dyDescent="0.45">
      <c r="A5947" t="s">
        <v>10387</v>
      </c>
      <c r="B5947" s="1">
        <v>45446</v>
      </c>
      <c r="C5947" t="s">
        <v>9478</v>
      </c>
      <c r="D5947" t="s">
        <v>13</v>
      </c>
      <c r="E5947" t="s">
        <v>14</v>
      </c>
      <c r="F5947" t="s">
        <v>40</v>
      </c>
      <c r="G5947">
        <v>2</v>
      </c>
      <c r="H5947">
        <v>41550.239999999998</v>
      </c>
      <c r="I5947">
        <v>7604.29</v>
      </c>
      <c r="J5947" t="s">
        <v>28</v>
      </c>
      <c r="K5947" t="s">
        <v>33</v>
      </c>
      <c r="L5947">
        <f t="shared" si="276"/>
        <v>2024</v>
      </c>
      <c r="M5947" t="str">
        <f t="shared" si="277"/>
        <v>Jun</v>
      </c>
      <c r="N5947" s="2">
        <f t="shared" si="278"/>
        <v>0.18301434600618433</v>
      </c>
    </row>
    <row r="5948" spans="1:14" x14ac:dyDescent="0.45">
      <c r="A5948" t="s">
        <v>10388</v>
      </c>
      <c r="B5948" s="1">
        <v>44931</v>
      </c>
      <c r="C5948" t="s">
        <v>10389</v>
      </c>
      <c r="D5948" t="s">
        <v>13</v>
      </c>
      <c r="E5948" t="s">
        <v>36</v>
      </c>
      <c r="F5948" t="s">
        <v>53</v>
      </c>
      <c r="G5948">
        <v>1</v>
      </c>
      <c r="H5948">
        <v>22598.46</v>
      </c>
      <c r="I5948">
        <v>1975.21</v>
      </c>
      <c r="J5948" t="s">
        <v>47</v>
      </c>
      <c r="K5948" t="s">
        <v>29</v>
      </c>
      <c r="L5948">
        <f t="shared" si="276"/>
        <v>2023</v>
      </c>
      <c r="M5948" t="str">
        <f t="shared" si="277"/>
        <v>Jan</v>
      </c>
      <c r="N5948" s="2">
        <f t="shared" si="278"/>
        <v>8.7404628456983352E-2</v>
      </c>
    </row>
    <row r="5949" spans="1:14" x14ac:dyDescent="0.45">
      <c r="A5949" t="s">
        <v>10390</v>
      </c>
      <c r="B5949" s="1">
        <v>45214</v>
      </c>
      <c r="C5949" t="s">
        <v>7579</v>
      </c>
      <c r="D5949" t="s">
        <v>13</v>
      </c>
      <c r="E5949" t="s">
        <v>14</v>
      </c>
      <c r="F5949" t="s">
        <v>15</v>
      </c>
      <c r="G5949">
        <v>5</v>
      </c>
      <c r="H5949">
        <v>20093.46</v>
      </c>
      <c r="I5949">
        <v>3147.65</v>
      </c>
      <c r="J5949" t="s">
        <v>71</v>
      </c>
      <c r="K5949" t="s">
        <v>33</v>
      </c>
      <c r="L5949">
        <f t="shared" si="276"/>
        <v>2023</v>
      </c>
      <c r="M5949" t="str">
        <f t="shared" si="277"/>
        <v>Oct</v>
      </c>
      <c r="N5949" s="2">
        <f t="shared" si="278"/>
        <v>0.15665047234274238</v>
      </c>
    </row>
    <row r="5950" spans="1:14" x14ac:dyDescent="0.45">
      <c r="A5950" t="s">
        <v>10391</v>
      </c>
      <c r="B5950" s="1">
        <v>45116</v>
      </c>
      <c r="C5950" t="s">
        <v>10392</v>
      </c>
      <c r="D5950" t="s">
        <v>13</v>
      </c>
      <c r="E5950" t="s">
        <v>36</v>
      </c>
      <c r="F5950" t="s">
        <v>53</v>
      </c>
      <c r="G5950">
        <v>1</v>
      </c>
      <c r="H5950">
        <v>8238.1</v>
      </c>
      <c r="I5950">
        <v>1209.5</v>
      </c>
      <c r="J5950" t="s">
        <v>47</v>
      </c>
      <c r="K5950" t="s">
        <v>23</v>
      </c>
      <c r="L5950">
        <f t="shared" si="276"/>
        <v>2023</v>
      </c>
      <c r="M5950" t="str">
        <f t="shared" si="277"/>
        <v>Jul</v>
      </c>
      <c r="N5950" s="2">
        <f t="shared" si="278"/>
        <v>0.14681783420934438</v>
      </c>
    </row>
    <row r="5951" spans="1:14" x14ac:dyDescent="0.45">
      <c r="A5951" t="s">
        <v>10393</v>
      </c>
      <c r="B5951" s="1">
        <v>44630</v>
      </c>
      <c r="C5951" t="s">
        <v>5198</v>
      </c>
      <c r="D5951" t="s">
        <v>13</v>
      </c>
      <c r="E5951" t="s">
        <v>14</v>
      </c>
      <c r="F5951" t="s">
        <v>40</v>
      </c>
      <c r="G5951">
        <v>3</v>
      </c>
      <c r="H5951">
        <v>33783.14</v>
      </c>
      <c r="I5951">
        <v>4807.7700000000004</v>
      </c>
      <c r="J5951" t="s">
        <v>47</v>
      </c>
      <c r="K5951" t="s">
        <v>17</v>
      </c>
      <c r="L5951">
        <f t="shared" si="276"/>
        <v>2022</v>
      </c>
      <c r="M5951" t="str">
        <f t="shared" si="277"/>
        <v>Mar</v>
      </c>
      <c r="N5951" s="2">
        <f t="shared" si="278"/>
        <v>0.14231270391088574</v>
      </c>
    </row>
    <row r="5952" spans="1:14" x14ac:dyDescent="0.45">
      <c r="A5952" t="s">
        <v>10394</v>
      </c>
      <c r="B5952" s="1">
        <v>44615</v>
      </c>
      <c r="C5952" t="s">
        <v>10395</v>
      </c>
      <c r="D5952" t="s">
        <v>13</v>
      </c>
      <c r="E5952" t="s">
        <v>36</v>
      </c>
      <c r="F5952" t="s">
        <v>46</v>
      </c>
      <c r="G5952">
        <v>3</v>
      </c>
      <c r="H5952">
        <v>7176.47</v>
      </c>
      <c r="I5952">
        <v>729.26</v>
      </c>
      <c r="J5952" t="s">
        <v>28</v>
      </c>
      <c r="K5952" t="s">
        <v>33</v>
      </c>
      <c r="L5952">
        <f t="shared" si="276"/>
        <v>2022</v>
      </c>
      <c r="M5952" t="str">
        <f t="shared" si="277"/>
        <v>Feb</v>
      </c>
      <c r="N5952" s="2">
        <f t="shared" si="278"/>
        <v>0.10161820505067254</v>
      </c>
    </row>
    <row r="5953" spans="1:14" x14ac:dyDescent="0.45">
      <c r="A5953" t="s">
        <v>10396</v>
      </c>
      <c r="B5953" s="1">
        <v>45272</v>
      </c>
      <c r="C5953" t="s">
        <v>923</v>
      </c>
      <c r="D5953" t="s">
        <v>13</v>
      </c>
      <c r="E5953" t="s">
        <v>14</v>
      </c>
      <c r="F5953" t="s">
        <v>40</v>
      </c>
      <c r="G5953">
        <v>4</v>
      </c>
      <c r="H5953">
        <v>27205.84</v>
      </c>
      <c r="I5953">
        <v>3636.13</v>
      </c>
      <c r="J5953" t="s">
        <v>22</v>
      </c>
      <c r="K5953" t="s">
        <v>23</v>
      </c>
      <c r="L5953">
        <f t="shared" si="276"/>
        <v>2023</v>
      </c>
      <c r="M5953" t="str">
        <f t="shared" si="277"/>
        <v>Dec</v>
      </c>
      <c r="N5953" s="2">
        <f t="shared" si="278"/>
        <v>0.13365255401046247</v>
      </c>
    </row>
    <row r="5954" spans="1:14" x14ac:dyDescent="0.45">
      <c r="A5954" t="s">
        <v>10397</v>
      </c>
      <c r="B5954" s="1">
        <v>44733</v>
      </c>
      <c r="C5954" t="s">
        <v>2303</v>
      </c>
      <c r="D5954" t="s">
        <v>26</v>
      </c>
      <c r="E5954" t="s">
        <v>14</v>
      </c>
      <c r="F5954" t="s">
        <v>32</v>
      </c>
      <c r="G5954">
        <v>1</v>
      </c>
      <c r="H5954">
        <v>22052.31</v>
      </c>
      <c r="I5954">
        <v>2238.08</v>
      </c>
      <c r="J5954" t="s">
        <v>71</v>
      </c>
      <c r="K5954" t="s">
        <v>29</v>
      </c>
      <c r="L5954">
        <f t="shared" si="276"/>
        <v>2022</v>
      </c>
      <c r="M5954" t="str">
        <f t="shared" si="277"/>
        <v>Jun</v>
      </c>
      <c r="N5954" s="2">
        <f t="shared" si="278"/>
        <v>0.10148959451413479</v>
      </c>
    </row>
    <row r="5955" spans="1:14" x14ac:dyDescent="0.45">
      <c r="A5955" t="s">
        <v>10398</v>
      </c>
      <c r="B5955" s="1">
        <v>44658</v>
      </c>
      <c r="C5955" t="s">
        <v>10399</v>
      </c>
      <c r="D5955" t="s">
        <v>13</v>
      </c>
      <c r="E5955" t="s">
        <v>36</v>
      </c>
      <c r="F5955" t="s">
        <v>53</v>
      </c>
      <c r="G5955">
        <v>5</v>
      </c>
      <c r="H5955">
        <v>17848.75</v>
      </c>
      <c r="I5955">
        <v>1542.41</v>
      </c>
      <c r="J5955" t="s">
        <v>22</v>
      </c>
      <c r="K5955" t="s">
        <v>23</v>
      </c>
      <c r="L5955">
        <f t="shared" ref="L5955:L6018" si="279">YEAR(B5955 )</f>
        <v>2022</v>
      </c>
      <c r="M5955" t="str">
        <f t="shared" ref="M5955:M6018" si="280">TEXT(B5955,"MMM")</f>
        <v>Apr</v>
      </c>
      <c r="N5955" s="2">
        <f t="shared" ref="N5955:N6018" si="281">I5955 / H5955</f>
        <v>8.6415575320400589E-2</v>
      </c>
    </row>
    <row r="5956" spans="1:14" x14ac:dyDescent="0.45">
      <c r="A5956" t="s">
        <v>10400</v>
      </c>
      <c r="B5956" s="1">
        <v>45510</v>
      </c>
      <c r="C5956" t="s">
        <v>6412</v>
      </c>
      <c r="D5956" t="s">
        <v>26</v>
      </c>
      <c r="E5956" t="s">
        <v>36</v>
      </c>
      <c r="F5956" t="s">
        <v>46</v>
      </c>
      <c r="G5956">
        <v>4</v>
      </c>
      <c r="H5956">
        <v>14657.6</v>
      </c>
      <c r="I5956">
        <v>2167</v>
      </c>
      <c r="J5956" t="s">
        <v>71</v>
      </c>
      <c r="K5956" t="s">
        <v>33</v>
      </c>
      <c r="L5956">
        <f t="shared" si="279"/>
        <v>2024</v>
      </c>
      <c r="M5956" t="str">
        <f t="shared" si="280"/>
        <v>Aug</v>
      </c>
      <c r="N5956" s="2">
        <f t="shared" si="281"/>
        <v>0.14784139286104137</v>
      </c>
    </row>
    <row r="5957" spans="1:14" x14ac:dyDescent="0.45">
      <c r="A5957" t="s">
        <v>10401</v>
      </c>
      <c r="B5957" s="1">
        <v>45563</v>
      </c>
      <c r="C5957" t="s">
        <v>10402</v>
      </c>
      <c r="D5957" t="s">
        <v>13</v>
      </c>
      <c r="E5957" t="s">
        <v>14</v>
      </c>
      <c r="F5957" t="s">
        <v>15</v>
      </c>
      <c r="G5957">
        <v>1</v>
      </c>
      <c r="H5957">
        <v>3299.8</v>
      </c>
      <c r="I5957">
        <v>290.12</v>
      </c>
      <c r="J5957" t="s">
        <v>28</v>
      </c>
      <c r="K5957" t="s">
        <v>29</v>
      </c>
      <c r="L5957">
        <f t="shared" si="279"/>
        <v>2024</v>
      </c>
      <c r="M5957" t="str">
        <f t="shared" si="280"/>
        <v>Sep</v>
      </c>
      <c r="N5957" s="2">
        <f t="shared" si="281"/>
        <v>8.7920480029092668E-2</v>
      </c>
    </row>
    <row r="5958" spans="1:14" x14ac:dyDescent="0.45">
      <c r="A5958" t="s">
        <v>10403</v>
      </c>
      <c r="B5958" s="1">
        <v>45485</v>
      </c>
      <c r="C5958" t="s">
        <v>4521</v>
      </c>
      <c r="D5958" t="s">
        <v>13</v>
      </c>
      <c r="E5958" t="s">
        <v>36</v>
      </c>
      <c r="F5958" t="s">
        <v>64</v>
      </c>
      <c r="G5958">
        <v>2</v>
      </c>
      <c r="H5958">
        <v>5315.04</v>
      </c>
      <c r="I5958">
        <v>618.98</v>
      </c>
      <c r="J5958" t="s">
        <v>71</v>
      </c>
      <c r="K5958" t="s">
        <v>29</v>
      </c>
      <c r="L5958">
        <f t="shared" si="279"/>
        <v>2024</v>
      </c>
      <c r="M5958" t="str">
        <f t="shared" si="280"/>
        <v>Jul</v>
      </c>
      <c r="N5958" s="2">
        <f t="shared" si="281"/>
        <v>0.11645820163159638</v>
      </c>
    </row>
    <row r="5959" spans="1:14" x14ac:dyDescent="0.45">
      <c r="A5959" t="s">
        <v>10404</v>
      </c>
      <c r="B5959" s="1">
        <v>45166</v>
      </c>
      <c r="C5959" t="s">
        <v>399</v>
      </c>
      <c r="D5959" t="s">
        <v>26</v>
      </c>
      <c r="E5959" t="s">
        <v>36</v>
      </c>
      <c r="F5959" t="s">
        <v>53</v>
      </c>
      <c r="G5959">
        <v>1</v>
      </c>
      <c r="H5959">
        <v>12599.17</v>
      </c>
      <c r="I5959">
        <v>1091.3599999999999</v>
      </c>
      <c r="J5959" t="s">
        <v>16</v>
      </c>
      <c r="K5959" t="s">
        <v>17</v>
      </c>
      <c r="L5959">
        <f t="shared" si="279"/>
        <v>2023</v>
      </c>
      <c r="M5959" t="str">
        <f t="shared" si="280"/>
        <v>Aug</v>
      </c>
      <c r="N5959" s="2">
        <f t="shared" si="281"/>
        <v>8.6621579040524088E-2</v>
      </c>
    </row>
    <row r="5960" spans="1:14" x14ac:dyDescent="0.45">
      <c r="A5960" t="s">
        <v>10405</v>
      </c>
      <c r="B5960" s="1">
        <v>44687</v>
      </c>
      <c r="C5960" t="s">
        <v>494</v>
      </c>
      <c r="D5960" t="s">
        <v>26</v>
      </c>
      <c r="E5960" t="s">
        <v>14</v>
      </c>
      <c r="F5960" t="s">
        <v>15</v>
      </c>
      <c r="G5960">
        <v>1</v>
      </c>
      <c r="H5960">
        <v>11400.89</v>
      </c>
      <c r="I5960">
        <v>2835.89</v>
      </c>
      <c r="J5960" t="s">
        <v>28</v>
      </c>
      <c r="K5960" t="s">
        <v>17</v>
      </c>
      <c r="L5960">
        <f t="shared" si="279"/>
        <v>2022</v>
      </c>
      <c r="M5960" t="str">
        <f t="shared" si="280"/>
        <v>May</v>
      </c>
      <c r="N5960" s="2">
        <f t="shared" si="281"/>
        <v>0.24874286130293338</v>
      </c>
    </row>
    <row r="5961" spans="1:14" x14ac:dyDescent="0.45">
      <c r="A5961" t="s">
        <v>10406</v>
      </c>
      <c r="B5961" s="1">
        <v>45236</v>
      </c>
      <c r="C5961" t="s">
        <v>10407</v>
      </c>
      <c r="D5961" t="s">
        <v>56</v>
      </c>
      <c r="E5961" t="s">
        <v>36</v>
      </c>
      <c r="F5961" t="s">
        <v>64</v>
      </c>
      <c r="G5961">
        <v>5</v>
      </c>
      <c r="H5961">
        <v>24177</v>
      </c>
      <c r="I5961">
        <v>2611.0500000000002</v>
      </c>
      <c r="J5961" t="s">
        <v>28</v>
      </c>
      <c r="K5961" t="s">
        <v>29</v>
      </c>
      <c r="L5961">
        <f t="shared" si="279"/>
        <v>2023</v>
      </c>
      <c r="M5961" t="str">
        <f t="shared" si="280"/>
        <v>Nov</v>
      </c>
      <c r="N5961" s="2">
        <f t="shared" si="281"/>
        <v>0.10799727013277083</v>
      </c>
    </row>
    <row r="5962" spans="1:14" x14ac:dyDescent="0.45">
      <c r="A5962" t="s">
        <v>10408</v>
      </c>
      <c r="B5962" s="1">
        <v>45316</v>
      </c>
      <c r="C5962" t="s">
        <v>6781</v>
      </c>
      <c r="D5962" t="s">
        <v>13</v>
      </c>
      <c r="E5962" t="s">
        <v>20</v>
      </c>
      <c r="F5962" t="s">
        <v>27</v>
      </c>
      <c r="G5962">
        <v>2</v>
      </c>
      <c r="H5962">
        <v>24901.61</v>
      </c>
      <c r="I5962">
        <v>5056.6400000000003</v>
      </c>
      <c r="J5962" t="s">
        <v>28</v>
      </c>
      <c r="K5962" t="s">
        <v>17</v>
      </c>
      <c r="L5962">
        <f t="shared" si="279"/>
        <v>2024</v>
      </c>
      <c r="M5962" t="str">
        <f t="shared" si="280"/>
        <v>Jan</v>
      </c>
      <c r="N5962" s="2">
        <f t="shared" si="281"/>
        <v>0.20306478175507528</v>
      </c>
    </row>
    <row r="5963" spans="1:14" x14ac:dyDescent="0.45">
      <c r="A5963" t="s">
        <v>10409</v>
      </c>
      <c r="B5963" s="1">
        <v>45528</v>
      </c>
      <c r="C5963" t="s">
        <v>6069</v>
      </c>
      <c r="D5963" t="s">
        <v>13</v>
      </c>
      <c r="E5963" t="s">
        <v>36</v>
      </c>
      <c r="F5963" t="s">
        <v>46</v>
      </c>
      <c r="G5963">
        <v>2</v>
      </c>
      <c r="H5963">
        <v>6515.77</v>
      </c>
      <c r="I5963">
        <v>975.55</v>
      </c>
      <c r="J5963" t="s">
        <v>22</v>
      </c>
      <c r="K5963" t="s">
        <v>23</v>
      </c>
      <c r="L5963">
        <f t="shared" si="279"/>
        <v>2024</v>
      </c>
      <c r="M5963" t="str">
        <f t="shared" si="280"/>
        <v>Aug</v>
      </c>
      <c r="N5963" s="2">
        <f t="shared" si="281"/>
        <v>0.14972136831103613</v>
      </c>
    </row>
    <row r="5964" spans="1:14" x14ac:dyDescent="0.45">
      <c r="A5964" t="s">
        <v>10410</v>
      </c>
      <c r="B5964" s="1">
        <v>45415</v>
      </c>
      <c r="C5964" t="s">
        <v>10411</v>
      </c>
      <c r="D5964" t="s">
        <v>13</v>
      </c>
      <c r="E5964" t="s">
        <v>36</v>
      </c>
      <c r="F5964" t="s">
        <v>64</v>
      </c>
      <c r="G5964">
        <v>1</v>
      </c>
      <c r="H5964">
        <v>13560.48</v>
      </c>
      <c r="I5964">
        <v>1827.36</v>
      </c>
      <c r="J5964" t="s">
        <v>22</v>
      </c>
      <c r="K5964" t="s">
        <v>29</v>
      </c>
      <c r="L5964">
        <f t="shared" si="279"/>
        <v>2024</v>
      </c>
      <c r="M5964" t="str">
        <f t="shared" si="280"/>
        <v>May</v>
      </c>
      <c r="N5964" s="2">
        <f t="shared" si="281"/>
        <v>0.1347562918126792</v>
      </c>
    </row>
    <row r="5965" spans="1:14" x14ac:dyDescent="0.45">
      <c r="A5965" t="s">
        <v>10412</v>
      </c>
      <c r="B5965" s="1">
        <v>44628</v>
      </c>
      <c r="C5965" t="s">
        <v>10413</v>
      </c>
      <c r="D5965" t="s">
        <v>56</v>
      </c>
      <c r="E5965" t="s">
        <v>20</v>
      </c>
      <c r="F5965" t="s">
        <v>27</v>
      </c>
      <c r="G5965">
        <v>4</v>
      </c>
      <c r="H5965">
        <v>32890.92</v>
      </c>
      <c r="I5965">
        <v>3349.44</v>
      </c>
      <c r="J5965" t="s">
        <v>28</v>
      </c>
      <c r="K5965" t="s">
        <v>33</v>
      </c>
      <c r="L5965">
        <f t="shared" si="279"/>
        <v>2022</v>
      </c>
      <c r="M5965" t="str">
        <f t="shared" si="280"/>
        <v>Mar</v>
      </c>
      <c r="N5965" s="2">
        <f t="shared" si="281"/>
        <v>0.10183479209459632</v>
      </c>
    </row>
    <row r="5966" spans="1:14" x14ac:dyDescent="0.45">
      <c r="A5966" t="s">
        <v>10414</v>
      </c>
      <c r="B5966" s="1">
        <v>45237</v>
      </c>
      <c r="C5966" t="s">
        <v>10415</v>
      </c>
      <c r="D5966" t="s">
        <v>56</v>
      </c>
      <c r="E5966" t="s">
        <v>14</v>
      </c>
      <c r="F5966" t="s">
        <v>15</v>
      </c>
      <c r="G5966">
        <v>1</v>
      </c>
      <c r="H5966">
        <v>36570.699999999997</v>
      </c>
      <c r="I5966">
        <v>8124.34</v>
      </c>
      <c r="J5966" t="s">
        <v>28</v>
      </c>
      <c r="K5966" t="s">
        <v>33</v>
      </c>
      <c r="L5966">
        <f t="shared" si="279"/>
        <v>2023</v>
      </c>
      <c r="M5966" t="str">
        <f t="shared" si="280"/>
        <v>Nov</v>
      </c>
      <c r="N5966" s="2">
        <f t="shared" si="281"/>
        <v>0.22215434760614375</v>
      </c>
    </row>
    <row r="5967" spans="1:14" x14ac:dyDescent="0.45">
      <c r="A5967" t="s">
        <v>10416</v>
      </c>
      <c r="B5967" s="1">
        <v>45007</v>
      </c>
      <c r="C5967" t="s">
        <v>10417</v>
      </c>
      <c r="D5967" t="s">
        <v>26</v>
      </c>
      <c r="E5967" t="s">
        <v>20</v>
      </c>
      <c r="F5967" t="s">
        <v>43</v>
      </c>
      <c r="G5967">
        <v>3</v>
      </c>
      <c r="H5967">
        <v>35436.69</v>
      </c>
      <c r="I5967">
        <v>7158.58</v>
      </c>
      <c r="J5967" t="s">
        <v>22</v>
      </c>
      <c r="K5967" t="s">
        <v>17</v>
      </c>
      <c r="L5967">
        <f t="shared" si="279"/>
        <v>2023</v>
      </c>
      <c r="M5967" t="str">
        <f t="shared" si="280"/>
        <v>Mar</v>
      </c>
      <c r="N5967" s="2">
        <f t="shared" si="281"/>
        <v>0.20201040221307351</v>
      </c>
    </row>
    <row r="5968" spans="1:14" x14ac:dyDescent="0.45">
      <c r="A5968" t="s">
        <v>10418</v>
      </c>
      <c r="B5968" s="1">
        <v>44838</v>
      </c>
      <c r="C5968" t="s">
        <v>10419</v>
      </c>
      <c r="D5968" t="s">
        <v>13</v>
      </c>
      <c r="E5968" t="s">
        <v>36</v>
      </c>
      <c r="F5968" t="s">
        <v>64</v>
      </c>
      <c r="G5968">
        <v>5</v>
      </c>
      <c r="H5968">
        <v>24305.21</v>
      </c>
      <c r="I5968">
        <v>5231.1499999999996</v>
      </c>
      <c r="J5968" t="s">
        <v>16</v>
      </c>
      <c r="K5968" t="s">
        <v>29</v>
      </c>
      <c r="L5968">
        <f t="shared" si="279"/>
        <v>2022</v>
      </c>
      <c r="M5968" t="str">
        <f t="shared" si="280"/>
        <v>Oct</v>
      </c>
      <c r="N5968" s="2">
        <f t="shared" si="281"/>
        <v>0.21522751706321402</v>
      </c>
    </row>
    <row r="5969" spans="1:14" x14ac:dyDescent="0.45">
      <c r="A5969" t="s">
        <v>10420</v>
      </c>
      <c r="B5969" s="1">
        <v>45310</v>
      </c>
      <c r="C5969" t="s">
        <v>265</v>
      </c>
      <c r="D5969" t="s">
        <v>56</v>
      </c>
      <c r="E5969" t="s">
        <v>14</v>
      </c>
      <c r="F5969" t="s">
        <v>57</v>
      </c>
      <c r="G5969">
        <v>3</v>
      </c>
      <c r="H5969">
        <v>14368.59</v>
      </c>
      <c r="I5969">
        <v>1796.55</v>
      </c>
      <c r="J5969" t="s">
        <v>28</v>
      </c>
      <c r="K5969" t="s">
        <v>17</v>
      </c>
      <c r="L5969">
        <f t="shared" si="279"/>
        <v>2024</v>
      </c>
      <c r="M5969" t="str">
        <f t="shared" si="280"/>
        <v>Jan</v>
      </c>
      <c r="N5969" s="2">
        <f t="shared" si="281"/>
        <v>0.12503314521466616</v>
      </c>
    </row>
    <row r="5970" spans="1:14" x14ac:dyDescent="0.45">
      <c r="A5970" t="s">
        <v>10421</v>
      </c>
      <c r="B5970" s="1">
        <v>44775</v>
      </c>
      <c r="C5970" t="s">
        <v>10422</v>
      </c>
      <c r="D5970" t="s">
        <v>26</v>
      </c>
      <c r="E5970" t="s">
        <v>20</v>
      </c>
      <c r="F5970" t="s">
        <v>43</v>
      </c>
      <c r="G5970">
        <v>3</v>
      </c>
      <c r="H5970">
        <v>27660.76</v>
      </c>
      <c r="I5970">
        <v>3505.17</v>
      </c>
      <c r="J5970" t="s">
        <v>28</v>
      </c>
      <c r="K5970" t="s">
        <v>23</v>
      </c>
      <c r="L5970">
        <f t="shared" si="279"/>
        <v>2022</v>
      </c>
      <c r="M5970" t="str">
        <f t="shared" si="280"/>
        <v>Aug</v>
      </c>
      <c r="N5970" s="2">
        <f t="shared" si="281"/>
        <v>0.12671994551125856</v>
      </c>
    </row>
    <row r="5971" spans="1:14" x14ac:dyDescent="0.45">
      <c r="A5971" t="s">
        <v>10423</v>
      </c>
      <c r="B5971" s="1">
        <v>45409</v>
      </c>
      <c r="C5971" t="s">
        <v>1075</v>
      </c>
      <c r="D5971" t="s">
        <v>13</v>
      </c>
      <c r="E5971" t="s">
        <v>20</v>
      </c>
      <c r="F5971" t="s">
        <v>21</v>
      </c>
      <c r="G5971">
        <v>5</v>
      </c>
      <c r="H5971">
        <v>12498.51</v>
      </c>
      <c r="I5971">
        <v>2259.92</v>
      </c>
      <c r="J5971" t="s">
        <v>71</v>
      </c>
      <c r="K5971" t="s">
        <v>23</v>
      </c>
      <c r="L5971">
        <f t="shared" si="279"/>
        <v>2024</v>
      </c>
      <c r="M5971" t="str">
        <f t="shared" si="280"/>
        <v>Apr</v>
      </c>
      <c r="N5971" s="2">
        <f t="shared" si="281"/>
        <v>0.18081515316625743</v>
      </c>
    </row>
    <row r="5972" spans="1:14" x14ac:dyDescent="0.45">
      <c r="A5972" t="s">
        <v>10424</v>
      </c>
      <c r="B5972" s="1">
        <v>45602</v>
      </c>
      <c r="C5972" t="s">
        <v>8505</v>
      </c>
      <c r="D5972" t="s">
        <v>56</v>
      </c>
      <c r="E5972" t="s">
        <v>36</v>
      </c>
      <c r="F5972" t="s">
        <v>37</v>
      </c>
      <c r="G5972">
        <v>5</v>
      </c>
      <c r="H5972">
        <v>46251.27</v>
      </c>
      <c r="I5972">
        <v>7969.74</v>
      </c>
      <c r="J5972" t="s">
        <v>28</v>
      </c>
      <c r="K5972" t="s">
        <v>29</v>
      </c>
      <c r="L5972">
        <f t="shared" si="279"/>
        <v>2024</v>
      </c>
      <c r="M5972" t="str">
        <f t="shared" si="280"/>
        <v>Nov</v>
      </c>
      <c r="N5972" s="2">
        <f t="shared" si="281"/>
        <v>0.17231397105420024</v>
      </c>
    </row>
    <row r="5973" spans="1:14" x14ac:dyDescent="0.45">
      <c r="A5973" t="s">
        <v>10425</v>
      </c>
      <c r="B5973" s="1">
        <v>45347</v>
      </c>
      <c r="C5973" t="s">
        <v>4376</v>
      </c>
      <c r="D5973" t="s">
        <v>26</v>
      </c>
      <c r="E5973" t="s">
        <v>36</v>
      </c>
      <c r="F5973" t="s">
        <v>37</v>
      </c>
      <c r="G5973">
        <v>4</v>
      </c>
      <c r="H5973">
        <v>20701.169999999998</v>
      </c>
      <c r="I5973">
        <v>1229.3699999999999</v>
      </c>
      <c r="J5973" t="s">
        <v>28</v>
      </c>
      <c r="K5973" t="s">
        <v>23</v>
      </c>
      <c r="L5973">
        <f t="shared" si="279"/>
        <v>2024</v>
      </c>
      <c r="M5973" t="str">
        <f t="shared" si="280"/>
        <v>Feb</v>
      </c>
      <c r="N5973" s="2">
        <f t="shared" si="281"/>
        <v>5.9386498444290829E-2</v>
      </c>
    </row>
    <row r="5974" spans="1:14" x14ac:dyDescent="0.45">
      <c r="A5974" t="s">
        <v>10426</v>
      </c>
      <c r="B5974" s="1">
        <v>44744</v>
      </c>
      <c r="C5974" t="s">
        <v>8127</v>
      </c>
      <c r="D5974" t="s">
        <v>13</v>
      </c>
      <c r="E5974" t="s">
        <v>36</v>
      </c>
      <c r="F5974" t="s">
        <v>46</v>
      </c>
      <c r="G5974">
        <v>1</v>
      </c>
      <c r="H5974">
        <v>40234.26</v>
      </c>
      <c r="I5974">
        <v>8222.2800000000007</v>
      </c>
      <c r="J5974" t="s">
        <v>16</v>
      </c>
      <c r="K5974" t="s">
        <v>33</v>
      </c>
      <c r="L5974">
        <f t="shared" si="279"/>
        <v>2022</v>
      </c>
      <c r="M5974" t="str">
        <f t="shared" si="280"/>
        <v>Jul</v>
      </c>
      <c r="N5974" s="2">
        <f t="shared" si="281"/>
        <v>0.20436016469546103</v>
      </c>
    </row>
    <row r="5975" spans="1:14" x14ac:dyDescent="0.45">
      <c r="A5975" t="s">
        <v>10427</v>
      </c>
      <c r="B5975" s="1">
        <v>44755</v>
      </c>
      <c r="C5975" t="s">
        <v>39</v>
      </c>
      <c r="D5975" t="s">
        <v>56</v>
      </c>
      <c r="E5975" t="s">
        <v>36</v>
      </c>
      <c r="F5975" t="s">
        <v>46</v>
      </c>
      <c r="G5975">
        <v>4</v>
      </c>
      <c r="H5975">
        <v>1005.21</v>
      </c>
      <c r="I5975">
        <v>195.3</v>
      </c>
      <c r="J5975" t="s">
        <v>22</v>
      </c>
      <c r="K5975" t="s">
        <v>33</v>
      </c>
      <c r="L5975">
        <f t="shared" si="279"/>
        <v>2022</v>
      </c>
      <c r="M5975" t="str">
        <f t="shared" si="280"/>
        <v>Jul</v>
      </c>
      <c r="N5975" s="2">
        <f t="shared" si="281"/>
        <v>0.19428776076640702</v>
      </c>
    </row>
    <row r="5976" spans="1:14" x14ac:dyDescent="0.45">
      <c r="A5976" t="s">
        <v>10428</v>
      </c>
      <c r="B5976" s="1">
        <v>45592</v>
      </c>
      <c r="C5976" t="s">
        <v>9935</v>
      </c>
      <c r="D5976" t="s">
        <v>26</v>
      </c>
      <c r="E5976" t="s">
        <v>20</v>
      </c>
      <c r="F5976" t="s">
        <v>43</v>
      </c>
      <c r="G5976">
        <v>2</v>
      </c>
      <c r="H5976">
        <v>23834.29</v>
      </c>
      <c r="I5976">
        <v>1438.17</v>
      </c>
      <c r="J5976" t="s">
        <v>71</v>
      </c>
      <c r="K5976" t="s">
        <v>23</v>
      </c>
      <c r="L5976">
        <f t="shared" si="279"/>
        <v>2024</v>
      </c>
      <c r="M5976" t="str">
        <f t="shared" si="280"/>
        <v>Oct</v>
      </c>
      <c r="N5976" s="2">
        <f t="shared" si="281"/>
        <v>6.034037514857795E-2</v>
      </c>
    </row>
    <row r="5977" spans="1:14" x14ac:dyDescent="0.45">
      <c r="A5977" t="s">
        <v>10429</v>
      </c>
      <c r="B5977" s="1">
        <v>44954</v>
      </c>
      <c r="C5977" t="s">
        <v>9005</v>
      </c>
      <c r="D5977" t="s">
        <v>26</v>
      </c>
      <c r="E5977" t="s">
        <v>14</v>
      </c>
      <c r="F5977" t="s">
        <v>40</v>
      </c>
      <c r="G5977">
        <v>5</v>
      </c>
      <c r="H5977">
        <v>8428.42</v>
      </c>
      <c r="I5977">
        <v>1385.33</v>
      </c>
      <c r="J5977" t="s">
        <v>16</v>
      </c>
      <c r="K5977" t="s">
        <v>17</v>
      </c>
      <c r="L5977">
        <f t="shared" si="279"/>
        <v>2023</v>
      </c>
      <c r="M5977" t="str">
        <f t="shared" si="280"/>
        <v>Jan</v>
      </c>
      <c r="N5977" s="2">
        <f t="shared" si="281"/>
        <v>0.16436413942352185</v>
      </c>
    </row>
    <row r="5978" spans="1:14" x14ac:dyDescent="0.45">
      <c r="A5978" t="s">
        <v>10430</v>
      </c>
      <c r="B5978" s="1">
        <v>44984</v>
      </c>
      <c r="C5978" t="s">
        <v>1030</v>
      </c>
      <c r="D5978" t="s">
        <v>13</v>
      </c>
      <c r="E5978" t="s">
        <v>36</v>
      </c>
      <c r="F5978" t="s">
        <v>64</v>
      </c>
      <c r="G5978">
        <v>3</v>
      </c>
      <c r="H5978">
        <v>29825.59</v>
      </c>
      <c r="I5978">
        <v>5417.54</v>
      </c>
      <c r="J5978" t="s">
        <v>22</v>
      </c>
      <c r="K5978" t="s">
        <v>33</v>
      </c>
      <c r="L5978">
        <f t="shared" si="279"/>
        <v>2023</v>
      </c>
      <c r="M5978" t="str">
        <f t="shared" si="280"/>
        <v>Feb</v>
      </c>
      <c r="N5978" s="2">
        <f t="shared" si="281"/>
        <v>0.18164066494577308</v>
      </c>
    </row>
    <row r="5979" spans="1:14" x14ac:dyDescent="0.45">
      <c r="A5979" t="s">
        <v>10431</v>
      </c>
      <c r="B5979" s="1">
        <v>45433</v>
      </c>
      <c r="C5979" t="s">
        <v>10432</v>
      </c>
      <c r="D5979" t="s">
        <v>26</v>
      </c>
      <c r="E5979" t="s">
        <v>14</v>
      </c>
      <c r="F5979" t="s">
        <v>15</v>
      </c>
      <c r="G5979">
        <v>5</v>
      </c>
      <c r="H5979">
        <v>30889.77</v>
      </c>
      <c r="I5979">
        <v>2501.9499999999998</v>
      </c>
      <c r="J5979" t="s">
        <v>22</v>
      </c>
      <c r="K5979" t="s">
        <v>29</v>
      </c>
      <c r="L5979">
        <f t="shared" si="279"/>
        <v>2024</v>
      </c>
      <c r="M5979" t="str">
        <f t="shared" si="280"/>
        <v>May</v>
      </c>
      <c r="N5979" s="2">
        <f t="shared" si="281"/>
        <v>8.0996070867474887E-2</v>
      </c>
    </row>
    <row r="5980" spans="1:14" x14ac:dyDescent="0.45">
      <c r="A5980" t="s">
        <v>10433</v>
      </c>
      <c r="B5980" s="1">
        <v>44575</v>
      </c>
      <c r="C5980" t="s">
        <v>10434</v>
      </c>
      <c r="D5980" t="s">
        <v>13</v>
      </c>
      <c r="E5980" t="s">
        <v>14</v>
      </c>
      <c r="F5980" t="s">
        <v>57</v>
      </c>
      <c r="G5980">
        <v>3</v>
      </c>
      <c r="H5980">
        <v>16260.42</v>
      </c>
      <c r="I5980">
        <v>2202.9</v>
      </c>
      <c r="J5980" t="s">
        <v>22</v>
      </c>
      <c r="K5980" t="s">
        <v>29</v>
      </c>
      <c r="L5980">
        <f t="shared" si="279"/>
        <v>2022</v>
      </c>
      <c r="M5980" t="str">
        <f t="shared" si="280"/>
        <v>Jan</v>
      </c>
      <c r="N5980" s="2">
        <f t="shared" si="281"/>
        <v>0.13547620541166833</v>
      </c>
    </row>
    <row r="5981" spans="1:14" x14ac:dyDescent="0.45">
      <c r="A5981" t="s">
        <v>10435</v>
      </c>
      <c r="B5981" s="1">
        <v>44986</v>
      </c>
      <c r="C5981" t="s">
        <v>343</v>
      </c>
      <c r="D5981" t="s">
        <v>13</v>
      </c>
      <c r="E5981" t="s">
        <v>14</v>
      </c>
      <c r="F5981" t="s">
        <v>40</v>
      </c>
      <c r="G5981">
        <v>3</v>
      </c>
      <c r="H5981">
        <v>17365.23</v>
      </c>
      <c r="I5981">
        <v>3060.59</v>
      </c>
      <c r="J5981" t="s">
        <v>71</v>
      </c>
      <c r="K5981" t="s">
        <v>23</v>
      </c>
      <c r="L5981">
        <f t="shared" si="279"/>
        <v>2023</v>
      </c>
      <c r="M5981" t="str">
        <f t="shared" si="280"/>
        <v>Mar</v>
      </c>
      <c r="N5981" s="2">
        <f t="shared" si="281"/>
        <v>0.17624816947428856</v>
      </c>
    </row>
    <row r="5982" spans="1:14" x14ac:dyDescent="0.45">
      <c r="A5982" t="s">
        <v>10436</v>
      </c>
      <c r="B5982" s="1">
        <v>44945</v>
      </c>
      <c r="C5982" t="s">
        <v>9014</v>
      </c>
      <c r="D5982" t="s">
        <v>56</v>
      </c>
      <c r="E5982" t="s">
        <v>20</v>
      </c>
      <c r="F5982" t="s">
        <v>21</v>
      </c>
      <c r="G5982">
        <v>3</v>
      </c>
      <c r="H5982">
        <v>42886.13</v>
      </c>
      <c r="I5982">
        <v>7575.59</v>
      </c>
      <c r="J5982" t="s">
        <v>71</v>
      </c>
      <c r="K5982" t="s">
        <v>17</v>
      </c>
      <c r="L5982">
        <f t="shared" si="279"/>
        <v>2023</v>
      </c>
      <c r="M5982" t="str">
        <f t="shared" si="280"/>
        <v>Jan</v>
      </c>
      <c r="N5982" s="2">
        <f t="shared" si="281"/>
        <v>0.17664429035681234</v>
      </c>
    </row>
    <row r="5983" spans="1:14" x14ac:dyDescent="0.45">
      <c r="A5983" t="s">
        <v>10437</v>
      </c>
      <c r="B5983" s="1">
        <v>44570</v>
      </c>
      <c r="C5983" t="s">
        <v>3730</v>
      </c>
      <c r="D5983" t="s">
        <v>56</v>
      </c>
      <c r="E5983" t="s">
        <v>36</v>
      </c>
      <c r="F5983" t="s">
        <v>64</v>
      </c>
      <c r="G5983">
        <v>2</v>
      </c>
      <c r="H5983">
        <v>14307.57</v>
      </c>
      <c r="I5983">
        <v>1384.82</v>
      </c>
      <c r="J5983" t="s">
        <v>71</v>
      </c>
      <c r="K5983" t="s">
        <v>23</v>
      </c>
      <c r="L5983">
        <f t="shared" si="279"/>
        <v>2022</v>
      </c>
      <c r="M5983" t="str">
        <f t="shared" si="280"/>
        <v>Jan</v>
      </c>
      <c r="N5983" s="2">
        <f t="shared" si="281"/>
        <v>9.6789322016247334E-2</v>
      </c>
    </row>
    <row r="5984" spans="1:14" x14ac:dyDescent="0.45">
      <c r="A5984" t="s">
        <v>10438</v>
      </c>
      <c r="B5984" s="1">
        <v>45328</v>
      </c>
      <c r="C5984" t="s">
        <v>7837</v>
      </c>
      <c r="D5984" t="s">
        <v>26</v>
      </c>
      <c r="E5984" t="s">
        <v>36</v>
      </c>
      <c r="F5984" t="s">
        <v>37</v>
      </c>
      <c r="G5984">
        <v>5</v>
      </c>
      <c r="H5984">
        <v>43245.68</v>
      </c>
      <c r="I5984">
        <v>4953.8</v>
      </c>
      <c r="J5984" t="s">
        <v>16</v>
      </c>
      <c r="K5984" t="s">
        <v>23</v>
      </c>
      <c r="L5984">
        <f t="shared" si="279"/>
        <v>2024</v>
      </c>
      <c r="M5984" t="str">
        <f t="shared" si="280"/>
        <v>Feb</v>
      </c>
      <c r="N5984" s="2">
        <f t="shared" si="281"/>
        <v>0.11455017009791499</v>
      </c>
    </row>
    <row r="5985" spans="1:14" x14ac:dyDescent="0.45">
      <c r="A5985" t="s">
        <v>10439</v>
      </c>
      <c r="B5985" s="1">
        <v>44799</v>
      </c>
      <c r="C5985" t="s">
        <v>10440</v>
      </c>
      <c r="D5985" t="s">
        <v>26</v>
      </c>
      <c r="E5985" t="s">
        <v>36</v>
      </c>
      <c r="F5985" t="s">
        <v>64</v>
      </c>
      <c r="G5985">
        <v>4</v>
      </c>
      <c r="H5985">
        <v>32956.61</v>
      </c>
      <c r="I5985">
        <v>1955.76</v>
      </c>
      <c r="J5985" t="s">
        <v>71</v>
      </c>
      <c r="K5985" t="s">
        <v>23</v>
      </c>
      <c r="L5985">
        <f t="shared" si="279"/>
        <v>2022</v>
      </c>
      <c r="M5985" t="str">
        <f t="shared" si="280"/>
        <v>Aug</v>
      </c>
      <c r="N5985" s="2">
        <f t="shared" si="281"/>
        <v>5.9343482233154443E-2</v>
      </c>
    </row>
    <row r="5986" spans="1:14" x14ac:dyDescent="0.45">
      <c r="A5986" t="s">
        <v>10441</v>
      </c>
      <c r="B5986" s="1">
        <v>44981</v>
      </c>
      <c r="C5986" t="s">
        <v>10442</v>
      </c>
      <c r="D5986" t="s">
        <v>13</v>
      </c>
      <c r="E5986" t="s">
        <v>14</v>
      </c>
      <c r="F5986" t="s">
        <v>40</v>
      </c>
      <c r="G5986">
        <v>3</v>
      </c>
      <c r="H5986">
        <v>24164.67</v>
      </c>
      <c r="I5986">
        <v>2998.85</v>
      </c>
      <c r="J5986" t="s">
        <v>47</v>
      </c>
      <c r="K5986" t="s">
        <v>33</v>
      </c>
      <c r="L5986">
        <f t="shared" si="279"/>
        <v>2023</v>
      </c>
      <c r="M5986" t="str">
        <f t="shared" si="280"/>
        <v>Feb</v>
      </c>
      <c r="N5986" s="2">
        <f t="shared" si="281"/>
        <v>0.12410059810458823</v>
      </c>
    </row>
    <row r="5987" spans="1:14" x14ac:dyDescent="0.45">
      <c r="A5987" t="s">
        <v>10443</v>
      </c>
      <c r="B5987" s="1">
        <v>44659</v>
      </c>
      <c r="C5987" t="s">
        <v>263</v>
      </c>
      <c r="D5987" t="s">
        <v>13</v>
      </c>
      <c r="E5987" t="s">
        <v>36</v>
      </c>
      <c r="F5987" t="s">
        <v>64</v>
      </c>
      <c r="G5987">
        <v>4</v>
      </c>
      <c r="H5987">
        <v>46052.26</v>
      </c>
      <c r="I5987">
        <v>11479.37</v>
      </c>
      <c r="J5987" t="s">
        <v>47</v>
      </c>
      <c r="K5987" t="s">
        <v>17</v>
      </c>
      <c r="L5987">
        <f t="shared" si="279"/>
        <v>2022</v>
      </c>
      <c r="M5987" t="str">
        <f t="shared" si="280"/>
        <v>Apr</v>
      </c>
      <c r="N5987" s="2">
        <f t="shared" si="281"/>
        <v>0.24926833123933551</v>
      </c>
    </row>
    <row r="5988" spans="1:14" x14ac:dyDescent="0.45">
      <c r="A5988" t="s">
        <v>10444</v>
      </c>
      <c r="B5988" s="1">
        <v>45315</v>
      </c>
      <c r="C5988" t="s">
        <v>10445</v>
      </c>
      <c r="D5988" t="s">
        <v>56</v>
      </c>
      <c r="E5988" t="s">
        <v>20</v>
      </c>
      <c r="F5988" t="s">
        <v>43</v>
      </c>
      <c r="G5988">
        <v>2</v>
      </c>
      <c r="H5988">
        <v>47334.1</v>
      </c>
      <c r="I5988">
        <v>3654.42</v>
      </c>
      <c r="J5988" t="s">
        <v>71</v>
      </c>
      <c r="K5988" t="s">
        <v>33</v>
      </c>
      <c r="L5988">
        <f t="shared" si="279"/>
        <v>2024</v>
      </c>
      <c r="M5988" t="str">
        <f t="shared" si="280"/>
        <v>Jan</v>
      </c>
      <c r="N5988" s="2">
        <f t="shared" si="281"/>
        <v>7.7204805837651935E-2</v>
      </c>
    </row>
    <row r="5989" spans="1:14" x14ac:dyDescent="0.45">
      <c r="A5989" t="s">
        <v>10446</v>
      </c>
      <c r="B5989" s="1">
        <v>45043</v>
      </c>
      <c r="C5989" t="s">
        <v>10447</v>
      </c>
      <c r="D5989" t="s">
        <v>13</v>
      </c>
      <c r="E5989" t="s">
        <v>36</v>
      </c>
      <c r="F5989" t="s">
        <v>37</v>
      </c>
      <c r="G5989">
        <v>1</v>
      </c>
      <c r="H5989">
        <v>31357.45</v>
      </c>
      <c r="I5989">
        <v>2553.09</v>
      </c>
      <c r="J5989" t="s">
        <v>71</v>
      </c>
      <c r="K5989" t="s">
        <v>23</v>
      </c>
      <c r="L5989">
        <f t="shared" si="279"/>
        <v>2023</v>
      </c>
      <c r="M5989" t="str">
        <f t="shared" si="280"/>
        <v>Apr</v>
      </c>
      <c r="N5989" s="2">
        <f t="shared" si="281"/>
        <v>8.14189291539969E-2</v>
      </c>
    </row>
    <row r="5990" spans="1:14" x14ac:dyDescent="0.45">
      <c r="A5990" t="s">
        <v>10448</v>
      </c>
      <c r="B5990" s="1">
        <v>45561</v>
      </c>
      <c r="C5990" t="s">
        <v>1810</v>
      </c>
      <c r="D5990" t="s">
        <v>13</v>
      </c>
      <c r="E5990" t="s">
        <v>20</v>
      </c>
      <c r="F5990" t="s">
        <v>50</v>
      </c>
      <c r="G5990">
        <v>2</v>
      </c>
      <c r="H5990">
        <v>1057.44</v>
      </c>
      <c r="I5990">
        <v>228.4</v>
      </c>
      <c r="J5990" t="s">
        <v>71</v>
      </c>
      <c r="K5990" t="s">
        <v>33</v>
      </c>
      <c r="L5990">
        <f t="shared" si="279"/>
        <v>2024</v>
      </c>
      <c r="M5990" t="str">
        <f t="shared" si="280"/>
        <v>Sep</v>
      </c>
      <c r="N5990" s="2">
        <f t="shared" si="281"/>
        <v>0.2159933424118626</v>
      </c>
    </row>
    <row r="5991" spans="1:14" x14ac:dyDescent="0.45">
      <c r="A5991" t="s">
        <v>10449</v>
      </c>
      <c r="B5991" s="1">
        <v>44923</v>
      </c>
      <c r="C5991" t="s">
        <v>4366</v>
      </c>
      <c r="D5991" t="s">
        <v>13</v>
      </c>
      <c r="E5991" t="s">
        <v>20</v>
      </c>
      <c r="F5991" t="s">
        <v>50</v>
      </c>
      <c r="G5991">
        <v>4</v>
      </c>
      <c r="H5991">
        <v>21361.72</v>
      </c>
      <c r="I5991">
        <v>2271.2800000000002</v>
      </c>
      <c r="J5991" t="s">
        <v>71</v>
      </c>
      <c r="K5991" t="s">
        <v>29</v>
      </c>
      <c r="L5991">
        <f t="shared" si="279"/>
        <v>2022</v>
      </c>
      <c r="M5991" t="str">
        <f t="shared" si="280"/>
        <v>Dec</v>
      </c>
      <c r="N5991" s="2">
        <f t="shared" si="281"/>
        <v>0.10632477160078871</v>
      </c>
    </row>
    <row r="5992" spans="1:14" x14ac:dyDescent="0.45">
      <c r="A5992" t="s">
        <v>10450</v>
      </c>
      <c r="B5992" s="1">
        <v>45084</v>
      </c>
      <c r="C5992" t="s">
        <v>10451</v>
      </c>
      <c r="D5992" t="s">
        <v>13</v>
      </c>
      <c r="E5992" t="s">
        <v>14</v>
      </c>
      <c r="F5992" t="s">
        <v>15</v>
      </c>
      <c r="G5992">
        <v>2</v>
      </c>
      <c r="H5992">
        <v>13447.7</v>
      </c>
      <c r="I5992">
        <v>983.91</v>
      </c>
      <c r="J5992" t="s">
        <v>22</v>
      </c>
      <c r="K5992" t="s">
        <v>17</v>
      </c>
      <c r="L5992">
        <f t="shared" si="279"/>
        <v>2023</v>
      </c>
      <c r="M5992" t="str">
        <f t="shared" si="280"/>
        <v>Jun</v>
      </c>
      <c r="N5992" s="2">
        <f t="shared" si="281"/>
        <v>7.3165671453110939E-2</v>
      </c>
    </row>
    <row r="5993" spans="1:14" x14ac:dyDescent="0.45">
      <c r="A5993" t="s">
        <v>10452</v>
      </c>
      <c r="B5993" s="1">
        <v>45358</v>
      </c>
      <c r="C5993" t="s">
        <v>10453</v>
      </c>
      <c r="D5993" t="s">
        <v>13</v>
      </c>
      <c r="E5993" t="s">
        <v>20</v>
      </c>
      <c r="F5993" t="s">
        <v>27</v>
      </c>
      <c r="G5993">
        <v>2</v>
      </c>
      <c r="H5993">
        <v>35260.46</v>
      </c>
      <c r="I5993">
        <v>4886.8599999999997</v>
      </c>
      <c r="J5993" t="s">
        <v>16</v>
      </c>
      <c r="K5993" t="s">
        <v>23</v>
      </c>
      <c r="L5993">
        <f t="shared" si="279"/>
        <v>2024</v>
      </c>
      <c r="M5993" t="str">
        <f t="shared" si="280"/>
        <v>Mar</v>
      </c>
      <c r="N5993" s="2">
        <f t="shared" si="281"/>
        <v>0.13859320042903581</v>
      </c>
    </row>
    <row r="5994" spans="1:14" x14ac:dyDescent="0.45">
      <c r="A5994" t="s">
        <v>10454</v>
      </c>
      <c r="B5994" s="1">
        <v>45563</v>
      </c>
      <c r="C5994" t="s">
        <v>10455</v>
      </c>
      <c r="D5994" t="s">
        <v>56</v>
      </c>
      <c r="E5994" t="s">
        <v>36</v>
      </c>
      <c r="F5994" t="s">
        <v>37</v>
      </c>
      <c r="G5994">
        <v>5</v>
      </c>
      <c r="H5994">
        <v>11528.06</v>
      </c>
      <c r="I5994">
        <v>1832.33</v>
      </c>
      <c r="J5994" t="s">
        <v>47</v>
      </c>
      <c r="K5994" t="s">
        <v>33</v>
      </c>
      <c r="L5994">
        <f t="shared" si="279"/>
        <v>2024</v>
      </c>
      <c r="M5994" t="str">
        <f t="shared" si="280"/>
        <v>Sep</v>
      </c>
      <c r="N5994" s="2">
        <f t="shared" si="281"/>
        <v>0.15894521714841872</v>
      </c>
    </row>
    <row r="5995" spans="1:14" x14ac:dyDescent="0.45">
      <c r="A5995" t="s">
        <v>10456</v>
      </c>
      <c r="B5995" s="1">
        <v>44861</v>
      </c>
      <c r="C5995" t="s">
        <v>4054</v>
      </c>
      <c r="D5995" t="s">
        <v>26</v>
      </c>
      <c r="E5995" t="s">
        <v>20</v>
      </c>
      <c r="F5995" t="s">
        <v>21</v>
      </c>
      <c r="G5995">
        <v>1</v>
      </c>
      <c r="H5995">
        <v>4532.13</v>
      </c>
      <c r="I5995">
        <v>837.31</v>
      </c>
      <c r="J5995" t="s">
        <v>22</v>
      </c>
      <c r="K5995" t="s">
        <v>33</v>
      </c>
      <c r="L5995">
        <f t="shared" si="279"/>
        <v>2022</v>
      </c>
      <c r="M5995" t="str">
        <f t="shared" si="280"/>
        <v>Oct</v>
      </c>
      <c r="N5995" s="2">
        <f t="shared" si="281"/>
        <v>0.18474977549187688</v>
      </c>
    </row>
    <row r="5996" spans="1:14" x14ac:dyDescent="0.45">
      <c r="A5996" t="s">
        <v>10457</v>
      </c>
      <c r="B5996" s="1">
        <v>44766</v>
      </c>
      <c r="C5996" t="s">
        <v>10458</v>
      </c>
      <c r="D5996" t="s">
        <v>56</v>
      </c>
      <c r="E5996" t="s">
        <v>20</v>
      </c>
      <c r="F5996" t="s">
        <v>43</v>
      </c>
      <c r="G5996">
        <v>5</v>
      </c>
      <c r="H5996">
        <v>1381.15</v>
      </c>
      <c r="I5996">
        <v>271.68</v>
      </c>
      <c r="J5996" t="s">
        <v>71</v>
      </c>
      <c r="K5996" t="s">
        <v>17</v>
      </c>
      <c r="L5996">
        <f t="shared" si="279"/>
        <v>2022</v>
      </c>
      <c r="M5996" t="str">
        <f t="shared" si="280"/>
        <v>Jul</v>
      </c>
      <c r="N5996" s="2">
        <f t="shared" si="281"/>
        <v>0.19670564384751837</v>
      </c>
    </row>
    <row r="5997" spans="1:14" x14ac:dyDescent="0.45">
      <c r="A5997" t="s">
        <v>10459</v>
      </c>
      <c r="B5997" s="1">
        <v>45630</v>
      </c>
      <c r="C5997" t="s">
        <v>8257</v>
      </c>
      <c r="D5997" t="s">
        <v>13</v>
      </c>
      <c r="E5997" t="s">
        <v>20</v>
      </c>
      <c r="F5997" t="s">
        <v>21</v>
      </c>
      <c r="G5997">
        <v>5</v>
      </c>
      <c r="H5997">
        <v>15066.48</v>
      </c>
      <c r="I5997">
        <v>930.92</v>
      </c>
      <c r="J5997" t="s">
        <v>71</v>
      </c>
      <c r="K5997" t="s">
        <v>33</v>
      </c>
      <c r="L5997">
        <f t="shared" si="279"/>
        <v>2024</v>
      </c>
      <c r="M5997" t="str">
        <f t="shared" si="280"/>
        <v>Dec</v>
      </c>
      <c r="N5997" s="2">
        <f t="shared" si="281"/>
        <v>6.1787491172457E-2</v>
      </c>
    </row>
    <row r="5998" spans="1:14" x14ac:dyDescent="0.45">
      <c r="A5998" t="s">
        <v>10460</v>
      </c>
      <c r="B5998" s="1">
        <v>45098</v>
      </c>
      <c r="C5998" t="s">
        <v>10461</v>
      </c>
      <c r="D5998" t="s">
        <v>26</v>
      </c>
      <c r="E5998" t="s">
        <v>14</v>
      </c>
      <c r="F5998" t="s">
        <v>32</v>
      </c>
      <c r="G5998">
        <v>2</v>
      </c>
      <c r="H5998">
        <v>36442.879999999997</v>
      </c>
      <c r="I5998">
        <v>7275.13</v>
      </c>
      <c r="J5998" t="s">
        <v>16</v>
      </c>
      <c r="K5998" t="s">
        <v>17</v>
      </c>
      <c r="L5998">
        <f t="shared" si="279"/>
        <v>2023</v>
      </c>
      <c r="M5998" t="str">
        <f t="shared" si="280"/>
        <v>Jun</v>
      </c>
      <c r="N5998" s="2">
        <f t="shared" si="281"/>
        <v>0.19963103903972465</v>
      </c>
    </row>
    <row r="5999" spans="1:14" x14ac:dyDescent="0.45">
      <c r="A5999" t="s">
        <v>10462</v>
      </c>
      <c r="B5999" s="1">
        <v>44994</v>
      </c>
      <c r="C5999" t="s">
        <v>10463</v>
      </c>
      <c r="D5999" t="s">
        <v>56</v>
      </c>
      <c r="E5999" t="s">
        <v>14</v>
      </c>
      <c r="F5999" t="s">
        <v>32</v>
      </c>
      <c r="G5999">
        <v>1</v>
      </c>
      <c r="H5999">
        <v>36493.85</v>
      </c>
      <c r="I5999">
        <v>4863.68</v>
      </c>
      <c r="J5999" t="s">
        <v>71</v>
      </c>
      <c r="K5999" t="s">
        <v>29</v>
      </c>
      <c r="L5999">
        <f t="shared" si="279"/>
        <v>2023</v>
      </c>
      <c r="M5999" t="str">
        <f t="shared" si="280"/>
        <v>Mar</v>
      </c>
      <c r="N5999" s="2">
        <f t="shared" si="281"/>
        <v>0.13327396259917768</v>
      </c>
    </row>
    <row r="6000" spans="1:14" x14ac:dyDescent="0.45">
      <c r="A6000" t="s">
        <v>10464</v>
      </c>
      <c r="B6000" s="1">
        <v>45346</v>
      </c>
      <c r="C6000" t="s">
        <v>10465</v>
      </c>
      <c r="D6000" t="s">
        <v>56</v>
      </c>
      <c r="E6000" t="s">
        <v>36</v>
      </c>
      <c r="F6000" t="s">
        <v>53</v>
      </c>
      <c r="G6000">
        <v>5</v>
      </c>
      <c r="H6000">
        <v>20805.87</v>
      </c>
      <c r="I6000">
        <v>2418.8200000000002</v>
      </c>
      <c r="J6000" t="s">
        <v>28</v>
      </c>
      <c r="K6000" t="s">
        <v>23</v>
      </c>
      <c r="L6000">
        <f t="shared" si="279"/>
        <v>2024</v>
      </c>
      <c r="M6000" t="str">
        <f t="shared" si="280"/>
        <v>Feb</v>
      </c>
      <c r="N6000" s="2">
        <f t="shared" si="281"/>
        <v>0.11625661411899624</v>
      </c>
    </row>
    <row r="6001" spans="1:14" x14ac:dyDescent="0.45">
      <c r="A6001" t="s">
        <v>10466</v>
      </c>
      <c r="B6001" s="1">
        <v>44694</v>
      </c>
      <c r="C6001" t="s">
        <v>10467</v>
      </c>
      <c r="D6001" t="s">
        <v>56</v>
      </c>
      <c r="E6001" t="s">
        <v>36</v>
      </c>
      <c r="F6001" t="s">
        <v>46</v>
      </c>
      <c r="G6001">
        <v>3</v>
      </c>
      <c r="H6001">
        <v>22869.82</v>
      </c>
      <c r="I6001">
        <v>2641.35</v>
      </c>
      <c r="J6001" t="s">
        <v>22</v>
      </c>
      <c r="K6001" t="s">
        <v>23</v>
      </c>
      <c r="L6001">
        <f t="shared" si="279"/>
        <v>2022</v>
      </c>
      <c r="M6001" t="str">
        <f t="shared" si="280"/>
        <v>May</v>
      </c>
      <c r="N6001" s="2">
        <f t="shared" si="281"/>
        <v>0.11549500608225163</v>
      </c>
    </row>
    <row r="6002" spans="1:14" x14ac:dyDescent="0.45">
      <c r="A6002" t="s">
        <v>10468</v>
      </c>
      <c r="B6002" s="1">
        <v>44967</v>
      </c>
      <c r="C6002" t="s">
        <v>7307</v>
      </c>
      <c r="D6002" t="s">
        <v>26</v>
      </c>
      <c r="E6002" t="s">
        <v>20</v>
      </c>
      <c r="F6002" t="s">
        <v>21</v>
      </c>
      <c r="G6002">
        <v>1</v>
      </c>
      <c r="H6002">
        <v>5932.39</v>
      </c>
      <c r="I6002">
        <v>1040.74</v>
      </c>
      <c r="J6002" t="s">
        <v>28</v>
      </c>
      <c r="K6002" t="s">
        <v>23</v>
      </c>
      <c r="L6002">
        <f t="shared" si="279"/>
        <v>2023</v>
      </c>
      <c r="M6002" t="str">
        <f t="shared" si="280"/>
        <v>Feb</v>
      </c>
      <c r="N6002" s="2">
        <f t="shared" si="281"/>
        <v>0.17543350993444462</v>
      </c>
    </row>
    <row r="6003" spans="1:14" x14ac:dyDescent="0.45">
      <c r="A6003" t="s">
        <v>10469</v>
      </c>
      <c r="B6003" s="1">
        <v>45359</v>
      </c>
      <c r="C6003" t="s">
        <v>10470</v>
      </c>
      <c r="D6003" t="s">
        <v>56</v>
      </c>
      <c r="E6003" t="s">
        <v>20</v>
      </c>
      <c r="F6003" t="s">
        <v>21</v>
      </c>
      <c r="G6003">
        <v>4</v>
      </c>
      <c r="H6003">
        <v>42986.71</v>
      </c>
      <c r="I6003">
        <v>6283.2</v>
      </c>
      <c r="J6003" t="s">
        <v>16</v>
      </c>
      <c r="K6003" t="s">
        <v>33</v>
      </c>
      <c r="L6003">
        <f t="shared" si="279"/>
        <v>2024</v>
      </c>
      <c r="M6003" t="str">
        <f t="shared" si="280"/>
        <v>Mar</v>
      </c>
      <c r="N6003" s="2">
        <f t="shared" si="281"/>
        <v>0.14616610575687231</v>
      </c>
    </row>
    <row r="6004" spans="1:14" x14ac:dyDescent="0.45">
      <c r="A6004" t="s">
        <v>10471</v>
      </c>
      <c r="B6004" s="1">
        <v>44852</v>
      </c>
      <c r="C6004" t="s">
        <v>4036</v>
      </c>
      <c r="D6004" t="s">
        <v>13</v>
      </c>
      <c r="E6004" t="s">
        <v>36</v>
      </c>
      <c r="F6004" t="s">
        <v>37</v>
      </c>
      <c r="G6004">
        <v>5</v>
      </c>
      <c r="H6004">
        <v>47338.21</v>
      </c>
      <c r="I6004">
        <v>6825.99</v>
      </c>
      <c r="J6004" t="s">
        <v>47</v>
      </c>
      <c r="K6004" t="s">
        <v>29</v>
      </c>
      <c r="L6004">
        <f t="shared" si="279"/>
        <v>2022</v>
      </c>
      <c r="M6004" t="str">
        <f t="shared" si="280"/>
        <v>Oct</v>
      </c>
      <c r="N6004" s="2">
        <f t="shared" si="281"/>
        <v>0.14419620006755643</v>
      </c>
    </row>
    <row r="6005" spans="1:14" x14ac:dyDescent="0.45">
      <c r="A6005" t="s">
        <v>10472</v>
      </c>
      <c r="B6005" s="1">
        <v>44719</v>
      </c>
      <c r="C6005" t="s">
        <v>10473</v>
      </c>
      <c r="D6005" t="s">
        <v>26</v>
      </c>
      <c r="E6005" t="s">
        <v>20</v>
      </c>
      <c r="F6005" t="s">
        <v>27</v>
      </c>
      <c r="G6005">
        <v>3</v>
      </c>
      <c r="H6005">
        <v>2470.2800000000002</v>
      </c>
      <c r="I6005">
        <v>603.35</v>
      </c>
      <c r="J6005" t="s">
        <v>16</v>
      </c>
      <c r="K6005" t="s">
        <v>23</v>
      </c>
      <c r="L6005">
        <f t="shared" si="279"/>
        <v>2022</v>
      </c>
      <c r="M6005" t="str">
        <f t="shared" si="280"/>
        <v>Jun</v>
      </c>
      <c r="N6005" s="2">
        <f t="shared" si="281"/>
        <v>0.24424356753080623</v>
      </c>
    </row>
    <row r="6006" spans="1:14" x14ac:dyDescent="0.45">
      <c r="A6006" t="s">
        <v>10474</v>
      </c>
      <c r="B6006" s="1">
        <v>45609</v>
      </c>
      <c r="C6006" t="s">
        <v>10475</v>
      </c>
      <c r="D6006" t="s">
        <v>13</v>
      </c>
      <c r="E6006" t="s">
        <v>36</v>
      </c>
      <c r="F6006" t="s">
        <v>37</v>
      </c>
      <c r="G6006">
        <v>3</v>
      </c>
      <c r="H6006">
        <v>8653.19</v>
      </c>
      <c r="I6006">
        <v>1853.9</v>
      </c>
      <c r="J6006" t="s">
        <v>22</v>
      </c>
      <c r="K6006" t="s">
        <v>17</v>
      </c>
      <c r="L6006">
        <f t="shared" si="279"/>
        <v>2024</v>
      </c>
      <c r="M6006" t="str">
        <f t="shared" si="280"/>
        <v>Nov</v>
      </c>
      <c r="N6006" s="2">
        <f t="shared" si="281"/>
        <v>0.21424468895286017</v>
      </c>
    </row>
    <row r="6007" spans="1:14" x14ac:dyDescent="0.45">
      <c r="A6007" t="s">
        <v>10476</v>
      </c>
      <c r="B6007" s="1">
        <v>44898</v>
      </c>
      <c r="C6007" t="s">
        <v>10477</v>
      </c>
      <c r="D6007" t="s">
        <v>26</v>
      </c>
      <c r="E6007" t="s">
        <v>14</v>
      </c>
      <c r="F6007" t="s">
        <v>57</v>
      </c>
      <c r="G6007">
        <v>5</v>
      </c>
      <c r="H6007">
        <v>23350.84</v>
      </c>
      <c r="I6007">
        <v>3339.9</v>
      </c>
      <c r="J6007" t="s">
        <v>28</v>
      </c>
      <c r="K6007" t="s">
        <v>29</v>
      </c>
      <c r="L6007">
        <f t="shared" si="279"/>
        <v>2022</v>
      </c>
      <c r="M6007" t="str">
        <f t="shared" si="280"/>
        <v>Dec</v>
      </c>
      <c r="N6007" s="2">
        <f t="shared" si="281"/>
        <v>0.14303125711965822</v>
      </c>
    </row>
    <row r="6008" spans="1:14" x14ac:dyDescent="0.45">
      <c r="A6008" t="s">
        <v>10478</v>
      </c>
      <c r="B6008" s="1">
        <v>44610</v>
      </c>
      <c r="C6008" t="s">
        <v>10479</v>
      </c>
      <c r="D6008" t="s">
        <v>56</v>
      </c>
      <c r="E6008" t="s">
        <v>36</v>
      </c>
      <c r="F6008" t="s">
        <v>46</v>
      </c>
      <c r="G6008">
        <v>5</v>
      </c>
      <c r="H6008">
        <v>38122.14</v>
      </c>
      <c r="I6008">
        <v>7412.38</v>
      </c>
      <c r="J6008" t="s">
        <v>28</v>
      </c>
      <c r="K6008" t="s">
        <v>23</v>
      </c>
      <c r="L6008">
        <f t="shared" si="279"/>
        <v>2022</v>
      </c>
      <c r="M6008" t="str">
        <f t="shared" si="280"/>
        <v>Feb</v>
      </c>
      <c r="N6008" s="2">
        <f t="shared" si="281"/>
        <v>0.19443766797981435</v>
      </c>
    </row>
    <row r="6009" spans="1:14" x14ac:dyDescent="0.45">
      <c r="A6009" t="s">
        <v>10480</v>
      </c>
      <c r="B6009" s="1">
        <v>45604</v>
      </c>
      <c r="C6009" t="s">
        <v>2338</v>
      </c>
      <c r="D6009" t="s">
        <v>13</v>
      </c>
      <c r="E6009" t="s">
        <v>14</v>
      </c>
      <c r="F6009" t="s">
        <v>57</v>
      </c>
      <c r="G6009">
        <v>4</v>
      </c>
      <c r="H6009">
        <v>27661.47</v>
      </c>
      <c r="I6009">
        <v>5299.63</v>
      </c>
      <c r="J6009" t="s">
        <v>28</v>
      </c>
      <c r="K6009" t="s">
        <v>17</v>
      </c>
      <c r="L6009">
        <f t="shared" si="279"/>
        <v>2024</v>
      </c>
      <c r="M6009" t="str">
        <f t="shared" si="280"/>
        <v>Nov</v>
      </c>
      <c r="N6009" s="2">
        <f t="shared" si="281"/>
        <v>0.19158887795912508</v>
      </c>
    </row>
    <row r="6010" spans="1:14" x14ac:dyDescent="0.45">
      <c r="A6010" t="s">
        <v>10481</v>
      </c>
      <c r="B6010" s="1">
        <v>45597</v>
      </c>
      <c r="C6010" t="s">
        <v>10482</v>
      </c>
      <c r="D6010" t="s">
        <v>13</v>
      </c>
      <c r="E6010" t="s">
        <v>14</v>
      </c>
      <c r="F6010" t="s">
        <v>57</v>
      </c>
      <c r="G6010">
        <v>5</v>
      </c>
      <c r="H6010">
        <v>31025.31</v>
      </c>
      <c r="I6010">
        <v>3637.16</v>
      </c>
      <c r="J6010" t="s">
        <v>71</v>
      </c>
      <c r="K6010" t="s">
        <v>23</v>
      </c>
      <c r="L6010">
        <f t="shared" si="279"/>
        <v>2024</v>
      </c>
      <c r="M6010" t="str">
        <f t="shared" si="280"/>
        <v>Nov</v>
      </c>
      <c r="N6010" s="2">
        <f t="shared" si="281"/>
        <v>0.11723202765741905</v>
      </c>
    </row>
    <row r="6011" spans="1:14" x14ac:dyDescent="0.45">
      <c r="A6011" t="s">
        <v>10483</v>
      </c>
      <c r="B6011" s="1">
        <v>44983</v>
      </c>
      <c r="C6011" t="s">
        <v>10484</v>
      </c>
      <c r="D6011" t="s">
        <v>56</v>
      </c>
      <c r="E6011" t="s">
        <v>14</v>
      </c>
      <c r="F6011" t="s">
        <v>32</v>
      </c>
      <c r="G6011">
        <v>2</v>
      </c>
      <c r="H6011">
        <v>1060.0899999999999</v>
      </c>
      <c r="I6011">
        <v>189.79</v>
      </c>
      <c r="J6011" t="s">
        <v>16</v>
      </c>
      <c r="K6011" t="s">
        <v>17</v>
      </c>
      <c r="L6011">
        <f t="shared" si="279"/>
        <v>2023</v>
      </c>
      <c r="M6011" t="str">
        <f t="shared" si="280"/>
        <v>Feb</v>
      </c>
      <c r="N6011" s="2">
        <f t="shared" si="281"/>
        <v>0.17903196898376553</v>
      </c>
    </row>
    <row r="6012" spans="1:14" x14ac:dyDescent="0.45">
      <c r="A6012" t="s">
        <v>10485</v>
      </c>
      <c r="B6012" s="1">
        <v>45584</v>
      </c>
      <c r="C6012" t="s">
        <v>10486</v>
      </c>
      <c r="D6012" t="s">
        <v>56</v>
      </c>
      <c r="E6012" t="s">
        <v>14</v>
      </c>
      <c r="F6012" t="s">
        <v>15</v>
      </c>
      <c r="G6012">
        <v>3</v>
      </c>
      <c r="H6012">
        <v>8129.32</v>
      </c>
      <c r="I6012">
        <v>1634.11</v>
      </c>
      <c r="J6012" t="s">
        <v>47</v>
      </c>
      <c r="K6012" t="s">
        <v>23</v>
      </c>
      <c r="L6012">
        <f t="shared" si="279"/>
        <v>2024</v>
      </c>
      <c r="M6012" t="str">
        <f t="shared" si="280"/>
        <v>Oct</v>
      </c>
      <c r="N6012" s="2">
        <f t="shared" si="281"/>
        <v>0.20101435298401341</v>
      </c>
    </row>
    <row r="6013" spans="1:14" x14ac:dyDescent="0.45">
      <c r="A6013" t="s">
        <v>10487</v>
      </c>
      <c r="B6013" s="1">
        <v>44655</v>
      </c>
      <c r="C6013" t="s">
        <v>10488</v>
      </c>
      <c r="D6013" t="s">
        <v>26</v>
      </c>
      <c r="E6013" t="s">
        <v>20</v>
      </c>
      <c r="F6013" t="s">
        <v>27</v>
      </c>
      <c r="G6013">
        <v>4</v>
      </c>
      <c r="H6013">
        <v>7629.9</v>
      </c>
      <c r="I6013">
        <v>816.33</v>
      </c>
      <c r="J6013" t="s">
        <v>16</v>
      </c>
      <c r="K6013" t="s">
        <v>17</v>
      </c>
      <c r="L6013">
        <f t="shared" si="279"/>
        <v>2022</v>
      </c>
      <c r="M6013" t="str">
        <f t="shared" si="280"/>
        <v>Apr</v>
      </c>
      <c r="N6013" s="2">
        <f t="shared" si="281"/>
        <v>0.10699091731215352</v>
      </c>
    </row>
    <row r="6014" spans="1:14" x14ac:dyDescent="0.45">
      <c r="A6014" t="s">
        <v>10489</v>
      </c>
      <c r="B6014" s="1">
        <v>44623</v>
      </c>
      <c r="C6014" t="s">
        <v>10490</v>
      </c>
      <c r="D6014" t="s">
        <v>13</v>
      </c>
      <c r="E6014" t="s">
        <v>36</v>
      </c>
      <c r="F6014" t="s">
        <v>46</v>
      </c>
      <c r="G6014">
        <v>1</v>
      </c>
      <c r="H6014">
        <v>44524.22</v>
      </c>
      <c r="I6014">
        <v>8615.19</v>
      </c>
      <c r="J6014" t="s">
        <v>22</v>
      </c>
      <c r="K6014" t="s">
        <v>23</v>
      </c>
      <c r="L6014">
        <f t="shared" si="279"/>
        <v>2022</v>
      </c>
      <c r="M6014" t="str">
        <f t="shared" si="280"/>
        <v>Mar</v>
      </c>
      <c r="N6014" s="2">
        <f t="shared" si="281"/>
        <v>0.19349446211522628</v>
      </c>
    </row>
    <row r="6015" spans="1:14" x14ac:dyDescent="0.45">
      <c r="A6015" t="s">
        <v>10491</v>
      </c>
      <c r="B6015" s="1">
        <v>45468</v>
      </c>
      <c r="C6015" t="s">
        <v>7356</v>
      </c>
      <c r="D6015" t="s">
        <v>13</v>
      </c>
      <c r="E6015" t="s">
        <v>14</v>
      </c>
      <c r="F6015" t="s">
        <v>40</v>
      </c>
      <c r="G6015">
        <v>4</v>
      </c>
      <c r="H6015">
        <v>24242.87</v>
      </c>
      <c r="I6015">
        <v>1946</v>
      </c>
      <c r="J6015" t="s">
        <v>28</v>
      </c>
      <c r="K6015" t="s">
        <v>29</v>
      </c>
      <c r="L6015">
        <f t="shared" si="279"/>
        <v>2024</v>
      </c>
      <c r="M6015" t="str">
        <f t="shared" si="280"/>
        <v>Jun</v>
      </c>
      <c r="N6015" s="2">
        <f t="shared" si="281"/>
        <v>8.02710240165459E-2</v>
      </c>
    </row>
    <row r="6016" spans="1:14" x14ac:dyDescent="0.45">
      <c r="A6016" t="s">
        <v>10492</v>
      </c>
      <c r="B6016" s="1">
        <v>45482</v>
      </c>
      <c r="C6016" t="s">
        <v>10493</v>
      </c>
      <c r="D6016" t="s">
        <v>56</v>
      </c>
      <c r="E6016" t="s">
        <v>14</v>
      </c>
      <c r="F6016" t="s">
        <v>32</v>
      </c>
      <c r="G6016">
        <v>5</v>
      </c>
      <c r="H6016">
        <v>14082.49</v>
      </c>
      <c r="I6016">
        <v>3458.64</v>
      </c>
      <c r="J6016" t="s">
        <v>71</v>
      </c>
      <c r="K6016" t="s">
        <v>23</v>
      </c>
      <c r="L6016">
        <f t="shared" si="279"/>
        <v>2024</v>
      </c>
      <c r="M6016" t="str">
        <f t="shared" si="280"/>
        <v>Jul</v>
      </c>
      <c r="N6016" s="2">
        <f t="shared" si="281"/>
        <v>0.2455986121772499</v>
      </c>
    </row>
    <row r="6017" spans="1:14" x14ac:dyDescent="0.45">
      <c r="A6017" t="s">
        <v>10494</v>
      </c>
      <c r="B6017" s="1">
        <v>45553</v>
      </c>
      <c r="C6017" t="s">
        <v>10495</v>
      </c>
      <c r="D6017" t="s">
        <v>56</v>
      </c>
      <c r="E6017" t="s">
        <v>14</v>
      </c>
      <c r="F6017" t="s">
        <v>15</v>
      </c>
      <c r="G6017">
        <v>2</v>
      </c>
      <c r="H6017">
        <v>37009.089999999997</v>
      </c>
      <c r="I6017">
        <v>2595.42</v>
      </c>
      <c r="J6017" t="s">
        <v>22</v>
      </c>
      <c r="K6017" t="s">
        <v>17</v>
      </c>
      <c r="L6017">
        <f t="shared" si="279"/>
        <v>2024</v>
      </c>
      <c r="M6017" t="str">
        <f t="shared" si="280"/>
        <v>Sep</v>
      </c>
      <c r="N6017" s="2">
        <f t="shared" si="281"/>
        <v>7.0129257433781816E-2</v>
      </c>
    </row>
    <row r="6018" spans="1:14" x14ac:dyDescent="0.45">
      <c r="A6018" t="s">
        <v>10496</v>
      </c>
      <c r="B6018" s="1">
        <v>44635</v>
      </c>
      <c r="C6018" t="s">
        <v>5190</v>
      </c>
      <c r="D6018" t="s">
        <v>13</v>
      </c>
      <c r="E6018" t="s">
        <v>14</v>
      </c>
      <c r="F6018" t="s">
        <v>57</v>
      </c>
      <c r="G6018">
        <v>4</v>
      </c>
      <c r="H6018">
        <v>19572.830000000002</v>
      </c>
      <c r="I6018">
        <v>1293.7</v>
      </c>
      <c r="J6018" t="s">
        <v>71</v>
      </c>
      <c r="K6018" t="s">
        <v>33</v>
      </c>
      <c r="L6018">
        <f t="shared" si="279"/>
        <v>2022</v>
      </c>
      <c r="M6018" t="str">
        <f t="shared" si="280"/>
        <v>Mar</v>
      </c>
      <c r="N6018" s="2">
        <f t="shared" si="281"/>
        <v>6.6096726942399237E-2</v>
      </c>
    </row>
    <row r="6019" spans="1:14" x14ac:dyDescent="0.45">
      <c r="A6019" t="s">
        <v>10497</v>
      </c>
      <c r="B6019" s="1">
        <v>45035</v>
      </c>
      <c r="C6019" t="s">
        <v>10498</v>
      </c>
      <c r="D6019" t="s">
        <v>56</v>
      </c>
      <c r="E6019" t="s">
        <v>14</v>
      </c>
      <c r="F6019" t="s">
        <v>57</v>
      </c>
      <c r="G6019">
        <v>2</v>
      </c>
      <c r="H6019">
        <v>6399.2</v>
      </c>
      <c r="I6019">
        <v>811.7</v>
      </c>
      <c r="J6019" t="s">
        <v>16</v>
      </c>
      <c r="K6019" t="s">
        <v>33</v>
      </c>
      <c r="L6019">
        <f t="shared" ref="L6019:L6082" si="282">YEAR(B6019 )</f>
        <v>2023</v>
      </c>
      <c r="M6019" t="str">
        <f t="shared" ref="M6019:M6082" si="283">TEXT(B6019,"MMM")</f>
        <v>Apr</v>
      </c>
      <c r="N6019" s="2">
        <f t="shared" ref="N6019:N6082" si="284">I6019 / H6019</f>
        <v>0.12684398049756221</v>
      </c>
    </row>
    <row r="6020" spans="1:14" x14ac:dyDescent="0.45">
      <c r="A6020" t="s">
        <v>10499</v>
      </c>
      <c r="B6020" s="1">
        <v>44909</v>
      </c>
      <c r="C6020" t="s">
        <v>1856</v>
      </c>
      <c r="D6020" t="s">
        <v>26</v>
      </c>
      <c r="E6020" t="s">
        <v>36</v>
      </c>
      <c r="F6020" t="s">
        <v>64</v>
      </c>
      <c r="G6020">
        <v>4</v>
      </c>
      <c r="H6020">
        <v>28852.7</v>
      </c>
      <c r="I6020">
        <v>4755.62</v>
      </c>
      <c r="J6020" t="s">
        <v>22</v>
      </c>
      <c r="K6020" t="s">
        <v>33</v>
      </c>
      <c r="L6020">
        <f t="shared" si="282"/>
        <v>2022</v>
      </c>
      <c r="M6020" t="str">
        <f t="shared" si="283"/>
        <v>Dec</v>
      </c>
      <c r="N6020" s="2">
        <f t="shared" si="284"/>
        <v>0.16482408925334543</v>
      </c>
    </row>
    <row r="6021" spans="1:14" x14ac:dyDescent="0.45">
      <c r="A6021" t="s">
        <v>10500</v>
      </c>
      <c r="B6021" s="1">
        <v>45059</v>
      </c>
      <c r="C6021" t="s">
        <v>10501</v>
      </c>
      <c r="D6021" t="s">
        <v>13</v>
      </c>
      <c r="E6021" t="s">
        <v>36</v>
      </c>
      <c r="F6021" t="s">
        <v>64</v>
      </c>
      <c r="G6021">
        <v>4</v>
      </c>
      <c r="H6021">
        <v>27169.22</v>
      </c>
      <c r="I6021">
        <v>1970.38</v>
      </c>
      <c r="J6021" t="s">
        <v>47</v>
      </c>
      <c r="K6021" t="s">
        <v>29</v>
      </c>
      <c r="L6021">
        <f t="shared" si="282"/>
        <v>2023</v>
      </c>
      <c r="M6021" t="str">
        <f t="shared" si="283"/>
        <v>May</v>
      </c>
      <c r="N6021" s="2">
        <f t="shared" si="284"/>
        <v>7.2522508927381796E-2</v>
      </c>
    </row>
    <row r="6022" spans="1:14" x14ac:dyDescent="0.45">
      <c r="A6022" t="s">
        <v>10502</v>
      </c>
      <c r="B6022" s="1">
        <v>45175</v>
      </c>
      <c r="C6022" t="s">
        <v>2414</v>
      </c>
      <c r="D6022" t="s">
        <v>13</v>
      </c>
      <c r="E6022" t="s">
        <v>36</v>
      </c>
      <c r="F6022" t="s">
        <v>46</v>
      </c>
      <c r="G6022">
        <v>4</v>
      </c>
      <c r="H6022">
        <v>9251.39</v>
      </c>
      <c r="I6022">
        <v>2133.9299999999998</v>
      </c>
      <c r="J6022" t="s">
        <v>71</v>
      </c>
      <c r="K6022" t="s">
        <v>23</v>
      </c>
      <c r="L6022">
        <f t="shared" si="282"/>
        <v>2023</v>
      </c>
      <c r="M6022" t="str">
        <f t="shared" si="283"/>
        <v>Sep</v>
      </c>
      <c r="N6022" s="2">
        <f t="shared" si="284"/>
        <v>0.23066047372340806</v>
      </c>
    </row>
    <row r="6023" spans="1:14" x14ac:dyDescent="0.45">
      <c r="A6023" t="s">
        <v>10503</v>
      </c>
      <c r="B6023" s="1">
        <v>44941</v>
      </c>
      <c r="C6023" t="s">
        <v>6668</v>
      </c>
      <c r="D6023" t="s">
        <v>56</v>
      </c>
      <c r="E6023" t="s">
        <v>14</v>
      </c>
      <c r="F6023" t="s">
        <v>57</v>
      </c>
      <c r="G6023">
        <v>3</v>
      </c>
      <c r="H6023">
        <v>10579.09</v>
      </c>
      <c r="I6023">
        <v>603.38</v>
      </c>
      <c r="J6023" t="s">
        <v>28</v>
      </c>
      <c r="K6023" t="s">
        <v>23</v>
      </c>
      <c r="L6023">
        <f t="shared" si="282"/>
        <v>2023</v>
      </c>
      <c r="M6023" t="str">
        <f t="shared" si="283"/>
        <v>Jan</v>
      </c>
      <c r="N6023" s="2">
        <f t="shared" si="284"/>
        <v>5.7035151416615228E-2</v>
      </c>
    </row>
    <row r="6024" spans="1:14" x14ac:dyDescent="0.45">
      <c r="A6024" t="s">
        <v>10504</v>
      </c>
      <c r="B6024" s="1">
        <v>44783</v>
      </c>
      <c r="C6024" t="s">
        <v>5266</v>
      </c>
      <c r="D6024" t="s">
        <v>13</v>
      </c>
      <c r="E6024" t="s">
        <v>20</v>
      </c>
      <c r="F6024" t="s">
        <v>27</v>
      </c>
      <c r="G6024">
        <v>2</v>
      </c>
      <c r="H6024">
        <v>16193.41</v>
      </c>
      <c r="I6024">
        <v>1100.5999999999999</v>
      </c>
      <c r="J6024" t="s">
        <v>16</v>
      </c>
      <c r="K6024" t="s">
        <v>17</v>
      </c>
      <c r="L6024">
        <f t="shared" si="282"/>
        <v>2022</v>
      </c>
      <c r="M6024" t="str">
        <f t="shared" si="283"/>
        <v>Aug</v>
      </c>
      <c r="N6024" s="2">
        <f t="shared" si="284"/>
        <v>6.7965919469710201E-2</v>
      </c>
    </row>
    <row r="6025" spans="1:14" x14ac:dyDescent="0.45">
      <c r="A6025" t="s">
        <v>10505</v>
      </c>
      <c r="B6025" s="1">
        <v>44717</v>
      </c>
      <c r="C6025" t="s">
        <v>1183</v>
      </c>
      <c r="D6025" t="s">
        <v>56</v>
      </c>
      <c r="E6025" t="s">
        <v>20</v>
      </c>
      <c r="F6025" t="s">
        <v>50</v>
      </c>
      <c r="G6025">
        <v>2</v>
      </c>
      <c r="H6025">
        <v>43713.2</v>
      </c>
      <c r="I6025">
        <v>10878.1</v>
      </c>
      <c r="J6025" t="s">
        <v>16</v>
      </c>
      <c r="K6025" t="s">
        <v>33</v>
      </c>
      <c r="L6025">
        <f t="shared" si="282"/>
        <v>2022</v>
      </c>
      <c r="M6025" t="str">
        <f t="shared" si="283"/>
        <v>Jun</v>
      </c>
      <c r="N6025" s="2">
        <f t="shared" si="284"/>
        <v>0.24885160546471091</v>
      </c>
    </row>
    <row r="6026" spans="1:14" x14ac:dyDescent="0.45">
      <c r="A6026" t="s">
        <v>10506</v>
      </c>
      <c r="B6026" s="1">
        <v>45042</v>
      </c>
      <c r="C6026" t="s">
        <v>10507</v>
      </c>
      <c r="D6026" t="s">
        <v>56</v>
      </c>
      <c r="E6026" t="s">
        <v>36</v>
      </c>
      <c r="F6026" t="s">
        <v>46</v>
      </c>
      <c r="G6026">
        <v>3</v>
      </c>
      <c r="H6026">
        <v>8311.77</v>
      </c>
      <c r="I6026">
        <v>986.66</v>
      </c>
      <c r="J6026" t="s">
        <v>28</v>
      </c>
      <c r="K6026" t="s">
        <v>17</v>
      </c>
      <c r="L6026">
        <f t="shared" si="282"/>
        <v>2023</v>
      </c>
      <c r="M6026" t="str">
        <f t="shared" si="283"/>
        <v>Apr</v>
      </c>
      <c r="N6026" s="2">
        <f t="shared" si="284"/>
        <v>0.11870636458901052</v>
      </c>
    </row>
    <row r="6027" spans="1:14" x14ac:dyDescent="0.45">
      <c r="A6027" t="s">
        <v>10508</v>
      </c>
      <c r="B6027" s="1">
        <v>44906</v>
      </c>
      <c r="C6027" t="s">
        <v>6255</v>
      </c>
      <c r="D6027" t="s">
        <v>13</v>
      </c>
      <c r="E6027" t="s">
        <v>36</v>
      </c>
      <c r="F6027" t="s">
        <v>46</v>
      </c>
      <c r="G6027">
        <v>3</v>
      </c>
      <c r="H6027">
        <v>10920.79</v>
      </c>
      <c r="I6027">
        <v>576.32000000000005</v>
      </c>
      <c r="J6027" t="s">
        <v>16</v>
      </c>
      <c r="K6027" t="s">
        <v>17</v>
      </c>
      <c r="L6027">
        <f t="shared" si="282"/>
        <v>2022</v>
      </c>
      <c r="M6027" t="str">
        <f t="shared" si="283"/>
        <v>Dec</v>
      </c>
      <c r="N6027" s="2">
        <f t="shared" si="284"/>
        <v>5.2772738968517849E-2</v>
      </c>
    </row>
    <row r="6028" spans="1:14" x14ac:dyDescent="0.45">
      <c r="A6028" t="s">
        <v>10509</v>
      </c>
      <c r="B6028" s="1">
        <v>45053</v>
      </c>
      <c r="C6028" t="s">
        <v>2384</v>
      </c>
      <c r="D6028" t="s">
        <v>56</v>
      </c>
      <c r="E6028" t="s">
        <v>36</v>
      </c>
      <c r="F6028" t="s">
        <v>64</v>
      </c>
      <c r="G6028">
        <v>3</v>
      </c>
      <c r="H6028">
        <v>28421.77</v>
      </c>
      <c r="I6028">
        <v>6110.9</v>
      </c>
      <c r="J6028" t="s">
        <v>47</v>
      </c>
      <c r="K6028" t="s">
        <v>29</v>
      </c>
      <c r="L6028">
        <f t="shared" si="282"/>
        <v>2023</v>
      </c>
      <c r="M6028" t="str">
        <f t="shared" si="283"/>
        <v>May</v>
      </c>
      <c r="N6028" s="2">
        <f t="shared" si="284"/>
        <v>0.21500772119400022</v>
      </c>
    </row>
    <row r="6029" spans="1:14" x14ac:dyDescent="0.45">
      <c r="A6029" t="s">
        <v>10510</v>
      </c>
      <c r="B6029" s="1">
        <v>44626</v>
      </c>
      <c r="C6029" t="s">
        <v>10511</v>
      </c>
      <c r="D6029" t="s">
        <v>26</v>
      </c>
      <c r="E6029" t="s">
        <v>14</v>
      </c>
      <c r="F6029" t="s">
        <v>40</v>
      </c>
      <c r="G6029">
        <v>2</v>
      </c>
      <c r="H6029">
        <v>30048.22</v>
      </c>
      <c r="I6029">
        <v>2203.37</v>
      </c>
      <c r="J6029" t="s">
        <v>16</v>
      </c>
      <c r="K6029" t="s">
        <v>17</v>
      </c>
      <c r="L6029">
        <f t="shared" si="282"/>
        <v>2022</v>
      </c>
      <c r="M6029" t="str">
        <f t="shared" si="283"/>
        <v>Mar</v>
      </c>
      <c r="N6029" s="2">
        <f t="shared" si="284"/>
        <v>7.3327804442326366E-2</v>
      </c>
    </row>
    <row r="6030" spans="1:14" x14ac:dyDescent="0.45">
      <c r="A6030" t="s">
        <v>10512</v>
      </c>
      <c r="B6030" s="1">
        <v>45042</v>
      </c>
      <c r="C6030" t="s">
        <v>10513</v>
      </c>
      <c r="D6030" t="s">
        <v>13</v>
      </c>
      <c r="E6030" t="s">
        <v>36</v>
      </c>
      <c r="F6030" t="s">
        <v>37</v>
      </c>
      <c r="G6030">
        <v>3</v>
      </c>
      <c r="H6030">
        <v>48692.639999999999</v>
      </c>
      <c r="I6030">
        <v>2997.2</v>
      </c>
      <c r="J6030" t="s">
        <v>16</v>
      </c>
      <c r="K6030" t="s">
        <v>23</v>
      </c>
      <c r="L6030">
        <f t="shared" si="282"/>
        <v>2023</v>
      </c>
      <c r="M6030" t="str">
        <f t="shared" si="283"/>
        <v>Apr</v>
      </c>
      <c r="N6030" s="2">
        <f t="shared" si="284"/>
        <v>6.1553450377716222E-2</v>
      </c>
    </row>
    <row r="6031" spans="1:14" x14ac:dyDescent="0.45">
      <c r="A6031" t="s">
        <v>10514</v>
      </c>
      <c r="B6031" s="1">
        <v>45388</v>
      </c>
      <c r="C6031" t="s">
        <v>10515</v>
      </c>
      <c r="D6031" t="s">
        <v>13</v>
      </c>
      <c r="E6031" t="s">
        <v>36</v>
      </c>
      <c r="F6031" t="s">
        <v>64</v>
      </c>
      <c r="G6031">
        <v>5</v>
      </c>
      <c r="H6031">
        <v>5699.73</v>
      </c>
      <c r="I6031">
        <v>1386.14</v>
      </c>
      <c r="J6031" t="s">
        <v>28</v>
      </c>
      <c r="K6031" t="s">
        <v>33</v>
      </c>
      <c r="L6031">
        <f t="shared" si="282"/>
        <v>2024</v>
      </c>
      <c r="M6031" t="str">
        <f t="shared" si="283"/>
        <v>Apr</v>
      </c>
      <c r="N6031" s="2">
        <f t="shared" si="284"/>
        <v>0.24319397585499666</v>
      </c>
    </row>
    <row r="6032" spans="1:14" x14ac:dyDescent="0.45">
      <c r="A6032" t="s">
        <v>10516</v>
      </c>
      <c r="B6032" s="1">
        <v>45051</v>
      </c>
      <c r="C6032" t="s">
        <v>5550</v>
      </c>
      <c r="D6032" t="s">
        <v>56</v>
      </c>
      <c r="E6032" t="s">
        <v>36</v>
      </c>
      <c r="F6032" t="s">
        <v>64</v>
      </c>
      <c r="G6032">
        <v>2</v>
      </c>
      <c r="H6032">
        <v>32598.22</v>
      </c>
      <c r="I6032">
        <v>2263.88</v>
      </c>
      <c r="J6032" t="s">
        <v>28</v>
      </c>
      <c r="K6032" t="s">
        <v>23</v>
      </c>
      <c r="L6032">
        <f t="shared" si="282"/>
        <v>2023</v>
      </c>
      <c r="M6032" t="str">
        <f t="shared" si="283"/>
        <v>May</v>
      </c>
      <c r="N6032" s="2">
        <f t="shared" si="284"/>
        <v>6.944796372317262E-2</v>
      </c>
    </row>
    <row r="6033" spans="1:14" x14ac:dyDescent="0.45">
      <c r="A6033" t="s">
        <v>10517</v>
      </c>
      <c r="B6033" s="1">
        <v>45400</v>
      </c>
      <c r="C6033" t="s">
        <v>750</v>
      </c>
      <c r="D6033" t="s">
        <v>26</v>
      </c>
      <c r="E6033" t="s">
        <v>36</v>
      </c>
      <c r="F6033" t="s">
        <v>64</v>
      </c>
      <c r="G6033">
        <v>1</v>
      </c>
      <c r="H6033">
        <v>40970.82</v>
      </c>
      <c r="I6033">
        <v>8461.69</v>
      </c>
      <c r="J6033" t="s">
        <v>47</v>
      </c>
      <c r="K6033" t="s">
        <v>33</v>
      </c>
      <c r="L6033">
        <f t="shared" si="282"/>
        <v>2024</v>
      </c>
      <c r="M6033" t="str">
        <f t="shared" si="283"/>
        <v>Apr</v>
      </c>
      <c r="N6033" s="2">
        <f t="shared" si="284"/>
        <v>0.2065296716053035</v>
      </c>
    </row>
    <row r="6034" spans="1:14" x14ac:dyDescent="0.45">
      <c r="A6034" t="s">
        <v>10518</v>
      </c>
      <c r="B6034" s="1">
        <v>45176</v>
      </c>
      <c r="C6034" t="s">
        <v>10519</v>
      </c>
      <c r="D6034" t="s">
        <v>13</v>
      </c>
      <c r="E6034" t="s">
        <v>36</v>
      </c>
      <c r="F6034" t="s">
        <v>37</v>
      </c>
      <c r="G6034">
        <v>5</v>
      </c>
      <c r="H6034">
        <v>26282.06</v>
      </c>
      <c r="I6034">
        <v>2420.7199999999998</v>
      </c>
      <c r="J6034" t="s">
        <v>47</v>
      </c>
      <c r="K6034" t="s">
        <v>17</v>
      </c>
      <c r="L6034">
        <f t="shared" si="282"/>
        <v>2023</v>
      </c>
      <c r="M6034" t="str">
        <f t="shared" si="283"/>
        <v>Sep</v>
      </c>
      <c r="N6034" s="2">
        <f t="shared" si="284"/>
        <v>9.2105413350399457E-2</v>
      </c>
    </row>
    <row r="6035" spans="1:14" x14ac:dyDescent="0.45">
      <c r="A6035" t="s">
        <v>10520</v>
      </c>
      <c r="B6035" s="1">
        <v>45360</v>
      </c>
      <c r="C6035" t="s">
        <v>7163</v>
      </c>
      <c r="D6035" t="s">
        <v>56</v>
      </c>
      <c r="E6035" t="s">
        <v>14</v>
      </c>
      <c r="F6035" t="s">
        <v>32</v>
      </c>
      <c r="G6035">
        <v>1</v>
      </c>
      <c r="H6035">
        <v>12293.95</v>
      </c>
      <c r="I6035">
        <v>2307.48</v>
      </c>
      <c r="J6035" t="s">
        <v>28</v>
      </c>
      <c r="K6035" t="s">
        <v>33</v>
      </c>
      <c r="L6035">
        <f t="shared" si="282"/>
        <v>2024</v>
      </c>
      <c r="M6035" t="str">
        <f t="shared" si="283"/>
        <v>Mar</v>
      </c>
      <c r="N6035" s="2">
        <f t="shared" si="284"/>
        <v>0.18769232020628032</v>
      </c>
    </row>
    <row r="6036" spans="1:14" x14ac:dyDescent="0.45">
      <c r="A6036" t="s">
        <v>10521</v>
      </c>
      <c r="B6036" s="1">
        <v>44858</v>
      </c>
      <c r="C6036" t="s">
        <v>9433</v>
      </c>
      <c r="D6036" t="s">
        <v>56</v>
      </c>
      <c r="E6036" t="s">
        <v>36</v>
      </c>
      <c r="F6036" t="s">
        <v>64</v>
      </c>
      <c r="G6036">
        <v>5</v>
      </c>
      <c r="H6036">
        <v>30360.38</v>
      </c>
      <c r="I6036">
        <v>7010.35</v>
      </c>
      <c r="J6036" t="s">
        <v>16</v>
      </c>
      <c r="K6036" t="s">
        <v>17</v>
      </c>
      <c r="L6036">
        <f t="shared" si="282"/>
        <v>2022</v>
      </c>
      <c r="M6036" t="str">
        <f t="shared" si="283"/>
        <v>Oct</v>
      </c>
      <c r="N6036" s="2">
        <f t="shared" si="284"/>
        <v>0.23090455389557049</v>
      </c>
    </row>
    <row r="6037" spans="1:14" x14ac:dyDescent="0.45">
      <c r="A6037" t="s">
        <v>10522</v>
      </c>
      <c r="B6037" s="1">
        <v>45292</v>
      </c>
      <c r="C6037" t="s">
        <v>3182</v>
      </c>
      <c r="D6037" t="s">
        <v>13</v>
      </c>
      <c r="E6037" t="s">
        <v>14</v>
      </c>
      <c r="F6037" t="s">
        <v>57</v>
      </c>
      <c r="G6037">
        <v>5</v>
      </c>
      <c r="H6037">
        <v>19988.82</v>
      </c>
      <c r="I6037">
        <v>4492.9799999999996</v>
      </c>
      <c r="J6037" t="s">
        <v>47</v>
      </c>
      <c r="K6037" t="s">
        <v>23</v>
      </c>
      <c r="L6037">
        <f t="shared" si="282"/>
        <v>2024</v>
      </c>
      <c r="M6037" t="str">
        <f t="shared" si="283"/>
        <v>Jan</v>
      </c>
      <c r="N6037" s="2">
        <f t="shared" si="284"/>
        <v>0.22477464902880709</v>
      </c>
    </row>
    <row r="6038" spans="1:14" x14ac:dyDescent="0.45">
      <c r="A6038" t="s">
        <v>10523</v>
      </c>
      <c r="B6038" s="1">
        <v>45530</v>
      </c>
      <c r="C6038" t="s">
        <v>2103</v>
      </c>
      <c r="D6038" t="s">
        <v>26</v>
      </c>
      <c r="E6038" t="s">
        <v>20</v>
      </c>
      <c r="F6038" t="s">
        <v>21</v>
      </c>
      <c r="G6038">
        <v>5</v>
      </c>
      <c r="H6038">
        <v>11575.86</v>
      </c>
      <c r="I6038">
        <v>2742.41</v>
      </c>
      <c r="J6038" t="s">
        <v>71</v>
      </c>
      <c r="K6038" t="s">
        <v>17</v>
      </c>
      <c r="L6038">
        <f t="shared" si="282"/>
        <v>2024</v>
      </c>
      <c r="M6038" t="str">
        <f t="shared" si="283"/>
        <v>Aug</v>
      </c>
      <c r="N6038" s="2">
        <f t="shared" si="284"/>
        <v>0.23690766819916617</v>
      </c>
    </row>
    <row r="6039" spans="1:14" x14ac:dyDescent="0.45">
      <c r="A6039" t="s">
        <v>10524</v>
      </c>
      <c r="B6039" s="1">
        <v>45552</v>
      </c>
      <c r="C6039" t="s">
        <v>10525</v>
      </c>
      <c r="D6039" t="s">
        <v>26</v>
      </c>
      <c r="E6039" t="s">
        <v>14</v>
      </c>
      <c r="F6039" t="s">
        <v>57</v>
      </c>
      <c r="G6039">
        <v>3</v>
      </c>
      <c r="H6039">
        <v>30786.58</v>
      </c>
      <c r="I6039">
        <v>1861.86</v>
      </c>
      <c r="J6039" t="s">
        <v>16</v>
      </c>
      <c r="K6039" t="s">
        <v>29</v>
      </c>
      <c r="L6039">
        <f t="shared" si="282"/>
        <v>2024</v>
      </c>
      <c r="M6039" t="str">
        <f t="shared" si="283"/>
        <v>Sep</v>
      </c>
      <c r="N6039" s="2">
        <f t="shared" si="284"/>
        <v>6.0476350409821418E-2</v>
      </c>
    </row>
    <row r="6040" spans="1:14" x14ac:dyDescent="0.45">
      <c r="A6040" t="s">
        <v>10526</v>
      </c>
      <c r="B6040" s="1">
        <v>44661</v>
      </c>
      <c r="C6040" t="s">
        <v>4020</v>
      </c>
      <c r="D6040" t="s">
        <v>56</v>
      </c>
      <c r="E6040" t="s">
        <v>20</v>
      </c>
      <c r="F6040" t="s">
        <v>43</v>
      </c>
      <c r="G6040">
        <v>2</v>
      </c>
      <c r="H6040">
        <v>44172.66</v>
      </c>
      <c r="I6040">
        <v>9089.4699999999993</v>
      </c>
      <c r="J6040" t="s">
        <v>16</v>
      </c>
      <c r="K6040" t="s">
        <v>23</v>
      </c>
      <c r="L6040">
        <f t="shared" si="282"/>
        <v>2022</v>
      </c>
      <c r="M6040" t="str">
        <f t="shared" si="283"/>
        <v>Apr</v>
      </c>
      <c r="N6040" s="2">
        <f t="shared" si="284"/>
        <v>0.20577139796426111</v>
      </c>
    </row>
    <row r="6041" spans="1:14" x14ac:dyDescent="0.45">
      <c r="A6041" t="s">
        <v>10527</v>
      </c>
      <c r="B6041" s="1">
        <v>44677</v>
      </c>
      <c r="C6041" t="s">
        <v>10528</v>
      </c>
      <c r="D6041" t="s">
        <v>56</v>
      </c>
      <c r="E6041" t="s">
        <v>36</v>
      </c>
      <c r="F6041" t="s">
        <v>46</v>
      </c>
      <c r="G6041">
        <v>1</v>
      </c>
      <c r="H6041">
        <v>2880.91</v>
      </c>
      <c r="I6041">
        <v>511.42</v>
      </c>
      <c r="J6041" t="s">
        <v>16</v>
      </c>
      <c r="K6041" t="s">
        <v>23</v>
      </c>
      <c r="L6041">
        <f t="shared" si="282"/>
        <v>2022</v>
      </c>
      <c r="M6041" t="str">
        <f t="shared" si="283"/>
        <v>Apr</v>
      </c>
      <c r="N6041" s="2">
        <f t="shared" si="284"/>
        <v>0.17752029740602798</v>
      </c>
    </row>
    <row r="6042" spans="1:14" x14ac:dyDescent="0.45">
      <c r="A6042" t="s">
        <v>10529</v>
      </c>
      <c r="B6042" s="1">
        <v>44730</v>
      </c>
      <c r="C6042" t="s">
        <v>464</v>
      </c>
      <c r="D6042" t="s">
        <v>26</v>
      </c>
      <c r="E6042" t="s">
        <v>14</v>
      </c>
      <c r="F6042" t="s">
        <v>32</v>
      </c>
      <c r="G6042">
        <v>4</v>
      </c>
      <c r="H6042">
        <v>35265.06</v>
      </c>
      <c r="I6042">
        <v>4583.9799999999996</v>
      </c>
      <c r="J6042" t="s">
        <v>16</v>
      </c>
      <c r="K6042" t="s">
        <v>29</v>
      </c>
      <c r="L6042">
        <f t="shared" si="282"/>
        <v>2022</v>
      </c>
      <c r="M6042" t="str">
        <f t="shared" si="283"/>
        <v>Jun</v>
      </c>
      <c r="N6042" s="2">
        <f t="shared" si="284"/>
        <v>0.12998645117858867</v>
      </c>
    </row>
    <row r="6043" spans="1:14" x14ac:dyDescent="0.45">
      <c r="A6043" t="s">
        <v>10530</v>
      </c>
      <c r="B6043" s="1">
        <v>44766</v>
      </c>
      <c r="C6043" t="s">
        <v>10531</v>
      </c>
      <c r="D6043" t="s">
        <v>26</v>
      </c>
      <c r="E6043" t="s">
        <v>36</v>
      </c>
      <c r="F6043" t="s">
        <v>46</v>
      </c>
      <c r="G6043">
        <v>1</v>
      </c>
      <c r="H6043">
        <v>6568.26</v>
      </c>
      <c r="I6043">
        <v>1343.2</v>
      </c>
      <c r="J6043" t="s">
        <v>47</v>
      </c>
      <c r="K6043" t="s">
        <v>33</v>
      </c>
      <c r="L6043">
        <f t="shared" si="282"/>
        <v>2022</v>
      </c>
      <c r="M6043" t="str">
        <f t="shared" si="283"/>
        <v>Jul</v>
      </c>
      <c r="N6043" s="2">
        <f t="shared" si="284"/>
        <v>0.20449860389205055</v>
      </c>
    </row>
    <row r="6044" spans="1:14" x14ac:dyDescent="0.45">
      <c r="A6044" t="s">
        <v>10532</v>
      </c>
      <c r="B6044" s="1">
        <v>45189</v>
      </c>
      <c r="C6044" t="s">
        <v>8499</v>
      </c>
      <c r="D6044" t="s">
        <v>13</v>
      </c>
      <c r="E6044" t="s">
        <v>36</v>
      </c>
      <c r="F6044" t="s">
        <v>53</v>
      </c>
      <c r="G6044">
        <v>4</v>
      </c>
      <c r="H6044">
        <v>4972.75</v>
      </c>
      <c r="I6044">
        <v>334.36</v>
      </c>
      <c r="J6044" t="s">
        <v>47</v>
      </c>
      <c r="K6044" t="s">
        <v>29</v>
      </c>
      <c r="L6044">
        <f t="shared" si="282"/>
        <v>2023</v>
      </c>
      <c r="M6044" t="str">
        <f t="shared" si="283"/>
        <v>Sep</v>
      </c>
      <c r="N6044" s="2">
        <f t="shared" si="284"/>
        <v>6.7238449550047763E-2</v>
      </c>
    </row>
    <row r="6045" spans="1:14" x14ac:dyDescent="0.45">
      <c r="A6045" t="s">
        <v>10533</v>
      </c>
      <c r="B6045" s="1">
        <v>44619</v>
      </c>
      <c r="C6045" t="s">
        <v>10534</v>
      </c>
      <c r="D6045" t="s">
        <v>26</v>
      </c>
      <c r="E6045" t="s">
        <v>20</v>
      </c>
      <c r="F6045" t="s">
        <v>21</v>
      </c>
      <c r="G6045">
        <v>4</v>
      </c>
      <c r="H6045">
        <v>35417.599999999999</v>
      </c>
      <c r="I6045">
        <v>5759.71</v>
      </c>
      <c r="J6045" t="s">
        <v>47</v>
      </c>
      <c r="K6045" t="s">
        <v>29</v>
      </c>
      <c r="L6045">
        <f t="shared" si="282"/>
        <v>2022</v>
      </c>
      <c r="M6045" t="str">
        <f t="shared" si="283"/>
        <v>Feb</v>
      </c>
      <c r="N6045" s="2">
        <f t="shared" si="284"/>
        <v>0.16262282029273581</v>
      </c>
    </row>
    <row r="6046" spans="1:14" x14ac:dyDescent="0.45">
      <c r="A6046" t="s">
        <v>10535</v>
      </c>
      <c r="B6046" s="1">
        <v>44630</v>
      </c>
      <c r="C6046" t="s">
        <v>10536</v>
      </c>
      <c r="D6046" t="s">
        <v>13</v>
      </c>
      <c r="E6046" t="s">
        <v>14</v>
      </c>
      <c r="F6046" t="s">
        <v>57</v>
      </c>
      <c r="G6046">
        <v>5</v>
      </c>
      <c r="H6046">
        <v>38285.86</v>
      </c>
      <c r="I6046">
        <v>8032.29</v>
      </c>
      <c r="J6046" t="s">
        <v>16</v>
      </c>
      <c r="K6046" t="s">
        <v>17</v>
      </c>
      <c r="L6046">
        <f t="shared" si="282"/>
        <v>2022</v>
      </c>
      <c r="M6046" t="str">
        <f t="shared" si="283"/>
        <v>Mar</v>
      </c>
      <c r="N6046" s="2">
        <f t="shared" si="284"/>
        <v>0.20979782091874127</v>
      </c>
    </row>
    <row r="6047" spans="1:14" x14ac:dyDescent="0.45">
      <c r="A6047" t="s">
        <v>10537</v>
      </c>
      <c r="B6047" s="1">
        <v>45149</v>
      </c>
      <c r="C6047" t="s">
        <v>2665</v>
      </c>
      <c r="D6047" t="s">
        <v>26</v>
      </c>
      <c r="E6047" t="s">
        <v>36</v>
      </c>
      <c r="F6047" t="s">
        <v>37</v>
      </c>
      <c r="G6047">
        <v>1</v>
      </c>
      <c r="H6047">
        <v>43602.46</v>
      </c>
      <c r="I6047">
        <v>7221.98</v>
      </c>
      <c r="J6047" t="s">
        <v>22</v>
      </c>
      <c r="K6047" t="s">
        <v>17</v>
      </c>
      <c r="L6047">
        <f t="shared" si="282"/>
        <v>2023</v>
      </c>
      <c r="M6047" t="str">
        <f t="shared" si="283"/>
        <v>Aug</v>
      </c>
      <c r="N6047" s="2">
        <f t="shared" si="284"/>
        <v>0.16563239780507796</v>
      </c>
    </row>
    <row r="6048" spans="1:14" x14ac:dyDescent="0.45">
      <c r="A6048" t="s">
        <v>10538</v>
      </c>
      <c r="B6048" s="1">
        <v>45309</v>
      </c>
      <c r="C6048" t="s">
        <v>9218</v>
      </c>
      <c r="D6048" t="s">
        <v>13</v>
      </c>
      <c r="E6048" t="s">
        <v>36</v>
      </c>
      <c r="F6048" t="s">
        <v>37</v>
      </c>
      <c r="G6048">
        <v>4</v>
      </c>
      <c r="H6048">
        <v>3945.6</v>
      </c>
      <c r="I6048">
        <v>907.15</v>
      </c>
      <c r="J6048" t="s">
        <v>16</v>
      </c>
      <c r="K6048" t="s">
        <v>29</v>
      </c>
      <c r="L6048">
        <f t="shared" si="282"/>
        <v>2024</v>
      </c>
      <c r="M6048" t="str">
        <f t="shared" si="283"/>
        <v>Jan</v>
      </c>
      <c r="N6048" s="2">
        <f t="shared" si="284"/>
        <v>0.22991433495539335</v>
      </c>
    </row>
    <row r="6049" spans="1:14" x14ac:dyDescent="0.45">
      <c r="A6049" t="s">
        <v>10539</v>
      </c>
      <c r="B6049" s="1">
        <v>45467</v>
      </c>
      <c r="C6049" t="s">
        <v>8351</v>
      </c>
      <c r="D6049" t="s">
        <v>56</v>
      </c>
      <c r="E6049" t="s">
        <v>20</v>
      </c>
      <c r="F6049" t="s">
        <v>50</v>
      </c>
      <c r="G6049">
        <v>3</v>
      </c>
      <c r="H6049">
        <v>21497.119999999999</v>
      </c>
      <c r="I6049">
        <v>1220.6199999999999</v>
      </c>
      <c r="J6049" t="s">
        <v>22</v>
      </c>
      <c r="K6049" t="s">
        <v>29</v>
      </c>
      <c r="L6049">
        <f t="shared" si="282"/>
        <v>2024</v>
      </c>
      <c r="M6049" t="str">
        <f t="shared" si="283"/>
        <v>Jun</v>
      </c>
      <c r="N6049" s="2">
        <f t="shared" si="284"/>
        <v>5.678062921916982E-2</v>
      </c>
    </row>
    <row r="6050" spans="1:14" x14ac:dyDescent="0.45">
      <c r="A6050" t="s">
        <v>10540</v>
      </c>
      <c r="B6050" s="1">
        <v>45131</v>
      </c>
      <c r="C6050" t="s">
        <v>8789</v>
      </c>
      <c r="D6050" t="s">
        <v>13</v>
      </c>
      <c r="E6050" t="s">
        <v>20</v>
      </c>
      <c r="F6050" t="s">
        <v>21</v>
      </c>
      <c r="G6050">
        <v>1</v>
      </c>
      <c r="H6050">
        <v>22150.22</v>
      </c>
      <c r="I6050">
        <v>3356.01</v>
      </c>
      <c r="J6050" t="s">
        <v>28</v>
      </c>
      <c r="K6050" t="s">
        <v>33</v>
      </c>
      <c r="L6050">
        <f t="shared" si="282"/>
        <v>2023</v>
      </c>
      <c r="M6050" t="str">
        <f t="shared" si="283"/>
        <v>Jul</v>
      </c>
      <c r="N6050" s="2">
        <f t="shared" si="284"/>
        <v>0.15151136196389922</v>
      </c>
    </row>
    <row r="6051" spans="1:14" x14ac:dyDescent="0.45">
      <c r="A6051" t="s">
        <v>10541</v>
      </c>
      <c r="B6051" s="1">
        <v>44667</v>
      </c>
      <c r="C6051" t="s">
        <v>4050</v>
      </c>
      <c r="D6051" t="s">
        <v>26</v>
      </c>
      <c r="E6051" t="s">
        <v>36</v>
      </c>
      <c r="F6051" t="s">
        <v>46</v>
      </c>
      <c r="G6051">
        <v>3</v>
      </c>
      <c r="H6051">
        <v>39157.040000000001</v>
      </c>
      <c r="I6051">
        <v>2153.6799999999998</v>
      </c>
      <c r="J6051" t="s">
        <v>71</v>
      </c>
      <c r="K6051" t="s">
        <v>23</v>
      </c>
      <c r="L6051">
        <f t="shared" si="282"/>
        <v>2022</v>
      </c>
      <c r="M6051" t="str">
        <f t="shared" si="283"/>
        <v>Apr</v>
      </c>
      <c r="N6051" s="2">
        <f t="shared" si="284"/>
        <v>5.5001093034611398E-2</v>
      </c>
    </row>
    <row r="6052" spans="1:14" x14ac:dyDescent="0.45">
      <c r="A6052" t="s">
        <v>10542</v>
      </c>
      <c r="B6052" s="1">
        <v>44704</v>
      </c>
      <c r="C6052" t="s">
        <v>9054</v>
      </c>
      <c r="D6052" t="s">
        <v>13</v>
      </c>
      <c r="E6052" t="s">
        <v>36</v>
      </c>
      <c r="F6052" t="s">
        <v>46</v>
      </c>
      <c r="G6052">
        <v>3</v>
      </c>
      <c r="H6052">
        <v>22916.23</v>
      </c>
      <c r="I6052">
        <v>2466.42</v>
      </c>
      <c r="J6052" t="s">
        <v>28</v>
      </c>
      <c r="K6052" t="s">
        <v>17</v>
      </c>
      <c r="L6052">
        <f t="shared" si="282"/>
        <v>2022</v>
      </c>
      <c r="M6052" t="str">
        <f t="shared" si="283"/>
        <v>May</v>
      </c>
      <c r="N6052" s="2">
        <f t="shared" si="284"/>
        <v>0.10762765079596426</v>
      </c>
    </row>
    <row r="6053" spans="1:14" x14ac:dyDescent="0.45">
      <c r="A6053" t="s">
        <v>10543</v>
      </c>
      <c r="B6053" s="1">
        <v>44901</v>
      </c>
      <c r="C6053" t="s">
        <v>10544</v>
      </c>
      <c r="D6053" t="s">
        <v>13</v>
      </c>
      <c r="E6053" t="s">
        <v>20</v>
      </c>
      <c r="F6053" t="s">
        <v>43</v>
      </c>
      <c r="G6053">
        <v>3</v>
      </c>
      <c r="H6053">
        <v>36271.980000000003</v>
      </c>
      <c r="I6053">
        <v>7716.91</v>
      </c>
      <c r="J6053" t="s">
        <v>28</v>
      </c>
      <c r="K6053" t="s">
        <v>23</v>
      </c>
      <c r="L6053">
        <f t="shared" si="282"/>
        <v>2022</v>
      </c>
      <c r="M6053" t="str">
        <f t="shared" si="283"/>
        <v>Dec</v>
      </c>
      <c r="N6053" s="2">
        <f t="shared" si="284"/>
        <v>0.21275127522677281</v>
      </c>
    </row>
    <row r="6054" spans="1:14" x14ac:dyDescent="0.45">
      <c r="A6054" t="s">
        <v>10545</v>
      </c>
      <c r="B6054" s="1">
        <v>44755</v>
      </c>
      <c r="C6054" t="s">
        <v>3294</v>
      </c>
      <c r="D6054" t="s">
        <v>26</v>
      </c>
      <c r="E6054" t="s">
        <v>14</v>
      </c>
      <c r="F6054" t="s">
        <v>40</v>
      </c>
      <c r="G6054">
        <v>3</v>
      </c>
      <c r="H6054">
        <v>9505.2999999999993</v>
      </c>
      <c r="I6054">
        <v>2355</v>
      </c>
      <c r="J6054" t="s">
        <v>28</v>
      </c>
      <c r="K6054" t="s">
        <v>29</v>
      </c>
      <c r="L6054">
        <f t="shared" si="282"/>
        <v>2022</v>
      </c>
      <c r="M6054" t="str">
        <f t="shared" si="283"/>
        <v>Jul</v>
      </c>
      <c r="N6054" s="2">
        <f t="shared" si="284"/>
        <v>0.24775651478648755</v>
      </c>
    </row>
    <row r="6055" spans="1:14" x14ac:dyDescent="0.45">
      <c r="A6055" t="s">
        <v>10546</v>
      </c>
      <c r="B6055" s="1">
        <v>44940</v>
      </c>
      <c r="C6055" t="s">
        <v>9607</v>
      </c>
      <c r="D6055" t="s">
        <v>56</v>
      </c>
      <c r="E6055" t="s">
        <v>20</v>
      </c>
      <c r="F6055" t="s">
        <v>21</v>
      </c>
      <c r="G6055">
        <v>5</v>
      </c>
      <c r="H6055">
        <v>8144.19</v>
      </c>
      <c r="I6055">
        <v>543.47</v>
      </c>
      <c r="J6055" t="s">
        <v>71</v>
      </c>
      <c r="K6055" t="s">
        <v>29</v>
      </c>
      <c r="L6055">
        <f t="shared" si="282"/>
        <v>2023</v>
      </c>
      <c r="M6055" t="str">
        <f t="shared" si="283"/>
        <v>Jan</v>
      </c>
      <c r="N6055" s="2">
        <f t="shared" si="284"/>
        <v>6.6731007012360968E-2</v>
      </c>
    </row>
    <row r="6056" spans="1:14" x14ac:dyDescent="0.45">
      <c r="A6056" t="s">
        <v>10547</v>
      </c>
      <c r="B6056" s="1">
        <v>44664</v>
      </c>
      <c r="C6056" t="s">
        <v>658</v>
      </c>
      <c r="D6056" t="s">
        <v>26</v>
      </c>
      <c r="E6056" t="s">
        <v>20</v>
      </c>
      <c r="F6056" t="s">
        <v>27</v>
      </c>
      <c r="G6056">
        <v>4</v>
      </c>
      <c r="H6056">
        <v>35358.49</v>
      </c>
      <c r="I6056">
        <v>5532.48</v>
      </c>
      <c r="J6056" t="s">
        <v>71</v>
      </c>
      <c r="K6056" t="s">
        <v>23</v>
      </c>
      <c r="L6056">
        <f t="shared" si="282"/>
        <v>2022</v>
      </c>
      <c r="M6056" t="str">
        <f t="shared" si="283"/>
        <v>Apr</v>
      </c>
      <c r="N6056" s="2">
        <f t="shared" si="284"/>
        <v>0.1564682202209427</v>
      </c>
    </row>
    <row r="6057" spans="1:14" x14ac:dyDescent="0.45">
      <c r="A6057" t="s">
        <v>10548</v>
      </c>
      <c r="B6057" s="1">
        <v>44985</v>
      </c>
      <c r="C6057" t="s">
        <v>2060</v>
      </c>
      <c r="D6057" t="s">
        <v>26</v>
      </c>
      <c r="E6057" t="s">
        <v>36</v>
      </c>
      <c r="F6057" t="s">
        <v>64</v>
      </c>
      <c r="G6057">
        <v>4</v>
      </c>
      <c r="H6057">
        <v>2785.02</v>
      </c>
      <c r="I6057">
        <v>435.36</v>
      </c>
      <c r="J6057" t="s">
        <v>16</v>
      </c>
      <c r="K6057" t="s">
        <v>17</v>
      </c>
      <c r="L6057">
        <f t="shared" si="282"/>
        <v>2023</v>
      </c>
      <c r="M6057" t="str">
        <f t="shared" si="283"/>
        <v>Feb</v>
      </c>
      <c r="N6057" s="2">
        <f t="shared" si="284"/>
        <v>0.15632203718465218</v>
      </c>
    </row>
    <row r="6058" spans="1:14" x14ac:dyDescent="0.45">
      <c r="A6058" t="s">
        <v>10549</v>
      </c>
      <c r="B6058" s="1">
        <v>45382</v>
      </c>
      <c r="C6058" t="s">
        <v>10550</v>
      </c>
      <c r="D6058" t="s">
        <v>13</v>
      </c>
      <c r="E6058" t="s">
        <v>36</v>
      </c>
      <c r="F6058" t="s">
        <v>37</v>
      </c>
      <c r="G6058">
        <v>2</v>
      </c>
      <c r="H6058">
        <v>44993.55</v>
      </c>
      <c r="I6058">
        <v>8489.11</v>
      </c>
      <c r="J6058" t="s">
        <v>47</v>
      </c>
      <c r="K6058" t="s">
        <v>29</v>
      </c>
      <c r="L6058">
        <f t="shared" si="282"/>
        <v>2024</v>
      </c>
      <c r="M6058" t="str">
        <f t="shared" si="283"/>
        <v>Mar</v>
      </c>
      <c r="N6058" s="2">
        <f t="shared" si="284"/>
        <v>0.18867393215249742</v>
      </c>
    </row>
    <row r="6059" spans="1:14" x14ac:dyDescent="0.45">
      <c r="A6059" t="s">
        <v>10551</v>
      </c>
      <c r="B6059" s="1">
        <v>45605</v>
      </c>
      <c r="C6059" t="s">
        <v>45</v>
      </c>
      <c r="D6059" t="s">
        <v>26</v>
      </c>
      <c r="E6059" t="s">
        <v>36</v>
      </c>
      <c r="F6059" t="s">
        <v>46</v>
      </c>
      <c r="G6059">
        <v>4</v>
      </c>
      <c r="H6059">
        <v>5581.85</v>
      </c>
      <c r="I6059">
        <v>899.4</v>
      </c>
      <c r="J6059" t="s">
        <v>16</v>
      </c>
      <c r="K6059" t="s">
        <v>33</v>
      </c>
      <c r="L6059">
        <f t="shared" si="282"/>
        <v>2024</v>
      </c>
      <c r="M6059" t="str">
        <f t="shared" si="283"/>
        <v>Nov</v>
      </c>
      <c r="N6059" s="2">
        <f t="shared" si="284"/>
        <v>0.16112937466968835</v>
      </c>
    </row>
    <row r="6060" spans="1:14" x14ac:dyDescent="0.45">
      <c r="A6060" t="s">
        <v>10552</v>
      </c>
      <c r="B6060" s="1">
        <v>45029</v>
      </c>
      <c r="C6060" t="s">
        <v>2270</v>
      </c>
      <c r="D6060" t="s">
        <v>56</v>
      </c>
      <c r="E6060" t="s">
        <v>36</v>
      </c>
      <c r="F6060" t="s">
        <v>64</v>
      </c>
      <c r="G6060">
        <v>2</v>
      </c>
      <c r="H6060">
        <v>22525.53</v>
      </c>
      <c r="I6060">
        <v>4539.58</v>
      </c>
      <c r="J6060" t="s">
        <v>22</v>
      </c>
      <c r="K6060" t="s">
        <v>23</v>
      </c>
      <c r="L6060">
        <f t="shared" si="282"/>
        <v>2023</v>
      </c>
      <c r="M6060" t="str">
        <f t="shared" si="283"/>
        <v>Apr</v>
      </c>
      <c r="N6060" s="2">
        <f t="shared" si="284"/>
        <v>0.20153044123712074</v>
      </c>
    </row>
    <row r="6061" spans="1:14" x14ac:dyDescent="0.45">
      <c r="A6061" t="s">
        <v>10553</v>
      </c>
      <c r="B6061" s="1">
        <v>45226</v>
      </c>
      <c r="C6061" t="s">
        <v>10554</v>
      </c>
      <c r="D6061" t="s">
        <v>56</v>
      </c>
      <c r="E6061" t="s">
        <v>14</v>
      </c>
      <c r="F6061" t="s">
        <v>15</v>
      </c>
      <c r="G6061">
        <v>3</v>
      </c>
      <c r="H6061">
        <v>6010.6</v>
      </c>
      <c r="I6061">
        <v>432.65</v>
      </c>
      <c r="J6061" t="s">
        <v>16</v>
      </c>
      <c r="K6061" t="s">
        <v>29</v>
      </c>
      <c r="L6061">
        <f t="shared" si="282"/>
        <v>2023</v>
      </c>
      <c r="M6061" t="str">
        <f t="shared" si="283"/>
        <v>Oct</v>
      </c>
      <c r="N6061" s="2">
        <f t="shared" si="284"/>
        <v>7.1981166605663324E-2</v>
      </c>
    </row>
    <row r="6062" spans="1:14" x14ac:dyDescent="0.45">
      <c r="A6062" t="s">
        <v>10555</v>
      </c>
      <c r="B6062" s="1">
        <v>45038</v>
      </c>
      <c r="C6062" t="s">
        <v>1103</v>
      </c>
      <c r="D6062" t="s">
        <v>13</v>
      </c>
      <c r="E6062" t="s">
        <v>20</v>
      </c>
      <c r="F6062" t="s">
        <v>21</v>
      </c>
      <c r="G6062">
        <v>3</v>
      </c>
      <c r="H6062">
        <v>44158.18</v>
      </c>
      <c r="I6062">
        <v>4894.37</v>
      </c>
      <c r="J6062" t="s">
        <v>28</v>
      </c>
      <c r="K6062" t="s">
        <v>23</v>
      </c>
      <c r="L6062">
        <f t="shared" si="282"/>
        <v>2023</v>
      </c>
      <c r="M6062" t="str">
        <f t="shared" si="283"/>
        <v>Apr</v>
      </c>
      <c r="N6062" s="2">
        <f t="shared" si="284"/>
        <v>0.11083722200507358</v>
      </c>
    </row>
    <row r="6063" spans="1:14" x14ac:dyDescent="0.45">
      <c r="A6063" t="s">
        <v>10556</v>
      </c>
      <c r="B6063" s="1">
        <v>45388</v>
      </c>
      <c r="C6063" t="s">
        <v>2222</v>
      </c>
      <c r="D6063" t="s">
        <v>56</v>
      </c>
      <c r="E6063" t="s">
        <v>14</v>
      </c>
      <c r="F6063" t="s">
        <v>57</v>
      </c>
      <c r="G6063">
        <v>1</v>
      </c>
      <c r="H6063">
        <v>44108.79</v>
      </c>
      <c r="I6063">
        <v>9915.7199999999993</v>
      </c>
      <c r="J6063" t="s">
        <v>28</v>
      </c>
      <c r="K6063" t="s">
        <v>17</v>
      </c>
      <c r="L6063">
        <f t="shared" si="282"/>
        <v>2024</v>
      </c>
      <c r="M6063" t="str">
        <f t="shared" si="283"/>
        <v>Apr</v>
      </c>
      <c r="N6063" s="2">
        <f t="shared" si="284"/>
        <v>0.2248014511393307</v>
      </c>
    </row>
    <row r="6064" spans="1:14" x14ac:dyDescent="0.45">
      <c r="A6064" t="s">
        <v>10557</v>
      </c>
      <c r="B6064" s="1">
        <v>44973</v>
      </c>
      <c r="C6064" t="s">
        <v>10558</v>
      </c>
      <c r="D6064" t="s">
        <v>13</v>
      </c>
      <c r="E6064" t="s">
        <v>14</v>
      </c>
      <c r="F6064" t="s">
        <v>32</v>
      </c>
      <c r="G6064">
        <v>1</v>
      </c>
      <c r="H6064">
        <v>14065.97</v>
      </c>
      <c r="I6064">
        <v>2755</v>
      </c>
      <c r="J6064" t="s">
        <v>16</v>
      </c>
      <c r="K6064" t="s">
        <v>33</v>
      </c>
      <c r="L6064">
        <f t="shared" si="282"/>
        <v>2023</v>
      </c>
      <c r="M6064" t="str">
        <f t="shared" si="283"/>
        <v>Feb</v>
      </c>
      <c r="N6064" s="2">
        <f t="shared" si="284"/>
        <v>0.19586278088180198</v>
      </c>
    </row>
    <row r="6065" spans="1:14" x14ac:dyDescent="0.45">
      <c r="A6065" t="s">
        <v>10559</v>
      </c>
      <c r="B6065" s="1">
        <v>45503</v>
      </c>
      <c r="C6065" t="s">
        <v>7991</v>
      </c>
      <c r="D6065" t="s">
        <v>56</v>
      </c>
      <c r="E6065" t="s">
        <v>14</v>
      </c>
      <c r="F6065" t="s">
        <v>57</v>
      </c>
      <c r="G6065">
        <v>3</v>
      </c>
      <c r="H6065">
        <v>19182.63</v>
      </c>
      <c r="I6065">
        <v>4426.01</v>
      </c>
      <c r="J6065" t="s">
        <v>47</v>
      </c>
      <c r="K6065" t="s">
        <v>33</v>
      </c>
      <c r="L6065">
        <f t="shared" si="282"/>
        <v>2024</v>
      </c>
      <c r="M6065" t="str">
        <f t="shared" si="283"/>
        <v>Jul</v>
      </c>
      <c r="N6065" s="2">
        <f t="shared" si="284"/>
        <v>0.2307300927974944</v>
      </c>
    </row>
    <row r="6066" spans="1:14" x14ac:dyDescent="0.45">
      <c r="A6066" t="s">
        <v>10560</v>
      </c>
      <c r="B6066" s="1">
        <v>44983</v>
      </c>
      <c r="C6066" t="s">
        <v>8621</v>
      </c>
      <c r="D6066" t="s">
        <v>56</v>
      </c>
      <c r="E6066" t="s">
        <v>36</v>
      </c>
      <c r="F6066" t="s">
        <v>53</v>
      </c>
      <c r="G6066">
        <v>2</v>
      </c>
      <c r="H6066">
        <v>48444</v>
      </c>
      <c r="I6066">
        <v>9010.4699999999993</v>
      </c>
      <c r="J6066" t="s">
        <v>22</v>
      </c>
      <c r="K6066" t="s">
        <v>17</v>
      </c>
      <c r="L6066">
        <f t="shared" si="282"/>
        <v>2023</v>
      </c>
      <c r="M6066" t="str">
        <f t="shared" si="283"/>
        <v>Feb</v>
      </c>
      <c r="N6066" s="2">
        <f t="shared" si="284"/>
        <v>0.18599764676740152</v>
      </c>
    </row>
    <row r="6067" spans="1:14" x14ac:dyDescent="0.45">
      <c r="A6067" t="s">
        <v>10561</v>
      </c>
      <c r="B6067" s="1">
        <v>44674</v>
      </c>
      <c r="C6067" t="s">
        <v>504</v>
      </c>
      <c r="D6067" t="s">
        <v>13</v>
      </c>
      <c r="E6067" t="s">
        <v>20</v>
      </c>
      <c r="F6067" t="s">
        <v>43</v>
      </c>
      <c r="G6067">
        <v>5</v>
      </c>
      <c r="H6067">
        <v>44736.49</v>
      </c>
      <c r="I6067">
        <v>7588.27</v>
      </c>
      <c r="J6067" t="s">
        <v>22</v>
      </c>
      <c r="K6067" t="s">
        <v>17</v>
      </c>
      <c r="L6067">
        <f t="shared" si="282"/>
        <v>2022</v>
      </c>
      <c r="M6067" t="str">
        <f t="shared" si="283"/>
        <v>Apr</v>
      </c>
      <c r="N6067" s="2">
        <f t="shared" si="284"/>
        <v>0.16962148796206408</v>
      </c>
    </row>
    <row r="6068" spans="1:14" x14ac:dyDescent="0.45">
      <c r="A6068" t="s">
        <v>10562</v>
      </c>
      <c r="B6068" s="1">
        <v>44565</v>
      </c>
      <c r="C6068" t="s">
        <v>8899</v>
      </c>
      <c r="D6068" t="s">
        <v>56</v>
      </c>
      <c r="E6068" t="s">
        <v>36</v>
      </c>
      <c r="F6068" t="s">
        <v>37</v>
      </c>
      <c r="G6068">
        <v>3</v>
      </c>
      <c r="H6068">
        <v>28028.76</v>
      </c>
      <c r="I6068">
        <v>6195.51</v>
      </c>
      <c r="J6068" t="s">
        <v>16</v>
      </c>
      <c r="K6068" t="s">
        <v>23</v>
      </c>
      <c r="L6068">
        <f t="shared" si="282"/>
        <v>2022</v>
      </c>
      <c r="M6068" t="str">
        <f t="shared" si="283"/>
        <v>Jan</v>
      </c>
      <c r="N6068" s="2">
        <f t="shared" si="284"/>
        <v>0.2210411734232981</v>
      </c>
    </row>
    <row r="6069" spans="1:14" x14ac:dyDescent="0.45">
      <c r="A6069" t="s">
        <v>10563</v>
      </c>
      <c r="B6069" s="1">
        <v>45319</v>
      </c>
      <c r="C6069" t="s">
        <v>5989</v>
      </c>
      <c r="D6069" t="s">
        <v>56</v>
      </c>
      <c r="E6069" t="s">
        <v>14</v>
      </c>
      <c r="F6069" t="s">
        <v>32</v>
      </c>
      <c r="G6069">
        <v>2</v>
      </c>
      <c r="H6069">
        <v>20250.37</v>
      </c>
      <c r="I6069">
        <v>2185.04</v>
      </c>
      <c r="J6069" t="s">
        <v>16</v>
      </c>
      <c r="K6069" t="s">
        <v>33</v>
      </c>
      <c r="L6069">
        <f t="shared" si="282"/>
        <v>2024</v>
      </c>
      <c r="M6069" t="str">
        <f t="shared" si="283"/>
        <v>Jan</v>
      </c>
      <c r="N6069" s="2">
        <f t="shared" si="284"/>
        <v>0.10790123834774377</v>
      </c>
    </row>
    <row r="6070" spans="1:14" x14ac:dyDescent="0.45">
      <c r="A6070" t="s">
        <v>10564</v>
      </c>
      <c r="B6070" s="1">
        <v>44698</v>
      </c>
      <c r="C6070" t="s">
        <v>10565</v>
      </c>
      <c r="D6070" t="s">
        <v>26</v>
      </c>
      <c r="E6070" t="s">
        <v>14</v>
      </c>
      <c r="F6070" t="s">
        <v>57</v>
      </c>
      <c r="G6070">
        <v>2</v>
      </c>
      <c r="H6070">
        <v>17396.21</v>
      </c>
      <c r="I6070">
        <v>3307.49</v>
      </c>
      <c r="J6070" t="s">
        <v>28</v>
      </c>
      <c r="K6070" t="s">
        <v>29</v>
      </c>
      <c r="L6070">
        <f t="shared" si="282"/>
        <v>2022</v>
      </c>
      <c r="M6070" t="str">
        <f t="shared" si="283"/>
        <v>May</v>
      </c>
      <c r="N6070" s="2">
        <f t="shared" si="284"/>
        <v>0.19012704491380594</v>
      </c>
    </row>
    <row r="6071" spans="1:14" x14ac:dyDescent="0.45">
      <c r="A6071" t="s">
        <v>10566</v>
      </c>
      <c r="B6071" s="1">
        <v>44923</v>
      </c>
      <c r="C6071" t="s">
        <v>7347</v>
      </c>
      <c r="D6071" t="s">
        <v>26</v>
      </c>
      <c r="E6071" t="s">
        <v>20</v>
      </c>
      <c r="F6071" t="s">
        <v>27</v>
      </c>
      <c r="G6071">
        <v>5</v>
      </c>
      <c r="H6071">
        <v>37041.5</v>
      </c>
      <c r="I6071">
        <v>2510.5</v>
      </c>
      <c r="J6071" t="s">
        <v>71</v>
      </c>
      <c r="K6071" t="s">
        <v>23</v>
      </c>
      <c r="L6071">
        <f t="shared" si="282"/>
        <v>2022</v>
      </c>
      <c r="M6071" t="str">
        <f t="shared" si="283"/>
        <v>Dec</v>
      </c>
      <c r="N6071" s="2">
        <f t="shared" si="284"/>
        <v>6.7775333072364774E-2</v>
      </c>
    </row>
    <row r="6072" spans="1:14" x14ac:dyDescent="0.45">
      <c r="A6072" t="s">
        <v>10567</v>
      </c>
      <c r="B6072" s="1">
        <v>44886</v>
      </c>
      <c r="C6072" t="s">
        <v>3387</v>
      </c>
      <c r="D6072" t="s">
        <v>26</v>
      </c>
      <c r="E6072" t="s">
        <v>20</v>
      </c>
      <c r="F6072" t="s">
        <v>50</v>
      </c>
      <c r="G6072">
        <v>1</v>
      </c>
      <c r="H6072">
        <v>20491.68</v>
      </c>
      <c r="I6072">
        <v>3009.55</v>
      </c>
      <c r="J6072" t="s">
        <v>28</v>
      </c>
      <c r="K6072" t="s">
        <v>33</v>
      </c>
      <c r="L6072">
        <f t="shared" si="282"/>
        <v>2022</v>
      </c>
      <c r="M6072" t="str">
        <f t="shared" si="283"/>
        <v>Nov</v>
      </c>
      <c r="N6072" s="2">
        <f t="shared" si="284"/>
        <v>0.14686692355141209</v>
      </c>
    </row>
    <row r="6073" spans="1:14" x14ac:dyDescent="0.45">
      <c r="A6073" t="s">
        <v>10568</v>
      </c>
      <c r="B6073" s="1">
        <v>44825</v>
      </c>
      <c r="C6073" t="s">
        <v>4456</v>
      </c>
      <c r="D6073" t="s">
        <v>26</v>
      </c>
      <c r="E6073" t="s">
        <v>36</v>
      </c>
      <c r="F6073" t="s">
        <v>46</v>
      </c>
      <c r="G6073">
        <v>1</v>
      </c>
      <c r="H6073">
        <v>8685.16</v>
      </c>
      <c r="I6073">
        <v>1590.7</v>
      </c>
      <c r="J6073" t="s">
        <v>22</v>
      </c>
      <c r="K6073" t="s">
        <v>23</v>
      </c>
      <c r="L6073">
        <f t="shared" si="282"/>
        <v>2022</v>
      </c>
      <c r="M6073" t="str">
        <f t="shared" si="283"/>
        <v>Sep</v>
      </c>
      <c r="N6073" s="2">
        <f t="shared" si="284"/>
        <v>0.18315149058854416</v>
      </c>
    </row>
    <row r="6074" spans="1:14" x14ac:dyDescent="0.45">
      <c r="A6074" t="s">
        <v>10569</v>
      </c>
      <c r="B6074" s="1">
        <v>45349</v>
      </c>
      <c r="C6074" t="s">
        <v>2226</v>
      </c>
      <c r="D6074" t="s">
        <v>13</v>
      </c>
      <c r="E6074" t="s">
        <v>14</v>
      </c>
      <c r="F6074" t="s">
        <v>57</v>
      </c>
      <c r="G6074">
        <v>4</v>
      </c>
      <c r="H6074">
        <v>44443.49</v>
      </c>
      <c r="I6074">
        <v>7071.09</v>
      </c>
      <c r="J6074" t="s">
        <v>16</v>
      </c>
      <c r="K6074" t="s">
        <v>23</v>
      </c>
      <c r="L6074">
        <f t="shared" si="282"/>
        <v>2024</v>
      </c>
      <c r="M6074" t="str">
        <f t="shared" si="283"/>
        <v>Feb</v>
      </c>
      <c r="N6074" s="2">
        <f t="shared" si="284"/>
        <v>0.1591029417356738</v>
      </c>
    </row>
    <row r="6075" spans="1:14" x14ac:dyDescent="0.45">
      <c r="A6075" t="s">
        <v>10570</v>
      </c>
      <c r="B6075" s="1">
        <v>44666</v>
      </c>
      <c r="C6075" t="s">
        <v>3033</v>
      </c>
      <c r="D6075" t="s">
        <v>13</v>
      </c>
      <c r="E6075" t="s">
        <v>20</v>
      </c>
      <c r="F6075" t="s">
        <v>27</v>
      </c>
      <c r="G6075">
        <v>3</v>
      </c>
      <c r="H6075">
        <v>49297.47</v>
      </c>
      <c r="I6075">
        <v>10638.82</v>
      </c>
      <c r="J6075" t="s">
        <v>47</v>
      </c>
      <c r="K6075" t="s">
        <v>23</v>
      </c>
      <c r="L6075">
        <f t="shared" si="282"/>
        <v>2022</v>
      </c>
      <c r="M6075" t="str">
        <f t="shared" si="283"/>
        <v>Apr</v>
      </c>
      <c r="N6075" s="2">
        <f t="shared" si="284"/>
        <v>0.2158086408896846</v>
      </c>
    </row>
    <row r="6076" spans="1:14" x14ac:dyDescent="0.45">
      <c r="A6076" t="s">
        <v>10571</v>
      </c>
      <c r="B6076" s="1">
        <v>45438</v>
      </c>
      <c r="C6076" t="s">
        <v>10572</v>
      </c>
      <c r="D6076" t="s">
        <v>26</v>
      </c>
      <c r="E6076" t="s">
        <v>20</v>
      </c>
      <c r="F6076" t="s">
        <v>27</v>
      </c>
      <c r="G6076">
        <v>2</v>
      </c>
      <c r="H6076">
        <v>46357.29</v>
      </c>
      <c r="I6076">
        <v>8439.01</v>
      </c>
      <c r="J6076" t="s">
        <v>16</v>
      </c>
      <c r="K6076" t="s">
        <v>23</v>
      </c>
      <c r="L6076">
        <f t="shared" si="282"/>
        <v>2024</v>
      </c>
      <c r="M6076" t="str">
        <f t="shared" si="283"/>
        <v>May</v>
      </c>
      <c r="N6076" s="2">
        <f t="shared" si="284"/>
        <v>0.18204278118932318</v>
      </c>
    </row>
    <row r="6077" spans="1:14" x14ac:dyDescent="0.45">
      <c r="A6077" t="s">
        <v>10573</v>
      </c>
      <c r="B6077" s="1">
        <v>44941</v>
      </c>
      <c r="C6077" t="s">
        <v>10574</v>
      </c>
      <c r="D6077" t="s">
        <v>56</v>
      </c>
      <c r="E6077" t="s">
        <v>36</v>
      </c>
      <c r="F6077" t="s">
        <v>37</v>
      </c>
      <c r="G6077">
        <v>1</v>
      </c>
      <c r="H6077">
        <v>36246.089999999997</v>
      </c>
      <c r="I6077">
        <v>7205.26</v>
      </c>
      <c r="J6077" t="s">
        <v>22</v>
      </c>
      <c r="K6077" t="s">
        <v>33</v>
      </c>
      <c r="L6077">
        <f t="shared" si="282"/>
        <v>2023</v>
      </c>
      <c r="M6077" t="str">
        <f t="shared" si="283"/>
        <v>Jan</v>
      </c>
      <c r="N6077" s="2">
        <f t="shared" si="284"/>
        <v>0.19878723470586762</v>
      </c>
    </row>
    <row r="6078" spans="1:14" x14ac:dyDescent="0.45">
      <c r="A6078" t="s">
        <v>10575</v>
      </c>
      <c r="B6078" s="1">
        <v>45015</v>
      </c>
      <c r="C6078" t="s">
        <v>10576</v>
      </c>
      <c r="D6078" t="s">
        <v>26</v>
      </c>
      <c r="E6078" t="s">
        <v>14</v>
      </c>
      <c r="F6078" t="s">
        <v>15</v>
      </c>
      <c r="G6078">
        <v>5</v>
      </c>
      <c r="H6078">
        <v>34961.089999999997</v>
      </c>
      <c r="I6078">
        <v>2218.41</v>
      </c>
      <c r="J6078" t="s">
        <v>71</v>
      </c>
      <c r="K6078" t="s">
        <v>23</v>
      </c>
      <c r="L6078">
        <f t="shared" si="282"/>
        <v>2023</v>
      </c>
      <c r="M6078" t="str">
        <f t="shared" si="283"/>
        <v>Mar</v>
      </c>
      <c r="N6078" s="2">
        <f t="shared" si="284"/>
        <v>6.3453685225489248E-2</v>
      </c>
    </row>
    <row r="6079" spans="1:14" x14ac:dyDescent="0.45">
      <c r="A6079" t="s">
        <v>10577</v>
      </c>
      <c r="B6079" s="1">
        <v>45217</v>
      </c>
      <c r="C6079" t="s">
        <v>3521</v>
      </c>
      <c r="D6079" t="s">
        <v>13</v>
      </c>
      <c r="E6079" t="s">
        <v>14</v>
      </c>
      <c r="F6079" t="s">
        <v>32</v>
      </c>
      <c r="G6079">
        <v>3</v>
      </c>
      <c r="H6079">
        <v>29346.27</v>
      </c>
      <c r="I6079">
        <v>1859.03</v>
      </c>
      <c r="J6079" t="s">
        <v>47</v>
      </c>
      <c r="K6079" t="s">
        <v>17</v>
      </c>
      <c r="L6079">
        <f t="shared" si="282"/>
        <v>2023</v>
      </c>
      <c r="M6079" t="str">
        <f t="shared" si="283"/>
        <v>Oct</v>
      </c>
      <c r="N6079" s="2">
        <f t="shared" si="284"/>
        <v>6.334808478215459E-2</v>
      </c>
    </row>
    <row r="6080" spans="1:14" x14ac:dyDescent="0.45">
      <c r="A6080" t="s">
        <v>10578</v>
      </c>
      <c r="B6080" s="1">
        <v>45473</v>
      </c>
      <c r="C6080" t="s">
        <v>2451</v>
      </c>
      <c r="D6080" t="s">
        <v>26</v>
      </c>
      <c r="E6080" t="s">
        <v>36</v>
      </c>
      <c r="F6080" t="s">
        <v>64</v>
      </c>
      <c r="G6080">
        <v>5</v>
      </c>
      <c r="H6080">
        <v>40175.82</v>
      </c>
      <c r="I6080">
        <v>3791.81</v>
      </c>
      <c r="J6080" t="s">
        <v>71</v>
      </c>
      <c r="K6080" t="s">
        <v>29</v>
      </c>
      <c r="L6080">
        <f t="shared" si="282"/>
        <v>2024</v>
      </c>
      <c r="M6080" t="str">
        <f t="shared" si="283"/>
        <v>Jun</v>
      </c>
      <c r="N6080" s="2">
        <f t="shared" si="284"/>
        <v>9.4380400947634668E-2</v>
      </c>
    </row>
    <row r="6081" spans="1:14" x14ac:dyDescent="0.45">
      <c r="A6081" t="s">
        <v>10579</v>
      </c>
      <c r="B6081" s="1">
        <v>44810</v>
      </c>
      <c r="C6081" t="s">
        <v>10580</v>
      </c>
      <c r="D6081" t="s">
        <v>56</v>
      </c>
      <c r="E6081" t="s">
        <v>36</v>
      </c>
      <c r="F6081" t="s">
        <v>37</v>
      </c>
      <c r="G6081">
        <v>4</v>
      </c>
      <c r="H6081">
        <v>4979.3599999999997</v>
      </c>
      <c r="I6081">
        <v>737.67</v>
      </c>
      <c r="J6081" t="s">
        <v>16</v>
      </c>
      <c r="K6081" t="s">
        <v>23</v>
      </c>
      <c r="L6081">
        <f t="shared" si="282"/>
        <v>2022</v>
      </c>
      <c r="M6081" t="str">
        <f t="shared" si="283"/>
        <v>Sep</v>
      </c>
      <c r="N6081" s="2">
        <f t="shared" si="284"/>
        <v>0.14814554480897144</v>
      </c>
    </row>
    <row r="6082" spans="1:14" x14ac:dyDescent="0.45">
      <c r="A6082" t="s">
        <v>10581</v>
      </c>
      <c r="B6082" s="1">
        <v>44892</v>
      </c>
      <c r="C6082" t="s">
        <v>10582</v>
      </c>
      <c r="D6082" t="s">
        <v>26</v>
      </c>
      <c r="E6082" t="s">
        <v>20</v>
      </c>
      <c r="F6082" t="s">
        <v>43</v>
      </c>
      <c r="G6082">
        <v>4</v>
      </c>
      <c r="H6082">
        <v>12573.15</v>
      </c>
      <c r="I6082">
        <v>2045.93</v>
      </c>
      <c r="J6082" t="s">
        <v>71</v>
      </c>
      <c r="K6082" t="s">
        <v>29</v>
      </c>
      <c r="L6082">
        <f t="shared" si="282"/>
        <v>2022</v>
      </c>
      <c r="M6082" t="str">
        <f t="shared" si="283"/>
        <v>Nov</v>
      </c>
      <c r="N6082" s="2">
        <f t="shared" si="284"/>
        <v>0.16272214997832685</v>
      </c>
    </row>
    <row r="6083" spans="1:14" x14ac:dyDescent="0.45">
      <c r="A6083" t="s">
        <v>10583</v>
      </c>
      <c r="B6083" s="1">
        <v>44614</v>
      </c>
      <c r="C6083" t="s">
        <v>10415</v>
      </c>
      <c r="D6083" t="s">
        <v>26</v>
      </c>
      <c r="E6083" t="s">
        <v>14</v>
      </c>
      <c r="F6083" t="s">
        <v>40</v>
      </c>
      <c r="G6083">
        <v>1</v>
      </c>
      <c r="H6083">
        <v>22296.83</v>
      </c>
      <c r="I6083">
        <v>5188.67</v>
      </c>
      <c r="J6083" t="s">
        <v>16</v>
      </c>
      <c r="K6083" t="s">
        <v>29</v>
      </c>
      <c r="L6083">
        <f t="shared" ref="L6083:L6146" si="285">YEAR(B6083 )</f>
        <v>2022</v>
      </c>
      <c r="M6083" t="str">
        <f t="shared" ref="M6083:M6146" si="286">TEXT(B6083,"MMM")</f>
        <v>Feb</v>
      </c>
      <c r="N6083" s="2">
        <f t="shared" ref="N6083:N6146" si="287">I6083 / H6083</f>
        <v>0.23270886489245329</v>
      </c>
    </row>
    <row r="6084" spans="1:14" x14ac:dyDescent="0.45">
      <c r="A6084" t="s">
        <v>10584</v>
      </c>
      <c r="B6084" s="1">
        <v>45251</v>
      </c>
      <c r="C6084" t="s">
        <v>2020</v>
      </c>
      <c r="D6084" t="s">
        <v>26</v>
      </c>
      <c r="E6084" t="s">
        <v>36</v>
      </c>
      <c r="F6084" t="s">
        <v>53</v>
      </c>
      <c r="G6084">
        <v>4</v>
      </c>
      <c r="H6084">
        <v>16980.55</v>
      </c>
      <c r="I6084">
        <v>1530.12</v>
      </c>
      <c r="J6084" t="s">
        <v>16</v>
      </c>
      <c r="K6084" t="s">
        <v>17</v>
      </c>
      <c r="L6084">
        <f t="shared" si="285"/>
        <v>2023</v>
      </c>
      <c r="M6084" t="str">
        <f t="shared" si="286"/>
        <v>Nov</v>
      </c>
      <c r="N6084" s="2">
        <f t="shared" si="287"/>
        <v>9.0110155442550438E-2</v>
      </c>
    </row>
    <row r="6085" spans="1:14" x14ac:dyDescent="0.45">
      <c r="A6085" t="s">
        <v>10585</v>
      </c>
      <c r="B6085" s="1">
        <v>45210</v>
      </c>
      <c r="C6085" t="s">
        <v>10586</v>
      </c>
      <c r="D6085" t="s">
        <v>26</v>
      </c>
      <c r="E6085" t="s">
        <v>20</v>
      </c>
      <c r="F6085" t="s">
        <v>27</v>
      </c>
      <c r="G6085">
        <v>1</v>
      </c>
      <c r="H6085">
        <v>43280.55</v>
      </c>
      <c r="I6085">
        <v>5389.61</v>
      </c>
      <c r="J6085" t="s">
        <v>71</v>
      </c>
      <c r="K6085" t="s">
        <v>17</v>
      </c>
      <c r="L6085">
        <f t="shared" si="285"/>
        <v>2023</v>
      </c>
      <c r="M6085" t="str">
        <f t="shared" si="286"/>
        <v>Oct</v>
      </c>
      <c r="N6085" s="2">
        <f t="shared" si="287"/>
        <v>0.12452729921408114</v>
      </c>
    </row>
    <row r="6086" spans="1:14" x14ac:dyDescent="0.45">
      <c r="A6086" t="s">
        <v>10587</v>
      </c>
      <c r="B6086" s="1">
        <v>44983</v>
      </c>
      <c r="C6086" t="s">
        <v>10588</v>
      </c>
      <c r="D6086" t="s">
        <v>56</v>
      </c>
      <c r="E6086" t="s">
        <v>36</v>
      </c>
      <c r="F6086" t="s">
        <v>53</v>
      </c>
      <c r="G6086">
        <v>1</v>
      </c>
      <c r="H6086">
        <v>32516.36</v>
      </c>
      <c r="I6086">
        <v>4955.5</v>
      </c>
      <c r="J6086" t="s">
        <v>16</v>
      </c>
      <c r="K6086" t="s">
        <v>23</v>
      </c>
      <c r="L6086">
        <f t="shared" si="285"/>
        <v>2023</v>
      </c>
      <c r="M6086" t="str">
        <f t="shared" si="286"/>
        <v>Feb</v>
      </c>
      <c r="N6086" s="2">
        <f t="shared" si="287"/>
        <v>0.15240020715725869</v>
      </c>
    </row>
    <row r="6087" spans="1:14" x14ac:dyDescent="0.45">
      <c r="A6087" t="s">
        <v>10589</v>
      </c>
      <c r="B6087" s="1">
        <v>45396</v>
      </c>
      <c r="C6087" t="s">
        <v>828</v>
      </c>
      <c r="D6087" t="s">
        <v>56</v>
      </c>
      <c r="E6087" t="s">
        <v>14</v>
      </c>
      <c r="F6087" t="s">
        <v>32</v>
      </c>
      <c r="G6087">
        <v>3</v>
      </c>
      <c r="H6087">
        <v>6890.14</v>
      </c>
      <c r="I6087">
        <v>1640.74</v>
      </c>
      <c r="J6087" t="s">
        <v>71</v>
      </c>
      <c r="K6087" t="s">
        <v>29</v>
      </c>
      <c r="L6087">
        <f t="shared" si="285"/>
        <v>2024</v>
      </c>
      <c r="M6087" t="str">
        <f t="shared" si="286"/>
        <v>Apr</v>
      </c>
      <c r="N6087" s="2">
        <f t="shared" si="287"/>
        <v>0.23812868824145808</v>
      </c>
    </row>
    <row r="6088" spans="1:14" x14ac:dyDescent="0.45">
      <c r="A6088" t="s">
        <v>10590</v>
      </c>
      <c r="B6088" s="1">
        <v>45302</v>
      </c>
      <c r="C6088" t="s">
        <v>2486</v>
      </c>
      <c r="D6088" t="s">
        <v>56</v>
      </c>
      <c r="E6088" t="s">
        <v>14</v>
      </c>
      <c r="F6088" t="s">
        <v>15</v>
      </c>
      <c r="G6088">
        <v>2</v>
      </c>
      <c r="H6088">
        <v>15395.66</v>
      </c>
      <c r="I6088">
        <v>1436.38</v>
      </c>
      <c r="J6088" t="s">
        <v>22</v>
      </c>
      <c r="K6088" t="s">
        <v>33</v>
      </c>
      <c r="L6088">
        <f t="shared" si="285"/>
        <v>2024</v>
      </c>
      <c r="M6088" t="str">
        <f t="shared" si="286"/>
        <v>Jan</v>
      </c>
      <c r="N6088" s="2">
        <f t="shared" si="287"/>
        <v>9.3297721565687997E-2</v>
      </c>
    </row>
    <row r="6089" spans="1:14" x14ac:dyDescent="0.45">
      <c r="A6089" t="s">
        <v>10591</v>
      </c>
      <c r="B6089" s="1">
        <v>45216</v>
      </c>
      <c r="C6089" t="s">
        <v>6230</v>
      </c>
      <c r="D6089" t="s">
        <v>13</v>
      </c>
      <c r="E6089" t="s">
        <v>14</v>
      </c>
      <c r="F6089" t="s">
        <v>40</v>
      </c>
      <c r="G6089">
        <v>2</v>
      </c>
      <c r="H6089">
        <v>28878.09</v>
      </c>
      <c r="I6089">
        <v>4553.63</v>
      </c>
      <c r="J6089" t="s">
        <v>28</v>
      </c>
      <c r="K6089" t="s">
        <v>33</v>
      </c>
      <c r="L6089">
        <f t="shared" si="285"/>
        <v>2023</v>
      </c>
      <c r="M6089" t="str">
        <f t="shared" si="286"/>
        <v>Oct</v>
      </c>
      <c r="N6089" s="2">
        <f t="shared" si="287"/>
        <v>0.15768459756168085</v>
      </c>
    </row>
    <row r="6090" spans="1:14" x14ac:dyDescent="0.45">
      <c r="A6090" t="s">
        <v>10592</v>
      </c>
      <c r="B6090" s="1">
        <v>45476</v>
      </c>
      <c r="C6090" t="s">
        <v>10593</v>
      </c>
      <c r="D6090" t="s">
        <v>56</v>
      </c>
      <c r="E6090" t="s">
        <v>20</v>
      </c>
      <c r="F6090" t="s">
        <v>43</v>
      </c>
      <c r="G6090">
        <v>3</v>
      </c>
      <c r="H6090">
        <v>37292.080000000002</v>
      </c>
      <c r="I6090">
        <v>9199.24</v>
      </c>
      <c r="J6090" t="s">
        <v>71</v>
      </c>
      <c r="K6090" t="s">
        <v>23</v>
      </c>
      <c r="L6090">
        <f t="shared" si="285"/>
        <v>2024</v>
      </c>
      <c r="M6090" t="str">
        <f t="shared" si="286"/>
        <v>Jul</v>
      </c>
      <c r="N6090" s="2">
        <f t="shared" si="287"/>
        <v>0.2466807965659196</v>
      </c>
    </row>
    <row r="6091" spans="1:14" x14ac:dyDescent="0.45">
      <c r="A6091" t="s">
        <v>10594</v>
      </c>
      <c r="B6091" s="1">
        <v>44590</v>
      </c>
      <c r="C6091" t="s">
        <v>522</v>
      </c>
      <c r="D6091" t="s">
        <v>56</v>
      </c>
      <c r="E6091" t="s">
        <v>36</v>
      </c>
      <c r="F6091" t="s">
        <v>64</v>
      </c>
      <c r="G6091">
        <v>1</v>
      </c>
      <c r="H6091">
        <v>2513.13</v>
      </c>
      <c r="I6091">
        <v>261.24</v>
      </c>
      <c r="J6091" t="s">
        <v>28</v>
      </c>
      <c r="K6091" t="s">
        <v>23</v>
      </c>
      <c r="L6091">
        <f t="shared" si="285"/>
        <v>2022</v>
      </c>
      <c r="M6091" t="str">
        <f t="shared" si="286"/>
        <v>Jan</v>
      </c>
      <c r="N6091" s="2">
        <f t="shared" si="287"/>
        <v>0.10395005431473898</v>
      </c>
    </row>
    <row r="6092" spans="1:14" x14ac:dyDescent="0.45">
      <c r="A6092" t="s">
        <v>10595</v>
      </c>
      <c r="B6092" s="1">
        <v>45475</v>
      </c>
      <c r="C6092" t="s">
        <v>10596</v>
      </c>
      <c r="D6092" t="s">
        <v>56</v>
      </c>
      <c r="E6092" t="s">
        <v>20</v>
      </c>
      <c r="F6092" t="s">
        <v>43</v>
      </c>
      <c r="G6092">
        <v>2</v>
      </c>
      <c r="H6092">
        <v>3293.71</v>
      </c>
      <c r="I6092">
        <v>182.19</v>
      </c>
      <c r="J6092" t="s">
        <v>71</v>
      </c>
      <c r="K6092" t="s">
        <v>29</v>
      </c>
      <c r="L6092">
        <f t="shared" si="285"/>
        <v>2024</v>
      </c>
      <c r="M6092" t="str">
        <f t="shared" si="286"/>
        <v>Jul</v>
      </c>
      <c r="N6092" s="2">
        <f t="shared" si="287"/>
        <v>5.5314523743741857E-2</v>
      </c>
    </row>
    <row r="6093" spans="1:14" x14ac:dyDescent="0.45">
      <c r="A6093" t="s">
        <v>10597</v>
      </c>
      <c r="B6093" s="1">
        <v>45058</v>
      </c>
      <c r="C6093" t="s">
        <v>4657</v>
      </c>
      <c r="D6093" t="s">
        <v>56</v>
      </c>
      <c r="E6093" t="s">
        <v>14</v>
      </c>
      <c r="F6093" t="s">
        <v>32</v>
      </c>
      <c r="G6093">
        <v>3</v>
      </c>
      <c r="H6093">
        <v>40325.129999999997</v>
      </c>
      <c r="I6093">
        <v>4816.05</v>
      </c>
      <c r="J6093" t="s">
        <v>47</v>
      </c>
      <c r="K6093" t="s">
        <v>17</v>
      </c>
      <c r="L6093">
        <f t="shared" si="285"/>
        <v>2023</v>
      </c>
      <c r="M6093" t="str">
        <f t="shared" si="286"/>
        <v>May</v>
      </c>
      <c r="N6093" s="2">
        <f t="shared" si="287"/>
        <v>0.11943048912675547</v>
      </c>
    </row>
    <row r="6094" spans="1:14" x14ac:dyDescent="0.45">
      <c r="A6094" t="s">
        <v>10598</v>
      </c>
      <c r="B6094" s="1">
        <v>45312</v>
      </c>
      <c r="C6094" t="s">
        <v>10289</v>
      </c>
      <c r="D6094" t="s">
        <v>13</v>
      </c>
      <c r="E6094" t="s">
        <v>36</v>
      </c>
      <c r="F6094" t="s">
        <v>46</v>
      </c>
      <c r="G6094">
        <v>3</v>
      </c>
      <c r="H6094">
        <v>49737.72</v>
      </c>
      <c r="I6094">
        <v>9854.26</v>
      </c>
      <c r="J6094" t="s">
        <v>16</v>
      </c>
      <c r="K6094" t="s">
        <v>29</v>
      </c>
      <c r="L6094">
        <f t="shared" si="285"/>
        <v>2024</v>
      </c>
      <c r="M6094" t="str">
        <f t="shared" si="286"/>
        <v>Jan</v>
      </c>
      <c r="N6094" s="2">
        <f t="shared" si="287"/>
        <v>0.19812448178163375</v>
      </c>
    </row>
    <row r="6095" spans="1:14" x14ac:dyDescent="0.45">
      <c r="A6095" t="s">
        <v>10599</v>
      </c>
      <c r="B6095" s="1">
        <v>45217</v>
      </c>
      <c r="C6095" t="s">
        <v>1159</v>
      </c>
      <c r="D6095" t="s">
        <v>56</v>
      </c>
      <c r="E6095" t="s">
        <v>36</v>
      </c>
      <c r="F6095" t="s">
        <v>53</v>
      </c>
      <c r="G6095">
        <v>3</v>
      </c>
      <c r="H6095">
        <v>16027.04</v>
      </c>
      <c r="I6095">
        <v>1540.39</v>
      </c>
      <c r="J6095" t="s">
        <v>47</v>
      </c>
      <c r="K6095" t="s">
        <v>33</v>
      </c>
      <c r="L6095">
        <f t="shared" si="285"/>
        <v>2023</v>
      </c>
      <c r="M6095" t="str">
        <f t="shared" si="286"/>
        <v>Oct</v>
      </c>
      <c r="N6095" s="2">
        <f t="shared" si="287"/>
        <v>9.6111945811578434E-2</v>
      </c>
    </row>
    <row r="6096" spans="1:14" x14ac:dyDescent="0.45">
      <c r="A6096" t="s">
        <v>10600</v>
      </c>
      <c r="B6096" s="1">
        <v>45331</v>
      </c>
      <c r="C6096" t="s">
        <v>10601</v>
      </c>
      <c r="D6096" t="s">
        <v>26</v>
      </c>
      <c r="E6096" t="s">
        <v>14</v>
      </c>
      <c r="F6096" t="s">
        <v>32</v>
      </c>
      <c r="G6096">
        <v>4</v>
      </c>
      <c r="H6096">
        <v>43889.8</v>
      </c>
      <c r="I6096">
        <v>3232.14</v>
      </c>
      <c r="J6096" t="s">
        <v>71</v>
      </c>
      <c r="K6096" t="s">
        <v>33</v>
      </c>
      <c r="L6096">
        <f t="shared" si="285"/>
        <v>2024</v>
      </c>
      <c r="M6096" t="str">
        <f t="shared" si="286"/>
        <v>Feb</v>
      </c>
      <c r="N6096" s="2">
        <f t="shared" si="287"/>
        <v>7.3642167428423E-2</v>
      </c>
    </row>
    <row r="6097" spans="1:14" x14ac:dyDescent="0.45">
      <c r="A6097" t="s">
        <v>10602</v>
      </c>
      <c r="B6097" s="1">
        <v>44994</v>
      </c>
      <c r="C6097" t="s">
        <v>3817</v>
      </c>
      <c r="D6097" t="s">
        <v>26</v>
      </c>
      <c r="E6097" t="s">
        <v>36</v>
      </c>
      <c r="F6097" t="s">
        <v>37</v>
      </c>
      <c r="G6097">
        <v>1</v>
      </c>
      <c r="H6097">
        <v>32707.96</v>
      </c>
      <c r="I6097">
        <v>8059.22</v>
      </c>
      <c r="J6097" t="s">
        <v>47</v>
      </c>
      <c r="K6097" t="s">
        <v>17</v>
      </c>
      <c r="L6097">
        <f t="shared" si="285"/>
        <v>2023</v>
      </c>
      <c r="M6097" t="str">
        <f t="shared" si="286"/>
        <v>Mar</v>
      </c>
      <c r="N6097" s="2">
        <f t="shared" si="287"/>
        <v>0.24639934743713765</v>
      </c>
    </row>
    <row r="6098" spans="1:14" x14ac:dyDescent="0.45">
      <c r="A6098" t="s">
        <v>10603</v>
      </c>
      <c r="B6098" s="1">
        <v>45557</v>
      </c>
      <c r="C6098" t="s">
        <v>5538</v>
      </c>
      <c r="D6098" t="s">
        <v>26</v>
      </c>
      <c r="E6098" t="s">
        <v>20</v>
      </c>
      <c r="F6098" t="s">
        <v>43</v>
      </c>
      <c r="G6098">
        <v>2</v>
      </c>
      <c r="H6098">
        <v>3048.41</v>
      </c>
      <c r="I6098">
        <v>488.44</v>
      </c>
      <c r="J6098" t="s">
        <v>47</v>
      </c>
      <c r="K6098" t="s">
        <v>33</v>
      </c>
      <c r="L6098">
        <f t="shared" si="285"/>
        <v>2024</v>
      </c>
      <c r="M6098" t="str">
        <f t="shared" si="286"/>
        <v>Sep</v>
      </c>
      <c r="N6098" s="2">
        <f t="shared" si="287"/>
        <v>0.16022779088114789</v>
      </c>
    </row>
    <row r="6099" spans="1:14" x14ac:dyDescent="0.45">
      <c r="A6099" t="s">
        <v>10604</v>
      </c>
      <c r="B6099" s="1">
        <v>45487</v>
      </c>
      <c r="C6099" t="s">
        <v>10605</v>
      </c>
      <c r="D6099" t="s">
        <v>13</v>
      </c>
      <c r="E6099" t="s">
        <v>20</v>
      </c>
      <c r="F6099" t="s">
        <v>21</v>
      </c>
      <c r="G6099">
        <v>3</v>
      </c>
      <c r="H6099">
        <v>38208.57</v>
      </c>
      <c r="I6099">
        <v>2156.9299999999998</v>
      </c>
      <c r="J6099" t="s">
        <v>28</v>
      </c>
      <c r="K6099" t="s">
        <v>33</v>
      </c>
      <c r="L6099">
        <f t="shared" si="285"/>
        <v>2024</v>
      </c>
      <c r="M6099" t="str">
        <f t="shared" si="286"/>
        <v>Jul</v>
      </c>
      <c r="N6099" s="2">
        <f t="shared" si="287"/>
        <v>5.6451471489249658E-2</v>
      </c>
    </row>
    <row r="6100" spans="1:14" x14ac:dyDescent="0.45">
      <c r="A6100" t="s">
        <v>10606</v>
      </c>
      <c r="B6100" s="1">
        <v>45205</v>
      </c>
      <c r="C6100" t="s">
        <v>3309</v>
      </c>
      <c r="D6100" t="s">
        <v>26</v>
      </c>
      <c r="E6100" t="s">
        <v>36</v>
      </c>
      <c r="F6100" t="s">
        <v>46</v>
      </c>
      <c r="G6100">
        <v>1</v>
      </c>
      <c r="H6100">
        <v>47418.36</v>
      </c>
      <c r="I6100">
        <v>8068.93</v>
      </c>
      <c r="J6100" t="s">
        <v>71</v>
      </c>
      <c r="K6100" t="s">
        <v>23</v>
      </c>
      <c r="L6100">
        <f t="shared" si="285"/>
        <v>2023</v>
      </c>
      <c r="M6100" t="str">
        <f t="shared" si="286"/>
        <v>Oct</v>
      </c>
      <c r="N6100" s="2">
        <f t="shared" si="287"/>
        <v>0.17016467882904429</v>
      </c>
    </row>
    <row r="6101" spans="1:14" x14ac:dyDescent="0.45">
      <c r="A6101" t="s">
        <v>10607</v>
      </c>
      <c r="B6101" s="1">
        <v>44797</v>
      </c>
      <c r="C6101" t="s">
        <v>10608</v>
      </c>
      <c r="D6101" t="s">
        <v>56</v>
      </c>
      <c r="E6101" t="s">
        <v>14</v>
      </c>
      <c r="F6101" t="s">
        <v>32</v>
      </c>
      <c r="G6101">
        <v>5</v>
      </c>
      <c r="H6101">
        <v>23257.97</v>
      </c>
      <c r="I6101">
        <v>2909.5</v>
      </c>
      <c r="J6101" t="s">
        <v>22</v>
      </c>
      <c r="K6101" t="s">
        <v>33</v>
      </c>
      <c r="L6101">
        <f t="shared" si="285"/>
        <v>2022</v>
      </c>
      <c r="M6101" t="str">
        <f t="shared" si="286"/>
        <v>Aug</v>
      </c>
      <c r="N6101" s="2">
        <f t="shared" si="287"/>
        <v>0.12509690226619088</v>
      </c>
    </row>
    <row r="6102" spans="1:14" x14ac:dyDescent="0.45">
      <c r="A6102" t="s">
        <v>10609</v>
      </c>
      <c r="B6102" s="1">
        <v>45234</v>
      </c>
      <c r="C6102" t="s">
        <v>662</v>
      </c>
      <c r="D6102" t="s">
        <v>13</v>
      </c>
      <c r="E6102" t="s">
        <v>36</v>
      </c>
      <c r="F6102" t="s">
        <v>64</v>
      </c>
      <c r="G6102">
        <v>4</v>
      </c>
      <c r="H6102">
        <v>38604.01</v>
      </c>
      <c r="I6102">
        <v>2356.13</v>
      </c>
      <c r="J6102" t="s">
        <v>47</v>
      </c>
      <c r="K6102" t="s">
        <v>33</v>
      </c>
      <c r="L6102">
        <f t="shared" si="285"/>
        <v>2023</v>
      </c>
      <c r="M6102" t="str">
        <f t="shared" si="286"/>
        <v>Nov</v>
      </c>
      <c r="N6102" s="2">
        <f t="shared" si="287"/>
        <v>6.1033296799995647E-2</v>
      </c>
    </row>
    <row r="6103" spans="1:14" x14ac:dyDescent="0.45">
      <c r="A6103" t="s">
        <v>10610</v>
      </c>
      <c r="B6103" s="1">
        <v>44720</v>
      </c>
      <c r="C6103" t="s">
        <v>10611</v>
      </c>
      <c r="D6103" t="s">
        <v>56</v>
      </c>
      <c r="E6103" t="s">
        <v>14</v>
      </c>
      <c r="F6103" t="s">
        <v>32</v>
      </c>
      <c r="G6103">
        <v>2</v>
      </c>
      <c r="H6103">
        <v>38329.67</v>
      </c>
      <c r="I6103">
        <v>4841.28</v>
      </c>
      <c r="J6103" t="s">
        <v>47</v>
      </c>
      <c r="K6103" t="s">
        <v>17</v>
      </c>
      <c r="L6103">
        <f t="shared" si="285"/>
        <v>2022</v>
      </c>
      <c r="M6103" t="str">
        <f t="shared" si="286"/>
        <v>Jun</v>
      </c>
      <c r="N6103" s="2">
        <f t="shared" si="287"/>
        <v>0.12630633136157968</v>
      </c>
    </row>
    <row r="6104" spans="1:14" x14ac:dyDescent="0.45">
      <c r="A6104" t="s">
        <v>10612</v>
      </c>
      <c r="B6104" s="1">
        <v>45039</v>
      </c>
      <c r="C6104" t="s">
        <v>8583</v>
      </c>
      <c r="D6104" t="s">
        <v>56</v>
      </c>
      <c r="E6104" t="s">
        <v>20</v>
      </c>
      <c r="F6104" t="s">
        <v>21</v>
      </c>
      <c r="G6104">
        <v>3</v>
      </c>
      <c r="H6104">
        <v>27194.65</v>
      </c>
      <c r="I6104">
        <v>1746.17</v>
      </c>
      <c r="J6104" t="s">
        <v>47</v>
      </c>
      <c r="K6104" t="s">
        <v>23</v>
      </c>
      <c r="L6104">
        <f t="shared" si="285"/>
        <v>2023</v>
      </c>
      <c r="M6104" t="str">
        <f t="shared" si="286"/>
        <v>Apr</v>
      </c>
      <c r="N6104" s="2">
        <f t="shared" si="287"/>
        <v>6.4210056022048448E-2</v>
      </c>
    </row>
    <row r="6105" spans="1:14" x14ac:dyDescent="0.45">
      <c r="A6105" t="s">
        <v>10613</v>
      </c>
      <c r="B6105" s="1">
        <v>45013</v>
      </c>
      <c r="C6105" t="s">
        <v>4091</v>
      </c>
      <c r="D6105" t="s">
        <v>56</v>
      </c>
      <c r="E6105" t="s">
        <v>36</v>
      </c>
      <c r="F6105" t="s">
        <v>64</v>
      </c>
      <c r="G6105">
        <v>2</v>
      </c>
      <c r="H6105">
        <v>8178.46</v>
      </c>
      <c r="I6105">
        <v>1659.7</v>
      </c>
      <c r="J6105" t="s">
        <v>16</v>
      </c>
      <c r="K6105" t="s">
        <v>29</v>
      </c>
      <c r="L6105">
        <f t="shared" si="285"/>
        <v>2023</v>
      </c>
      <c r="M6105" t="str">
        <f t="shared" si="286"/>
        <v>Mar</v>
      </c>
      <c r="N6105" s="2">
        <f t="shared" si="287"/>
        <v>0.20293551597733558</v>
      </c>
    </row>
    <row r="6106" spans="1:14" x14ac:dyDescent="0.45">
      <c r="A6106" t="s">
        <v>10614</v>
      </c>
      <c r="B6106" s="1">
        <v>45422</v>
      </c>
      <c r="C6106" t="s">
        <v>9560</v>
      </c>
      <c r="D6106" t="s">
        <v>26</v>
      </c>
      <c r="E6106" t="s">
        <v>20</v>
      </c>
      <c r="F6106" t="s">
        <v>43</v>
      </c>
      <c r="G6106">
        <v>3</v>
      </c>
      <c r="H6106">
        <v>24173.37</v>
      </c>
      <c r="I6106">
        <v>5083.67</v>
      </c>
      <c r="J6106" t="s">
        <v>28</v>
      </c>
      <c r="K6106" t="s">
        <v>33</v>
      </c>
      <c r="L6106">
        <f t="shared" si="285"/>
        <v>2024</v>
      </c>
      <c r="M6106" t="str">
        <f t="shared" si="286"/>
        <v>May</v>
      </c>
      <c r="N6106" s="2">
        <f t="shared" si="287"/>
        <v>0.21030042563366219</v>
      </c>
    </row>
    <row r="6107" spans="1:14" x14ac:dyDescent="0.45">
      <c r="A6107" t="s">
        <v>10615</v>
      </c>
      <c r="B6107" s="1">
        <v>45244</v>
      </c>
      <c r="C6107" t="s">
        <v>10616</v>
      </c>
      <c r="D6107" t="s">
        <v>13</v>
      </c>
      <c r="E6107" t="s">
        <v>14</v>
      </c>
      <c r="F6107" t="s">
        <v>15</v>
      </c>
      <c r="G6107">
        <v>2</v>
      </c>
      <c r="H6107">
        <v>14928.38</v>
      </c>
      <c r="I6107">
        <v>1317.6</v>
      </c>
      <c r="J6107" t="s">
        <v>71</v>
      </c>
      <c r="K6107" t="s">
        <v>33</v>
      </c>
      <c r="L6107">
        <f t="shared" si="285"/>
        <v>2023</v>
      </c>
      <c r="M6107" t="str">
        <f t="shared" si="286"/>
        <v>Nov</v>
      </c>
      <c r="N6107" s="2">
        <f t="shared" si="287"/>
        <v>8.8261418854557558E-2</v>
      </c>
    </row>
    <row r="6108" spans="1:14" x14ac:dyDescent="0.45">
      <c r="A6108" t="s">
        <v>10617</v>
      </c>
      <c r="B6108" s="1">
        <v>45634</v>
      </c>
      <c r="C6108" t="s">
        <v>8713</v>
      </c>
      <c r="D6108" t="s">
        <v>13</v>
      </c>
      <c r="E6108" t="s">
        <v>20</v>
      </c>
      <c r="F6108" t="s">
        <v>43</v>
      </c>
      <c r="G6108">
        <v>1</v>
      </c>
      <c r="H6108">
        <v>25094.17</v>
      </c>
      <c r="I6108">
        <v>1954.38</v>
      </c>
      <c r="J6108" t="s">
        <v>16</v>
      </c>
      <c r="K6108" t="s">
        <v>29</v>
      </c>
      <c r="L6108">
        <f t="shared" si="285"/>
        <v>2024</v>
      </c>
      <c r="M6108" t="str">
        <f t="shared" si="286"/>
        <v>Dec</v>
      </c>
      <c r="N6108" s="2">
        <f t="shared" si="287"/>
        <v>7.7881834705033084E-2</v>
      </c>
    </row>
    <row r="6109" spans="1:14" x14ac:dyDescent="0.45">
      <c r="A6109" t="s">
        <v>10618</v>
      </c>
      <c r="B6109" s="1">
        <v>44768</v>
      </c>
      <c r="C6109" t="s">
        <v>7575</v>
      </c>
      <c r="D6109" t="s">
        <v>56</v>
      </c>
      <c r="E6109" t="s">
        <v>14</v>
      </c>
      <c r="F6109" t="s">
        <v>40</v>
      </c>
      <c r="G6109">
        <v>5</v>
      </c>
      <c r="H6109">
        <v>14813.12</v>
      </c>
      <c r="I6109">
        <v>3016.71</v>
      </c>
      <c r="J6109" t="s">
        <v>16</v>
      </c>
      <c r="K6109" t="s">
        <v>33</v>
      </c>
      <c r="L6109">
        <f t="shared" si="285"/>
        <v>2022</v>
      </c>
      <c r="M6109" t="str">
        <f t="shared" si="286"/>
        <v>Jul</v>
      </c>
      <c r="N6109" s="2">
        <f t="shared" si="287"/>
        <v>0.20365122269987684</v>
      </c>
    </row>
    <row r="6110" spans="1:14" x14ac:dyDescent="0.45">
      <c r="A6110" t="s">
        <v>10619</v>
      </c>
      <c r="B6110" s="1">
        <v>44855</v>
      </c>
      <c r="C6110" t="s">
        <v>1218</v>
      </c>
      <c r="D6110" t="s">
        <v>26</v>
      </c>
      <c r="E6110" t="s">
        <v>20</v>
      </c>
      <c r="F6110" t="s">
        <v>27</v>
      </c>
      <c r="G6110">
        <v>3</v>
      </c>
      <c r="H6110">
        <v>17149.72</v>
      </c>
      <c r="I6110">
        <v>3386.29</v>
      </c>
      <c r="J6110" t="s">
        <v>71</v>
      </c>
      <c r="K6110" t="s">
        <v>33</v>
      </c>
      <c r="L6110">
        <f t="shared" si="285"/>
        <v>2022</v>
      </c>
      <c r="M6110" t="str">
        <f t="shared" si="286"/>
        <v>Oct</v>
      </c>
      <c r="N6110" s="2">
        <f t="shared" si="287"/>
        <v>0.1974545357008744</v>
      </c>
    </row>
    <row r="6111" spans="1:14" x14ac:dyDescent="0.45">
      <c r="A6111" t="s">
        <v>10620</v>
      </c>
      <c r="B6111" s="1">
        <v>45269</v>
      </c>
      <c r="C6111" t="s">
        <v>5963</v>
      </c>
      <c r="D6111" t="s">
        <v>26</v>
      </c>
      <c r="E6111" t="s">
        <v>36</v>
      </c>
      <c r="F6111" t="s">
        <v>37</v>
      </c>
      <c r="G6111">
        <v>4</v>
      </c>
      <c r="H6111">
        <v>17765.509999999998</v>
      </c>
      <c r="I6111">
        <v>3110.63</v>
      </c>
      <c r="J6111" t="s">
        <v>22</v>
      </c>
      <c r="K6111" t="s">
        <v>23</v>
      </c>
      <c r="L6111">
        <f t="shared" si="285"/>
        <v>2023</v>
      </c>
      <c r="M6111" t="str">
        <f t="shared" si="286"/>
        <v>Dec</v>
      </c>
      <c r="N6111" s="2">
        <f t="shared" si="287"/>
        <v>0.17509376313992678</v>
      </c>
    </row>
    <row r="6112" spans="1:14" x14ac:dyDescent="0.45">
      <c r="A6112" t="s">
        <v>10621</v>
      </c>
      <c r="B6112" s="1">
        <v>44721</v>
      </c>
      <c r="C6112" t="s">
        <v>4097</v>
      </c>
      <c r="D6112" t="s">
        <v>56</v>
      </c>
      <c r="E6112" t="s">
        <v>36</v>
      </c>
      <c r="F6112" t="s">
        <v>53</v>
      </c>
      <c r="G6112">
        <v>2</v>
      </c>
      <c r="H6112">
        <v>46244.22</v>
      </c>
      <c r="I6112">
        <v>10006.65</v>
      </c>
      <c r="J6112" t="s">
        <v>71</v>
      </c>
      <c r="K6112" t="s">
        <v>29</v>
      </c>
      <c r="L6112">
        <f t="shared" si="285"/>
        <v>2022</v>
      </c>
      <c r="M6112" t="str">
        <f t="shared" si="286"/>
        <v>Jun</v>
      </c>
      <c r="N6112" s="2">
        <f t="shared" si="287"/>
        <v>0.21638704253201804</v>
      </c>
    </row>
    <row r="6113" spans="1:14" x14ac:dyDescent="0.45">
      <c r="A6113" t="s">
        <v>10622</v>
      </c>
      <c r="B6113" s="1">
        <v>45390</v>
      </c>
      <c r="C6113" t="s">
        <v>6568</v>
      </c>
      <c r="D6113" t="s">
        <v>13</v>
      </c>
      <c r="E6113" t="s">
        <v>20</v>
      </c>
      <c r="F6113" t="s">
        <v>21</v>
      </c>
      <c r="G6113">
        <v>4</v>
      </c>
      <c r="H6113">
        <v>44117.04</v>
      </c>
      <c r="I6113">
        <v>10172.56</v>
      </c>
      <c r="J6113" t="s">
        <v>16</v>
      </c>
      <c r="K6113" t="s">
        <v>17</v>
      </c>
      <c r="L6113">
        <f t="shared" si="285"/>
        <v>2024</v>
      </c>
      <c r="M6113" t="str">
        <f t="shared" si="286"/>
        <v>Apr</v>
      </c>
      <c r="N6113" s="2">
        <f t="shared" si="287"/>
        <v>0.23058119946397126</v>
      </c>
    </row>
    <row r="6114" spans="1:14" x14ac:dyDescent="0.45">
      <c r="A6114" t="s">
        <v>10623</v>
      </c>
      <c r="B6114" s="1">
        <v>44668</v>
      </c>
      <c r="C6114" t="s">
        <v>6255</v>
      </c>
      <c r="D6114" t="s">
        <v>13</v>
      </c>
      <c r="E6114" t="s">
        <v>20</v>
      </c>
      <c r="F6114" t="s">
        <v>43</v>
      </c>
      <c r="G6114">
        <v>5</v>
      </c>
      <c r="H6114">
        <v>23883.29</v>
      </c>
      <c r="I6114">
        <v>1512.01</v>
      </c>
      <c r="J6114" t="s">
        <v>47</v>
      </c>
      <c r="K6114" t="s">
        <v>29</v>
      </c>
      <c r="L6114">
        <f t="shared" si="285"/>
        <v>2022</v>
      </c>
      <c r="M6114" t="str">
        <f t="shared" si="286"/>
        <v>Apr</v>
      </c>
      <c r="N6114" s="2">
        <f t="shared" si="287"/>
        <v>6.3308279554449995E-2</v>
      </c>
    </row>
    <row r="6115" spans="1:14" x14ac:dyDescent="0.45">
      <c r="A6115" t="s">
        <v>10624</v>
      </c>
      <c r="B6115" s="1">
        <v>45258</v>
      </c>
      <c r="C6115" t="s">
        <v>10625</v>
      </c>
      <c r="D6115" t="s">
        <v>13</v>
      </c>
      <c r="E6115" t="s">
        <v>36</v>
      </c>
      <c r="F6115" t="s">
        <v>53</v>
      </c>
      <c r="G6115">
        <v>1</v>
      </c>
      <c r="H6115">
        <v>7027.29</v>
      </c>
      <c r="I6115">
        <v>851.24</v>
      </c>
      <c r="J6115" t="s">
        <v>28</v>
      </c>
      <c r="K6115" t="s">
        <v>23</v>
      </c>
      <c r="L6115">
        <f t="shared" si="285"/>
        <v>2023</v>
      </c>
      <c r="M6115" t="str">
        <f t="shared" si="286"/>
        <v>Nov</v>
      </c>
      <c r="N6115" s="2">
        <f t="shared" si="287"/>
        <v>0.12113346681295351</v>
      </c>
    </row>
    <row r="6116" spans="1:14" x14ac:dyDescent="0.45">
      <c r="A6116" t="s">
        <v>10626</v>
      </c>
      <c r="B6116" s="1">
        <v>44794</v>
      </c>
      <c r="C6116" t="s">
        <v>10627</v>
      </c>
      <c r="D6116" t="s">
        <v>56</v>
      </c>
      <c r="E6116" t="s">
        <v>36</v>
      </c>
      <c r="F6116" t="s">
        <v>46</v>
      </c>
      <c r="G6116">
        <v>1</v>
      </c>
      <c r="H6116">
        <v>4089.91</v>
      </c>
      <c r="I6116">
        <v>503.41</v>
      </c>
      <c r="J6116" t="s">
        <v>28</v>
      </c>
      <c r="K6116" t="s">
        <v>29</v>
      </c>
      <c r="L6116">
        <f t="shared" si="285"/>
        <v>2022</v>
      </c>
      <c r="M6116" t="str">
        <f t="shared" si="286"/>
        <v>Aug</v>
      </c>
      <c r="N6116" s="2">
        <f t="shared" si="287"/>
        <v>0.12308583807467648</v>
      </c>
    </row>
    <row r="6117" spans="1:14" x14ac:dyDescent="0.45">
      <c r="A6117" t="s">
        <v>10628</v>
      </c>
      <c r="B6117" s="1">
        <v>44999</v>
      </c>
      <c r="C6117" t="s">
        <v>355</v>
      </c>
      <c r="D6117" t="s">
        <v>13</v>
      </c>
      <c r="E6117" t="s">
        <v>36</v>
      </c>
      <c r="F6117" t="s">
        <v>37</v>
      </c>
      <c r="G6117">
        <v>5</v>
      </c>
      <c r="H6117">
        <v>38074.47</v>
      </c>
      <c r="I6117">
        <v>2833.19</v>
      </c>
      <c r="J6117" t="s">
        <v>28</v>
      </c>
      <c r="K6117" t="s">
        <v>17</v>
      </c>
      <c r="L6117">
        <f t="shared" si="285"/>
        <v>2023</v>
      </c>
      <c r="M6117" t="str">
        <f t="shared" si="286"/>
        <v>Mar</v>
      </c>
      <c r="N6117" s="2">
        <f t="shared" si="287"/>
        <v>7.4411804025111841E-2</v>
      </c>
    </row>
    <row r="6118" spans="1:14" x14ac:dyDescent="0.45">
      <c r="A6118" t="s">
        <v>10629</v>
      </c>
      <c r="B6118" s="1">
        <v>45068</v>
      </c>
      <c r="C6118" t="s">
        <v>5757</v>
      </c>
      <c r="D6118" t="s">
        <v>56</v>
      </c>
      <c r="E6118" t="s">
        <v>20</v>
      </c>
      <c r="F6118" t="s">
        <v>50</v>
      </c>
      <c r="G6118">
        <v>2</v>
      </c>
      <c r="H6118">
        <v>8025.92</v>
      </c>
      <c r="I6118">
        <v>1575.62</v>
      </c>
      <c r="J6118" t="s">
        <v>22</v>
      </c>
      <c r="K6118" t="s">
        <v>23</v>
      </c>
      <c r="L6118">
        <f t="shared" si="285"/>
        <v>2023</v>
      </c>
      <c r="M6118" t="str">
        <f t="shared" si="286"/>
        <v>May</v>
      </c>
      <c r="N6118" s="2">
        <f t="shared" si="287"/>
        <v>0.19631643475140542</v>
      </c>
    </row>
    <row r="6119" spans="1:14" x14ac:dyDescent="0.45">
      <c r="A6119" t="s">
        <v>10630</v>
      </c>
      <c r="B6119" s="1">
        <v>45424</v>
      </c>
      <c r="C6119" t="s">
        <v>10631</v>
      </c>
      <c r="D6119" t="s">
        <v>13</v>
      </c>
      <c r="E6119" t="s">
        <v>14</v>
      </c>
      <c r="F6119" t="s">
        <v>32</v>
      </c>
      <c r="G6119">
        <v>1</v>
      </c>
      <c r="H6119">
        <v>22804.5</v>
      </c>
      <c r="I6119">
        <v>1368.03</v>
      </c>
      <c r="J6119" t="s">
        <v>22</v>
      </c>
      <c r="K6119" t="s">
        <v>33</v>
      </c>
      <c r="L6119">
        <f t="shared" si="285"/>
        <v>2024</v>
      </c>
      <c r="M6119" t="str">
        <f t="shared" si="286"/>
        <v>May</v>
      </c>
      <c r="N6119" s="2">
        <f t="shared" si="287"/>
        <v>5.998947576136289E-2</v>
      </c>
    </row>
    <row r="6120" spans="1:14" x14ac:dyDescent="0.45">
      <c r="A6120" t="s">
        <v>10632</v>
      </c>
      <c r="B6120" s="1">
        <v>45298</v>
      </c>
      <c r="C6120" t="s">
        <v>5885</v>
      </c>
      <c r="D6120" t="s">
        <v>26</v>
      </c>
      <c r="E6120" t="s">
        <v>20</v>
      </c>
      <c r="F6120" t="s">
        <v>50</v>
      </c>
      <c r="G6120">
        <v>4</v>
      </c>
      <c r="H6120">
        <v>37684.730000000003</v>
      </c>
      <c r="I6120">
        <v>8050.85</v>
      </c>
      <c r="J6120" t="s">
        <v>71</v>
      </c>
      <c r="K6120" t="s">
        <v>29</v>
      </c>
      <c r="L6120">
        <f t="shared" si="285"/>
        <v>2024</v>
      </c>
      <c r="M6120" t="str">
        <f t="shared" si="286"/>
        <v>Jan</v>
      </c>
      <c r="N6120" s="2">
        <f t="shared" si="287"/>
        <v>0.21363692933450762</v>
      </c>
    </row>
    <row r="6121" spans="1:14" x14ac:dyDescent="0.45">
      <c r="A6121" t="s">
        <v>10633</v>
      </c>
      <c r="B6121" s="1">
        <v>44763</v>
      </c>
      <c r="C6121" t="s">
        <v>5965</v>
      </c>
      <c r="D6121" t="s">
        <v>26</v>
      </c>
      <c r="E6121" t="s">
        <v>36</v>
      </c>
      <c r="F6121" t="s">
        <v>37</v>
      </c>
      <c r="G6121">
        <v>4</v>
      </c>
      <c r="H6121">
        <v>15388.67</v>
      </c>
      <c r="I6121">
        <v>3468.14</v>
      </c>
      <c r="J6121" t="s">
        <v>16</v>
      </c>
      <c r="K6121" t="s">
        <v>33</v>
      </c>
      <c r="L6121">
        <f t="shared" si="285"/>
        <v>2022</v>
      </c>
      <c r="M6121" t="str">
        <f t="shared" si="286"/>
        <v>Jul</v>
      </c>
      <c r="N6121" s="2">
        <f t="shared" si="287"/>
        <v>0.22536970381455967</v>
      </c>
    </row>
    <row r="6122" spans="1:14" x14ac:dyDescent="0.45">
      <c r="A6122" t="s">
        <v>10634</v>
      </c>
      <c r="B6122" s="1">
        <v>45249</v>
      </c>
      <c r="C6122" t="s">
        <v>2600</v>
      </c>
      <c r="D6122" t="s">
        <v>13</v>
      </c>
      <c r="E6122" t="s">
        <v>20</v>
      </c>
      <c r="F6122" t="s">
        <v>50</v>
      </c>
      <c r="G6122">
        <v>1</v>
      </c>
      <c r="H6122">
        <v>32530.1</v>
      </c>
      <c r="I6122">
        <v>6561.92</v>
      </c>
      <c r="J6122" t="s">
        <v>71</v>
      </c>
      <c r="K6122" t="s">
        <v>33</v>
      </c>
      <c r="L6122">
        <f t="shared" si="285"/>
        <v>2023</v>
      </c>
      <c r="M6122" t="str">
        <f t="shared" si="286"/>
        <v>Nov</v>
      </c>
      <c r="N6122" s="2">
        <f t="shared" si="287"/>
        <v>0.20171840848936831</v>
      </c>
    </row>
    <row r="6123" spans="1:14" x14ac:dyDescent="0.45">
      <c r="A6123" t="s">
        <v>10635</v>
      </c>
      <c r="B6123" s="1">
        <v>45383</v>
      </c>
      <c r="C6123" t="s">
        <v>8102</v>
      </c>
      <c r="D6123" t="s">
        <v>26</v>
      </c>
      <c r="E6123" t="s">
        <v>20</v>
      </c>
      <c r="F6123" t="s">
        <v>27</v>
      </c>
      <c r="G6123">
        <v>2</v>
      </c>
      <c r="H6123">
        <v>1341.91</v>
      </c>
      <c r="I6123">
        <v>283.24</v>
      </c>
      <c r="J6123" t="s">
        <v>28</v>
      </c>
      <c r="K6123" t="s">
        <v>29</v>
      </c>
      <c r="L6123">
        <f t="shared" si="285"/>
        <v>2024</v>
      </c>
      <c r="M6123" t="str">
        <f t="shared" si="286"/>
        <v>Apr</v>
      </c>
      <c r="N6123" s="2">
        <f t="shared" si="287"/>
        <v>0.211072277574502</v>
      </c>
    </row>
    <row r="6124" spans="1:14" x14ac:dyDescent="0.45">
      <c r="A6124" t="s">
        <v>10636</v>
      </c>
      <c r="B6124" s="1">
        <v>45151</v>
      </c>
      <c r="C6124" t="s">
        <v>1376</v>
      </c>
      <c r="D6124" t="s">
        <v>26</v>
      </c>
      <c r="E6124" t="s">
        <v>36</v>
      </c>
      <c r="F6124" t="s">
        <v>37</v>
      </c>
      <c r="G6124">
        <v>4</v>
      </c>
      <c r="H6124">
        <v>12650.16</v>
      </c>
      <c r="I6124">
        <v>1912.24</v>
      </c>
      <c r="J6124" t="s">
        <v>71</v>
      </c>
      <c r="K6124" t="s">
        <v>29</v>
      </c>
      <c r="L6124">
        <f t="shared" si="285"/>
        <v>2023</v>
      </c>
      <c r="M6124" t="str">
        <f t="shared" si="286"/>
        <v>Aug</v>
      </c>
      <c r="N6124" s="2">
        <f t="shared" si="287"/>
        <v>0.15116330544435802</v>
      </c>
    </row>
    <row r="6125" spans="1:14" x14ac:dyDescent="0.45">
      <c r="A6125" t="s">
        <v>10637</v>
      </c>
      <c r="B6125" s="1">
        <v>44665</v>
      </c>
      <c r="C6125" t="s">
        <v>226</v>
      </c>
      <c r="D6125" t="s">
        <v>26</v>
      </c>
      <c r="E6125" t="s">
        <v>36</v>
      </c>
      <c r="F6125" t="s">
        <v>37</v>
      </c>
      <c r="G6125">
        <v>4</v>
      </c>
      <c r="H6125">
        <v>49285.27</v>
      </c>
      <c r="I6125">
        <v>9451.91</v>
      </c>
      <c r="J6125" t="s">
        <v>16</v>
      </c>
      <c r="K6125" t="s">
        <v>17</v>
      </c>
      <c r="L6125">
        <f t="shared" si="285"/>
        <v>2022</v>
      </c>
      <c r="M6125" t="str">
        <f t="shared" si="286"/>
        <v>Apr</v>
      </c>
      <c r="N6125" s="2">
        <f t="shared" si="287"/>
        <v>0.19177961285390138</v>
      </c>
    </row>
    <row r="6126" spans="1:14" x14ac:dyDescent="0.45">
      <c r="A6126" t="s">
        <v>10638</v>
      </c>
      <c r="B6126" s="1">
        <v>45141</v>
      </c>
      <c r="C6126" t="s">
        <v>1860</v>
      </c>
      <c r="D6126" t="s">
        <v>26</v>
      </c>
      <c r="E6126" t="s">
        <v>36</v>
      </c>
      <c r="F6126" t="s">
        <v>64</v>
      </c>
      <c r="G6126">
        <v>4</v>
      </c>
      <c r="H6126">
        <v>28855.64</v>
      </c>
      <c r="I6126">
        <v>4355.8</v>
      </c>
      <c r="J6126" t="s">
        <v>28</v>
      </c>
      <c r="K6126" t="s">
        <v>33</v>
      </c>
      <c r="L6126">
        <f t="shared" si="285"/>
        <v>2023</v>
      </c>
      <c r="M6126" t="str">
        <f t="shared" si="286"/>
        <v>Aug</v>
      </c>
      <c r="N6126" s="2">
        <f t="shared" si="287"/>
        <v>0.15095142578712517</v>
      </c>
    </row>
    <row r="6127" spans="1:14" x14ac:dyDescent="0.45">
      <c r="A6127" t="s">
        <v>10639</v>
      </c>
      <c r="B6127" s="1">
        <v>45000</v>
      </c>
      <c r="C6127" t="s">
        <v>2266</v>
      </c>
      <c r="D6127" t="s">
        <v>13</v>
      </c>
      <c r="E6127" t="s">
        <v>36</v>
      </c>
      <c r="F6127" t="s">
        <v>53</v>
      </c>
      <c r="G6127">
        <v>5</v>
      </c>
      <c r="H6127">
        <v>24346.81</v>
      </c>
      <c r="I6127">
        <v>5509.11</v>
      </c>
      <c r="J6127" t="s">
        <v>16</v>
      </c>
      <c r="K6127" t="s">
        <v>17</v>
      </c>
      <c r="L6127">
        <f t="shared" si="285"/>
        <v>2023</v>
      </c>
      <c r="M6127" t="str">
        <f t="shared" si="286"/>
        <v>Mar</v>
      </c>
      <c r="N6127" s="2">
        <f t="shared" si="287"/>
        <v>0.2262764608587326</v>
      </c>
    </row>
    <row r="6128" spans="1:14" x14ac:dyDescent="0.45">
      <c r="A6128" t="s">
        <v>10640</v>
      </c>
      <c r="B6128" s="1">
        <v>44753</v>
      </c>
      <c r="C6128" t="s">
        <v>10641</v>
      </c>
      <c r="D6128" t="s">
        <v>13</v>
      </c>
      <c r="E6128" t="s">
        <v>20</v>
      </c>
      <c r="F6128" t="s">
        <v>50</v>
      </c>
      <c r="G6128">
        <v>1</v>
      </c>
      <c r="H6128">
        <v>2340.16</v>
      </c>
      <c r="I6128">
        <v>524.87</v>
      </c>
      <c r="J6128" t="s">
        <v>71</v>
      </c>
      <c r="K6128" t="s">
        <v>23</v>
      </c>
      <c r="L6128">
        <f t="shared" si="285"/>
        <v>2022</v>
      </c>
      <c r="M6128" t="str">
        <f t="shared" si="286"/>
        <v>Jul</v>
      </c>
      <c r="N6128" s="2">
        <f t="shared" si="287"/>
        <v>0.22428808286612884</v>
      </c>
    </row>
    <row r="6129" spans="1:14" x14ac:dyDescent="0.45">
      <c r="A6129" t="s">
        <v>10642</v>
      </c>
      <c r="B6129" s="1">
        <v>45248</v>
      </c>
      <c r="C6129" t="s">
        <v>10643</v>
      </c>
      <c r="D6129" t="s">
        <v>56</v>
      </c>
      <c r="E6129" t="s">
        <v>36</v>
      </c>
      <c r="F6129" t="s">
        <v>53</v>
      </c>
      <c r="G6129">
        <v>2</v>
      </c>
      <c r="H6129">
        <v>39705.31</v>
      </c>
      <c r="I6129">
        <v>6350.55</v>
      </c>
      <c r="J6129" t="s">
        <v>71</v>
      </c>
      <c r="K6129" t="s">
        <v>23</v>
      </c>
      <c r="L6129">
        <f t="shared" si="285"/>
        <v>2023</v>
      </c>
      <c r="M6129" t="str">
        <f t="shared" si="286"/>
        <v>Nov</v>
      </c>
      <c r="N6129" s="2">
        <f t="shared" si="287"/>
        <v>0.15994208331328985</v>
      </c>
    </row>
    <row r="6130" spans="1:14" x14ac:dyDescent="0.45">
      <c r="A6130" t="s">
        <v>10644</v>
      </c>
      <c r="B6130" s="1">
        <v>45274</v>
      </c>
      <c r="C6130" t="s">
        <v>4603</v>
      </c>
      <c r="D6130" t="s">
        <v>13</v>
      </c>
      <c r="E6130" t="s">
        <v>14</v>
      </c>
      <c r="F6130" t="s">
        <v>57</v>
      </c>
      <c r="G6130">
        <v>1</v>
      </c>
      <c r="H6130">
        <v>26153.95</v>
      </c>
      <c r="I6130">
        <v>2771.01</v>
      </c>
      <c r="J6130" t="s">
        <v>47</v>
      </c>
      <c r="K6130" t="s">
        <v>23</v>
      </c>
      <c r="L6130">
        <f t="shared" si="285"/>
        <v>2023</v>
      </c>
      <c r="M6130" t="str">
        <f t="shared" si="286"/>
        <v>Dec</v>
      </c>
      <c r="N6130" s="2">
        <f t="shared" si="287"/>
        <v>0.10594996166926984</v>
      </c>
    </row>
    <row r="6131" spans="1:14" x14ac:dyDescent="0.45">
      <c r="A6131" t="s">
        <v>10645</v>
      </c>
      <c r="B6131" s="1">
        <v>45645</v>
      </c>
      <c r="C6131" t="s">
        <v>516</v>
      </c>
      <c r="D6131" t="s">
        <v>56</v>
      </c>
      <c r="E6131" t="s">
        <v>20</v>
      </c>
      <c r="F6131" t="s">
        <v>21</v>
      </c>
      <c r="G6131">
        <v>4</v>
      </c>
      <c r="H6131">
        <v>24402.67</v>
      </c>
      <c r="I6131">
        <v>4839.92</v>
      </c>
      <c r="J6131" t="s">
        <v>16</v>
      </c>
      <c r="K6131" t="s">
        <v>33</v>
      </c>
      <c r="L6131">
        <f t="shared" si="285"/>
        <v>2024</v>
      </c>
      <c r="M6131" t="str">
        <f t="shared" si="286"/>
        <v>Dec</v>
      </c>
      <c r="N6131" s="2">
        <f t="shared" si="287"/>
        <v>0.19833567392420584</v>
      </c>
    </row>
    <row r="6132" spans="1:14" x14ac:dyDescent="0.45">
      <c r="A6132" t="s">
        <v>10646</v>
      </c>
      <c r="B6132" s="1">
        <v>45182</v>
      </c>
      <c r="C6132" t="s">
        <v>10647</v>
      </c>
      <c r="D6132" t="s">
        <v>56</v>
      </c>
      <c r="E6132" t="s">
        <v>36</v>
      </c>
      <c r="F6132" t="s">
        <v>46</v>
      </c>
      <c r="G6132">
        <v>4</v>
      </c>
      <c r="H6132">
        <v>37510.769999999997</v>
      </c>
      <c r="I6132">
        <v>9090</v>
      </c>
      <c r="J6132" t="s">
        <v>47</v>
      </c>
      <c r="K6132" t="s">
        <v>33</v>
      </c>
      <c r="L6132">
        <f t="shared" si="285"/>
        <v>2023</v>
      </c>
      <c r="M6132" t="str">
        <f t="shared" si="286"/>
        <v>Sep</v>
      </c>
      <c r="N6132" s="2">
        <f t="shared" si="287"/>
        <v>0.24233040270834219</v>
      </c>
    </row>
    <row r="6133" spans="1:14" x14ac:dyDescent="0.45">
      <c r="A6133" t="s">
        <v>10648</v>
      </c>
      <c r="B6133" s="1">
        <v>45324</v>
      </c>
      <c r="C6133" t="s">
        <v>3328</v>
      </c>
      <c r="D6133" t="s">
        <v>26</v>
      </c>
      <c r="E6133" t="s">
        <v>20</v>
      </c>
      <c r="F6133" t="s">
        <v>21</v>
      </c>
      <c r="G6133">
        <v>5</v>
      </c>
      <c r="H6133">
        <v>30975.64</v>
      </c>
      <c r="I6133">
        <v>4042.42</v>
      </c>
      <c r="J6133" t="s">
        <v>28</v>
      </c>
      <c r="K6133" t="s">
        <v>29</v>
      </c>
      <c r="L6133">
        <f t="shared" si="285"/>
        <v>2024</v>
      </c>
      <c r="M6133" t="str">
        <f t="shared" si="286"/>
        <v>Feb</v>
      </c>
      <c r="N6133" s="2">
        <f t="shared" si="287"/>
        <v>0.13050319541420291</v>
      </c>
    </row>
    <row r="6134" spans="1:14" x14ac:dyDescent="0.45">
      <c r="A6134" t="s">
        <v>10649</v>
      </c>
      <c r="B6134" s="1">
        <v>44754</v>
      </c>
      <c r="C6134" t="s">
        <v>10650</v>
      </c>
      <c r="D6134" t="s">
        <v>26</v>
      </c>
      <c r="E6134" t="s">
        <v>14</v>
      </c>
      <c r="F6134" t="s">
        <v>15</v>
      </c>
      <c r="G6134">
        <v>1</v>
      </c>
      <c r="H6134">
        <v>31621.88</v>
      </c>
      <c r="I6134">
        <v>6272.63</v>
      </c>
      <c r="J6134" t="s">
        <v>16</v>
      </c>
      <c r="K6134" t="s">
        <v>17</v>
      </c>
      <c r="L6134">
        <f t="shared" si="285"/>
        <v>2022</v>
      </c>
      <c r="M6134" t="str">
        <f t="shared" si="286"/>
        <v>Jul</v>
      </c>
      <c r="N6134" s="2">
        <f t="shared" si="287"/>
        <v>0.19836360140510303</v>
      </c>
    </row>
    <row r="6135" spans="1:14" x14ac:dyDescent="0.45">
      <c r="A6135" t="s">
        <v>10651</v>
      </c>
      <c r="B6135" s="1">
        <v>45225</v>
      </c>
      <c r="C6135" t="s">
        <v>10652</v>
      </c>
      <c r="D6135" t="s">
        <v>56</v>
      </c>
      <c r="E6135" t="s">
        <v>20</v>
      </c>
      <c r="F6135" t="s">
        <v>43</v>
      </c>
      <c r="G6135">
        <v>5</v>
      </c>
      <c r="H6135">
        <v>13731.57</v>
      </c>
      <c r="I6135">
        <v>3377.17</v>
      </c>
      <c r="J6135" t="s">
        <v>28</v>
      </c>
      <c r="K6135" t="s">
        <v>33</v>
      </c>
      <c r="L6135">
        <f t="shared" si="285"/>
        <v>2023</v>
      </c>
      <c r="M6135" t="str">
        <f t="shared" si="286"/>
        <v>Oct</v>
      </c>
      <c r="N6135" s="2">
        <f t="shared" si="287"/>
        <v>0.24594201537042015</v>
      </c>
    </row>
    <row r="6136" spans="1:14" x14ac:dyDescent="0.45">
      <c r="A6136" t="s">
        <v>10653</v>
      </c>
      <c r="B6136" s="1">
        <v>45632</v>
      </c>
      <c r="C6136" t="s">
        <v>3930</v>
      </c>
      <c r="D6136" t="s">
        <v>13</v>
      </c>
      <c r="E6136" t="s">
        <v>20</v>
      </c>
      <c r="F6136" t="s">
        <v>43</v>
      </c>
      <c r="G6136">
        <v>4</v>
      </c>
      <c r="H6136">
        <v>25674.99</v>
      </c>
      <c r="I6136">
        <v>6166.11</v>
      </c>
      <c r="J6136" t="s">
        <v>71</v>
      </c>
      <c r="K6136" t="s">
        <v>29</v>
      </c>
      <c r="L6136">
        <f t="shared" si="285"/>
        <v>2024</v>
      </c>
      <c r="M6136" t="str">
        <f t="shared" si="286"/>
        <v>Dec</v>
      </c>
      <c r="N6136" s="2">
        <f t="shared" si="287"/>
        <v>0.24016017143531504</v>
      </c>
    </row>
    <row r="6137" spans="1:14" x14ac:dyDescent="0.45">
      <c r="A6137" t="s">
        <v>10654</v>
      </c>
      <c r="B6137" s="1">
        <v>45535</v>
      </c>
      <c r="C6137" t="s">
        <v>10655</v>
      </c>
      <c r="D6137" t="s">
        <v>26</v>
      </c>
      <c r="E6137" t="s">
        <v>36</v>
      </c>
      <c r="F6137" t="s">
        <v>53</v>
      </c>
      <c r="G6137">
        <v>5</v>
      </c>
      <c r="H6137">
        <v>36145.699999999997</v>
      </c>
      <c r="I6137">
        <v>8220.33</v>
      </c>
      <c r="J6137" t="s">
        <v>47</v>
      </c>
      <c r="K6137" t="s">
        <v>33</v>
      </c>
      <c r="L6137">
        <f t="shared" si="285"/>
        <v>2024</v>
      </c>
      <c r="M6137" t="str">
        <f t="shared" si="286"/>
        <v>Aug</v>
      </c>
      <c r="N6137" s="2">
        <f t="shared" si="287"/>
        <v>0.22742207233502187</v>
      </c>
    </row>
    <row r="6138" spans="1:14" x14ac:dyDescent="0.45">
      <c r="A6138" t="s">
        <v>10656</v>
      </c>
      <c r="B6138" s="1">
        <v>44804</v>
      </c>
      <c r="C6138" t="s">
        <v>399</v>
      </c>
      <c r="D6138" t="s">
        <v>56</v>
      </c>
      <c r="E6138" t="s">
        <v>20</v>
      </c>
      <c r="F6138" t="s">
        <v>43</v>
      </c>
      <c r="G6138">
        <v>5</v>
      </c>
      <c r="H6138">
        <v>21392.38</v>
      </c>
      <c r="I6138">
        <v>4713.3599999999997</v>
      </c>
      <c r="J6138" t="s">
        <v>71</v>
      </c>
      <c r="K6138" t="s">
        <v>33</v>
      </c>
      <c r="L6138">
        <f t="shared" si="285"/>
        <v>2022</v>
      </c>
      <c r="M6138" t="str">
        <f t="shared" si="286"/>
        <v>Aug</v>
      </c>
      <c r="N6138" s="2">
        <f t="shared" si="287"/>
        <v>0.22032892085873565</v>
      </c>
    </row>
    <row r="6139" spans="1:14" x14ac:dyDescent="0.45">
      <c r="A6139" t="s">
        <v>10657</v>
      </c>
      <c r="B6139" s="1">
        <v>45574</v>
      </c>
      <c r="C6139" t="s">
        <v>10079</v>
      </c>
      <c r="D6139" t="s">
        <v>56</v>
      </c>
      <c r="E6139" t="s">
        <v>36</v>
      </c>
      <c r="F6139" t="s">
        <v>37</v>
      </c>
      <c r="G6139">
        <v>4</v>
      </c>
      <c r="H6139">
        <v>40836.629999999997</v>
      </c>
      <c r="I6139">
        <v>7089.34</v>
      </c>
      <c r="J6139" t="s">
        <v>28</v>
      </c>
      <c r="K6139" t="s">
        <v>23</v>
      </c>
      <c r="L6139">
        <f t="shared" si="285"/>
        <v>2024</v>
      </c>
      <c r="M6139" t="str">
        <f t="shared" si="286"/>
        <v>Oct</v>
      </c>
      <c r="N6139" s="2">
        <f t="shared" si="287"/>
        <v>0.1736024740533193</v>
      </c>
    </row>
    <row r="6140" spans="1:14" x14ac:dyDescent="0.45">
      <c r="A6140" t="s">
        <v>10658</v>
      </c>
      <c r="B6140" s="1">
        <v>44680</v>
      </c>
      <c r="C6140" t="s">
        <v>10659</v>
      </c>
      <c r="D6140" t="s">
        <v>26</v>
      </c>
      <c r="E6140" t="s">
        <v>14</v>
      </c>
      <c r="F6140" t="s">
        <v>15</v>
      </c>
      <c r="G6140">
        <v>5</v>
      </c>
      <c r="H6140">
        <v>36030.94</v>
      </c>
      <c r="I6140">
        <v>2684.83</v>
      </c>
      <c r="J6140" t="s">
        <v>47</v>
      </c>
      <c r="K6140" t="s">
        <v>29</v>
      </c>
      <c r="L6140">
        <f t="shared" si="285"/>
        <v>2022</v>
      </c>
      <c r="M6140" t="str">
        <f t="shared" si="286"/>
        <v>Apr</v>
      </c>
      <c r="N6140" s="2">
        <f t="shared" si="287"/>
        <v>7.451456997791342E-2</v>
      </c>
    </row>
    <row r="6141" spans="1:14" x14ac:dyDescent="0.45">
      <c r="A6141" t="s">
        <v>10660</v>
      </c>
      <c r="B6141" s="1">
        <v>44947</v>
      </c>
      <c r="C6141" t="s">
        <v>10661</v>
      </c>
      <c r="D6141" t="s">
        <v>26</v>
      </c>
      <c r="E6141" t="s">
        <v>36</v>
      </c>
      <c r="F6141" t="s">
        <v>46</v>
      </c>
      <c r="G6141">
        <v>5</v>
      </c>
      <c r="H6141">
        <v>47906.68</v>
      </c>
      <c r="I6141">
        <v>4431.3900000000003</v>
      </c>
      <c r="J6141" t="s">
        <v>47</v>
      </c>
      <c r="K6141" t="s">
        <v>23</v>
      </c>
      <c r="L6141">
        <f t="shared" si="285"/>
        <v>2023</v>
      </c>
      <c r="M6141" t="str">
        <f t="shared" si="286"/>
        <v>Jan</v>
      </c>
      <c r="N6141" s="2">
        <f t="shared" si="287"/>
        <v>9.2500461313537077E-2</v>
      </c>
    </row>
    <row r="6142" spans="1:14" x14ac:dyDescent="0.45">
      <c r="A6142" t="s">
        <v>10662</v>
      </c>
      <c r="B6142" s="1">
        <v>45459</v>
      </c>
      <c r="C6142" t="s">
        <v>10663</v>
      </c>
      <c r="D6142" t="s">
        <v>56</v>
      </c>
      <c r="E6142" t="s">
        <v>20</v>
      </c>
      <c r="F6142" t="s">
        <v>50</v>
      </c>
      <c r="G6142">
        <v>1</v>
      </c>
      <c r="H6142">
        <v>18210.169999999998</v>
      </c>
      <c r="I6142">
        <v>2658.79</v>
      </c>
      <c r="J6142" t="s">
        <v>28</v>
      </c>
      <c r="K6142" t="s">
        <v>23</v>
      </c>
      <c r="L6142">
        <f t="shared" si="285"/>
        <v>2024</v>
      </c>
      <c r="M6142" t="str">
        <f t="shared" si="286"/>
        <v>Jun</v>
      </c>
      <c r="N6142" s="2">
        <f t="shared" si="287"/>
        <v>0.1460057758933607</v>
      </c>
    </row>
    <row r="6143" spans="1:14" x14ac:dyDescent="0.45">
      <c r="A6143" t="s">
        <v>10664</v>
      </c>
      <c r="B6143" s="1">
        <v>45548</v>
      </c>
      <c r="C6143" t="s">
        <v>10665</v>
      </c>
      <c r="D6143" t="s">
        <v>26</v>
      </c>
      <c r="E6143" t="s">
        <v>36</v>
      </c>
      <c r="F6143" t="s">
        <v>53</v>
      </c>
      <c r="G6143">
        <v>4</v>
      </c>
      <c r="H6143">
        <v>6661.35</v>
      </c>
      <c r="I6143">
        <v>1162.55</v>
      </c>
      <c r="J6143" t="s">
        <v>71</v>
      </c>
      <c r="K6143" t="s">
        <v>23</v>
      </c>
      <c r="L6143">
        <f t="shared" si="285"/>
        <v>2024</v>
      </c>
      <c r="M6143" t="str">
        <f t="shared" si="286"/>
        <v>Sep</v>
      </c>
      <c r="N6143" s="2">
        <f t="shared" si="287"/>
        <v>0.17452168104062987</v>
      </c>
    </row>
    <row r="6144" spans="1:14" x14ac:dyDescent="0.45">
      <c r="A6144" t="s">
        <v>10666</v>
      </c>
      <c r="B6144" s="1">
        <v>45327</v>
      </c>
      <c r="C6144" t="s">
        <v>10667</v>
      </c>
      <c r="D6144" t="s">
        <v>13</v>
      </c>
      <c r="E6144" t="s">
        <v>36</v>
      </c>
      <c r="F6144" t="s">
        <v>37</v>
      </c>
      <c r="G6144">
        <v>3</v>
      </c>
      <c r="H6144">
        <v>42994.21</v>
      </c>
      <c r="I6144">
        <v>7707.98</v>
      </c>
      <c r="J6144" t="s">
        <v>71</v>
      </c>
      <c r="K6144" t="s">
        <v>17</v>
      </c>
      <c r="L6144">
        <f t="shared" si="285"/>
        <v>2024</v>
      </c>
      <c r="M6144" t="str">
        <f t="shared" si="286"/>
        <v>Feb</v>
      </c>
      <c r="N6144" s="2">
        <f t="shared" si="287"/>
        <v>0.17927948902887156</v>
      </c>
    </row>
    <row r="6145" spans="1:14" x14ac:dyDescent="0.45">
      <c r="A6145" t="s">
        <v>10668</v>
      </c>
      <c r="B6145" s="1">
        <v>45498</v>
      </c>
      <c r="C6145" t="s">
        <v>10669</v>
      </c>
      <c r="D6145" t="s">
        <v>13</v>
      </c>
      <c r="E6145" t="s">
        <v>20</v>
      </c>
      <c r="F6145" t="s">
        <v>50</v>
      </c>
      <c r="G6145">
        <v>3</v>
      </c>
      <c r="H6145">
        <v>29814.41</v>
      </c>
      <c r="I6145">
        <v>2306.5</v>
      </c>
      <c r="J6145" t="s">
        <v>16</v>
      </c>
      <c r="K6145" t="s">
        <v>29</v>
      </c>
      <c r="L6145">
        <f t="shared" si="285"/>
        <v>2024</v>
      </c>
      <c r="M6145" t="str">
        <f t="shared" si="286"/>
        <v>Jul</v>
      </c>
      <c r="N6145" s="2">
        <f t="shared" si="287"/>
        <v>7.7361919957497069E-2</v>
      </c>
    </row>
    <row r="6146" spans="1:14" x14ac:dyDescent="0.45">
      <c r="A6146" t="s">
        <v>10670</v>
      </c>
      <c r="B6146" s="1">
        <v>44902</v>
      </c>
      <c r="C6146" t="s">
        <v>4374</v>
      </c>
      <c r="D6146" t="s">
        <v>56</v>
      </c>
      <c r="E6146" t="s">
        <v>20</v>
      </c>
      <c r="F6146" t="s">
        <v>50</v>
      </c>
      <c r="G6146">
        <v>5</v>
      </c>
      <c r="H6146">
        <v>46852.47</v>
      </c>
      <c r="I6146">
        <v>5429.71</v>
      </c>
      <c r="J6146" t="s">
        <v>47</v>
      </c>
      <c r="K6146" t="s">
        <v>33</v>
      </c>
      <c r="L6146">
        <f t="shared" si="285"/>
        <v>2022</v>
      </c>
      <c r="M6146" t="str">
        <f t="shared" si="286"/>
        <v>Dec</v>
      </c>
      <c r="N6146" s="2">
        <f t="shared" si="287"/>
        <v>0.11588951446956798</v>
      </c>
    </row>
    <row r="6147" spans="1:14" x14ac:dyDescent="0.45">
      <c r="A6147" t="s">
        <v>10671</v>
      </c>
      <c r="B6147" s="1">
        <v>44807</v>
      </c>
      <c r="C6147" t="s">
        <v>4124</v>
      </c>
      <c r="D6147" t="s">
        <v>56</v>
      </c>
      <c r="E6147" t="s">
        <v>36</v>
      </c>
      <c r="F6147" t="s">
        <v>64</v>
      </c>
      <c r="G6147">
        <v>4</v>
      </c>
      <c r="H6147">
        <v>684.36</v>
      </c>
      <c r="I6147">
        <v>48.78</v>
      </c>
      <c r="J6147" t="s">
        <v>22</v>
      </c>
      <c r="K6147" t="s">
        <v>23</v>
      </c>
      <c r="L6147">
        <f t="shared" ref="L6147:L6210" si="288">YEAR(B6147 )</f>
        <v>2022</v>
      </c>
      <c r="M6147" t="str">
        <f t="shared" ref="M6147:M6210" si="289">TEXT(B6147,"MMM")</f>
        <v>Sep</v>
      </c>
      <c r="N6147" s="2">
        <f t="shared" ref="N6147:N6210" si="290">I6147 / H6147</f>
        <v>7.1278274592319835E-2</v>
      </c>
    </row>
    <row r="6148" spans="1:14" x14ac:dyDescent="0.45">
      <c r="A6148" t="s">
        <v>10672</v>
      </c>
      <c r="B6148" s="1">
        <v>44919</v>
      </c>
      <c r="C6148" t="s">
        <v>10673</v>
      </c>
      <c r="D6148" t="s">
        <v>13</v>
      </c>
      <c r="E6148" t="s">
        <v>36</v>
      </c>
      <c r="F6148" t="s">
        <v>46</v>
      </c>
      <c r="G6148">
        <v>3</v>
      </c>
      <c r="H6148">
        <v>27026.46</v>
      </c>
      <c r="I6148">
        <v>4479.09</v>
      </c>
      <c r="J6148" t="s">
        <v>22</v>
      </c>
      <c r="K6148" t="s">
        <v>33</v>
      </c>
      <c r="L6148">
        <f t="shared" si="288"/>
        <v>2022</v>
      </c>
      <c r="M6148" t="str">
        <f t="shared" si="289"/>
        <v>Dec</v>
      </c>
      <c r="N6148" s="2">
        <f t="shared" si="290"/>
        <v>0.16572980701135112</v>
      </c>
    </row>
    <row r="6149" spans="1:14" x14ac:dyDescent="0.45">
      <c r="A6149" t="s">
        <v>10674</v>
      </c>
      <c r="B6149" s="1">
        <v>45223</v>
      </c>
      <c r="C6149" t="s">
        <v>10675</v>
      </c>
      <c r="D6149" t="s">
        <v>26</v>
      </c>
      <c r="E6149" t="s">
        <v>36</v>
      </c>
      <c r="F6149" t="s">
        <v>53</v>
      </c>
      <c r="G6149">
        <v>4</v>
      </c>
      <c r="H6149">
        <v>37644.589999999997</v>
      </c>
      <c r="I6149">
        <v>7466.08</v>
      </c>
      <c r="J6149" t="s">
        <v>71</v>
      </c>
      <c r="K6149" t="s">
        <v>23</v>
      </c>
      <c r="L6149">
        <f t="shared" si="288"/>
        <v>2023</v>
      </c>
      <c r="M6149" t="str">
        <f t="shared" si="289"/>
        <v>Oct</v>
      </c>
      <c r="N6149" s="2">
        <f t="shared" si="290"/>
        <v>0.19833075615911877</v>
      </c>
    </row>
    <row r="6150" spans="1:14" x14ac:dyDescent="0.45">
      <c r="A6150" t="s">
        <v>10676</v>
      </c>
      <c r="B6150" s="1">
        <v>44961</v>
      </c>
      <c r="C6150" t="s">
        <v>10677</v>
      </c>
      <c r="D6150" t="s">
        <v>13</v>
      </c>
      <c r="E6150" t="s">
        <v>20</v>
      </c>
      <c r="F6150" t="s">
        <v>43</v>
      </c>
      <c r="G6150">
        <v>4</v>
      </c>
      <c r="H6150">
        <v>33030.61</v>
      </c>
      <c r="I6150">
        <v>3748.47</v>
      </c>
      <c r="J6150" t="s">
        <v>28</v>
      </c>
      <c r="K6150" t="s">
        <v>17</v>
      </c>
      <c r="L6150">
        <f t="shared" si="288"/>
        <v>2023</v>
      </c>
      <c r="M6150" t="str">
        <f t="shared" si="289"/>
        <v>Feb</v>
      </c>
      <c r="N6150" s="2">
        <f t="shared" si="290"/>
        <v>0.11348473431159763</v>
      </c>
    </row>
    <row r="6151" spans="1:14" x14ac:dyDescent="0.45">
      <c r="A6151" t="s">
        <v>10678</v>
      </c>
      <c r="B6151" s="1">
        <v>45597</v>
      </c>
      <c r="C6151" t="s">
        <v>10679</v>
      </c>
      <c r="D6151" t="s">
        <v>56</v>
      </c>
      <c r="E6151" t="s">
        <v>36</v>
      </c>
      <c r="F6151" t="s">
        <v>64</v>
      </c>
      <c r="G6151">
        <v>4</v>
      </c>
      <c r="H6151">
        <v>32519.97</v>
      </c>
      <c r="I6151">
        <v>2753.62</v>
      </c>
      <c r="J6151" t="s">
        <v>22</v>
      </c>
      <c r="K6151" t="s">
        <v>29</v>
      </c>
      <c r="L6151">
        <f t="shared" si="288"/>
        <v>2024</v>
      </c>
      <c r="M6151" t="str">
        <f t="shared" si="289"/>
        <v>Nov</v>
      </c>
      <c r="N6151" s="2">
        <f t="shared" si="290"/>
        <v>8.467473985984611E-2</v>
      </c>
    </row>
    <row r="6152" spans="1:14" x14ac:dyDescent="0.45">
      <c r="A6152" t="s">
        <v>10680</v>
      </c>
      <c r="B6152" s="1">
        <v>45643</v>
      </c>
      <c r="C6152" t="s">
        <v>10681</v>
      </c>
      <c r="D6152" t="s">
        <v>13</v>
      </c>
      <c r="E6152" t="s">
        <v>36</v>
      </c>
      <c r="F6152" t="s">
        <v>53</v>
      </c>
      <c r="G6152">
        <v>1</v>
      </c>
      <c r="H6152">
        <v>48919.05</v>
      </c>
      <c r="I6152">
        <v>4505.3900000000003</v>
      </c>
      <c r="J6152" t="s">
        <v>71</v>
      </c>
      <c r="K6152" t="s">
        <v>17</v>
      </c>
      <c r="L6152">
        <f t="shared" si="288"/>
        <v>2024</v>
      </c>
      <c r="M6152" t="str">
        <f t="shared" si="289"/>
        <v>Dec</v>
      </c>
      <c r="N6152" s="2">
        <f t="shared" si="290"/>
        <v>9.2098885812377795E-2</v>
      </c>
    </row>
    <row r="6153" spans="1:14" x14ac:dyDescent="0.45">
      <c r="A6153" t="s">
        <v>10682</v>
      </c>
      <c r="B6153" s="1">
        <v>44914</v>
      </c>
      <c r="C6153" t="s">
        <v>5779</v>
      </c>
      <c r="D6153" t="s">
        <v>56</v>
      </c>
      <c r="E6153" t="s">
        <v>20</v>
      </c>
      <c r="F6153" t="s">
        <v>50</v>
      </c>
      <c r="G6153">
        <v>5</v>
      </c>
      <c r="H6153">
        <v>41403.019999999997</v>
      </c>
      <c r="I6153">
        <v>6893.1</v>
      </c>
      <c r="J6153" t="s">
        <v>47</v>
      </c>
      <c r="K6153" t="s">
        <v>29</v>
      </c>
      <c r="L6153">
        <f t="shared" si="288"/>
        <v>2022</v>
      </c>
      <c r="M6153" t="str">
        <f t="shared" si="289"/>
        <v>Dec</v>
      </c>
      <c r="N6153" s="2">
        <f t="shared" si="290"/>
        <v>0.16648785523374868</v>
      </c>
    </row>
    <row r="6154" spans="1:14" x14ac:dyDescent="0.45">
      <c r="A6154" t="s">
        <v>10683</v>
      </c>
      <c r="B6154" s="1">
        <v>45402</v>
      </c>
      <c r="C6154" t="s">
        <v>7439</v>
      </c>
      <c r="D6154" t="s">
        <v>13</v>
      </c>
      <c r="E6154" t="s">
        <v>14</v>
      </c>
      <c r="F6154" t="s">
        <v>57</v>
      </c>
      <c r="G6154">
        <v>5</v>
      </c>
      <c r="H6154">
        <v>33174.28</v>
      </c>
      <c r="I6154">
        <v>1671.13</v>
      </c>
      <c r="J6154" t="s">
        <v>28</v>
      </c>
      <c r="K6154" t="s">
        <v>17</v>
      </c>
      <c r="L6154">
        <f t="shared" si="288"/>
        <v>2024</v>
      </c>
      <c r="M6154" t="str">
        <f t="shared" si="289"/>
        <v>Apr</v>
      </c>
      <c r="N6154" s="2">
        <f t="shared" si="290"/>
        <v>5.0374265846915144E-2</v>
      </c>
    </row>
    <row r="6155" spans="1:14" x14ac:dyDescent="0.45">
      <c r="A6155" t="s">
        <v>10684</v>
      </c>
      <c r="B6155" s="1">
        <v>45011</v>
      </c>
      <c r="C6155" t="s">
        <v>8032</v>
      </c>
      <c r="D6155" t="s">
        <v>13</v>
      </c>
      <c r="E6155" t="s">
        <v>20</v>
      </c>
      <c r="F6155" t="s">
        <v>21</v>
      </c>
      <c r="G6155">
        <v>1</v>
      </c>
      <c r="H6155">
        <v>27977.47</v>
      </c>
      <c r="I6155">
        <v>5000.32</v>
      </c>
      <c r="J6155" t="s">
        <v>16</v>
      </c>
      <c r="K6155" t="s">
        <v>29</v>
      </c>
      <c r="L6155">
        <f t="shared" si="288"/>
        <v>2023</v>
      </c>
      <c r="M6155" t="str">
        <f t="shared" si="289"/>
        <v>Mar</v>
      </c>
      <c r="N6155" s="2">
        <f t="shared" si="290"/>
        <v>0.17872666827986947</v>
      </c>
    </row>
    <row r="6156" spans="1:14" x14ac:dyDescent="0.45">
      <c r="A6156" t="s">
        <v>10685</v>
      </c>
      <c r="B6156" s="1">
        <v>44818</v>
      </c>
      <c r="C6156" t="s">
        <v>10686</v>
      </c>
      <c r="D6156" t="s">
        <v>13</v>
      </c>
      <c r="E6156" t="s">
        <v>20</v>
      </c>
      <c r="F6156" t="s">
        <v>27</v>
      </c>
      <c r="G6156">
        <v>3</v>
      </c>
      <c r="H6156">
        <v>7592.4</v>
      </c>
      <c r="I6156">
        <v>1456.86</v>
      </c>
      <c r="J6156" t="s">
        <v>22</v>
      </c>
      <c r="K6156" t="s">
        <v>23</v>
      </c>
      <c r="L6156">
        <f t="shared" si="288"/>
        <v>2022</v>
      </c>
      <c r="M6156" t="str">
        <f t="shared" si="289"/>
        <v>Sep</v>
      </c>
      <c r="N6156" s="2">
        <f t="shared" si="290"/>
        <v>0.19188398925241029</v>
      </c>
    </row>
    <row r="6157" spans="1:14" x14ac:dyDescent="0.45">
      <c r="A6157" t="s">
        <v>10687</v>
      </c>
      <c r="B6157" s="1">
        <v>44699</v>
      </c>
      <c r="C6157" t="s">
        <v>10688</v>
      </c>
      <c r="D6157" t="s">
        <v>26</v>
      </c>
      <c r="E6157" t="s">
        <v>36</v>
      </c>
      <c r="F6157" t="s">
        <v>37</v>
      </c>
      <c r="G6157">
        <v>1</v>
      </c>
      <c r="H6157">
        <v>39058.81</v>
      </c>
      <c r="I6157">
        <v>2025.7</v>
      </c>
      <c r="J6157" t="s">
        <v>16</v>
      </c>
      <c r="K6157" t="s">
        <v>33</v>
      </c>
      <c r="L6157">
        <f t="shared" si="288"/>
        <v>2022</v>
      </c>
      <c r="M6157" t="str">
        <f t="shared" si="289"/>
        <v>May</v>
      </c>
      <c r="N6157" s="2">
        <f t="shared" si="290"/>
        <v>5.1862819169350018E-2</v>
      </c>
    </row>
    <row r="6158" spans="1:14" x14ac:dyDescent="0.45">
      <c r="A6158" t="s">
        <v>10689</v>
      </c>
      <c r="B6158" s="1">
        <v>44903</v>
      </c>
      <c r="C6158" t="s">
        <v>218</v>
      </c>
      <c r="D6158" t="s">
        <v>26</v>
      </c>
      <c r="E6158" t="s">
        <v>36</v>
      </c>
      <c r="F6158" t="s">
        <v>46</v>
      </c>
      <c r="G6158">
        <v>1</v>
      </c>
      <c r="H6158">
        <v>49032.74</v>
      </c>
      <c r="I6158">
        <v>11346.68</v>
      </c>
      <c r="J6158" t="s">
        <v>28</v>
      </c>
      <c r="K6158" t="s">
        <v>17</v>
      </c>
      <c r="L6158">
        <f t="shared" si="288"/>
        <v>2022</v>
      </c>
      <c r="M6158" t="str">
        <f t="shared" si="289"/>
        <v>Dec</v>
      </c>
      <c r="N6158" s="2">
        <f t="shared" si="290"/>
        <v>0.23141027811213488</v>
      </c>
    </row>
    <row r="6159" spans="1:14" x14ac:dyDescent="0.45">
      <c r="A6159" t="s">
        <v>10690</v>
      </c>
      <c r="B6159" s="1">
        <v>45612</v>
      </c>
      <c r="C6159" t="s">
        <v>6134</v>
      </c>
      <c r="D6159" t="s">
        <v>56</v>
      </c>
      <c r="E6159" t="s">
        <v>14</v>
      </c>
      <c r="F6159" t="s">
        <v>15</v>
      </c>
      <c r="G6159">
        <v>5</v>
      </c>
      <c r="H6159">
        <v>16372.75</v>
      </c>
      <c r="I6159">
        <v>2570.94</v>
      </c>
      <c r="J6159" t="s">
        <v>71</v>
      </c>
      <c r="K6159" t="s">
        <v>17</v>
      </c>
      <c r="L6159">
        <f t="shared" si="288"/>
        <v>2024</v>
      </c>
      <c r="M6159" t="str">
        <f t="shared" si="289"/>
        <v>Nov</v>
      </c>
      <c r="N6159" s="2">
        <f t="shared" si="290"/>
        <v>0.15702554549480083</v>
      </c>
    </row>
    <row r="6160" spans="1:14" x14ac:dyDescent="0.45">
      <c r="A6160" t="s">
        <v>10691</v>
      </c>
      <c r="B6160" s="1">
        <v>44995</v>
      </c>
      <c r="C6160" t="s">
        <v>6597</v>
      </c>
      <c r="D6160" t="s">
        <v>26</v>
      </c>
      <c r="E6160" t="s">
        <v>20</v>
      </c>
      <c r="F6160" t="s">
        <v>43</v>
      </c>
      <c r="G6160">
        <v>2</v>
      </c>
      <c r="H6160">
        <v>20319.2</v>
      </c>
      <c r="I6160">
        <v>4997.8999999999996</v>
      </c>
      <c r="J6160" t="s">
        <v>28</v>
      </c>
      <c r="K6160" t="s">
        <v>29</v>
      </c>
      <c r="L6160">
        <f t="shared" si="288"/>
        <v>2023</v>
      </c>
      <c r="M6160" t="str">
        <f t="shared" si="289"/>
        <v>Mar</v>
      </c>
      <c r="N6160" s="2">
        <f t="shared" si="290"/>
        <v>0.24596932950116143</v>
      </c>
    </row>
    <row r="6161" spans="1:14" x14ac:dyDescent="0.45">
      <c r="A6161" t="s">
        <v>10692</v>
      </c>
      <c r="B6161" s="1">
        <v>45599</v>
      </c>
      <c r="C6161" t="s">
        <v>10693</v>
      </c>
      <c r="D6161" t="s">
        <v>56</v>
      </c>
      <c r="E6161" t="s">
        <v>14</v>
      </c>
      <c r="F6161" t="s">
        <v>32</v>
      </c>
      <c r="G6161">
        <v>1</v>
      </c>
      <c r="H6161">
        <v>39353.46</v>
      </c>
      <c r="I6161">
        <v>9419.0400000000009</v>
      </c>
      <c r="J6161" t="s">
        <v>71</v>
      </c>
      <c r="K6161" t="s">
        <v>33</v>
      </c>
      <c r="L6161">
        <f t="shared" si="288"/>
        <v>2024</v>
      </c>
      <c r="M6161" t="str">
        <f t="shared" si="289"/>
        <v>Nov</v>
      </c>
      <c r="N6161" s="2">
        <f t="shared" si="290"/>
        <v>0.23934464720509965</v>
      </c>
    </row>
    <row r="6162" spans="1:14" x14ac:dyDescent="0.45">
      <c r="A6162" t="s">
        <v>10694</v>
      </c>
      <c r="B6162" s="1">
        <v>44951</v>
      </c>
      <c r="C6162" t="s">
        <v>10695</v>
      </c>
      <c r="D6162" t="s">
        <v>56</v>
      </c>
      <c r="E6162" t="s">
        <v>36</v>
      </c>
      <c r="F6162" t="s">
        <v>64</v>
      </c>
      <c r="G6162">
        <v>5</v>
      </c>
      <c r="H6162">
        <v>10519.02</v>
      </c>
      <c r="I6162">
        <v>1194.07</v>
      </c>
      <c r="J6162" t="s">
        <v>16</v>
      </c>
      <c r="K6162" t="s">
        <v>29</v>
      </c>
      <c r="L6162">
        <f t="shared" si="288"/>
        <v>2023</v>
      </c>
      <c r="M6162" t="str">
        <f t="shared" si="289"/>
        <v>Jan</v>
      </c>
      <c r="N6162" s="2">
        <f t="shared" si="290"/>
        <v>0.11351532747347186</v>
      </c>
    </row>
    <row r="6163" spans="1:14" x14ac:dyDescent="0.45">
      <c r="A6163" t="s">
        <v>10696</v>
      </c>
      <c r="B6163" s="1">
        <v>44566</v>
      </c>
      <c r="C6163" t="s">
        <v>9815</v>
      </c>
      <c r="D6163" t="s">
        <v>13</v>
      </c>
      <c r="E6163" t="s">
        <v>36</v>
      </c>
      <c r="F6163" t="s">
        <v>53</v>
      </c>
      <c r="G6163">
        <v>2</v>
      </c>
      <c r="H6163">
        <v>8113.24</v>
      </c>
      <c r="I6163">
        <v>1497.45</v>
      </c>
      <c r="J6163" t="s">
        <v>16</v>
      </c>
      <c r="K6163" t="s">
        <v>29</v>
      </c>
      <c r="L6163">
        <f t="shared" si="288"/>
        <v>2022</v>
      </c>
      <c r="M6163" t="str">
        <f t="shared" si="289"/>
        <v>Jan</v>
      </c>
      <c r="N6163" s="2">
        <f t="shared" si="290"/>
        <v>0.18456868032992985</v>
      </c>
    </row>
    <row r="6164" spans="1:14" x14ac:dyDescent="0.45">
      <c r="A6164" t="s">
        <v>10697</v>
      </c>
      <c r="B6164" s="1">
        <v>45373</v>
      </c>
      <c r="C6164" t="s">
        <v>10698</v>
      </c>
      <c r="D6164" t="s">
        <v>13</v>
      </c>
      <c r="E6164" t="s">
        <v>36</v>
      </c>
      <c r="F6164" t="s">
        <v>64</v>
      </c>
      <c r="G6164">
        <v>2</v>
      </c>
      <c r="H6164">
        <v>30214.14</v>
      </c>
      <c r="I6164">
        <v>5747.48</v>
      </c>
      <c r="J6164" t="s">
        <v>71</v>
      </c>
      <c r="K6164" t="s">
        <v>29</v>
      </c>
      <c r="L6164">
        <f t="shared" si="288"/>
        <v>2024</v>
      </c>
      <c r="M6164" t="str">
        <f t="shared" si="289"/>
        <v>Mar</v>
      </c>
      <c r="N6164" s="2">
        <f t="shared" si="290"/>
        <v>0.19022484174628171</v>
      </c>
    </row>
    <row r="6165" spans="1:14" x14ac:dyDescent="0.45">
      <c r="A6165" t="s">
        <v>10699</v>
      </c>
      <c r="B6165" s="1">
        <v>44872</v>
      </c>
      <c r="C6165" t="s">
        <v>10700</v>
      </c>
      <c r="D6165" t="s">
        <v>13</v>
      </c>
      <c r="E6165" t="s">
        <v>20</v>
      </c>
      <c r="F6165" t="s">
        <v>21</v>
      </c>
      <c r="G6165">
        <v>3</v>
      </c>
      <c r="H6165">
        <v>37277.760000000002</v>
      </c>
      <c r="I6165">
        <v>4375.6099999999997</v>
      </c>
      <c r="J6165" t="s">
        <v>71</v>
      </c>
      <c r="K6165" t="s">
        <v>29</v>
      </c>
      <c r="L6165">
        <f t="shared" si="288"/>
        <v>2022</v>
      </c>
      <c r="M6165" t="str">
        <f t="shared" si="289"/>
        <v>Nov</v>
      </c>
      <c r="N6165" s="2">
        <f t="shared" si="290"/>
        <v>0.11737856566488972</v>
      </c>
    </row>
    <row r="6166" spans="1:14" x14ac:dyDescent="0.45">
      <c r="A6166" t="s">
        <v>10701</v>
      </c>
      <c r="B6166" s="1">
        <v>45460</v>
      </c>
      <c r="C6166" t="s">
        <v>10702</v>
      </c>
      <c r="D6166" t="s">
        <v>56</v>
      </c>
      <c r="E6166" t="s">
        <v>36</v>
      </c>
      <c r="F6166" t="s">
        <v>46</v>
      </c>
      <c r="G6166">
        <v>1</v>
      </c>
      <c r="H6166">
        <v>37755.919999999998</v>
      </c>
      <c r="I6166">
        <v>4578.59</v>
      </c>
      <c r="J6166" t="s">
        <v>47</v>
      </c>
      <c r="K6166" t="s">
        <v>33</v>
      </c>
      <c r="L6166">
        <f t="shared" si="288"/>
        <v>2024</v>
      </c>
      <c r="M6166" t="str">
        <f t="shared" si="289"/>
        <v>Jun</v>
      </c>
      <c r="N6166" s="2">
        <f t="shared" si="290"/>
        <v>0.12126813490440705</v>
      </c>
    </row>
    <row r="6167" spans="1:14" x14ac:dyDescent="0.45">
      <c r="A6167" t="s">
        <v>10703</v>
      </c>
      <c r="B6167" s="1">
        <v>45170</v>
      </c>
      <c r="C6167" t="s">
        <v>10704</v>
      </c>
      <c r="D6167" t="s">
        <v>13</v>
      </c>
      <c r="E6167" t="s">
        <v>20</v>
      </c>
      <c r="F6167" t="s">
        <v>21</v>
      </c>
      <c r="G6167">
        <v>5</v>
      </c>
      <c r="H6167">
        <v>34527.660000000003</v>
      </c>
      <c r="I6167">
        <v>8231.0499999999993</v>
      </c>
      <c r="J6167" t="s">
        <v>28</v>
      </c>
      <c r="K6167" t="s">
        <v>29</v>
      </c>
      <c r="L6167">
        <f t="shared" si="288"/>
        <v>2023</v>
      </c>
      <c r="M6167" t="str">
        <f t="shared" si="289"/>
        <v>Sep</v>
      </c>
      <c r="N6167" s="2">
        <f t="shared" si="290"/>
        <v>0.23839003280268625</v>
      </c>
    </row>
    <row r="6168" spans="1:14" x14ac:dyDescent="0.45">
      <c r="A6168" t="s">
        <v>10705</v>
      </c>
      <c r="B6168" s="1">
        <v>45648</v>
      </c>
      <c r="C6168" t="s">
        <v>10706</v>
      </c>
      <c r="D6168" t="s">
        <v>56</v>
      </c>
      <c r="E6168" t="s">
        <v>14</v>
      </c>
      <c r="F6168" t="s">
        <v>40</v>
      </c>
      <c r="G6168">
        <v>4</v>
      </c>
      <c r="H6168">
        <v>43520.82</v>
      </c>
      <c r="I6168">
        <v>9414.69</v>
      </c>
      <c r="J6168" t="s">
        <v>16</v>
      </c>
      <c r="K6168" t="s">
        <v>33</v>
      </c>
      <c r="L6168">
        <f t="shared" si="288"/>
        <v>2024</v>
      </c>
      <c r="M6168" t="str">
        <f t="shared" si="289"/>
        <v>Dec</v>
      </c>
      <c r="N6168" s="2">
        <f t="shared" si="290"/>
        <v>0.21632611701709667</v>
      </c>
    </row>
    <row r="6169" spans="1:14" x14ac:dyDescent="0.45">
      <c r="A6169" t="s">
        <v>10707</v>
      </c>
      <c r="B6169" s="1">
        <v>44750</v>
      </c>
      <c r="C6169" t="s">
        <v>6595</v>
      </c>
      <c r="D6169" t="s">
        <v>13</v>
      </c>
      <c r="E6169" t="s">
        <v>36</v>
      </c>
      <c r="F6169" t="s">
        <v>46</v>
      </c>
      <c r="G6169">
        <v>1</v>
      </c>
      <c r="H6169">
        <v>24853.66</v>
      </c>
      <c r="I6169">
        <v>2125.34</v>
      </c>
      <c r="J6169" t="s">
        <v>16</v>
      </c>
      <c r="K6169" t="s">
        <v>29</v>
      </c>
      <c r="L6169">
        <f t="shared" si="288"/>
        <v>2022</v>
      </c>
      <c r="M6169" t="str">
        <f t="shared" si="289"/>
        <v>Jul</v>
      </c>
      <c r="N6169" s="2">
        <f t="shared" si="290"/>
        <v>8.5514165720461305E-2</v>
      </c>
    </row>
    <row r="6170" spans="1:14" x14ac:dyDescent="0.45">
      <c r="A6170" t="s">
        <v>10708</v>
      </c>
      <c r="B6170" s="1">
        <v>44570</v>
      </c>
      <c r="C6170" t="s">
        <v>10709</v>
      </c>
      <c r="D6170" t="s">
        <v>13</v>
      </c>
      <c r="E6170" t="s">
        <v>36</v>
      </c>
      <c r="F6170" t="s">
        <v>37</v>
      </c>
      <c r="G6170">
        <v>5</v>
      </c>
      <c r="H6170">
        <v>36105.51</v>
      </c>
      <c r="I6170">
        <v>2114.63</v>
      </c>
      <c r="J6170" t="s">
        <v>28</v>
      </c>
      <c r="K6170" t="s">
        <v>33</v>
      </c>
      <c r="L6170">
        <f t="shared" si="288"/>
        <v>2022</v>
      </c>
      <c r="M6170" t="str">
        <f t="shared" si="289"/>
        <v>Jan</v>
      </c>
      <c r="N6170" s="2">
        <f t="shared" si="290"/>
        <v>5.8568068973405996E-2</v>
      </c>
    </row>
    <row r="6171" spans="1:14" x14ac:dyDescent="0.45">
      <c r="A6171" t="s">
        <v>10710</v>
      </c>
      <c r="B6171" s="1">
        <v>45152</v>
      </c>
      <c r="C6171" t="s">
        <v>10711</v>
      </c>
      <c r="D6171" t="s">
        <v>13</v>
      </c>
      <c r="E6171" t="s">
        <v>36</v>
      </c>
      <c r="F6171" t="s">
        <v>37</v>
      </c>
      <c r="G6171">
        <v>2</v>
      </c>
      <c r="H6171">
        <v>12321.85</v>
      </c>
      <c r="I6171">
        <v>1599.58</v>
      </c>
      <c r="J6171" t="s">
        <v>28</v>
      </c>
      <c r="K6171" t="s">
        <v>29</v>
      </c>
      <c r="L6171">
        <f t="shared" si="288"/>
        <v>2023</v>
      </c>
      <c r="M6171" t="str">
        <f t="shared" si="289"/>
        <v>Aug</v>
      </c>
      <c r="N6171" s="2">
        <f t="shared" si="290"/>
        <v>0.12981654540511367</v>
      </c>
    </row>
    <row r="6172" spans="1:14" x14ac:dyDescent="0.45">
      <c r="A6172" t="s">
        <v>10712</v>
      </c>
      <c r="B6172" s="1">
        <v>45434</v>
      </c>
      <c r="C6172" t="s">
        <v>10713</v>
      </c>
      <c r="D6172" t="s">
        <v>56</v>
      </c>
      <c r="E6172" t="s">
        <v>36</v>
      </c>
      <c r="F6172" t="s">
        <v>46</v>
      </c>
      <c r="G6172">
        <v>4</v>
      </c>
      <c r="H6172">
        <v>43303.38</v>
      </c>
      <c r="I6172">
        <v>9427.94</v>
      </c>
      <c r="J6172" t="s">
        <v>47</v>
      </c>
      <c r="K6172" t="s">
        <v>23</v>
      </c>
      <c r="L6172">
        <f t="shared" si="288"/>
        <v>2024</v>
      </c>
      <c r="M6172" t="str">
        <f t="shared" si="289"/>
        <v>May</v>
      </c>
      <c r="N6172" s="2">
        <f t="shared" si="290"/>
        <v>0.21771833976932056</v>
      </c>
    </row>
    <row r="6173" spans="1:14" x14ac:dyDescent="0.45">
      <c r="A6173" t="s">
        <v>10714</v>
      </c>
      <c r="B6173" s="1">
        <v>45221</v>
      </c>
      <c r="C6173" t="s">
        <v>10377</v>
      </c>
      <c r="D6173" t="s">
        <v>26</v>
      </c>
      <c r="E6173" t="s">
        <v>14</v>
      </c>
      <c r="F6173" t="s">
        <v>57</v>
      </c>
      <c r="G6173">
        <v>3</v>
      </c>
      <c r="H6173">
        <v>10236.9</v>
      </c>
      <c r="I6173">
        <v>1679.31</v>
      </c>
      <c r="J6173" t="s">
        <v>47</v>
      </c>
      <c r="K6173" t="s">
        <v>23</v>
      </c>
      <c r="L6173">
        <f t="shared" si="288"/>
        <v>2023</v>
      </c>
      <c r="M6173" t="str">
        <f t="shared" si="289"/>
        <v>Oct</v>
      </c>
      <c r="N6173" s="2">
        <f t="shared" si="290"/>
        <v>0.16404477918119742</v>
      </c>
    </row>
    <row r="6174" spans="1:14" x14ac:dyDescent="0.45">
      <c r="A6174" t="s">
        <v>10715</v>
      </c>
      <c r="B6174" s="1">
        <v>45317</v>
      </c>
      <c r="C6174" t="s">
        <v>10716</v>
      </c>
      <c r="D6174" t="s">
        <v>26</v>
      </c>
      <c r="E6174" t="s">
        <v>20</v>
      </c>
      <c r="F6174" t="s">
        <v>27</v>
      </c>
      <c r="G6174">
        <v>5</v>
      </c>
      <c r="H6174">
        <v>6995.72</v>
      </c>
      <c r="I6174">
        <v>1508.35</v>
      </c>
      <c r="J6174" t="s">
        <v>71</v>
      </c>
      <c r="K6174" t="s">
        <v>23</v>
      </c>
      <c r="L6174">
        <f t="shared" si="288"/>
        <v>2024</v>
      </c>
      <c r="M6174" t="str">
        <f t="shared" si="289"/>
        <v>Jan</v>
      </c>
      <c r="N6174" s="2">
        <f t="shared" si="290"/>
        <v>0.21561040178852212</v>
      </c>
    </row>
    <row r="6175" spans="1:14" x14ac:dyDescent="0.45">
      <c r="A6175" t="s">
        <v>10717</v>
      </c>
      <c r="B6175" s="1">
        <v>44753</v>
      </c>
      <c r="C6175" t="s">
        <v>638</v>
      </c>
      <c r="D6175" t="s">
        <v>56</v>
      </c>
      <c r="E6175" t="s">
        <v>36</v>
      </c>
      <c r="F6175" t="s">
        <v>46</v>
      </c>
      <c r="G6175">
        <v>1</v>
      </c>
      <c r="H6175">
        <v>28874.93</v>
      </c>
      <c r="I6175">
        <v>6367.76</v>
      </c>
      <c r="J6175" t="s">
        <v>16</v>
      </c>
      <c r="K6175" t="s">
        <v>33</v>
      </c>
      <c r="L6175">
        <f t="shared" si="288"/>
        <v>2022</v>
      </c>
      <c r="M6175" t="str">
        <f t="shared" si="289"/>
        <v>Jul</v>
      </c>
      <c r="N6175" s="2">
        <f t="shared" si="290"/>
        <v>0.22052901946428963</v>
      </c>
    </row>
    <row r="6176" spans="1:14" x14ac:dyDescent="0.45">
      <c r="A6176" t="s">
        <v>10718</v>
      </c>
      <c r="B6176" s="1">
        <v>45147</v>
      </c>
      <c r="C6176" t="s">
        <v>10719</v>
      </c>
      <c r="D6176" t="s">
        <v>56</v>
      </c>
      <c r="E6176" t="s">
        <v>36</v>
      </c>
      <c r="F6176" t="s">
        <v>46</v>
      </c>
      <c r="G6176">
        <v>1</v>
      </c>
      <c r="H6176">
        <v>23829.74</v>
      </c>
      <c r="I6176">
        <v>5735.59</v>
      </c>
      <c r="J6176" t="s">
        <v>16</v>
      </c>
      <c r="K6176" t="s">
        <v>33</v>
      </c>
      <c r="L6176">
        <f t="shared" si="288"/>
        <v>2023</v>
      </c>
      <c r="M6176" t="str">
        <f t="shared" si="289"/>
        <v>Aug</v>
      </c>
      <c r="N6176" s="2">
        <f t="shared" si="290"/>
        <v>0.24069041458278603</v>
      </c>
    </row>
    <row r="6177" spans="1:14" x14ac:dyDescent="0.45">
      <c r="A6177" t="s">
        <v>10720</v>
      </c>
      <c r="B6177" s="1">
        <v>44772</v>
      </c>
      <c r="C6177" t="s">
        <v>10721</v>
      </c>
      <c r="D6177" t="s">
        <v>56</v>
      </c>
      <c r="E6177" t="s">
        <v>14</v>
      </c>
      <c r="F6177" t="s">
        <v>40</v>
      </c>
      <c r="G6177">
        <v>1</v>
      </c>
      <c r="H6177">
        <v>27104.55</v>
      </c>
      <c r="I6177">
        <v>2089.44</v>
      </c>
      <c r="J6177" t="s">
        <v>28</v>
      </c>
      <c r="K6177" t="s">
        <v>17</v>
      </c>
      <c r="L6177">
        <f t="shared" si="288"/>
        <v>2022</v>
      </c>
      <c r="M6177" t="str">
        <f t="shared" si="289"/>
        <v>Jul</v>
      </c>
      <c r="N6177" s="2">
        <f t="shared" si="290"/>
        <v>7.7088164164319281E-2</v>
      </c>
    </row>
    <row r="6178" spans="1:14" x14ac:dyDescent="0.45">
      <c r="A6178" t="s">
        <v>10722</v>
      </c>
      <c r="B6178" s="1">
        <v>45625</v>
      </c>
      <c r="C6178" t="s">
        <v>4659</v>
      </c>
      <c r="D6178" t="s">
        <v>56</v>
      </c>
      <c r="E6178" t="s">
        <v>36</v>
      </c>
      <c r="F6178" t="s">
        <v>53</v>
      </c>
      <c r="G6178">
        <v>1</v>
      </c>
      <c r="H6178">
        <v>33075.18</v>
      </c>
      <c r="I6178">
        <v>3182.78</v>
      </c>
      <c r="J6178" t="s">
        <v>71</v>
      </c>
      <c r="K6178" t="s">
        <v>17</v>
      </c>
      <c r="L6178">
        <f t="shared" si="288"/>
        <v>2024</v>
      </c>
      <c r="M6178" t="str">
        <f t="shared" si="289"/>
        <v>Nov</v>
      </c>
      <c r="N6178" s="2">
        <f t="shared" si="290"/>
        <v>9.6228652421543895E-2</v>
      </c>
    </row>
    <row r="6179" spans="1:14" x14ac:dyDescent="0.45">
      <c r="A6179" t="s">
        <v>10723</v>
      </c>
      <c r="B6179" s="1">
        <v>45568</v>
      </c>
      <c r="C6179" t="s">
        <v>6215</v>
      </c>
      <c r="D6179" t="s">
        <v>13</v>
      </c>
      <c r="E6179" t="s">
        <v>14</v>
      </c>
      <c r="F6179" t="s">
        <v>57</v>
      </c>
      <c r="G6179">
        <v>3</v>
      </c>
      <c r="H6179">
        <v>23346.03</v>
      </c>
      <c r="I6179">
        <v>2618.4299999999998</v>
      </c>
      <c r="J6179" t="s">
        <v>28</v>
      </c>
      <c r="K6179" t="s">
        <v>23</v>
      </c>
      <c r="L6179">
        <f t="shared" si="288"/>
        <v>2024</v>
      </c>
      <c r="M6179" t="str">
        <f t="shared" si="289"/>
        <v>Oct</v>
      </c>
      <c r="N6179" s="2">
        <f t="shared" si="290"/>
        <v>0.1121573989239284</v>
      </c>
    </row>
    <row r="6180" spans="1:14" x14ac:dyDescent="0.45">
      <c r="A6180" t="s">
        <v>10724</v>
      </c>
      <c r="B6180" s="1">
        <v>45652</v>
      </c>
      <c r="C6180" t="s">
        <v>6085</v>
      </c>
      <c r="D6180" t="s">
        <v>26</v>
      </c>
      <c r="E6180" t="s">
        <v>14</v>
      </c>
      <c r="F6180" t="s">
        <v>40</v>
      </c>
      <c r="G6180">
        <v>3</v>
      </c>
      <c r="H6180">
        <v>30842.02</v>
      </c>
      <c r="I6180">
        <v>6124.72</v>
      </c>
      <c r="J6180" t="s">
        <v>71</v>
      </c>
      <c r="K6180" t="s">
        <v>17</v>
      </c>
      <c r="L6180">
        <f t="shared" si="288"/>
        <v>2024</v>
      </c>
      <c r="M6180" t="str">
        <f t="shared" si="289"/>
        <v>Dec</v>
      </c>
      <c r="N6180" s="2">
        <f t="shared" si="290"/>
        <v>0.19858362065779089</v>
      </c>
    </row>
    <row r="6181" spans="1:14" x14ac:dyDescent="0.45">
      <c r="A6181" t="s">
        <v>10725</v>
      </c>
      <c r="B6181" s="1">
        <v>45622</v>
      </c>
      <c r="C6181" t="s">
        <v>3438</v>
      </c>
      <c r="D6181" t="s">
        <v>56</v>
      </c>
      <c r="E6181" t="s">
        <v>14</v>
      </c>
      <c r="F6181" t="s">
        <v>40</v>
      </c>
      <c r="G6181">
        <v>3</v>
      </c>
      <c r="H6181">
        <v>29623.77</v>
      </c>
      <c r="I6181">
        <v>5088.3</v>
      </c>
      <c r="J6181" t="s">
        <v>71</v>
      </c>
      <c r="K6181" t="s">
        <v>29</v>
      </c>
      <c r="L6181">
        <f t="shared" si="288"/>
        <v>2024</v>
      </c>
      <c r="M6181" t="str">
        <f t="shared" si="289"/>
        <v>Nov</v>
      </c>
      <c r="N6181" s="2">
        <f t="shared" si="290"/>
        <v>0.17176409349654012</v>
      </c>
    </row>
    <row r="6182" spans="1:14" x14ac:dyDescent="0.45">
      <c r="A6182" t="s">
        <v>10726</v>
      </c>
      <c r="B6182" s="1">
        <v>45630</v>
      </c>
      <c r="C6182" t="s">
        <v>10727</v>
      </c>
      <c r="D6182" t="s">
        <v>26</v>
      </c>
      <c r="E6182" t="s">
        <v>14</v>
      </c>
      <c r="F6182" t="s">
        <v>32</v>
      </c>
      <c r="G6182">
        <v>2</v>
      </c>
      <c r="H6182">
        <v>6585.26</v>
      </c>
      <c r="I6182">
        <v>1507.87</v>
      </c>
      <c r="J6182" t="s">
        <v>71</v>
      </c>
      <c r="K6182" t="s">
        <v>29</v>
      </c>
      <c r="L6182">
        <f t="shared" si="288"/>
        <v>2024</v>
      </c>
      <c r="M6182" t="str">
        <f t="shared" si="289"/>
        <v>Dec</v>
      </c>
      <c r="N6182" s="2">
        <f t="shared" si="290"/>
        <v>0.22897653243759544</v>
      </c>
    </row>
    <row r="6183" spans="1:14" x14ac:dyDescent="0.45">
      <c r="A6183" t="s">
        <v>10728</v>
      </c>
      <c r="B6183" s="1">
        <v>45042</v>
      </c>
      <c r="C6183" t="s">
        <v>10729</v>
      </c>
      <c r="D6183" t="s">
        <v>26</v>
      </c>
      <c r="E6183" t="s">
        <v>36</v>
      </c>
      <c r="F6183" t="s">
        <v>53</v>
      </c>
      <c r="G6183">
        <v>4</v>
      </c>
      <c r="H6183">
        <v>13659.5</v>
      </c>
      <c r="I6183">
        <v>1532.44</v>
      </c>
      <c r="J6183" t="s">
        <v>71</v>
      </c>
      <c r="K6183" t="s">
        <v>17</v>
      </c>
      <c r="L6183">
        <f t="shared" si="288"/>
        <v>2023</v>
      </c>
      <c r="M6183" t="str">
        <f t="shared" si="289"/>
        <v>Apr</v>
      </c>
      <c r="N6183" s="2">
        <f t="shared" si="290"/>
        <v>0.11218858669790256</v>
      </c>
    </row>
    <row r="6184" spans="1:14" x14ac:dyDescent="0.45">
      <c r="A6184" t="s">
        <v>10730</v>
      </c>
      <c r="B6184" s="1">
        <v>44854</v>
      </c>
      <c r="C6184" t="s">
        <v>4783</v>
      </c>
      <c r="D6184" t="s">
        <v>26</v>
      </c>
      <c r="E6184" t="s">
        <v>14</v>
      </c>
      <c r="F6184" t="s">
        <v>32</v>
      </c>
      <c r="G6184">
        <v>3</v>
      </c>
      <c r="H6184">
        <v>35140.01</v>
      </c>
      <c r="I6184">
        <v>7950.14</v>
      </c>
      <c r="J6184" t="s">
        <v>47</v>
      </c>
      <c r="K6184" t="s">
        <v>33</v>
      </c>
      <c r="L6184">
        <f t="shared" si="288"/>
        <v>2022</v>
      </c>
      <c r="M6184" t="str">
        <f t="shared" si="289"/>
        <v>Oct</v>
      </c>
      <c r="N6184" s="2">
        <f t="shared" si="290"/>
        <v>0.22624182520152952</v>
      </c>
    </row>
    <row r="6185" spans="1:14" x14ac:dyDescent="0.45">
      <c r="A6185" t="s">
        <v>10731</v>
      </c>
      <c r="B6185" s="1">
        <v>45127</v>
      </c>
      <c r="C6185" t="s">
        <v>5138</v>
      </c>
      <c r="D6185" t="s">
        <v>13</v>
      </c>
      <c r="E6185" t="s">
        <v>14</v>
      </c>
      <c r="F6185" t="s">
        <v>40</v>
      </c>
      <c r="G6185">
        <v>2</v>
      </c>
      <c r="H6185">
        <v>7834.32</v>
      </c>
      <c r="I6185">
        <v>1880.38</v>
      </c>
      <c r="J6185" t="s">
        <v>22</v>
      </c>
      <c r="K6185" t="s">
        <v>23</v>
      </c>
      <c r="L6185">
        <f t="shared" si="288"/>
        <v>2023</v>
      </c>
      <c r="M6185" t="str">
        <f t="shared" si="289"/>
        <v>Jul</v>
      </c>
      <c r="N6185" s="2">
        <f t="shared" si="290"/>
        <v>0.24001827854874452</v>
      </c>
    </row>
    <row r="6186" spans="1:14" x14ac:dyDescent="0.45">
      <c r="A6186" t="s">
        <v>10732</v>
      </c>
      <c r="B6186" s="1">
        <v>45565</v>
      </c>
      <c r="C6186" t="s">
        <v>10733</v>
      </c>
      <c r="D6186" t="s">
        <v>56</v>
      </c>
      <c r="E6186" t="s">
        <v>20</v>
      </c>
      <c r="F6186" t="s">
        <v>50</v>
      </c>
      <c r="G6186">
        <v>3</v>
      </c>
      <c r="H6186">
        <v>15316.07</v>
      </c>
      <c r="I6186">
        <v>1511.55</v>
      </c>
      <c r="J6186" t="s">
        <v>28</v>
      </c>
      <c r="K6186" t="s">
        <v>17</v>
      </c>
      <c r="L6186">
        <f t="shared" si="288"/>
        <v>2024</v>
      </c>
      <c r="M6186" t="str">
        <f t="shared" si="289"/>
        <v>Sep</v>
      </c>
      <c r="N6186" s="2">
        <f t="shared" si="290"/>
        <v>9.8690460411841943E-2</v>
      </c>
    </row>
    <row r="6187" spans="1:14" x14ac:dyDescent="0.45">
      <c r="A6187" t="s">
        <v>10734</v>
      </c>
      <c r="B6187" s="1">
        <v>45179</v>
      </c>
      <c r="C6187" t="s">
        <v>10735</v>
      </c>
      <c r="D6187" t="s">
        <v>13</v>
      </c>
      <c r="E6187" t="s">
        <v>14</v>
      </c>
      <c r="F6187" t="s">
        <v>40</v>
      </c>
      <c r="G6187">
        <v>4</v>
      </c>
      <c r="H6187">
        <v>43059.45</v>
      </c>
      <c r="I6187">
        <v>2590.86</v>
      </c>
      <c r="J6187" t="s">
        <v>47</v>
      </c>
      <c r="K6187" t="s">
        <v>17</v>
      </c>
      <c r="L6187">
        <f t="shared" si="288"/>
        <v>2023</v>
      </c>
      <c r="M6187" t="str">
        <f t="shared" si="289"/>
        <v>Sep</v>
      </c>
      <c r="N6187" s="2">
        <f t="shared" si="290"/>
        <v>6.0169370486617926E-2</v>
      </c>
    </row>
    <row r="6188" spans="1:14" x14ac:dyDescent="0.45">
      <c r="A6188" t="s">
        <v>10736</v>
      </c>
      <c r="B6188" s="1">
        <v>44661</v>
      </c>
      <c r="C6188" t="s">
        <v>9087</v>
      </c>
      <c r="D6188" t="s">
        <v>56</v>
      </c>
      <c r="E6188" t="s">
        <v>14</v>
      </c>
      <c r="F6188" t="s">
        <v>57</v>
      </c>
      <c r="G6188">
        <v>2</v>
      </c>
      <c r="H6188">
        <v>47140.33</v>
      </c>
      <c r="I6188">
        <v>6753.37</v>
      </c>
      <c r="J6188" t="s">
        <v>16</v>
      </c>
      <c r="K6188" t="s">
        <v>33</v>
      </c>
      <c r="L6188">
        <f t="shared" si="288"/>
        <v>2022</v>
      </c>
      <c r="M6188" t="str">
        <f t="shared" si="289"/>
        <v>Apr</v>
      </c>
      <c r="N6188" s="2">
        <f t="shared" si="290"/>
        <v>0.14326098268722343</v>
      </c>
    </row>
    <row r="6189" spans="1:14" x14ac:dyDescent="0.45">
      <c r="A6189" t="s">
        <v>10737</v>
      </c>
      <c r="B6189" s="1">
        <v>45577</v>
      </c>
      <c r="C6189" t="s">
        <v>10738</v>
      </c>
      <c r="D6189" t="s">
        <v>26</v>
      </c>
      <c r="E6189" t="s">
        <v>14</v>
      </c>
      <c r="F6189" t="s">
        <v>57</v>
      </c>
      <c r="G6189">
        <v>1</v>
      </c>
      <c r="H6189">
        <v>37921.65</v>
      </c>
      <c r="I6189">
        <v>3182.76</v>
      </c>
      <c r="J6189" t="s">
        <v>22</v>
      </c>
      <c r="K6189" t="s">
        <v>17</v>
      </c>
      <c r="L6189">
        <f t="shared" si="288"/>
        <v>2024</v>
      </c>
      <c r="M6189" t="str">
        <f t="shared" si="289"/>
        <v>Oct</v>
      </c>
      <c r="N6189" s="2">
        <f t="shared" si="290"/>
        <v>8.3929892291079111E-2</v>
      </c>
    </row>
    <row r="6190" spans="1:14" x14ac:dyDescent="0.45">
      <c r="A6190" t="s">
        <v>10739</v>
      </c>
      <c r="B6190" s="1">
        <v>44579</v>
      </c>
      <c r="C6190" t="s">
        <v>10740</v>
      </c>
      <c r="D6190" t="s">
        <v>13</v>
      </c>
      <c r="E6190" t="s">
        <v>20</v>
      </c>
      <c r="F6190" t="s">
        <v>43</v>
      </c>
      <c r="G6190">
        <v>2</v>
      </c>
      <c r="H6190">
        <v>42641.02</v>
      </c>
      <c r="I6190">
        <v>3074.66</v>
      </c>
      <c r="J6190" t="s">
        <v>47</v>
      </c>
      <c r="K6190" t="s">
        <v>33</v>
      </c>
      <c r="L6190">
        <f t="shared" si="288"/>
        <v>2022</v>
      </c>
      <c r="M6190" t="str">
        <f t="shared" si="289"/>
        <v>Jan</v>
      </c>
      <c r="N6190" s="2">
        <f t="shared" si="290"/>
        <v>7.2105686027210417E-2</v>
      </c>
    </row>
    <row r="6191" spans="1:14" x14ac:dyDescent="0.45">
      <c r="A6191" t="s">
        <v>10741</v>
      </c>
      <c r="B6191" s="1">
        <v>45508</v>
      </c>
      <c r="C6191" t="s">
        <v>10742</v>
      </c>
      <c r="D6191" t="s">
        <v>13</v>
      </c>
      <c r="E6191" t="s">
        <v>20</v>
      </c>
      <c r="F6191" t="s">
        <v>27</v>
      </c>
      <c r="G6191">
        <v>5</v>
      </c>
      <c r="H6191">
        <v>38762.300000000003</v>
      </c>
      <c r="I6191">
        <v>3443.35</v>
      </c>
      <c r="J6191" t="s">
        <v>16</v>
      </c>
      <c r="K6191" t="s">
        <v>33</v>
      </c>
      <c r="L6191">
        <f t="shared" si="288"/>
        <v>2024</v>
      </c>
      <c r="M6191" t="str">
        <f t="shared" si="289"/>
        <v>Aug</v>
      </c>
      <c r="N6191" s="2">
        <f t="shared" si="290"/>
        <v>8.8832448022950122E-2</v>
      </c>
    </row>
    <row r="6192" spans="1:14" x14ac:dyDescent="0.45">
      <c r="A6192" t="s">
        <v>10743</v>
      </c>
      <c r="B6192" s="1">
        <v>45519</v>
      </c>
      <c r="C6192" t="s">
        <v>526</v>
      </c>
      <c r="D6192" t="s">
        <v>56</v>
      </c>
      <c r="E6192" t="s">
        <v>20</v>
      </c>
      <c r="F6192" t="s">
        <v>43</v>
      </c>
      <c r="G6192">
        <v>3</v>
      </c>
      <c r="H6192">
        <v>11632.06</v>
      </c>
      <c r="I6192">
        <v>2820.03</v>
      </c>
      <c r="J6192" t="s">
        <v>22</v>
      </c>
      <c r="K6192" t="s">
        <v>33</v>
      </c>
      <c r="L6192">
        <f t="shared" si="288"/>
        <v>2024</v>
      </c>
      <c r="M6192" t="str">
        <f t="shared" si="289"/>
        <v>Aug</v>
      </c>
      <c r="N6192" s="2">
        <f t="shared" si="290"/>
        <v>0.24243599156125401</v>
      </c>
    </row>
    <row r="6193" spans="1:14" x14ac:dyDescent="0.45">
      <c r="A6193" t="s">
        <v>10744</v>
      </c>
      <c r="B6193" s="1">
        <v>44910</v>
      </c>
      <c r="C6193" t="s">
        <v>10745</v>
      </c>
      <c r="D6193" t="s">
        <v>26</v>
      </c>
      <c r="E6193" t="s">
        <v>36</v>
      </c>
      <c r="F6193" t="s">
        <v>64</v>
      </c>
      <c r="G6193">
        <v>1</v>
      </c>
      <c r="H6193">
        <v>28308.41</v>
      </c>
      <c r="I6193">
        <v>3309.74</v>
      </c>
      <c r="J6193" t="s">
        <v>22</v>
      </c>
      <c r="K6193" t="s">
        <v>29</v>
      </c>
      <c r="L6193">
        <f t="shared" si="288"/>
        <v>2022</v>
      </c>
      <c r="M6193" t="str">
        <f t="shared" si="289"/>
        <v>Dec</v>
      </c>
      <c r="N6193" s="2">
        <f t="shared" si="290"/>
        <v>0.11691719881123665</v>
      </c>
    </row>
    <row r="6194" spans="1:14" x14ac:dyDescent="0.45">
      <c r="A6194" t="s">
        <v>10746</v>
      </c>
      <c r="B6194" s="1">
        <v>45081</v>
      </c>
      <c r="C6194" t="s">
        <v>535</v>
      </c>
      <c r="D6194" t="s">
        <v>56</v>
      </c>
      <c r="E6194" t="s">
        <v>14</v>
      </c>
      <c r="F6194" t="s">
        <v>32</v>
      </c>
      <c r="G6194">
        <v>1</v>
      </c>
      <c r="H6194">
        <v>47621.58</v>
      </c>
      <c r="I6194">
        <v>6934.16</v>
      </c>
      <c r="J6194" t="s">
        <v>22</v>
      </c>
      <c r="K6194" t="s">
        <v>23</v>
      </c>
      <c r="L6194">
        <f t="shared" si="288"/>
        <v>2023</v>
      </c>
      <c r="M6194" t="str">
        <f t="shared" si="289"/>
        <v>Jun</v>
      </c>
      <c r="N6194" s="2">
        <f t="shared" si="290"/>
        <v>0.14560961648059556</v>
      </c>
    </row>
    <row r="6195" spans="1:14" x14ac:dyDescent="0.45">
      <c r="A6195" t="s">
        <v>10747</v>
      </c>
      <c r="B6195" s="1">
        <v>45547</v>
      </c>
      <c r="C6195" t="s">
        <v>10748</v>
      </c>
      <c r="D6195" t="s">
        <v>13</v>
      </c>
      <c r="E6195" t="s">
        <v>14</v>
      </c>
      <c r="F6195" t="s">
        <v>15</v>
      </c>
      <c r="G6195">
        <v>1</v>
      </c>
      <c r="H6195">
        <v>18915.07</v>
      </c>
      <c r="I6195">
        <v>4003.12</v>
      </c>
      <c r="J6195" t="s">
        <v>71</v>
      </c>
      <c r="K6195" t="s">
        <v>33</v>
      </c>
      <c r="L6195">
        <f t="shared" si="288"/>
        <v>2024</v>
      </c>
      <c r="M6195" t="str">
        <f t="shared" si="289"/>
        <v>Sep</v>
      </c>
      <c r="N6195" s="2">
        <f t="shared" si="290"/>
        <v>0.21163654165699625</v>
      </c>
    </row>
    <row r="6196" spans="1:14" x14ac:dyDescent="0.45">
      <c r="A6196" t="s">
        <v>10749</v>
      </c>
      <c r="B6196" s="1">
        <v>45284</v>
      </c>
      <c r="C6196" t="s">
        <v>10750</v>
      </c>
      <c r="D6196" t="s">
        <v>56</v>
      </c>
      <c r="E6196" t="s">
        <v>20</v>
      </c>
      <c r="F6196" t="s">
        <v>50</v>
      </c>
      <c r="G6196">
        <v>5</v>
      </c>
      <c r="H6196">
        <v>10438.93</v>
      </c>
      <c r="I6196">
        <v>2575.9899999999998</v>
      </c>
      <c r="J6196" t="s">
        <v>47</v>
      </c>
      <c r="K6196" t="s">
        <v>33</v>
      </c>
      <c r="L6196">
        <f t="shared" si="288"/>
        <v>2023</v>
      </c>
      <c r="M6196" t="str">
        <f t="shared" si="289"/>
        <v>Dec</v>
      </c>
      <c r="N6196" s="2">
        <f t="shared" si="290"/>
        <v>0.24676762848299583</v>
      </c>
    </row>
    <row r="6197" spans="1:14" x14ac:dyDescent="0.45">
      <c r="A6197" t="s">
        <v>10751</v>
      </c>
      <c r="B6197" s="1">
        <v>44866</v>
      </c>
      <c r="C6197" t="s">
        <v>5591</v>
      </c>
      <c r="D6197" t="s">
        <v>13</v>
      </c>
      <c r="E6197" t="s">
        <v>14</v>
      </c>
      <c r="F6197" t="s">
        <v>15</v>
      </c>
      <c r="G6197">
        <v>1</v>
      </c>
      <c r="H6197">
        <v>42297.14</v>
      </c>
      <c r="I6197">
        <v>10178.57</v>
      </c>
      <c r="J6197" t="s">
        <v>47</v>
      </c>
      <c r="K6197" t="s">
        <v>17</v>
      </c>
      <c r="L6197">
        <f t="shared" si="288"/>
        <v>2022</v>
      </c>
      <c r="M6197" t="str">
        <f t="shared" si="289"/>
        <v>Nov</v>
      </c>
      <c r="N6197" s="2">
        <f t="shared" si="290"/>
        <v>0.24064440290761976</v>
      </c>
    </row>
    <row r="6198" spans="1:14" x14ac:dyDescent="0.45">
      <c r="A6198" t="s">
        <v>10752</v>
      </c>
      <c r="B6198" s="1">
        <v>44599</v>
      </c>
      <c r="C6198" t="s">
        <v>2985</v>
      </c>
      <c r="D6198" t="s">
        <v>56</v>
      </c>
      <c r="E6198" t="s">
        <v>14</v>
      </c>
      <c r="F6198" t="s">
        <v>57</v>
      </c>
      <c r="G6198">
        <v>2</v>
      </c>
      <c r="H6198">
        <v>48840.28</v>
      </c>
      <c r="I6198">
        <v>9776.43</v>
      </c>
      <c r="J6198" t="s">
        <v>16</v>
      </c>
      <c r="K6198" t="s">
        <v>29</v>
      </c>
      <c r="L6198">
        <f t="shared" si="288"/>
        <v>2022</v>
      </c>
      <c r="M6198" t="str">
        <f t="shared" si="289"/>
        <v>Feb</v>
      </c>
      <c r="N6198" s="2">
        <f t="shared" si="290"/>
        <v>0.2001714568384948</v>
      </c>
    </row>
    <row r="6199" spans="1:14" x14ac:dyDescent="0.45">
      <c r="A6199" t="s">
        <v>10753</v>
      </c>
      <c r="B6199" s="1">
        <v>44609</v>
      </c>
      <c r="C6199" t="s">
        <v>10754</v>
      </c>
      <c r="D6199" t="s">
        <v>26</v>
      </c>
      <c r="E6199" t="s">
        <v>20</v>
      </c>
      <c r="F6199" t="s">
        <v>27</v>
      </c>
      <c r="G6199">
        <v>4</v>
      </c>
      <c r="H6199">
        <v>23095.59</v>
      </c>
      <c r="I6199">
        <v>2493.98</v>
      </c>
      <c r="J6199" t="s">
        <v>16</v>
      </c>
      <c r="K6199" t="s">
        <v>23</v>
      </c>
      <c r="L6199">
        <f t="shared" si="288"/>
        <v>2022</v>
      </c>
      <c r="M6199" t="str">
        <f t="shared" si="289"/>
        <v>Feb</v>
      </c>
      <c r="N6199" s="2">
        <f t="shared" si="290"/>
        <v>0.10798511750511677</v>
      </c>
    </row>
    <row r="6200" spans="1:14" x14ac:dyDescent="0.45">
      <c r="A6200" t="s">
        <v>10755</v>
      </c>
      <c r="B6200" s="1">
        <v>45599</v>
      </c>
      <c r="C6200" t="s">
        <v>10756</v>
      </c>
      <c r="D6200" t="s">
        <v>13</v>
      </c>
      <c r="E6200" t="s">
        <v>14</v>
      </c>
      <c r="F6200" t="s">
        <v>15</v>
      </c>
      <c r="G6200">
        <v>5</v>
      </c>
      <c r="H6200">
        <v>42902.34</v>
      </c>
      <c r="I6200">
        <v>5429.19</v>
      </c>
      <c r="J6200" t="s">
        <v>16</v>
      </c>
      <c r="K6200" t="s">
        <v>17</v>
      </c>
      <c r="L6200">
        <f t="shared" si="288"/>
        <v>2024</v>
      </c>
      <c r="M6200" t="str">
        <f t="shared" si="289"/>
        <v>Nov</v>
      </c>
      <c r="N6200" s="2">
        <f t="shared" si="290"/>
        <v>0.12654764285584422</v>
      </c>
    </row>
    <row r="6201" spans="1:14" x14ac:dyDescent="0.45">
      <c r="A6201" t="s">
        <v>10757</v>
      </c>
      <c r="B6201" s="1">
        <v>45014</v>
      </c>
      <c r="C6201" t="s">
        <v>6837</v>
      </c>
      <c r="D6201" t="s">
        <v>56</v>
      </c>
      <c r="E6201" t="s">
        <v>36</v>
      </c>
      <c r="F6201" t="s">
        <v>64</v>
      </c>
      <c r="G6201">
        <v>1</v>
      </c>
      <c r="H6201">
        <v>46929.78</v>
      </c>
      <c r="I6201">
        <v>11182.09</v>
      </c>
      <c r="J6201" t="s">
        <v>22</v>
      </c>
      <c r="K6201" t="s">
        <v>29</v>
      </c>
      <c r="L6201">
        <f t="shared" si="288"/>
        <v>2023</v>
      </c>
      <c r="M6201" t="str">
        <f t="shared" si="289"/>
        <v>Mar</v>
      </c>
      <c r="N6201" s="2">
        <f t="shared" si="290"/>
        <v>0.23827279821043271</v>
      </c>
    </row>
    <row r="6202" spans="1:14" x14ac:dyDescent="0.45">
      <c r="A6202" t="s">
        <v>10758</v>
      </c>
      <c r="B6202" s="1">
        <v>45373</v>
      </c>
      <c r="C6202" t="s">
        <v>10759</v>
      </c>
      <c r="D6202" t="s">
        <v>13</v>
      </c>
      <c r="E6202" t="s">
        <v>36</v>
      </c>
      <c r="F6202" t="s">
        <v>37</v>
      </c>
      <c r="G6202">
        <v>3</v>
      </c>
      <c r="H6202">
        <v>13414.37</v>
      </c>
      <c r="I6202">
        <v>3158.15</v>
      </c>
      <c r="J6202" t="s">
        <v>47</v>
      </c>
      <c r="K6202" t="s">
        <v>33</v>
      </c>
      <c r="L6202">
        <f t="shared" si="288"/>
        <v>2024</v>
      </c>
      <c r="M6202" t="str">
        <f t="shared" si="289"/>
        <v>Mar</v>
      </c>
      <c r="N6202" s="2">
        <f t="shared" si="290"/>
        <v>0.23543036311060453</v>
      </c>
    </row>
    <row r="6203" spans="1:14" x14ac:dyDescent="0.45">
      <c r="A6203" t="s">
        <v>10760</v>
      </c>
      <c r="B6203" s="1">
        <v>45031</v>
      </c>
      <c r="C6203" t="s">
        <v>10761</v>
      </c>
      <c r="D6203" t="s">
        <v>26</v>
      </c>
      <c r="E6203" t="s">
        <v>20</v>
      </c>
      <c r="F6203" t="s">
        <v>50</v>
      </c>
      <c r="G6203">
        <v>2</v>
      </c>
      <c r="H6203">
        <v>13118.67</v>
      </c>
      <c r="I6203">
        <v>1779.68</v>
      </c>
      <c r="J6203" t="s">
        <v>47</v>
      </c>
      <c r="K6203" t="s">
        <v>23</v>
      </c>
      <c r="L6203">
        <f t="shared" si="288"/>
        <v>2023</v>
      </c>
      <c r="M6203" t="str">
        <f t="shared" si="289"/>
        <v>Apr</v>
      </c>
      <c r="N6203" s="2">
        <f t="shared" si="290"/>
        <v>0.13566009359180467</v>
      </c>
    </row>
    <row r="6204" spans="1:14" x14ac:dyDescent="0.45">
      <c r="A6204" t="s">
        <v>10762</v>
      </c>
      <c r="B6204" s="1">
        <v>44847</v>
      </c>
      <c r="C6204" t="s">
        <v>10763</v>
      </c>
      <c r="D6204" t="s">
        <v>56</v>
      </c>
      <c r="E6204" t="s">
        <v>20</v>
      </c>
      <c r="F6204" t="s">
        <v>27</v>
      </c>
      <c r="G6204">
        <v>3</v>
      </c>
      <c r="H6204">
        <v>9551.2199999999993</v>
      </c>
      <c r="I6204">
        <v>1462.4</v>
      </c>
      <c r="J6204" t="s">
        <v>47</v>
      </c>
      <c r="K6204" t="s">
        <v>23</v>
      </c>
      <c r="L6204">
        <f t="shared" si="288"/>
        <v>2022</v>
      </c>
      <c r="M6204" t="str">
        <f t="shared" si="289"/>
        <v>Oct</v>
      </c>
      <c r="N6204" s="2">
        <f t="shared" si="290"/>
        <v>0.15311133028032023</v>
      </c>
    </row>
    <row r="6205" spans="1:14" x14ac:dyDescent="0.45">
      <c r="A6205" t="s">
        <v>10764</v>
      </c>
      <c r="B6205" s="1">
        <v>44667</v>
      </c>
      <c r="C6205" t="s">
        <v>10765</v>
      </c>
      <c r="D6205" t="s">
        <v>13</v>
      </c>
      <c r="E6205" t="s">
        <v>36</v>
      </c>
      <c r="F6205" t="s">
        <v>46</v>
      </c>
      <c r="G6205">
        <v>4</v>
      </c>
      <c r="H6205">
        <v>8375.2199999999993</v>
      </c>
      <c r="I6205">
        <v>1553.89</v>
      </c>
      <c r="J6205" t="s">
        <v>16</v>
      </c>
      <c r="K6205" t="s">
        <v>33</v>
      </c>
      <c r="L6205">
        <f t="shared" si="288"/>
        <v>2022</v>
      </c>
      <c r="M6205" t="str">
        <f t="shared" si="289"/>
        <v>Apr</v>
      </c>
      <c r="N6205" s="2">
        <f t="shared" si="290"/>
        <v>0.18553423074259545</v>
      </c>
    </row>
    <row r="6206" spans="1:14" x14ac:dyDescent="0.45">
      <c r="A6206" t="s">
        <v>10766</v>
      </c>
      <c r="B6206" s="1">
        <v>45174</v>
      </c>
      <c r="C6206" t="s">
        <v>10767</v>
      </c>
      <c r="D6206" t="s">
        <v>56</v>
      </c>
      <c r="E6206" t="s">
        <v>14</v>
      </c>
      <c r="F6206" t="s">
        <v>40</v>
      </c>
      <c r="G6206">
        <v>3</v>
      </c>
      <c r="H6206">
        <v>14950.22</v>
      </c>
      <c r="I6206">
        <v>1368.12</v>
      </c>
      <c r="J6206" t="s">
        <v>16</v>
      </c>
      <c r="K6206" t="s">
        <v>33</v>
      </c>
      <c r="L6206">
        <f t="shared" si="288"/>
        <v>2023</v>
      </c>
      <c r="M6206" t="str">
        <f t="shared" si="289"/>
        <v>Sep</v>
      </c>
      <c r="N6206" s="2">
        <f t="shared" si="290"/>
        <v>9.1511696817839466E-2</v>
      </c>
    </row>
    <row r="6207" spans="1:14" x14ac:dyDescent="0.45">
      <c r="A6207" t="s">
        <v>10768</v>
      </c>
      <c r="B6207" s="1">
        <v>45123</v>
      </c>
      <c r="C6207" t="s">
        <v>176</v>
      </c>
      <c r="D6207" t="s">
        <v>13</v>
      </c>
      <c r="E6207" t="s">
        <v>36</v>
      </c>
      <c r="F6207" t="s">
        <v>37</v>
      </c>
      <c r="G6207">
        <v>3</v>
      </c>
      <c r="H6207">
        <v>46740.09</v>
      </c>
      <c r="I6207">
        <v>8118.86</v>
      </c>
      <c r="J6207" t="s">
        <v>22</v>
      </c>
      <c r="K6207" t="s">
        <v>17</v>
      </c>
      <c r="L6207">
        <f t="shared" si="288"/>
        <v>2023</v>
      </c>
      <c r="M6207" t="str">
        <f t="shared" si="289"/>
        <v>Jul</v>
      </c>
      <c r="N6207" s="2">
        <f t="shared" si="290"/>
        <v>0.17370227571234886</v>
      </c>
    </row>
    <row r="6208" spans="1:14" x14ac:dyDescent="0.45">
      <c r="A6208" t="s">
        <v>10769</v>
      </c>
      <c r="B6208" s="1">
        <v>45587</v>
      </c>
      <c r="C6208" t="s">
        <v>8483</v>
      </c>
      <c r="D6208" t="s">
        <v>26</v>
      </c>
      <c r="E6208" t="s">
        <v>20</v>
      </c>
      <c r="F6208" t="s">
        <v>27</v>
      </c>
      <c r="G6208">
        <v>1</v>
      </c>
      <c r="H6208">
        <v>36500.239999999998</v>
      </c>
      <c r="I6208">
        <v>7248.56</v>
      </c>
      <c r="J6208" t="s">
        <v>22</v>
      </c>
      <c r="K6208" t="s">
        <v>29</v>
      </c>
      <c r="L6208">
        <f t="shared" si="288"/>
        <v>2024</v>
      </c>
      <c r="M6208" t="str">
        <f t="shared" si="289"/>
        <v>Oct</v>
      </c>
      <c r="N6208" s="2">
        <f t="shared" si="290"/>
        <v>0.19858937913832897</v>
      </c>
    </row>
    <row r="6209" spans="1:14" x14ac:dyDescent="0.45">
      <c r="A6209" t="s">
        <v>10770</v>
      </c>
      <c r="B6209" s="1">
        <v>44802</v>
      </c>
      <c r="C6209" t="s">
        <v>10771</v>
      </c>
      <c r="D6209" t="s">
        <v>26</v>
      </c>
      <c r="E6209" t="s">
        <v>14</v>
      </c>
      <c r="F6209" t="s">
        <v>32</v>
      </c>
      <c r="G6209">
        <v>3</v>
      </c>
      <c r="H6209">
        <v>47421.08</v>
      </c>
      <c r="I6209">
        <v>5524.84</v>
      </c>
      <c r="J6209" t="s">
        <v>47</v>
      </c>
      <c r="K6209" t="s">
        <v>29</v>
      </c>
      <c r="L6209">
        <f t="shared" si="288"/>
        <v>2022</v>
      </c>
      <c r="M6209" t="str">
        <f t="shared" si="289"/>
        <v>Aug</v>
      </c>
      <c r="N6209" s="2">
        <f t="shared" si="290"/>
        <v>0.11650599269354472</v>
      </c>
    </row>
    <row r="6210" spans="1:14" x14ac:dyDescent="0.45">
      <c r="A6210" t="s">
        <v>10772</v>
      </c>
      <c r="B6210" s="1">
        <v>44838</v>
      </c>
      <c r="C6210" t="s">
        <v>2280</v>
      </c>
      <c r="D6210" t="s">
        <v>56</v>
      </c>
      <c r="E6210" t="s">
        <v>14</v>
      </c>
      <c r="F6210" t="s">
        <v>40</v>
      </c>
      <c r="G6210">
        <v>4</v>
      </c>
      <c r="H6210">
        <v>20416.84</v>
      </c>
      <c r="I6210">
        <v>3427.78</v>
      </c>
      <c r="J6210" t="s">
        <v>71</v>
      </c>
      <c r="K6210" t="s">
        <v>29</v>
      </c>
      <c r="L6210">
        <f t="shared" si="288"/>
        <v>2022</v>
      </c>
      <c r="M6210" t="str">
        <f t="shared" si="289"/>
        <v>Oct</v>
      </c>
      <c r="N6210" s="2">
        <f t="shared" si="290"/>
        <v>0.16788983995564447</v>
      </c>
    </row>
    <row r="6211" spans="1:14" x14ac:dyDescent="0.45">
      <c r="A6211" t="s">
        <v>10773</v>
      </c>
      <c r="B6211" s="1">
        <v>45492</v>
      </c>
      <c r="C6211" t="s">
        <v>10774</v>
      </c>
      <c r="D6211" t="s">
        <v>13</v>
      </c>
      <c r="E6211" t="s">
        <v>20</v>
      </c>
      <c r="F6211" t="s">
        <v>50</v>
      </c>
      <c r="G6211">
        <v>3</v>
      </c>
      <c r="H6211">
        <v>46983.46</v>
      </c>
      <c r="I6211">
        <v>9978.8700000000008</v>
      </c>
      <c r="J6211" t="s">
        <v>28</v>
      </c>
      <c r="K6211" t="s">
        <v>23</v>
      </c>
      <c r="L6211">
        <f t="shared" ref="L6211:L6274" si="291">YEAR(B6211 )</f>
        <v>2024</v>
      </c>
      <c r="M6211" t="str">
        <f t="shared" ref="M6211:M6274" si="292">TEXT(B6211,"MMM")</f>
        <v>Jul</v>
      </c>
      <c r="N6211" s="2">
        <f t="shared" ref="N6211:N6274" si="293">I6211 / H6211</f>
        <v>0.21239112657943882</v>
      </c>
    </row>
    <row r="6212" spans="1:14" x14ac:dyDescent="0.45">
      <c r="A6212" t="s">
        <v>10775</v>
      </c>
      <c r="B6212" s="1">
        <v>44988</v>
      </c>
      <c r="C6212" t="s">
        <v>3578</v>
      </c>
      <c r="D6212" t="s">
        <v>13</v>
      </c>
      <c r="E6212" t="s">
        <v>36</v>
      </c>
      <c r="F6212" t="s">
        <v>37</v>
      </c>
      <c r="G6212">
        <v>5</v>
      </c>
      <c r="H6212">
        <v>30348.59</v>
      </c>
      <c r="I6212">
        <v>7375.08</v>
      </c>
      <c r="J6212" t="s">
        <v>22</v>
      </c>
      <c r="K6212" t="s">
        <v>17</v>
      </c>
      <c r="L6212">
        <f t="shared" si="291"/>
        <v>2023</v>
      </c>
      <c r="M6212" t="str">
        <f t="shared" si="292"/>
        <v>Mar</v>
      </c>
      <c r="N6212" s="2">
        <f t="shared" si="293"/>
        <v>0.24301227832989936</v>
      </c>
    </row>
    <row r="6213" spans="1:14" x14ac:dyDescent="0.45">
      <c r="A6213" t="s">
        <v>10776</v>
      </c>
      <c r="B6213" s="1">
        <v>45333</v>
      </c>
      <c r="C6213" t="s">
        <v>10777</v>
      </c>
      <c r="D6213" t="s">
        <v>26</v>
      </c>
      <c r="E6213" t="s">
        <v>14</v>
      </c>
      <c r="F6213" t="s">
        <v>40</v>
      </c>
      <c r="G6213">
        <v>2</v>
      </c>
      <c r="H6213">
        <v>31391.360000000001</v>
      </c>
      <c r="I6213">
        <v>6290.27</v>
      </c>
      <c r="J6213" t="s">
        <v>16</v>
      </c>
      <c r="K6213" t="s">
        <v>17</v>
      </c>
      <c r="L6213">
        <f t="shared" si="291"/>
        <v>2024</v>
      </c>
      <c r="M6213" t="str">
        <f t="shared" si="292"/>
        <v>Feb</v>
      </c>
      <c r="N6213" s="2">
        <f t="shared" si="293"/>
        <v>0.20038220707863566</v>
      </c>
    </row>
    <row r="6214" spans="1:14" x14ac:dyDescent="0.45">
      <c r="A6214" t="s">
        <v>10778</v>
      </c>
      <c r="B6214" s="1">
        <v>45127</v>
      </c>
      <c r="C6214" t="s">
        <v>2775</v>
      </c>
      <c r="D6214" t="s">
        <v>13</v>
      </c>
      <c r="E6214" t="s">
        <v>14</v>
      </c>
      <c r="F6214" t="s">
        <v>32</v>
      </c>
      <c r="G6214">
        <v>5</v>
      </c>
      <c r="H6214">
        <v>5687.84</v>
      </c>
      <c r="I6214">
        <v>952.66</v>
      </c>
      <c r="J6214" t="s">
        <v>71</v>
      </c>
      <c r="K6214" t="s">
        <v>23</v>
      </c>
      <c r="L6214">
        <f t="shared" si="291"/>
        <v>2023</v>
      </c>
      <c r="M6214" t="str">
        <f t="shared" si="292"/>
        <v>Jul</v>
      </c>
      <c r="N6214" s="2">
        <f t="shared" si="293"/>
        <v>0.16749064671298769</v>
      </c>
    </row>
    <row r="6215" spans="1:14" x14ac:dyDescent="0.45">
      <c r="A6215" t="s">
        <v>10779</v>
      </c>
      <c r="B6215" s="1">
        <v>45373</v>
      </c>
      <c r="C6215" t="s">
        <v>6611</v>
      </c>
      <c r="D6215" t="s">
        <v>26</v>
      </c>
      <c r="E6215" t="s">
        <v>14</v>
      </c>
      <c r="F6215" t="s">
        <v>57</v>
      </c>
      <c r="G6215">
        <v>5</v>
      </c>
      <c r="H6215">
        <v>45683.51</v>
      </c>
      <c r="I6215">
        <v>8683.9500000000007</v>
      </c>
      <c r="J6215" t="s">
        <v>71</v>
      </c>
      <c r="K6215" t="s">
        <v>17</v>
      </c>
      <c r="L6215">
        <f t="shared" si="291"/>
        <v>2024</v>
      </c>
      <c r="M6215" t="str">
        <f t="shared" si="292"/>
        <v>Mar</v>
      </c>
      <c r="N6215" s="2">
        <f t="shared" si="293"/>
        <v>0.19008937798343428</v>
      </c>
    </row>
    <row r="6216" spans="1:14" x14ac:dyDescent="0.45">
      <c r="A6216" t="s">
        <v>10780</v>
      </c>
      <c r="B6216" s="1">
        <v>45157</v>
      </c>
      <c r="C6216" t="s">
        <v>7121</v>
      </c>
      <c r="D6216" t="s">
        <v>26</v>
      </c>
      <c r="E6216" t="s">
        <v>36</v>
      </c>
      <c r="F6216" t="s">
        <v>64</v>
      </c>
      <c r="G6216">
        <v>3</v>
      </c>
      <c r="H6216">
        <v>37088.54</v>
      </c>
      <c r="I6216">
        <v>3789.24</v>
      </c>
      <c r="J6216" t="s">
        <v>28</v>
      </c>
      <c r="K6216" t="s">
        <v>17</v>
      </c>
      <c r="L6216">
        <f t="shared" si="291"/>
        <v>2023</v>
      </c>
      <c r="M6216" t="str">
        <f t="shared" si="292"/>
        <v>Aug</v>
      </c>
      <c r="N6216" s="2">
        <f t="shared" si="293"/>
        <v>0.10216740804571978</v>
      </c>
    </row>
    <row r="6217" spans="1:14" x14ac:dyDescent="0.45">
      <c r="A6217" t="s">
        <v>10781</v>
      </c>
      <c r="B6217" s="1">
        <v>45409</v>
      </c>
      <c r="C6217" t="s">
        <v>10782</v>
      </c>
      <c r="D6217" t="s">
        <v>56</v>
      </c>
      <c r="E6217" t="s">
        <v>36</v>
      </c>
      <c r="F6217" t="s">
        <v>46</v>
      </c>
      <c r="G6217">
        <v>2</v>
      </c>
      <c r="H6217">
        <v>39565.61</v>
      </c>
      <c r="I6217">
        <v>6076.77</v>
      </c>
      <c r="J6217" t="s">
        <v>28</v>
      </c>
      <c r="K6217" t="s">
        <v>17</v>
      </c>
      <c r="L6217">
        <f t="shared" si="291"/>
        <v>2024</v>
      </c>
      <c r="M6217" t="str">
        <f t="shared" si="292"/>
        <v>Apr</v>
      </c>
      <c r="N6217" s="2">
        <f t="shared" si="293"/>
        <v>0.15358716825040736</v>
      </c>
    </row>
    <row r="6218" spans="1:14" x14ac:dyDescent="0.45">
      <c r="A6218" t="s">
        <v>10783</v>
      </c>
      <c r="B6218" s="1">
        <v>44666</v>
      </c>
      <c r="C6218" t="s">
        <v>10784</v>
      </c>
      <c r="D6218" t="s">
        <v>56</v>
      </c>
      <c r="E6218" t="s">
        <v>20</v>
      </c>
      <c r="F6218" t="s">
        <v>21</v>
      </c>
      <c r="G6218">
        <v>2</v>
      </c>
      <c r="H6218">
        <v>31898.09</v>
      </c>
      <c r="I6218">
        <v>5723.84</v>
      </c>
      <c r="J6218" t="s">
        <v>22</v>
      </c>
      <c r="K6218" t="s">
        <v>23</v>
      </c>
      <c r="L6218">
        <f t="shared" si="291"/>
        <v>2022</v>
      </c>
      <c r="M6218" t="str">
        <f t="shared" si="292"/>
        <v>Apr</v>
      </c>
      <c r="N6218" s="2">
        <f t="shared" si="293"/>
        <v>0.17944146499053706</v>
      </c>
    </row>
    <row r="6219" spans="1:14" x14ac:dyDescent="0.45">
      <c r="A6219" t="s">
        <v>10785</v>
      </c>
      <c r="B6219" s="1">
        <v>45042</v>
      </c>
      <c r="C6219" t="s">
        <v>848</v>
      </c>
      <c r="D6219" t="s">
        <v>26</v>
      </c>
      <c r="E6219" t="s">
        <v>14</v>
      </c>
      <c r="F6219" t="s">
        <v>40</v>
      </c>
      <c r="G6219">
        <v>3</v>
      </c>
      <c r="H6219">
        <v>1206.67</v>
      </c>
      <c r="I6219">
        <v>227.7</v>
      </c>
      <c r="J6219" t="s">
        <v>28</v>
      </c>
      <c r="K6219" t="s">
        <v>33</v>
      </c>
      <c r="L6219">
        <f t="shared" si="291"/>
        <v>2023</v>
      </c>
      <c r="M6219" t="str">
        <f t="shared" si="292"/>
        <v>Apr</v>
      </c>
      <c r="N6219" s="2">
        <f t="shared" si="293"/>
        <v>0.18870113618470666</v>
      </c>
    </row>
    <row r="6220" spans="1:14" x14ac:dyDescent="0.45">
      <c r="A6220" t="s">
        <v>10786</v>
      </c>
      <c r="B6220" s="1">
        <v>45010</v>
      </c>
      <c r="C6220" t="s">
        <v>10787</v>
      </c>
      <c r="D6220" t="s">
        <v>13</v>
      </c>
      <c r="E6220" t="s">
        <v>20</v>
      </c>
      <c r="F6220" t="s">
        <v>50</v>
      </c>
      <c r="G6220">
        <v>5</v>
      </c>
      <c r="H6220">
        <v>37847.85</v>
      </c>
      <c r="I6220">
        <v>3015.91</v>
      </c>
      <c r="J6220" t="s">
        <v>22</v>
      </c>
      <c r="K6220" t="s">
        <v>23</v>
      </c>
      <c r="L6220">
        <f t="shared" si="291"/>
        <v>2023</v>
      </c>
      <c r="M6220" t="str">
        <f t="shared" si="292"/>
        <v>Mar</v>
      </c>
      <c r="N6220" s="2">
        <f t="shared" si="293"/>
        <v>7.9685107608490305E-2</v>
      </c>
    </row>
    <row r="6221" spans="1:14" x14ac:dyDescent="0.45">
      <c r="A6221" t="s">
        <v>10788</v>
      </c>
      <c r="B6221" s="1">
        <v>44975</v>
      </c>
      <c r="C6221" t="s">
        <v>10789</v>
      </c>
      <c r="D6221" t="s">
        <v>13</v>
      </c>
      <c r="E6221" t="s">
        <v>14</v>
      </c>
      <c r="F6221" t="s">
        <v>15</v>
      </c>
      <c r="G6221">
        <v>5</v>
      </c>
      <c r="H6221">
        <v>11420.03</v>
      </c>
      <c r="I6221">
        <v>2078.06</v>
      </c>
      <c r="J6221" t="s">
        <v>16</v>
      </c>
      <c r="K6221" t="s">
        <v>29</v>
      </c>
      <c r="L6221">
        <f t="shared" si="291"/>
        <v>2023</v>
      </c>
      <c r="M6221" t="str">
        <f t="shared" si="292"/>
        <v>Feb</v>
      </c>
      <c r="N6221" s="2">
        <f t="shared" si="293"/>
        <v>0.18196624702386946</v>
      </c>
    </row>
    <row r="6222" spans="1:14" x14ac:dyDescent="0.45">
      <c r="A6222" t="s">
        <v>10790</v>
      </c>
      <c r="B6222" s="1">
        <v>45439</v>
      </c>
      <c r="C6222" t="s">
        <v>10791</v>
      </c>
      <c r="D6222" t="s">
        <v>13</v>
      </c>
      <c r="E6222" t="s">
        <v>36</v>
      </c>
      <c r="F6222" t="s">
        <v>46</v>
      </c>
      <c r="G6222">
        <v>4</v>
      </c>
      <c r="H6222">
        <v>48798.25</v>
      </c>
      <c r="I6222">
        <v>4814.91</v>
      </c>
      <c r="J6222" t="s">
        <v>22</v>
      </c>
      <c r="K6222" t="s">
        <v>29</v>
      </c>
      <c r="L6222">
        <f t="shared" si="291"/>
        <v>2024</v>
      </c>
      <c r="M6222" t="str">
        <f t="shared" si="292"/>
        <v>May</v>
      </c>
      <c r="N6222" s="2">
        <f t="shared" si="293"/>
        <v>9.8669726885697737E-2</v>
      </c>
    </row>
    <row r="6223" spans="1:14" x14ac:dyDescent="0.45">
      <c r="A6223" t="s">
        <v>10792</v>
      </c>
      <c r="B6223" s="1">
        <v>45560</v>
      </c>
      <c r="C6223" t="s">
        <v>10793</v>
      </c>
      <c r="D6223" t="s">
        <v>26</v>
      </c>
      <c r="E6223" t="s">
        <v>20</v>
      </c>
      <c r="F6223" t="s">
        <v>27</v>
      </c>
      <c r="G6223">
        <v>5</v>
      </c>
      <c r="H6223">
        <v>44266.23</v>
      </c>
      <c r="I6223">
        <v>7142.23</v>
      </c>
      <c r="J6223" t="s">
        <v>22</v>
      </c>
      <c r="K6223" t="s">
        <v>33</v>
      </c>
      <c r="L6223">
        <f t="shared" si="291"/>
        <v>2024</v>
      </c>
      <c r="M6223" t="str">
        <f t="shared" si="292"/>
        <v>Sep</v>
      </c>
      <c r="N6223" s="2">
        <f t="shared" si="293"/>
        <v>0.16134714883106149</v>
      </c>
    </row>
    <row r="6224" spans="1:14" x14ac:dyDescent="0.45">
      <c r="A6224" t="s">
        <v>10794</v>
      </c>
      <c r="B6224" s="1">
        <v>45228</v>
      </c>
      <c r="C6224" t="s">
        <v>10795</v>
      </c>
      <c r="D6224" t="s">
        <v>56</v>
      </c>
      <c r="E6224" t="s">
        <v>36</v>
      </c>
      <c r="F6224" t="s">
        <v>64</v>
      </c>
      <c r="G6224">
        <v>1</v>
      </c>
      <c r="H6224">
        <v>1507.54</v>
      </c>
      <c r="I6224">
        <v>165.99</v>
      </c>
      <c r="J6224" t="s">
        <v>16</v>
      </c>
      <c r="K6224" t="s">
        <v>17</v>
      </c>
      <c r="L6224">
        <f t="shared" si="291"/>
        <v>2023</v>
      </c>
      <c r="M6224" t="str">
        <f t="shared" si="292"/>
        <v>Oct</v>
      </c>
      <c r="N6224" s="2">
        <f t="shared" si="293"/>
        <v>0.11010653116998555</v>
      </c>
    </row>
    <row r="6225" spans="1:14" x14ac:dyDescent="0.45">
      <c r="A6225" t="s">
        <v>10796</v>
      </c>
      <c r="B6225" s="1">
        <v>45300</v>
      </c>
      <c r="C6225" t="s">
        <v>2743</v>
      </c>
      <c r="D6225" t="s">
        <v>56</v>
      </c>
      <c r="E6225" t="s">
        <v>14</v>
      </c>
      <c r="F6225" t="s">
        <v>32</v>
      </c>
      <c r="G6225">
        <v>5</v>
      </c>
      <c r="H6225">
        <v>24769.63</v>
      </c>
      <c r="I6225">
        <v>4684.1499999999996</v>
      </c>
      <c r="J6225" t="s">
        <v>28</v>
      </c>
      <c r="K6225" t="s">
        <v>29</v>
      </c>
      <c r="L6225">
        <f t="shared" si="291"/>
        <v>2024</v>
      </c>
      <c r="M6225" t="str">
        <f t="shared" si="292"/>
        <v>Jan</v>
      </c>
      <c r="N6225" s="2">
        <f t="shared" si="293"/>
        <v>0.18910859790800263</v>
      </c>
    </row>
    <row r="6226" spans="1:14" x14ac:dyDescent="0.45">
      <c r="A6226" t="s">
        <v>10797</v>
      </c>
      <c r="B6226" s="1">
        <v>44662</v>
      </c>
      <c r="C6226" t="s">
        <v>2311</v>
      </c>
      <c r="D6226" t="s">
        <v>56</v>
      </c>
      <c r="E6226" t="s">
        <v>20</v>
      </c>
      <c r="F6226" t="s">
        <v>43</v>
      </c>
      <c r="G6226">
        <v>3</v>
      </c>
      <c r="H6226">
        <v>1467.32</v>
      </c>
      <c r="I6226">
        <v>278.29000000000002</v>
      </c>
      <c r="J6226" t="s">
        <v>71</v>
      </c>
      <c r="K6226" t="s">
        <v>17</v>
      </c>
      <c r="L6226">
        <f t="shared" si="291"/>
        <v>2022</v>
      </c>
      <c r="M6226" t="str">
        <f t="shared" si="292"/>
        <v>Apr</v>
      </c>
      <c r="N6226" s="2">
        <f t="shared" si="293"/>
        <v>0.18965869748930025</v>
      </c>
    </row>
    <row r="6227" spans="1:14" x14ac:dyDescent="0.45">
      <c r="A6227" t="s">
        <v>10798</v>
      </c>
      <c r="B6227" s="1">
        <v>44930</v>
      </c>
      <c r="C6227" t="s">
        <v>8615</v>
      </c>
      <c r="D6227" t="s">
        <v>26</v>
      </c>
      <c r="E6227" t="s">
        <v>14</v>
      </c>
      <c r="F6227" t="s">
        <v>40</v>
      </c>
      <c r="G6227">
        <v>3</v>
      </c>
      <c r="H6227">
        <v>36931.35</v>
      </c>
      <c r="I6227">
        <v>3238.73</v>
      </c>
      <c r="J6227" t="s">
        <v>47</v>
      </c>
      <c r="K6227" t="s">
        <v>23</v>
      </c>
      <c r="L6227">
        <f t="shared" si="291"/>
        <v>2023</v>
      </c>
      <c r="M6227" t="str">
        <f t="shared" si="292"/>
        <v>Jan</v>
      </c>
      <c r="N6227" s="2">
        <f t="shared" si="293"/>
        <v>8.7695954791796135E-2</v>
      </c>
    </row>
    <row r="6228" spans="1:14" x14ac:dyDescent="0.45">
      <c r="A6228" t="s">
        <v>10799</v>
      </c>
      <c r="B6228" s="1">
        <v>44834</v>
      </c>
      <c r="C6228" t="s">
        <v>10800</v>
      </c>
      <c r="D6228" t="s">
        <v>56</v>
      </c>
      <c r="E6228" t="s">
        <v>20</v>
      </c>
      <c r="F6228" t="s">
        <v>43</v>
      </c>
      <c r="G6228">
        <v>2</v>
      </c>
      <c r="H6228">
        <v>3935.89</v>
      </c>
      <c r="I6228">
        <v>297.02999999999997</v>
      </c>
      <c r="J6228" t="s">
        <v>22</v>
      </c>
      <c r="K6228" t="s">
        <v>17</v>
      </c>
      <c r="L6228">
        <f t="shared" si="291"/>
        <v>2022</v>
      </c>
      <c r="M6228" t="str">
        <f t="shared" si="292"/>
        <v>Sep</v>
      </c>
      <c r="N6228" s="2">
        <f t="shared" si="293"/>
        <v>7.5467048113641383E-2</v>
      </c>
    </row>
    <row r="6229" spans="1:14" x14ac:dyDescent="0.45">
      <c r="A6229" t="s">
        <v>10801</v>
      </c>
      <c r="B6229" s="1">
        <v>45149</v>
      </c>
      <c r="C6229" t="s">
        <v>10165</v>
      </c>
      <c r="D6229" t="s">
        <v>26</v>
      </c>
      <c r="E6229" t="s">
        <v>14</v>
      </c>
      <c r="F6229" t="s">
        <v>57</v>
      </c>
      <c r="G6229">
        <v>5</v>
      </c>
      <c r="H6229">
        <v>49037.04</v>
      </c>
      <c r="I6229">
        <v>7344.22</v>
      </c>
      <c r="J6229" t="s">
        <v>71</v>
      </c>
      <c r="K6229" t="s">
        <v>33</v>
      </c>
      <c r="L6229">
        <f t="shared" si="291"/>
        <v>2023</v>
      </c>
      <c r="M6229" t="str">
        <f t="shared" si="292"/>
        <v>Aug</v>
      </c>
      <c r="N6229" s="2">
        <f t="shared" si="293"/>
        <v>0.14976882780853004</v>
      </c>
    </row>
    <row r="6230" spans="1:14" x14ac:dyDescent="0.45">
      <c r="A6230" t="s">
        <v>10802</v>
      </c>
      <c r="B6230" s="1">
        <v>44809</v>
      </c>
      <c r="C6230" t="s">
        <v>5359</v>
      </c>
      <c r="D6230" t="s">
        <v>13</v>
      </c>
      <c r="E6230" t="s">
        <v>14</v>
      </c>
      <c r="F6230" t="s">
        <v>40</v>
      </c>
      <c r="G6230">
        <v>3</v>
      </c>
      <c r="H6230">
        <v>36346.550000000003</v>
      </c>
      <c r="I6230">
        <v>6329.43</v>
      </c>
      <c r="J6230" t="s">
        <v>22</v>
      </c>
      <c r="K6230" t="s">
        <v>23</v>
      </c>
      <c r="L6230">
        <f t="shared" si="291"/>
        <v>2022</v>
      </c>
      <c r="M6230" t="str">
        <f t="shared" si="292"/>
        <v>Sep</v>
      </c>
      <c r="N6230" s="2">
        <f t="shared" si="293"/>
        <v>0.17414114957265545</v>
      </c>
    </row>
    <row r="6231" spans="1:14" x14ac:dyDescent="0.45">
      <c r="A6231" t="s">
        <v>10803</v>
      </c>
      <c r="B6231" s="1">
        <v>44762</v>
      </c>
      <c r="C6231" t="s">
        <v>10804</v>
      </c>
      <c r="D6231" t="s">
        <v>13</v>
      </c>
      <c r="E6231" t="s">
        <v>20</v>
      </c>
      <c r="F6231" t="s">
        <v>27</v>
      </c>
      <c r="G6231">
        <v>5</v>
      </c>
      <c r="H6231">
        <v>9664.35</v>
      </c>
      <c r="I6231">
        <v>2112.6999999999998</v>
      </c>
      <c r="J6231" t="s">
        <v>71</v>
      </c>
      <c r="K6231" t="s">
        <v>33</v>
      </c>
      <c r="L6231">
        <f t="shared" si="291"/>
        <v>2022</v>
      </c>
      <c r="M6231" t="str">
        <f t="shared" si="292"/>
        <v>Jul</v>
      </c>
      <c r="N6231" s="2">
        <f t="shared" si="293"/>
        <v>0.21860756284695812</v>
      </c>
    </row>
    <row r="6232" spans="1:14" x14ac:dyDescent="0.45">
      <c r="A6232" t="s">
        <v>10805</v>
      </c>
      <c r="B6232" s="1">
        <v>45052</v>
      </c>
      <c r="C6232" t="s">
        <v>5082</v>
      </c>
      <c r="D6232" t="s">
        <v>26</v>
      </c>
      <c r="E6232" t="s">
        <v>36</v>
      </c>
      <c r="F6232" t="s">
        <v>46</v>
      </c>
      <c r="G6232">
        <v>2</v>
      </c>
      <c r="H6232">
        <v>22857.47</v>
      </c>
      <c r="I6232">
        <v>1697.68</v>
      </c>
      <c r="J6232" t="s">
        <v>47</v>
      </c>
      <c r="K6232" t="s">
        <v>33</v>
      </c>
      <c r="L6232">
        <f t="shared" si="291"/>
        <v>2023</v>
      </c>
      <c r="M6232" t="str">
        <f t="shared" si="292"/>
        <v>May</v>
      </c>
      <c r="N6232" s="2">
        <f t="shared" si="293"/>
        <v>7.4272436975745787E-2</v>
      </c>
    </row>
    <row r="6233" spans="1:14" x14ac:dyDescent="0.45">
      <c r="A6233" t="s">
        <v>10806</v>
      </c>
      <c r="B6233" s="1">
        <v>45118</v>
      </c>
      <c r="C6233" t="s">
        <v>10807</v>
      </c>
      <c r="D6233" t="s">
        <v>26</v>
      </c>
      <c r="E6233" t="s">
        <v>36</v>
      </c>
      <c r="F6233" t="s">
        <v>53</v>
      </c>
      <c r="G6233">
        <v>5</v>
      </c>
      <c r="H6233">
        <v>48014.080000000002</v>
      </c>
      <c r="I6233">
        <v>5514.57</v>
      </c>
      <c r="J6233" t="s">
        <v>16</v>
      </c>
      <c r="K6233" t="s">
        <v>33</v>
      </c>
      <c r="L6233">
        <f t="shared" si="291"/>
        <v>2023</v>
      </c>
      <c r="M6233" t="str">
        <f t="shared" si="292"/>
        <v>Jul</v>
      </c>
      <c r="N6233" s="2">
        <f t="shared" si="293"/>
        <v>0.11485318473247846</v>
      </c>
    </row>
    <row r="6234" spans="1:14" x14ac:dyDescent="0.45">
      <c r="A6234" t="s">
        <v>10808</v>
      </c>
      <c r="B6234" s="1">
        <v>45317</v>
      </c>
      <c r="C6234" t="s">
        <v>10809</v>
      </c>
      <c r="D6234" t="s">
        <v>13</v>
      </c>
      <c r="E6234" t="s">
        <v>20</v>
      </c>
      <c r="F6234" t="s">
        <v>27</v>
      </c>
      <c r="G6234">
        <v>2</v>
      </c>
      <c r="H6234">
        <v>41560.78</v>
      </c>
      <c r="I6234">
        <v>4153.55</v>
      </c>
      <c r="J6234" t="s">
        <v>22</v>
      </c>
      <c r="K6234" t="s">
        <v>17</v>
      </c>
      <c r="L6234">
        <f t="shared" si="291"/>
        <v>2024</v>
      </c>
      <c r="M6234" t="str">
        <f t="shared" si="292"/>
        <v>Jan</v>
      </c>
      <c r="N6234" s="2">
        <f t="shared" si="293"/>
        <v>9.9939173422635488E-2</v>
      </c>
    </row>
    <row r="6235" spans="1:14" x14ac:dyDescent="0.45">
      <c r="A6235" t="s">
        <v>10810</v>
      </c>
      <c r="B6235" s="1">
        <v>45367</v>
      </c>
      <c r="C6235" t="s">
        <v>10811</v>
      </c>
      <c r="D6235" t="s">
        <v>13</v>
      </c>
      <c r="E6235" t="s">
        <v>14</v>
      </c>
      <c r="F6235" t="s">
        <v>15</v>
      </c>
      <c r="G6235">
        <v>2</v>
      </c>
      <c r="H6235">
        <v>24044.13</v>
      </c>
      <c r="I6235">
        <v>4977.6400000000003</v>
      </c>
      <c r="J6235" t="s">
        <v>16</v>
      </c>
      <c r="K6235" t="s">
        <v>29</v>
      </c>
      <c r="L6235">
        <f t="shared" si="291"/>
        <v>2024</v>
      </c>
      <c r="M6235" t="str">
        <f t="shared" si="292"/>
        <v>Mar</v>
      </c>
      <c r="N6235" s="2">
        <f t="shared" si="293"/>
        <v>0.20702100679043076</v>
      </c>
    </row>
    <row r="6236" spans="1:14" x14ac:dyDescent="0.45">
      <c r="A6236" t="s">
        <v>10812</v>
      </c>
      <c r="B6236" s="1">
        <v>45184</v>
      </c>
      <c r="C6236" t="s">
        <v>87</v>
      </c>
      <c r="D6236" t="s">
        <v>26</v>
      </c>
      <c r="E6236" t="s">
        <v>36</v>
      </c>
      <c r="F6236" t="s">
        <v>53</v>
      </c>
      <c r="G6236">
        <v>2</v>
      </c>
      <c r="H6236">
        <v>35116.18</v>
      </c>
      <c r="I6236">
        <v>5623.35</v>
      </c>
      <c r="J6236" t="s">
        <v>16</v>
      </c>
      <c r="K6236" t="s">
        <v>23</v>
      </c>
      <c r="L6236">
        <f t="shared" si="291"/>
        <v>2023</v>
      </c>
      <c r="M6236" t="str">
        <f t="shared" si="292"/>
        <v>Sep</v>
      </c>
      <c r="N6236" s="2">
        <f t="shared" si="293"/>
        <v>0.16013558422356874</v>
      </c>
    </row>
    <row r="6237" spans="1:14" x14ac:dyDescent="0.45">
      <c r="A6237" t="s">
        <v>10813</v>
      </c>
      <c r="B6237" s="1">
        <v>44638</v>
      </c>
      <c r="C6237" t="s">
        <v>3813</v>
      </c>
      <c r="D6237" t="s">
        <v>26</v>
      </c>
      <c r="E6237" t="s">
        <v>20</v>
      </c>
      <c r="F6237" t="s">
        <v>43</v>
      </c>
      <c r="G6237">
        <v>5</v>
      </c>
      <c r="H6237">
        <v>2506.39</v>
      </c>
      <c r="I6237">
        <v>502.38</v>
      </c>
      <c r="J6237" t="s">
        <v>47</v>
      </c>
      <c r="K6237" t="s">
        <v>17</v>
      </c>
      <c r="L6237">
        <f t="shared" si="291"/>
        <v>2022</v>
      </c>
      <c r="M6237" t="str">
        <f t="shared" si="292"/>
        <v>Mar</v>
      </c>
      <c r="N6237" s="2">
        <f t="shared" si="293"/>
        <v>0.20043967618766434</v>
      </c>
    </row>
    <row r="6238" spans="1:14" x14ac:dyDescent="0.45">
      <c r="A6238" t="s">
        <v>10814</v>
      </c>
      <c r="B6238" s="1">
        <v>45458</v>
      </c>
      <c r="C6238" t="s">
        <v>10815</v>
      </c>
      <c r="D6238" t="s">
        <v>26</v>
      </c>
      <c r="E6238" t="s">
        <v>20</v>
      </c>
      <c r="F6238" t="s">
        <v>27</v>
      </c>
      <c r="G6238">
        <v>5</v>
      </c>
      <c r="H6238">
        <v>23511.02</v>
      </c>
      <c r="I6238">
        <v>3857.92</v>
      </c>
      <c r="J6238" t="s">
        <v>71</v>
      </c>
      <c r="K6238" t="s">
        <v>33</v>
      </c>
      <c r="L6238">
        <f t="shared" si="291"/>
        <v>2024</v>
      </c>
      <c r="M6238" t="str">
        <f t="shared" si="292"/>
        <v>Jun</v>
      </c>
      <c r="N6238" s="2">
        <f t="shared" si="293"/>
        <v>0.16408986083972538</v>
      </c>
    </row>
    <row r="6239" spans="1:14" x14ac:dyDescent="0.45">
      <c r="A6239" t="s">
        <v>10816</v>
      </c>
      <c r="B6239" s="1">
        <v>45206</v>
      </c>
      <c r="C6239" t="s">
        <v>1492</v>
      </c>
      <c r="D6239" t="s">
        <v>56</v>
      </c>
      <c r="E6239" t="s">
        <v>20</v>
      </c>
      <c r="F6239" t="s">
        <v>50</v>
      </c>
      <c r="G6239">
        <v>3</v>
      </c>
      <c r="H6239">
        <v>15439.8</v>
      </c>
      <c r="I6239">
        <v>1432.66</v>
      </c>
      <c r="J6239" t="s">
        <v>16</v>
      </c>
      <c r="K6239" t="s">
        <v>23</v>
      </c>
      <c r="L6239">
        <f t="shared" si="291"/>
        <v>2023</v>
      </c>
      <c r="M6239" t="str">
        <f t="shared" si="292"/>
        <v>Oct</v>
      </c>
      <c r="N6239" s="2">
        <f t="shared" si="293"/>
        <v>9.2790062047435853E-2</v>
      </c>
    </row>
    <row r="6240" spans="1:14" x14ac:dyDescent="0.45">
      <c r="A6240" t="s">
        <v>10817</v>
      </c>
      <c r="B6240" s="1">
        <v>44900</v>
      </c>
      <c r="C6240" t="s">
        <v>7896</v>
      </c>
      <c r="D6240" t="s">
        <v>56</v>
      </c>
      <c r="E6240" t="s">
        <v>14</v>
      </c>
      <c r="F6240" t="s">
        <v>57</v>
      </c>
      <c r="G6240">
        <v>1</v>
      </c>
      <c r="H6240">
        <v>36689.31</v>
      </c>
      <c r="I6240">
        <v>7045.06</v>
      </c>
      <c r="J6240" t="s">
        <v>22</v>
      </c>
      <c r="K6240" t="s">
        <v>29</v>
      </c>
      <c r="L6240">
        <f t="shared" si="291"/>
        <v>2022</v>
      </c>
      <c r="M6240" t="str">
        <f t="shared" si="292"/>
        <v>Dec</v>
      </c>
      <c r="N6240" s="2">
        <f t="shared" si="293"/>
        <v>0.19201941928043892</v>
      </c>
    </row>
    <row r="6241" spans="1:14" x14ac:dyDescent="0.45">
      <c r="A6241" t="s">
        <v>10818</v>
      </c>
      <c r="B6241" s="1">
        <v>45448</v>
      </c>
      <c r="C6241" t="s">
        <v>10819</v>
      </c>
      <c r="D6241" t="s">
        <v>56</v>
      </c>
      <c r="E6241" t="s">
        <v>36</v>
      </c>
      <c r="F6241" t="s">
        <v>64</v>
      </c>
      <c r="G6241">
        <v>2</v>
      </c>
      <c r="H6241">
        <v>15318.02</v>
      </c>
      <c r="I6241">
        <v>1112.8499999999999</v>
      </c>
      <c r="J6241" t="s">
        <v>22</v>
      </c>
      <c r="K6241" t="s">
        <v>29</v>
      </c>
      <c r="L6241">
        <f t="shared" si="291"/>
        <v>2024</v>
      </c>
      <c r="M6241" t="str">
        <f t="shared" si="292"/>
        <v>Jun</v>
      </c>
      <c r="N6241" s="2">
        <f t="shared" si="293"/>
        <v>7.2649728881408943E-2</v>
      </c>
    </row>
    <row r="6242" spans="1:14" x14ac:dyDescent="0.45">
      <c r="A6242" t="s">
        <v>10820</v>
      </c>
      <c r="B6242" s="1">
        <v>44604</v>
      </c>
      <c r="C6242" t="s">
        <v>7714</v>
      </c>
      <c r="D6242" t="s">
        <v>13</v>
      </c>
      <c r="E6242" t="s">
        <v>14</v>
      </c>
      <c r="F6242" t="s">
        <v>15</v>
      </c>
      <c r="G6242">
        <v>3</v>
      </c>
      <c r="H6242">
        <v>7285.4</v>
      </c>
      <c r="I6242">
        <v>1557.86</v>
      </c>
      <c r="J6242" t="s">
        <v>22</v>
      </c>
      <c r="K6242" t="s">
        <v>17</v>
      </c>
      <c r="L6242">
        <f t="shared" si="291"/>
        <v>2022</v>
      </c>
      <c r="M6242" t="str">
        <f t="shared" si="292"/>
        <v>Feb</v>
      </c>
      <c r="N6242" s="2">
        <f t="shared" si="293"/>
        <v>0.21383314574354187</v>
      </c>
    </row>
    <row r="6243" spans="1:14" x14ac:dyDescent="0.45">
      <c r="A6243" t="s">
        <v>10821</v>
      </c>
      <c r="B6243" s="1">
        <v>45208</v>
      </c>
      <c r="C6243" t="s">
        <v>10822</v>
      </c>
      <c r="D6243" t="s">
        <v>26</v>
      </c>
      <c r="E6243" t="s">
        <v>14</v>
      </c>
      <c r="F6243" t="s">
        <v>57</v>
      </c>
      <c r="G6243">
        <v>2</v>
      </c>
      <c r="H6243">
        <v>20502.810000000001</v>
      </c>
      <c r="I6243">
        <v>4690.87</v>
      </c>
      <c r="J6243" t="s">
        <v>71</v>
      </c>
      <c r="K6243" t="s">
        <v>23</v>
      </c>
      <c r="L6243">
        <f t="shared" si="291"/>
        <v>2023</v>
      </c>
      <c r="M6243" t="str">
        <f t="shared" si="292"/>
        <v>Oct</v>
      </c>
      <c r="N6243" s="2">
        <f t="shared" si="293"/>
        <v>0.2287915656439288</v>
      </c>
    </row>
    <row r="6244" spans="1:14" x14ac:dyDescent="0.45">
      <c r="A6244" t="s">
        <v>10823</v>
      </c>
      <c r="B6244" s="1">
        <v>44751</v>
      </c>
      <c r="C6244" t="s">
        <v>1766</v>
      </c>
      <c r="D6244" t="s">
        <v>13</v>
      </c>
      <c r="E6244" t="s">
        <v>36</v>
      </c>
      <c r="F6244" t="s">
        <v>37</v>
      </c>
      <c r="G6244">
        <v>5</v>
      </c>
      <c r="H6244">
        <v>19616.54</v>
      </c>
      <c r="I6244">
        <v>2011.1</v>
      </c>
      <c r="J6244" t="s">
        <v>71</v>
      </c>
      <c r="K6244" t="s">
        <v>23</v>
      </c>
      <c r="L6244">
        <f t="shared" si="291"/>
        <v>2022</v>
      </c>
      <c r="M6244" t="str">
        <f t="shared" si="292"/>
        <v>Jul</v>
      </c>
      <c r="N6244" s="2">
        <f t="shared" si="293"/>
        <v>0.10252062800065657</v>
      </c>
    </row>
    <row r="6245" spans="1:14" x14ac:dyDescent="0.45">
      <c r="A6245" t="s">
        <v>10824</v>
      </c>
      <c r="B6245" s="1">
        <v>45425</v>
      </c>
      <c r="C6245" t="s">
        <v>4720</v>
      </c>
      <c r="D6245" t="s">
        <v>13</v>
      </c>
      <c r="E6245" t="s">
        <v>14</v>
      </c>
      <c r="F6245" t="s">
        <v>32</v>
      </c>
      <c r="G6245">
        <v>1</v>
      </c>
      <c r="H6245">
        <v>20693.21</v>
      </c>
      <c r="I6245">
        <v>1912.5</v>
      </c>
      <c r="J6245" t="s">
        <v>28</v>
      </c>
      <c r="K6245" t="s">
        <v>29</v>
      </c>
      <c r="L6245">
        <f t="shared" si="291"/>
        <v>2024</v>
      </c>
      <c r="M6245" t="str">
        <f t="shared" si="292"/>
        <v>May</v>
      </c>
      <c r="N6245" s="2">
        <f t="shared" si="293"/>
        <v>9.2421620425250608E-2</v>
      </c>
    </row>
    <row r="6246" spans="1:14" x14ac:dyDescent="0.45">
      <c r="A6246" t="s">
        <v>10825</v>
      </c>
      <c r="B6246" s="1">
        <v>45298</v>
      </c>
      <c r="C6246" t="s">
        <v>10826</v>
      </c>
      <c r="D6246" t="s">
        <v>56</v>
      </c>
      <c r="E6246" t="s">
        <v>20</v>
      </c>
      <c r="F6246" t="s">
        <v>21</v>
      </c>
      <c r="G6246">
        <v>3</v>
      </c>
      <c r="H6246">
        <v>46295.72</v>
      </c>
      <c r="I6246">
        <v>3399.27</v>
      </c>
      <c r="J6246" t="s">
        <v>28</v>
      </c>
      <c r="K6246" t="s">
        <v>29</v>
      </c>
      <c r="L6246">
        <f t="shared" si="291"/>
        <v>2024</v>
      </c>
      <c r="M6246" t="str">
        <f t="shared" si="292"/>
        <v>Jan</v>
      </c>
      <c r="N6246" s="2">
        <f t="shared" si="293"/>
        <v>7.3425145996217356E-2</v>
      </c>
    </row>
    <row r="6247" spans="1:14" x14ac:dyDescent="0.45">
      <c r="A6247" t="s">
        <v>10827</v>
      </c>
      <c r="B6247" s="1">
        <v>45064</v>
      </c>
      <c r="C6247" t="s">
        <v>6832</v>
      </c>
      <c r="D6247" t="s">
        <v>26</v>
      </c>
      <c r="E6247" t="s">
        <v>14</v>
      </c>
      <c r="F6247" t="s">
        <v>57</v>
      </c>
      <c r="G6247">
        <v>5</v>
      </c>
      <c r="H6247">
        <v>17193.73</v>
      </c>
      <c r="I6247">
        <v>1472.45</v>
      </c>
      <c r="J6247" t="s">
        <v>71</v>
      </c>
      <c r="K6247" t="s">
        <v>29</v>
      </c>
      <c r="L6247">
        <f t="shared" si="291"/>
        <v>2023</v>
      </c>
      <c r="M6247" t="str">
        <f t="shared" si="292"/>
        <v>May</v>
      </c>
      <c r="N6247" s="2">
        <f t="shared" si="293"/>
        <v>8.563877646095408E-2</v>
      </c>
    </row>
    <row r="6248" spans="1:14" x14ac:dyDescent="0.45">
      <c r="A6248" t="s">
        <v>10828</v>
      </c>
      <c r="B6248" s="1">
        <v>45604</v>
      </c>
      <c r="C6248" t="s">
        <v>1902</v>
      </c>
      <c r="D6248" t="s">
        <v>56</v>
      </c>
      <c r="E6248" t="s">
        <v>14</v>
      </c>
      <c r="F6248" t="s">
        <v>40</v>
      </c>
      <c r="G6248">
        <v>3</v>
      </c>
      <c r="H6248">
        <v>44692.43</v>
      </c>
      <c r="I6248">
        <v>3523.62</v>
      </c>
      <c r="J6248" t="s">
        <v>28</v>
      </c>
      <c r="K6248" t="s">
        <v>29</v>
      </c>
      <c r="L6248">
        <f t="shared" si="291"/>
        <v>2024</v>
      </c>
      <c r="M6248" t="str">
        <f t="shared" si="292"/>
        <v>Nov</v>
      </c>
      <c r="N6248" s="2">
        <f t="shared" si="293"/>
        <v>7.8841539831242105E-2</v>
      </c>
    </row>
    <row r="6249" spans="1:14" x14ac:dyDescent="0.45">
      <c r="A6249" t="s">
        <v>10829</v>
      </c>
      <c r="B6249" s="1">
        <v>44565</v>
      </c>
      <c r="C6249" t="s">
        <v>9833</v>
      </c>
      <c r="D6249" t="s">
        <v>56</v>
      </c>
      <c r="E6249" t="s">
        <v>20</v>
      </c>
      <c r="F6249" t="s">
        <v>21</v>
      </c>
      <c r="G6249">
        <v>3</v>
      </c>
      <c r="H6249">
        <v>36776.93</v>
      </c>
      <c r="I6249">
        <v>5939.05</v>
      </c>
      <c r="J6249" t="s">
        <v>22</v>
      </c>
      <c r="K6249" t="s">
        <v>29</v>
      </c>
      <c r="L6249">
        <f t="shared" si="291"/>
        <v>2022</v>
      </c>
      <c r="M6249" t="str">
        <f t="shared" si="292"/>
        <v>Jan</v>
      </c>
      <c r="N6249" s="2">
        <f t="shared" si="293"/>
        <v>0.16148846573109826</v>
      </c>
    </row>
    <row r="6250" spans="1:14" x14ac:dyDescent="0.45">
      <c r="A6250" t="s">
        <v>10830</v>
      </c>
      <c r="B6250" s="1">
        <v>45041</v>
      </c>
      <c r="C6250" t="s">
        <v>10831</v>
      </c>
      <c r="D6250" t="s">
        <v>26</v>
      </c>
      <c r="E6250" t="s">
        <v>14</v>
      </c>
      <c r="F6250" t="s">
        <v>32</v>
      </c>
      <c r="G6250">
        <v>3</v>
      </c>
      <c r="H6250">
        <v>42978.63</v>
      </c>
      <c r="I6250">
        <v>9720.25</v>
      </c>
      <c r="J6250" t="s">
        <v>16</v>
      </c>
      <c r="K6250" t="s">
        <v>23</v>
      </c>
      <c r="L6250">
        <f t="shared" si="291"/>
        <v>2023</v>
      </c>
      <c r="M6250" t="str">
        <f t="shared" si="292"/>
        <v>Apr</v>
      </c>
      <c r="N6250" s="2">
        <f t="shared" si="293"/>
        <v>0.22616472418967287</v>
      </c>
    </row>
    <row r="6251" spans="1:14" x14ac:dyDescent="0.45">
      <c r="A6251" t="s">
        <v>10832</v>
      </c>
      <c r="B6251" s="1">
        <v>44813</v>
      </c>
      <c r="C6251" t="s">
        <v>1082</v>
      </c>
      <c r="D6251" t="s">
        <v>13</v>
      </c>
      <c r="E6251" t="s">
        <v>36</v>
      </c>
      <c r="F6251" t="s">
        <v>64</v>
      </c>
      <c r="G6251">
        <v>1</v>
      </c>
      <c r="H6251">
        <v>46465.71</v>
      </c>
      <c r="I6251">
        <v>8863.64</v>
      </c>
      <c r="J6251" t="s">
        <v>22</v>
      </c>
      <c r="K6251" t="s">
        <v>29</v>
      </c>
      <c r="L6251">
        <f t="shared" si="291"/>
        <v>2022</v>
      </c>
      <c r="M6251" t="str">
        <f t="shared" si="292"/>
        <v>Sep</v>
      </c>
      <c r="N6251" s="2">
        <f t="shared" si="293"/>
        <v>0.19075658157381001</v>
      </c>
    </row>
    <row r="6252" spans="1:14" x14ac:dyDescent="0.45">
      <c r="A6252" t="s">
        <v>10833</v>
      </c>
      <c r="B6252" s="1">
        <v>45575</v>
      </c>
      <c r="C6252" t="s">
        <v>10834</v>
      </c>
      <c r="D6252" t="s">
        <v>26</v>
      </c>
      <c r="E6252" t="s">
        <v>20</v>
      </c>
      <c r="F6252" t="s">
        <v>50</v>
      </c>
      <c r="G6252">
        <v>4</v>
      </c>
      <c r="H6252">
        <v>5267.01</v>
      </c>
      <c r="I6252">
        <v>926.86</v>
      </c>
      <c r="J6252" t="s">
        <v>22</v>
      </c>
      <c r="K6252" t="s">
        <v>17</v>
      </c>
      <c r="L6252">
        <f t="shared" si="291"/>
        <v>2024</v>
      </c>
      <c r="M6252" t="str">
        <f t="shared" si="292"/>
        <v>Oct</v>
      </c>
      <c r="N6252" s="2">
        <f t="shared" si="293"/>
        <v>0.17597460418719538</v>
      </c>
    </row>
    <row r="6253" spans="1:14" x14ac:dyDescent="0.45">
      <c r="A6253" t="s">
        <v>10835</v>
      </c>
      <c r="B6253" s="1">
        <v>44649</v>
      </c>
      <c r="C6253" t="s">
        <v>10836</v>
      </c>
      <c r="D6253" t="s">
        <v>56</v>
      </c>
      <c r="E6253" t="s">
        <v>14</v>
      </c>
      <c r="F6253" t="s">
        <v>32</v>
      </c>
      <c r="G6253">
        <v>1</v>
      </c>
      <c r="H6253">
        <v>30444.41</v>
      </c>
      <c r="I6253">
        <v>3772.61</v>
      </c>
      <c r="J6253" t="s">
        <v>71</v>
      </c>
      <c r="K6253" t="s">
        <v>29</v>
      </c>
      <c r="L6253">
        <f t="shared" si="291"/>
        <v>2022</v>
      </c>
      <c r="M6253" t="str">
        <f t="shared" si="292"/>
        <v>Mar</v>
      </c>
      <c r="N6253" s="2">
        <f t="shared" si="293"/>
        <v>0.12391798691451075</v>
      </c>
    </row>
    <row r="6254" spans="1:14" x14ac:dyDescent="0.45">
      <c r="A6254" t="s">
        <v>10837</v>
      </c>
      <c r="B6254" s="1">
        <v>44822</v>
      </c>
      <c r="C6254" t="s">
        <v>8210</v>
      </c>
      <c r="D6254" t="s">
        <v>26</v>
      </c>
      <c r="E6254" t="s">
        <v>36</v>
      </c>
      <c r="F6254" t="s">
        <v>64</v>
      </c>
      <c r="G6254">
        <v>4</v>
      </c>
      <c r="H6254">
        <v>32217.52</v>
      </c>
      <c r="I6254">
        <v>6938.39</v>
      </c>
      <c r="J6254" t="s">
        <v>71</v>
      </c>
      <c r="K6254" t="s">
        <v>23</v>
      </c>
      <c r="L6254">
        <f t="shared" si="291"/>
        <v>2022</v>
      </c>
      <c r="M6254" t="str">
        <f t="shared" si="292"/>
        <v>Sep</v>
      </c>
      <c r="N6254" s="2">
        <f t="shared" si="293"/>
        <v>0.21536077264792572</v>
      </c>
    </row>
    <row r="6255" spans="1:14" x14ac:dyDescent="0.45">
      <c r="A6255" t="s">
        <v>10838</v>
      </c>
      <c r="B6255" s="1">
        <v>45123</v>
      </c>
      <c r="C6255" t="s">
        <v>10839</v>
      </c>
      <c r="D6255" t="s">
        <v>26</v>
      </c>
      <c r="E6255" t="s">
        <v>14</v>
      </c>
      <c r="F6255" t="s">
        <v>57</v>
      </c>
      <c r="G6255">
        <v>2</v>
      </c>
      <c r="H6255">
        <v>48322.67</v>
      </c>
      <c r="I6255">
        <v>7588.1</v>
      </c>
      <c r="J6255" t="s">
        <v>71</v>
      </c>
      <c r="K6255" t="s">
        <v>23</v>
      </c>
      <c r="L6255">
        <f t="shared" si="291"/>
        <v>2023</v>
      </c>
      <c r="M6255" t="str">
        <f t="shared" si="292"/>
        <v>Jul</v>
      </c>
      <c r="N6255" s="2">
        <f t="shared" si="293"/>
        <v>0.15702981644019257</v>
      </c>
    </row>
    <row r="6256" spans="1:14" x14ac:dyDescent="0.45">
      <c r="A6256" t="s">
        <v>10840</v>
      </c>
      <c r="B6256" s="1">
        <v>44930</v>
      </c>
      <c r="C6256" t="s">
        <v>642</v>
      </c>
      <c r="D6256" t="s">
        <v>13</v>
      </c>
      <c r="E6256" t="s">
        <v>20</v>
      </c>
      <c r="F6256" t="s">
        <v>27</v>
      </c>
      <c r="G6256">
        <v>5</v>
      </c>
      <c r="H6256">
        <v>34401.58</v>
      </c>
      <c r="I6256">
        <v>5407.44</v>
      </c>
      <c r="J6256" t="s">
        <v>16</v>
      </c>
      <c r="K6256" t="s">
        <v>29</v>
      </c>
      <c r="L6256">
        <f t="shared" si="291"/>
        <v>2023</v>
      </c>
      <c r="M6256" t="str">
        <f t="shared" si="292"/>
        <v>Jan</v>
      </c>
      <c r="N6256" s="2">
        <f t="shared" si="293"/>
        <v>0.15718580367529628</v>
      </c>
    </row>
    <row r="6257" spans="1:14" x14ac:dyDescent="0.45">
      <c r="A6257" t="s">
        <v>10841</v>
      </c>
      <c r="B6257" s="1">
        <v>45062</v>
      </c>
      <c r="C6257" t="s">
        <v>10842</v>
      </c>
      <c r="D6257" t="s">
        <v>56</v>
      </c>
      <c r="E6257" t="s">
        <v>20</v>
      </c>
      <c r="F6257" t="s">
        <v>50</v>
      </c>
      <c r="G6257">
        <v>5</v>
      </c>
      <c r="H6257">
        <v>10110.42</v>
      </c>
      <c r="I6257">
        <v>707.91</v>
      </c>
      <c r="J6257" t="s">
        <v>47</v>
      </c>
      <c r="K6257" t="s">
        <v>17</v>
      </c>
      <c r="L6257">
        <f t="shared" si="291"/>
        <v>2023</v>
      </c>
      <c r="M6257" t="str">
        <f t="shared" si="292"/>
        <v>May</v>
      </c>
      <c r="N6257" s="2">
        <f t="shared" si="293"/>
        <v>7.001786275941059E-2</v>
      </c>
    </row>
    <row r="6258" spans="1:14" x14ac:dyDescent="0.45">
      <c r="A6258" t="s">
        <v>10843</v>
      </c>
      <c r="B6258" s="1">
        <v>45223</v>
      </c>
      <c r="C6258" t="s">
        <v>10844</v>
      </c>
      <c r="D6258" t="s">
        <v>13</v>
      </c>
      <c r="E6258" t="s">
        <v>14</v>
      </c>
      <c r="F6258" t="s">
        <v>15</v>
      </c>
      <c r="G6258">
        <v>4</v>
      </c>
      <c r="H6258">
        <v>3580.33</v>
      </c>
      <c r="I6258">
        <v>779.43</v>
      </c>
      <c r="J6258" t="s">
        <v>16</v>
      </c>
      <c r="K6258" t="s">
        <v>23</v>
      </c>
      <c r="L6258">
        <f t="shared" si="291"/>
        <v>2023</v>
      </c>
      <c r="M6258" t="str">
        <f t="shared" si="292"/>
        <v>Oct</v>
      </c>
      <c r="N6258" s="2">
        <f t="shared" si="293"/>
        <v>0.21769780997840979</v>
      </c>
    </row>
    <row r="6259" spans="1:14" x14ac:dyDescent="0.45">
      <c r="A6259" t="s">
        <v>10845</v>
      </c>
      <c r="B6259" s="1">
        <v>44743</v>
      </c>
      <c r="C6259" t="s">
        <v>10846</v>
      </c>
      <c r="D6259" t="s">
        <v>26</v>
      </c>
      <c r="E6259" t="s">
        <v>20</v>
      </c>
      <c r="F6259" t="s">
        <v>50</v>
      </c>
      <c r="G6259">
        <v>3</v>
      </c>
      <c r="H6259">
        <v>13370.99</v>
      </c>
      <c r="I6259">
        <v>2659.37</v>
      </c>
      <c r="J6259" t="s">
        <v>28</v>
      </c>
      <c r="K6259" t="s">
        <v>33</v>
      </c>
      <c r="L6259">
        <f t="shared" si="291"/>
        <v>2022</v>
      </c>
      <c r="M6259" t="str">
        <f t="shared" si="292"/>
        <v>Jul</v>
      </c>
      <c r="N6259" s="2">
        <f t="shared" si="293"/>
        <v>0.1988910320028659</v>
      </c>
    </row>
    <row r="6260" spans="1:14" x14ac:dyDescent="0.45">
      <c r="A6260" t="s">
        <v>10847</v>
      </c>
      <c r="B6260" s="1">
        <v>45489</v>
      </c>
      <c r="C6260" t="s">
        <v>10848</v>
      </c>
      <c r="D6260" t="s">
        <v>13</v>
      </c>
      <c r="E6260" t="s">
        <v>14</v>
      </c>
      <c r="F6260" t="s">
        <v>15</v>
      </c>
      <c r="G6260">
        <v>5</v>
      </c>
      <c r="H6260">
        <v>4079.32</v>
      </c>
      <c r="I6260">
        <v>1016.69</v>
      </c>
      <c r="J6260" t="s">
        <v>22</v>
      </c>
      <c r="K6260" t="s">
        <v>33</v>
      </c>
      <c r="L6260">
        <f t="shared" si="291"/>
        <v>2024</v>
      </c>
      <c r="M6260" t="str">
        <f t="shared" si="292"/>
        <v>Jul</v>
      </c>
      <c r="N6260" s="2">
        <f t="shared" si="293"/>
        <v>0.24923026386750732</v>
      </c>
    </row>
    <row r="6261" spans="1:14" x14ac:dyDescent="0.45">
      <c r="A6261" t="s">
        <v>10849</v>
      </c>
      <c r="B6261" s="1">
        <v>45343</v>
      </c>
      <c r="C6261" t="s">
        <v>6882</v>
      </c>
      <c r="D6261" t="s">
        <v>26</v>
      </c>
      <c r="E6261" t="s">
        <v>36</v>
      </c>
      <c r="F6261" t="s">
        <v>53</v>
      </c>
      <c r="G6261">
        <v>4</v>
      </c>
      <c r="H6261">
        <v>2362.3200000000002</v>
      </c>
      <c r="I6261">
        <v>561.71</v>
      </c>
      <c r="J6261" t="s">
        <v>28</v>
      </c>
      <c r="K6261" t="s">
        <v>23</v>
      </c>
      <c r="L6261">
        <f t="shared" si="291"/>
        <v>2024</v>
      </c>
      <c r="M6261" t="str">
        <f t="shared" si="292"/>
        <v>Feb</v>
      </c>
      <c r="N6261" s="2">
        <f t="shared" si="293"/>
        <v>0.23777896305326968</v>
      </c>
    </row>
    <row r="6262" spans="1:14" x14ac:dyDescent="0.45">
      <c r="A6262" t="s">
        <v>10850</v>
      </c>
      <c r="B6262" s="1">
        <v>44819</v>
      </c>
      <c r="C6262" t="s">
        <v>10851</v>
      </c>
      <c r="D6262" t="s">
        <v>26</v>
      </c>
      <c r="E6262" t="s">
        <v>20</v>
      </c>
      <c r="F6262" t="s">
        <v>50</v>
      </c>
      <c r="G6262">
        <v>1</v>
      </c>
      <c r="H6262">
        <v>43242.78</v>
      </c>
      <c r="I6262">
        <v>10497.91</v>
      </c>
      <c r="J6262" t="s">
        <v>16</v>
      </c>
      <c r="K6262" t="s">
        <v>17</v>
      </c>
      <c r="L6262">
        <f t="shared" si="291"/>
        <v>2022</v>
      </c>
      <c r="M6262" t="str">
        <f t="shared" si="292"/>
        <v>Sep</v>
      </c>
      <c r="N6262" s="2">
        <f t="shared" si="293"/>
        <v>0.24276676938901709</v>
      </c>
    </row>
    <row r="6263" spans="1:14" x14ac:dyDescent="0.45">
      <c r="A6263" t="s">
        <v>10852</v>
      </c>
      <c r="B6263" s="1">
        <v>45167</v>
      </c>
      <c r="C6263" t="s">
        <v>2735</v>
      </c>
      <c r="D6263" t="s">
        <v>26</v>
      </c>
      <c r="E6263" t="s">
        <v>36</v>
      </c>
      <c r="F6263" t="s">
        <v>37</v>
      </c>
      <c r="G6263">
        <v>4</v>
      </c>
      <c r="H6263">
        <v>41727.57</v>
      </c>
      <c r="I6263">
        <v>6769.58</v>
      </c>
      <c r="J6263" t="s">
        <v>22</v>
      </c>
      <c r="K6263" t="s">
        <v>17</v>
      </c>
      <c r="L6263">
        <f t="shared" si="291"/>
        <v>2023</v>
      </c>
      <c r="M6263" t="str">
        <f t="shared" si="292"/>
        <v>Aug</v>
      </c>
      <c r="N6263" s="2">
        <f t="shared" si="293"/>
        <v>0.16223278757905146</v>
      </c>
    </row>
    <row r="6264" spans="1:14" x14ac:dyDescent="0.45">
      <c r="A6264" t="s">
        <v>10853</v>
      </c>
      <c r="B6264" s="1">
        <v>45034</v>
      </c>
      <c r="C6264" t="s">
        <v>10854</v>
      </c>
      <c r="D6264" t="s">
        <v>13</v>
      </c>
      <c r="E6264" t="s">
        <v>20</v>
      </c>
      <c r="F6264" t="s">
        <v>50</v>
      </c>
      <c r="G6264">
        <v>2</v>
      </c>
      <c r="H6264">
        <v>3901.07</v>
      </c>
      <c r="I6264">
        <v>856.97</v>
      </c>
      <c r="J6264" t="s">
        <v>47</v>
      </c>
      <c r="K6264" t="s">
        <v>29</v>
      </c>
      <c r="L6264">
        <f t="shared" si="291"/>
        <v>2023</v>
      </c>
      <c r="M6264" t="str">
        <f t="shared" si="292"/>
        <v>Apr</v>
      </c>
      <c r="N6264" s="2">
        <f t="shared" si="293"/>
        <v>0.21967562745605693</v>
      </c>
    </row>
    <row r="6265" spans="1:14" x14ac:dyDescent="0.45">
      <c r="A6265" t="s">
        <v>10855</v>
      </c>
      <c r="B6265" s="1">
        <v>45034</v>
      </c>
      <c r="C6265" t="s">
        <v>121</v>
      </c>
      <c r="D6265" t="s">
        <v>56</v>
      </c>
      <c r="E6265" t="s">
        <v>14</v>
      </c>
      <c r="F6265" t="s">
        <v>40</v>
      </c>
      <c r="G6265">
        <v>5</v>
      </c>
      <c r="H6265">
        <v>11204.01</v>
      </c>
      <c r="I6265">
        <v>1695.36</v>
      </c>
      <c r="J6265" t="s">
        <v>71</v>
      </c>
      <c r="K6265" t="s">
        <v>29</v>
      </c>
      <c r="L6265">
        <f t="shared" si="291"/>
        <v>2023</v>
      </c>
      <c r="M6265" t="str">
        <f t="shared" si="292"/>
        <v>Apr</v>
      </c>
      <c r="N6265" s="2">
        <f t="shared" si="293"/>
        <v>0.15131725159117138</v>
      </c>
    </row>
    <row r="6266" spans="1:14" x14ac:dyDescent="0.45">
      <c r="A6266" t="s">
        <v>10856</v>
      </c>
      <c r="B6266" s="1">
        <v>45610</v>
      </c>
      <c r="C6266" t="s">
        <v>10857</v>
      </c>
      <c r="D6266" t="s">
        <v>13</v>
      </c>
      <c r="E6266" t="s">
        <v>36</v>
      </c>
      <c r="F6266" t="s">
        <v>46</v>
      </c>
      <c r="G6266">
        <v>3</v>
      </c>
      <c r="H6266">
        <v>34987.040000000001</v>
      </c>
      <c r="I6266">
        <v>3658.57</v>
      </c>
      <c r="J6266" t="s">
        <v>71</v>
      </c>
      <c r="K6266" t="s">
        <v>23</v>
      </c>
      <c r="L6266">
        <f t="shared" si="291"/>
        <v>2024</v>
      </c>
      <c r="M6266" t="str">
        <f t="shared" si="292"/>
        <v>Nov</v>
      </c>
      <c r="N6266" s="2">
        <f t="shared" si="293"/>
        <v>0.1045692919435311</v>
      </c>
    </row>
    <row r="6267" spans="1:14" x14ac:dyDescent="0.45">
      <c r="A6267" t="s">
        <v>10858</v>
      </c>
      <c r="B6267" s="1">
        <v>44995</v>
      </c>
      <c r="C6267" t="s">
        <v>10859</v>
      </c>
      <c r="D6267" t="s">
        <v>26</v>
      </c>
      <c r="E6267" t="s">
        <v>14</v>
      </c>
      <c r="F6267" t="s">
        <v>15</v>
      </c>
      <c r="G6267">
        <v>1</v>
      </c>
      <c r="H6267">
        <v>6305.12</v>
      </c>
      <c r="I6267">
        <v>388.52</v>
      </c>
      <c r="J6267" t="s">
        <v>71</v>
      </c>
      <c r="K6267" t="s">
        <v>23</v>
      </c>
      <c r="L6267">
        <f t="shared" si="291"/>
        <v>2023</v>
      </c>
      <c r="M6267" t="str">
        <f t="shared" si="292"/>
        <v>Mar</v>
      </c>
      <c r="N6267" s="2">
        <f t="shared" si="293"/>
        <v>6.1619762986271476E-2</v>
      </c>
    </row>
    <row r="6268" spans="1:14" x14ac:dyDescent="0.45">
      <c r="A6268" t="s">
        <v>10860</v>
      </c>
      <c r="B6268" s="1">
        <v>45510</v>
      </c>
      <c r="C6268" t="s">
        <v>6339</v>
      </c>
      <c r="D6268" t="s">
        <v>13</v>
      </c>
      <c r="E6268" t="s">
        <v>14</v>
      </c>
      <c r="F6268" t="s">
        <v>15</v>
      </c>
      <c r="G6268">
        <v>5</v>
      </c>
      <c r="H6268">
        <v>35210.47</v>
      </c>
      <c r="I6268">
        <v>3531.29</v>
      </c>
      <c r="J6268" t="s">
        <v>47</v>
      </c>
      <c r="K6268" t="s">
        <v>23</v>
      </c>
      <c r="L6268">
        <f t="shared" si="291"/>
        <v>2024</v>
      </c>
      <c r="M6268" t="str">
        <f t="shared" si="292"/>
        <v>Aug</v>
      </c>
      <c r="N6268" s="2">
        <f t="shared" si="293"/>
        <v>0.10029090778964325</v>
      </c>
    </row>
    <row r="6269" spans="1:14" x14ac:dyDescent="0.45">
      <c r="A6269" t="s">
        <v>10861</v>
      </c>
      <c r="B6269" s="1">
        <v>44683</v>
      </c>
      <c r="C6269" t="s">
        <v>3052</v>
      </c>
      <c r="D6269" t="s">
        <v>56</v>
      </c>
      <c r="E6269" t="s">
        <v>20</v>
      </c>
      <c r="F6269" t="s">
        <v>50</v>
      </c>
      <c r="G6269">
        <v>2</v>
      </c>
      <c r="H6269">
        <v>37502.949999999997</v>
      </c>
      <c r="I6269">
        <v>8778.5499999999993</v>
      </c>
      <c r="J6269" t="s">
        <v>16</v>
      </c>
      <c r="K6269" t="s">
        <v>33</v>
      </c>
      <c r="L6269">
        <f t="shared" si="291"/>
        <v>2022</v>
      </c>
      <c r="M6269" t="str">
        <f t="shared" si="292"/>
        <v>May</v>
      </c>
      <c r="N6269" s="2">
        <f t="shared" si="293"/>
        <v>0.23407625266812343</v>
      </c>
    </row>
    <row r="6270" spans="1:14" x14ac:dyDescent="0.45">
      <c r="A6270" t="s">
        <v>10862</v>
      </c>
      <c r="B6270" s="1">
        <v>45010</v>
      </c>
      <c r="C6270" t="s">
        <v>10863</v>
      </c>
      <c r="D6270" t="s">
        <v>13</v>
      </c>
      <c r="E6270" t="s">
        <v>20</v>
      </c>
      <c r="F6270" t="s">
        <v>21</v>
      </c>
      <c r="G6270">
        <v>2</v>
      </c>
      <c r="H6270">
        <v>34853.17</v>
      </c>
      <c r="I6270">
        <v>8013.7</v>
      </c>
      <c r="J6270" t="s">
        <v>28</v>
      </c>
      <c r="K6270" t="s">
        <v>33</v>
      </c>
      <c r="L6270">
        <f t="shared" si="291"/>
        <v>2023</v>
      </c>
      <c r="M6270" t="str">
        <f t="shared" si="292"/>
        <v>Mar</v>
      </c>
      <c r="N6270" s="2">
        <f t="shared" si="293"/>
        <v>0.22992743558189974</v>
      </c>
    </row>
    <row r="6271" spans="1:14" x14ac:dyDescent="0.45">
      <c r="A6271" t="s">
        <v>10864</v>
      </c>
      <c r="B6271" s="1">
        <v>45595</v>
      </c>
      <c r="C6271" t="s">
        <v>10865</v>
      </c>
      <c r="D6271" t="s">
        <v>13</v>
      </c>
      <c r="E6271" t="s">
        <v>36</v>
      </c>
      <c r="F6271" t="s">
        <v>64</v>
      </c>
      <c r="G6271">
        <v>3</v>
      </c>
      <c r="H6271">
        <v>41974.42</v>
      </c>
      <c r="I6271">
        <v>5815.91</v>
      </c>
      <c r="J6271" t="s">
        <v>28</v>
      </c>
      <c r="K6271" t="s">
        <v>29</v>
      </c>
      <c r="L6271">
        <f t="shared" si="291"/>
        <v>2024</v>
      </c>
      <c r="M6271" t="str">
        <f t="shared" si="292"/>
        <v>Oct</v>
      </c>
      <c r="N6271" s="2">
        <f t="shared" si="293"/>
        <v>0.13855843630477802</v>
      </c>
    </row>
    <row r="6272" spans="1:14" x14ac:dyDescent="0.45">
      <c r="A6272" t="s">
        <v>10866</v>
      </c>
      <c r="B6272" s="1">
        <v>44853</v>
      </c>
      <c r="C6272" t="s">
        <v>10867</v>
      </c>
      <c r="D6272" t="s">
        <v>13</v>
      </c>
      <c r="E6272" t="s">
        <v>36</v>
      </c>
      <c r="F6272" t="s">
        <v>64</v>
      </c>
      <c r="G6272">
        <v>3</v>
      </c>
      <c r="H6272">
        <v>16003.4</v>
      </c>
      <c r="I6272">
        <v>3355.48</v>
      </c>
      <c r="J6272" t="s">
        <v>22</v>
      </c>
      <c r="K6272" t="s">
        <v>29</v>
      </c>
      <c r="L6272">
        <f t="shared" si="291"/>
        <v>2022</v>
      </c>
      <c r="M6272" t="str">
        <f t="shared" si="292"/>
        <v>Oct</v>
      </c>
      <c r="N6272" s="2">
        <f t="shared" si="293"/>
        <v>0.20967294449929391</v>
      </c>
    </row>
    <row r="6273" spans="1:14" x14ac:dyDescent="0.45">
      <c r="A6273" t="s">
        <v>10868</v>
      </c>
      <c r="B6273" s="1">
        <v>45223</v>
      </c>
      <c r="C6273" t="s">
        <v>10869</v>
      </c>
      <c r="D6273" t="s">
        <v>56</v>
      </c>
      <c r="E6273" t="s">
        <v>36</v>
      </c>
      <c r="F6273" t="s">
        <v>46</v>
      </c>
      <c r="G6273">
        <v>2</v>
      </c>
      <c r="H6273">
        <v>2530.77</v>
      </c>
      <c r="I6273">
        <v>185.14</v>
      </c>
      <c r="J6273" t="s">
        <v>47</v>
      </c>
      <c r="K6273" t="s">
        <v>29</v>
      </c>
      <c r="L6273">
        <f t="shared" si="291"/>
        <v>2023</v>
      </c>
      <c r="M6273" t="str">
        <f t="shared" si="292"/>
        <v>Oct</v>
      </c>
      <c r="N6273" s="2">
        <f t="shared" si="293"/>
        <v>7.3155600864559009E-2</v>
      </c>
    </row>
    <row r="6274" spans="1:14" x14ac:dyDescent="0.45">
      <c r="A6274" t="s">
        <v>10870</v>
      </c>
      <c r="B6274" s="1">
        <v>44570</v>
      </c>
      <c r="C6274" t="s">
        <v>4344</v>
      </c>
      <c r="D6274" t="s">
        <v>26</v>
      </c>
      <c r="E6274" t="s">
        <v>20</v>
      </c>
      <c r="F6274" t="s">
        <v>43</v>
      </c>
      <c r="G6274">
        <v>1</v>
      </c>
      <c r="H6274">
        <v>9521.07</v>
      </c>
      <c r="I6274">
        <v>1632.58</v>
      </c>
      <c r="J6274" t="s">
        <v>22</v>
      </c>
      <c r="K6274" t="s">
        <v>23</v>
      </c>
      <c r="L6274">
        <f t="shared" si="291"/>
        <v>2022</v>
      </c>
      <c r="M6274" t="str">
        <f t="shared" si="292"/>
        <v>Jan</v>
      </c>
      <c r="N6274" s="2">
        <f t="shared" si="293"/>
        <v>0.17147022340976381</v>
      </c>
    </row>
    <row r="6275" spans="1:14" x14ac:dyDescent="0.45">
      <c r="A6275" t="s">
        <v>10871</v>
      </c>
      <c r="B6275" s="1">
        <v>45517</v>
      </c>
      <c r="C6275" t="s">
        <v>4567</v>
      </c>
      <c r="D6275" t="s">
        <v>26</v>
      </c>
      <c r="E6275" t="s">
        <v>20</v>
      </c>
      <c r="F6275" t="s">
        <v>50</v>
      </c>
      <c r="G6275">
        <v>1</v>
      </c>
      <c r="H6275">
        <v>14184.65</v>
      </c>
      <c r="I6275">
        <v>765.85</v>
      </c>
      <c r="J6275" t="s">
        <v>28</v>
      </c>
      <c r="K6275" t="s">
        <v>33</v>
      </c>
      <c r="L6275">
        <f t="shared" ref="L6275:L6338" si="294">YEAR(B6275 )</f>
        <v>2024</v>
      </c>
      <c r="M6275" t="str">
        <f t="shared" ref="M6275:M6338" si="295">TEXT(B6275,"MMM")</f>
        <v>Aug</v>
      </c>
      <c r="N6275" s="2">
        <f t="shared" ref="N6275:N6338" si="296">I6275 / H6275</f>
        <v>5.3991462602179116E-2</v>
      </c>
    </row>
    <row r="6276" spans="1:14" x14ac:dyDescent="0.45">
      <c r="A6276" t="s">
        <v>10872</v>
      </c>
      <c r="B6276" s="1">
        <v>45615</v>
      </c>
      <c r="C6276" t="s">
        <v>10873</v>
      </c>
      <c r="D6276" t="s">
        <v>26</v>
      </c>
      <c r="E6276" t="s">
        <v>36</v>
      </c>
      <c r="F6276" t="s">
        <v>53</v>
      </c>
      <c r="G6276">
        <v>3</v>
      </c>
      <c r="H6276">
        <v>10711.65</v>
      </c>
      <c r="I6276">
        <v>2398.7399999999998</v>
      </c>
      <c r="J6276" t="s">
        <v>22</v>
      </c>
      <c r="K6276" t="s">
        <v>33</v>
      </c>
      <c r="L6276">
        <f t="shared" si="294"/>
        <v>2024</v>
      </c>
      <c r="M6276" t="str">
        <f t="shared" si="295"/>
        <v>Nov</v>
      </c>
      <c r="N6276" s="2">
        <f t="shared" si="296"/>
        <v>0.22393748862220106</v>
      </c>
    </row>
    <row r="6277" spans="1:14" x14ac:dyDescent="0.45">
      <c r="A6277" t="s">
        <v>10874</v>
      </c>
      <c r="B6277" s="1">
        <v>45442</v>
      </c>
      <c r="C6277" t="s">
        <v>10875</v>
      </c>
      <c r="D6277" t="s">
        <v>56</v>
      </c>
      <c r="E6277" t="s">
        <v>20</v>
      </c>
      <c r="F6277" t="s">
        <v>21</v>
      </c>
      <c r="G6277">
        <v>3</v>
      </c>
      <c r="H6277">
        <v>24680.51</v>
      </c>
      <c r="I6277">
        <v>5252.8</v>
      </c>
      <c r="J6277" t="s">
        <v>22</v>
      </c>
      <c r="K6277" t="s">
        <v>23</v>
      </c>
      <c r="L6277">
        <f t="shared" si="294"/>
        <v>2024</v>
      </c>
      <c r="M6277" t="str">
        <f t="shared" si="295"/>
        <v>May</v>
      </c>
      <c r="N6277" s="2">
        <f t="shared" si="296"/>
        <v>0.21283190663402016</v>
      </c>
    </row>
    <row r="6278" spans="1:14" x14ac:dyDescent="0.45">
      <c r="A6278" t="s">
        <v>10876</v>
      </c>
      <c r="B6278" s="1">
        <v>45545</v>
      </c>
      <c r="C6278" t="s">
        <v>5486</v>
      </c>
      <c r="D6278" t="s">
        <v>13</v>
      </c>
      <c r="E6278" t="s">
        <v>20</v>
      </c>
      <c r="F6278" t="s">
        <v>43</v>
      </c>
      <c r="G6278">
        <v>3</v>
      </c>
      <c r="H6278">
        <v>17970.990000000002</v>
      </c>
      <c r="I6278">
        <v>903.45</v>
      </c>
      <c r="J6278" t="s">
        <v>22</v>
      </c>
      <c r="K6278" t="s">
        <v>29</v>
      </c>
      <c r="L6278">
        <f t="shared" si="294"/>
        <v>2024</v>
      </c>
      <c r="M6278" t="str">
        <f t="shared" si="295"/>
        <v>Sep</v>
      </c>
      <c r="N6278" s="2">
        <f t="shared" si="296"/>
        <v>5.0272689484552602E-2</v>
      </c>
    </row>
    <row r="6279" spans="1:14" x14ac:dyDescent="0.45">
      <c r="A6279" t="s">
        <v>10877</v>
      </c>
      <c r="B6279" s="1">
        <v>44697</v>
      </c>
      <c r="C6279" t="s">
        <v>8373</v>
      </c>
      <c r="D6279" t="s">
        <v>13</v>
      </c>
      <c r="E6279" t="s">
        <v>36</v>
      </c>
      <c r="F6279" t="s">
        <v>53</v>
      </c>
      <c r="G6279">
        <v>3</v>
      </c>
      <c r="H6279">
        <v>31877.72</v>
      </c>
      <c r="I6279">
        <v>4672.95</v>
      </c>
      <c r="J6279" t="s">
        <v>16</v>
      </c>
      <c r="K6279" t="s">
        <v>17</v>
      </c>
      <c r="L6279">
        <f t="shared" si="294"/>
        <v>2022</v>
      </c>
      <c r="M6279" t="str">
        <f t="shared" si="295"/>
        <v>May</v>
      </c>
      <c r="N6279" s="2">
        <f t="shared" si="296"/>
        <v>0.14658984394116015</v>
      </c>
    </row>
    <row r="6280" spans="1:14" x14ac:dyDescent="0.45">
      <c r="A6280" t="s">
        <v>10878</v>
      </c>
      <c r="B6280" s="1">
        <v>45332</v>
      </c>
      <c r="C6280" t="s">
        <v>10879</v>
      </c>
      <c r="D6280" t="s">
        <v>13</v>
      </c>
      <c r="E6280" t="s">
        <v>14</v>
      </c>
      <c r="F6280" t="s">
        <v>32</v>
      </c>
      <c r="G6280">
        <v>4</v>
      </c>
      <c r="H6280">
        <v>19221.34</v>
      </c>
      <c r="I6280">
        <v>4015.59</v>
      </c>
      <c r="J6280" t="s">
        <v>28</v>
      </c>
      <c r="K6280" t="s">
        <v>17</v>
      </c>
      <c r="L6280">
        <f t="shared" si="294"/>
        <v>2024</v>
      </c>
      <c r="M6280" t="str">
        <f t="shared" si="295"/>
        <v>Feb</v>
      </c>
      <c r="N6280" s="2">
        <f t="shared" si="296"/>
        <v>0.2089131142781929</v>
      </c>
    </row>
    <row r="6281" spans="1:14" x14ac:dyDescent="0.45">
      <c r="A6281" t="s">
        <v>10880</v>
      </c>
      <c r="B6281" s="1">
        <v>45644</v>
      </c>
      <c r="C6281" t="s">
        <v>8596</v>
      </c>
      <c r="D6281" t="s">
        <v>56</v>
      </c>
      <c r="E6281" t="s">
        <v>14</v>
      </c>
      <c r="F6281" t="s">
        <v>15</v>
      </c>
      <c r="G6281">
        <v>5</v>
      </c>
      <c r="H6281">
        <v>35246.57</v>
      </c>
      <c r="I6281">
        <v>8217.0499999999993</v>
      </c>
      <c r="J6281" t="s">
        <v>22</v>
      </c>
      <c r="K6281" t="s">
        <v>17</v>
      </c>
      <c r="L6281">
        <f t="shared" si="294"/>
        <v>2024</v>
      </c>
      <c r="M6281" t="str">
        <f t="shared" si="295"/>
        <v>Dec</v>
      </c>
      <c r="N6281" s="2">
        <f t="shared" si="296"/>
        <v>0.23313048617212964</v>
      </c>
    </row>
    <row r="6282" spans="1:14" x14ac:dyDescent="0.45">
      <c r="A6282" t="s">
        <v>10881</v>
      </c>
      <c r="B6282" s="1">
        <v>45278</v>
      </c>
      <c r="C6282" t="s">
        <v>6180</v>
      </c>
      <c r="D6282" t="s">
        <v>13</v>
      </c>
      <c r="E6282" t="s">
        <v>14</v>
      </c>
      <c r="F6282" t="s">
        <v>15</v>
      </c>
      <c r="G6282">
        <v>1</v>
      </c>
      <c r="H6282">
        <v>23262.26</v>
      </c>
      <c r="I6282">
        <v>2411.5700000000002</v>
      </c>
      <c r="J6282" t="s">
        <v>47</v>
      </c>
      <c r="K6282" t="s">
        <v>33</v>
      </c>
      <c r="L6282">
        <f t="shared" si="294"/>
        <v>2023</v>
      </c>
      <c r="M6282" t="str">
        <f t="shared" si="295"/>
        <v>Dec</v>
      </c>
      <c r="N6282" s="2">
        <f t="shared" si="296"/>
        <v>0.10366877508892086</v>
      </c>
    </row>
    <row r="6283" spans="1:14" x14ac:dyDescent="0.45">
      <c r="A6283" t="s">
        <v>10882</v>
      </c>
      <c r="B6283" s="1">
        <v>44806</v>
      </c>
      <c r="C6283" t="s">
        <v>182</v>
      </c>
      <c r="D6283" t="s">
        <v>13</v>
      </c>
      <c r="E6283" t="s">
        <v>20</v>
      </c>
      <c r="F6283" t="s">
        <v>43</v>
      </c>
      <c r="G6283">
        <v>4</v>
      </c>
      <c r="H6283">
        <v>8576.24</v>
      </c>
      <c r="I6283">
        <v>1692.01</v>
      </c>
      <c r="J6283" t="s">
        <v>47</v>
      </c>
      <c r="K6283" t="s">
        <v>23</v>
      </c>
      <c r="L6283">
        <f t="shared" si="294"/>
        <v>2022</v>
      </c>
      <c r="M6283" t="str">
        <f t="shared" si="295"/>
        <v>Sep</v>
      </c>
      <c r="N6283" s="2">
        <f t="shared" si="296"/>
        <v>0.1972904209770249</v>
      </c>
    </row>
    <row r="6284" spans="1:14" x14ac:dyDescent="0.45">
      <c r="A6284" t="s">
        <v>10883</v>
      </c>
      <c r="B6284" s="1">
        <v>44962</v>
      </c>
      <c r="C6284" t="s">
        <v>10884</v>
      </c>
      <c r="D6284" t="s">
        <v>26</v>
      </c>
      <c r="E6284" t="s">
        <v>14</v>
      </c>
      <c r="F6284" t="s">
        <v>57</v>
      </c>
      <c r="G6284">
        <v>4</v>
      </c>
      <c r="H6284">
        <v>1090.0999999999999</v>
      </c>
      <c r="I6284">
        <v>259.89</v>
      </c>
      <c r="J6284" t="s">
        <v>71</v>
      </c>
      <c r="K6284" t="s">
        <v>33</v>
      </c>
      <c r="L6284">
        <f t="shared" si="294"/>
        <v>2023</v>
      </c>
      <c r="M6284" t="str">
        <f t="shared" si="295"/>
        <v>Feb</v>
      </c>
      <c r="N6284" s="2">
        <f t="shared" si="296"/>
        <v>0.23840932024584902</v>
      </c>
    </row>
    <row r="6285" spans="1:14" x14ac:dyDescent="0.45">
      <c r="A6285" t="s">
        <v>10885</v>
      </c>
      <c r="B6285" s="1">
        <v>45483</v>
      </c>
      <c r="C6285" t="s">
        <v>10886</v>
      </c>
      <c r="D6285" t="s">
        <v>26</v>
      </c>
      <c r="E6285" t="s">
        <v>36</v>
      </c>
      <c r="F6285" t="s">
        <v>37</v>
      </c>
      <c r="G6285">
        <v>4</v>
      </c>
      <c r="H6285">
        <v>10636.24</v>
      </c>
      <c r="I6285">
        <v>1621.49</v>
      </c>
      <c r="J6285" t="s">
        <v>47</v>
      </c>
      <c r="K6285" t="s">
        <v>33</v>
      </c>
      <c r="L6285">
        <f t="shared" si="294"/>
        <v>2024</v>
      </c>
      <c r="M6285" t="str">
        <f t="shared" si="295"/>
        <v>Jul</v>
      </c>
      <c r="N6285" s="2">
        <f t="shared" si="296"/>
        <v>0.15244954984092124</v>
      </c>
    </row>
    <row r="6286" spans="1:14" x14ac:dyDescent="0.45">
      <c r="A6286" t="s">
        <v>10887</v>
      </c>
      <c r="B6286" s="1">
        <v>45268</v>
      </c>
      <c r="C6286" t="s">
        <v>10888</v>
      </c>
      <c r="D6286" t="s">
        <v>26</v>
      </c>
      <c r="E6286" t="s">
        <v>36</v>
      </c>
      <c r="F6286" t="s">
        <v>53</v>
      </c>
      <c r="G6286">
        <v>5</v>
      </c>
      <c r="H6286">
        <v>8133.7</v>
      </c>
      <c r="I6286">
        <v>981.25</v>
      </c>
      <c r="J6286" t="s">
        <v>16</v>
      </c>
      <c r="K6286" t="s">
        <v>23</v>
      </c>
      <c r="L6286">
        <f t="shared" si="294"/>
        <v>2023</v>
      </c>
      <c r="M6286" t="str">
        <f t="shared" si="295"/>
        <v>Dec</v>
      </c>
      <c r="N6286" s="2">
        <f t="shared" si="296"/>
        <v>0.12064005311235969</v>
      </c>
    </row>
    <row r="6287" spans="1:14" x14ac:dyDescent="0.45">
      <c r="A6287" t="s">
        <v>10889</v>
      </c>
      <c r="B6287" s="1">
        <v>44928</v>
      </c>
      <c r="C6287" t="s">
        <v>10831</v>
      </c>
      <c r="D6287" t="s">
        <v>13</v>
      </c>
      <c r="E6287" t="s">
        <v>36</v>
      </c>
      <c r="F6287" t="s">
        <v>37</v>
      </c>
      <c r="G6287">
        <v>5</v>
      </c>
      <c r="H6287">
        <v>39284.550000000003</v>
      </c>
      <c r="I6287">
        <v>2919.93</v>
      </c>
      <c r="J6287" t="s">
        <v>22</v>
      </c>
      <c r="K6287" t="s">
        <v>33</v>
      </c>
      <c r="L6287">
        <f t="shared" si="294"/>
        <v>2023</v>
      </c>
      <c r="M6287" t="str">
        <f t="shared" si="295"/>
        <v>Jan</v>
      </c>
      <c r="N6287" s="2">
        <f t="shared" si="296"/>
        <v>7.4327693711649989E-2</v>
      </c>
    </row>
    <row r="6288" spans="1:14" x14ac:dyDescent="0.45">
      <c r="A6288" t="s">
        <v>10890</v>
      </c>
      <c r="B6288" s="1">
        <v>44684</v>
      </c>
      <c r="C6288" t="s">
        <v>442</v>
      </c>
      <c r="D6288" t="s">
        <v>56</v>
      </c>
      <c r="E6288" t="s">
        <v>20</v>
      </c>
      <c r="F6288" t="s">
        <v>43</v>
      </c>
      <c r="G6288">
        <v>4</v>
      </c>
      <c r="H6288">
        <v>26394.76</v>
      </c>
      <c r="I6288">
        <v>4921.95</v>
      </c>
      <c r="J6288" t="s">
        <v>22</v>
      </c>
      <c r="K6288" t="s">
        <v>23</v>
      </c>
      <c r="L6288">
        <f t="shared" si="294"/>
        <v>2022</v>
      </c>
      <c r="M6288" t="str">
        <f t="shared" si="295"/>
        <v>May</v>
      </c>
      <c r="N6288" s="2">
        <f t="shared" si="296"/>
        <v>0.18647451236533313</v>
      </c>
    </row>
    <row r="6289" spans="1:14" x14ac:dyDescent="0.45">
      <c r="A6289" t="s">
        <v>10891</v>
      </c>
      <c r="B6289" s="1">
        <v>45601</v>
      </c>
      <c r="C6289" t="s">
        <v>10892</v>
      </c>
      <c r="D6289" t="s">
        <v>26</v>
      </c>
      <c r="E6289" t="s">
        <v>36</v>
      </c>
      <c r="F6289" t="s">
        <v>37</v>
      </c>
      <c r="G6289">
        <v>3</v>
      </c>
      <c r="H6289">
        <v>11273.23</v>
      </c>
      <c r="I6289">
        <v>2095.36</v>
      </c>
      <c r="J6289" t="s">
        <v>16</v>
      </c>
      <c r="K6289" t="s">
        <v>33</v>
      </c>
      <c r="L6289">
        <f t="shared" si="294"/>
        <v>2024</v>
      </c>
      <c r="M6289" t="str">
        <f t="shared" si="295"/>
        <v>Nov</v>
      </c>
      <c r="N6289" s="2">
        <f t="shared" si="296"/>
        <v>0.18587042045624902</v>
      </c>
    </row>
    <row r="6290" spans="1:14" x14ac:dyDescent="0.45">
      <c r="A6290" t="s">
        <v>10893</v>
      </c>
      <c r="B6290" s="1">
        <v>45235</v>
      </c>
      <c r="C6290" t="s">
        <v>6734</v>
      </c>
      <c r="D6290" t="s">
        <v>56</v>
      </c>
      <c r="E6290" t="s">
        <v>36</v>
      </c>
      <c r="F6290" t="s">
        <v>46</v>
      </c>
      <c r="G6290">
        <v>1</v>
      </c>
      <c r="H6290">
        <v>42773.75</v>
      </c>
      <c r="I6290">
        <v>8104.97</v>
      </c>
      <c r="J6290" t="s">
        <v>16</v>
      </c>
      <c r="K6290" t="s">
        <v>17</v>
      </c>
      <c r="L6290">
        <f t="shared" si="294"/>
        <v>2023</v>
      </c>
      <c r="M6290" t="str">
        <f t="shared" si="295"/>
        <v>Nov</v>
      </c>
      <c r="N6290" s="2">
        <f t="shared" si="296"/>
        <v>0.18948467225810223</v>
      </c>
    </row>
    <row r="6291" spans="1:14" x14ac:dyDescent="0.45">
      <c r="A6291" t="s">
        <v>10894</v>
      </c>
      <c r="B6291" s="1">
        <v>45163</v>
      </c>
      <c r="C6291" t="s">
        <v>10895</v>
      </c>
      <c r="D6291" t="s">
        <v>56</v>
      </c>
      <c r="E6291" t="s">
        <v>20</v>
      </c>
      <c r="F6291" t="s">
        <v>43</v>
      </c>
      <c r="G6291">
        <v>3</v>
      </c>
      <c r="H6291">
        <v>28495.360000000001</v>
      </c>
      <c r="I6291">
        <v>3659.92</v>
      </c>
      <c r="J6291" t="s">
        <v>28</v>
      </c>
      <c r="K6291" t="s">
        <v>17</v>
      </c>
      <c r="L6291">
        <f t="shared" si="294"/>
        <v>2023</v>
      </c>
      <c r="M6291" t="str">
        <f t="shared" si="295"/>
        <v>Aug</v>
      </c>
      <c r="N6291" s="2">
        <f t="shared" si="296"/>
        <v>0.12843915641002604</v>
      </c>
    </row>
    <row r="6292" spans="1:14" x14ac:dyDescent="0.45">
      <c r="A6292" t="s">
        <v>10896</v>
      </c>
      <c r="B6292" s="1">
        <v>45355</v>
      </c>
      <c r="C6292" t="s">
        <v>4546</v>
      </c>
      <c r="D6292" t="s">
        <v>56</v>
      </c>
      <c r="E6292" t="s">
        <v>36</v>
      </c>
      <c r="F6292" t="s">
        <v>37</v>
      </c>
      <c r="G6292">
        <v>2</v>
      </c>
      <c r="H6292">
        <v>8766.1</v>
      </c>
      <c r="I6292">
        <v>1558.05</v>
      </c>
      <c r="J6292" t="s">
        <v>22</v>
      </c>
      <c r="K6292" t="s">
        <v>23</v>
      </c>
      <c r="L6292">
        <f t="shared" si="294"/>
        <v>2024</v>
      </c>
      <c r="M6292" t="str">
        <f t="shared" si="295"/>
        <v>Mar</v>
      </c>
      <c r="N6292" s="2">
        <f t="shared" si="296"/>
        <v>0.1777358232281174</v>
      </c>
    </row>
    <row r="6293" spans="1:14" x14ac:dyDescent="0.45">
      <c r="A6293" t="s">
        <v>10897</v>
      </c>
      <c r="B6293" s="1">
        <v>45096</v>
      </c>
      <c r="C6293" t="s">
        <v>10898</v>
      </c>
      <c r="D6293" t="s">
        <v>26</v>
      </c>
      <c r="E6293" t="s">
        <v>36</v>
      </c>
      <c r="F6293" t="s">
        <v>53</v>
      </c>
      <c r="G6293">
        <v>5</v>
      </c>
      <c r="H6293">
        <v>4241.9399999999996</v>
      </c>
      <c r="I6293">
        <v>896.44</v>
      </c>
      <c r="J6293" t="s">
        <v>28</v>
      </c>
      <c r="K6293" t="s">
        <v>17</v>
      </c>
      <c r="L6293">
        <f t="shared" si="294"/>
        <v>2023</v>
      </c>
      <c r="M6293" t="str">
        <f t="shared" si="295"/>
        <v>Jun</v>
      </c>
      <c r="N6293" s="2">
        <f t="shared" si="296"/>
        <v>0.21132783584869191</v>
      </c>
    </row>
    <row r="6294" spans="1:14" x14ac:dyDescent="0.45">
      <c r="A6294" t="s">
        <v>10899</v>
      </c>
      <c r="B6294" s="1">
        <v>45423</v>
      </c>
      <c r="C6294" t="s">
        <v>10900</v>
      </c>
      <c r="D6294" t="s">
        <v>26</v>
      </c>
      <c r="E6294" t="s">
        <v>20</v>
      </c>
      <c r="F6294" t="s">
        <v>43</v>
      </c>
      <c r="G6294">
        <v>5</v>
      </c>
      <c r="H6294">
        <v>26355.66</v>
      </c>
      <c r="I6294">
        <v>5346.73</v>
      </c>
      <c r="J6294" t="s">
        <v>28</v>
      </c>
      <c r="K6294" t="s">
        <v>33</v>
      </c>
      <c r="L6294">
        <f t="shared" si="294"/>
        <v>2024</v>
      </c>
      <c r="M6294" t="str">
        <f t="shared" si="295"/>
        <v>May</v>
      </c>
      <c r="N6294" s="2">
        <f t="shared" si="296"/>
        <v>0.20286837817759068</v>
      </c>
    </row>
    <row r="6295" spans="1:14" x14ac:dyDescent="0.45">
      <c r="A6295" t="s">
        <v>10901</v>
      </c>
      <c r="B6295" s="1">
        <v>45134</v>
      </c>
      <c r="C6295" t="s">
        <v>10902</v>
      </c>
      <c r="D6295" t="s">
        <v>26</v>
      </c>
      <c r="E6295" t="s">
        <v>20</v>
      </c>
      <c r="F6295" t="s">
        <v>43</v>
      </c>
      <c r="G6295">
        <v>5</v>
      </c>
      <c r="H6295">
        <v>21626.87</v>
      </c>
      <c r="I6295">
        <v>5398.69</v>
      </c>
      <c r="J6295" t="s">
        <v>28</v>
      </c>
      <c r="K6295" t="s">
        <v>17</v>
      </c>
      <c r="L6295">
        <f t="shared" si="294"/>
        <v>2023</v>
      </c>
      <c r="M6295" t="str">
        <f t="shared" si="295"/>
        <v>Jul</v>
      </c>
      <c r="N6295" s="2">
        <f t="shared" si="296"/>
        <v>0.24962881822473618</v>
      </c>
    </row>
    <row r="6296" spans="1:14" x14ac:dyDescent="0.45">
      <c r="A6296" t="s">
        <v>10903</v>
      </c>
      <c r="B6296" s="1">
        <v>45276</v>
      </c>
      <c r="C6296" t="s">
        <v>3189</v>
      </c>
      <c r="D6296" t="s">
        <v>56</v>
      </c>
      <c r="E6296" t="s">
        <v>20</v>
      </c>
      <c r="F6296" t="s">
        <v>43</v>
      </c>
      <c r="G6296">
        <v>3</v>
      </c>
      <c r="H6296">
        <v>8400.5499999999993</v>
      </c>
      <c r="I6296">
        <v>904.6</v>
      </c>
      <c r="J6296" t="s">
        <v>47</v>
      </c>
      <c r="K6296" t="s">
        <v>33</v>
      </c>
      <c r="L6296">
        <f t="shared" si="294"/>
        <v>2023</v>
      </c>
      <c r="M6296" t="str">
        <f t="shared" si="295"/>
        <v>Dec</v>
      </c>
      <c r="N6296" s="2">
        <f t="shared" si="296"/>
        <v>0.10768342548999769</v>
      </c>
    </row>
    <row r="6297" spans="1:14" x14ac:dyDescent="0.45">
      <c r="A6297" t="s">
        <v>10904</v>
      </c>
      <c r="B6297" s="1">
        <v>45219</v>
      </c>
      <c r="C6297" t="s">
        <v>10905</v>
      </c>
      <c r="D6297" t="s">
        <v>26</v>
      </c>
      <c r="E6297" t="s">
        <v>14</v>
      </c>
      <c r="F6297" t="s">
        <v>15</v>
      </c>
      <c r="G6297">
        <v>3</v>
      </c>
      <c r="H6297">
        <v>29794.12</v>
      </c>
      <c r="I6297">
        <v>7177.41</v>
      </c>
      <c r="J6297" t="s">
        <v>47</v>
      </c>
      <c r="K6297" t="s">
        <v>23</v>
      </c>
      <c r="L6297">
        <f t="shared" si="294"/>
        <v>2023</v>
      </c>
      <c r="M6297" t="str">
        <f t="shared" si="295"/>
        <v>Oct</v>
      </c>
      <c r="N6297" s="2">
        <f t="shared" si="296"/>
        <v>0.24090021789534311</v>
      </c>
    </row>
    <row r="6298" spans="1:14" x14ac:dyDescent="0.45">
      <c r="A6298" t="s">
        <v>10906</v>
      </c>
      <c r="B6298" s="1">
        <v>45486</v>
      </c>
      <c r="C6298" t="s">
        <v>3699</v>
      </c>
      <c r="D6298" t="s">
        <v>56</v>
      </c>
      <c r="E6298" t="s">
        <v>36</v>
      </c>
      <c r="F6298" t="s">
        <v>53</v>
      </c>
      <c r="G6298">
        <v>1</v>
      </c>
      <c r="H6298">
        <v>8186.17</v>
      </c>
      <c r="I6298">
        <v>587.16</v>
      </c>
      <c r="J6298" t="s">
        <v>47</v>
      </c>
      <c r="K6298" t="s">
        <v>29</v>
      </c>
      <c r="L6298">
        <f t="shared" si="294"/>
        <v>2024</v>
      </c>
      <c r="M6298" t="str">
        <f t="shared" si="295"/>
        <v>Jul</v>
      </c>
      <c r="N6298" s="2">
        <f t="shared" si="296"/>
        <v>7.1725849817435988E-2</v>
      </c>
    </row>
    <row r="6299" spans="1:14" x14ac:dyDescent="0.45">
      <c r="A6299" t="s">
        <v>10907</v>
      </c>
      <c r="B6299" s="1">
        <v>45548</v>
      </c>
      <c r="C6299" t="s">
        <v>10908</v>
      </c>
      <c r="D6299" t="s">
        <v>13</v>
      </c>
      <c r="E6299" t="s">
        <v>20</v>
      </c>
      <c r="F6299" t="s">
        <v>43</v>
      </c>
      <c r="G6299">
        <v>2</v>
      </c>
      <c r="H6299">
        <v>1765.39</v>
      </c>
      <c r="I6299">
        <v>250.09</v>
      </c>
      <c r="J6299" t="s">
        <v>16</v>
      </c>
      <c r="K6299" t="s">
        <v>17</v>
      </c>
      <c r="L6299">
        <f t="shared" si="294"/>
        <v>2024</v>
      </c>
      <c r="M6299" t="str">
        <f t="shared" si="295"/>
        <v>Sep</v>
      </c>
      <c r="N6299" s="2">
        <f t="shared" si="296"/>
        <v>0.14166274874107138</v>
      </c>
    </row>
    <row r="6300" spans="1:14" x14ac:dyDescent="0.45">
      <c r="A6300" t="s">
        <v>10909</v>
      </c>
      <c r="B6300" s="1">
        <v>45632</v>
      </c>
      <c r="C6300" t="s">
        <v>6706</v>
      </c>
      <c r="D6300" t="s">
        <v>56</v>
      </c>
      <c r="E6300" t="s">
        <v>20</v>
      </c>
      <c r="F6300" t="s">
        <v>27</v>
      </c>
      <c r="G6300">
        <v>1</v>
      </c>
      <c r="H6300">
        <v>4406.34</v>
      </c>
      <c r="I6300">
        <v>695</v>
      </c>
      <c r="J6300" t="s">
        <v>47</v>
      </c>
      <c r="K6300" t="s">
        <v>17</v>
      </c>
      <c r="L6300">
        <f t="shared" si="294"/>
        <v>2024</v>
      </c>
      <c r="M6300" t="str">
        <f t="shared" si="295"/>
        <v>Dec</v>
      </c>
      <c r="N6300" s="2">
        <f t="shared" si="296"/>
        <v>0.15772727479041562</v>
      </c>
    </row>
    <row r="6301" spans="1:14" x14ac:dyDescent="0.45">
      <c r="A6301" t="s">
        <v>10910</v>
      </c>
      <c r="B6301" s="1">
        <v>44993</v>
      </c>
      <c r="C6301" t="s">
        <v>8533</v>
      </c>
      <c r="D6301" t="s">
        <v>13</v>
      </c>
      <c r="E6301" t="s">
        <v>20</v>
      </c>
      <c r="F6301" t="s">
        <v>50</v>
      </c>
      <c r="G6301">
        <v>1</v>
      </c>
      <c r="H6301">
        <v>47838.47</v>
      </c>
      <c r="I6301">
        <v>9986.75</v>
      </c>
      <c r="J6301" t="s">
        <v>71</v>
      </c>
      <c r="K6301" t="s">
        <v>33</v>
      </c>
      <c r="L6301">
        <f t="shared" si="294"/>
        <v>2023</v>
      </c>
      <c r="M6301" t="str">
        <f t="shared" si="295"/>
        <v>Mar</v>
      </c>
      <c r="N6301" s="2">
        <f t="shared" si="296"/>
        <v>0.2087598119254232</v>
      </c>
    </row>
    <row r="6302" spans="1:14" x14ac:dyDescent="0.45">
      <c r="A6302" t="s">
        <v>10911</v>
      </c>
      <c r="B6302" s="1">
        <v>45147</v>
      </c>
      <c r="C6302" t="s">
        <v>3191</v>
      </c>
      <c r="D6302" t="s">
        <v>56</v>
      </c>
      <c r="E6302" t="s">
        <v>14</v>
      </c>
      <c r="F6302" t="s">
        <v>15</v>
      </c>
      <c r="G6302">
        <v>3</v>
      </c>
      <c r="H6302">
        <v>39255.9</v>
      </c>
      <c r="I6302">
        <v>5473.82</v>
      </c>
      <c r="J6302" t="s">
        <v>71</v>
      </c>
      <c r="K6302" t="s">
        <v>33</v>
      </c>
      <c r="L6302">
        <f t="shared" si="294"/>
        <v>2023</v>
      </c>
      <c r="M6302" t="str">
        <f t="shared" si="295"/>
        <v>Aug</v>
      </c>
      <c r="N6302" s="2">
        <f t="shared" si="296"/>
        <v>0.13943942184486915</v>
      </c>
    </row>
    <row r="6303" spans="1:14" x14ac:dyDescent="0.45">
      <c r="A6303" t="s">
        <v>10912</v>
      </c>
      <c r="B6303" s="1">
        <v>44992</v>
      </c>
      <c r="C6303" t="s">
        <v>4118</v>
      </c>
      <c r="D6303" t="s">
        <v>56</v>
      </c>
      <c r="E6303" t="s">
        <v>14</v>
      </c>
      <c r="F6303" t="s">
        <v>32</v>
      </c>
      <c r="G6303">
        <v>3</v>
      </c>
      <c r="H6303">
        <v>38961.29</v>
      </c>
      <c r="I6303">
        <v>2296.1999999999998</v>
      </c>
      <c r="J6303" t="s">
        <v>22</v>
      </c>
      <c r="K6303" t="s">
        <v>33</v>
      </c>
      <c r="L6303">
        <f t="shared" si="294"/>
        <v>2023</v>
      </c>
      <c r="M6303" t="str">
        <f t="shared" si="295"/>
        <v>Mar</v>
      </c>
      <c r="N6303" s="2">
        <f t="shared" si="296"/>
        <v>5.8935420259442123E-2</v>
      </c>
    </row>
    <row r="6304" spans="1:14" x14ac:dyDescent="0.45">
      <c r="A6304" t="s">
        <v>10913</v>
      </c>
      <c r="B6304" s="1">
        <v>45019</v>
      </c>
      <c r="C6304" t="s">
        <v>2936</v>
      </c>
      <c r="D6304" t="s">
        <v>26</v>
      </c>
      <c r="E6304" t="s">
        <v>20</v>
      </c>
      <c r="F6304" t="s">
        <v>27</v>
      </c>
      <c r="G6304">
        <v>5</v>
      </c>
      <c r="H6304">
        <v>1285.93</v>
      </c>
      <c r="I6304">
        <v>174.97</v>
      </c>
      <c r="J6304" t="s">
        <v>71</v>
      </c>
      <c r="K6304" t="s">
        <v>33</v>
      </c>
      <c r="L6304">
        <f t="shared" si="294"/>
        <v>2023</v>
      </c>
      <c r="M6304" t="str">
        <f t="shared" si="295"/>
        <v>Apr</v>
      </c>
      <c r="N6304" s="2">
        <f t="shared" si="296"/>
        <v>0.13606494910298383</v>
      </c>
    </row>
    <row r="6305" spans="1:14" x14ac:dyDescent="0.45">
      <c r="A6305" t="s">
        <v>10914</v>
      </c>
      <c r="B6305" s="1">
        <v>45523</v>
      </c>
      <c r="C6305" t="s">
        <v>6048</v>
      </c>
      <c r="D6305" t="s">
        <v>56</v>
      </c>
      <c r="E6305" t="s">
        <v>14</v>
      </c>
      <c r="F6305" t="s">
        <v>15</v>
      </c>
      <c r="G6305">
        <v>4</v>
      </c>
      <c r="H6305">
        <v>42624.32</v>
      </c>
      <c r="I6305">
        <v>7734.92</v>
      </c>
      <c r="J6305" t="s">
        <v>16</v>
      </c>
      <c r="K6305" t="s">
        <v>17</v>
      </c>
      <c r="L6305">
        <f t="shared" si="294"/>
        <v>2024</v>
      </c>
      <c r="M6305" t="str">
        <f t="shared" si="295"/>
        <v>Aug</v>
      </c>
      <c r="N6305" s="2">
        <f t="shared" si="296"/>
        <v>0.18146729378908566</v>
      </c>
    </row>
    <row r="6306" spans="1:14" x14ac:dyDescent="0.45">
      <c r="A6306" t="s">
        <v>10915</v>
      </c>
      <c r="B6306" s="1">
        <v>45090</v>
      </c>
      <c r="C6306" t="s">
        <v>10916</v>
      </c>
      <c r="D6306" t="s">
        <v>13</v>
      </c>
      <c r="E6306" t="s">
        <v>36</v>
      </c>
      <c r="F6306" t="s">
        <v>53</v>
      </c>
      <c r="G6306">
        <v>5</v>
      </c>
      <c r="H6306">
        <v>30858.53</v>
      </c>
      <c r="I6306">
        <v>7497.55</v>
      </c>
      <c r="J6306" t="s">
        <v>71</v>
      </c>
      <c r="K6306" t="s">
        <v>33</v>
      </c>
      <c r="L6306">
        <f t="shared" si="294"/>
        <v>2023</v>
      </c>
      <c r="M6306" t="str">
        <f t="shared" si="295"/>
        <v>Jun</v>
      </c>
      <c r="N6306" s="2">
        <f t="shared" si="296"/>
        <v>0.24296523522021304</v>
      </c>
    </row>
    <row r="6307" spans="1:14" x14ac:dyDescent="0.45">
      <c r="A6307" t="s">
        <v>10917</v>
      </c>
      <c r="B6307" s="1">
        <v>44875</v>
      </c>
      <c r="C6307" t="s">
        <v>10918</v>
      </c>
      <c r="D6307" t="s">
        <v>26</v>
      </c>
      <c r="E6307" t="s">
        <v>14</v>
      </c>
      <c r="F6307" t="s">
        <v>15</v>
      </c>
      <c r="G6307">
        <v>4</v>
      </c>
      <c r="H6307">
        <v>49511.33</v>
      </c>
      <c r="I6307">
        <v>4403.05</v>
      </c>
      <c r="J6307" t="s">
        <v>22</v>
      </c>
      <c r="K6307" t="s">
        <v>17</v>
      </c>
      <c r="L6307">
        <f t="shared" si="294"/>
        <v>2022</v>
      </c>
      <c r="M6307" t="str">
        <f t="shared" si="295"/>
        <v>Nov</v>
      </c>
      <c r="N6307" s="2">
        <f t="shared" si="296"/>
        <v>8.8930149927299473E-2</v>
      </c>
    </row>
    <row r="6308" spans="1:14" x14ac:dyDescent="0.45">
      <c r="A6308" t="s">
        <v>10919</v>
      </c>
      <c r="B6308" s="1">
        <v>45567</v>
      </c>
      <c r="C6308" t="s">
        <v>6394</v>
      </c>
      <c r="D6308" t="s">
        <v>13</v>
      </c>
      <c r="E6308" t="s">
        <v>14</v>
      </c>
      <c r="F6308" t="s">
        <v>32</v>
      </c>
      <c r="G6308">
        <v>2</v>
      </c>
      <c r="H6308">
        <v>25577.42</v>
      </c>
      <c r="I6308">
        <v>5007.6000000000004</v>
      </c>
      <c r="J6308" t="s">
        <v>28</v>
      </c>
      <c r="K6308" t="s">
        <v>29</v>
      </c>
      <c r="L6308">
        <f t="shared" si="294"/>
        <v>2024</v>
      </c>
      <c r="M6308" t="str">
        <f t="shared" si="295"/>
        <v>Oct</v>
      </c>
      <c r="N6308" s="2">
        <f t="shared" si="296"/>
        <v>0.19578206089589961</v>
      </c>
    </row>
    <row r="6309" spans="1:14" x14ac:dyDescent="0.45">
      <c r="A6309" t="s">
        <v>10920</v>
      </c>
      <c r="B6309" s="1">
        <v>44585</v>
      </c>
      <c r="C6309" t="s">
        <v>1780</v>
      </c>
      <c r="D6309" t="s">
        <v>13</v>
      </c>
      <c r="E6309" t="s">
        <v>14</v>
      </c>
      <c r="F6309" t="s">
        <v>57</v>
      </c>
      <c r="G6309">
        <v>1</v>
      </c>
      <c r="H6309">
        <v>9606.8700000000008</v>
      </c>
      <c r="I6309">
        <v>1792.7</v>
      </c>
      <c r="J6309" t="s">
        <v>71</v>
      </c>
      <c r="K6309" t="s">
        <v>17</v>
      </c>
      <c r="L6309">
        <f t="shared" si="294"/>
        <v>2022</v>
      </c>
      <c r="M6309" t="str">
        <f t="shared" si="295"/>
        <v>Jan</v>
      </c>
      <c r="N6309" s="2">
        <f t="shared" si="296"/>
        <v>0.18660604338353698</v>
      </c>
    </row>
    <row r="6310" spans="1:14" x14ac:dyDescent="0.45">
      <c r="A6310" t="s">
        <v>10921</v>
      </c>
      <c r="B6310" s="1">
        <v>45636</v>
      </c>
      <c r="C6310" t="s">
        <v>5556</v>
      </c>
      <c r="D6310" t="s">
        <v>56</v>
      </c>
      <c r="E6310" t="s">
        <v>20</v>
      </c>
      <c r="F6310" t="s">
        <v>27</v>
      </c>
      <c r="G6310">
        <v>4</v>
      </c>
      <c r="H6310">
        <v>11217.83</v>
      </c>
      <c r="I6310">
        <v>2322.64</v>
      </c>
      <c r="J6310" t="s">
        <v>22</v>
      </c>
      <c r="K6310" t="s">
        <v>23</v>
      </c>
      <c r="L6310">
        <f t="shared" si="294"/>
        <v>2024</v>
      </c>
      <c r="M6310" t="str">
        <f t="shared" si="295"/>
        <v>Dec</v>
      </c>
      <c r="N6310" s="2">
        <f t="shared" si="296"/>
        <v>0.20704895688381797</v>
      </c>
    </row>
    <row r="6311" spans="1:14" x14ac:dyDescent="0.45">
      <c r="A6311" t="s">
        <v>10922</v>
      </c>
      <c r="B6311" s="1">
        <v>45140</v>
      </c>
      <c r="C6311" t="s">
        <v>10923</v>
      </c>
      <c r="D6311" t="s">
        <v>56</v>
      </c>
      <c r="E6311" t="s">
        <v>20</v>
      </c>
      <c r="F6311" t="s">
        <v>50</v>
      </c>
      <c r="G6311">
        <v>2</v>
      </c>
      <c r="H6311">
        <v>5629.13</v>
      </c>
      <c r="I6311">
        <v>475.5</v>
      </c>
      <c r="J6311" t="s">
        <v>71</v>
      </c>
      <c r="K6311" t="s">
        <v>17</v>
      </c>
      <c r="L6311">
        <f t="shared" si="294"/>
        <v>2023</v>
      </c>
      <c r="M6311" t="str">
        <f t="shared" si="295"/>
        <v>Aug</v>
      </c>
      <c r="N6311" s="2">
        <f t="shared" si="296"/>
        <v>8.4471312618468575E-2</v>
      </c>
    </row>
    <row r="6312" spans="1:14" x14ac:dyDescent="0.45">
      <c r="A6312" t="s">
        <v>10924</v>
      </c>
      <c r="B6312" s="1">
        <v>45337</v>
      </c>
      <c r="C6312" t="s">
        <v>2656</v>
      </c>
      <c r="D6312" t="s">
        <v>13</v>
      </c>
      <c r="E6312" t="s">
        <v>14</v>
      </c>
      <c r="F6312" t="s">
        <v>40</v>
      </c>
      <c r="G6312">
        <v>4</v>
      </c>
      <c r="H6312">
        <v>14730.94</v>
      </c>
      <c r="I6312">
        <v>2126.9899999999998</v>
      </c>
      <c r="J6312" t="s">
        <v>71</v>
      </c>
      <c r="K6312" t="s">
        <v>23</v>
      </c>
      <c r="L6312">
        <f t="shared" si="294"/>
        <v>2024</v>
      </c>
      <c r="M6312" t="str">
        <f t="shared" si="295"/>
        <v>Feb</v>
      </c>
      <c r="N6312" s="2">
        <f t="shared" si="296"/>
        <v>0.14438929219723926</v>
      </c>
    </row>
    <row r="6313" spans="1:14" x14ac:dyDescent="0.45">
      <c r="A6313" t="s">
        <v>10925</v>
      </c>
      <c r="B6313" s="1">
        <v>45344</v>
      </c>
      <c r="C6313" t="s">
        <v>10926</v>
      </c>
      <c r="D6313" t="s">
        <v>13</v>
      </c>
      <c r="E6313" t="s">
        <v>36</v>
      </c>
      <c r="F6313" t="s">
        <v>37</v>
      </c>
      <c r="G6313">
        <v>2</v>
      </c>
      <c r="H6313">
        <v>19921.63</v>
      </c>
      <c r="I6313">
        <v>4534.4399999999996</v>
      </c>
      <c r="J6313" t="s">
        <v>16</v>
      </c>
      <c r="K6313" t="s">
        <v>29</v>
      </c>
      <c r="L6313">
        <f t="shared" si="294"/>
        <v>2024</v>
      </c>
      <c r="M6313" t="str">
        <f t="shared" si="295"/>
        <v>Feb</v>
      </c>
      <c r="N6313" s="2">
        <f t="shared" si="296"/>
        <v>0.22761390508708371</v>
      </c>
    </row>
    <row r="6314" spans="1:14" x14ac:dyDescent="0.45">
      <c r="A6314" t="s">
        <v>10927</v>
      </c>
      <c r="B6314" s="1">
        <v>45112</v>
      </c>
      <c r="C6314" t="s">
        <v>10928</v>
      </c>
      <c r="D6314" t="s">
        <v>56</v>
      </c>
      <c r="E6314" t="s">
        <v>14</v>
      </c>
      <c r="F6314" t="s">
        <v>15</v>
      </c>
      <c r="G6314">
        <v>2</v>
      </c>
      <c r="H6314">
        <v>30563.99</v>
      </c>
      <c r="I6314">
        <v>7185.26</v>
      </c>
      <c r="J6314" t="s">
        <v>28</v>
      </c>
      <c r="K6314" t="s">
        <v>17</v>
      </c>
      <c r="L6314">
        <f t="shared" si="294"/>
        <v>2023</v>
      </c>
      <c r="M6314" t="str">
        <f t="shared" si="295"/>
        <v>Jul</v>
      </c>
      <c r="N6314" s="2">
        <f t="shared" si="296"/>
        <v>0.23508907050421099</v>
      </c>
    </row>
    <row r="6315" spans="1:14" x14ac:dyDescent="0.45">
      <c r="A6315" t="s">
        <v>10929</v>
      </c>
      <c r="B6315" s="1">
        <v>45255</v>
      </c>
      <c r="C6315" t="s">
        <v>10930</v>
      </c>
      <c r="D6315" t="s">
        <v>26</v>
      </c>
      <c r="E6315" t="s">
        <v>36</v>
      </c>
      <c r="F6315" t="s">
        <v>37</v>
      </c>
      <c r="G6315">
        <v>4</v>
      </c>
      <c r="H6315">
        <v>34938.519999999997</v>
      </c>
      <c r="I6315">
        <v>6708.72</v>
      </c>
      <c r="J6315" t="s">
        <v>22</v>
      </c>
      <c r="K6315" t="s">
        <v>23</v>
      </c>
      <c r="L6315">
        <f t="shared" si="294"/>
        <v>2023</v>
      </c>
      <c r="M6315" t="str">
        <f t="shared" si="295"/>
        <v>Nov</v>
      </c>
      <c r="N6315" s="2">
        <f t="shared" si="296"/>
        <v>0.19201500235270413</v>
      </c>
    </row>
    <row r="6316" spans="1:14" x14ac:dyDescent="0.45">
      <c r="A6316" t="s">
        <v>10931</v>
      </c>
      <c r="B6316" s="1">
        <v>44833</v>
      </c>
      <c r="C6316" t="s">
        <v>10932</v>
      </c>
      <c r="D6316" t="s">
        <v>26</v>
      </c>
      <c r="E6316" t="s">
        <v>14</v>
      </c>
      <c r="F6316" t="s">
        <v>32</v>
      </c>
      <c r="G6316">
        <v>3</v>
      </c>
      <c r="H6316">
        <v>31686.48</v>
      </c>
      <c r="I6316">
        <v>5702.54</v>
      </c>
      <c r="J6316" t="s">
        <v>16</v>
      </c>
      <c r="K6316" t="s">
        <v>23</v>
      </c>
      <c r="L6316">
        <f t="shared" si="294"/>
        <v>2022</v>
      </c>
      <c r="M6316" t="str">
        <f t="shared" si="295"/>
        <v>Sep</v>
      </c>
      <c r="N6316" s="2">
        <f t="shared" si="296"/>
        <v>0.17996760763581188</v>
      </c>
    </row>
    <row r="6317" spans="1:14" x14ac:dyDescent="0.45">
      <c r="A6317" t="s">
        <v>10933</v>
      </c>
      <c r="B6317" s="1">
        <v>44898</v>
      </c>
      <c r="C6317" t="s">
        <v>7534</v>
      </c>
      <c r="D6317" t="s">
        <v>56</v>
      </c>
      <c r="E6317" t="s">
        <v>36</v>
      </c>
      <c r="F6317" t="s">
        <v>53</v>
      </c>
      <c r="G6317">
        <v>2</v>
      </c>
      <c r="H6317">
        <v>46447.96</v>
      </c>
      <c r="I6317">
        <v>6699.88</v>
      </c>
      <c r="J6317" t="s">
        <v>22</v>
      </c>
      <c r="K6317" t="s">
        <v>33</v>
      </c>
      <c r="L6317">
        <f t="shared" si="294"/>
        <v>2022</v>
      </c>
      <c r="M6317" t="str">
        <f t="shared" si="295"/>
        <v>Dec</v>
      </c>
      <c r="N6317" s="2">
        <f t="shared" si="296"/>
        <v>0.14424487103416384</v>
      </c>
    </row>
    <row r="6318" spans="1:14" x14ac:dyDescent="0.45">
      <c r="A6318" t="s">
        <v>10934</v>
      </c>
      <c r="B6318" s="1">
        <v>45569</v>
      </c>
      <c r="C6318" t="s">
        <v>10935</v>
      </c>
      <c r="D6318" t="s">
        <v>26</v>
      </c>
      <c r="E6318" t="s">
        <v>20</v>
      </c>
      <c r="F6318" t="s">
        <v>43</v>
      </c>
      <c r="G6318">
        <v>5</v>
      </c>
      <c r="H6318">
        <v>14506.47</v>
      </c>
      <c r="I6318">
        <v>2516.46</v>
      </c>
      <c r="J6318" t="s">
        <v>71</v>
      </c>
      <c r="K6318" t="s">
        <v>23</v>
      </c>
      <c r="L6318">
        <f t="shared" si="294"/>
        <v>2024</v>
      </c>
      <c r="M6318" t="str">
        <f t="shared" si="295"/>
        <v>Oct</v>
      </c>
      <c r="N6318" s="2">
        <f t="shared" si="296"/>
        <v>0.17347156131022917</v>
      </c>
    </row>
    <row r="6319" spans="1:14" x14ac:dyDescent="0.45">
      <c r="A6319" t="s">
        <v>10936</v>
      </c>
      <c r="B6319" s="1">
        <v>44856</v>
      </c>
      <c r="C6319" t="s">
        <v>2602</v>
      </c>
      <c r="D6319" t="s">
        <v>56</v>
      </c>
      <c r="E6319" t="s">
        <v>14</v>
      </c>
      <c r="F6319" t="s">
        <v>40</v>
      </c>
      <c r="G6319">
        <v>3</v>
      </c>
      <c r="H6319">
        <v>33578.71</v>
      </c>
      <c r="I6319">
        <v>7137.96</v>
      </c>
      <c r="J6319" t="s">
        <v>16</v>
      </c>
      <c r="K6319" t="s">
        <v>33</v>
      </c>
      <c r="L6319">
        <f t="shared" si="294"/>
        <v>2022</v>
      </c>
      <c r="M6319" t="str">
        <f t="shared" si="295"/>
        <v>Oct</v>
      </c>
      <c r="N6319" s="2">
        <f t="shared" si="296"/>
        <v>0.21257397916715681</v>
      </c>
    </row>
    <row r="6320" spans="1:14" x14ac:dyDescent="0.45">
      <c r="A6320" t="s">
        <v>10937</v>
      </c>
      <c r="B6320" s="1">
        <v>45558</v>
      </c>
      <c r="C6320" t="s">
        <v>5725</v>
      </c>
      <c r="D6320" t="s">
        <v>26</v>
      </c>
      <c r="E6320" t="s">
        <v>36</v>
      </c>
      <c r="F6320" t="s">
        <v>37</v>
      </c>
      <c r="G6320">
        <v>2</v>
      </c>
      <c r="H6320">
        <v>31815.06</v>
      </c>
      <c r="I6320">
        <v>5470.6</v>
      </c>
      <c r="J6320" t="s">
        <v>22</v>
      </c>
      <c r="K6320" t="s">
        <v>17</v>
      </c>
      <c r="L6320">
        <f t="shared" si="294"/>
        <v>2024</v>
      </c>
      <c r="M6320" t="str">
        <f t="shared" si="295"/>
        <v>Sep</v>
      </c>
      <c r="N6320" s="2">
        <f t="shared" si="296"/>
        <v>0.17195001360990675</v>
      </c>
    </row>
    <row r="6321" spans="1:14" x14ac:dyDescent="0.45">
      <c r="A6321" t="s">
        <v>10938</v>
      </c>
      <c r="B6321" s="1">
        <v>44568</v>
      </c>
      <c r="C6321" t="s">
        <v>10939</v>
      </c>
      <c r="D6321" t="s">
        <v>13</v>
      </c>
      <c r="E6321" t="s">
        <v>14</v>
      </c>
      <c r="F6321" t="s">
        <v>32</v>
      </c>
      <c r="G6321">
        <v>2</v>
      </c>
      <c r="H6321">
        <v>15910.97</v>
      </c>
      <c r="I6321">
        <v>3892.74</v>
      </c>
      <c r="J6321" t="s">
        <v>47</v>
      </c>
      <c r="K6321" t="s">
        <v>29</v>
      </c>
      <c r="L6321">
        <f t="shared" si="294"/>
        <v>2022</v>
      </c>
      <c r="M6321" t="str">
        <f t="shared" si="295"/>
        <v>Jan</v>
      </c>
      <c r="N6321" s="2">
        <f t="shared" si="296"/>
        <v>0.24465761672607012</v>
      </c>
    </row>
    <row r="6322" spans="1:14" x14ac:dyDescent="0.45">
      <c r="A6322" t="s">
        <v>10940</v>
      </c>
      <c r="B6322" s="1">
        <v>44656</v>
      </c>
      <c r="C6322" t="s">
        <v>3974</v>
      </c>
      <c r="D6322" t="s">
        <v>56</v>
      </c>
      <c r="E6322" t="s">
        <v>36</v>
      </c>
      <c r="F6322" t="s">
        <v>53</v>
      </c>
      <c r="G6322">
        <v>1</v>
      </c>
      <c r="H6322">
        <v>32022.400000000001</v>
      </c>
      <c r="I6322">
        <v>6145.21</v>
      </c>
      <c r="J6322" t="s">
        <v>47</v>
      </c>
      <c r="K6322" t="s">
        <v>23</v>
      </c>
      <c r="L6322">
        <f t="shared" si="294"/>
        <v>2022</v>
      </c>
      <c r="M6322" t="str">
        <f t="shared" si="295"/>
        <v>Apr</v>
      </c>
      <c r="N6322" s="2">
        <f t="shared" si="296"/>
        <v>0.19190348006395522</v>
      </c>
    </row>
    <row r="6323" spans="1:14" x14ac:dyDescent="0.45">
      <c r="A6323" t="s">
        <v>10941</v>
      </c>
      <c r="B6323" s="1">
        <v>45358</v>
      </c>
      <c r="C6323" t="s">
        <v>234</v>
      </c>
      <c r="D6323" t="s">
        <v>26</v>
      </c>
      <c r="E6323" t="s">
        <v>36</v>
      </c>
      <c r="F6323" t="s">
        <v>37</v>
      </c>
      <c r="G6323">
        <v>1</v>
      </c>
      <c r="H6323">
        <v>7893.89</v>
      </c>
      <c r="I6323">
        <v>1827.9</v>
      </c>
      <c r="J6323" t="s">
        <v>47</v>
      </c>
      <c r="K6323" t="s">
        <v>17</v>
      </c>
      <c r="L6323">
        <f t="shared" si="294"/>
        <v>2024</v>
      </c>
      <c r="M6323" t="str">
        <f t="shared" si="295"/>
        <v>Mar</v>
      </c>
      <c r="N6323" s="2">
        <f t="shared" si="296"/>
        <v>0.2315588385447479</v>
      </c>
    </row>
    <row r="6324" spans="1:14" x14ac:dyDescent="0.45">
      <c r="A6324" t="s">
        <v>10942</v>
      </c>
      <c r="B6324" s="1">
        <v>44569</v>
      </c>
      <c r="C6324" t="s">
        <v>10943</v>
      </c>
      <c r="D6324" t="s">
        <v>26</v>
      </c>
      <c r="E6324" t="s">
        <v>20</v>
      </c>
      <c r="F6324" t="s">
        <v>21</v>
      </c>
      <c r="G6324">
        <v>1</v>
      </c>
      <c r="H6324">
        <v>2770.81</v>
      </c>
      <c r="I6324">
        <v>506.91</v>
      </c>
      <c r="J6324" t="s">
        <v>47</v>
      </c>
      <c r="K6324" t="s">
        <v>17</v>
      </c>
      <c r="L6324">
        <f t="shared" si="294"/>
        <v>2022</v>
      </c>
      <c r="M6324" t="str">
        <f t="shared" si="295"/>
        <v>Jan</v>
      </c>
      <c r="N6324" s="2">
        <f t="shared" si="296"/>
        <v>0.18294650300814563</v>
      </c>
    </row>
    <row r="6325" spans="1:14" x14ac:dyDescent="0.45">
      <c r="A6325" t="s">
        <v>10944</v>
      </c>
      <c r="B6325" s="1">
        <v>44908</v>
      </c>
      <c r="C6325" t="s">
        <v>3162</v>
      </c>
      <c r="D6325" t="s">
        <v>26</v>
      </c>
      <c r="E6325" t="s">
        <v>14</v>
      </c>
      <c r="F6325" t="s">
        <v>57</v>
      </c>
      <c r="G6325">
        <v>2</v>
      </c>
      <c r="H6325">
        <v>44942.29</v>
      </c>
      <c r="I6325">
        <v>8816.2199999999993</v>
      </c>
      <c r="J6325" t="s">
        <v>71</v>
      </c>
      <c r="K6325" t="s">
        <v>17</v>
      </c>
      <c r="L6325">
        <f t="shared" si="294"/>
        <v>2022</v>
      </c>
      <c r="M6325" t="str">
        <f t="shared" si="295"/>
        <v>Dec</v>
      </c>
      <c r="N6325" s="2">
        <f t="shared" si="296"/>
        <v>0.19616757401547627</v>
      </c>
    </row>
    <row r="6326" spans="1:14" x14ac:dyDescent="0.45">
      <c r="A6326" t="s">
        <v>10945</v>
      </c>
      <c r="B6326" s="1">
        <v>44996</v>
      </c>
      <c r="C6326" t="s">
        <v>5073</v>
      </c>
      <c r="D6326" t="s">
        <v>56</v>
      </c>
      <c r="E6326" t="s">
        <v>20</v>
      </c>
      <c r="F6326" t="s">
        <v>43</v>
      </c>
      <c r="G6326">
        <v>4</v>
      </c>
      <c r="H6326">
        <v>45125.46</v>
      </c>
      <c r="I6326">
        <v>6682.81</v>
      </c>
      <c r="J6326" t="s">
        <v>22</v>
      </c>
      <c r="K6326" t="s">
        <v>33</v>
      </c>
      <c r="L6326">
        <f t="shared" si="294"/>
        <v>2023</v>
      </c>
      <c r="M6326" t="str">
        <f t="shared" si="295"/>
        <v>Mar</v>
      </c>
      <c r="N6326" s="2">
        <f t="shared" si="296"/>
        <v>0.14809400280905724</v>
      </c>
    </row>
    <row r="6327" spans="1:14" x14ac:dyDescent="0.45">
      <c r="A6327" t="s">
        <v>10946</v>
      </c>
      <c r="B6327" s="1">
        <v>45484</v>
      </c>
      <c r="C6327" t="s">
        <v>10926</v>
      </c>
      <c r="D6327" t="s">
        <v>13</v>
      </c>
      <c r="E6327" t="s">
        <v>14</v>
      </c>
      <c r="F6327" t="s">
        <v>40</v>
      </c>
      <c r="G6327">
        <v>3</v>
      </c>
      <c r="H6327">
        <v>14357.89</v>
      </c>
      <c r="I6327">
        <v>1619.19</v>
      </c>
      <c r="J6327" t="s">
        <v>16</v>
      </c>
      <c r="K6327" t="s">
        <v>29</v>
      </c>
      <c r="L6327">
        <f t="shared" si="294"/>
        <v>2024</v>
      </c>
      <c r="M6327" t="str">
        <f t="shared" si="295"/>
        <v>Jul</v>
      </c>
      <c r="N6327" s="2">
        <f t="shared" si="296"/>
        <v>0.11277353427279357</v>
      </c>
    </row>
    <row r="6328" spans="1:14" x14ac:dyDescent="0.45">
      <c r="A6328" t="s">
        <v>10947</v>
      </c>
      <c r="B6328" s="1">
        <v>45264</v>
      </c>
      <c r="C6328" t="s">
        <v>10213</v>
      </c>
      <c r="D6328" t="s">
        <v>56</v>
      </c>
      <c r="E6328" t="s">
        <v>20</v>
      </c>
      <c r="F6328" t="s">
        <v>21</v>
      </c>
      <c r="G6328">
        <v>5</v>
      </c>
      <c r="H6328">
        <v>21522.58</v>
      </c>
      <c r="I6328">
        <v>5048.88</v>
      </c>
      <c r="J6328" t="s">
        <v>22</v>
      </c>
      <c r="K6328" t="s">
        <v>23</v>
      </c>
      <c r="L6328">
        <f t="shared" si="294"/>
        <v>2023</v>
      </c>
      <c r="M6328" t="str">
        <f t="shared" si="295"/>
        <v>Dec</v>
      </c>
      <c r="N6328" s="2">
        <f t="shared" si="296"/>
        <v>0.23458525883049336</v>
      </c>
    </row>
    <row r="6329" spans="1:14" x14ac:dyDescent="0.45">
      <c r="A6329" t="s">
        <v>10948</v>
      </c>
      <c r="B6329" s="1">
        <v>45341</v>
      </c>
      <c r="C6329" t="s">
        <v>10949</v>
      </c>
      <c r="D6329" t="s">
        <v>56</v>
      </c>
      <c r="E6329" t="s">
        <v>20</v>
      </c>
      <c r="F6329" t="s">
        <v>27</v>
      </c>
      <c r="G6329">
        <v>2</v>
      </c>
      <c r="H6329">
        <v>30987.85</v>
      </c>
      <c r="I6329">
        <v>1665.55</v>
      </c>
      <c r="J6329" t="s">
        <v>22</v>
      </c>
      <c r="K6329" t="s">
        <v>17</v>
      </c>
      <c r="L6329">
        <f t="shared" si="294"/>
        <v>2024</v>
      </c>
      <c r="M6329" t="str">
        <f t="shared" si="295"/>
        <v>Feb</v>
      </c>
      <c r="N6329" s="2">
        <f t="shared" si="296"/>
        <v>5.3748485293429522E-2</v>
      </c>
    </row>
    <row r="6330" spans="1:14" x14ac:dyDescent="0.45">
      <c r="A6330" t="s">
        <v>10950</v>
      </c>
      <c r="B6330" s="1">
        <v>45086</v>
      </c>
      <c r="C6330" t="s">
        <v>10951</v>
      </c>
      <c r="D6330" t="s">
        <v>56</v>
      </c>
      <c r="E6330" t="s">
        <v>14</v>
      </c>
      <c r="F6330" t="s">
        <v>57</v>
      </c>
      <c r="G6330">
        <v>1</v>
      </c>
      <c r="H6330">
        <v>8266.06</v>
      </c>
      <c r="I6330">
        <v>1504.8</v>
      </c>
      <c r="J6330" t="s">
        <v>16</v>
      </c>
      <c r="K6330" t="s">
        <v>29</v>
      </c>
      <c r="L6330">
        <f t="shared" si="294"/>
        <v>2023</v>
      </c>
      <c r="M6330" t="str">
        <f t="shared" si="295"/>
        <v>Jun</v>
      </c>
      <c r="N6330" s="2">
        <f t="shared" si="296"/>
        <v>0.18204561786389162</v>
      </c>
    </row>
    <row r="6331" spans="1:14" x14ac:dyDescent="0.45">
      <c r="A6331" t="s">
        <v>10952</v>
      </c>
      <c r="B6331" s="1">
        <v>45568</v>
      </c>
      <c r="C6331" t="s">
        <v>10953</v>
      </c>
      <c r="D6331" t="s">
        <v>56</v>
      </c>
      <c r="E6331" t="s">
        <v>14</v>
      </c>
      <c r="F6331" t="s">
        <v>32</v>
      </c>
      <c r="G6331">
        <v>2</v>
      </c>
      <c r="H6331">
        <v>2452.52</v>
      </c>
      <c r="I6331">
        <v>594.80999999999995</v>
      </c>
      <c r="J6331" t="s">
        <v>71</v>
      </c>
      <c r="K6331" t="s">
        <v>29</v>
      </c>
      <c r="L6331">
        <f t="shared" si="294"/>
        <v>2024</v>
      </c>
      <c r="M6331" t="str">
        <f t="shared" si="295"/>
        <v>Oct</v>
      </c>
      <c r="N6331" s="2">
        <f t="shared" si="296"/>
        <v>0.24253013227211193</v>
      </c>
    </row>
    <row r="6332" spans="1:14" x14ac:dyDescent="0.45">
      <c r="A6332" t="s">
        <v>10954</v>
      </c>
      <c r="B6332" s="1">
        <v>44585</v>
      </c>
      <c r="C6332" t="s">
        <v>10955</v>
      </c>
      <c r="D6332" t="s">
        <v>13</v>
      </c>
      <c r="E6332" t="s">
        <v>20</v>
      </c>
      <c r="F6332" t="s">
        <v>50</v>
      </c>
      <c r="G6332">
        <v>4</v>
      </c>
      <c r="H6332">
        <v>35957.379999999997</v>
      </c>
      <c r="I6332">
        <v>6396.19</v>
      </c>
      <c r="J6332" t="s">
        <v>16</v>
      </c>
      <c r="K6332" t="s">
        <v>29</v>
      </c>
      <c r="L6332">
        <f t="shared" si="294"/>
        <v>2022</v>
      </c>
      <c r="M6332" t="str">
        <f t="shared" si="295"/>
        <v>Jan</v>
      </c>
      <c r="N6332" s="2">
        <f t="shared" si="296"/>
        <v>0.17788253760424147</v>
      </c>
    </row>
    <row r="6333" spans="1:14" x14ac:dyDescent="0.45">
      <c r="A6333" t="s">
        <v>10956</v>
      </c>
      <c r="B6333" s="1">
        <v>45256</v>
      </c>
      <c r="C6333" t="s">
        <v>7591</v>
      </c>
      <c r="D6333" t="s">
        <v>13</v>
      </c>
      <c r="E6333" t="s">
        <v>36</v>
      </c>
      <c r="F6333" t="s">
        <v>46</v>
      </c>
      <c r="G6333">
        <v>1</v>
      </c>
      <c r="H6333">
        <v>19216.95</v>
      </c>
      <c r="I6333">
        <v>1396.57</v>
      </c>
      <c r="J6333" t="s">
        <v>71</v>
      </c>
      <c r="K6333" t="s">
        <v>17</v>
      </c>
      <c r="L6333">
        <f t="shared" si="294"/>
        <v>2023</v>
      </c>
      <c r="M6333" t="str">
        <f t="shared" si="295"/>
        <v>Nov</v>
      </c>
      <c r="N6333" s="2">
        <f t="shared" si="296"/>
        <v>7.2673863438266734E-2</v>
      </c>
    </row>
    <row r="6334" spans="1:14" x14ac:dyDescent="0.45">
      <c r="A6334" t="s">
        <v>10957</v>
      </c>
      <c r="B6334" s="1">
        <v>44671</v>
      </c>
      <c r="C6334" t="s">
        <v>4741</v>
      </c>
      <c r="D6334" t="s">
        <v>13</v>
      </c>
      <c r="E6334" t="s">
        <v>20</v>
      </c>
      <c r="F6334" t="s">
        <v>21</v>
      </c>
      <c r="G6334">
        <v>3</v>
      </c>
      <c r="H6334">
        <v>36510.839999999997</v>
      </c>
      <c r="I6334">
        <v>1978.51</v>
      </c>
      <c r="J6334" t="s">
        <v>71</v>
      </c>
      <c r="K6334" t="s">
        <v>29</v>
      </c>
      <c r="L6334">
        <f t="shared" si="294"/>
        <v>2022</v>
      </c>
      <c r="M6334" t="str">
        <f t="shared" si="295"/>
        <v>Apr</v>
      </c>
      <c r="N6334" s="2">
        <f t="shared" si="296"/>
        <v>5.418965983800976E-2</v>
      </c>
    </row>
    <row r="6335" spans="1:14" x14ac:dyDescent="0.45">
      <c r="A6335" t="s">
        <v>10958</v>
      </c>
      <c r="B6335" s="1">
        <v>44865</v>
      </c>
      <c r="C6335" t="s">
        <v>1344</v>
      </c>
      <c r="D6335" t="s">
        <v>13</v>
      </c>
      <c r="E6335" t="s">
        <v>36</v>
      </c>
      <c r="F6335" t="s">
        <v>64</v>
      </c>
      <c r="G6335">
        <v>2</v>
      </c>
      <c r="H6335">
        <v>39710.18</v>
      </c>
      <c r="I6335">
        <v>3393.67</v>
      </c>
      <c r="J6335" t="s">
        <v>47</v>
      </c>
      <c r="K6335" t="s">
        <v>17</v>
      </c>
      <c r="L6335">
        <f t="shared" si="294"/>
        <v>2022</v>
      </c>
      <c r="M6335" t="str">
        <f t="shared" si="295"/>
        <v>Oct</v>
      </c>
      <c r="N6335" s="2">
        <f t="shared" si="296"/>
        <v>8.5460957366599699E-2</v>
      </c>
    </row>
    <row r="6336" spans="1:14" x14ac:dyDescent="0.45">
      <c r="A6336" t="s">
        <v>10959</v>
      </c>
      <c r="B6336" s="1">
        <v>44767</v>
      </c>
      <c r="C6336" t="s">
        <v>4869</v>
      </c>
      <c r="D6336" t="s">
        <v>13</v>
      </c>
      <c r="E6336" t="s">
        <v>14</v>
      </c>
      <c r="F6336" t="s">
        <v>15</v>
      </c>
      <c r="G6336">
        <v>1</v>
      </c>
      <c r="H6336">
        <v>43550.89</v>
      </c>
      <c r="I6336">
        <v>4555.8</v>
      </c>
      <c r="J6336" t="s">
        <v>16</v>
      </c>
      <c r="K6336" t="s">
        <v>17</v>
      </c>
      <c r="L6336">
        <f t="shared" si="294"/>
        <v>2022</v>
      </c>
      <c r="M6336" t="str">
        <f t="shared" si="295"/>
        <v>Jul</v>
      </c>
      <c r="N6336" s="2">
        <f t="shared" si="296"/>
        <v>0.10460865438111598</v>
      </c>
    </row>
    <row r="6337" spans="1:14" x14ac:dyDescent="0.45">
      <c r="A6337" t="s">
        <v>10960</v>
      </c>
      <c r="B6337" s="1">
        <v>45346</v>
      </c>
      <c r="C6337" t="s">
        <v>10961</v>
      </c>
      <c r="D6337" t="s">
        <v>56</v>
      </c>
      <c r="E6337" t="s">
        <v>14</v>
      </c>
      <c r="F6337" t="s">
        <v>40</v>
      </c>
      <c r="G6337">
        <v>2</v>
      </c>
      <c r="H6337">
        <v>42581.52</v>
      </c>
      <c r="I6337">
        <v>2942.66</v>
      </c>
      <c r="J6337" t="s">
        <v>71</v>
      </c>
      <c r="K6337" t="s">
        <v>33</v>
      </c>
      <c r="L6337">
        <f t="shared" si="294"/>
        <v>2024</v>
      </c>
      <c r="M6337" t="str">
        <f t="shared" si="295"/>
        <v>Feb</v>
      </c>
      <c r="N6337" s="2">
        <f t="shared" si="296"/>
        <v>6.9106504417878925E-2</v>
      </c>
    </row>
    <row r="6338" spans="1:14" x14ac:dyDescent="0.45">
      <c r="A6338" t="s">
        <v>10962</v>
      </c>
      <c r="B6338" s="1">
        <v>44563</v>
      </c>
      <c r="C6338" t="s">
        <v>3238</v>
      </c>
      <c r="D6338" t="s">
        <v>26</v>
      </c>
      <c r="E6338" t="s">
        <v>36</v>
      </c>
      <c r="F6338" t="s">
        <v>53</v>
      </c>
      <c r="G6338">
        <v>2</v>
      </c>
      <c r="H6338">
        <v>47190.29</v>
      </c>
      <c r="I6338">
        <v>3245.12</v>
      </c>
      <c r="J6338" t="s">
        <v>71</v>
      </c>
      <c r="K6338" t="s">
        <v>33</v>
      </c>
      <c r="L6338">
        <f t="shared" si="294"/>
        <v>2022</v>
      </c>
      <c r="M6338" t="str">
        <f t="shared" si="295"/>
        <v>Jan</v>
      </c>
      <c r="N6338" s="2">
        <f t="shared" si="296"/>
        <v>6.876668907946952E-2</v>
      </c>
    </row>
    <row r="6339" spans="1:14" x14ac:dyDescent="0.45">
      <c r="A6339" t="s">
        <v>10963</v>
      </c>
      <c r="B6339" s="1">
        <v>45419</v>
      </c>
      <c r="C6339" t="s">
        <v>10964</v>
      </c>
      <c r="D6339" t="s">
        <v>26</v>
      </c>
      <c r="E6339" t="s">
        <v>36</v>
      </c>
      <c r="F6339" t="s">
        <v>37</v>
      </c>
      <c r="G6339">
        <v>2</v>
      </c>
      <c r="H6339">
        <v>39545.75</v>
      </c>
      <c r="I6339">
        <v>7554.44</v>
      </c>
      <c r="J6339" t="s">
        <v>28</v>
      </c>
      <c r="K6339" t="s">
        <v>33</v>
      </c>
      <c r="L6339">
        <f t="shared" ref="L6339:L6402" si="297">YEAR(B6339 )</f>
        <v>2024</v>
      </c>
      <c r="M6339" t="str">
        <f t="shared" ref="M6339:M6402" si="298">TEXT(B6339,"MMM")</f>
        <v>May</v>
      </c>
      <c r="N6339" s="2">
        <f t="shared" ref="N6339:N6402" si="299">I6339 / H6339</f>
        <v>0.19103038885341661</v>
      </c>
    </row>
    <row r="6340" spans="1:14" x14ac:dyDescent="0.45">
      <c r="A6340" t="s">
        <v>10965</v>
      </c>
      <c r="B6340" s="1">
        <v>45314</v>
      </c>
      <c r="C6340" t="s">
        <v>10966</v>
      </c>
      <c r="D6340" t="s">
        <v>13</v>
      </c>
      <c r="E6340" t="s">
        <v>36</v>
      </c>
      <c r="F6340" t="s">
        <v>53</v>
      </c>
      <c r="G6340">
        <v>5</v>
      </c>
      <c r="H6340">
        <v>49234.15</v>
      </c>
      <c r="I6340">
        <v>3446.46</v>
      </c>
      <c r="J6340" t="s">
        <v>47</v>
      </c>
      <c r="K6340" t="s">
        <v>23</v>
      </c>
      <c r="L6340">
        <f t="shared" si="297"/>
        <v>2024</v>
      </c>
      <c r="M6340" t="str">
        <f t="shared" si="298"/>
        <v>Jan</v>
      </c>
      <c r="N6340" s="2">
        <f t="shared" si="299"/>
        <v>7.0001411621811283E-2</v>
      </c>
    </row>
    <row r="6341" spans="1:14" x14ac:dyDescent="0.45">
      <c r="A6341" t="s">
        <v>10967</v>
      </c>
      <c r="B6341" s="1">
        <v>44716</v>
      </c>
      <c r="C6341" t="s">
        <v>10968</v>
      </c>
      <c r="D6341" t="s">
        <v>56</v>
      </c>
      <c r="E6341" t="s">
        <v>20</v>
      </c>
      <c r="F6341" t="s">
        <v>27</v>
      </c>
      <c r="G6341">
        <v>1</v>
      </c>
      <c r="H6341">
        <v>26939.06</v>
      </c>
      <c r="I6341">
        <v>3263.24</v>
      </c>
      <c r="J6341" t="s">
        <v>47</v>
      </c>
      <c r="K6341" t="s">
        <v>17</v>
      </c>
      <c r="L6341">
        <f t="shared" si="297"/>
        <v>2022</v>
      </c>
      <c r="M6341" t="str">
        <f t="shared" si="298"/>
        <v>Jun</v>
      </c>
      <c r="N6341" s="2">
        <f t="shared" si="299"/>
        <v>0.12113414499243848</v>
      </c>
    </row>
    <row r="6342" spans="1:14" x14ac:dyDescent="0.45">
      <c r="A6342" t="s">
        <v>10969</v>
      </c>
      <c r="B6342" s="1">
        <v>45040</v>
      </c>
      <c r="C6342" t="s">
        <v>1428</v>
      </c>
      <c r="D6342" t="s">
        <v>13</v>
      </c>
      <c r="E6342" t="s">
        <v>14</v>
      </c>
      <c r="F6342" t="s">
        <v>40</v>
      </c>
      <c r="G6342">
        <v>5</v>
      </c>
      <c r="H6342">
        <v>14088.96</v>
      </c>
      <c r="I6342">
        <v>2965.54</v>
      </c>
      <c r="J6342" t="s">
        <v>47</v>
      </c>
      <c r="K6342" t="s">
        <v>17</v>
      </c>
      <c r="L6342">
        <f t="shared" si="297"/>
        <v>2023</v>
      </c>
      <c r="M6342" t="str">
        <f t="shared" si="298"/>
        <v>Apr</v>
      </c>
      <c r="N6342" s="2">
        <f t="shared" si="299"/>
        <v>0.21048679249568458</v>
      </c>
    </row>
    <row r="6343" spans="1:14" x14ac:dyDescent="0.45">
      <c r="A6343" t="s">
        <v>10970</v>
      </c>
      <c r="B6343" s="1">
        <v>44833</v>
      </c>
      <c r="C6343" t="s">
        <v>3135</v>
      </c>
      <c r="D6343" t="s">
        <v>26</v>
      </c>
      <c r="E6343" t="s">
        <v>20</v>
      </c>
      <c r="F6343" t="s">
        <v>50</v>
      </c>
      <c r="G6343">
        <v>1</v>
      </c>
      <c r="H6343">
        <v>8294.77</v>
      </c>
      <c r="I6343">
        <v>1944.79</v>
      </c>
      <c r="J6343" t="s">
        <v>16</v>
      </c>
      <c r="K6343" t="s">
        <v>29</v>
      </c>
      <c r="L6343">
        <f t="shared" si="297"/>
        <v>2022</v>
      </c>
      <c r="M6343" t="str">
        <f t="shared" si="298"/>
        <v>Sep</v>
      </c>
      <c r="N6343" s="2">
        <f t="shared" si="299"/>
        <v>0.23445978610618495</v>
      </c>
    </row>
    <row r="6344" spans="1:14" x14ac:dyDescent="0.45">
      <c r="A6344" t="s">
        <v>10971</v>
      </c>
      <c r="B6344" s="1">
        <v>44969</v>
      </c>
      <c r="C6344" t="s">
        <v>2481</v>
      </c>
      <c r="D6344" t="s">
        <v>26</v>
      </c>
      <c r="E6344" t="s">
        <v>20</v>
      </c>
      <c r="F6344" t="s">
        <v>43</v>
      </c>
      <c r="G6344">
        <v>1</v>
      </c>
      <c r="H6344">
        <v>43105.88</v>
      </c>
      <c r="I6344">
        <v>3454.39</v>
      </c>
      <c r="J6344" t="s">
        <v>22</v>
      </c>
      <c r="K6344" t="s">
        <v>29</v>
      </c>
      <c r="L6344">
        <f t="shared" si="297"/>
        <v>2023</v>
      </c>
      <c r="M6344" t="str">
        <f t="shared" si="298"/>
        <v>Feb</v>
      </c>
      <c r="N6344" s="2">
        <f t="shared" si="299"/>
        <v>8.0137326972561512E-2</v>
      </c>
    </row>
    <row r="6345" spans="1:14" x14ac:dyDescent="0.45">
      <c r="A6345" t="s">
        <v>10972</v>
      </c>
      <c r="B6345" s="1">
        <v>45335</v>
      </c>
      <c r="C6345" t="s">
        <v>10973</v>
      </c>
      <c r="D6345" t="s">
        <v>56</v>
      </c>
      <c r="E6345" t="s">
        <v>36</v>
      </c>
      <c r="F6345" t="s">
        <v>53</v>
      </c>
      <c r="G6345">
        <v>3</v>
      </c>
      <c r="H6345">
        <v>49603.56</v>
      </c>
      <c r="I6345">
        <v>8629.7000000000007</v>
      </c>
      <c r="J6345" t="s">
        <v>16</v>
      </c>
      <c r="K6345" t="s">
        <v>23</v>
      </c>
      <c r="L6345">
        <f t="shared" si="297"/>
        <v>2024</v>
      </c>
      <c r="M6345" t="str">
        <f t="shared" si="298"/>
        <v>Feb</v>
      </c>
      <c r="N6345" s="2">
        <f t="shared" si="299"/>
        <v>0.17397340029626909</v>
      </c>
    </row>
    <row r="6346" spans="1:14" x14ac:dyDescent="0.45">
      <c r="A6346" t="s">
        <v>10974</v>
      </c>
      <c r="B6346" s="1">
        <v>44794</v>
      </c>
      <c r="C6346" t="s">
        <v>10975</v>
      </c>
      <c r="D6346" t="s">
        <v>26</v>
      </c>
      <c r="E6346" t="s">
        <v>14</v>
      </c>
      <c r="F6346" t="s">
        <v>40</v>
      </c>
      <c r="G6346">
        <v>2</v>
      </c>
      <c r="H6346">
        <v>21204.34</v>
      </c>
      <c r="I6346">
        <v>2400.44</v>
      </c>
      <c r="J6346" t="s">
        <v>47</v>
      </c>
      <c r="K6346" t="s">
        <v>33</v>
      </c>
      <c r="L6346">
        <f t="shared" si="297"/>
        <v>2022</v>
      </c>
      <c r="M6346" t="str">
        <f t="shared" si="298"/>
        <v>Aug</v>
      </c>
      <c r="N6346" s="2">
        <f t="shared" si="299"/>
        <v>0.11320512687496993</v>
      </c>
    </row>
    <row r="6347" spans="1:14" x14ac:dyDescent="0.45">
      <c r="A6347" t="s">
        <v>10976</v>
      </c>
      <c r="B6347" s="1">
        <v>45343</v>
      </c>
      <c r="C6347" t="s">
        <v>10977</v>
      </c>
      <c r="D6347" t="s">
        <v>26</v>
      </c>
      <c r="E6347" t="s">
        <v>14</v>
      </c>
      <c r="F6347" t="s">
        <v>32</v>
      </c>
      <c r="G6347">
        <v>3</v>
      </c>
      <c r="H6347">
        <v>14808.11</v>
      </c>
      <c r="I6347">
        <v>2680.55</v>
      </c>
      <c r="J6347" t="s">
        <v>47</v>
      </c>
      <c r="K6347" t="s">
        <v>23</v>
      </c>
      <c r="L6347">
        <f t="shared" si="297"/>
        <v>2024</v>
      </c>
      <c r="M6347" t="str">
        <f t="shared" si="298"/>
        <v>Feb</v>
      </c>
      <c r="N6347" s="2">
        <f t="shared" si="299"/>
        <v>0.18101904969641636</v>
      </c>
    </row>
    <row r="6348" spans="1:14" x14ac:dyDescent="0.45">
      <c r="A6348" t="s">
        <v>10978</v>
      </c>
      <c r="B6348" s="1">
        <v>45609</v>
      </c>
      <c r="C6348" t="s">
        <v>10979</v>
      </c>
      <c r="D6348" t="s">
        <v>13</v>
      </c>
      <c r="E6348" t="s">
        <v>20</v>
      </c>
      <c r="F6348" t="s">
        <v>27</v>
      </c>
      <c r="G6348">
        <v>2</v>
      </c>
      <c r="H6348">
        <v>6301.58</v>
      </c>
      <c r="I6348">
        <v>780.65</v>
      </c>
      <c r="J6348" t="s">
        <v>71</v>
      </c>
      <c r="K6348" t="s">
        <v>33</v>
      </c>
      <c r="L6348">
        <f t="shared" si="297"/>
        <v>2024</v>
      </c>
      <c r="M6348" t="str">
        <f t="shared" si="298"/>
        <v>Nov</v>
      </c>
      <c r="N6348" s="2">
        <f t="shared" si="299"/>
        <v>0.12388162968652305</v>
      </c>
    </row>
    <row r="6349" spans="1:14" x14ac:dyDescent="0.45">
      <c r="A6349" t="s">
        <v>10980</v>
      </c>
      <c r="B6349" s="1">
        <v>44740</v>
      </c>
      <c r="C6349" t="s">
        <v>5729</v>
      </c>
      <c r="D6349" t="s">
        <v>56</v>
      </c>
      <c r="E6349" t="s">
        <v>20</v>
      </c>
      <c r="F6349" t="s">
        <v>27</v>
      </c>
      <c r="G6349">
        <v>3</v>
      </c>
      <c r="H6349">
        <v>33536.639999999999</v>
      </c>
      <c r="I6349">
        <v>2842.43</v>
      </c>
      <c r="J6349" t="s">
        <v>22</v>
      </c>
      <c r="K6349" t="s">
        <v>29</v>
      </c>
      <c r="L6349">
        <f t="shared" si="297"/>
        <v>2022</v>
      </c>
      <c r="M6349" t="str">
        <f t="shared" si="298"/>
        <v>Jun</v>
      </c>
      <c r="N6349" s="2">
        <f t="shared" si="299"/>
        <v>8.4755956470296365E-2</v>
      </c>
    </row>
    <row r="6350" spans="1:14" x14ac:dyDescent="0.45">
      <c r="A6350" t="s">
        <v>10981</v>
      </c>
      <c r="B6350" s="1">
        <v>44668</v>
      </c>
      <c r="C6350" t="s">
        <v>3212</v>
      </c>
      <c r="D6350" t="s">
        <v>56</v>
      </c>
      <c r="E6350" t="s">
        <v>20</v>
      </c>
      <c r="F6350" t="s">
        <v>21</v>
      </c>
      <c r="G6350">
        <v>5</v>
      </c>
      <c r="H6350">
        <v>11700.66</v>
      </c>
      <c r="I6350">
        <v>1249.0899999999999</v>
      </c>
      <c r="J6350" t="s">
        <v>16</v>
      </c>
      <c r="K6350" t="s">
        <v>23</v>
      </c>
      <c r="L6350">
        <f t="shared" si="297"/>
        <v>2022</v>
      </c>
      <c r="M6350" t="str">
        <f t="shared" si="298"/>
        <v>Apr</v>
      </c>
      <c r="N6350" s="2">
        <f t="shared" si="299"/>
        <v>0.10675380705020059</v>
      </c>
    </row>
    <row r="6351" spans="1:14" x14ac:dyDescent="0.45">
      <c r="A6351" t="s">
        <v>10982</v>
      </c>
      <c r="B6351" s="1">
        <v>45238</v>
      </c>
      <c r="C6351" t="s">
        <v>10983</v>
      </c>
      <c r="D6351" t="s">
        <v>13</v>
      </c>
      <c r="E6351" t="s">
        <v>36</v>
      </c>
      <c r="F6351" t="s">
        <v>64</v>
      </c>
      <c r="G6351">
        <v>3</v>
      </c>
      <c r="H6351">
        <v>27529.29</v>
      </c>
      <c r="I6351">
        <v>2200.41</v>
      </c>
      <c r="J6351" t="s">
        <v>28</v>
      </c>
      <c r="K6351" t="s">
        <v>33</v>
      </c>
      <c r="L6351">
        <f t="shared" si="297"/>
        <v>2023</v>
      </c>
      <c r="M6351" t="str">
        <f t="shared" si="298"/>
        <v>Nov</v>
      </c>
      <c r="N6351" s="2">
        <f t="shared" si="299"/>
        <v>7.9929776612473469E-2</v>
      </c>
    </row>
    <row r="6352" spans="1:14" x14ac:dyDescent="0.45">
      <c r="A6352" t="s">
        <v>10984</v>
      </c>
      <c r="B6352" s="1">
        <v>45475</v>
      </c>
      <c r="C6352" t="s">
        <v>10985</v>
      </c>
      <c r="D6352" t="s">
        <v>13</v>
      </c>
      <c r="E6352" t="s">
        <v>14</v>
      </c>
      <c r="F6352" t="s">
        <v>40</v>
      </c>
      <c r="G6352">
        <v>1</v>
      </c>
      <c r="H6352">
        <v>18184.05</v>
      </c>
      <c r="I6352">
        <v>2074.69</v>
      </c>
      <c r="J6352" t="s">
        <v>16</v>
      </c>
      <c r="K6352" t="s">
        <v>33</v>
      </c>
      <c r="L6352">
        <f t="shared" si="297"/>
        <v>2024</v>
      </c>
      <c r="M6352" t="str">
        <f t="shared" si="298"/>
        <v>Jul</v>
      </c>
      <c r="N6352" s="2">
        <f t="shared" si="299"/>
        <v>0.11409394496825516</v>
      </c>
    </row>
    <row r="6353" spans="1:14" x14ac:dyDescent="0.45">
      <c r="A6353" t="s">
        <v>10986</v>
      </c>
      <c r="B6353" s="1">
        <v>44801</v>
      </c>
      <c r="C6353" t="s">
        <v>10987</v>
      </c>
      <c r="D6353" t="s">
        <v>13</v>
      </c>
      <c r="E6353" t="s">
        <v>14</v>
      </c>
      <c r="F6353" t="s">
        <v>32</v>
      </c>
      <c r="G6353">
        <v>2</v>
      </c>
      <c r="H6353">
        <v>3832.28</v>
      </c>
      <c r="I6353">
        <v>427</v>
      </c>
      <c r="J6353" t="s">
        <v>22</v>
      </c>
      <c r="K6353" t="s">
        <v>17</v>
      </c>
      <c r="L6353">
        <f t="shared" si="297"/>
        <v>2022</v>
      </c>
      <c r="M6353" t="str">
        <f t="shared" si="298"/>
        <v>Aug</v>
      </c>
      <c r="N6353" s="2">
        <f t="shared" si="299"/>
        <v>0.11142192115398665</v>
      </c>
    </row>
    <row r="6354" spans="1:14" x14ac:dyDescent="0.45">
      <c r="A6354" t="s">
        <v>10988</v>
      </c>
      <c r="B6354" s="1">
        <v>44878</v>
      </c>
      <c r="C6354" t="s">
        <v>698</v>
      </c>
      <c r="D6354" t="s">
        <v>26</v>
      </c>
      <c r="E6354" t="s">
        <v>36</v>
      </c>
      <c r="F6354" t="s">
        <v>64</v>
      </c>
      <c r="G6354">
        <v>2</v>
      </c>
      <c r="H6354">
        <v>2766.28</v>
      </c>
      <c r="I6354">
        <v>498.35</v>
      </c>
      <c r="J6354" t="s">
        <v>47</v>
      </c>
      <c r="K6354" t="s">
        <v>23</v>
      </c>
      <c r="L6354">
        <f t="shared" si="297"/>
        <v>2022</v>
      </c>
      <c r="M6354" t="str">
        <f t="shared" si="298"/>
        <v>Nov</v>
      </c>
      <c r="N6354" s="2">
        <f t="shared" si="299"/>
        <v>0.18015168384979105</v>
      </c>
    </row>
    <row r="6355" spans="1:14" x14ac:dyDescent="0.45">
      <c r="A6355" t="s">
        <v>10989</v>
      </c>
      <c r="B6355" s="1">
        <v>45421</v>
      </c>
      <c r="C6355" t="s">
        <v>10990</v>
      </c>
      <c r="D6355" t="s">
        <v>13</v>
      </c>
      <c r="E6355" t="s">
        <v>36</v>
      </c>
      <c r="F6355" t="s">
        <v>53</v>
      </c>
      <c r="G6355">
        <v>5</v>
      </c>
      <c r="H6355">
        <v>31794.05</v>
      </c>
      <c r="I6355">
        <v>3327.31</v>
      </c>
      <c r="J6355" t="s">
        <v>47</v>
      </c>
      <c r="K6355" t="s">
        <v>29</v>
      </c>
      <c r="L6355">
        <f t="shared" si="297"/>
        <v>2024</v>
      </c>
      <c r="M6355" t="str">
        <f t="shared" si="298"/>
        <v>May</v>
      </c>
      <c r="N6355" s="2">
        <f t="shared" si="299"/>
        <v>0.10465197104489676</v>
      </c>
    </row>
    <row r="6356" spans="1:14" x14ac:dyDescent="0.45">
      <c r="A6356" t="s">
        <v>10991</v>
      </c>
      <c r="B6356" s="1">
        <v>44798</v>
      </c>
      <c r="C6356" t="s">
        <v>10992</v>
      </c>
      <c r="D6356" t="s">
        <v>56</v>
      </c>
      <c r="E6356" t="s">
        <v>36</v>
      </c>
      <c r="F6356" t="s">
        <v>53</v>
      </c>
      <c r="G6356">
        <v>5</v>
      </c>
      <c r="H6356">
        <v>37513.82</v>
      </c>
      <c r="I6356">
        <v>5406.94</v>
      </c>
      <c r="J6356" t="s">
        <v>16</v>
      </c>
      <c r="K6356" t="s">
        <v>23</v>
      </c>
      <c r="L6356">
        <f t="shared" si="297"/>
        <v>2022</v>
      </c>
      <c r="M6356" t="str">
        <f t="shared" si="298"/>
        <v>Aug</v>
      </c>
      <c r="N6356" s="2">
        <f t="shared" si="299"/>
        <v>0.14413194923897379</v>
      </c>
    </row>
    <row r="6357" spans="1:14" x14ac:dyDescent="0.45">
      <c r="A6357" t="s">
        <v>10993</v>
      </c>
      <c r="B6357" s="1">
        <v>45444</v>
      </c>
      <c r="C6357" t="s">
        <v>6488</v>
      </c>
      <c r="D6357" t="s">
        <v>56</v>
      </c>
      <c r="E6357" t="s">
        <v>36</v>
      </c>
      <c r="F6357" t="s">
        <v>37</v>
      </c>
      <c r="G6357">
        <v>1</v>
      </c>
      <c r="H6357">
        <v>25358.87</v>
      </c>
      <c r="I6357">
        <v>1997.73</v>
      </c>
      <c r="J6357" t="s">
        <v>47</v>
      </c>
      <c r="K6357" t="s">
        <v>33</v>
      </c>
      <c r="L6357">
        <f t="shared" si="297"/>
        <v>2024</v>
      </c>
      <c r="M6357" t="str">
        <f t="shared" si="298"/>
        <v>Jun</v>
      </c>
      <c r="N6357" s="2">
        <f t="shared" si="299"/>
        <v>7.8778352505454702E-2</v>
      </c>
    </row>
    <row r="6358" spans="1:14" x14ac:dyDescent="0.45">
      <c r="A6358" t="s">
        <v>10994</v>
      </c>
      <c r="B6358" s="1">
        <v>44586</v>
      </c>
      <c r="C6358" t="s">
        <v>10995</v>
      </c>
      <c r="D6358" t="s">
        <v>26</v>
      </c>
      <c r="E6358" t="s">
        <v>20</v>
      </c>
      <c r="F6358" t="s">
        <v>50</v>
      </c>
      <c r="G6358">
        <v>1</v>
      </c>
      <c r="H6358">
        <v>40159.25</v>
      </c>
      <c r="I6358">
        <v>5394.25</v>
      </c>
      <c r="J6358" t="s">
        <v>28</v>
      </c>
      <c r="K6358" t="s">
        <v>33</v>
      </c>
      <c r="L6358">
        <f t="shared" si="297"/>
        <v>2022</v>
      </c>
      <c r="M6358" t="str">
        <f t="shared" si="298"/>
        <v>Jan</v>
      </c>
      <c r="N6358" s="2">
        <f t="shared" si="299"/>
        <v>0.13432148259740906</v>
      </c>
    </row>
    <row r="6359" spans="1:14" x14ac:dyDescent="0.45">
      <c r="A6359" t="s">
        <v>10996</v>
      </c>
      <c r="B6359" s="1">
        <v>44819</v>
      </c>
      <c r="C6359" t="s">
        <v>1256</v>
      </c>
      <c r="D6359" t="s">
        <v>13</v>
      </c>
      <c r="E6359" t="s">
        <v>20</v>
      </c>
      <c r="F6359" t="s">
        <v>21</v>
      </c>
      <c r="G6359">
        <v>5</v>
      </c>
      <c r="H6359">
        <v>25887.47</v>
      </c>
      <c r="I6359">
        <v>3307.34</v>
      </c>
      <c r="J6359" t="s">
        <v>22</v>
      </c>
      <c r="K6359" t="s">
        <v>33</v>
      </c>
      <c r="L6359">
        <f t="shared" si="297"/>
        <v>2022</v>
      </c>
      <c r="M6359" t="str">
        <f t="shared" si="298"/>
        <v>Sep</v>
      </c>
      <c r="N6359" s="2">
        <f t="shared" si="299"/>
        <v>0.12775833250603477</v>
      </c>
    </row>
    <row r="6360" spans="1:14" x14ac:dyDescent="0.45">
      <c r="A6360" t="s">
        <v>10997</v>
      </c>
      <c r="B6360" s="1">
        <v>44757</v>
      </c>
      <c r="C6360" t="s">
        <v>549</v>
      </c>
      <c r="D6360" t="s">
        <v>26</v>
      </c>
      <c r="E6360" t="s">
        <v>36</v>
      </c>
      <c r="F6360" t="s">
        <v>46</v>
      </c>
      <c r="G6360">
        <v>5</v>
      </c>
      <c r="H6360">
        <v>39034.74</v>
      </c>
      <c r="I6360">
        <v>7157.44</v>
      </c>
      <c r="J6360" t="s">
        <v>71</v>
      </c>
      <c r="K6360" t="s">
        <v>23</v>
      </c>
      <c r="L6360">
        <f t="shared" si="297"/>
        <v>2022</v>
      </c>
      <c r="M6360" t="str">
        <f t="shared" si="298"/>
        <v>Jul</v>
      </c>
      <c r="N6360" s="2">
        <f t="shared" si="299"/>
        <v>0.1833607704316719</v>
      </c>
    </row>
    <row r="6361" spans="1:14" x14ac:dyDescent="0.45">
      <c r="A6361" t="s">
        <v>10998</v>
      </c>
      <c r="B6361" s="1">
        <v>45129</v>
      </c>
      <c r="C6361" t="s">
        <v>4319</v>
      </c>
      <c r="D6361" t="s">
        <v>26</v>
      </c>
      <c r="E6361" t="s">
        <v>14</v>
      </c>
      <c r="F6361" t="s">
        <v>40</v>
      </c>
      <c r="G6361">
        <v>3</v>
      </c>
      <c r="H6361">
        <v>35758.69</v>
      </c>
      <c r="I6361">
        <v>8197.6200000000008</v>
      </c>
      <c r="J6361" t="s">
        <v>28</v>
      </c>
      <c r="K6361" t="s">
        <v>29</v>
      </c>
      <c r="L6361">
        <f t="shared" si="297"/>
        <v>2023</v>
      </c>
      <c r="M6361" t="str">
        <f t="shared" si="298"/>
        <v>Jul</v>
      </c>
      <c r="N6361" s="2">
        <f t="shared" si="299"/>
        <v>0.22924833096514444</v>
      </c>
    </row>
    <row r="6362" spans="1:14" x14ac:dyDescent="0.45">
      <c r="A6362" t="s">
        <v>10999</v>
      </c>
      <c r="B6362" s="1">
        <v>44900</v>
      </c>
      <c r="C6362" t="s">
        <v>11000</v>
      </c>
      <c r="D6362" t="s">
        <v>56</v>
      </c>
      <c r="E6362" t="s">
        <v>20</v>
      </c>
      <c r="F6362" t="s">
        <v>21</v>
      </c>
      <c r="G6362">
        <v>2</v>
      </c>
      <c r="H6362">
        <v>25927.81</v>
      </c>
      <c r="I6362">
        <v>3167.5</v>
      </c>
      <c r="J6362" t="s">
        <v>28</v>
      </c>
      <c r="K6362" t="s">
        <v>29</v>
      </c>
      <c r="L6362">
        <f t="shared" si="297"/>
        <v>2022</v>
      </c>
      <c r="M6362" t="str">
        <f t="shared" si="298"/>
        <v>Dec</v>
      </c>
      <c r="N6362" s="2">
        <f t="shared" si="299"/>
        <v>0.12216612201339025</v>
      </c>
    </row>
    <row r="6363" spans="1:14" x14ac:dyDescent="0.45">
      <c r="A6363" t="s">
        <v>11001</v>
      </c>
      <c r="B6363" s="1">
        <v>45101</v>
      </c>
      <c r="C6363" t="s">
        <v>8152</v>
      </c>
      <c r="D6363" t="s">
        <v>26</v>
      </c>
      <c r="E6363" t="s">
        <v>20</v>
      </c>
      <c r="F6363" t="s">
        <v>50</v>
      </c>
      <c r="G6363">
        <v>2</v>
      </c>
      <c r="H6363">
        <v>14340.64</v>
      </c>
      <c r="I6363">
        <v>3332.45</v>
      </c>
      <c r="J6363" t="s">
        <v>28</v>
      </c>
      <c r="K6363" t="s">
        <v>33</v>
      </c>
      <c r="L6363">
        <f t="shared" si="297"/>
        <v>2023</v>
      </c>
      <c r="M6363" t="str">
        <f t="shared" si="298"/>
        <v>Jun</v>
      </c>
      <c r="N6363" s="2">
        <f t="shared" si="299"/>
        <v>0.23237805286235483</v>
      </c>
    </row>
    <row r="6364" spans="1:14" x14ac:dyDescent="0.45">
      <c r="A6364" t="s">
        <v>11002</v>
      </c>
      <c r="B6364" s="1">
        <v>44718</v>
      </c>
      <c r="C6364" t="s">
        <v>1494</v>
      </c>
      <c r="D6364" t="s">
        <v>56</v>
      </c>
      <c r="E6364" t="s">
        <v>36</v>
      </c>
      <c r="F6364" t="s">
        <v>53</v>
      </c>
      <c r="G6364">
        <v>1</v>
      </c>
      <c r="H6364">
        <v>24996.33</v>
      </c>
      <c r="I6364">
        <v>5858.55</v>
      </c>
      <c r="J6364" t="s">
        <v>47</v>
      </c>
      <c r="K6364" t="s">
        <v>23</v>
      </c>
      <c r="L6364">
        <f t="shared" si="297"/>
        <v>2022</v>
      </c>
      <c r="M6364" t="str">
        <f t="shared" si="298"/>
        <v>Jun</v>
      </c>
      <c r="N6364" s="2">
        <f t="shared" si="299"/>
        <v>0.23437640645646779</v>
      </c>
    </row>
    <row r="6365" spans="1:14" x14ac:dyDescent="0.45">
      <c r="A6365" t="s">
        <v>11003</v>
      </c>
      <c r="B6365" s="1">
        <v>44824</v>
      </c>
      <c r="C6365" t="s">
        <v>5546</v>
      </c>
      <c r="D6365" t="s">
        <v>26</v>
      </c>
      <c r="E6365" t="s">
        <v>36</v>
      </c>
      <c r="F6365" t="s">
        <v>46</v>
      </c>
      <c r="G6365">
        <v>4</v>
      </c>
      <c r="H6365">
        <v>13502.92</v>
      </c>
      <c r="I6365">
        <v>1141.3699999999999</v>
      </c>
      <c r="J6365" t="s">
        <v>22</v>
      </c>
      <c r="K6365" t="s">
        <v>29</v>
      </c>
      <c r="L6365">
        <f t="shared" si="297"/>
        <v>2022</v>
      </c>
      <c r="M6365" t="str">
        <f t="shared" si="298"/>
        <v>Sep</v>
      </c>
      <c r="N6365" s="2">
        <f t="shared" si="299"/>
        <v>8.4527642909829864E-2</v>
      </c>
    </row>
    <row r="6366" spans="1:14" x14ac:dyDescent="0.45">
      <c r="A6366" t="s">
        <v>11004</v>
      </c>
      <c r="B6366" s="1">
        <v>44608</v>
      </c>
      <c r="C6366" t="s">
        <v>10291</v>
      </c>
      <c r="D6366" t="s">
        <v>56</v>
      </c>
      <c r="E6366" t="s">
        <v>36</v>
      </c>
      <c r="F6366" t="s">
        <v>46</v>
      </c>
      <c r="G6366">
        <v>3</v>
      </c>
      <c r="H6366">
        <v>17152.5</v>
      </c>
      <c r="I6366">
        <v>3201.82</v>
      </c>
      <c r="J6366" t="s">
        <v>16</v>
      </c>
      <c r="K6366" t="s">
        <v>23</v>
      </c>
      <c r="L6366">
        <f t="shared" si="297"/>
        <v>2022</v>
      </c>
      <c r="M6366" t="str">
        <f t="shared" si="298"/>
        <v>Feb</v>
      </c>
      <c r="N6366" s="2">
        <f t="shared" si="299"/>
        <v>0.18666783267745227</v>
      </c>
    </row>
    <row r="6367" spans="1:14" x14ac:dyDescent="0.45">
      <c r="A6367" t="s">
        <v>11005</v>
      </c>
      <c r="B6367" s="1">
        <v>44808</v>
      </c>
      <c r="C6367" t="s">
        <v>11006</v>
      </c>
      <c r="D6367" t="s">
        <v>13</v>
      </c>
      <c r="E6367" t="s">
        <v>36</v>
      </c>
      <c r="F6367" t="s">
        <v>64</v>
      </c>
      <c r="G6367">
        <v>5</v>
      </c>
      <c r="H6367">
        <v>2878.94</v>
      </c>
      <c r="I6367">
        <v>343.14</v>
      </c>
      <c r="J6367" t="s">
        <v>47</v>
      </c>
      <c r="K6367" t="s">
        <v>33</v>
      </c>
      <c r="L6367">
        <f t="shared" si="297"/>
        <v>2022</v>
      </c>
      <c r="M6367" t="str">
        <f t="shared" si="298"/>
        <v>Sep</v>
      </c>
      <c r="N6367" s="2">
        <f t="shared" si="299"/>
        <v>0.11918970176523302</v>
      </c>
    </row>
    <row r="6368" spans="1:14" x14ac:dyDescent="0.45">
      <c r="A6368" t="s">
        <v>11007</v>
      </c>
      <c r="B6368" s="1">
        <v>45576</v>
      </c>
      <c r="C6368" t="s">
        <v>7721</v>
      </c>
      <c r="D6368" t="s">
        <v>13</v>
      </c>
      <c r="E6368" t="s">
        <v>14</v>
      </c>
      <c r="F6368" t="s">
        <v>40</v>
      </c>
      <c r="G6368">
        <v>3</v>
      </c>
      <c r="H6368">
        <v>20631.009999999998</v>
      </c>
      <c r="I6368">
        <v>4329.0600000000004</v>
      </c>
      <c r="J6368" t="s">
        <v>28</v>
      </c>
      <c r="K6368" t="s">
        <v>33</v>
      </c>
      <c r="L6368">
        <f t="shared" si="297"/>
        <v>2024</v>
      </c>
      <c r="M6368" t="str">
        <f t="shared" si="298"/>
        <v>Oct</v>
      </c>
      <c r="N6368" s="2">
        <f t="shared" si="299"/>
        <v>0.20983267421226595</v>
      </c>
    </row>
    <row r="6369" spans="1:14" x14ac:dyDescent="0.45">
      <c r="A6369" t="s">
        <v>11008</v>
      </c>
      <c r="B6369" s="1">
        <v>45440</v>
      </c>
      <c r="C6369" t="s">
        <v>11009</v>
      </c>
      <c r="D6369" t="s">
        <v>13</v>
      </c>
      <c r="E6369" t="s">
        <v>14</v>
      </c>
      <c r="F6369" t="s">
        <v>57</v>
      </c>
      <c r="G6369">
        <v>1</v>
      </c>
      <c r="H6369">
        <v>23015.95</v>
      </c>
      <c r="I6369">
        <v>3427.72</v>
      </c>
      <c r="J6369" t="s">
        <v>28</v>
      </c>
      <c r="K6369" t="s">
        <v>23</v>
      </c>
      <c r="L6369">
        <f t="shared" si="297"/>
        <v>2024</v>
      </c>
      <c r="M6369" t="str">
        <f t="shared" si="298"/>
        <v>May</v>
      </c>
      <c r="N6369" s="2">
        <f t="shared" si="299"/>
        <v>0.14892802599936131</v>
      </c>
    </row>
    <row r="6370" spans="1:14" x14ac:dyDescent="0.45">
      <c r="A6370" t="s">
        <v>11010</v>
      </c>
      <c r="B6370" s="1">
        <v>45286</v>
      </c>
      <c r="C6370" t="s">
        <v>11011</v>
      </c>
      <c r="D6370" t="s">
        <v>13</v>
      </c>
      <c r="E6370" t="s">
        <v>14</v>
      </c>
      <c r="F6370" t="s">
        <v>32</v>
      </c>
      <c r="G6370">
        <v>1</v>
      </c>
      <c r="H6370">
        <v>35405.58</v>
      </c>
      <c r="I6370">
        <v>5323.46</v>
      </c>
      <c r="J6370" t="s">
        <v>16</v>
      </c>
      <c r="K6370" t="s">
        <v>17</v>
      </c>
      <c r="L6370">
        <f t="shared" si="297"/>
        <v>2023</v>
      </c>
      <c r="M6370" t="str">
        <f t="shared" si="298"/>
        <v>Dec</v>
      </c>
      <c r="N6370" s="2">
        <f t="shared" si="299"/>
        <v>0.15035652572278155</v>
      </c>
    </row>
    <row r="6371" spans="1:14" x14ac:dyDescent="0.45">
      <c r="A6371" t="s">
        <v>11012</v>
      </c>
      <c r="B6371" s="1">
        <v>44912</v>
      </c>
      <c r="C6371" t="s">
        <v>11013</v>
      </c>
      <c r="D6371" t="s">
        <v>26</v>
      </c>
      <c r="E6371" t="s">
        <v>20</v>
      </c>
      <c r="F6371" t="s">
        <v>21</v>
      </c>
      <c r="G6371">
        <v>1</v>
      </c>
      <c r="H6371">
        <v>16712.16</v>
      </c>
      <c r="I6371">
        <v>3148.48</v>
      </c>
      <c r="J6371" t="s">
        <v>71</v>
      </c>
      <c r="K6371" t="s">
        <v>29</v>
      </c>
      <c r="L6371">
        <f t="shared" si="297"/>
        <v>2022</v>
      </c>
      <c r="M6371" t="str">
        <f t="shared" si="298"/>
        <v>Dec</v>
      </c>
      <c r="N6371" s="2">
        <f t="shared" si="299"/>
        <v>0.18839455821389933</v>
      </c>
    </row>
    <row r="6372" spans="1:14" x14ac:dyDescent="0.45">
      <c r="A6372" t="s">
        <v>11014</v>
      </c>
      <c r="B6372" s="1">
        <v>45409</v>
      </c>
      <c r="C6372" t="s">
        <v>11015</v>
      </c>
      <c r="D6372" t="s">
        <v>26</v>
      </c>
      <c r="E6372" t="s">
        <v>20</v>
      </c>
      <c r="F6372" t="s">
        <v>43</v>
      </c>
      <c r="G6372">
        <v>3</v>
      </c>
      <c r="H6372">
        <v>8743.0499999999993</v>
      </c>
      <c r="I6372">
        <v>1877.18</v>
      </c>
      <c r="J6372" t="s">
        <v>16</v>
      </c>
      <c r="K6372" t="s">
        <v>29</v>
      </c>
      <c r="L6372">
        <f t="shared" si="297"/>
        <v>2024</v>
      </c>
      <c r="M6372" t="str">
        <f t="shared" si="298"/>
        <v>Apr</v>
      </c>
      <c r="N6372" s="2">
        <f t="shared" si="299"/>
        <v>0.21470539457054463</v>
      </c>
    </row>
    <row r="6373" spans="1:14" x14ac:dyDescent="0.45">
      <c r="A6373" t="s">
        <v>11016</v>
      </c>
      <c r="B6373" s="1">
        <v>45488</v>
      </c>
      <c r="C6373" t="s">
        <v>5428</v>
      </c>
      <c r="D6373" t="s">
        <v>56</v>
      </c>
      <c r="E6373" t="s">
        <v>36</v>
      </c>
      <c r="F6373" t="s">
        <v>37</v>
      </c>
      <c r="G6373">
        <v>5</v>
      </c>
      <c r="H6373">
        <v>32430.71</v>
      </c>
      <c r="I6373">
        <v>2826.11</v>
      </c>
      <c r="J6373" t="s">
        <v>71</v>
      </c>
      <c r="K6373" t="s">
        <v>17</v>
      </c>
      <c r="L6373">
        <f t="shared" si="297"/>
        <v>2024</v>
      </c>
      <c r="M6373" t="str">
        <f t="shared" si="298"/>
        <v>Jul</v>
      </c>
      <c r="N6373" s="2">
        <f t="shared" si="299"/>
        <v>8.7143019687203893E-2</v>
      </c>
    </row>
    <row r="6374" spans="1:14" x14ac:dyDescent="0.45">
      <c r="A6374" t="s">
        <v>11017</v>
      </c>
      <c r="B6374" s="1">
        <v>45044</v>
      </c>
      <c r="C6374" t="s">
        <v>7866</v>
      </c>
      <c r="D6374" t="s">
        <v>13</v>
      </c>
      <c r="E6374" t="s">
        <v>20</v>
      </c>
      <c r="F6374" t="s">
        <v>21</v>
      </c>
      <c r="G6374">
        <v>2</v>
      </c>
      <c r="H6374">
        <v>22099.82</v>
      </c>
      <c r="I6374">
        <v>2936.94</v>
      </c>
      <c r="J6374" t="s">
        <v>16</v>
      </c>
      <c r="K6374" t="s">
        <v>29</v>
      </c>
      <c r="L6374">
        <f t="shared" si="297"/>
        <v>2023</v>
      </c>
      <c r="M6374" t="str">
        <f t="shared" si="298"/>
        <v>Apr</v>
      </c>
      <c r="N6374" s="2">
        <f t="shared" si="299"/>
        <v>0.13289429506665665</v>
      </c>
    </row>
    <row r="6375" spans="1:14" x14ac:dyDescent="0.45">
      <c r="A6375" t="s">
        <v>11018</v>
      </c>
      <c r="B6375" s="1">
        <v>45598</v>
      </c>
      <c r="C6375" t="s">
        <v>11019</v>
      </c>
      <c r="D6375" t="s">
        <v>13</v>
      </c>
      <c r="E6375" t="s">
        <v>20</v>
      </c>
      <c r="F6375" t="s">
        <v>43</v>
      </c>
      <c r="G6375">
        <v>4</v>
      </c>
      <c r="H6375">
        <v>29565.77</v>
      </c>
      <c r="I6375">
        <v>4035.78</v>
      </c>
      <c r="J6375" t="s">
        <v>28</v>
      </c>
      <c r="K6375" t="s">
        <v>17</v>
      </c>
      <c r="L6375">
        <f t="shared" si="297"/>
        <v>2024</v>
      </c>
      <c r="M6375" t="str">
        <f t="shared" si="298"/>
        <v>Nov</v>
      </c>
      <c r="N6375" s="2">
        <f t="shared" si="299"/>
        <v>0.13650177215069995</v>
      </c>
    </row>
    <row r="6376" spans="1:14" x14ac:dyDescent="0.45">
      <c r="A6376" t="s">
        <v>11020</v>
      </c>
      <c r="B6376" s="1">
        <v>44721</v>
      </c>
      <c r="C6376" t="s">
        <v>11021</v>
      </c>
      <c r="D6376" t="s">
        <v>56</v>
      </c>
      <c r="E6376" t="s">
        <v>20</v>
      </c>
      <c r="F6376" t="s">
        <v>50</v>
      </c>
      <c r="G6376">
        <v>3</v>
      </c>
      <c r="H6376">
        <v>49592.15</v>
      </c>
      <c r="I6376">
        <v>3867.21</v>
      </c>
      <c r="J6376" t="s">
        <v>47</v>
      </c>
      <c r="K6376" t="s">
        <v>33</v>
      </c>
      <c r="L6376">
        <f t="shared" si="297"/>
        <v>2022</v>
      </c>
      <c r="M6376" t="str">
        <f t="shared" si="298"/>
        <v>Jun</v>
      </c>
      <c r="N6376" s="2">
        <f t="shared" si="299"/>
        <v>7.7980285186264361E-2</v>
      </c>
    </row>
    <row r="6377" spans="1:14" x14ac:dyDescent="0.45">
      <c r="A6377" t="s">
        <v>11022</v>
      </c>
      <c r="B6377" s="1">
        <v>45520</v>
      </c>
      <c r="C6377" t="s">
        <v>6714</v>
      </c>
      <c r="D6377" t="s">
        <v>26</v>
      </c>
      <c r="E6377" t="s">
        <v>20</v>
      </c>
      <c r="F6377" t="s">
        <v>21</v>
      </c>
      <c r="G6377">
        <v>5</v>
      </c>
      <c r="H6377">
        <v>24985.02</v>
      </c>
      <c r="I6377">
        <v>5949.77</v>
      </c>
      <c r="J6377" t="s">
        <v>28</v>
      </c>
      <c r="K6377" t="s">
        <v>23</v>
      </c>
      <c r="L6377">
        <f t="shared" si="297"/>
        <v>2024</v>
      </c>
      <c r="M6377" t="str">
        <f t="shared" si="298"/>
        <v>Aug</v>
      </c>
      <c r="N6377" s="2">
        <f t="shared" si="299"/>
        <v>0.23813348958696051</v>
      </c>
    </row>
    <row r="6378" spans="1:14" x14ac:dyDescent="0.45">
      <c r="A6378" t="s">
        <v>11023</v>
      </c>
      <c r="B6378" s="1">
        <v>45333</v>
      </c>
      <c r="C6378" t="s">
        <v>1620</v>
      </c>
      <c r="D6378" t="s">
        <v>26</v>
      </c>
      <c r="E6378" t="s">
        <v>36</v>
      </c>
      <c r="F6378" t="s">
        <v>64</v>
      </c>
      <c r="G6378">
        <v>3</v>
      </c>
      <c r="H6378">
        <v>13538.56</v>
      </c>
      <c r="I6378">
        <v>2199.37</v>
      </c>
      <c r="J6378" t="s">
        <v>16</v>
      </c>
      <c r="K6378" t="s">
        <v>23</v>
      </c>
      <c r="L6378">
        <f t="shared" si="297"/>
        <v>2024</v>
      </c>
      <c r="M6378" t="str">
        <f t="shared" si="298"/>
        <v>Feb</v>
      </c>
      <c r="N6378" s="2">
        <f t="shared" si="299"/>
        <v>0.16245228443793136</v>
      </c>
    </row>
    <row r="6379" spans="1:14" x14ac:dyDescent="0.45">
      <c r="A6379" t="s">
        <v>11024</v>
      </c>
      <c r="B6379" s="1">
        <v>45483</v>
      </c>
      <c r="C6379" t="s">
        <v>11025</v>
      </c>
      <c r="D6379" t="s">
        <v>26</v>
      </c>
      <c r="E6379" t="s">
        <v>14</v>
      </c>
      <c r="F6379" t="s">
        <v>15</v>
      </c>
      <c r="G6379">
        <v>5</v>
      </c>
      <c r="H6379">
        <v>12866.82</v>
      </c>
      <c r="I6379">
        <v>3110.99</v>
      </c>
      <c r="J6379" t="s">
        <v>22</v>
      </c>
      <c r="K6379" t="s">
        <v>17</v>
      </c>
      <c r="L6379">
        <f t="shared" si="297"/>
        <v>2024</v>
      </c>
      <c r="M6379" t="str">
        <f t="shared" si="298"/>
        <v>Jul</v>
      </c>
      <c r="N6379" s="2">
        <f t="shared" si="299"/>
        <v>0.24178390620215406</v>
      </c>
    </row>
    <row r="6380" spans="1:14" x14ac:dyDescent="0.45">
      <c r="A6380" t="s">
        <v>11026</v>
      </c>
      <c r="B6380" s="1">
        <v>45174</v>
      </c>
      <c r="C6380" t="s">
        <v>2320</v>
      </c>
      <c r="D6380" t="s">
        <v>56</v>
      </c>
      <c r="E6380" t="s">
        <v>14</v>
      </c>
      <c r="F6380" t="s">
        <v>15</v>
      </c>
      <c r="G6380">
        <v>1</v>
      </c>
      <c r="H6380">
        <v>1634.44</v>
      </c>
      <c r="I6380">
        <v>126.49</v>
      </c>
      <c r="J6380" t="s">
        <v>47</v>
      </c>
      <c r="K6380" t="s">
        <v>29</v>
      </c>
      <c r="L6380">
        <f t="shared" si="297"/>
        <v>2023</v>
      </c>
      <c r="M6380" t="str">
        <f t="shared" si="298"/>
        <v>Sep</v>
      </c>
      <c r="N6380" s="2">
        <f t="shared" si="299"/>
        <v>7.7390421184014097E-2</v>
      </c>
    </row>
    <row r="6381" spans="1:14" x14ac:dyDescent="0.45">
      <c r="A6381" t="s">
        <v>11027</v>
      </c>
      <c r="B6381" s="1">
        <v>45425</v>
      </c>
      <c r="C6381" t="s">
        <v>11028</v>
      </c>
      <c r="D6381" t="s">
        <v>26</v>
      </c>
      <c r="E6381" t="s">
        <v>36</v>
      </c>
      <c r="F6381" t="s">
        <v>64</v>
      </c>
      <c r="G6381">
        <v>2</v>
      </c>
      <c r="H6381">
        <v>44362.35</v>
      </c>
      <c r="I6381">
        <v>8855.2800000000007</v>
      </c>
      <c r="J6381" t="s">
        <v>22</v>
      </c>
      <c r="K6381" t="s">
        <v>33</v>
      </c>
      <c r="L6381">
        <f t="shared" si="297"/>
        <v>2024</v>
      </c>
      <c r="M6381" t="str">
        <f t="shared" si="298"/>
        <v>May</v>
      </c>
      <c r="N6381" s="2">
        <f t="shared" si="299"/>
        <v>0.19961250925615981</v>
      </c>
    </row>
    <row r="6382" spans="1:14" x14ac:dyDescent="0.45">
      <c r="A6382" t="s">
        <v>11029</v>
      </c>
      <c r="B6382" s="1">
        <v>45476</v>
      </c>
      <c r="C6382" t="s">
        <v>11030</v>
      </c>
      <c r="D6382" t="s">
        <v>13</v>
      </c>
      <c r="E6382" t="s">
        <v>20</v>
      </c>
      <c r="F6382" t="s">
        <v>50</v>
      </c>
      <c r="G6382">
        <v>4</v>
      </c>
      <c r="H6382">
        <v>14303.95</v>
      </c>
      <c r="I6382">
        <v>763.28</v>
      </c>
      <c r="J6382" t="s">
        <v>16</v>
      </c>
      <c r="K6382" t="s">
        <v>23</v>
      </c>
      <c r="L6382">
        <f t="shared" si="297"/>
        <v>2024</v>
      </c>
      <c r="M6382" t="str">
        <f t="shared" si="298"/>
        <v>Jul</v>
      </c>
      <c r="N6382" s="2">
        <f t="shared" si="299"/>
        <v>5.336148406559027E-2</v>
      </c>
    </row>
    <row r="6383" spans="1:14" x14ac:dyDescent="0.45">
      <c r="A6383" t="s">
        <v>11031</v>
      </c>
      <c r="B6383" s="1">
        <v>45479</v>
      </c>
      <c r="C6383" t="s">
        <v>3230</v>
      </c>
      <c r="D6383" t="s">
        <v>13</v>
      </c>
      <c r="E6383" t="s">
        <v>36</v>
      </c>
      <c r="F6383" t="s">
        <v>64</v>
      </c>
      <c r="G6383">
        <v>1</v>
      </c>
      <c r="H6383">
        <v>32813.4</v>
      </c>
      <c r="I6383">
        <v>2176.9</v>
      </c>
      <c r="J6383" t="s">
        <v>71</v>
      </c>
      <c r="K6383" t="s">
        <v>33</v>
      </c>
      <c r="L6383">
        <f t="shared" si="297"/>
        <v>2024</v>
      </c>
      <c r="M6383" t="str">
        <f t="shared" si="298"/>
        <v>Jul</v>
      </c>
      <c r="N6383" s="2">
        <f t="shared" si="299"/>
        <v>6.6341799386835862E-2</v>
      </c>
    </row>
    <row r="6384" spans="1:14" x14ac:dyDescent="0.45">
      <c r="A6384" t="s">
        <v>11032</v>
      </c>
      <c r="B6384" s="1">
        <v>45094</v>
      </c>
      <c r="C6384" t="s">
        <v>7615</v>
      </c>
      <c r="D6384" t="s">
        <v>56</v>
      </c>
      <c r="E6384" t="s">
        <v>14</v>
      </c>
      <c r="F6384" t="s">
        <v>32</v>
      </c>
      <c r="G6384">
        <v>4</v>
      </c>
      <c r="H6384">
        <v>26010.35</v>
      </c>
      <c r="I6384">
        <v>2219.5300000000002</v>
      </c>
      <c r="J6384" t="s">
        <v>16</v>
      </c>
      <c r="K6384" t="s">
        <v>23</v>
      </c>
      <c r="L6384">
        <f t="shared" si="297"/>
        <v>2023</v>
      </c>
      <c r="M6384" t="str">
        <f t="shared" si="298"/>
        <v>Jun</v>
      </c>
      <c r="N6384" s="2">
        <f t="shared" si="299"/>
        <v>8.533256953481981E-2</v>
      </c>
    </row>
    <row r="6385" spans="1:14" x14ac:dyDescent="0.45">
      <c r="A6385" t="s">
        <v>11033</v>
      </c>
      <c r="B6385" s="1">
        <v>45508</v>
      </c>
      <c r="C6385" t="s">
        <v>5616</v>
      </c>
      <c r="D6385" t="s">
        <v>13</v>
      </c>
      <c r="E6385" t="s">
        <v>36</v>
      </c>
      <c r="F6385" t="s">
        <v>37</v>
      </c>
      <c r="G6385">
        <v>4</v>
      </c>
      <c r="H6385">
        <v>19526.78</v>
      </c>
      <c r="I6385">
        <v>2389.92</v>
      </c>
      <c r="J6385" t="s">
        <v>22</v>
      </c>
      <c r="K6385" t="s">
        <v>17</v>
      </c>
      <c r="L6385">
        <f t="shared" si="297"/>
        <v>2024</v>
      </c>
      <c r="M6385" t="str">
        <f t="shared" si="298"/>
        <v>Aug</v>
      </c>
      <c r="N6385" s="2">
        <f t="shared" si="299"/>
        <v>0.1223919151032582</v>
      </c>
    </row>
    <row r="6386" spans="1:14" x14ac:dyDescent="0.45">
      <c r="A6386" t="s">
        <v>11034</v>
      </c>
      <c r="B6386" s="1">
        <v>44767</v>
      </c>
      <c r="C6386" t="s">
        <v>11035</v>
      </c>
      <c r="D6386" t="s">
        <v>56</v>
      </c>
      <c r="E6386" t="s">
        <v>20</v>
      </c>
      <c r="F6386" t="s">
        <v>50</v>
      </c>
      <c r="G6386">
        <v>3</v>
      </c>
      <c r="H6386">
        <v>33974.85</v>
      </c>
      <c r="I6386">
        <v>4083.71</v>
      </c>
      <c r="J6386" t="s">
        <v>22</v>
      </c>
      <c r="K6386" t="s">
        <v>29</v>
      </c>
      <c r="L6386">
        <f t="shared" si="297"/>
        <v>2022</v>
      </c>
      <c r="M6386" t="str">
        <f t="shared" si="298"/>
        <v>Jul</v>
      </c>
      <c r="N6386" s="2">
        <f t="shared" si="299"/>
        <v>0.12019802883603607</v>
      </c>
    </row>
    <row r="6387" spans="1:14" x14ac:dyDescent="0.45">
      <c r="A6387" t="s">
        <v>11036</v>
      </c>
      <c r="B6387" s="1">
        <v>44820</v>
      </c>
      <c r="C6387" t="s">
        <v>2972</v>
      </c>
      <c r="D6387" t="s">
        <v>56</v>
      </c>
      <c r="E6387" t="s">
        <v>20</v>
      </c>
      <c r="F6387" t="s">
        <v>27</v>
      </c>
      <c r="G6387">
        <v>2</v>
      </c>
      <c r="H6387">
        <v>19673.060000000001</v>
      </c>
      <c r="I6387">
        <v>4787.22</v>
      </c>
      <c r="J6387" t="s">
        <v>22</v>
      </c>
      <c r="K6387" t="s">
        <v>29</v>
      </c>
      <c r="L6387">
        <f t="shared" si="297"/>
        <v>2022</v>
      </c>
      <c r="M6387" t="str">
        <f t="shared" si="298"/>
        <v>Sep</v>
      </c>
      <c r="N6387" s="2">
        <f t="shared" si="299"/>
        <v>0.24333886035014379</v>
      </c>
    </row>
    <row r="6388" spans="1:14" x14ac:dyDescent="0.45">
      <c r="A6388" t="s">
        <v>11037</v>
      </c>
      <c r="B6388" s="1">
        <v>44589</v>
      </c>
      <c r="C6388" t="s">
        <v>11038</v>
      </c>
      <c r="D6388" t="s">
        <v>26</v>
      </c>
      <c r="E6388" t="s">
        <v>20</v>
      </c>
      <c r="F6388" t="s">
        <v>21</v>
      </c>
      <c r="G6388">
        <v>5</v>
      </c>
      <c r="H6388">
        <v>40307.61</v>
      </c>
      <c r="I6388">
        <v>7766.78</v>
      </c>
      <c r="J6388" t="s">
        <v>22</v>
      </c>
      <c r="K6388" t="s">
        <v>17</v>
      </c>
      <c r="L6388">
        <f t="shared" si="297"/>
        <v>2022</v>
      </c>
      <c r="M6388" t="str">
        <f t="shared" si="298"/>
        <v>Jan</v>
      </c>
      <c r="N6388" s="2">
        <f t="shared" si="299"/>
        <v>0.19268768354164387</v>
      </c>
    </row>
    <row r="6389" spans="1:14" x14ac:dyDescent="0.45">
      <c r="A6389" t="s">
        <v>11039</v>
      </c>
      <c r="B6389" s="1">
        <v>45011</v>
      </c>
      <c r="C6389" t="s">
        <v>11040</v>
      </c>
      <c r="D6389" t="s">
        <v>56</v>
      </c>
      <c r="E6389" t="s">
        <v>36</v>
      </c>
      <c r="F6389" t="s">
        <v>46</v>
      </c>
      <c r="G6389">
        <v>2</v>
      </c>
      <c r="H6389">
        <v>18012.98</v>
      </c>
      <c r="I6389">
        <v>3304.42</v>
      </c>
      <c r="J6389" t="s">
        <v>22</v>
      </c>
      <c r="K6389" t="s">
        <v>17</v>
      </c>
      <c r="L6389">
        <f t="shared" si="297"/>
        <v>2023</v>
      </c>
      <c r="M6389" t="str">
        <f t="shared" si="298"/>
        <v>Mar</v>
      </c>
      <c r="N6389" s="2">
        <f t="shared" si="299"/>
        <v>0.18344660350480599</v>
      </c>
    </row>
    <row r="6390" spans="1:14" x14ac:dyDescent="0.45">
      <c r="A6390" t="s">
        <v>11041</v>
      </c>
      <c r="B6390" s="1">
        <v>45314</v>
      </c>
      <c r="C6390" t="s">
        <v>11042</v>
      </c>
      <c r="D6390" t="s">
        <v>56</v>
      </c>
      <c r="E6390" t="s">
        <v>36</v>
      </c>
      <c r="F6390" t="s">
        <v>37</v>
      </c>
      <c r="G6390">
        <v>5</v>
      </c>
      <c r="H6390">
        <v>17320.23</v>
      </c>
      <c r="I6390">
        <v>3973.77</v>
      </c>
      <c r="J6390" t="s">
        <v>71</v>
      </c>
      <c r="K6390" t="s">
        <v>29</v>
      </c>
      <c r="L6390">
        <f t="shared" si="297"/>
        <v>2024</v>
      </c>
      <c r="M6390" t="str">
        <f t="shared" si="298"/>
        <v>Jan</v>
      </c>
      <c r="N6390" s="2">
        <f t="shared" si="299"/>
        <v>0.22942940134166809</v>
      </c>
    </row>
    <row r="6391" spans="1:14" x14ac:dyDescent="0.45">
      <c r="A6391" t="s">
        <v>11043</v>
      </c>
      <c r="B6391" s="1">
        <v>45625</v>
      </c>
      <c r="C6391" t="s">
        <v>257</v>
      </c>
      <c r="D6391" t="s">
        <v>13</v>
      </c>
      <c r="E6391" t="s">
        <v>20</v>
      </c>
      <c r="F6391" t="s">
        <v>43</v>
      </c>
      <c r="G6391">
        <v>3</v>
      </c>
      <c r="H6391">
        <v>9320.82</v>
      </c>
      <c r="I6391">
        <v>789.99</v>
      </c>
      <c r="J6391" t="s">
        <v>28</v>
      </c>
      <c r="K6391" t="s">
        <v>23</v>
      </c>
      <c r="L6391">
        <f t="shared" si="297"/>
        <v>2024</v>
      </c>
      <c r="M6391" t="str">
        <f t="shared" si="298"/>
        <v>Nov</v>
      </c>
      <c r="N6391" s="2">
        <f t="shared" si="299"/>
        <v>8.4755418514680048E-2</v>
      </c>
    </row>
    <row r="6392" spans="1:14" x14ac:dyDescent="0.45">
      <c r="A6392" t="s">
        <v>11044</v>
      </c>
      <c r="B6392" s="1">
        <v>45143</v>
      </c>
      <c r="C6392" t="s">
        <v>500</v>
      </c>
      <c r="D6392" t="s">
        <v>26</v>
      </c>
      <c r="E6392" t="s">
        <v>14</v>
      </c>
      <c r="F6392" t="s">
        <v>15</v>
      </c>
      <c r="G6392">
        <v>1</v>
      </c>
      <c r="H6392">
        <v>30194.16</v>
      </c>
      <c r="I6392">
        <v>5668.65</v>
      </c>
      <c r="J6392" t="s">
        <v>22</v>
      </c>
      <c r="K6392" t="s">
        <v>33</v>
      </c>
      <c r="L6392">
        <f t="shared" si="297"/>
        <v>2023</v>
      </c>
      <c r="M6392" t="str">
        <f t="shared" si="298"/>
        <v>Aug</v>
      </c>
      <c r="N6392" s="2">
        <f t="shared" si="299"/>
        <v>0.18773994706261077</v>
      </c>
    </row>
    <row r="6393" spans="1:14" x14ac:dyDescent="0.45">
      <c r="A6393" t="s">
        <v>11045</v>
      </c>
      <c r="B6393" s="1">
        <v>45479</v>
      </c>
      <c r="C6393" t="s">
        <v>458</v>
      </c>
      <c r="D6393" t="s">
        <v>13</v>
      </c>
      <c r="E6393" t="s">
        <v>20</v>
      </c>
      <c r="F6393" t="s">
        <v>27</v>
      </c>
      <c r="G6393">
        <v>3</v>
      </c>
      <c r="H6393">
        <v>34794.449999999997</v>
      </c>
      <c r="I6393">
        <v>7310.75</v>
      </c>
      <c r="J6393" t="s">
        <v>16</v>
      </c>
      <c r="K6393" t="s">
        <v>29</v>
      </c>
      <c r="L6393">
        <f t="shared" si="297"/>
        <v>2024</v>
      </c>
      <c r="M6393" t="str">
        <f t="shared" si="298"/>
        <v>Jul</v>
      </c>
      <c r="N6393" s="2">
        <f t="shared" si="299"/>
        <v>0.21011253231478011</v>
      </c>
    </row>
    <row r="6394" spans="1:14" x14ac:dyDescent="0.45">
      <c r="A6394" t="s">
        <v>11046</v>
      </c>
      <c r="B6394" s="1">
        <v>44633</v>
      </c>
      <c r="C6394" t="s">
        <v>692</v>
      </c>
      <c r="D6394" t="s">
        <v>26</v>
      </c>
      <c r="E6394" t="s">
        <v>36</v>
      </c>
      <c r="F6394" t="s">
        <v>64</v>
      </c>
      <c r="G6394">
        <v>5</v>
      </c>
      <c r="H6394">
        <v>36984.720000000001</v>
      </c>
      <c r="I6394">
        <v>3807.44</v>
      </c>
      <c r="J6394" t="s">
        <v>47</v>
      </c>
      <c r="K6394" t="s">
        <v>29</v>
      </c>
      <c r="L6394">
        <f t="shared" si="297"/>
        <v>2022</v>
      </c>
      <c r="M6394" t="str">
        <f t="shared" si="298"/>
        <v>Mar</v>
      </c>
      <c r="N6394" s="2">
        <f t="shared" si="299"/>
        <v>0.10294629782245208</v>
      </c>
    </row>
    <row r="6395" spans="1:14" x14ac:dyDescent="0.45">
      <c r="A6395" t="s">
        <v>11047</v>
      </c>
      <c r="B6395" s="1">
        <v>45129</v>
      </c>
      <c r="C6395" t="s">
        <v>11048</v>
      </c>
      <c r="D6395" t="s">
        <v>26</v>
      </c>
      <c r="E6395" t="s">
        <v>14</v>
      </c>
      <c r="F6395" t="s">
        <v>15</v>
      </c>
      <c r="G6395">
        <v>5</v>
      </c>
      <c r="H6395">
        <v>36535.54</v>
      </c>
      <c r="I6395">
        <v>5021.3999999999996</v>
      </c>
      <c r="J6395" t="s">
        <v>16</v>
      </c>
      <c r="K6395" t="s">
        <v>29</v>
      </c>
      <c r="L6395">
        <f t="shared" si="297"/>
        <v>2023</v>
      </c>
      <c r="M6395" t="str">
        <f t="shared" si="298"/>
        <v>Jul</v>
      </c>
      <c r="N6395" s="2">
        <f t="shared" si="299"/>
        <v>0.13743877878909139</v>
      </c>
    </row>
    <row r="6396" spans="1:14" x14ac:dyDescent="0.45">
      <c r="A6396" t="s">
        <v>11049</v>
      </c>
      <c r="B6396" s="1">
        <v>44914</v>
      </c>
      <c r="C6396" t="s">
        <v>11050</v>
      </c>
      <c r="D6396" t="s">
        <v>26</v>
      </c>
      <c r="E6396" t="s">
        <v>20</v>
      </c>
      <c r="F6396" t="s">
        <v>43</v>
      </c>
      <c r="G6396">
        <v>2</v>
      </c>
      <c r="H6396">
        <v>46261.55</v>
      </c>
      <c r="I6396">
        <v>6016.55</v>
      </c>
      <c r="J6396" t="s">
        <v>71</v>
      </c>
      <c r="K6396" t="s">
        <v>29</v>
      </c>
      <c r="L6396">
        <f t="shared" si="297"/>
        <v>2022</v>
      </c>
      <c r="M6396" t="str">
        <f t="shared" si="298"/>
        <v>Dec</v>
      </c>
      <c r="N6396" s="2">
        <f t="shared" si="299"/>
        <v>0.13005508894535525</v>
      </c>
    </row>
    <row r="6397" spans="1:14" x14ac:dyDescent="0.45">
      <c r="A6397" t="s">
        <v>11051</v>
      </c>
      <c r="B6397" s="1">
        <v>45040</v>
      </c>
      <c r="C6397" t="s">
        <v>11052</v>
      </c>
      <c r="D6397" t="s">
        <v>13</v>
      </c>
      <c r="E6397" t="s">
        <v>36</v>
      </c>
      <c r="F6397" t="s">
        <v>53</v>
      </c>
      <c r="G6397">
        <v>2</v>
      </c>
      <c r="H6397">
        <v>46089.1</v>
      </c>
      <c r="I6397">
        <v>3531.01</v>
      </c>
      <c r="J6397" t="s">
        <v>28</v>
      </c>
      <c r="K6397" t="s">
        <v>29</v>
      </c>
      <c r="L6397">
        <f t="shared" si="297"/>
        <v>2023</v>
      </c>
      <c r="M6397" t="str">
        <f t="shared" si="298"/>
        <v>Apr</v>
      </c>
      <c r="N6397" s="2">
        <f t="shared" si="299"/>
        <v>7.6612691504064953E-2</v>
      </c>
    </row>
    <row r="6398" spans="1:14" x14ac:dyDescent="0.45">
      <c r="A6398" t="s">
        <v>11053</v>
      </c>
      <c r="B6398" s="1">
        <v>45058</v>
      </c>
      <c r="C6398" t="s">
        <v>11054</v>
      </c>
      <c r="D6398" t="s">
        <v>26</v>
      </c>
      <c r="E6398" t="s">
        <v>36</v>
      </c>
      <c r="F6398" t="s">
        <v>37</v>
      </c>
      <c r="G6398">
        <v>4</v>
      </c>
      <c r="H6398">
        <v>24292.880000000001</v>
      </c>
      <c r="I6398">
        <v>2948.28</v>
      </c>
      <c r="J6398" t="s">
        <v>47</v>
      </c>
      <c r="K6398" t="s">
        <v>23</v>
      </c>
      <c r="L6398">
        <f t="shared" si="297"/>
        <v>2023</v>
      </c>
      <c r="M6398" t="str">
        <f t="shared" si="298"/>
        <v>May</v>
      </c>
      <c r="N6398" s="2">
        <f t="shared" si="299"/>
        <v>0.12136395520004216</v>
      </c>
    </row>
    <row r="6399" spans="1:14" x14ac:dyDescent="0.45">
      <c r="A6399" t="s">
        <v>11055</v>
      </c>
      <c r="B6399" s="1">
        <v>45377</v>
      </c>
      <c r="C6399" t="s">
        <v>7263</v>
      </c>
      <c r="D6399" t="s">
        <v>56</v>
      </c>
      <c r="E6399" t="s">
        <v>36</v>
      </c>
      <c r="F6399" t="s">
        <v>46</v>
      </c>
      <c r="G6399">
        <v>3</v>
      </c>
      <c r="H6399">
        <v>4916.92</v>
      </c>
      <c r="I6399">
        <v>1116.55</v>
      </c>
      <c r="J6399" t="s">
        <v>22</v>
      </c>
      <c r="K6399" t="s">
        <v>17</v>
      </c>
      <c r="L6399">
        <f t="shared" si="297"/>
        <v>2024</v>
      </c>
      <c r="M6399" t="str">
        <f t="shared" si="298"/>
        <v>Mar</v>
      </c>
      <c r="N6399" s="2">
        <f t="shared" si="299"/>
        <v>0.2270832146953784</v>
      </c>
    </row>
    <row r="6400" spans="1:14" x14ac:dyDescent="0.45">
      <c r="A6400" t="s">
        <v>11056</v>
      </c>
      <c r="B6400" s="1">
        <v>44718</v>
      </c>
      <c r="C6400" t="s">
        <v>11057</v>
      </c>
      <c r="D6400" t="s">
        <v>56</v>
      </c>
      <c r="E6400" t="s">
        <v>14</v>
      </c>
      <c r="F6400" t="s">
        <v>57</v>
      </c>
      <c r="G6400">
        <v>4</v>
      </c>
      <c r="H6400">
        <v>27565.77</v>
      </c>
      <c r="I6400">
        <v>1810.6</v>
      </c>
      <c r="J6400" t="s">
        <v>28</v>
      </c>
      <c r="K6400" t="s">
        <v>33</v>
      </c>
      <c r="L6400">
        <f t="shared" si="297"/>
        <v>2022</v>
      </c>
      <c r="M6400" t="str">
        <f t="shared" si="298"/>
        <v>Jun</v>
      </c>
      <c r="N6400" s="2">
        <f t="shared" si="299"/>
        <v>6.5682910363106126E-2</v>
      </c>
    </row>
    <row r="6401" spans="1:14" x14ac:dyDescent="0.45">
      <c r="A6401" t="s">
        <v>11058</v>
      </c>
      <c r="B6401" s="1">
        <v>45214</v>
      </c>
      <c r="C6401" t="s">
        <v>1420</v>
      </c>
      <c r="D6401" t="s">
        <v>26</v>
      </c>
      <c r="E6401" t="s">
        <v>20</v>
      </c>
      <c r="F6401" t="s">
        <v>27</v>
      </c>
      <c r="G6401">
        <v>5</v>
      </c>
      <c r="H6401">
        <v>8154.16</v>
      </c>
      <c r="I6401">
        <v>614.37</v>
      </c>
      <c r="J6401" t="s">
        <v>71</v>
      </c>
      <c r="K6401" t="s">
        <v>29</v>
      </c>
      <c r="L6401">
        <f t="shared" si="297"/>
        <v>2023</v>
      </c>
      <c r="M6401" t="str">
        <f t="shared" si="298"/>
        <v>Oct</v>
      </c>
      <c r="N6401" s="2">
        <f t="shared" si="299"/>
        <v>7.5344364103721292E-2</v>
      </c>
    </row>
    <row r="6402" spans="1:14" x14ac:dyDescent="0.45">
      <c r="A6402" t="s">
        <v>11059</v>
      </c>
      <c r="B6402" s="1">
        <v>44932</v>
      </c>
      <c r="C6402" t="s">
        <v>9102</v>
      </c>
      <c r="D6402" t="s">
        <v>56</v>
      </c>
      <c r="E6402" t="s">
        <v>14</v>
      </c>
      <c r="F6402" t="s">
        <v>57</v>
      </c>
      <c r="G6402">
        <v>5</v>
      </c>
      <c r="H6402">
        <v>26942.27</v>
      </c>
      <c r="I6402">
        <v>3237.25</v>
      </c>
      <c r="J6402" t="s">
        <v>71</v>
      </c>
      <c r="K6402" t="s">
        <v>17</v>
      </c>
      <c r="L6402">
        <f t="shared" si="297"/>
        <v>2023</v>
      </c>
      <c r="M6402" t="str">
        <f t="shared" si="298"/>
        <v>Jan</v>
      </c>
      <c r="N6402" s="2">
        <f t="shared" si="299"/>
        <v>0.12015505746175062</v>
      </c>
    </row>
    <row r="6403" spans="1:14" x14ac:dyDescent="0.45">
      <c r="A6403" t="s">
        <v>11060</v>
      </c>
      <c r="B6403" s="1">
        <v>45530</v>
      </c>
      <c r="C6403" t="s">
        <v>11061</v>
      </c>
      <c r="D6403" t="s">
        <v>26</v>
      </c>
      <c r="E6403" t="s">
        <v>14</v>
      </c>
      <c r="F6403" t="s">
        <v>57</v>
      </c>
      <c r="G6403">
        <v>5</v>
      </c>
      <c r="H6403">
        <v>6101.84</v>
      </c>
      <c r="I6403">
        <v>1500.84</v>
      </c>
      <c r="J6403" t="s">
        <v>16</v>
      </c>
      <c r="K6403" t="s">
        <v>23</v>
      </c>
      <c r="L6403">
        <f t="shared" ref="L6403:L6466" si="300">YEAR(B6403 )</f>
        <v>2024</v>
      </c>
      <c r="M6403" t="str">
        <f t="shared" ref="M6403:M6466" si="301">TEXT(B6403,"MMM")</f>
        <v>Aug</v>
      </c>
      <c r="N6403" s="2">
        <f t="shared" ref="N6403:N6466" si="302">I6403 / H6403</f>
        <v>0.24596515149528664</v>
      </c>
    </row>
    <row r="6404" spans="1:14" x14ac:dyDescent="0.45">
      <c r="A6404" t="s">
        <v>11062</v>
      </c>
      <c r="B6404" s="1">
        <v>45463</v>
      </c>
      <c r="C6404" t="s">
        <v>1530</v>
      </c>
      <c r="D6404" t="s">
        <v>56</v>
      </c>
      <c r="E6404" t="s">
        <v>36</v>
      </c>
      <c r="F6404" t="s">
        <v>53</v>
      </c>
      <c r="G6404">
        <v>3</v>
      </c>
      <c r="H6404">
        <v>31561.9</v>
      </c>
      <c r="I6404">
        <v>5330.12</v>
      </c>
      <c r="J6404" t="s">
        <v>16</v>
      </c>
      <c r="K6404" t="s">
        <v>29</v>
      </c>
      <c r="L6404">
        <f t="shared" si="300"/>
        <v>2024</v>
      </c>
      <c r="M6404" t="str">
        <f t="shared" si="301"/>
        <v>Jun</v>
      </c>
      <c r="N6404" s="2">
        <f t="shared" si="302"/>
        <v>0.16887829946866315</v>
      </c>
    </row>
    <row r="6405" spans="1:14" x14ac:dyDescent="0.45">
      <c r="A6405" t="s">
        <v>11063</v>
      </c>
      <c r="B6405" s="1">
        <v>44567</v>
      </c>
      <c r="C6405" t="s">
        <v>11064</v>
      </c>
      <c r="D6405" t="s">
        <v>13</v>
      </c>
      <c r="E6405" t="s">
        <v>14</v>
      </c>
      <c r="F6405" t="s">
        <v>57</v>
      </c>
      <c r="G6405">
        <v>1</v>
      </c>
      <c r="H6405">
        <v>18624.490000000002</v>
      </c>
      <c r="I6405">
        <v>1244.73</v>
      </c>
      <c r="J6405" t="s">
        <v>28</v>
      </c>
      <c r="K6405" t="s">
        <v>29</v>
      </c>
      <c r="L6405">
        <f t="shared" si="300"/>
        <v>2022</v>
      </c>
      <c r="M6405" t="str">
        <f t="shared" si="301"/>
        <v>Jan</v>
      </c>
      <c r="N6405" s="2">
        <f t="shared" si="302"/>
        <v>6.6832970996789712E-2</v>
      </c>
    </row>
    <row r="6406" spans="1:14" x14ac:dyDescent="0.45">
      <c r="A6406" t="s">
        <v>11065</v>
      </c>
      <c r="B6406" s="1">
        <v>44658</v>
      </c>
      <c r="C6406" t="s">
        <v>11066</v>
      </c>
      <c r="D6406" t="s">
        <v>13</v>
      </c>
      <c r="E6406" t="s">
        <v>36</v>
      </c>
      <c r="F6406" t="s">
        <v>64</v>
      </c>
      <c r="G6406">
        <v>5</v>
      </c>
      <c r="H6406">
        <v>24083.279999999999</v>
      </c>
      <c r="I6406">
        <v>5552.5</v>
      </c>
      <c r="J6406" t="s">
        <v>16</v>
      </c>
      <c r="K6406" t="s">
        <v>17</v>
      </c>
      <c r="L6406">
        <f t="shared" si="300"/>
        <v>2022</v>
      </c>
      <c r="M6406" t="str">
        <f t="shared" si="301"/>
        <v>Apr</v>
      </c>
      <c r="N6406" s="2">
        <f t="shared" si="302"/>
        <v>0.23055414378772326</v>
      </c>
    </row>
    <row r="6407" spans="1:14" x14ac:dyDescent="0.45">
      <c r="A6407" t="s">
        <v>11067</v>
      </c>
      <c r="B6407" s="1">
        <v>45551</v>
      </c>
      <c r="C6407" t="s">
        <v>5209</v>
      </c>
      <c r="D6407" t="s">
        <v>26</v>
      </c>
      <c r="E6407" t="s">
        <v>20</v>
      </c>
      <c r="F6407" t="s">
        <v>27</v>
      </c>
      <c r="G6407">
        <v>5</v>
      </c>
      <c r="H6407">
        <v>949.58</v>
      </c>
      <c r="I6407">
        <v>128.88</v>
      </c>
      <c r="J6407" t="s">
        <v>28</v>
      </c>
      <c r="K6407" t="s">
        <v>29</v>
      </c>
      <c r="L6407">
        <f t="shared" si="300"/>
        <v>2024</v>
      </c>
      <c r="M6407" t="str">
        <f t="shared" si="301"/>
        <v>Sep</v>
      </c>
      <c r="N6407" s="2">
        <f t="shared" si="302"/>
        <v>0.13572316181890939</v>
      </c>
    </row>
    <row r="6408" spans="1:14" x14ac:dyDescent="0.45">
      <c r="A6408" t="s">
        <v>11068</v>
      </c>
      <c r="B6408" s="1">
        <v>44803</v>
      </c>
      <c r="C6408" t="s">
        <v>11069</v>
      </c>
      <c r="D6408" t="s">
        <v>56</v>
      </c>
      <c r="E6408" t="s">
        <v>14</v>
      </c>
      <c r="F6408" t="s">
        <v>15</v>
      </c>
      <c r="G6408">
        <v>5</v>
      </c>
      <c r="H6408">
        <v>9125.75</v>
      </c>
      <c r="I6408">
        <v>2212.5500000000002</v>
      </c>
      <c r="J6408" t="s">
        <v>47</v>
      </c>
      <c r="K6408" t="s">
        <v>17</v>
      </c>
      <c r="L6408">
        <f t="shared" si="300"/>
        <v>2022</v>
      </c>
      <c r="M6408" t="str">
        <f t="shared" si="301"/>
        <v>Aug</v>
      </c>
      <c r="N6408" s="2">
        <f t="shared" si="302"/>
        <v>0.24245130537216122</v>
      </c>
    </row>
    <row r="6409" spans="1:14" x14ac:dyDescent="0.45">
      <c r="A6409" t="s">
        <v>11070</v>
      </c>
      <c r="B6409" s="1">
        <v>45503</v>
      </c>
      <c r="C6409" t="s">
        <v>1075</v>
      </c>
      <c r="D6409" t="s">
        <v>26</v>
      </c>
      <c r="E6409" t="s">
        <v>36</v>
      </c>
      <c r="F6409" t="s">
        <v>53</v>
      </c>
      <c r="G6409">
        <v>1</v>
      </c>
      <c r="H6409">
        <v>12497.56</v>
      </c>
      <c r="I6409">
        <v>633.64</v>
      </c>
      <c r="J6409" t="s">
        <v>71</v>
      </c>
      <c r="K6409" t="s">
        <v>23</v>
      </c>
      <c r="L6409">
        <f t="shared" si="300"/>
        <v>2024</v>
      </c>
      <c r="M6409" t="str">
        <f t="shared" si="301"/>
        <v>Jul</v>
      </c>
      <c r="N6409" s="2">
        <f t="shared" si="302"/>
        <v>5.0701096854105919E-2</v>
      </c>
    </row>
    <row r="6410" spans="1:14" x14ac:dyDescent="0.45">
      <c r="A6410" t="s">
        <v>11071</v>
      </c>
      <c r="B6410" s="1">
        <v>45607</v>
      </c>
      <c r="C6410" t="s">
        <v>10402</v>
      </c>
      <c r="D6410" t="s">
        <v>26</v>
      </c>
      <c r="E6410" t="s">
        <v>20</v>
      </c>
      <c r="F6410" t="s">
        <v>50</v>
      </c>
      <c r="G6410">
        <v>2</v>
      </c>
      <c r="H6410">
        <v>22928.45</v>
      </c>
      <c r="I6410">
        <v>5253.48</v>
      </c>
      <c r="J6410" t="s">
        <v>22</v>
      </c>
      <c r="K6410" t="s">
        <v>33</v>
      </c>
      <c r="L6410">
        <f t="shared" si="300"/>
        <v>2024</v>
      </c>
      <c r="M6410" t="str">
        <f t="shared" si="301"/>
        <v>Nov</v>
      </c>
      <c r="N6410" s="2">
        <f t="shared" si="302"/>
        <v>0.22912495175208089</v>
      </c>
    </row>
    <row r="6411" spans="1:14" x14ac:dyDescent="0.45">
      <c r="A6411" t="s">
        <v>11072</v>
      </c>
      <c r="B6411" s="1">
        <v>45462</v>
      </c>
      <c r="C6411" t="s">
        <v>7445</v>
      </c>
      <c r="D6411" t="s">
        <v>13</v>
      </c>
      <c r="E6411" t="s">
        <v>14</v>
      </c>
      <c r="F6411" t="s">
        <v>15</v>
      </c>
      <c r="G6411">
        <v>5</v>
      </c>
      <c r="H6411">
        <v>28417.46</v>
      </c>
      <c r="I6411">
        <v>3456.23</v>
      </c>
      <c r="J6411" t="s">
        <v>71</v>
      </c>
      <c r="K6411" t="s">
        <v>17</v>
      </c>
      <c r="L6411">
        <f t="shared" si="300"/>
        <v>2024</v>
      </c>
      <c r="M6411" t="str">
        <f t="shared" si="301"/>
        <v>Jun</v>
      </c>
      <c r="N6411" s="2">
        <f t="shared" si="302"/>
        <v>0.12162346669969801</v>
      </c>
    </row>
    <row r="6412" spans="1:14" x14ac:dyDescent="0.45">
      <c r="A6412" t="s">
        <v>11073</v>
      </c>
      <c r="B6412" s="1">
        <v>44898</v>
      </c>
      <c r="C6412" t="s">
        <v>10137</v>
      </c>
      <c r="D6412" t="s">
        <v>56</v>
      </c>
      <c r="E6412" t="s">
        <v>14</v>
      </c>
      <c r="F6412" t="s">
        <v>57</v>
      </c>
      <c r="G6412">
        <v>2</v>
      </c>
      <c r="H6412">
        <v>40794.47</v>
      </c>
      <c r="I6412">
        <v>9921.7900000000009</v>
      </c>
      <c r="J6412" t="s">
        <v>16</v>
      </c>
      <c r="K6412" t="s">
        <v>29</v>
      </c>
      <c r="L6412">
        <f t="shared" si="300"/>
        <v>2022</v>
      </c>
      <c r="M6412" t="str">
        <f t="shared" si="301"/>
        <v>Dec</v>
      </c>
      <c r="N6412" s="2">
        <f t="shared" si="302"/>
        <v>0.24321409249832149</v>
      </c>
    </row>
    <row r="6413" spans="1:14" x14ac:dyDescent="0.45">
      <c r="A6413" t="s">
        <v>11074</v>
      </c>
      <c r="B6413" s="1">
        <v>45161</v>
      </c>
      <c r="C6413" t="s">
        <v>11075</v>
      </c>
      <c r="D6413" t="s">
        <v>56</v>
      </c>
      <c r="E6413" t="s">
        <v>36</v>
      </c>
      <c r="F6413" t="s">
        <v>46</v>
      </c>
      <c r="G6413">
        <v>4</v>
      </c>
      <c r="H6413">
        <v>36703.040000000001</v>
      </c>
      <c r="I6413">
        <v>5264.99</v>
      </c>
      <c r="J6413" t="s">
        <v>22</v>
      </c>
      <c r="K6413" t="s">
        <v>29</v>
      </c>
      <c r="L6413">
        <f t="shared" si="300"/>
        <v>2023</v>
      </c>
      <c r="M6413" t="str">
        <f t="shared" si="301"/>
        <v>Aug</v>
      </c>
      <c r="N6413" s="2">
        <f t="shared" si="302"/>
        <v>0.14344833561470657</v>
      </c>
    </row>
    <row r="6414" spans="1:14" x14ac:dyDescent="0.45">
      <c r="A6414" t="s">
        <v>11076</v>
      </c>
      <c r="B6414" s="1">
        <v>44987</v>
      </c>
      <c r="C6414" t="s">
        <v>5455</v>
      </c>
      <c r="D6414" t="s">
        <v>26</v>
      </c>
      <c r="E6414" t="s">
        <v>14</v>
      </c>
      <c r="F6414" t="s">
        <v>57</v>
      </c>
      <c r="G6414">
        <v>3</v>
      </c>
      <c r="H6414">
        <v>4139.55</v>
      </c>
      <c r="I6414">
        <v>601.22</v>
      </c>
      <c r="J6414" t="s">
        <v>71</v>
      </c>
      <c r="K6414" t="s">
        <v>17</v>
      </c>
      <c r="L6414">
        <f t="shared" si="300"/>
        <v>2023</v>
      </c>
      <c r="M6414" t="str">
        <f t="shared" si="301"/>
        <v>Mar</v>
      </c>
      <c r="N6414" s="2">
        <f t="shared" si="302"/>
        <v>0.14523800896232683</v>
      </c>
    </row>
    <row r="6415" spans="1:14" x14ac:dyDescent="0.45">
      <c r="A6415" t="s">
        <v>11077</v>
      </c>
      <c r="B6415" s="1">
        <v>45169</v>
      </c>
      <c r="C6415" t="s">
        <v>1544</v>
      </c>
      <c r="D6415" t="s">
        <v>26</v>
      </c>
      <c r="E6415" t="s">
        <v>36</v>
      </c>
      <c r="F6415" t="s">
        <v>53</v>
      </c>
      <c r="G6415">
        <v>2</v>
      </c>
      <c r="H6415">
        <v>23434.18</v>
      </c>
      <c r="I6415">
        <v>2040.52</v>
      </c>
      <c r="J6415" t="s">
        <v>22</v>
      </c>
      <c r="K6415" t="s">
        <v>33</v>
      </c>
      <c r="L6415">
        <f t="shared" si="300"/>
        <v>2023</v>
      </c>
      <c r="M6415" t="str">
        <f t="shared" si="301"/>
        <v>Aug</v>
      </c>
      <c r="N6415" s="2">
        <f t="shared" si="302"/>
        <v>8.7074521062823623E-2</v>
      </c>
    </row>
    <row r="6416" spans="1:14" x14ac:dyDescent="0.45">
      <c r="A6416" t="s">
        <v>11078</v>
      </c>
      <c r="B6416" s="1">
        <v>45130</v>
      </c>
      <c r="C6416" t="s">
        <v>2679</v>
      </c>
      <c r="D6416" t="s">
        <v>56</v>
      </c>
      <c r="E6416" t="s">
        <v>14</v>
      </c>
      <c r="F6416" t="s">
        <v>15</v>
      </c>
      <c r="G6416">
        <v>5</v>
      </c>
      <c r="H6416">
        <v>34128.01</v>
      </c>
      <c r="I6416">
        <v>7712.71</v>
      </c>
      <c r="J6416" t="s">
        <v>16</v>
      </c>
      <c r="K6416" t="s">
        <v>23</v>
      </c>
      <c r="L6416">
        <f t="shared" si="300"/>
        <v>2023</v>
      </c>
      <c r="M6416" t="str">
        <f t="shared" si="301"/>
        <v>Jul</v>
      </c>
      <c r="N6416" s="2">
        <f t="shared" si="302"/>
        <v>0.22599354606377575</v>
      </c>
    </row>
    <row r="6417" spans="1:14" x14ac:dyDescent="0.45">
      <c r="A6417" t="s">
        <v>11079</v>
      </c>
      <c r="B6417" s="1">
        <v>45628</v>
      </c>
      <c r="C6417" t="s">
        <v>3756</v>
      </c>
      <c r="D6417" t="s">
        <v>56</v>
      </c>
      <c r="E6417" t="s">
        <v>14</v>
      </c>
      <c r="F6417" t="s">
        <v>40</v>
      </c>
      <c r="G6417">
        <v>2</v>
      </c>
      <c r="H6417">
        <v>43521.47</v>
      </c>
      <c r="I6417">
        <v>7618.46</v>
      </c>
      <c r="J6417" t="s">
        <v>28</v>
      </c>
      <c r="K6417" t="s">
        <v>29</v>
      </c>
      <c r="L6417">
        <f t="shared" si="300"/>
        <v>2024</v>
      </c>
      <c r="M6417" t="str">
        <f t="shared" si="301"/>
        <v>Dec</v>
      </c>
      <c r="N6417" s="2">
        <f t="shared" si="302"/>
        <v>0.17505061295034383</v>
      </c>
    </row>
    <row r="6418" spans="1:14" x14ac:dyDescent="0.45">
      <c r="A6418" t="s">
        <v>11080</v>
      </c>
      <c r="B6418" s="1">
        <v>44590</v>
      </c>
      <c r="C6418" t="s">
        <v>6850</v>
      </c>
      <c r="D6418" t="s">
        <v>13</v>
      </c>
      <c r="E6418" t="s">
        <v>14</v>
      </c>
      <c r="F6418" t="s">
        <v>32</v>
      </c>
      <c r="G6418">
        <v>2</v>
      </c>
      <c r="H6418">
        <v>27873.23</v>
      </c>
      <c r="I6418">
        <v>1526.41</v>
      </c>
      <c r="J6418" t="s">
        <v>71</v>
      </c>
      <c r="K6418" t="s">
        <v>33</v>
      </c>
      <c r="L6418">
        <f t="shared" si="300"/>
        <v>2022</v>
      </c>
      <c r="M6418" t="str">
        <f t="shared" si="301"/>
        <v>Jan</v>
      </c>
      <c r="N6418" s="2">
        <f t="shared" si="302"/>
        <v>5.4762580440085348E-2</v>
      </c>
    </row>
    <row r="6419" spans="1:14" x14ac:dyDescent="0.45">
      <c r="A6419" t="s">
        <v>11081</v>
      </c>
      <c r="B6419" s="1">
        <v>44847</v>
      </c>
      <c r="C6419" t="s">
        <v>1131</v>
      </c>
      <c r="D6419" t="s">
        <v>56</v>
      </c>
      <c r="E6419" t="s">
        <v>36</v>
      </c>
      <c r="F6419" t="s">
        <v>46</v>
      </c>
      <c r="G6419">
        <v>4</v>
      </c>
      <c r="H6419">
        <v>21186.07</v>
      </c>
      <c r="I6419">
        <v>4474.88</v>
      </c>
      <c r="J6419" t="s">
        <v>22</v>
      </c>
      <c r="K6419" t="s">
        <v>29</v>
      </c>
      <c r="L6419">
        <f t="shared" si="300"/>
        <v>2022</v>
      </c>
      <c r="M6419" t="str">
        <f t="shared" si="301"/>
        <v>Oct</v>
      </c>
      <c r="N6419" s="2">
        <f t="shared" si="302"/>
        <v>0.21121803147067861</v>
      </c>
    </row>
    <row r="6420" spans="1:14" x14ac:dyDescent="0.45">
      <c r="A6420" t="s">
        <v>11082</v>
      </c>
      <c r="B6420" s="1">
        <v>45271</v>
      </c>
      <c r="C6420" t="s">
        <v>10178</v>
      </c>
      <c r="D6420" t="s">
        <v>13</v>
      </c>
      <c r="E6420" t="s">
        <v>20</v>
      </c>
      <c r="F6420" t="s">
        <v>27</v>
      </c>
      <c r="G6420">
        <v>4</v>
      </c>
      <c r="H6420">
        <v>22521.39</v>
      </c>
      <c r="I6420">
        <v>1437.36</v>
      </c>
      <c r="J6420" t="s">
        <v>28</v>
      </c>
      <c r="K6420" t="s">
        <v>33</v>
      </c>
      <c r="L6420">
        <f t="shared" si="300"/>
        <v>2023</v>
      </c>
      <c r="M6420" t="str">
        <f t="shared" si="301"/>
        <v>Dec</v>
      </c>
      <c r="N6420" s="2">
        <f t="shared" si="302"/>
        <v>6.3821993225107329E-2</v>
      </c>
    </row>
    <row r="6421" spans="1:14" x14ac:dyDescent="0.45">
      <c r="A6421" t="s">
        <v>11083</v>
      </c>
      <c r="B6421" s="1">
        <v>44816</v>
      </c>
      <c r="C6421" t="s">
        <v>909</v>
      </c>
      <c r="D6421" t="s">
        <v>56</v>
      </c>
      <c r="E6421" t="s">
        <v>36</v>
      </c>
      <c r="F6421" t="s">
        <v>46</v>
      </c>
      <c r="G6421">
        <v>5</v>
      </c>
      <c r="H6421">
        <v>5716.02</v>
      </c>
      <c r="I6421">
        <v>608.91</v>
      </c>
      <c r="J6421" t="s">
        <v>71</v>
      </c>
      <c r="K6421" t="s">
        <v>17</v>
      </c>
      <c r="L6421">
        <f t="shared" si="300"/>
        <v>2022</v>
      </c>
      <c r="M6421" t="str">
        <f t="shared" si="301"/>
        <v>Sep</v>
      </c>
      <c r="N6421" s="2">
        <f t="shared" si="302"/>
        <v>0.10652691908005919</v>
      </c>
    </row>
    <row r="6422" spans="1:14" x14ac:dyDescent="0.45">
      <c r="A6422" t="s">
        <v>11084</v>
      </c>
      <c r="B6422" s="1">
        <v>44717</v>
      </c>
      <c r="C6422" t="s">
        <v>11085</v>
      </c>
      <c r="D6422" t="s">
        <v>56</v>
      </c>
      <c r="E6422" t="s">
        <v>14</v>
      </c>
      <c r="F6422" t="s">
        <v>57</v>
      </c>
      <c r="G6422">
        <v>1</v>
      </c>
      <c r="H6422">
        <v>24857.1</v>
      </c>
      <c r="I6422">
        <v>3277.15</v>
      </c>
      <c r="J6422" t="s">
        <v>47</v>
      </c>
      <c r="K6422" t="s">
        <v>23</v>
      </c>
      <c r="L6422">
        <f t="shared" si="300"/>
        <v>2022</v>
      </c>
      <c r="M6422" t="str">
        <f t="shared" si="301"/>
        <v>Jun</v>
      </c>
      <c r="N6422" s="2">
        <f t="shared" si="302"/>
        <v>0.13183959512573873</v>
      </c>
    </row>
    <row r="6423" spans="1:14" x14ac:dyDescent="0.45">
      <c r="A6423" t="s">
        <v>11086</v>
      </c>
      <c r="B6423" s="1">
        <v>45642</v>
      </c>
      <c r="C6423" t="s">
        <v>668</v>
      </c>
      <c r="D6423" t="s">
        <v>13</v>
      </c>
      <c r="E6423" t="s">
        <v>36</v>
      </c>
      <c r="F6423" t="s">
        <v>46</v>
      </c>
      <c r="G6423">
        <v>2</v>
      </c>
      <c r="H6423">
        <v>4579.17</v>
      </c>
      <c r="I6423">
        <v>499.39</v>
      </c>
      <c r="J6423" t="s">
        <v>16</v>
      </c>
      <c r="K6423" t="s">
        <v>29</v>
      </c>
      <c r="L6423">
        <f t="shared" si="300"/>
        <v>2024</v>
      </c>
      <c r="M6423" t="str">
        <f t="shared" si="301"/>
        <v>Dec</v>
      </c>
      <c r="N6423" s="2">
        <f t="shared" si="302"/>
        <v>0.10905688148725642</v>
      </c>
    </row>
    <row r="6424" spans="1:14" x14ac:dyDescent="0.45">
      <c r="A6424" t="s">
        <v>11087</v>
      </c>
      <c r="B6424" s="1">
        <v>45154</v>
      </c>
      <c r="C6424" t="s">
        <v>6888</v>
      </c>
      <c r="D6424" t="s">
        <v>56</v>
      </c>
      <c r="E6424" t="s">
        <v>36</v>
      </c>
      <c r="F6424" t="s">
        <v>46</v>
      </c>
      <c r="G6424">
        <v>2</v>
      </c>
      <c r="H6424">
        <v>38720.22</v>
      </c>
      <c r="I6424">
        <v>7264.96</v>
      </c>
      <c r="J6424" t="s">
        <v>22</v>
      </c>
      <c r="K6424" t="s">
        <v>33</v>
      </c>
      <c r="L6424">
        <f t="shared" si="300"/>
        <v>2023</v>
      </c>
      <c r="M6424" t="str">
        <f t="shared" si="301"/>
        <v>Aug</v>
      </c>
      <c r="N6424" s="2">
        <f t="shared" si="302"/>
        <v>0.18762703311086559</v>
      </c>
    </row>
    <row r="6425" spans="1:14" x14ac:dyDescent="0.45">
      <c r="A6425" t="s">
        <v>11088</v>
      </c>
      <c r="B6425" s="1">
        <v>44694</v>
      </c>
      <c r="C6425" t="s">
        <v>7782</v>
      </c>
      <c r="D6425" t="s">
        <v>26</v>
      </c>
      <c r="E6425" t="s">
        <v>36</v>
      </c>
      <c r="F6425" t="s">
        <v>37</v>
      </c>
      <c r="G6425">
        <v>2</v>
      </c>
      <c r="H6425">
        <v>11001.26</v>
      </c>
      <c r="I6425">
        <v>2246.33</v>
      </c>
      <c r="J6425" t="s">
        <v>47</v>
      </c>
      <c r="K6425" t="s">
        <v>29</v>
      </c>
      <c r="L6425">
        <f t="shared" si="300"/>
        <v>2022</v>
      </c>
      <c r="M6425" t="str">
        <f t="shared" si="301"/>
        <v>May</v>
      </c>
      <c r="N6425" s="2">
        <f t="shared" si="302"/>
        <v>0.20418842932536818</v>
      </c>
    </row>
    <row r="6426" spans="1:14" x14ac:dyDescent="0.45">
      <c r="A6426" t="s">
        <v>11089</v>
      </c>
      <c r="B6426" s="1">
        <v>45578</v>
      </c>
      <c r="C6426" t="s">
        <v>10704</v>
      </c>
      <c r="D6426" t="s">
        <v>26</v>
      </c>
      <c r="E6426" t="s">
        <v>14</v>
      </c>
      <c r="F6426" t="s">
        <v>32</v>
      </c>
      <c r="G6426">
        <v>4</v>
      </c>
      <c r="H6426">
        <v>17835.669999999998</v>
      </c>
      <c r="I6426">
        <v>3544.2</v>
      </c>
      <c r="J6426" t="s">
        <v>47</v>
      </c>
      <c r="K6426" t="s">
        <v>23</v>
      </c>
      <c r="L6426">
        <f t="shared" si="300"/>
        <v>2024</v>
      </c>
      <c r="M6426" t="str">
        <f t="shared" si="301"/>
        <v>Oct</v>
      </c>
      <c r="N6426" s="2">
        <f t="shared" si="302"/>
        <v>0.19871414979084051</v>
      </c>
    </row>
    <row r="6427" spans="1:14" x14ac:dyDescent="0.45">
      <c r="A6427" t="s">
        <v>11090</v>
      </c>
      <c r="B6427" s="1">
        <v>44860</v>
      </c>
      <c r="C6427" t="s">
        <v>8408</v>
      </c>
      <c r="D6427" t="s">
        <v>13</v>
      </c>
      <c r="E6427" t="s">
        <v>14</v>
      </c>
      <c r="F6427" t="s">
        <v>40</v>
      </c>
      <c r="G6427">
        <v>1</v>
      </c>
      <c r="H6427">
        <v>43095.22</v>
      </c>
      <c r="I6427">
        <v>9409.48</v>
      </c>
      <c r="J6427" t="s">
        <v>71</v>
      </c>
      <c r="K6427" t="s">
        <v>33</v>
      </c>
      <c r="L6427">
        <f t="shared" si="300"/>
        <v>2022</v>
      </c>
      <c r="M6427" t="str">
        <f t="shared" si="301"/>
        <v>Oct</v>
      </c>
      <c r="N6427" s="2">
        <f t="shared" si="302"/>
        <v>0.21834161654123124</v>
      </c>
    </row>
    <row r="6428" spans="1:14" x14ac:dyDescent="0.45">
      <c r="A6428" t="s">
        <v>11091</v>
      </c>
      <c r="B6428" s="1">
        <v>44642</v>
      </c>
      <c r="C6428" t="s">
        <v>11092</v>
      </c>
      <c r="D6428" t="s">
        <v>26</v>
      </c>
      <c r="E6428" t="s">
        <v>14</v>
      </c>
      <c r="F6428" t="s">
        <v>32</v>
      </c>
      <c r="G6428">
        <v>5</v>
      </c>
      <c r="H6428">
        <v>28609.89</v>
      </c>
      <c r="I6428">
        <v>6371.74</v>
      </c>
      <c r="J6428" t="s">
        <v>47</v>
      </c>
      <c r="K6428" t="s">
        <v>23</v>
      </c>
      <c r="L6428">
        <f t="shared" si="300"/>
        <v>2022</v>
      </c>
      <c r="M6428" t="str">
        <f t="shared" si="301"/>
        <v>Mar</v>
      </c>
      <c r="N6428" s="2">
        <f t="shared" si="302"/>
        <v>0.22271109745615938</v>
      </c>
    </row>
    <row r="6429" spans="1:14" x14ac:dyDescent="0.45">
      <c r="A6429" t="s">
        <v>11093</v>
      </c>
      <c r="B6429" s="1">
        <v>45291</v>
      </c>
      <c r="C6429" t="s">
        <v>7160</v>
      </c>
      <c r="D6429" t="s">
        <v>56</v>
      </c>
      <c r="E6429" t="s">
        <v>36</v>
      </c>
      <c r="F6429" t="s">
        <v>46</v>
      </c>
      <c r="G6429">
        <v>1</v>
      </c>
      <c r="H6429">
        <v>30787</v>
      </c>
      <c r="I6429">
        <v>6210.35</v>
      </c>
      <c r="J6429" t="s">
        <v>47</v>
      </c>
      <c r="K6429" t="s">
        <v>17</v>
      </c>
      <c r="L6429">
        <f t="shared" si="300"/>
        <v>2023</v>
      </c>
      <c r="M6429" t="str">
        <f t="shared" si="301"/>
        <v>Dec</v>
      </c>
      <c r="N6429" s="2">
        <f t="shared" si="302"/>
        <v>0.20171988176827882</v>
      </c>
    </row>
    <row r="6430" spans="1:14" x14ac:dyDescent="0.45">
      <c r="A6430" t="s">
        <v>11094</v>
      </c>
      <c r="B6430" s="1">
        <v>45106</v>
      </c>
      <c r="C6430" t="s">
        <v>7228</v>
      </c>
      <c r="D6430" t="s">
        <v>13</v>
      </c>
      <c r="E6430" t="s">
        <v>36</v>
      </c>
      <c r="F6430" t="s">
        <v>46</v>
      </c>
      <c r="G6430">
        <v>1</v>
      </c>
      <c r="H6430">
        <v>3827.02</v>
      </c>
      <c r="I6430">
        <v>615.15</v>
      </c>
      <c r="J6430" t="s">
        <v>22</v>
      </c>
      <c r="K6430" t="s">
        <v>33</v>
      </c>
      <c r="L6430">
        <f t="shared" si="300"/>
        <v>2023</v>
      </c>
      <c r="M6430" t="str">
        <f t="shared" si="301"/>
        <v>Jun</v>
      </c>
      <c r="N6430" s="2">
        <f t="shared" si="302"/>
        <v>0.16073864259920251</v>
      </c>
    </row>
    <row r="6431" spans="1:14" x14ac:dyDescent="0.45">
      <c r="A6431" t="s">
        <v>11095</v>
      </c>
      <c r="B6431" s="1">
        <v>44586</v>
      </c>
      <c r="C6431" t="s">
        <v>6396</v>
      </c>
      <c r="D6431" t="s">
        <v>13</v>
      </c>
      <c r="E6431" t="s">
        <v>36</v>
      </c>
      <c r="F6431" t="s">
        <v>46</v>
      </c>
      <c r="G6431">
        <v>3</v>
      </c>
      <c r="H6431">
        <v>43484.47</v>
      </c>
      <c r="I6431">
        <v>10393.89</v>
      </c>
      <c r="J6431" t="s">
        <v>16</v>
      </c>
      <c r="K6431" t="s">
        <v>17</v>
      </c>
      <c r="L6431">
        <f t="shared" si="300"/>
        <v>2022</v>
      </c>
      <c r="M6431" t="str">
        <f t="shared" si="301"/>
        <v>Jan</v>
      </c>
      <c r="N6431" s="2">
        <f t="shared" si="302"/>
        <v>0.23902533479193835</v>
      </c>
    </row>
    <row r="6432" spans="1:14" x14ac:dyDescent="0.45">
      <c r="A6432" t="s">
        <v>11096</v>
      </c>
      <c r="B6432" s="1">
        <v>45254</v>
      </c>
      <c r="C6432" t="s">
        <v>11097</v>
      </c>
      <c r="D6432" t="s">
        <v>26</v>
      </c>
      <c r="E6432" t="s">
        <v>14</v>
      </c>
      <c r="F6432" t="s">
        <v>32</v>
      </c>
      <c r="G6432">
        <v>5</v>
      </c>
      <c r="H6432">
        <v>35169.15</v>
      </c>
      <c r="I6432">
        <v>2760.42</v>
      </c>
      <c r="J6432" t="s">
        <v>71</v>
      </c>
      <c r="K6432" t="s">
        <v>33</v>
      </c>
      <c r="L6432">
        <f t="shared" si="300"/>
        <v>2023</v>
      </c>
      <c r="M6432" t="str">
        <f t="shared" si="301"/>
        <v>Nov</v>
      </c>
      <c r="N6432" s="2">
        <f t="shared" si="302"/>
        <v>7.8489812804688197E-2</v>
      </c>
    </row>
    <row r="6433" spans="1:14" x14ac:dyDescent="0.45">
      <c r="A6433" t="s">
        <v>11098</v>
      </c>
      <c r="B6433" s="1">
        <v>45101</v>
      </c>
      <c r="C6433" t="s">
        <v>11099</v>
      </c>
      <c r="D6433" t="s">
        <v>13</v>
      </c>
      <c r="E6433" t="s">
        <v>14</v>
      </c>
      <c r="F6433" t="s">
        <v>40</v>
      </c>
      <c r="G6433">
        <v>4</v>
      </c>
      <c r="H6433">
        <v>29523.52</v>
      </c>
      <c r="I6433">
        <v>3437.61</v>
      </c>
      <c r="J6433" t="s">
        <v>71</v>
      </c>
      <c r="K6433" t="s">
        <v>17</v>
      </c>
      <c r="L6433">
        <f t="shared" si="300"/>
        <v>2023</v>
      </c>
      <c r="M6433" t="str">
        <f t="shared" si="301"/>
        <v>Jun</v>
      </c>
      <c r="N6433" s="2">
        <f t="shared" si="302"/>
        <v>0.11643631924648552</v>
      </c>
    </row>
    <row r="6434" spans="1:14" x14ac:dyDescent="0.45">
      <c r="A6434" t="s">
        <v>11100</v>
      </c>
      <c r="B6434" s="1">
        <v>45143</v>
      </c>
      <c r="C6434" t="s">
        <v>1687</v>
      </c>
      <c r="D6434" t="s">
        <v>56</v>
      </c>
      <c r="E6434" t="s">
        <v>14</v>
      </c>
      <c r="F6434" t="s">
        <v>57</v>
      </c>
      <c r="G6434">
        <v>2</v>
      </c>
      <c r="H6434">
        <v>2129.91</v>
      </c>
      <c r="I6434">
        <v>438.08</v>
      </c>
      <c r="J6434" t="s">
        <v>47</v>
      </c>
      <c r="K6434" t="s">
        <v>23</v>
      </c>
      <c r="L6434">
        <f t="shared" si="300"/>
        <v>2023</v>
      </c>
      <c r="M6434" t="str">
        <f t="shared" si="301"/>
        <v>Aug</v>
      </c>
      <c r="N6434" s="2">
        <f t="shared" si="302"/>
        <v>0.20568005220877877</v>
      </c>
    </row>
    <row r="6435" spans="1:14" x14ac:dyDescent="0.45">
      <c r="A6435" t="s">
        <v>11101</v>
      </c>
      <c r="B6435" s="1">
        <v>45403</v>
      </c>
      <c r="C6435" t="s">
        <v>9268</v>
      </c>
      <c r="D6435" t="s">
        <v>26</v>
      </c>
      <c r="E6435" t="s">
        <v>36</v>
      </c>
      <c r="F6435" t="s">
        <v>46</v>
      </c>
      <c r="G6435">
        <v>1</v>
      </c>
      <c r="H6435">
        <v>33507.589999999997</v>
      </c>
      <c r="I6435">
        <v>7315.09</v>
      </c>
      <c r="J6435" t="s">
        <v>28</v>
      </c>
      <c r="K6435" t="s">
        <v>17</v>
      </c>
      <c r="L6435">
        <f t="shared" si="300"/>
        <v>2024</v>
      </c>
      <c r="M6435" t="str">
        <f t="shared" si="301"/>
        <v>Apr</v>
      </c>
      <c r="N6435" s="2">
        <f t="shared" si="302"/>
        <v>0.21831143332003289</v>
      </c>
    </row>
    <row r="6436" spans="1:14" x14ac:dyDescent="0.45">
      <c r="A6436" t="s">
        <v>11102</v>
      </c>
      <c r="B6436" s="1">
        <v>45424</v>
      </c>
      <c r="C6436" t="s">
        <v>11103</v>
      </c>
      <c r="D6436" t="s">
        <v>26</v>
      </c>
      <c r="E6436" t="s">
        <v>14</v>
      </c>
      <c r="F6436" t="s">
        <v>57</v>
      </c>
      <c r="G6436">
        <v>4</v>
      </c>
      <c r="H6436">
        <v>43903.92</v>
      </c>
      <c r="I6436">
        <v>5931.44</v>
      </c>
      <c r="J6436" t="s">
        <v>22</v>
      </c>
      <c r="K6436" t="s">
        <v>33</v>
      </c>
      <c r="L6436">
        <f t="shared" si="300"/>
        <v>2024</v>
      </c>
      <c r="M6436" t="str">
        <f t="shared" si="301"/>
        <v>May</v>
      </c>
      <c r="N6436" s="2">
        <f t="shared" si="302"/>
        <v>0.13510046483320851</v>
      </c>
    </row>
    <row r="6437" spans="1:14" x14ac:dyDescent="0.45">
      <c r="A6437" t="s">
        <v>11104</v>
      </c>
      <c r="B6437" s="1">
        <v>44720</v>
      </c>
      <c r="C6437" t="s">
        <v>6687</v>
      </c>
      <c r="D6437" t="s">
        <v>13</v>
      </c>
      <c r="E6437" t="s">
        <v>20</v>
      </c>
      <c r="F6437" t="s">
        <v>21</v>
      </c>
      <c r="G6437">
        <v>5</v>
      </c>
      <c r="H6437">
        <v>29204.52</v>
      </c>
      <c r="I6437">
        <v>6934.14</v>
      </c>
      <c r="J6437" t="s">
        <v>28</v>
      </c>
      <c r="K6437" t="s">
        <v>33</v>
      </c>
      <c r="L6437">
        <f t="shared" si="300"/>
        <v>2022</v>
      </c>
      <c r="M6437" t="str">
        <f t="shared" si="301"/>
        <v>Jun</v>
      </c>
      <c r="N6437" s="2">
        <f t="shared" si="302"/>
        <v>0.23743379449482477</v>
      </c>
    </row>
    <row r="6438" spans="1:14" x14ac:dyDescent="0.45">
      <c r="A6438" t="s">
        <v>11105</v>
      </c>
      <c r="B6438" s="1">
        <v>45000</v>
      </c>
      <c r="C6438" t="s">
        <v>11106</v>
      </c>
      <c r="D6438" t="s">
        <v>26</v>
      </c>
      <c r="E6438" t="s">
        <v>20</v>
      </c>
      <c r="F6438" t="s">
        <v>21</v>
      </c>
      <c r="G6438">
        <v>1</v>
      </c>
      <c r="H6438">
        <v>20318.150000000001</v>
      </c>
      <c r="I6438">
        <v>4410.82</v>
      </c>
      <c r="J6438" t="s">
        <v>71</v>
      </c>
      <c r="K6438" t="s">
        <v>23</v>
      </c>
      <c r="L6438">
        <f t="shared" si="300"/>
        <v>2023</v>
      </c>
      <c r="M6438" t="str">
        <f t="shared" si="301"/>
        <v>Mar</v>
      </c>
      <c r="N6438" s="2">
        <f t="shared" si="302"/>
        <v>0.21708767776593832</v>
      </c>
    </row>
    <row r="6439" spans="1:14" x14ac:dyDescent="0.45">
      <c r="A6439" t="s">
        <v>11107</v>
      </c>
      <c r="B6439" s="1">
        <v>45436</v>
      </c>
      <c r="C6439" t="s">
        <v>3513</v>
      </c>
      <c r="D6439" t="s">
        <v>26</v>
      </c>
      <c r="E6439" t="s">
        <v>36</v>
      </c>
      <c r="F6439" t="s">
        <v>37</v>
      </c>
      <c r="G6439">
        <v>1</v>
      </c>
      <c r="H6439">
        <v>29884.67</v>
      </c>
      <c r="I6439">
        <v>6443.89</v>
      </c>
      <c r="J6439" t="s">
        <v>71</v>
      </c>
      <c r="K6439" t="s">
        <v>17</v>
      </c>
      <c r="L6439">
        <f t="shared" si="300"/>
        <v>2024</v>
      </c>
      <c r="M6439" t="str">
        <f t="shared" si="301"/>
        <v>May</v>
      </c>
      <c r="N6439" s="2">
        <f t="shared" si="302"/>
        <v>0.21562526874146512</v>
      </c>
    </row>
    <row r="6440" spans="1:14" x14ac:dyDescent="0.45">
      <c r="A6440" t="s">
        <v>11108</v>
      </c>
      <c r="B6440" s="1">
        <v>44680</v>
      </c>
      <c r="C6440" t="s">
        <v>11109</v>
      </c>
      <c r="D6440" t="s">
        <v>13</v>
      </c>
      <c r="E6440" t="s">
        <v>20</v>
      </c>
      <c r="F6440" t="s">
        <v>27</v>
      </c>
      <c r="G6440">
        <v>2</v>
      </c>
      <c r="H6440">
        <v>48552.88</v>
      </c>
      <c r="I6440">
        <v>9516.33</v>
      </c>
      <c r="J6440" t="s">
        <v>47</v>
      </c>
      <c r="K6440" t="s">
        <v>23</v>
      </c>
      <c r="L6440">
        <f t="shared" si="300"/>
        <v>2022</v>
      </c>
      <c r="M6440" t="str">
        <f t="shared" si="301"/>
        <v>Apr</v>
      </c>
      <c r="N6440" s="2">
        <f t="shared" si="302"/>
        <v>0.19599928984645196</v>
      </c>
    </row>
    <row r="6441" spans="1:14" x14ac:dyDescent="0.45">
      <c r="A6441" t="s">
        <v>11110</v>
      </c>
      <c r="B6441" s="1">
        <v>45009</v>
      </c>
      <c r="C6441" t="s">
        <v>11111</v>
      </c>
      <c r="D6441" t="s">
        <v>13</v>
      </c>
      <c r="E6441" t="s">
        <v>14</v>
      </c>
      <c r="F6441" t="s">
        <v>32</v>
      </c>
      <c r="G6441">
        <v>2</v>
      </c>
      <c r="H6441">
        <v>22818.07</v>
      </c>
      <c r="I6441">
        <v>1939.57</v>
      </c>
      <c r="J6441" t="s">
        <v>16</v>
      </c>
      <c r="K6441" t="s">
        <v>29</v>
      </c>
      <c r="L6441">
        <f t="shared" si="300"/>
        <v>2023</v>
      </c>
      <c r="M6441" t="str">
        <f t="shared" si="301"/>
        <v>Mar</v>
      </c>
      <c r="N6441" s="2">
        <f t="shared" si="302"/>
        <v>8.5001492238388252E-2</v>
      </c>
    </row>
    <row r="6442" spans="1:14" x14ac:dyDescent="0.45">
      <c r="A6442" t="s">
        <v>11112</v>
      </c>
      <c r="B6442" s="1">
        <v>45535</v>
      </c>
      <c r="C6442" t="s">
        <v>1764</v>
      </c>
      <c r="D6442" t="s">
        <v>56</v>
      </c>
      <c r="E6442" t="s">
        <v>14</v>
      </c>
      <c r="F6442" t="s">
        <v>32</v>
      </c>
      <c r="G6442">
        <v>5</v>
      </c>
      <c r="H6442">
        <v>12991.49</v>
      </c>
      <c r="I6442">
        <v>2946.17</v>
      </c>
      <c r="J6442" t="s">
        <v>47</v>
      </c>
      <c r="K6442" t="s">
        <v>17</v>
      </c>
      <c r="L6442">
        <f t="shared" si="300"/>
        <v>2024</v>
      </c>
      <c r="M6442" t="str">
        <f t="shared" si="301"/>
        <v>Aug</v>
      </c>
      <c r="N6442" s="2">
        <f t="shared" si="302"/>
        <v>0.22677691319471441</v>
      </c>
    </row>
    <row r="6443" spans="1:14" x14ac:dyDescent="0.45">
      <c r="A6443" t="s">
        <v>11113</v>
      </c>
      <c r="B6443" s="1">
        <v>45474</v>
      </c>
      <c r="C6443" t="s">
        <v>11114</v>
      </c>
      <c r="D6443" t="s">
        <v>13</v>
      </c>
      <c r="E6443" t="s">
        <v>14</v>
      </c>
      <c r="F6443" t="s">
        <v>32</v>
      </c>
      <c r="G6443">
        <v>1</v>
      </c>
      <c r="H6443">
        <v>2629.53</v>
      </c>
      <c r="I6443">
        <v>149.77000000000001</v>
      </c>
      <c r="J6443" t="s">
        <v>16</v>
      </c>
      <c r="K6443" t="s">
        <v>29</v>
      </c>
      <c r="L6443">
        <f t="shared" si="300"/>
        <v>2024</v>
      </c>
      <c r="M6443" t="str">
        <f t="shared" si="301"/>
        <v>Jul</v>
      </c>
      <c r="N6443" s="2">
        <f t="shared" si="302"/>
        <v>5.695694667868402E-2</v>
      </c>
    </row>
    <row r="6444" spans="1:14" x14ac:dyDescent="0.45">
      <c r="A6444" t="s">
        <v>11115</v>
      </c>
      <c r="B6444" s="1">
        <v>45576</v>
      </c>
      <c r="C6444" t="s">
        <v>11116</v>
      </c>
      <c r="D6444" t="s">
        <v>13</v>
      </c>
      <c r="E6444" t="s">
        <v>14</v>
      </c>
      <c r="F6444" t="s">
        <v>40</v>
      </c>
      <c r="G6444">
        <v>3</v>
      </c>
      <c r="H6444">
        <v>28379.32</v>
      </c>
      <c r="I6444">
        <v>4204.8999999999996</v>
      </c>
      <c r="J6444" t="s">
        <v>28</v>
      </c>
      <c r="K6444" t="s">
        <v>17</v>
      </c>
      <c r="L6444">
        <f t="shared" si="300"/>
        <v>2024</v>
      </c>
      <c r="M6444" t="str">
        <f t="shared" si="301"/>
        <v>Oct</v>
      </c>
      <c r="N6444" s="2">
        <f t="shared" si="302"/>
        <v>0.14816775031959892</v>
      </c>
    </row>
    <row r="6445" spans="1:14" x14ac:dyDescent="0.45">
      <c r="A6445" t="s">
        <v>11117</v>
      </c>
      <c r="B6445" s="1">
        <v>45095</v>
      </c>
      <c r="C6445" t="s">
        <v>8591</v>
      </c>
      <c r="D6445" t="s">
        <v>56</v>
      </c>
      <c r="E6445" t="s">
        <v>14</v>
      </c>
      <c r="F6445" t="s">
        <v>32</v>
      </c>
      <c r="G6445">
        <v>5</v>
      </c>
      <c r="H6445">
        <v>39179.18</v>
      </c>
      <c r="I6445">
        <v>8913.36</v>
      </c>
      <c r="J6445" t="s">
        <v>16</v>
      </c>
      <c r="K6445" t="s">
        <v>23</v>
      </c>
      <c r="L6445">
        <f t="shared" si="300"/>
        <v>2023</v>
      </c>
      <c r="M6445" t="str">
        <f t="shared" si="301"/>
        <v>Jun</v>
      </c>
      <c r="N6445" s="2">
        <f t="shared" si="302"/>
        <v>0.22750246431905927</v>
      </c>
    </row>
    <row r="6446" spans="1:14" x14ac:dyDescent="0.45">
      <c r="A6446" t="s">
        <v>11118</v>
      </c>
      <c r="B6446" s="1">
        <v>44875</v>
      </c>
      <c r="C6446" t="s">
        <v>11119</v>
      </c>
      <c r="D6446" t="s">
        <v>13</v>
      </c>
      <c r="E6446" t="s">
        <v>36</v>
      </c>
      <c r="F6446" t="s">
        <v>64</v>
      </c>
      <c r="G6446">
        <v>2</v>
      </c>
      <c r="H6446">
        <v>49887.07</v>
      </c>
      <c r="I6446">
        <v>2658.91</v>
      </c>
      <c r="J6446" t="s">
        <v>16</v>
      </c>
      <c r="K6446" t="s">
        <v>17</v>
      </c>
      <c r="L6446">
        <f t="shared" si="300"/>
        <v>2022</v>
      </c>
      <c r="M6446" t="str">
        <f t="shared" si="301"/>
        <v>Nov</v>
      </c>
      <c r="N6446" s="2">
        <f t="shared" si="302"/>
        <v>5.3298580173179143E-2</v>
      </c>
    </row>
    <row r="6447" spans="1:14" x14ac:dyDescent="0.45">
      <c r="A6447" t="s">
        <v>11120</v>
      </c>
      <c r="B6447" s="1">
        <v>44657</v>
      </c>
      <c r="C6447" t="s">
        <v>11121</v>
      </c>
      <c r="D6447" t="s">
        <v>13</v>
      </c>
      <c r="E6447" t="s">
        <v>36</v>
      </c>
      <c r="F6447" t="s">
        <v>46</v>
      </c>
      <c r="G6447">
        <v>2</v>
      </c>
      <c r="H6447">
        <v>5325.65</v>
      </c>
      <c r="I6447">
        <v>1289.1600000000001</v>
      </c>
      <c r="J6447" t="s">
        <v>71</v>
      </c>
      <c r="K6447" t="s">
        <v>17</v>
      </c>
      <c r="L6447">
        <f t="shared" si="300"/>
        <v>2022</v>
      </c>
      <c r="M6447" t="str">
        <f t="shared" si="301"/>
        <v>Apr</v>
      </c>
      <c r="N6447" s="2">
        <f t="shared" si="302"/>
        <v>0.24206622665777888</v>
      </c>
    </row>
    <row r="6448" spans="1:14" x14ac:dyDescent="0.45">
      <c r="A6448" t="s">
        <v>11122</v>
      </c>
      <c r="B6448" s="1">
        <v>44688</v>
      </c>
      <c r="C6448" t="s">
        <v>11123</v>
      </c>
      <c r="D6448" t="s">
        <v>26</v>
      </c>
      <c r="E6448" t="s">
        <v>20</v>
      </c>
      <c r="F6448" t="s">
        <v>21</v>
      </c>
      <c r="G6448">
        <v>4</v>
      </c>
      <c r="H6448">
        <v>25117.55</v>
      </c>
      <c r="I6448">
        <v>4645.0600000000004</v>
      </c>
      <c r="J6448" t="s">
        <v>28</v>
      </c>
      <c r="K6448" t="s">
        <v>33</v>
      </c>
      <c r="L6448">
        <f t="shared" si="300"/>
        <v>2022</v>
      </c>
      <c r="M6448" t="str">
        <f t="shared" si="301"/>
        <v>May</v>
      </c>
      <c r="N6448" s="2">
        <f t="shared" si="302"/>
        <v>0.18493284575924007</v>
      </c>
    </row>
    <row r="6449" spans="1:14" x14ac:dyDescent="0.45">
      <c r="A6449" t="s">
        <v>11124</v>
      </c>
      <c r="B6449" s="1">
        <v>45486</v>
      </c>
      <c r="C6449" t="s">
        <v>11125</v>
      </c>
      <c r="D6449" t="s">
        <v>26</v>
      </c>
      <c r="E6449" t="s">
        <v>20</v>
      </c>
      <c r="F6449" t="s">
        <v>50</v>
      </c>
      <c r="G6449">
        <v>3</v>
      </c>
      <c r="H6449">
        <v>28842.71</v>
      </c>
      <c r="I6449">
        <v>5986.79</v>
      </c>
      <c r="J6449" t="s">
        <v>28</v>
      </c>
      <c r="K6449" t="s">
        <v>29</v>
      </c>
      <c r="L6449">
        <f t="shared" si="300"/>
        <v>2024</v>
      </c>
      <c r="M6449" t="str">
        <f t="shared" si="301"/>
        <v>Jul</v>
      </c>
      <c r="N6449" s="2">
        <f t="shared" si="302"/>
        <v>0.20756683404576062</v>
      </c>
    </row>
    <row r="6450" spans="1:14" x14ac:dyDescent="0.45">
      <c r="A6450" t="s">
        <v>11126</v>
      </c>
      <c r="B6450" s="1">
        <v>44614</v>
      </c>
      <c r="C6450" t="s">
        <v>11127</v>
      </c>
      <c r="D6450" t="s">
        <v>13</v>
      </c>
      <c r="E6450" t="s">
        <v>14</v>
      </c>
      <c r="F6450" t="s">
        <v>15</v>
      </c>
      <c r="G6450">
        <v>4</v>
      </c>
      <c r="H6450">
        <v>9566.0300000000007</v>
      </c>
      <c r="I6450">
        <v>2237.94</v>
      </c>
      <c r="J6450" t="s">
        <v>16</v>
      </c>
      <c r="K6450" t="s">
        <v>33</v>
      </c>
      <c r="L6450">
        <f t="shared" si="300"/>
        <v>2022</v>
      </c>
      <c r="M6450" t="str">
        <f t="shared" si="301"/>
        <v>Feb</v>
      </c>
      <c r="N6450" s="2">
        <f t="shared" si="302"/>
        <v>0.23394657972011376</v>
      </c>
    </row>
    <row r="6451" spans="1:14" x14ac:dyDescent="0.45">
      <c r="A6451" t="s">
        <v>11128</v>
      </c>
      <c r="B6451" s="1">
        <v>45632</v>
      </c>
      <c r="C6451" t="s">
        <v>6987</v>
      </c>
      <c r="D6451" t="s">
        <v>13</v>
      </c>
      <c r="E6451" t="s">
        <v>20</v>
      </c>
      <c r="F6451" t="s">
        <v>27</v>
      </c>
      <c r="G6451">
        <v>4</v>
      </c>
      <c r="H6451">
        <v>36213.82</v>
      </c>
      <c r="I6451">
        <v>3826.7</v>
      </c>
      <c r="J6451" t="s">
        <v>22</v>
      </c>
      <c r="K6451" t="s">
        <v>29</v>
      </c>
      <c r="L6451">
        <f t="shared" si="300"/>
        <v>2024</v>
      </c>
      <c r="M6451" t="str">
        <f t="shared" si="301"/>
        <v>Dec</v>
      </c>
      <c r="N6451" s="2">
        <f t="shared" si="302"/>
        <v>0.10566960348286925</v>
      </c>
    </row>
    <row r="6452" spans="1:14" x14ac:dyDescent="0.45">
      <c r="A6452" t="s">
        <v>11129</v>
      </c>
      <c r="B6452" s="1">
        <v>45302</v>
      </c>
      <c r="C6452" t="s">
        <v>11130</v>
      </c>
      <c r="D6452" t="s">
        <v>13</v>
      </c>
      <c r="E6452" t="s">
        <v>36</v>
      </c>
      <c r="F6452" t="s">
        <v>46</v>
      </c>
      <c r="G6452">
        <v>3</v>
      </c>
      <c r="H6452">
        <v>28970.49</v>
      </c>
      <c r="I6452">
        <v>5067.97</v>
      </c>
      <c r="J6452" t="s">
        <v>16</v>
      </c>
      <c r="K6452" t="s">
        <v>33</v>
      </c>
      <c r="L6452">
        <f t="shared" si="300"/>
        <v>2024</v>
      </c>
      <c r="M6452" t="str">
        <f t="shared" si="301"/>
        <v>Jan</v>
      </c>
      <c r="N6452" s="2">
        <f t="shared" si="302"/>
        <v>0.17493559825877988</v>
      </c>
    </row>
    <row r="6453" spans="1:14" x14ac:dyDescent="0.45">
      <c r="A6453" t="s">
        <v>11131</v>
      </c>
      <c r="B6453" s="1">
        <v>45338</v>
      </c>
      <c r="C6453" t="s">
        <v>11132</v>
      </c>
      <c r="D6453" t="s">
        <v>26</v>
      </c>
      <c r="E6453" t="s">
        <v>20</v>
      </c>
      <c r="F6453" t="s">
        <v>43</v>
      </c>
      <c r="G6453">
        <v>3</v>
      </c>
      <c r="H6453">
        <v>45819.62</v>
      </c>
      <c r="I6453">
        <v>3997.85</v>
      </c>
      <c r="J6453" t="s">
        <v>47</v>
      </c>
      <c r="K6453" t="s">
        <v>17</v>
      </c>
      <c r="L6453">
        <f t="shared" si="300"/>
        <v>2024</v>
      </c>
      <c r="M6453" t="str">
        <f t="shared" si="301"/>
        <v>Feb</v>
      </c>
      <c r="N6453" s="2">
        <f t="shared" si="302"/>
        <v>8.7251923957466254E-2</v>
      </c>
    </row>
    <row r="6454" spans="1:14" x14ac:dyDescent="0.45">
      <c r="A6454" t="s">
        <v>11133</v>
      </c>
      <c r="B6454" s="1">
        <v>44849</v>
      </c>
      <c r="C6454" t="s">
        <v>11134</v>
      </c>
      <c r="D6454" t="s">
        <v>26</v>
      </c>
      <c r="E6454" t="s">
        <v>20</v>
      </c>
      <c r="F6454" t="s">
        <v>21</v>
      </c>
      <c r="G6454">
        <v>2</v>
      </c>
      <c r="H6454">
        <v>44212.58</v>
      </c>
      <c r="I6454">
        <v>3203.24</v>
      </c>
      <c r="J6454" t="s">
        <v>16</v>
      </c>
      <c r="K6454" t="s">
        <v>23</v>
      </c>
      <c r="L6454">
        <f t="shared" si="300"/>
        <v>2022</v>
      </c>
      <c r="M6454" t="str">
        <f t="shared" si="301"/>
        <v>Oct</v>
      </c>
      <c r="N6454" s="2">
        <f t="shared" si="302"/>
        <v>7.2450872579704687E-2</v>
      </c>
    </row>
    <row r="6455" spans="1:14" x14ac:dyDescent="0.45">
      <c r="A6455" t="s">
        <v>11135</v>
      </c>
      <c r="B6455" s="1">
        <v>45577</v>
      </c>
      <c r="C6455" t="s">
        <v>11136</v>
      </c>
      <c r="D6455" t="s">
        <v>56</v>
      </c>
      <c r="E6455" t="s">
        <v>20</v>
      </c>
      <c r="F6455" t="s">
        <v>21</v>
      </c>
      <c r="G6455">
        <v>1</v>
      </c>
      <c r="H6455">
        <v>35682.870000000003</v>
      </c>
      <c r="I6455">
        <v>5487.95</v>
      </c>
      <c r="J6455" t="s">
        <v>47</v>
      </c>
      <c r="K6455" t="s">
        <v>33</v>
      </c>
      <c r="L6455">
        <f t="shared" si="300"/>
        <v>2024</v>
      </c>
      <c r="M6455" t="str">
        <f t="shared" si="301"/>
        <v>Oct</v>
      </c>
      <c r="N6455" s="2">
        <f t="shared" si="302"/>
        <v>0.15379788677312109</v>
      </c>
    </row>
    <row r="6456" spans="1:14" x14ac:dyDescent="0.45">
      <c r="A6456" t="s">
        <v>11137</v>
      </c>
      <c r="B6456" s="1">
        <v>45127</v>
      </c>
      <c r="C6456" t="s">
        <v>11138</v>
      </c>
      <c r="D6456" t="s">
        <v>56</v>
      </c>
      <c r="E6456" t="s">
        <v>14</v>
      </c>
      <c r="F6456" t="s">
        <v>15</v>
      </c>
      <c r="G6456">
        <v>3</v>
      </c>
      <c r="H6456">
        <v>3645.97</v>
      </c>
      <c r="I6456">
        <v>186.37</v>
      </c>
      <c r="J6456" t="s">
        <v>47</v>
      </c>
      <c r="K6456" t="s">
        <v>17</v>
      </c>
      <c r="L6456">
        <f t="shared" si="300"/>
        <v>2023</v>
      </c>
      <c r="M6456" t="str">
        <f t="shared" si="301"/>
        <v>Jul</v>
      </c>
      <c r="N6456" s="2">
        <f t="shared" si="302"/>
        <v>5.1116712424951388E-2</v>
      </c>
    </row>
    <row r="6457" spans="1:14" x14ac:dyDescent="0.45">
      <c r="A6457" t="s">
        <v>11139</v>
      </c>
      <c r="B6457" s="1">
        <v>45251</v>
      </c>
      <c r="C6457" t="s">
        <v>11140</v>
      </c>
      <c r="D6457" t="s">
        <v>26</v>
      </c>
      <c r="E6457" t="s">
        <v>14</v>
      </c>
      <c r="F6457" t="s">
        <v>32</v>
      </c>
      <c r="G6457">
        <v>5</v>
      </c>
      <c r="H6457">
        <v>25649.19</v>
      </c>
      <c r="I6457">
        <v>3973.48</v>
      </c>
      <c r="J6457" t="s">
        <v>22</v>
      </c>
      <c r="K6457" t="s">
        <v>29</v>
      </c>
      <c r="L6457">
        <f t="shared" si="300"/>
        <v>2023</v>
      </c>
      <c r="M6457" t="str">
        <f t="shared" si="301"/>
        <v>Nov</v>
      </c>
      <c r="N6457" s="2">
        <f t="shared" si="302"/>
        <v>0.15491639307128219</v>
      </c>
    </row>
    <row r="6458" spans="1:14" x14ac:dyDescent="0.45">
      <c r="A6458" t="s">
        <v>11141</v>
      </c>
      <c r="B6458" s="1">
        <v>45090</v>
      </c>
      <c r="C6458" t="s">
        <v>8471</v>
      </c>
      <c r="D6458" t="s">
        <v>26</v>
      </c>
      <c r="E6458" t="s">
        <v>20</v>
      </c>
      <c r="F6458" t="s">
        <v>50</v>
      </c>
      <c r="G6458">
        <v>2</v>
      </c>
      <c r="H6458">
        <v>1945.74</v>
      </c>
      <c r="I6458">
        <v>279.95</v>
      </c>
      <c r="J6458" t="s">
        <v>22</v>
      </c>
      <c r="K6458" t="s">
        <v>17</v>
      </c>
      <c r="L6458">
        <f t="shared" si="300"/>
        <v>2023</v>
      </c>
      <c r="M6458" t="str">
        <f t="shared" si="301"/>
        <v>Jun</v>
      </c>
      <c r="N6458" s="2">
        <f t="shared" si="302"/>
        <v>0.14387842157739472</v>
      </c>
    </row>
    <row r="6459" spans="1:14" x14ac:dyDescent="0.45">
      <c r="A6459" t="s">
        <v>11142</v>
      </c>
      <c r="B6459" s="1">
        <v>45651</v>
      </c>
      <c r="C6459" t="s">
        <v>7402</v>
      </c>
      <c r="D6459" t="s">
        <v>26</v>
      </c>
      <c r="E6459" t="s">
        <v>14</v>
      </c>
      <c r="F6459" t="s">
        <v>40</v>
      </c>
      <c r="G6459">
        <v>5</v>
      </c>
      <c r="H6459">
        <v>33722.92</v>
      </c>
      <c r="I6459">
        <v>8301.34</v>
      </c>
      <c r="J6459" t="s">
        <v>22</v>
      </c>
      <c r="K6459" t="s">
        <v>33</v>
      </c>
      <c r="L6459">
        <f t="shared" si="300"/>
        <v>2024</v>
      </c>
      <c r="M6459" t="str">
        <f t="shared" si="301"/>
        <v>Dec</v>
      </c>
      <c r="N6459" s="2">
        <f t="shared" si="302"/>
        <v>0.2461631436423655</v>
      </c>
    </row>
    <row r="6460" spans="1:14" x14ac:dyDescent="0.45">
      <c r="A6460" t="s">
        <v>11143</v>
      </c>
      <c r="B6460" s="1">
        <v>45283</v>
      </c>
      <c r="C6460" t="s">
        <v>2154</v>
      </c>
      <c r="D6460" t="s">
        <v>56</v>
      </c>
      <c r="E6460" t="s">
        <v>20</v>
      </c>
      <c r="F6460" t="s">
        <v>27</v>
      </c>
      <c r="G6460">
        <v>3</v>
      </c>
      <c r="H6460">
        <v>6766.88</v>
      </c>
      <c r="I6460">
        <v>1562.68</v>
      </c>
      <c r="J6460" t="s">
        <v>16</v>
      </c>
      <c r="K6460" t="s">
        <v>17</v>
      </c>
      <c r="L6460">
        <f t="shared" si="300"/>
        <v>2023</v>
      </c>
      <c r="M6460" t="str">
        <f t="shared" si="301"/>
        <v>Dec</v>
      </c>
      <c r="N6460" s="2">
        <f t="shared" si="302"/>
        <v>0.23093065046225145</v>
      </c>
    </row>
    <row r="6461" spans="1:14" x14ac:dyDescent="0.45">
      <c r="A6461" t="s">
        <v>11144</v>
      </c>
      <c r="B6461" s="1">
        <v>44606</v>
      </c>
      <c r="C6461" t="s">
        <v>620</v>
      </c>
      <c r="D6461" t="s">
        <v>13</v>
      </c>
      <c r="E6461" t="s">
        <v>20</v>
      </c>
      <c r="F6461" t="s">
        <v>21</v>
      </c>
      <c r="G6461">
        <v>5</v>
      </c>
      <c r="H6461">
        <v>46945.7</v>
      </c>
      <c r="I6461">
        <v>2555.59</v>
      </c>
      <c r="J6461" t="s">
        <v>47</v>
      </c>
      <c r="K6461" t="s">
        <v>33</v>
      </c>
      <c r="L6461">
        <f t="shared" si="300"/>
        <v>2022</v>
      </c>
      <c r="M6461" t="str">
        <f t="shared" si="301"/>
        <v>Feb</v>
      </c>
      <c r="N6461" s="2">
        <f t="shared" si="302"/>
        <v>5.4437147598182585E-2</v>
      </c>
    </row>
    <row r="6462" spans="1:14" x14ac:dyDescent="0.45">
      <c r="A6462" t="s">
        <v>11145</v>
      </c>
      <c r="B6462" s="1">
        <v>44988</v>
      </c>
      <c r="C6462" t="s">
        <v>4491</v>
      </c>
      <c r="D6462" t="s">
        <v>13</v>
      </c>
      <c r="E6462" t="s">
        <v>20</v>
      </c>
      <c r="F6462" t="s">
        <v>21</v>
      </c>
      <c r="G6462">
        <v>1</v>
      </c>
      <c r="H6462">
        <v>16395.86</v>
      </c>
      <c r="I6462">
        <v>4013.2</v>
      </c>
      <c r="J6462" t="s">
        <v>47</v>
      </c>
      <c r="K6462" t="s">
        <v>17</v>
      </c>
      <c r="L6462">
        <f t="shared" si="300"/>
        <v>2023</v>
      </c>
      <c r="M6462" t="str">
        <f t="shared" si="301"/>
        <v>Mar</v>
      </c>
      <c r="N6462" s="2">
        <f t="shared" si="302"/>
        <v>0.24476910634757795</v>
      </c>
    </row>
    <row r="6463" spans="1:14" x14ac:dyDescent="0.45">
      <c r="A6463" t="s">
        <v>11146</v>
      </c>
      <c r="B6463" s="1">
        <v>44623</v>
      </c>
      <c r="C6463" t="s">
        <v>11147</v>
      </c>
      <c r="D6463" t="s">
        <v>56</v>
      </c>
      <c r="E6463" t="s">
        <v>36</v>
      </c>
      <c r="F6463" t="s">
        <v>37</v>
      </c>
      <c r="G6463">
        <v>2</v>
      </c>
      <c r="H6463">
        <v>8612.56</v>
      </c>
      <c r="I6463">
        <v>441.32</v>
      </c>
      <c r="J6463" t="s">
        <v>71</v>
      </c>
      <c r="K6463" t="s">
        <v>23</v>
      </c>
      <c r="L6463">
        <f t="shared" si="300"/>
        <v>2022</v>
      </c>
      <c r="M6463" t="str">
        <f t="shared" si="301"/>
        <v>Mar</v>
      </c>
      <c r="N6463" s="2">
        <f t="shared" si="302"/>
        <v>5.1241442730152242E-2</v>
      </c>
    </row>
    <row r="6464" spans="1:14" x14ac:dyDescent="0.45">
      <c r="A6464" t="s">
        <v>11148</v>
      </c>
      <c r="B6464" s="1">
        <v>45282</v>
      </c>
      <c r="C6464" t="s">
        <v>11149</v>
      </c>
      <c r="D6464" t="s">
        <v>26</v>
      </c>
      <c r="E6464" t="s">
        <v>20</v>
      </c>
      <c r="F6464" t="s">
        <v>50</v>
      </c>
      <c r="G6464">
        <v>2</v>
      </c>
      <c r="H6464">
        <v>20039.689999999999</v>
      </c>
      <c r="I6464">
        <v>2202.98</v>
      </c>
      <c r="J6464" t="s">
        <v>16</v>
      </c>
      <c r="K6464" t="s">
        <v>17</v>
      </c>
      <c r="L6464">
        <f t="shared" si="300"/>
        <v>2023</v>
      </c>
      <c r="M6464" t="str">
        <f t="shared" si="301"/>
        <v>Dec</v>
      </c>
      <c r="N6464" s="2">
        <f t="shared" si="302"/>
        <v>0.10993084224356765</v>
      </c>
    </row>
    <row r="6465" spans="1:14" x14ac:dyDescent="0.45">
      <c r="A6465" t="s">
        <v>11150</v>
      </c>
      <c r="B6465" s="1">
        <v>44676</v>
      </c>
      <c r="C6465" t="s">
        <v>11151</v>
      </c>
      <c r="D6465" t="s">
        <v>13</v>
      </c>
      <c r="E6465" t="s">
        <v>20</v>
      </c>
      <c r="F6465" t="s">
        <v>21</v>
      </c>
      <c r="G6465">
        <v>1</v>
      </c>
      <c r="H6465">
        <v>21793.42</v>
      </c>
      <c r="I6465">
        <v>1587.74</v>
      </c>
      <c r="J6465" t="s">
        <v>28</v>
      </c>
      <c r="K6465" t="s">
        <v>17</v>
      </c>
      <c r="L6465">
        <f t="shared" si="300"/>
        <v>2022</v>
      </c>
      <c r="M6465" t="str">
        <f t="shared" si="301"/>
        <v>Apr</v>
      </c>
      <c r="N6465" s="2">
        <f t="shared" si="302"/>
        <v>7.2854099998990521E-2</v>
      </c>
    </row>
    <row r="6466" spans="1:14" x14ac:dyDescent="0.45">
      <c r="A6466" t="s">
        <v>11152</v>
      </c>
      <c r="B6466" s="1">
        <v>45098</v>
      </c>
      <c r="C6466" t="s">
        <v>6884</v>
      </c>
      <c r="D6466" t="s">
        <v>13</v>
      </c>
      <c r="E6466" t="s">
        <v>20</v>
      </c>
      <c r="F6466" t="s">
        <v>50</v>
      </c>
      <c r="G6466">
        <v>4</v>
      </c>
      <c r="H6466">
        <v>3624.02</v>
      </c>
      <c r="I6466">
        <v>613.21</v>
      </c>
      <c r="J6466" t="s">
        <v>47</v>
      </c>
      <c r="K6466" t="s">
        <v>17</v>
      </c>
      <c r="L6466">
        <f t="shared" si="300"/>
        <v>2023</v>
      </c>
      <c r="M6466" t="str">
        <f t="shared" si="301"/>
        <v>Jun</v>
      </c>
      <c r="N6466" s="2">
        <f t="shared" si="302"/>
        <v>0.16920712358099571</v>
      </c>
    </row>
    <row r="6467" spans="1:14" x14ac:dyDescent="0.45">
      <c r="A6467" t="s">
        <v>11153</v>
      </c>
      <c r="B6467" s="1">
        <v>44720</v>
      </c>
      <c r="C6467" t="s">
        <v>11154</v>
      </c>
      <c r="D6467" t="s">
        <v>26</v>
      </c>
      <c r="E6467" t="s">
        <v>14</v>
      </c>
      <c r="F6467" t="s">
        <v>40</v>
      </c>
      <c r="G6467">
        <v>1</v>
      </c>
      <c r="H6467">
        <v>17229.52</v>
      </c>
      <c r="I6467">
        <v>4085.96</v>
      </c>
      <c r="J6467" t="s">
        <v>16</v>
      </c>
      <c r="K6467" t="s">
        <v>33</v>
      </c>
      <c r="L6467">
        <f t="shared" ref="L6467:L6530" si="303">YEAR(B6467 )</f>
        <v>2022</v>
      </c>
      <c r="M6467" t="str">
        <f t="shared" ref="M6467:M6530" si="304">TEXT(B6467,"MMM")</f>
        <v>Jun</v>
      </c>
      <c r="N6467" s="2">
        <f t="shared" ref="N6467:N6530" si="305">I6467 / H6467</f>
        <v>0.23714880043088837</v>
      </c>
    </row>
    <row r="6468" spans="1:14" x14ac:dyDescent="0.45">
      <c r="A6468" t="s">
        <v>11155</v>
      </c>
      <c r="B6468" s="1">
        <v>45100</v>
      </c>
      <c r="C6468" t="s">
        <v>5503</v>
      </c>
      <c r="D6468" t="s">
        <v>13</v>
      </c>
      <c r="E6468" t="s">
        <v>20</v>
      </c>
      <c r="F6468" t="s">
        <v>43</v>
      </c>
      <c r="G6468">
        <v>5</v>
      </c>
      <c r="H6468">
        <v>13147.48</v>
      </c>
      <c r="I6468">
        <v>946.73</v>
      </c>
      <c r="J6468" t="s">
        <v>47</v>
      </c>
      <c r="K6468" t="s">
        <v>29</v>
      </c>
      <c r="L6468">
        <f t="shared" si="303"/>
        <v>2023</v>
      </c>
      <c r="M6468" t="str">
        <f t="shared" si="304"/>
        <v>Jun</v>
      </c>
      <c r="N6468" s="2">
        <f t="shared" si="305"/>
        <v>7.2008476149041489E-2</v>
      </c>
    </row>
    <row r="6469" spans="1:14" x14ac:dyDescent="0.45">
      <c r="A6469" t="s">
        <v>11156</v>
      </c>
      <c r="B6469" s="1">
        <v>44666</v>
      </c>
      <c r="C6469" t="s">
        <v>933</v>
      </c>
      <c r="D6469" t="s">
        <v>26</v>
      </c>
      <c r="E6469" t="s">
        <v>14</v>
      </c>
      <c r="F6469" t="s">
        <v>32</v>
      </c>
      <c r="G6469">
        <v>3</v>
      </c>
      <c r="H6469">
        <v>49850.34</v>
      </c>
      <c r="I6469">
        <v>8314.0300000000007</v>
      </c>
      <c r="J6469" t="s">
        <v>28</v>
      </c>
      <c r="K6469" t="s">
        <v>29</v>
      </c>
      <c r="L6469">
        <f t="shared" si="303"/>
        <v>2022</v>
      </c>
      <c r="M6469" t="str">
        <f t="shared" si="304"/>
        <v>Apr</v>
      </c>
      <c r="N6469" s="2">
        <f t="shared" si="305"/>
        <v>0.1667798053132637</v>
      </c>
    </row>
    <row r="6470" spans="1:14" x14ac:dyDescent="0.45">
      <c r="A6470" t="s">
        <v>11157</v>
      </c>
      <c r="B6470" s="1">
        <v>45594</v>
      </c>
      <c r="C6470" t="s">
        <v>4799</v>
      </c>
      <c r="D6470" t="s">
        <v>56</v>
      </c>
      <c r="E6470" t="s">
        <v>14</v>
      </c>
      <c r="F6470" t="s">
        <v>32</v>
      </c>
      <c r="G6470">
        <v>4</v>
      </c>
      <c r="H6470">
        <v>8317.44</v>
      </c>
      <c r="I6470">
        <v>962.74</v>
      </c>
      <c r="J6470" t="s">
        <v>47</v>
      </c>
      <c r="K6470" t="s">
        <v>33</v>
      </c>
      <c r="L6470">
        <f t="shared" si="303"/>
        <v>2024</v>
      </c>
      <c r="M6470" t="str">
        <f t="shared" si="304"/>
        <v>Oct</v>
      </c>
      <c r="N6470" s="2">
        <f t="shared" si="305"/>
        <v>0.11574955755617113</v>
      </c>
    </row>
    <row r="6471" spans="1:14" x14ac:dyDescent="0.45">
      <c r="A6471" t="s">
        <v>11158</v>
      </c>
      <c r="B6471" s="1">
        <v>44784</v>
      </c>
      <c r="C6471" t="s">
        <v>11159</v>
      </c>
      <c r="D6471" t="s">
        <v>56</v>
      </c>
      <c r="E6471" t="s">
        <v>36</v>
      </c>
      <c r="F6471" t="s">
        <v>53</v>
      </c>
      <c r="G6471">
        <v>1</v>
      </c>
      <c r="H6471">
        <v>36139.93</v>
      </c>
      <c r="I6471">
        <v>2501.7199999999998</v>
      </c>
      <c r="J6471" t="s">
        <v>16</v>
      </c>
      <c r="K6471" t="s">
        <v>29</v>
      </c>
      <c r="L6471">
        <f t="shared" si="303"/>
        <v>2022</v>
      </c>
      <c r="M6471" t="str">
        <f t="shared" si="304"/>
        <v>Aug</v>
      </c>
      <c r="N6471" s="2">
        <f t="shared" si="305"/>
        <v>6.9223155661895297E-2</v>
      </c>
    </row>
    <row r="6472" spans="1:14" x14ac:dyDescent="0.45">
      <c r="A6472" t="s">
        <v>11160</v>
      </c>
      <c r="B6472" s="1">
        <v>45035</v>
      </c>
      <c r="C6472" t="s">
        <v>5282</v>
      </c>
      <c r="D6472" t="s">
        <v>26</v>
      </c>
      <c r="E6472" t="s">
        <v>14</v>
      </c>
      <c r="F6472" t="s">
        <v>57</v>
      </c>
      <c r="G6472">
        <v>4</v>
      </c>
      <c r="H6472">
        <v>30116.48</v>
      </c>
      <c r="I6472">
        <v>7363.27</v>
      </c>
      <c r="J6472" t="s">
        <v>47</v>
      </c>
      <c r="K6472" t="s">
        <v>23</v>
      </c>
      <c r="L6472">
        <f t="shared" si="303"/>
        <v>2023</v>
      </c>
      <c r="M6472" t="str">
        <f t="shared" si="304"/>
        <v>Apr</v>
      </c>
      <c r="N6472" s="2">
        <f t="shared" si="305"/>
        <v>0.24449304832437257</v>
      </c>
    </row>
    <row r="6473" spans="1:14" x14ac:dyDescent="0.45">
      <c r="A6473" t="s">
        <v>11161</v>
      </c>
      <c r="B6473" s="1">
        <v>44961</v>
      </c>
      <c r="C6473" t="s">
        <v>11162</v>
      </c>
      <c r="D6473" t="s">
        <v>13</v>
      </c>
      <c r="E6473" t="s">
        <v>20</v>
      </c>
      <c r="F6473" t="s">
        <v>50</v>
      </c>
      <c r="G6473">
        <v>2</v>
      </c>
      <c r="H6473">
        <v>16993.86</v>
      </c>
      <c r="I6473">
        <v>1725.61</v>
      </c>
      <c r="J6473" t="s">
        <v>28</v>
      </c>
      <c r="K6473" t="s">
        <v>17</v>
      </c>
      <c r="L6473">
        <f t="shared" si="303"/>
        <v>2023</v>
      </c>
      <c r="M6473" t="str">
        <f t="shared" si="304"/>
        <v>Feb</v>
      </c>
      <c r="N6473" s="2">
        <f t="shared" si="305"/>
        <v>0.10154314558316944</v>
      </c>
    </row>
    <row r="6474" spans="1:14" x14ac:dyDescent="0.45">
      <c r="A6474" t="s">
        <v>11163</v>
      </c>
      <c r="B6474" s="1">
        <v>44782</v>
      </c>
      <c r="C6474" t="s">
        <v>11164</v>
      </c>
      <c r="D6474" t="s">
        <v>56</v>
      </c>
      <c r="E6474" t="s">
        <v>20</v>
      </c>
      <c r="F6474" t="s">
        <v>43</v>
      </c>
      <c r="G6474">
        <v>3</v>
      </c>
      <c r="H6474">
        <v>19784.64</v>
      </c>
      <c r="I6474">
        <v>2414.4</v>
      </c>
      <c r="J6474" t="s">
        <v>47</v>
      </c>
      <c r="K6474" t="s">
        <v>29</v>
      </c>
      <c r="L6474">
        <f t="shared" si="303"/>
        <v>2022</v>
      </c>
      <c r="M6474" t="str">
        <f t="shared" si="304"/>
        <v>Aug</v>
      </c>
      <c r="N6474" s="2">
        <f t="shared" si="305"/>
        <v>0.12203406278810229</v>
      </c>
    </row>
    <row r="6475" spans="1:14" x14ac:dyDescent="0.45">
      <c r="A6475" t="s">
        <v>11165</v>
      </c>
      <c r="B6475" s="1">
        <v>45529</v>
      </c>
      <c r="C6475" t="s">
        <v>6913</v>
      </c>
      <c r="D6475" t="s">
        <v>56</v>
      </c>
      <c r="E6475" t="s">
        <v>20</v>
      </c>
      <c r="F6475" t="s">
        <v>43</v>
      </c>
      <c r="G6475">
        <v>2</v>
      </c>
      <c r="H6475">
        <v>35931.449999999997</v>
      </c>
      <c r="I6475">
        <v>4796.1899999999996</v>
      </c>
      <c r="J6475" t="s">
        <v>71</v>
      </c>
      <c r="K6475" t="s">
        <v>23</v>
      </c>
      <c r="L6475">
        <f t="shared" si="303"/>
        <v>2024</v>
      </c>
      <c r="M6475" t="str">
        <f t="shared" si="304"/>
        <v>Aug</v>
      </c>
      <c r="N6475" s="2">
        <f t="shared" si="305"/>
        <v>0.13348167134919409</v>
      </c>
    </row>
    <row r="6476" spans="1:14" x14ac:dyDescent="0.45">
      <c r="A6476" t="s">
        <v>11166</v>
      </c>
      <c r="B6476" s="1">
        <v>45011</v>
      </c>
      <c r="C6476" t="s">
        <v>11167</v>
      </c>
      <c r="D6476" t="s">
        <v>56</v>
      </c>
      <c r="E6476" t="s">
        <v>20</v>
      </c>
      <c r="F6476" t="s">
        <v>43</v>
      </c>
      <c r="G6476">
        <v>4</v>
      </c>
      <c r="H6476">
        <v>26833.59</v>
      </c>
      <c r="I6476">
        <v>2249.65</v>
      </c>
      <c r="J6476" t="s">
        <v>28</v>
      </c>
      <c r="K6476" t="s">
        <v>29</v>
      </c>
      <c r="L6476">
        <f t="shared" si="303"/>
        <v>2023</v>
      </c>
      <c r="M6476" t="str">
        <f t="shared" si="304"/>
        <v>Mar</v>
      </c>
      <c r="N6476" s="2">
        <f t="shared" si="305"/>
        <v>8.3837086278802056E-2</v>
      </c>
    </row>
    <row r="6477" spans="1:14" x14ac:dyDescent="0.45">
      <c r="A6477" t="s">
        <v>11168</v>
      </c>
      <c r="B6477" s="1">
        <v>44764</v>
      </c>
      <c r="C6477" t="s">
        <v>11169</v>
      </c>
      <c r="D6477" t="s">
        <v>56</v>
      </c>
      <c r="E6477" t="s">
        <v>14</v>
      </c>
      <c r="F6477" t="s">
        <v>57</v>
      </c>
      <c r="G6477">
        <v>4</v>
      </c>
      <c r="H6477">
        <v>2939.92</v>
      </c>
      <c r="I6477">
        <v>690.95</v>
      </c>
      <c r="J6477" t="s">
        <v>71</v>
      </c>
      <c r="K6477" t="s">
        <v>29</v>
      </c>
      <c r="L6477">
        <f t="shared" si="303"/>
        <v>2022</v>
      </c>
      <c r="M6477" t="str">
        <f t="shared" si="304"/>
        <v>Jul</v>
      </c>
      <c r="N6477" s="2">
        <f t="shared" si="305"/>
        <v>0.23502340199733326</v>
      </c>
    </row>
    <row r="6478" spans="1:14" x14ac:dyDescent="0.45">
      <c r="A6478" t="s">
        <v>11170</v>
      </c>
      <c r="B6478" s="1">
        <v>45022</v>
      </c>
      <c r="C6478" t="s">
        <v>7734</v>
      </c>
      <c r="D6478" t="s">
        <v>26</v>
      </c>
      <c r="E6478" t="s">
        <v>36</v>
      </c>
      <c r="F6478" t="s">
        <v>64</v>
      </c>
      <c r="G6478">
        <v>1</v>
      </c>
      <c r="H6478">
        <v>48052.480000000003</v>
      </c>
      <c r="I6478">
        <v>11208.8</v>
      </c>
      <c r="J6478" t="s">
        <v>16</v>
      </c>
      <c r="K6478" t="s">
        <v>33</v>
      </c>
      <c r="L6478">
        <f t="shared" si="303"/>
        <v>2023</v>
      </c>
      <c r="M6478" t="str">
        <f t="shared" si="304"/>
        <v>Apr</v>
      </c>
      <c r="N6478" s="2">
        <f t="shared" si="305"/>
        <v>0.23326163394688471</v>
      </c>
    </row>
    <row r="6479" spans="1:14" x14ac:dyDescent="0.45">
      <c r="A6479" t="s">
        <v>11171</v>
      </c>
      <c r="B6479" s="1">
        <v>44577</v>
      </c>
      <c r="C6479" t="s">
        <v>345</v>
      </c>
      <c r="D6479" t="s">
        <v>26</v>
      </c>
      <c r="E6479" t="s">
        <v>20</v>
      </c>
      <c r="F6479" t="s">
        <v>21</v>
      </c>
      <c r="G6479">
        <v>4</v>
      </c>
      <c r="H6479">
        <v>30935.83</v>
      </c>
      <c r="I6479">
        <v>7186.31</v>
      </c>
      <c r="J6479" t="s">
        <v>16</v>
      </c>
      <c r="K6479" t="s">
        <v>29</v>
      </c>
      <c r="L6479">
        <f t="shared" si="303"/>
        <v>2022</v>
      </c>
      <c r="M6479" t="str">
        <f t="shared" si="304"/>
        <v>Jan</v>
      </c>
      <c r="N6479" s="2">
        <f t="shared" si="305"/>
        <v>0.23229730703847287</v>
      </c>
    </row>
    <row r="6480" spans="1:14" x14ac:dyDescent="0.45">
      <c r="A6480" t="s">
        <v>11172</v>
      </c>
      <c r="B6480" s="1">
        <v>44785</v>
      </c>
      <c r="C6480" t="s">
        <v>11173</v>
      </c>
      <c r="D6480" t="s">
        <v>13</v>
      </c>
      <c r="E6480" t="s">
        <v>20</v>
      </c>
      <c r="F6480" t="s">
        <v>27</v>
      </c>
      <c r="G6480">
        <v>3</v>
      </c>
      <c r="H6480">
        <v>10855.8</v>
      </c>
      <c r="I6480">
        <v>2346.7800000000002</v>
      </c>
      <c r="J6480" t="s">
        <v>71</v>
      </c>
      <c r="K6480" t="s">
        <v>29</v>
      </c>
      <c r="L6480">
        <f t="shared" si="303"/>
        <v>2022</v>
      </c>
      <c r="M6480" t="str">
        <f t="shared" si="304"/>
        <v>Aug</v>
      </c>
      <c r="N6480" s="2">
        <f t="shared" si="305"/>
        <v>0.21617752722047204</v>
      </c>
    </row>
    <row r="6481" spans="1:14" x14ac:dyDescent="0.45">
      <c r="A6481" t="s">
        <v>11174</v>
      </c>
      <c r="B6481" s="1">
        <v>45149</v>
      </c>
      <c r="C6481" t="s">
        <v>4213</v>
      </c>
      <c r="D6481" t="s">
        <v>26</v>
      </c>
      <c r="E6481" t="s">
        <v>36</v>
      </c>
      <c r="F6481" t="s">
        <v>53</v>
      </c>
      <c r="G6481">
        <v>5</v>
      </c>
      <c r="H6481">
        <v>2911.27</v>
      </c>
      <c r="I6481">
        <v>225.01</v>
      </c>
      <c r="J6481" t="s">
        <v>22</v>
      </c>
      <c r="K6481" t="s">
        <v>29</v>
      </c>
      <c r="L6481">
        <f t="shared" si="303"/>
        <v>2023</v>
      </c>
      <c r="M6481" t="str">
        <f t="shared" si="304"/>
        <v>Aug</v>
      </c>
      <c r="N6481" s="2">
        <f t="shared" si="305"/>
        <v>7.7289292988970443E-2</v>
      </c>
    </row>
    <row r="6482" spans="1:14" x14ac:dyDescent="0.45">
      <c r="A6482" t="s">
        <v>11175</v>
      </c>
      <c r="B6482" s="1">
        <v>45489</v>
      </c>
      <c r="C6482" t="s">
        <v>11138</v>
      </c>
      <c r="D6482" t="s">
        <v>26</v>
      </c>
      <c r="E6482" t="s">
        <v>36</v>
      </c>
      <c r="F6482" t="s">
        <v>64</v>
      </c>
      <c r="G6482">
        <v>2</v>
      </c>
      <c r="H6482">
        <v>1805.66</v>
      </c>
      <c r="I6482">
        <v>130.99</v>
      </c>
      <c r="J6482" t="s">
        <v>22</v>
      </c>
      <c r="K6482" t="s">
        <v>17</v>
      </c>
      <c r="L6482">
        <f t="shared" si="303"/>
        <v>2024</v>
      </c>
      <c r="M6482" t="str">
        <f t="shared" si="304"/>
        <v>Jul</v>
      </c>
      <c r="N6482" s="2">
        <f t="shared" si="305"/>
        <v>7.2544111294485125E-2</v>
      </c>
    </row>
    <row r="6483" spans="1:14" x14ac:dyDescent="0.45">
      <c r="A6483" t="s">
        <v>11176</v>
      </c>
      <c r="B6483" s="1">
        <v>45423</v>
      </c>
      <c r="C6483" t="s">
        <v>8079</v>
      </c>
      <c r="D6483" t="s">
        <v>13</v>
      </c>
      <c r="E6483" t="s">
        <v>20</v>
      </c>
      <c r="F6483" t="s">
        <v>21</v>
      </c>
      <c r="G6483">
        <v>1</v>
      </c>
      <c r="H6483">
        <v>25647.25</v>
      </c>
      <c r="I6483">
        <v>1451.6</v>
      </c>
      <c r="J6483" t="s">
        <v>71</v>
      </c>
      <c r="K6483" t="s">
        <v>29</v>
      </c>
      <c r="L6483">
        <f t="shared" si="303"/>
        <v>2024</v>
      </c>
      <c r="M6483" t="str">
        <f t="shared" si="304"/>
        <v>May</v>
      </c>
      <c r="N6483" s="2">
        <f t="shared" si="305"/>
        <v>5.6598660675121114E-2</v>
      </c>
    </row>
    <row r="6484" spans="1:14" x14ac:dyDescent="0.45">
      <c r="A6484" t="s">
        <v>11177</v>
      </c>
      <c r="B6484" s="1">
        <v>45439</v>
      </c>
      <c r="C6484" t="s">
        <v>11178</v>
      </c>
      <c r="D6484" t="s">
        <v>26</v>
      </c>
      <c r="E6484" t="s">
        <v>14</v>
      </c>
      <c r="F6484" t="s">
        <v>40</v>
      </c>
      <c r="G6484">
        <v>3</v>
      </c>
      <c r="H6484">
        <v>13602.41</v>
      </c>
      <c r="I6484">
        <v>2274.02</v>
      </c>
      <c r="J6484" t="s">
        <v>16</v>
      </c>
      <c r="K6484" t="s">
        <v>33</v>
      </c>
      <c r="L6484">
        <f t="shared" si="303"/>
        <v>2024</v>
      </c>
      <c r="M6484" t="str">
        <f t="shared" si="304"/>
        <v>May</v>
      </c>
      <c r="N6484" s="2">
        <f t="shared" si="305"/>
        <v>0.16717772806436507</v>
      </c>
    </row>
    <row r="6485" spans="1:14" x14ac:dyDescent="0.45">
      <c r="A6485" t="s">
        <v>11179</v>
      </c>
      <c r="B6485" s="1">
        <v>45441</v>
      </c>
      <c r="C6485" t="s">
        <v>11180</v>
      </c>
      <c r="D6485" t="s">
        <v>26</v>
      </c>
      <c r="E6485" t="s">
        <v>36</v>
      </c>
      <c r="F6485" t="s">
        <v>53</v>
      </c>
      <c r="G6485">
        <v>3</v>
      </c>
      <c r="H6485">
        <v>39602.93</v>
      </c>
      <c r="I6485">
        <v>4780.3900000000003</v>
      </c>
      <c r="J6485" t="s">
        <v>71</v>
      </c>
      <c r="K6485" t="s">
        <v>29</v>
      </c>
      <c r="L6485">
        <f t="shared" si="303"/>
        <v>2024</v>
      </c>
      <c r="M6485" t="str">
        <f t="shared" si="304"/>
        <v>May</v>
      </c>
      <c r="N6485" s="2">
        <f t="shared" si="305"/>
        <v>0.12070798802007832</v>
      </c>
    </row>
    <row r="6486" spans="1:14" x14ac:dyDescent="0.45">
      <c r="A6486" t="s">
        <v>11181</v>
      </c>
      <c r="B6486" s="1">
        <v>45487</v>
      </c>
      <c r="C6486" t="s">
        <v>11182</v>
      </c>
      <c r="D6486" t="s">
        <v>26</v>
      </c>
      <c r="E6486" t="s">
        <v>36</v>
      </c>
      <c r="F6486" t="s">
        <v>37</v>
      </c>
      <c r="G6486">
        <v>1</v>
      </c>
      <c r="H6486">
        <v>12530.16</v>
      </c>
      <c r="I6486">
        <v>1833.87</v>
      </c>
      <c r="J6486" t="s">
        <v>28</v>
      </c>
      <c r="K6486" t="s">
        <v>23</v>
      </c>
      <c r="L6486">
        <f t="shared" si="303"/>
        <v>2024</v>
      </c>
      <c r="M6486" t="str">
        <f t="shared" si="304"/>
        <v>Jul</v>
      </c>
      <c r="N6486" s="2">
        <f t="shared" si="305"/>
        <v>0.1463564711065142</v>
      </c>
    </row>
    <row r="6487" spans="1:14" x14ac:dyDescent="0.45">
      <c r="A6487" t="s">
        <v>11183</v>
      </c>
      <c r="B6487" s="1">
        <v>44756</v>
      </c>
      <c r="C6487" t="s">
        <v>572</v>
      </c>
      <c r="D6487" t="s">
        <v>56</v>
      </c>
      <c r="E6487" t="s">
        <v>14</v>
      </c>
      <c r="F6487" t="s">
        <v>32</v>
      </c>
      <c r="G6487">
        <v>4</v>
      </c>
      <c r="H6487">
        <v>37185.870000000003</v>
      </c>
      <c r="I6487">
        <v>4875.33</v>
      </c>
      <c r="J6487" t="s">
        <v>28</v>
      </c>
      <c r="K6487" t="s">
        <v>29</v>
      </c>
      <c r="L6487">
        <f t="shared" si="303"/>
        <v>2022</v>
      </c>
      <c r="M6487" t="str">
        <f t="shared" si="304"/>
        <v>Jul</v>
      </c>
      <c r="N6487" s="2">
        <f t="shared" si="305"/>
        <v>0.13110705760010455</v>
      </c>
    </row>
    <row r="6488" spans="1:14" x14ac:dyDescent="0.45">
      <c r="A6488" t="s">
        <v>11184</v>
      </c>
      <c r="B6488" s="1">
        <v>44947</v>
      </c>
      <c r="C6488" t="s">
        <v>11185</v>
      </c>
      <c r="D6488" t="s">
        <v>26</v>
      </c>
      <c r="E6488" t="s">
        <v>36</v>
      </c>
      <c r="F6488" t="s">
        <v>46</v>
      </c>
      <c r="G6488">
        <v>1</v>
      </c>
      <c r="H6488">
        <v>11032.23</v>
      </c>
      <c r="I6488">
        <v>1942.17</v>
      </c>
      <c r="J6488" t="s">
        <v>71</v>
      </c>
      <c r="K6488" t="s">
        <v>29</v>
      </c>
      <c r="L6488">
        <f t="shared" si="303"/>
        <v>2023</v>
      </c>
      <c r="M6488" t="str">
        <f t="shared" si="304"/>
        <v>Jan</v>
      </c>
      <c r="N6488" s="2">
        <f t="shared" si="305"/>
        <v>0.1760450969568256</v>
      </c>
    </row>
    <row r="6489" spans="1:14" x14ac:dyDescent="0.45">
      <c r="A6489" t="s">
        <v>11186</v>
      </c>
      <c r="B6489" s="1">
        <v>45194</v>
      </c>
      <c r="C6489" t="s">
        <v>11187</v>
      </c>
      <c r="D6489" t="s">
        <v>26</v>
      </c>
      <c r="E6489" t="s">
        <v>20</v>
      </c>
      <c r="F6489" t="s">
        <v>43</v>
      </c>
      <c r="G6489">
        <v>4</v>
      </c>
      <c r="H6489">
        <v>7958.77</v>
      </c>
      <c r="I6489">
        <v>639.61</v>
      </c>
      <c r="J6489" t="s">
        <v>71</v>
      </c>
      <c r="K6489" t="s">
        <v>17</v>
      </c>
      <c r="L6489">
        <f t="shared" si="303"/>
        <v>2023</v>
      </c>
      <c r="M6489" t="str">
        <f t="shared" si="304"/>
        <v>Sep</v>
      </c>
      <c r="N6489" s="2">
        <f t="shared" si="305"/>
        <v>8.0365433352138582E-2</v>
      </c>
    </row>
    <row r="6490" spans="1:14" x14ac:dyDescent="0.45">
      <c r="A6490" t="s">
        <v>11188</v>
      </c>
      <c r="B6490" s="1">
        <v>45152</v>
      </c>
      <c r="C6490" t="s">
        <v>11189</v>
      </c>
      <c r="D6490" t="s">
        <v>13</v>
      </c>
      <c r="E6490" t="s">
        <v>20</v>
      </c>
      <c r="F6490" t="s">
        <v>43</v>
      </c>
      <c r="G6490">
        <v>5</v>
      </c>
      <c r="H6490">
        <v>15556.06</v>
      </c>
      <c r="I6490">
        <v>2783.96</v>
      </c>
      <c r="J6490" t="s">
        <v>28</v>
      </c>
      <c r="K6490" t="s">
        <v>17</v>
      </c>
      <c r="L6490">
        <f t="shared" si="303"/>
        <v>2023</v>
      </c>
      <c r="M6490" t="str">
        <f t="shared" si="304"/>
        <v>Aug</v>
      </c>
      <c r="N6490" s="2">
        <f t="shared" si="305"/>
        <v>0.17896305362668954</v>
      </c>
    </row>
    <row r="6491" spans="1:14" x14ac:dyDescent="0.45">
      <c r="A6491" t="s">
        <v>11190</v>
      </c>
      <c r="B6491" s="1">
        <v>44880</v>
      </c>
      <c r="C6491" t="s">
        <v>238</v>
      </c>
      <c r="D6491" t="s">
        <v>56</v>
      </c>
      <c r="E6491" t="s">
        <v>36</v>
      </c>
      <c r="F6491" t="s">
        <v>46</v>
      </c>
      <c r="G6491">
        <v>4</v>
      </c>
      <c r="H6491">
        <v>27507.31</v>
      </c>
      <c r="I6491">
        <v>3875.42</v>
      </c>
      <c r="J6491" t="s">
        <v>28</v>
      </c>
      <c r="K6491" t="s">
        <v>33</v>
      </c>
      <c r="L6491">
        <f t="shared" si="303"/>
        <v>2022</v>
      </c>
      <c r="M6491" t="str">
        <f t="shared" si="304"/>
        <v>Nov</v>
      </c>
      <c r="N6491" s="2">
        <f t="shared" si="305"/>
        <v>0.14088691333321943</v>
      </c>
    </row>
    <row r="6492" spans="1:14" x14ac:dyDescent="0.45">
      <c r="A6492" t="s">
        <v>11191</v>
      </c>
      <c r="B6492" s="1">
        <v>44820</v>
      </c>
      <c r="C6492" t="s">
        <v>11192</v>
      </c>
      <c r="D6492" t="s">
        <v>56</v>
      </c>
      <c r="E6492" t="s">
        <v>20</v>
      </c>
      <c r="F6492" t="s">
        <v>21</v>
      </c>
      <c r="G6492">
        <v>5</v>
      </c>
      <c r="H6492">
        <v>4225.13</v>
      </c>
      <c r="I6492">
        <v>279.56</v>
      </c>
      <c r="J6492" t="s">
        <v>16</v>
      </c>
      <c r="K6492" t="s">
        <v>29</v>
      </c>
      <c r="L6492">
        <f t="shared" si="303"/>
        <v>2022</v>
      </c>
      <c r="M6492" t="str">
        <f t="shared" si="304"/>
        <v>Sep</v>
      </c>
      <c r="N6492" s="2">
        <f t="shared" si="305"/>
        <v>6.6166011460002408E-2</v>
      </c>
    </row>
    <row r="6493" spans="1:14" x14ac:dyDescent="0.45">
      <c r="A6493" t="s">
        <v>11193</v>
      </c>
      <c r="B6493" s="1">
        <v>45212</v>
      </c>
      <c r="C6493" t="s">
        <v>11194</v>
      </c>
      <c r="D6493" t="s">
        <v>56</v>
      </c>
      <c r="E6493" t="s">
        <v>14</v>
      </c>
      <c r="F6493" t="s">
        <v>15</v>
      </c>
      <c r="G6493">
        <v>5</v>
      </c>
      <c r="H6493">
        <v>3444.93</v>
      </c>
      <c r="I6493">
        <v>237.52</v>
      </c>
      <c r="J6493" t="s">
        <v>28</v>
      </c>
      <c r="K6493" t="s">
        <v>23</v>
      </c>
      <c r="L6493">
        <f t="shared" si="303"/>
        <v>2023</v>
      </c>
      <c r="M6493" t="str">
        <f t="shared" si="304"/>
        <v>Oct</v>
      </c>
      <c r="N6493" s="2">
        <f t="shared" si="305"/>
        <v>6.8947699953264663E-2</v>
      </c>
    </row>
    <row r="6494" spans="1:14" x14ac:dyDescent="0.45">
      <c r="A6494" t="s">
        <v>11195</v>
      </c>
      <c r="B6494" s="1">
        <v>44854</v>
      </c>
      <c r="C6494" t="s">
        <v>11196</v>
      </c>
      <c r="D6494" t="s">
        <v>26</v>
      </c>
      <c r="E6494" t="s">
        <v>20</v>
      </c>
      <c r="F6494" t="s">
        <v>27</v>
      </c>
      <c r="G6494">
        <v>4</v>
      </c>
      <c r="H6494">
        <v>1648.65</v>
      </c>
      <c r="I6494">
        <v>354.77</v>
      </c>
      <c r="J6494" t="s">
        <v>47</v>
      </c>
      <c r="K6494" t="s">
        <v>17</v>
      </c>
      <c r="L6494">
        <f t="shared" si="303"/>
        <v>2022</v>
      </c>
      <c r="M6494" t="str">
        <f t="shared" si="304"/>
        <v>Oct</v>
      </c>
      <c r="N6494" s="2">
        <f t="shared" si="305"/>
        <v>0.21518818427198008</v>
      </c>
    </row>
    <row r="6495" spans="1:14" x14ac:dyDescent="0.45">
      <c r="A6495" t="s">
        <v>11197</v>
      </c>
      <c r="B6495" s="1">
        <v>45453</v>
      </c>
      <c r="C6495" t="s">
        <v>11198</v>
      </c>
      <c r="D6495" t="s">
        <v>56</v>
      </c>
      <c r="E6495" t="s">
        <v>20</v>
      </c>
      <c r="F6495" t="s">
        <v>50</v>
      </c>
      <c r="G6495">
        <v>1</v>
      </c>
      <c r="H6495">
        <v>32203.87</v>
      </c>
      <c r="I6495">
        <v>4546.54</v>
      </c>
      <c r="J6495" t="s">
        <v>16</v>
      </c>
      <c r="K6495" t="s">
        <v>17</v>
      </c>
      <c r="L6495">
        <f t="shared" si="303"/>
        <v>2024</v>
      </c>
      <c r="M6495" t="str">
        <f t="shared" si="304"/>
        <v>Jun</v>
      </c>
      <c r="N6495" s="2">
        <f t="shared" si="305"/>
        <v>0.14117992651193786</v>
      </c>
    </row>
    <row r="6496" spans="1:14" x14ac:dyDescent="0.45">
      <c r="A6496" t="s">
        <v>11199</v>
      </c>
      <c r="B6496" s="1">
        <v>45355</v>
      </c>
      <c r="C6496" t="s">
        <v>11200</v>
      </c>
      <c r="D6496" t="s">
        <v>56</v>
      </c>
      <c r="E6496" t="s">
        <v>20</v>
      </c>
      <c r="F6496" t="s">
        <v>21</v>
      </c>
      <c r="G6496">
        <v>1</v>
      </c>
      <c r="H6496">
        <v>35250.9</v>
      </c>
      <c r="I6496">
        <v>5327.45</v>
      </c>
      <c r="J6496" t="s">
        <v>28</v>
      </c>
      <c r="K6496" t="s">
        <v>29</v>
      </c>
      <c r="L6496">
        <f t="shared" si="303"/>
        <v>2024</v>
      </c>
      <c r="M6496" t="str">
        <f t="shared" si="304"/>
        <v>Mar</v>
      </c>
      <c r="N6496" s="2">
        <f t="shared" si="305"/>
        <v>0.15112947470844715</v>
      </c>
    </row>
    <row r="6497" spans="1:14" x14ac:dyDescent="0.45">
      <c r="A6497" t="s">
        <v>11201</v>
      </c>
      <c r="B6497" s="1">
        <v>45232</v>
      </c>
      <c r="C6497" t="s">
        <v>7178</v>
      </c>
      <c r="D6497" t="s">
        <v>26</v>
      </c>
      <c r="E6497" t="s">
        <v>36</v>
      </c>
      <c r="F6497" t="s">
        <v>37</v>
      </c>
      <c r="G6497">
        <v>2</v>
      </c>
      <c r="H6497">
        <v>13995.87</v>
      </c>
      <c r="I6497">
        <v>3260.46</v>
      </c>
      <c r="J6497" t="s">
        <v>22</v>
      </c>
      <c r="K6497" t="s">
        <v>33</v>
      </c>
      <c r="L6497">
        <f t="shared" si="303"/>
        <v>2023</v>
      </c>
      <c r="M6497" t="str">
        <f t="shared" si="304"/>
        <v>Nov</v>
      </c>
      <c r="N6497" s="2">
        <f t="shared" si="305"/>
        <v>0.23295872282323285</v>
      </c>
    </row>
    <row r="6498" spans="1:14" x14ac:dyDescent="0.45">
      <c r="A6498" t="s">
        <v>11202</v>
      </c>
      <c r="B6498" s="1">
        <v>45568</v>
      </c>
      <c r="C6498" t="s">
        <v>5723</v>
      </c>
      <c r="D6498" t="s">
        <v>56</v>
      </c>
      <c r="E6498" t="s">
        <v>14</v>
      </c>
      <c r="F6498" t="s">
        <v>57</v>
      </c>
      <c r="G6498">
        <v>1</v>
      </c>
      <c r="H6498">
        <v>40501.58</v>
      </c>
      <c r="I6498">
        <v>8279.64</v>
      </c>
      <c r="J6498" t="s">
        <v>22</v>
      </c>
      <c r="K6498" t="s">
        <v>33</v>
      </c>
      <c r="L6498">
        <f t="shared" si="303"/>
        <v>2024</v>
      </c>
      <c r="M6498" t="str">
        <f t="shared" si="304"/>
        <v>Oct</v>
      </c>
      <c r="N6498" s="2">
        <f t="shared" si="305"/>
        <v>0.20442758035612435</v>
      </c>
    </row>
    <row r="6499" spans="1:14" x14ac:dyDescent="0.45">
      <c r="A6499" t="s">
        <v>11203</v>
      </c>
      <c r="B6499" s="1">
        <v>44597</v>
      </c>
      <c r="C6499" t="s">
        <v>11204</v>
      </c>
      <c r="D6499" t="s">
        <v>56</v>
      </c>
      <c r="E6499" t="s">
        <v>20</v>
      </c>
      <c r="F6499" t="s">
        <v>43</v>
      </c>
      <c r="G6499">
        <v>1</v>
      </c>
      <c r="H6499">
        <v>5387.42</v>
      </c>
      <c r="I6499">
        <v>741.57</v>
      </c>
      <c r="J6499" t="s">
        <v>16</v>
      </c>
      <c r="K6499" t="s">
        <v>17</v>
      </c>
      <c r="L6499">
        <f t="shared" si="303"/>
        <v>2022</v>
      </c>
      <c r="M6499" t="str">
        <f t="shared" si="304"/>
        <v>Feb</v>
      </c>
      <c r="N6499" s="2">
        <f t="shared" si="305"/>
        <v>0.13764844767996556</v>
      </c>
    </row>
    <row r="6500" spans="1:14" x14ac:dyDescent="0.45">
      <c r="A6500" t="s">
        <v>11205</v>
      </c>
      <c r="B6500" s="1">
        <v>44750</v>
      </c>
      <c r="C6500" t="s">
        <v>11206</v>
      </c>
      <c r="D6500" t="s">
        <v>26</v>
      </c>
      <c r="E6500" t="s">
        <v>20</v>
      </c>
      <c r="F6500" t="s">
        <v>43</v>
      </c>
      <c r="G6500">
        <v>1</v>
      </c>
      <c r="H6500">
        <v>33752.720000000001</v>
      </c>
      <c r="I6500">
        <v>3918.82</v>
      </c>
      <c r="J6500" t="s">
        <v>22</v>
      </c>
      <c r="K6500" t="s">
        <v>17</v>
      </c>
      <c r="L6500">
        <f t="shared" si="303"/>
        <v>2022</v>
      </c>
      <c r="M6500" t="str">
        <f t="shared" si="304"/>
        <v>Jul</v>
      </c>
      <c r="N6500" s="2">
        <f t="shared" si="305"/>
        <v>0.11610382807667056</v>
      </c>
    </row>
    <row r="6501" spans="1:14" x14ac:dyDescent="0.45">
      <c r="A6501" t="s">
        <v>11207</v>
      </c>
      <c r="B6501" s="1">
        <v>44916</v>
      </c>
      <c r="C6501" t="s">
        <v>8221</v>
      </c>
      <c r="D6501" t="s">
        <v>56</v>
      </c>
      <c r="E6501" t="s">
        <v>36</v>
      </c>
      <c r="F6501" t="s">
        <v>64</v>
      </c>
      <c r="G6501">
        <v>1</v>
      </c>
      <c r="H6501">
        <v>8800.4599999999991</v>
      </c>
      <c r="I6501">
        <v>1383.55</v>
      </c>
      <c r="J6501" t="s">
        <v>71</v>
      </c>
      <c r="K6501" t="s">
        <v>29</v>
      </c>
      <c r="L6501">
        <f t="shared" si="303"/>
        <v>2022</v>
      </c>
      <c r="M6501" t="str">
        <f t="shared" si="304"/>
        <v>Dec</v>
      </c>
      <c r="N6501" s="2">
        <f t="shared" si="305"/>
        <v>0.15721337293732374</v>
      </c>
    </row>
    <row r="6502" spans="1:14" x14ac:dyDescent="0.45">
      <c r="A6502" t="s">
        <v>11208</v>
      </c>
      <c r="B6502" s="1">
        <v>44570</v>
      </c>
      <c r="C6502" t="s">
        <v>389</v>
      </c>
      <c r="D6502" t="s">
        <v>56</v>
      </c>
      <c r="E6502" t="s">
        <v>36</v>
      </c>
      <c r="F6502" t="s">
        <v>53</v>
      </c>
      <c r="G6502">
        <v>2</v>
      </c>
      <c r="H6502">
        <v>26591</v>
      </c>
      <c r="I6502">
        <v>5786.46</v>
      </c>
      <c r="J6502" t="s">
        <v>28</v>
      </c>
      <c r="K6502" t="s">
        <v>17</v>
      </c>
      <c r="L6502">
        <f t="shared" si="303"/>
        <v>2022</v>
      </c>
      <c r="M6502" t="str">
        <f t="shared" si="304"/>
        <v>Jan</v>
      </c>
      <c r="N6502" s="2">
        <f t="shared" si="305"/>
        <v>0.21760971757361514</v>
      </c>
    </row>
    <row r="6503" spans="1:14" x14ac:dyDescent="0.45">
      <c r="A6503" t="s">
        <v>11209</v>
      </c>
      <c r="B6503" s="1">
        <v>44814</v>
      </c>
      <c r="C6503" t="s">
        <v>11210</v>
      </c>
      <c r="D6503" t="s">
        <v>56</v>
      </c>
      <c r="E6503" t="s">
        <v>36</v>
      </c>
      <c r="F6503" t="s">
        <v>46</v>
      </c>
      <c r="G6503">
        <v>3</v>
      </c>
      <c r="H6503">
        <v>15421.92</v>
      </c>
      <c r="I6503">
        <v>1406.71</v>
      </c>
      <c r="J6503" t="s">
        <v>28</v>
      </c>
      <c r="K6503" t="s">
        <v>17</v>
      </c>
      <c r="L6503">
        <f t="shared" si="303"/>
        <v>2022</v>
      </c>
      <c r="M6503" t="str">
        <f t="shared" si="304"/>
        <v>Sep</v>
      </c>
      <c r="N6503" s="2">
        <f t="shared" si="305"/>
        <v>9.1214971936049466E-2</v>
      </c>
    </row>
    <row r="6504" spans="1:14" x14ac:dyDescent="0.45">
      <c r="A6504" t="s">
        <v>11211</v>
      </c>
      <c r="B6504" s="1">
        <v>45055</v>
      </c>
      <c r="C6504" t="s">
        <v>3754</v>
      </c>
      <c r="D6504" t="s">
        <v>56</v>
      </c>
      <c r="E6504" t="s">
        <v>20</v>
      </c>
      <c r="F6504" t="s">
        <v>27</v>
      </c>
      <c r="G6504">
        <v>5</v>
      </c>
      <c r="H6504">
        <v>11941.09</v>
      </c>
      <c r="I6504">
        <v>1590.95</v>
      </c>
      <c r="J6504" t="s">
        <v>28</v>
      </c>
      <c r="K6504" t="s">
        <v>29</v>
      </c>
      <c r="L6504">
        <f t="shared" si="303"/>
        <v>2023</v>
      </c>
      <c r="M6504" t="str">
        <f t="shared" si="304"/>
        <v>May</v>
      </c>
      <c r="N6504" s="2">
        <f t="shared" si="305"/>
        <v>0.13323323080221319</v>
      </c>
    </row>
    <row r="6505" spans="1:14" x14ac:dyDescent="0.45">
      <c r="A6505" t="s">
        <v>11212</v>
      </c>
      <c r="B6505" s="1">
        <v>44837</v>
      </c>
      <c r="C6505" t="s">
        <v>3976</v>
      </c>
      <c r="D6505" t="s">
        <v>56</v>
      </c>
      <c r="E6505" t="s">
        <v>14</v>
      </c>
      <c r="F6505" t="s">
        <v>32</v>
      </c>
      <c r="G6505">
        <v>2</v>
      </c>
      <c r="H6505">
        <v>13256.11</v>
      </c>
      <c r="I6505">
        <v>3198.62</v>
      </c>
      <c r="J6505" t="s">
        <v>71</v>
      </c>
      <c r="K6505" t="s">
        <v>29</v>
      </c>
      <c r="L6505">
        <f t="shared" si="303"/>
        <v>2022</v>
      </c>
      <c r="M6505" t="str">
        <f t="shared" si="304"/>
        <v>Oct</v>
      </c>
      <c r="N6505" s="2">
        <f t="shared" si="305"/>
        <v>0.24129401460911232</v>
      </c>
    </row>
    <row r="6506" spans="1:14" x14ac:dyDescent="0.45">
      <c r="A6506" t="s">
        <v>11213</v>
      </c>
      <c r="B6506" s="1">
        <v>44695</v>
      </c>
      <c r="C6506" t="s">
        <v>11214</v>
      </c>
      <c r="D6506" t="s">
        <v>13</v>
      </c>
      <c r="E6506" t="s">
        <v>14</v>
      </c>
      <c r="F6506" t="s">
        <v>57</v>
      </c>
      <c r="G6506">
        <v>5</v>
      </c>
      <c r="H6506">
        <v>48753.86</v>
      </c>
      <c r="I6506">
        <v>6637.21</v>
      </c>
      <c r="J6506" t="s">
        <v>47</v>
      </c>
      <c r="K6506" t="s">
        <v>23</v>
      </c>
      <c r="L6506">
        <f t="shared" si="303"/>
        <v>2022</v>
      </c>
      <c r="M6506" t="str">
        <f t="shared" si="304"/>
        <v>May</v>
      </c>
      <c r="N6506" s="2">
        <f t="shared" si="305"/>
        <v>0.13613711816869475</v>
      </c>
    </row>
    <row r="6507" spans="1:14" x14ac:dyDescent="0.45">
      <c r="A6507" t="s">
        <v>11215</v>
      </c>
      <c r="B6507" s="1">
        <v>44959</v>
      </c>
      <c r="C6507" t="s">
        <v>11216</v>
      </c>
      <c r="D6507" t="s">
        <v>26</v>
      </c>
      <c r="E6507" t="s">
        <v>14</v>
      </c>
      <c r="F6507" t="s">
        <v>57</v>
      </c>
      <c r="G6507">
        <v>5</v>
      </c>
      <c r="H6507">
        <v>31227.14</v>
      </c>
      <c r="I6507">
        <v>2499.69</v>
      </c>
      <c r="J6507" t="s">
        <v>47</v>
      </c>
      <c r="K6507" t="s">
        <v>17</v>
      </c>
      <c r="L6507">
        <f t="shared" si="303"/>
        <v>2023</v>
      </c>
      <c r="M6507" t="str">
        <f t="shared" si="304"/>
        <v>Feb</v>
      </c>
      <c r="N6507" s="2">
        <f t="shared" si="305"/>
        <v>8.0048637179069237E-2</v>
      </c>
    </row>
    <row r="6508" spans="1:14" x14ac:dyDescent="0.45">
      <c r="A6508" t="s">
        <v>11217</v>
      </c>
      <c r="B6508" s="1">
        <v>45508</v>
      </c>
      <c r="C6508" t="s">
        <v>8483</v>
      </c>
      <c r="D6508" t="s">
        <v>13</v>
      </c>
      <c r="E6508" t="s">
        <v>20</v>
      </c>
      <c r="F6508" t="s">
        <v>50</v>
      </c>
      <c r="G6508">
        <v>3</v>
      </c>
      <c r="H6508">
        <v>35692.21</v>
      </c>
      <c r="I6508">
        <v>8175.1</v>
      </c>
      <c r="J6508" t="s">
        <v>71</v>
      </c>
      <c r="K6508" t="s">
        <v>17</v>
      </c>
      <c r="L6508">
        <f t="shared" si="303"/>
        <v>2024</v>
      </c>
      <c r="M6508" t="str">
        <f t="shared" si="304"/>
        <v>Aug</v>
      </c>
      <c r="N6508" s="2">
        <f t="shared" si="305"/>
        <v>0.22904437691025578</v>
      </c>
    </row>
    <row r="6509" spans="1:14" x14ac:dyDescent="0.45">
      <c r="A6509" t="s">
        <v>11218</v>
      </c>
      <c r="B6509" s="1">
        <v>44763</v>
      </c>
      <c r="C6509" t="s">
        <v>8545</v>
      </c>
      <c r="D6509" t="s">
        <v>26</v>
      </c>
      <c r="E6509" t="s">
        <v>14</v>
      </c>
      <c r="F6509" t="s">
        <v>40</v>
      </c>
      <c r="G6509">
        <v>2</v>
      </c>
      <c r="H6509">
        <v>41813.5</v>
      </c>
      <c r="I6509">
        <v>2207.79</v>
      </c>
      <c r="J6509" t="s">
        <v>47</v>
      </c>
      <c r="K6509" t="s">
        <v>29</v>
      </c>
      <c r="L6509">
        <f t="shared" si="303"/>
        <v>2022</v>
      </c>
      <c r="M6509" t="str">
        <f t="shared" si="304"/>
        <v>Jul</v>
      </c>
      <c r="N6509" s="2">
        <f t="shared" si="305"/>
        <v>5.2800889664821167E-2</v>
      </c>
    </row>
    <row r="6510" spans="1:14" x14ac:dyDescent="0.45">
      <c r="A6510" t="s">
        <v>11219</v>
      </c>
      <c r="B6510" s="1">
        <v>44804</v>
      </c>
      <c r="C6510" t="s">
        <v>3847</v>
      </c>
      <c r="D6510" t="s">
        <v>13</v>
      </c>
      <c r="E6510" t="s">
        <v>36</v>
      </c>
      <c r="F6510" t="s">
        <v>37</v>
      </c>
      <c r="G6510">
        <v>4</v>
      </c>
      <c r="H6510">
        <v>14936.72</v>
      </c>
      <c r="I6510">
        <v>1420.65</v>
      </c>
      <c r="J6510" t="s">
        <v>71</v>
      </c>
      <c r="K6510" t="s">
        <v>29</v>
      </c>
      <c r="L6510">
        <f t="shared" si="303"/>
        <v>2022</v>
      </c>
      <c r="M6510" t="str">
        <f t="shared" si="304"/>
        <v>Aug</v>
      </c>
      <c r="N6510" s="2">
        <f t="shared" si="305"/>
        <v>9.5111242628903817E-2</v>
      </c>
    </row>
    <row r="6511" spans="1:14" x14ac:dyDescent="0.45">
      <c r="A6511" t="s">
        <v>11220</v>
      </c>
      <c r="B6511" s="1">
        <v>45026</v>
      </c>
      <c r="C6511" t="s">
        <v>8634</v>
      </c>
      <c r="D6511" t="s">
        <v>56</v>
      </c>
      <c r="E6511" t="s">
        <v>20</v>
      </c>
      <c r="F6511" t="s">
        <v>27</v>
      </c>
      <c r="G6511">
        <v>1</v>
      </c>
      <c r="H6511">
        <v>39590.53</v>
      </c>
      <c r="I6511">
        <v>5775.89</v>
      </c>
      <c r="J6511" t="s">
        <v>16</v>
      </c>
      <c r="K6511" t="s">
        <v>23</v>
      </c>
      <c r="L6511">
        <f t="shared" si="303"/>
        <v>2023</v>
      </c>
      <c r="M6511" t="str">
        <f t="shared" si="304"/>
        <v>Apr</v>
      </c>
      <c r="N6511" s="2">
        <f t="shared" si="305"/>
        <v>0.14589069658830028</v>
      </c>
    </row>
    <row r="6512" spans="1:14" x14ac:dyDescent="0.45">
      <c r="A6512" t="s">
        <v>11221</v>
      </c>
      <c r="B6512" s="1">
        <v>45307</v>
      </c>
      <c r="C6512" t="s">
        <v>11222</v>
      </c>
      <c r="D6512" t="s">
        <v>26</v>
      </c>
      <c r="E6512" t="s">
        <v>20</v>
      </c>
      <c r="F6512" t="s">
        <v>27</v>
      </c>
      <c r="G6512">
        <v>3</v>
      </c>
      <c r="H6512">
        <v>20202.919999999998</v>
      </c>
      <c r="I6512">
        <v>4102.99</v>
      </c>
      <c r="J6512" t="s">
        <v>47</v>
      </c>
      <c r="K6512" t="s">
        <v>17</v>
      </c>
      <c r="L6512">
        <f t="shared" si="303"/>
        <v>2024</v>
      </c>
      <c r="M6512" t="str">
        <f t="shared" si="304"/>
        <v>Jan</v>
      </c>
      <c r="N6512" s="2">
        <f t="shared" si="305"/>
        <v>0.20308895941774754</v>
      </c>
    </row>
    <row r="6513" spans="1:14" x14ac:dyDescent="0.45">
      <c r="A6513" t="s">
        <v>11223</v>
      </c>
      <c r="B6513" s="1">
        <v>45138</v>
      </c>
      <c r="C6513" t="s">
        <v>6656</v>
      </c>
      <c r="D6513" t="s">
        <v>56</v>
      </c>
      <c r="E6513" t="s">
        <v>14</v>
      </c>
      <c r="F6513" t="s">
        <v>15</v>
      </c>
      <c r="G6513">
        <v>2</v>
      </c>
      <c r="H6513">
        <v>40627.51</v>
      </c>
      <c r="I6513">
        <v>6026.48</v>
      </c>
      <c r="J6513" t="s">
        <v>28</v>
      </c>
      <c r="K6513" t="s">
        <v>29</v>
      </c>
      <c r="L6513">
        <f t="shared" si="303"/>
        <v>2023</v>
      </c>
      <c r="M6513" t="str">
        <f t="shared" si="304"/>
        <v>Jul</v>
      </c>
      <c r="N6513" s="2">
        <f t="shared" si="305"/>
        <v>0.14833495825857895</v>
      </c>
    </row>
    <row r="6514" spans="1:14" x14ac:dyDescent="0.45">
      <c r="A6514" t="s">
        <v>11224</v>
      </c>
      <c r="B6514" s="1">
        <v>44859</v>
      </c>
      <c r="C6514" t="s">
        <v>3219</v>
      </c>
      <c r="D6514" t="s">
        <v>26</v>
      </c>
      <c r="E6514" t="s">
        <v>20</v>
      </c>
      <c r="F6514" t="s">
        <v>50</v>
      </c>
      <c r="G6514">
        <v>1</v>
      </c>
      <c r="H6514">
        <v>45423.78</v>
      </c>
      <c r="I6514">
        <v>4549.53</v>
      </c>
      <c r="J6514" t="s">
        <v>47</v>
      </c>
      <c r="K6514" t="s">
        <v>23</v>
      </c>
      <c r="L6514">
        <f t="shared" si="303"/>
        <v>2022</v>
      </c>
      <c r="M6514" t="str">
        <f t="shared" si="304"/>
        <v>Oct</v>
      </c>
      <c r="N6514" s="2">
        <f t="shared" si="305"/>
        <v>0.10015745056884301</v>
      </c>
    </row>
    <row r="6515" spans="1:14" x14ac:dyDescent="0.45">
      <c r="A6515" t="s">
        <v>11225</v>
      </c>
      <c r="B6515" s="1">
        <v>45343</v>
      </c>
      <c r="C6515" t="s">
        <v>11226</v>
      </c>
      <c r="D6515" t="s">
        <v>13</v>
      </c>
      <c r="E6515" t="s">
        <v>36</v>
      </c>
      <c r="F6515" t="s">
        <v>46</v>
      </c>
      <c r="G6515">
        <v>2</v>
      </c>
      <c r="H6515">
        <v>21607.15</v>
      </c>
      <c r="I6515">
        <v>2651.13</v>
      </c>
      <c r="J6515" t="s">
        <v>47</v>
      </c>
      <c r="K6515" t="s">
        <v>29</v>
      </c>
      <c r="L6515">
        <f t="shared" si="303"/>
        <v>2024</v>
      </c>
      <c r="M6515" t="str">
        <f t="shared" si="304"/>
        <v>Feb</v>
      </c>
      <c r="N6515" s="2">
        <f t="shared" si="305"/>
        <v>0.12269688505888098</v>
      </c>
    </row>
    <row r="6516" spans="1:14" x14ac:dyDescent="0.45">
      <c r="A6516" t="s">
        <v>11227</v>
      </c>
      <c r="B6516" s="1">
        <v>44714</v>
      </c>
      <c r="C6516" t="s">
        <v>4091</v>
      </c>
      <c r="D6516" t="s">
        <v>56</v>
      </c>
      <c r="E6516" t="s">
        <v>36</v>
      </c>
      <c r="F6516" t="s">
        <v>46</v>
      </c>
      <c r="G6516">
        <v>4</v>
      </c>
      <c r="H6516">
        <v>40331.5</v>
      </c>
      <c r="I6516">
        <v>3122.77</v>
      </c>
      <c r="J6516" t="s">
        <v>71</v>
      </c>
      <c r="K6516" t="s">
        <v>33</v>
      </c>
      <c r="L6516">
        <f t="shared" si="303"/>
        <v>2022</v>
      </c>
      <c r="M6516" t="str">
        <f t="shared" si="304"/>
        <v>Jun</v>
      </c>
      <c r="N6516" s="2">
        <f t="shared" si="305"/>
        <v>7.7427569021732395E-2</v>
      </c>
    </row>
    <row r="6517" spans="1:14" x14ac:dyDescent="0.45">
      <c r="A6517" t="s">
        <v>11228</v>
      </c>
      <c r="B6517" s="1">
        <v>44882</v>
      </c>
      <c r="C6517" t="s">
        <v>11229</v>
      </c>
      <c r="D6517" t="s">
        <v>26</v>
      </c>
      <c r="E6517" t="s">
        <v>20</v>
      </c>
      <c r="F6517" t="s">
        <v>21</v>
      </c>
      <c r="G6517">
        <v>3</v>
      </c>
      <c r="H6517">
        <v>16033.74</v>
      </c>
      <c r="I6517">
        <v>3211.48</v>
      </c>
      <c r="J6517" t="s">
        <v>22</v>
      </c>
      <c r="K6517" t="s">
        <v>29</v>
      </c>
      <c r="L6517">
        <f t="shared" si="303"/>
        <v>2022</v>
      </c>
      <c r="M6517" t="str">
        <f t="shared" si="304"/>
        <v>Nov</v>
      </c>
      <c r="N6517" s="2">
        <f t="shared" si="305"/>
        <v>0.20029512764956897</v>
      </c>
    </row>
    <row r="6518" spans="1:14" x14ac:dyDescent="0.45">
      <c r="A6518" t="s">
        <v>11230</v>
      </c>
      <c r="B6518" s="1">
        <v>44725</v>
      </c>
      <c r="C6518" t="s">
        <v>7532</v>
      </c>
      <c r="D6518" t="s">
        <v>56</v>
      </c>
      <c r="E6518" t="s">
        <v>14</v>
      </c>
      <c r="F6518" t="s">
        <v>32</v>
      </c>
      <c r="G6518">
        <v>4</v>
      </c>
      <c r="H6518">
        <v>40144.639999999999</v>
      </c>
      <c r="I6518">
        <v>2434.58</v>
      </c>
      <c r="J6518" t="s">
        <v>22</v>
      </c>
      <c r="K6518" t="s">
        <v>17</v>
      </c>
      <c r="L6518">
        <f t="shared" si="303"/>
        <v>2022</v>
      </c>
      <c r="M6518" t="str">
        <f t="shared" si="304"/>
        <v>Jun</v>
      </c>
      <c r="N6518" s="2">
        <f t="shared" si="305"/>
        <v>6.0645206931734849E-2</v>
      </c>
    </row>
    <row r="6519" spans="1:14" x14ac:dyDescent="0.45">
      <c r="A6519" t="s">
        <v>11231</v>
      </c>
      <c r="B6519" s="1">
        <v>45320</v>
      </c>
      <c r="C6519" t="s">
        <v>11232</v>
      </c>
      <c r="D6519" t="s">
        <v>56</v>
      </c>
      <c r="E6519" t="s">
        <v>20</v>
      </c>
      <c r="F6519" t="s">
        <v>43</v>
      </c>
      <c r="G6519">
        <v>4</v>
      </c>
      <c r="H6519">
        <v>34075.24</v>
      </c>
      <c r="I6519">
        <v>7217.1</v>
      </c>
      <c r="J6519" t="s">
        <v>28</v>
      </c>
      <c r="K6519" t="s">
        <v>17</v>
      </c>
      <c r="L6519">
        <f t="shared" si="303"/>
        <v>2024</v>
      </c>
      <c r="M6519" t="str">
        <f t="shared" si="304"/>
        <v>Jan</v>
      </c>
      <c r="N6519" s="2">
        <f t="shared" si="305"/>
        <v>0.21179894844467714</v>
      </c>
    </row>
    <row r="6520" spans="1:14" x14ac:dyDescent="0.45">
      <c r="A6520" t="s">
        <v>11233</v>
      </c>
      <c r="B6520" s="1">
        <v>45532</v>
      </c>
      <c r="C6520" t="s">
        <v>11234</v>
      </c>
      <c r="D6520" t="s">
        <v>26</v>
      </c>
      <c r="E6520" t="s">
        <v>14</v>
      </c>
      <c r="F6520" t="s">
        <v>15</v>
      </c>
      <c r="G6520">
        <v>4</v>
      </c>
      <c r="H6520">
        <v>3601.81</v>
      </c>
      <c r="I6520">
        <v>257.02</v>
      </c>
      <c r="J6520" t="s">
        <v>71</v>
      </c>
      <c r="K6520" t="s">
        <v>29</v>
      </c>
      <c r="L6520">
        <f t="shared" si="303"/>
        <v>2024</v>
      </c>
      <c r="M6520" t="str">
        <f t="shared" si="304"/>
        <v>Aug</v>
      </c>
      <c r="N6520" s="2">
        <f t="shared" si="305"/>
        <v>7.1358566942731572E-2</v>
      </c>
    </row>
    <row r="6521" spans="1:14" x14ac:dyDescent="0.45">
      <c r="A6521" t="s">
        <v>11235</v>
      </c>
      <c r="B6521" s="1">
        <v>45044</v>
      </c>
      <c r="C6521" t="s">
        <v>11236</v>
      </c>
      <c r="D6521" t="s">
        <v>26</v>
      </c>
      <c r="E6521" t="s">
        <v>14</v>
      </c>
      <c r="F6521" t="s">
        <v>32</v>
      </c>
      <c r="G6521">
        <v>4</v>
      </c>
      <c r="H6521">
        <v>47920.55</v>
      </c>
      <c r="I6521">
        <v>5476.31</v>
      </c>
      <c r="J6521" t="s">
        <v>47</v>
      </c>
      <c r="K6521" t="s">
        <v>17</v>
      </c>
      <c r="L6521">
        <f t="shared" si="303"/>
        <v>2023</v>
      </c>
      <c r="M6521" t="str">
        <f t="shared" si="304"/>
        <v>Apr</v>
      </c>
      <c r="N6521" s="2">
        <f t="shared" si="305"/>
        <v>0.11427894713228459</v>
      </c>
    </row>
    <row r="6522" spans="1:14" x14ac:dyDescent="0.45">
      <c r="A6522" t="s">
        <v>11237</v>
      </c>
      <c r="B6522" s="1">
        <v>44691</v>
      </c>
      <c r="C6522" t="s">
        <v>4097</v>
      </c>
      <c r="D6522" t="s">
        <v>13</v>
      </c>
      <c r="E6522" t="s">
        <v>20</v>
      </c>
      <c r="F6522" t="s">
        <v>43</v>
      </c>
      <c r="G6522">
        <v>5</v>
      </c>
      <c r="H6522">
        <v>41196.54</v>
      </c>
      <c r="I6522">
        <v>5613.34</v>
      </c>
      <c r="J6522" t="s">
        <v>47</v>
      </c>
      <c r="K6522" t="s">
        <v>29</v>
      </c>
      <c r="L6522">
        <f t="shared" si="303"/>
        <v>2022</v>
      </c>
      <c r="M6522" t="str">
        <f t="shared" si="304"/>
        <v>May</v>
      </c>
      <c r="N6522" s="2">
        <f t="shared" si="305"/>
        <v>0.136257559494074</v>
      </c>
    </row>
    <row r="6523" spans="1:14" x14ac:dyDescent="0.45">
      <c r="A6523" t="s">
        <v>11238</v>
      </c>
      <c r="B6523" s="1">
        <v>45204</v>
      </c>
      <c r="C6523" t="s">
        <v>11239</v>
      </c>
      <c r="D6523" t="s">
        <v>13</v>
      </c>
      <c r="E6523" t="s">
        <v>36</v>
      </c>
      <c r="F6523" t="s">
        <v>37</v>
      </c>
      <c r="G6523">
        <v>4</v>
      </c>
      <c r="H6523">
        <v>832.8</v>
      </c>
      <c r="I6523">
        <v>111.71</v>
      </c>
      <c r="J6523" t="s">
        <v>22</v>
      </c>
      <c r="K6523" t="s">
        <v>17</v>
      </c>
      <c r="L6523">
        <f t="shared" si="303"/>
        <v>2023</v>
      </c>
      <c r="M6523" t="str">
        <f t="shared" si="304"/>
        <v>Oct</v>
      </c>
      <c r="N6523" s="2">
        <f t="shared" si="305"/>
        <v>0.13413784822286262</v>
      </c>
    </row>
    <row r="6524" spans="1:14" x14ac:dyDescent="0.45">
      <c r="A6524" t="s">
        <v>11240</v>
      </c>
      <c r="B6524" s="1">
        <v>44931</v>
      </c>
      <c r="C6524" t="s">
        <v>2270</v>
      </c>
      <c r="D6524" t="s">
        <v>56</v>
      </c>
      <c r="E6524" t="s">
        <v>14</v>
      </c>
      <c r="F6524" t="s">
        <v>15</v>
      </c>
      <c r="G6524">
        <v>3</v>
      </c>
      <c r="H6524">
        <v>28002.02</v>
      </c>
      <c r="I6524">
        <v>4475.87</v>
      </c>
      <c r="J6524" t="s">
        <v>71</v>
      </c>
      <c r="K6524" t="s">
        <v>33</v>
      </c>
      <c r="L6524">
        <f t="shared" si="303"/>
        <v>2023</v>
      </c>
      <c r="M6524" t="str">
        <f t="shared" si="304"/>
        <v>Jan</v>
      </c>
      <c r="N6524" s="2">
        <f t="shared" si="305"/>
        <v>0.15984096861583558</v>
      </c>
    </row>
    <row r="6525" spans="1:14" x14ac:dyDescent="0.45">
      <c r="A6525" t="s">
        <v>11241</v>
      </c>
      <c r="B6525" s="1">
        <v>45447</v>
      </c>
      <c r="C6525" t="s">
        <v>11242</v>
      </c>
      <c r="D6525" t="s">
        <v>26</v>
      </c>
      <c r="E6525" t="s">
        <v>20</v>
      </c>
      <c r="F6525" t="s">
        <v>27</v>
      </c>
      <c r="G6525">
        <v>2</v>
      </c>
      <c r="H6525">
        <v>12882.69</v>
      </c>
      <c r="I6525">
        <v>690.82</v>
      </c>
      <c r="J6525" t="s">
        <v>22</v>
      </c>
      <c r="K6525" t="s">
        <v>17</v>
      </c>
      <c r="L6525">
        <f t="shared" si="303"/>
        <v>2024</v>
      </c>
      <c r="M6525" t="str">
        <f t="shared" si="304"/>
        <v>Jun</v>
      </c>
      <c r="N6525" s="2">
        <f t="shared" si="305"/>
        <v>5.3623893767528366E-2</v>
      </c>
    </row>
    <row r="6526" spans="1:14" x14ac:dyDescent="0.45">
      <c r="A6526" t="s">
        <v>11243</v>
      </c>
      <c r="B6526" s="1">
        <v>45171</v>
      </c>
      <c r="C6526" t="s">
        <v>11244</v>
      </c>
      <c r="D6526" t="s">
        <v>56</v>
      </c>
      <c r="E6526" t="s">
        <v>36</v>
      </c>
      <c r="F6526" t="s">
        <v>46</v>
      </c>
      <c r="G6526">
        <v>1</v>
      </c>
      <c r="H6526">
        <v>16935.45</v>
      </c>
      <c r="I6526">
        <v>3553.75</v>
      </c>
      <c r="J6526" t="s">
        <v>22</v>
      </c>
      <c r="K6526" t="s">
        <v>23</v>
      </c>
      <c r="L6526">
        <f t="shared" si="303"/>
        <v>2023</v>
      </c>
      <c r="M6526" t="str">
        <f t="shared" si="304"/>
        <v>Sep</v>
      </c>
      <c r="N6526" s="2">
        <f t="shared" si="305"/>
        <v>0.20984089587226792</v>
      </c>
    </row>
    <row r="6527" spans="1:14" x14ac:dyDescent="0.45">
      <c r="A6527" t="s">
        <v>11245</v>
      </c>
      <c r="B6527" s="1">
        <v>44769</v>
      </c>
      <c r="C6527" t="s">
        <v>4865</v>
      </c>
      <c r="D6527" t="s">
        <v>13</v>
      </c>
      <c r="E6527" t="s">
        <v>20</v>
      </c>
      <c r="F6527" t="s">
        <v>21</v>
      </c>
      <c r="G6527">
        <v>2</v>
      </c>
      <c r="H6527">
        <v>13352.03</v>
      </c>
      <c r="I6527">
        <v>810.93</v>
      </c>
      <c r="J6527" t="s">
        <v>28</v>
      </c>
      <c r="K6527" t="s">
        <v>33</v>
      </c>
      <c r="L6527">
        <f t="shared" si="303"/>
        <v>2022</v>
      </c>
      <c r="M6527" t="str">
        <f t="shared" si="304"/>
        <v>Jul</v>
      </c>
      <c r="N6527" s="2">
        <f t="shared" si="305"/>
        <v>6.0734584928284305E-2</v>
      </c>
    </row>
    <row r="6528" spans="1:14" x14ac:dyDescent="0.45">
      <c r="A6528" t="s">
        <v>11246</v>
      </c>
      <c r="B6528" s="1">
        <v>44679</v>
      </c>
      <c r="C6528" t="s">
        <v>2431</v>
      </c>
      <c r="D6528" t="s">
        <v>56</v>
      </c>
      <c r="E6528" t="s">
        <v>36</v>
      </c>
      <c r="F6528" t="s">
        <v>37</v>
      </c>
      <c r="G6528">
        <v>3</v>
      </c>
      <c r="H6528">
        <v>867.83</v>
      </c>
      <c r="I6528">
        <v>127.12</v>
      </c>
      <c r="J6528" t="s">
        <v>47</v>
      </c>
      <c r="K6528" t="s">
        <v>17</v>
      </c>
      <c r="L6528">
        <f t="shared" si="303"/>
        <v>2022</v>
      </c>
      <c r="M6528" t="str">
        <f t="shared" si="304"/>
        <v>Apr</v>
      </c>
      <c r="N6528" s="2">
        <f t="shared" si="305"/>
        <v>0.14648030144152657</v>
      </c>
    </row>
    <row r="6529" spans="1:14" x14ac:dyDescent="0.45">
      <c r="A6529" t="s">
        <v>11247</v>
      </c>
      <c r="B6529" s="1">
        <v>45303</v>
      </c>
      <c r="C6529" t="s">
        <v>2631</v>
      </c>
      <c r="D6529" t="s">
        <v>26</v>
      </c>
      <c r="E6529" t="s">
        <v>20</v>
      </c>
      <c r="F6529" t="s">
        <v>27</v>
      </c>
      <c r="G6529">
        <v>4</v>
      </c>
      <c r="H6529">
        <v>13121.17</v>
      </c>
      <c r="I6529">
        <v>2620.84</v>
      </c>
      <c r="J6529" t="s">
        <v>71</v>
      </c>
      <c r="K6529" t="s">
        <v>33</v>
      </c>
      <c r="L6529">
        <f t="shared" si="303"/>
        <v>2024</v>
      </c>
      <c r="M6529" t="str">
        <f t="shared" si="304"/>
        <v>Jan</v>
      </c>
      <c r="N6529" s="2">
        <f t="shared" si="305"/>
        <v>0.19974133404261968</v>
      </c>
    </row>
    <row r="6530" spans="1:14" x14ac:dyDescent="0.45">
      <c r="A6530" t="s">
        <v>11248</v>
      </c>
      <c r="B6530" s="1">
        <v>44792</v>
      </c>
      <c r="C6530" t="s">
        <v>5772</v>
      </c>
      <c r="D6530" t="s">
        <v>13</v>
      </c>
      <c r="E6530" t="s">
        <v>14</v>
      </c>
      <c r="F6530" t="s">
        <v>15</v>
      </c>
      <c r="G6530">
        <v>3</v>
      </c>
      <c r="H6530">
        <v>10861.71</v>
      </c>
      <c r="I6530">
        <v>581.80999999999995</v>
      </c>
      <c r="J6530" t="s">
        <v>16</v>
      </c>
      <c r="K6530" t="s">
        <v>33</v>
      </c>
      <c r="L6530">
        <f t="shared" si="303"/>
        <v>2022</v>
      </c>
      <c r="M6530" t="str">
        <f t="shared" si="304"/>
        <v>Aug</v>
      </c>
      <c r="N6530" s="2">
        <f t="shared" si="305"/>
        <v>5.3565230520792768E-2</v>
      </c>
    </row>
    <row r="6531" spans="1:14" x14ac:dyDescent="0.45">
      <c r="A6531" t="s">
        <v>11249</v>
      </c>
      <c r="B6531" s="1">
        <v>44822</v>
      </c>
      <c r="C6531" t="s">
        <v>514</v>
      </c>
      <c r="D6531" t="s">
        <v>56</v>
      </c>
      <c r="E6531" t="s">
        <v>20</v>
      </c>
      <c r="F6531" t="s">
        <v>50</v>
      </c>
      <c r="G6531">
        <v>3</v>
      </c>
      <c r="H6531">
        <v>36833.300000000003</v>
      </c>
      <c r="I6531">
        <v>8059.61</v>
      </c>
      <c r="J6531" t="s">
        <v>22</v>
      </c>
      <c r="K6531" t="s">
        <v>33</v>
      </c>
      <c r="L6531">
        <f t="shared" ref="L6531:L6594" si="306">YEAR(B6531 )</f>
        <v>2022</v>
      </c>
      <c r="M6531" t="str">
        <f t="shared" ref="M6531:M6594" si="307">TEXT(B6531,"MMM")</f>
        <v>Sep</v>
      </c>
      <c r="N6531" s="2">
        <f t="shared" ref="N6531:N6594" si="308">I6531 / H6531</f>
        <v>0.21881313919741102</v>
      </c>
    </row>
    <row r="6532" spans="1:14" x14ac:dyDescent="0.45">
      <c r="A6532" t="s">
        <v>11250</v>
      </c>
      <c r="B6532" s="1">
        <v>45001</v>
      </c>
      <c r="C6532" t="s">
        <v>11251</v>
      </c>
      <c r="D6532" t="s">
        <v>13</v>
      </c>
      <c r="E6532" t="s">
        <v>36</v>
      </c>
      <c r="F6532" t="s">
        <v>37</v>
      </c>
      <c r="G6532">
        <v>5</v>
      </c>
      <c r="H6532">
        <v>43053.15</v>
      </c>
      <c r="I6532">
        <v>4595.5</v>
      </c>
      <c r="J6532" t="s">
        <v>47</v>
      </c>
      <c r="K6532" t="s">
        <v>23</v>
      </c>
      <c r="L6532">
        <f t="shared" si="306"/>
        <v>2023</v>
      </c>
      <c r="M6532" t="str">
        <f t="shared" si="307"/>
        <v>Mar</v>
      </c>
      <c r="N6532" s="2">
        <f t="shared" si="308"/>
        <v>0.10674015722426813</v>
      </c>
    </row>
    <row r="6533" spans="1:14" x14ac:dyDescent="0.45">
      <c r="A6533" t="s">
        <v>11252</v>
      </c>
      <c r="B6533" s="1">
        <v>45029</v>
      </c>
      <c r="C6533" t="s">
        <v>11253</v>
      </c>
      <c r="D6533" t="s">
        <v>26</v>
      </c>
      <c r="E6533" t="s">
        <v>14</v>
      </c>
      <c r="F6533" t="s">
        <v>57</v>
      </c>
      <c r="G6533">
        <v>3</v>
      </c>
      <c r="H6533">
        <v>10309.620000000001</v>
      </c>
      <c r="I6533">
        <v>1957.78</v>
      </c>
      <c r="J6533" t="s">
        <v>22</v>
      </c>
      <c r="K6533" t="s">
        <v>29</v>
      </c>
      <c r="L6533">
        <f t="shared" si="306"/>
        <v>2023</v>
      </c>
      <c r="M6533" t="str">
        <f t="shared" si="307"/>
        <v>Apr</v>
      </c>
      <c r="N6533" s="2">
        <f t="shared" si="308"/>
        <v>0.1898983667681253</v>
      </c>
    </row>
    <row r="6534" spans="1:14" x14ac:dyDescent="0.45">
      <c r="A6534" t="s">
        <v>11254</v>
      </c>
      <c r="B6534" s="1">
        <v>44728</v>
      </c>
      <c r="C6534" t="s">
        <v>4679</v>
      </c>
      <c r="D6534" t="s">
        <v>13</v>
      </c>
      <c r="E6534" t="s">
        <v>20</v>
      </c>
      <c r="F6534" t="s">
        <v>27</v>
      </c>
      <c r="G6534">
        <v>4</v>
      </c>
      <c r="H6534">
        <v>47773.3</v>
      </c>
      <c r="I6534">
        <v>3926.84</v>
      </c>
      <c r="J6534" t="s">
        <v>16</v>
      </c>
      <c r="K6534" t="s">
        <v>33</v>
      </c>
      <c r="L6534">
        <f t="shared" si="306"/>
        <v>2022</v>
      </c>
      <c r="M6534" t="str">
        <f t="shared" si="307"/>
        <v>Jun</v>
      </c>
      <c r="N6534" s="2">
        <f t="shared" si="308"/>
        <v>8.2197378033336613E-2</v>
      </c>
    </row>
    <row r="6535" spans="1:14" x14ac:dyDescent="0.45">
      <c r="A6535" t="s">
        <v>11255</v>
      </c>
      <c r="B6535" s="1">
        <v>45597</v>
      </c>
      <c r="C6535" t="s">
        <v>11256</v>
      </c>
      <c r="D6535" t="s">
        <v>56</v>
      </c>
      <c r="E6535" t="s">
        <v>36</v>
      </c>
      <c r="F6535" t="s">
        <v>53</v>
      </c>
      <c r="G6535">
        <v>4</v>
      </c>
      <c r="H6535">
        <v>36910.19</v>
      </c>
      <c r="I6535">
        <v>3263.06</v>
      </c>
      <c r="J6535" t="s">
        <v>47</v>
      </c>
      <c r="K6535" t="s">
        <v>17</v>
      </c>
      <c r="L6535">
        <f t="shared" si="306"/>
        <v>2024</v>
      </c>
      <c r="M6535" t="str">
        <f t="shared" si="307"/>
        <v>Nov</v>
      </c>
      <c r="N6535" s="2">
        <f t="shared" si="308"/>
        <v>8.8405396991995969E-2</v>
      </c>
    </row>
    <row r="6536" spans="1:14" x14ac:dyDescent="0.45">
      <c r="A6536" t="s">
        <v>11257</v>
      </c>
      <c r="B6536" s="1">
        <v>45499</v>
      </c>
      <c r="C6536" t="s">
        <v>11258</v>
      </c>
      <c r="D6536" t="s">
        <v>56</v>
      </c>
      <c r="E6536" t="s">
        <v>14</v>
      </c>
      <c r="F6536" t="s">
        <v>15</v>
      </c>
      <c r="G6536">
        <v>2</v>
      </c>
      <c r="H6536">
        <v>4964.92</v>
      </c>
      <c r="I6536">
        <v>343.58</v>
      </c>
      <c r="J6536" t="s">
        <v>28</v>
      </c>
      <c r="K6536" t="s">
        <v>17</v>
      </c>
      <c r="L6536">
        <f t="shared" si="306"/>
        <v>2024</v>
      </c>
      <c r="M6536" t="str">
        <f t="shared" si="307"/>
        <v>Jul</v>
      </c>
      <c r="N6536" s="2">
        <f t="shared" si="308"/>
        <v>6.920151784923019E-2</v>
      </c>
    </row>
    <row r="6537" spans="1:14" x14ac:dyDescent="0.45">
      <c r="A6537" t="s">
        <v>11259</v>
      </c>
      <c r="B6537" s="1">
        <v>45564</v>
      </c>
      <c r="C6537" t="s">
        <v>11260</v>
      </c>
      <c r="D6537" t="s">
        <v>26</v>
      </c>
      <c r="E6537" t="s">
        <v>14</v>
      </c>
      <c r="F6537" t="s">
        <v>15</v>
      </c>
      <c r="G6537">
        <v>5</v>
      </c>
      <c r="H6537">
        <v>45692.88</v>
      </c>
      <c r="I6537">
        <v>10597.96</v>
      </c>
      <c r="J6537" t="s">
        <v>16</v>
      </c>
      <c r="K6537" t="s">
        <v>33</v>
      </c>
      <c r="L6537">
        <f t="shared" si="306"/>
        <v>2024</v>
      </c>
      <c r="M6537" t="str">
        <f t="shared" si="307"/>
        <v>Sep</v>
      </c>
      <c r="N6537" s="2">
        <f t="shared" si="308"/>
        <v>0.23193898042758521</v>
      </c>
    </row>
    <row r="6538" spans="1:14" x14ac:dyDescent="0.45">
      <c r="A6538" t="s">
        <v>11261</v>
      </c>
      <c r="B6538" s="1">
        <v>45170</v>
      </c>
      <c r="C6538" t="s">
        <v>11262</v>
      </c>
      <c r="D6538" t="s">
        <v>13</v>
      </c>
      <c r="E6538" t="s">
        <v>14</v>
      </c>
      <c r="F6538" t="s">
        <v>32</v>
      </c>
      <c r="G6538">
        <v>5</v>
      </c>
      <c r="H6538">
        <v>47065.94</v>
      </c>
      <c r="I6538">
        <v>3567.26</v>
      </c>
      <c r="J6538" t="s">
        <v>22</v>
      </c>
      <c r="K6538" t="s">
        <v>33</v>
      </c>
      <c r="L6538">
        <f t="shared" si="306"/>
        <v>2023</v>
      </c>
      <c r="M6538" t="str">
        <f t="shared" si="307"/>
        <v>Sep</v>
      </c>
      <c r="N6538" s="2">
        <f t="shared" si="308"/>
        <v>7.5792813231819023E-2</v>
      </c>
    </row>
    <row r="6539" spans="1:14" x14ac:dyDescent="0.45">
      <c r="A6539" t="s">
        <v>11263</v>
      </c>
      <c r="B6539" s="1">
        <v>45101</v>
      </c>
      <c r="C6539" t="s">
        <v>650</v>
      </c>
      <c r="D6539" t="s">
        <v>56</v>
      </c>
      <c r="E6539" t="s">
        <v>14</v>
      </c>
      <c r="F6539" t="s">
        <v>40</v>
      </c>
      <c r="G6539">
        <v>4</v>
      </c>
      <c r="H6539">
        <v>27605.33</v>
      </c>
      <c r="I6539">
        <v>4450.62</v>
      </c>
      <c r="J6539" t="s">
        <v>28</v>
      </c>
      <c r="K6539" t="s">
        <v>33</v>
      </c>
      <c r="L6539">
        <f t="shared" si="306"/>
        <v>2023</v>
      </c>
      <c r="M6539" t="str">
        <f t="shared" si="307"/>
        <v>Jun</v>
      </c>
      <c r="N6539" s="2">
        <f t="shared" si="308"/>
        <v>0.16122321305342119</v>
      </c>
    </row>
    <row r="6540" spans="1:14" x14ac:dyDescent="0.45">
      <c r="A6540" t="s">
        <v>11264</v>
      </c>
      <c r="B6540" s="1">
        <v>45145</v>
      </c>
      <c r="C6540" t="s">
        <v>11265</v>
      </c>
      <c r="D6540" t="s">
        <v>56</v>
      </c>
      <c r="E6540" t="s">
        <v>14</v>
      </c>
      <c r="F6540" t="s">
        <v>32</v>
      </c>
      <c r="G6540">
        <v>5</v>
      </c>
      <c r="H6540">
        <v>48234.65</v>
      </c>
      <c r="I6540">
        <v>3762.89</v>
      </c>
      <c r="J6540" t="s">
        <v>47</v>
      </c>
      <c r="K6540" t="s">
        <v>29</v>
      </c>
      <c r="L6540">
        <f t="shared" si="306"/>
        <v>2023</v>
      </c>
      <c r="M6540" t="str">
        <f t="shared" si="307"/>
        <v>Aug</v>
      </c>
      <c r="N6540" s="2">
        <f t="shared" si="308"/>
        <v>7.8012175894300054E-2</v>
      </c>
    </row>
    <row r="6541" spans="1:14" x14ac:dyDescent="0.45">
      <c r="A6541" t="s">
        <v>11266</v>
      </c>
      <c r="B6541" s="1">
        <v>44617</v>
      </c>
      <c r="C6541" t="s">
        <v>11267</v>
      </c>
      <c r="D6541" t="s">
        <v>26</v>
      </c>
      <c r="E6541" t="s">
        <v>36</v>
      </c>
      <c r="F6541" t="s">
        <v>64</v>
      </c>
      <c r="G6541">
        <v>1</v>
      </c>
      <c r="H6541">
        <v>18045.29</v>
      </c>
      <c r="I6541">
        <v>3456.97</v>
      </c>
      <c r="J6541" t="s">
        <v>71</v>
      </c>
      <c r="K6541" t="s">
        <v>29</v>
      </c>
      <c r="L6541">
        <f t="shared" si="306"/>
        <v>2022</v>
      </c>
      <c r="M6541" t="str">
        <f t="shared" si="307"/>
        <v>Feb</v>
      </c>
      <c r="N6541" s="2">
        <f t="shared" si="308"/>
        <v>0.1915718727712328</v>
      </c>
    </row>
    <row r="6542" spans="1:14" x14ac:dyDescent="0.45">
      <c r="A6542" t="s">
        <v>11268</v>
      </c>
      <c r="B6542" s="1">
        <v>44598</v>
      </c>
      <c r="C6542" t="s">
        <v>11269</v>
      </c>
      <c r="D6542" t="s">
        <v>26</v>
      </c>
      <c r="E6542" t="s">
        <v>20</v>
      </c>
      <c r="F6542" t="s">
        <v>21</v>
      </c>
      <c r="G6542">
        <v>3</v>
      </c>
      <c r="H6542">
        <v>38124.92</v>
      </c>
      <c r="I6542">
        <v>4151.5600000000004</v>
      </c>
      <c r="J6542" t="s">
        <v>16</v>
      </c>
      <c r="K6542" t="s">
        <v>29</v>
      </c>
      <c r="L6542">
        <f t="shared" si="306"/>
        <v>2022</v>
      </c>
      <c r="M6542" t="str">
        <f t="shared" si="307"/>
        <v>Feb</v>
      </c>
      <c r="N6542" s="2">
        <f t="shared" si="308"/>
        <v>0.10889360554723788</v>
      </c>
    </row>
    <row r="6543" spans="1:14" x14ac:dyDescent="0.45">
      <c r="A6543" t="s">
        <v>11270</v>
      </c>
      <c r="B6543" s="1">
        <v>45653</v>
      </c>
      <c r="C6543" t="s">
        <v>1577</v>
      </c>
      <c r="D6543" t="s">
        <v>56</v>
      </c>
      <c r="E6543" t="s">
        <v>36</v>
      </c>
      <c r="F6543" t="s">
        <v>46</v>
      </c>
      <c r="G6543">
        <v>1</v>
      </c>
      <c r="H6543">
        <v>26165.62</v>
      </c>
      <c r="I6543">
        <v>1882.06</v>
      </c>
      <c r="J6543" t="s">
        <v>47</v>
      </c>
      <c r="K6543" t="s">
        <v>23</v>
      </c>
      <c r="L6543">
        <f t="shared" si="306"/>
        <v>2024</v>
      </c>
      <c r="M6543" t="str">
        <f t="shared" si="307"/>
        <v>Dec</v>
      </c>
      <c r="N6543" s="2">
        <f t="shared" si="308"/>
        <v>7.1928737022092348E-2</v>
      </c>
    </row>
    <row r="6544" spans="1:14" x14ac:dyDescent="0.45">
      <c r="A6544" t="s">
        <v>11271</v>
      </c>
      <c r="B6544" s="1">
        <v>44976</v>
      </c>
      <c r="C6544" t="s">
        <v>11272</v>
      </c>
      <c r="D6544" t="s">
        <v>13</v>
      </c>
      <c r="E6544" t="s">
        <v>20</v>
      </c>
      <c r="F6544" t="s">
        <v>43</v>
      </c>
      <c r="G6544">
        <v>3</v>
      </c>
      <c r="H6544">
        <v>49588.47</v>
      </c>
      <c r="I6544">
        <v>11335.44</v>
      </c>
      <c r="J6544" t="s">
        <v>47</v>
      </c>
      <c r="K6544" t="s">
        <v>33</v>
      </c>
      <c r="L6544">
        <f t="shared" si="306"/>
        <v>2023</v>
      </c>
      <c r="M6544" t="str">
        <f t="shared" si="307"/>
        <v>Feb</v>
      </c>
      <c r="N6544" s="2">
        <f t="shared" si="308"/>
        <v>0.22859023478643323</v>
      </c>
    </row>
    <row r="6545" spans="1:14" x14ac:dyDescent="0.45">
      <c r="A6545" t="s">
        <v>11273</v>
      </c>
      <c r="B6545" s="1">
        <v>45027</v>
      </c>
      <c r="C6545" t="s">
        <v>11274</v>
      </c>
      <c r="D6545" t="s">
        <v>26</v>
      </c>
      <c r="E6545" t="s">
        <v>14</v>
      </c>
      <c r="F6545" t="s">
        <v>32</v>
      </c>
      <c r="G6545">
        <v>1</v>
      </c>
      <c r="H6545">
        <v>41367.910000000003</v>
      </c>
      <c r="I6545">
        <v>2434.19</v>
      </c>
      <c r="J6545" t="s">
        <v>47</v>
      </c>
      <c r="K6545" t="s">
        <v>33</v>
      </c>
      <c r="L6545">
        <f t="shared" si="306"/>
        <v>2023</v>
      </c>
      <c r="M6545" t="str">
        <f t="shared" si="307"/>
        <v>Apr</v>
      </c>
      <c r="N6545" s="2">
        <f t="shared" si="308"/>
        <v>5.8842469924151347E-2</v>
      </c>
    </row>
    <row r="6546" spans="1:14" x14ac:dyDescent="0.45">
      <c r="A6546" t="s">
        <v>11275</v>
      </c>
      <c r="B6546" s="1">
        <v>45504</v>
      </c>
      <c r="C6546" t="s">
        <v>11276</v>
      </c>
      <c r="D6546" t="s">
        <v>13</v>
      </c>
      <c r="E6546" t="s">
        <v>14</v>
      </c>
      <c r="F6546" t="s">
        <v>32</v>
      </c>
      <c r="G6546">
        <v>4</v>
      </c>
      <c r="H6546">
        <v>45176.28</v>
      </c>
      <c r="I6546">
        <v>3485.75</v>
      </c>
      <c r="J6546" t="s">
        <v>47</v>
      </c>
      <c r="K6546" t="s">
        <v>23</v>
      </c>
      <c r="L6546">
        <f t="shared" si="306"/>
        <v>2024</v>
      </c>
      <c r="M6546" t="str">
        <f t="shared" si="307"/>
        <v>Jul</v>
      </c>
      <c r="N6546" s="2">
        <f t="shared" si="308"/>
        <v>7.7158854159749324E-2</v>
      </c>
    </row>
    <row r="6547" spans="1:14" x14ac:dyDescent="0.45">
      <c r="A6547" t="s">
        <v>11277</v>
      </c>
      <c r="B6547" s="1">
        <v>44715</v>
      </c>
      <c r="C6547" t="s">
        <v>11278</v>
      </c>
      <c r="D6547" t="s">
        <v>13</v>
      </c>
      <c r="E6547" t="s">
        <v>36</v>
      </c>
      <c r="F6547" t="s">
        <v>64</v>
      </c>
      <c r="G6547">
        <v>1</v>
      </c>
      <c r="H6547">
        <v>29363.11</v>
      </c>
      <c r="I6547">
        <v>2477.2199999999998</v>
      </c>
      <c r="J6547" t="s">
        <v>71</v>
      </c>
      <c r="K6547" t="s">
        <v>29</v>
      </c>
      <c r="L6547">
        <f t="shared" si="306"/>
        <v>2022</v>
      </c>
      <c r="M6547" t="str">
        <f t="shared" si="307"/>
        <v>Jun</v>
      </c>
      <c r="N6547" s="2">
        <f t="shared" si="308"/>
        <v>8.4365041713905631E-2</v>
      </c>
    </row>
    <row r="6548" spans="1:14" x14ac:dyDescent="0.45">
      <c r="A6548" t="s">
        <v>11279</v>
      </c>
      <c r="B6548" s="1">
        <v>45439</v>
      </c>
      <c r="C6548" t="s">
        <v>834</v>
      </c>
      <c r="D6548" t="s">
        <v>13</v>
      </c>
      <c r="E6548" t="s">
        <v>14</v>
      </c>
      <c r="F6548" t="s">
        <v>40</v>
      </c>
      <c r="G6548">
        <v>2</v>
      </c>
      <c r="H6548">
        <v>10352.870000000001</v>
      </c>
      <c r="I6548">
        <v>1565.73</v>
      </c>
      <c r="J6548" t="s">
        <v>22</v>
      </c>
      <c r="K6548" t="s">
        <v>33</v>
      </c>
      <c r="L6548">
        <f t="shared" si="306"/>
        <v>2024</v>
      </c>
      <c r="M6548" t="str">
        <f t="shared" si="307"/>
        <v>May</v>
      </c>
      <c r="N6548" s="2">
        <f t="shared" si="308"/>
        <v>0.15123632384063548</v>
      </c>
    </row>
    <row r="6549" spans="1:14" x14ac:dyDescent="0.45">
      <c r="A6549" t="s">
        <v>11280</v>
      </c>
      <c r="B6549" s="1">
        <v>45490</v>
      </c>
      <c r="C6549" t="s">
        <v>11281</v>
      </c>
      <c r="D6549" t="s">
        <v>26</v>
      </c>
      <c r="E6549" t="s">
        <v>36</v>
      </c>
      <c r="F6549" t="s">
        <v>46</v>
      </c>
      <c r="G6549">
        <v>3</v>
      </c>
      <c r="H6549">
        <v>26708.85</v>
      </c>
      <c r="I6549">
        <v>2902.96</v>
      </c>
      <c r="J6549" t="s">
        <v>28</v>
      </c>
      <c r="K6549" t="s">
        <v>17</v>
      </c>
      <c r="L6549">
        <f t="shared" si="306"/>
        <v>2024</v>
      </c>
      <c r="M6549" t="str">
        <f t="shared" si="307"/>
        <v>Jul</v>
      </c>
      <c r="N6549" s="2">
        <f t="shared" si="308"/>
        <v>0.1086890674813779</v>
      </c>
    </row>
    <row r="6550" spans="1:14" x14ac:dyDescent="0.45">
      <c r="A6550" t="s">
        <v>11282</v>
      </c>
      <c r="B6550" s="1">
        <v>45171</v>
      </c>
      <c r="C6550" t="s">
        <v>4735</v>
      </c>
      <c r="D6550" t="s">
        <v>26</v>
      </c>
      <c r="E6550" t="s">
        <v>14</v>
      </c>
      <c r="F6550" t="s">
        <v>32</v>
      </c>
      <c r="G6550">
        <v>4</v>
      </c>
      <c r="H6550">
        <v>17399.310000000001</v>
      </c>
      <c r="I6550">
        <v>3731.69</v>
      </c>
      <c r="J6550" t="s">
        <v>71</v>
      </c>
      <c r="K6550" t="s">
        <v>33</v>
      </c>
      <c r="L6550">
        <f t="shared" si="306"/>
        <v>2023</v>
      </c>
      <c r="M6550" t="str">
        <f t="shared" si="307"/>
        <v>Sep</v>
      </c>
      <c r="N6550" s="2">
        <f t="shared" si="308"/>
        <v>0.21447344751027481</v>
      </c>
    </row>
    <row r="6551" spans="1:14" x14ac:dyDescent="0.45">
      <c r="A6551" t="s">
        <v>11283</v>
      </c>
      <c r="B6551" s="1">
        <v>45325</v>
      </c>
      <c r="C6551" t="s">
        <v>11284</v>
      </c>
      <c r="D6551" t="s">
        <v>26</v>
      </c>
      <c r="E6551" t="s">
        <v>14</v>
      </c>
      <c r="F6551" t="s">
        <v>40</v>
      </c>
      <c r="G6551">
        <v>2</v>
      </c>
      <c r="H6551">
        <v>41141.31</v>
      </c>
      <c r="I6551">
        <v>6452.22</v>
      </c>
      <c r="J6551" t="s">
        <v>71</v>
      </c>
      <c r="K6551" t="s">
        <v>29</v>
      </c>
      <c r="L6551">
        <f t="shared" si="306"/>
        <v>2024</v>
      </c>
      <c r="M6551" t="str">
        <f t="shared" si="307"/>
        <v>Feb</v>
      </c>
      <c r="N6551" s="2">
        <f t="shared" si="308"/>
        <v>0.15683068915404008</v>
      </c>
    </row>
    <row r="6552" spans="1:14" x14ac:dyDescent="0.45">
      <c r="A6552" t="s">
        <v>11285</v>
      </c>
      <c r="B6552" s="1">
        <v>44580</v>
      </c>
      <c r="C6552" t="s">
        <v>11286</v>
      </c>
      <c r="D6552" t="s">
        <v>56</v>
      </c>
      <c r="E6552" t="s">
        <v>20</v>
      </c>
      <c r="F6552" t="s">
        <v>21</v>
      </c>
      <c r="G6552">
        <v>5</v>
      </c>
      <c r="H6552">
        <v>23051.41</v>
      </c>
      <c r="I6552">
        <v>4679.2299999999996</v>
      </c>
      <c r="J6552" t="s">
        <v>16</v>
      </c>
      <c r="K6552" t="s">
        <v>23</v>
      </c>
      <c r="L6552">
        <f t="shared" si="306"/>
        <v>2022</v>
      </c>
      <c r="M6552" t="str">
        <f t="shared" si="307"/>
        <v>Jan</v>
      </c>
      <c r="N6552" s="2">
        <f t="shared" si="308"/>
        <v>0.20299105347568758</v>
      </c>
    </row>
    <row r="6553" spans="1:14" x14ac:dyDescent="0.45">
      <c r="A6553" t="s">
        <v>11287</v>
      </c>
      <c r="B6553" s="1">
        <v>45128</v>
      </c>
      <c r="C6553" t="s">
        <v>1077</v>
      </c>
      <c r="D6553" t="s">
        <v>56</v>
      </c>
      <c r="E6553" t="s">
        <v>14</v>
      </c>
      <c r="F6553" t="s">
        <v>15</v>
      </c>
      <c r="G6553">
        <v>4</v>
      </c>
      <c r="H6553">
        <v>47514.85</v>
      </c>
      <c r="I6553">
        <v>4080.04</v>
      </c>
      <c r="J6553" t="s">
        <v>71</v>
      </c>
      <c r="K6553" t="s">
        <v>23</v>
      </c>
      <c r="L6553">
        <f t="shared" si="306"/>
        <v>2023</v>
      </c>
      <c r="M6553" t="str">
        <f t="shared" si="307"/>
        <v>Jul</v>
      </c>
      <c r="N6553" s="2">
        <f t="shared" si="308"/>
        <v>8.5868733669579089E-2</v>
      </c>
    </row>
    <row r="6554" spans="1:14" x14ac:dyDescent="0.45">
      <c r="A6554" t="s">
        <v>11288</v>
      </c>
      <c r="B6554" s="1">
        <v>45063</v>
      </c>
      <c r="C6554" t="s">
        <v>11289</v>
      </c>
      <c r="D6554" t="s">
        <v>26</v>
      </c>
      <c r="E6554" t="s">
        <v>36</v>
      </c>
      <c r="F6554" t="s">
        <v>46</v>
      </c>
      <c r="G6554">
        <v>3</v>
      </c>
      <c r="H6554">
        <v>14150.58</v>
      </c>
      <c r="I6554">
        <v>2684.33</v>
      </c>
      <c r="J6554" t="s">
        <v>47</v>
      </c>
      <c r="K6554" t="s">
        <v>17</v>
      </c>
      <c r="L6554">
        <f t="shared" si="306"/>
        <v>2023</v>
      </c>
      <c r="M6554" t="str">
        <f t="shared" si="307"/>
        <v>May</v>
      </c>
      <c r="N6554" s="2">
        <f t="shared" si="308"/>
        <v>0.18969752476576932</v>
      </c>
    </row>
    <row r="6555" spans="1:14" x14ac:dyDescent="0.45">
      <c r="A6555" t="s">
        <v>11290</v>
      </c>
      <c r="B6555" s="1">
        <v>45166</v>
      </c>
      <c r="C6555" t="s">
        <v>8959</v>
      </c>
      <c r="D6555" t="s">
        <v>26</v>
      </c>
      <c r="E6555" t="s">
        <v>20</v>
      </c>
      <c r="F6555" t="s">
        <v>50</v>
      </c>
      <c r="G6555">
        <v>5</v>
      </c>
      <c r="H6555">
        <v>29036.49</v>
      </c>
      <c r="I6555">
        <v>6634.06</v>
      </c>
      <c r="J6555" t="s">
        <v>28</v>
      </c>
      <c r="K6555" t="s">
        <v>29</v>
      </c>
      <c r="L6555">
        <f t="shared" si="306"/>
        <v>2023</v>
      </c>
      <c r="M6555" t="str">
        <f t="shared" si="307"/>
        <v>Aug</v>
      </c>
      <c r="N6555" s="2">
        <f t="shared" si="308"/>
        <v>0.22847320733325549</v>
      </c>
    </row>
    <row r="6556" spans="1:14" x14ac:dyDescent="0.45">
      <c r="A6556" t="s">
        <v>11291</v>
      </c>
      <c r="B6556" s="1">
        <v>44572</v>
      </c>
      <c r="C6556" t="s">
        <v>11114</v>
      </c>
      <c r="D6556" t="s">
        <v>56</v>
      </c>
      <c r="E6556" t="s">
        <v>14</v>
      </c>
      <c r="F6556" t="s">
        <v>40</v>
      </c>
      <c r="G6556">
        <v>4</v>
      </c>
      <c r="H6556">
        <v>23994.98</v>
      </c>
      <c r="I6556">
        <v>3763.76</v>
      </c>
      <c r="J6556" t="s">
        <v>47</v>
      </c>
      <c r="K6556" t="s">
        <v>33</v>
      </c>
      <c r="L6556">
        <f t="shared" si="306"/>
        <v>2022</v>
      </c>
      <c r="M6556" t="str">
        <f t="shared" si="307"/>
        <v>Jan</v>
      </c>
      <c r="N6556" s="2">
        <f t="shared" si="308"/>
        <v>0.1568561424097874</v>
      </c>
    </row>
    <row r="6557" spans="1:14" x14ac:dyDescent="0.45">
      <c r="A6557" t="s">
        <v>11292</v>
      </c>
      <c r="B6557" s="1">
        <v>45004</v>
      </c>
      <c r="C6557" t="s">
        <v>8326</v>
      </c>
      <c r="D6557" t="s">
        <v>26</v>
      </c>
      <c r="E6557" t="s">
        <v>20</v>
      </c>
      <c r="F6557" t="s">
        <v>27</v>
      </c>
      <c r="G6557">
        <v>1</v>
      </c>
      <c r="H6557">
        <v>42381.63</v>
      </c>
      <c r="I6557">
        <v>6628.39</v>
      </c>
      <c r="J6557" t="s">
        <v>47</v>
      </c>
      <c r="K6557" t="s">
        <v>17</v>
      </c>
      <c r="L6557">
        <f t="shared" si="306"/>
        <v>2023</v>
      </c>
      <c r="M6557" t="str">
        <f t="shared" si="307"/>
        <v>Mar</v>
      </c>
      <c r="N6557" s="2">
        <f t="shared" si="308"/>
        <v>0.15639771287701773</v>
      </c>
    </row>
    <row r="6558" spans="1:14" x14ac:dyDescent="0.45">
      <c r="A6558" t="s">
        <v>11293</v>
      </c>
      <c r="B6558" s="1">
        <v>45105</v>
      </c>
      <c r="C6558" t="s">
        <v>11294</v>
      </c>
      <c r="D6558" t="s">
        <v>56</v>
      </c>
      <c r="E6558" t="s">
        <v>14</v>
      </c>
      <c r="F6558" t="s">
        <v>32</v>
      </c>
      <c r="G6558">
        <v>3</v>
      </c>
      <c r="H6558">
        <v>13557.57</v>
      </c>
      <c r="I6558">
        <v>2988.25</v>
      </c>
      <c r="J6558" t="s">
        <v>28</v>
      </c>
      <c r="K6558" t="s">
        <v>33</v>
      </c>
      <c r="L6558">
        <f t="shared" si="306"/>
        <v>2023</v>
      </c>
      <c r="M6558" t="str">
        <f t="shared" si="307"/>
        <v>Jun</v>
      </c>
      <c r="N6558" s="2">
        <f t="shared" si="308"/>
        <v>0.22041191747488673</v>
      </c>
    </row>
    <row r="6559" spans="1:14" x14ac:dyDescent="0.45">
      <c r="A6559" t="s">
        <v>11295</v>
      </c>
      <c r="B6559" s="1">
        <v>44907</v>
      </c>
      <c r="C6559" t="s">
        <v>6752</v>
      </c>
      <c r="D6559" t="s">
        <v>26</v>
      </c>
      <c r="E6559" t="s">
        <v>14</v>
      </c>
      <c r="F6559" t="s">
        <v>57</v>
      </c>
      <c r="G6559">
        <v>4</v>
      </c>
      <c r="H6559">
        <v>24392.959999999999</v>
      </c>
      <c r="I6559">
        <v>2816.88</v>
      </c>
      <c r="J6559" t="s">
        <v>22</v>
      </c>
      <c r="K6559" t="s">
        <v>33</v>
      </c>
      <c r="L6559">
        <f t="shared" si="306"/>
        <v>2022</v>
      </c>
      <c r="M6559" t="str">
        <f t="shared" si="307"/>
        <v>Dec</v>
      </c>
      <c r="N6559" s="2">
        <f t="shared" si="308"/>
        <v>0.11547922023403474</v>
      </c>
    </row>
    <row r="6560" spans="1:14" x14ac:dyDescent="0.45">
      <c r="A6560" t="s">
        <v>11296</v>
      </c>
      <c r="B6560" s="1">
        <v>45496</v>
      </c>
      <c r="C6560" t="s">
        <v>11297</v>
      </c>
      <c r="D6560" t="s">
        <v>26</v>
      </c>
      <c r="E6560" t="s">
        <v>36</v>
      </c>
      <c r="F6560" t="s">
        <v>64</v>
      </c>
      <c r="G6560">
        <v>2</v>
      </c>
      <c r="H6560">
        <v>18030.04</v>
      </c>
      <c r="I6560">
        <v>1399.77</v>
      </c>
      <c r="J6560" t="s">
        <v>22</v>
      </c>
      <c r="K6560" t="s">
        <v>33</v>
      </c>
      <c r="L6560">
        <f t="shared" si="306"/>
        <v>2024</v>
      </c>
      <c r="M6560" t="str">
        <f t="shared" si="307"/>
        <v>Jul</v>
      </c>
      <c r="N6560" s="2">
        <f t="shared" si="308"/>
        <v>7.7635435085002577E-2</v>
      </c>
    </row>
    <row r="6561" spans="1:14" x14ac:dyDescent="0.45">
      <c r="A6561" t="s">
        <v>11298</v>
      </c>
      <c r="B6561" s="1">
        <v>44569</v>
      </c>
      <c r="C6561" t="s">
        <v>785</v>
      </c>
      <c r="D6561" t="s">
        <v>56</v>
      </c>
      <c r="E6561" t="s">
        <v>20</v>
      </c>
      <c r="F6561" t="s">
        <v>43</v>
      </c>
      <c r="G6561">
        <v>3</v>
      </c>
      <c r="H6561">
        <v>938.95</v>
      </c>
      <c r="I6561">
        <v>72.95</v>
      </c>
      <c r="J6561" t="s">
        <v>16</v>
      </c>
      <c r="K6561" t="s">
        <v>33</v>
      </c>
      <c r="L6561">
        <f t="shared" si="306"/>
        <v>2022</v>
      </c>
      <c r="M6561" t="str">
        <f t="shared" si="307"/>
        <v>Jan</v>
      </c>
      <c r="N6561" s="2">
        <f t="shared" si="308"/>
        <v>7.7693167900314178E-2</v>
      </c>
    </row>
    <row r="6562" spans="1:14" x14ac:dyDescent="0.45">
      <c r="A6562" t="s">
        <v>11299</v>
      </c>
      <c r="B6562" s="1">
        <v>44880</v>
      </c>
      <c r="C6562" t="s">
        <v>11300</v>
      </c>
      <c r="D6562" t="s">
        <v>56</v>
      </c>
      <c r="E6562" t="s">
        <v>14</v>
      </c>
      <c r="F6562" t="s">
        <v>15</v>
      </c>
      <c r="G6562">
        <v>1</v>
      </c>
      <c r="H6562">
        <v>34248.36</v>
      </c>
      <c r="I6562">
        <v>5531.75</v>
      </c>
      <c r="J6562" t="s">
        <v>22</v>
      </c>
      <c r="K6562" t="s">
        <v>29</v>
      </c>
      <c r="L6562">
        <f t="shared" si="306"/>
        <v>2022</v>
      </c>
      <c r="M6562" t="str">
        <f t="shared" si="307"/>
        <v>Nov</v>
      </c>
      <c r="N6562" s="2">
        <f t="shared" si="308"/>
        <v>0.16151868293839472</v>
      </c>
    </row>
    <row r="6563" spans="1:14" x14ac:dyDescent="0.45">
      <c r="A6563" t="s">
        <v>11301</v>
      </c>
      <c r="B6563" s="1">
        <v>44732</v>
      </c>
      <c r="C6563" t="s">
        <v>9778</v>
      </c>
      <c r="D6563" t="s">
        <v>26</v>
      </c>
      <c r="E6563" t="s">
        <v>36</v>
      </c>
      <c r="F6563" t="s">
        <v>53</v>
      </c>
      <c r="G6563">
        <v>4</v>
      </c>
      <c r="H6563">
        <v>17698.62</v>
      </c>
      <c r="I6563">
        <v>1413.57</v>
      </c>
      <c r="J6563" t="s">
        <v>16</v>
      </c>
      <c r="K6563" t="s">
        <v>23</v>
      </c>
      <c r="L6563">
        <f t="shared" si="306"/>
        <v>2022</v>
      </c>
      <c r="M6563" t="str">
        <f t="shared" si="307"/>
        <v>Jun</v>
      </c>
      <c r="N6563" s="2">
        <f t="shared" si="308"/>
        <v>7.9868938934221992E-2</v>
      </c>
    </row>
    <row r="6564" spans="1:14" x14ac:dyDescent="0.45">
      <c r="A6564" t="s">
        <v>11302</v>
      </c>
      <c r="B6564" s="1">
        <v>45519</v>
      </c>
      <c r="C6564" t="s">
        <v>7201</v>
      </c>
      <c r="D6564" t="s">
        <v>13</v>
      </c>
      <c r="E6564" t="s">
        <v>36</v>
      </c>
      <c r="F6564" t="s">
        <v>37</v>
      </c>
      <c r="G6564">
        <v>5</v>
      </c>
      <c r="H6564">
        <v>24044.37</v>
      </c>
      <c r="I6564">
        <v>2766.54</v>
      </c>
      <c r="J6564" t="s">
        <v>28</v>
      </c>
      <c r="K6564" t="s">
        <v>29</v>
      </c>
      <c r="L6564">
        <f t="shared" si="306"/>
        <v>2024</v>
      </c>
      <c r="M6564" t="str">
        <f t="shared" si="307"/>
        <v>Aug</v>
      </c>
      <c r="N6564" s="2">
        <f t="shared" si="308"/>
        <v>0.11505978322576138</v>
      </c>
    </row>
    <row r="6565" spans="1:14" x14ac:dyDescent="0.45">
      <c r="A6565" t="s">
        <v>11303</v>
      </c>
      <c r="B6565" s="1">
        <v>45182</v>
      </c>
      <c r="C6565" t="s">
        <v>7139</v>
      </c>
      <c r="D6565" t="s">
        <v>26</v>
      </c>
      <c r="E6565" t="s">
        <v>14</v>
      </c>
      <c r="F6565" t="s">
        <v>40</v>
      </c>
      <c r="G6565">
        <v>3</v>
      </c>
      <c r="H6565">
        <v>26242.42</v>
      </c>
      <c r="I6565">
        <v>1828.36</v>
      </c>
      <c r="J6565" t="s">
        <v>28</v>
      </c>
      <c r="K6565" t="s">
        <v>29</v>
      </c>
      <c r="L6565">
        <f t="shared" si="306"/>
        <v>2023</v>
      </c>
      <c r="M6565" t="str">
        <f t="shared" si="307"/>
        <v>Sep</v>
      </c>
      <c r="N6565" s="2">
        <f t="shared" si="308"/>
        <v>6.9671928122482601E-2</v>
      </c>
    </row>
    <row r="6566" spans="1:14" x14ac:dyDescent="0.45">
      <c r="A6566" t="s">
        <v>11304</v>
      </c>
      <c r="B6566" s="1">
        <v>45114</v>
      </c>
      <c r="C6566" t="s">
        <v>4460</v>
      </c>
      <c r="D6566" t="s">
        <v>13</v>
      </c>
      <c r="E6566" t="s">
        <v>36</v>
      </c>
      <c r="F6566" t="s">
        <v>53</v>
      </c>
      <c r="G6566">
        <v>1</v>
      </c>
      <c r="H6566">
        <v>32139.84</v>
      </c>
      <c r="I6566">
        <v>4018.99</v>
      </c>
      <c r="J6566" t="s">
        <v>47</v>
      </c>
      <c r="K6566" t="s">
        <v>17</v>
      </c>
      <c r="L6566">
        <f t="shared" si="306"/>
        <v>2023</v>
      </c>
      <c r="M6566" t="str">
        <f t="shared" si="307"/>
        <v>Jul</v>
      </c>
      <c r="N6566" s="2">
        <f t="shared" si="308"/>
        <v>0.12504698218783913</v>
      </c>
    </row>
    <row r="6567" spans="1:14" x14ac:dyDescent="0.45">
      <c r="A6567" t="s">
        <v>11305</v>
      </c>
      <c r="B6567" s="1">
        <v>44914</v>
      </c>
      <c r="C6567" t="s">
        <v>4724</v>
      </c>
      <c r="D6567" t="s">
        <v>26</v>
      </c>
      <c r="E6567" t="s">
        <v>20</v>
      </c>
      <c r="F6567" t="s">
        <v>27</v>
      </c>
      <c r="G6567">
        <v>3</v>
      </c>
      <c r="H6567">
        <v>10998.56</v>
      </c>
      <c r="I6567">
        <v>2547.2800000000002</v>
      </c>
      <c r="J6567" t="s">
        <v>47</v>
      </c>
      <c r="K6567" t="s">
        <v>33</v>
      </c>
      <c r="L6567">
        <f t="shared" si="306"/>
        <v>2022</v>
      </c>
      <c r="M6567" t="str">
        <f t="shared" si="307"/>
        <v>Dec</v>
      </c>
      <c r="N6567" s="2">
        <f t="shared" si="308"/>
        <v>0.23160122779709347</v>
      </c>
    </row>
    <row r="6568" spans="1:14" x14ac:dyDescent="0.45">
      <c r="A6568" t="s">
        <v>11306</v>
      </c>
      <c r="B6568" s="1">
        <v>44593</v>
      </c>
      <c r="C6568" t="s">
        <v>5367</v>
      </c>
      <c r="D6568" t="s">
        <v>26</v>
      </c>
      <c r="E6568" t="s">
        <v>20</v>
      </c>
      <c r="F6568" t="s">
        <v>21</v>
      </c>
      <c r="G6568">
        <v>3</v>
      </c>
      <c r="H6568">
        <v>23114.84</v>
      </c>
      <c r="I6568">
        <v>4095.28</v>
      </c>
      <c r="J6568" t="s">
        <v>47</v>
      </c>
      <c r="K6568" t="s">
        <v>23</v>
      </c>
      <c r="L6568">
        <f t="shared" si="306"/>
        <v>2022</v>
      </c>
      <c r="M6568" t="str">
        <f t="shared" si="307"/>
        <v>Feb</v>
      </c>
      <c r="N6568" s="2">
        <f t="shared" si="308"/>
        <v>0.17717102952042932</v>
      </c>
    </row>
    <row r="6569" spans="1:14" x14ac:dyDescent="0.45">
      <c r="A6569" t="s">
        <v>11307</v>
      </c>
      <c r="B6569" s="1">
        <v>44626</v>
      </c>
      <c r="C6569" t="s">
        <v>11308</v>
      </c>
      <c r="D6569" t="s">
        <v>56</v>
      </c>
      <c r="E6569" t="s">
        <v>20</v>
      </c>
      <c r="F6569" t="s">
        <v>43</v>
      </c>
      <c r="G6569">
        <v>1</v>
      </c>
      <c r="H6569">
        <v>9673.49</v>
      </c>
      <c r="I6569">
        <v>659.67</v>
      </c>
      <c r="J6569" t="s">
        <v>22</v>
      </c>
      <c r="K6569" t="s">
        <v>23</v>
      </c>
      <c r="L6569">
        <f t="shared" si="306"/>
        <v>2022</v>
      </c>
      <c r="M6569" t="str">
        <f t="shared" si="307"/>
        <v>Mar</v>
      </c>
      <c r="N6569" s="2">
        <f t="shared" si="308"/>
        <v>6.8193588870200925E-2</v>
      </c>
    </row>
    <row r="6570" spans="1:14" x14ac:dyDescent="0.45">
      <c r="A6570" t="s">
        <v>11309</v>
      </c>
      <c r="B6570" s="1">
        <v>44908</v>
      </c>
      <c r="C6570" t="s">
        <v>381</v>
      </c>
      <c r="D6570" t="s">
        <v>26</v>
      </c>
      <c r="E6570" t="s">
        <v>36</v>
      </c>
      <c r="F6570" t="s">
        <v>37</v>
      </c>
      <c r="G6570">
        <v>2</v>
      </c>
      <c r="H6570">
        <v>36311.42</v>
      </c>
      <c r="I6570">
        <v>4099.32</v>
      </c>
      <c r="J6570" t="s">
        <v>16</v>
      </c>
      <c r="K6570" t="s">
        <v>23</v>
      </c>
      <c r="L6570">
        <f t="shared" si="306"/>
        <v>2022</v>
      </c>
      <c r="M6570" t="str">
        <f t="shared" si="307"/>
        <v>Dec</v>
      </c>
      <c r="N6570" s="2">
        <f t="shared" si="308"/>
        <v>0.11289340929107151</v>
      </c>
    </row>
    <row r="6571" spans="1:14" x14ac:dyDescent="0.45">
      <c r="A6571" t="s">
        <v>11310</v>
      </c>
      <c r="B6571" s="1">
        <v>44968</v>
      </c>
      <c r="C6571" t="s">
        <v>11311</v>
      </c>
      <c r="D6571" t="s">
        <v>13</v>
      </c>
      <c r="E6571" t="s">
        <v>36</v>
      </c>
      <c r="F6571" t="s">
        <v>64</v>
      </c>
      <c r="G6571">
        <v>1</v>
      </c>
      <c r="H6571">
        <v>22558.07</v>
      </c>
      <c r="I6571">
        <v>4969.1499999999996</v>
      </c>
      <c r="J6571" t="s">
        <v>16</v>
      </c>
      <c r="K6571" t="s">
        <v>29</v>
      </c>
      <c r="L6571">
        <f t="shared" si="306"/>
        <v>2023</v>
      </c>
      <c r="M6571" t="str">
        <f t="shared" si="307"/>
        <v>Feb</v>
      </c>
      <c r="N6571" s="2">
        <f t="shared" si="308"/>
        <v>0.22028258623188951</v>
      </c>
    </row>
    <row r="6572" spans="1:14" x14ac:dyDescent="0.45">
      <c r="A6572" t="s">
        <v>11312</v>
      </c>
      <c r="B6572" s="1">
        <v>45400</v>
      </c>
      <c r="C6572" t="s">
        <v>11313</v>
      </c>
      <c r="D6572" t="s">
        <v>56</v>
      </c>
      <c r="E6572" t="s">
        <v>36</v>
      </c>
      <c r="F6572" t="s">
        <v>53</v>
      </c>
      <c r="G6572">
        <v>1</v>
      </c>
      <c r="H6572">
        <v>32693.75</v>
      </c>
      <c r="I6572">
        <v>2098.7600000000002</v>
      </c>
      <c r="J6572" t="s">
        <v>71</v>
      </c>
      <c r="K6572" t="s">
        <v>33</v>
      </c>
      <c r="L6572">
        <f t="shared" si="306"/>
        <v>2024</v>
      </c>
      <c r="M6572" t="str">
        <f t="shared" si="307"/>
        <v>Apr</v>
      </c>
      <c r="N6572" s="2">
        <f t="shared" si="308"/>
        <v>6.4194532594150269E-2</v>
      </c>
    </row>
    <row r="6573" spans="1:14" x14ac:dyDescent="0.45">
      <c r="A6573" t="s">
        <v>11314</v>
      </c>
      <c r="B6573" s="1">
        <v>45096</v>
      </c>
      <c r="C6573" t="s">
        <v>11315</v>
      </c>
      <c r="D6573" t="s">
        <v>26</v>
      </c>
      <c r="E6573" t="s">
        <v>36</v>
      </c>
      <c r="F6573" t="s">
        <v>46</v>
      </c>
      <c r="G6573">
        <v>5</v>
      </c>
      <c r="H6573">
        <v>45633.279999999999</v>
      </c>
      <c r="I6573">
        <v>6189.24</v>
      </c>
      <c r="J6573" t="s">
        <v>16</v>
      </c>
      <c r="K6573" t="s">
        <v>17</v>
      </c>
      <c r="L6573">
        <f t="shared" si="306"/>
        <v>2023</v>
      </c>
      <c r="M6573" t="str">
        <f t="shared" si="307"/>
        <v>Jun</v>
      </c>
      <c r="N6573" s="2">
        <f t="shared" si="308"/>
        <v>0.13562996129140836</v>
      </c>
    </row>
    <row r="6574" spans="1:14" x14ac:dyDescent="0.45">
      <c r="A6574" t="s">
        <v>11316</v>
      </c>
      <c r="B6574" s="1">
        <v>44864</v>
      </c>
      <c r="C6574" t="s">
        <v>11317</v>
      </c>
      <c r="D6574" t="s">
        <v>56</v>
      </c>
      <c r="E6574" t="s">
        <v>14</v>
      </c>
      <c r="F6574" t="s">
        <v>40</v>
      </c>
      <c r="G6574">
        <v>3</v>
      </c>
      <c r="H6574">
        <v>28474.080000000002</v>
      </c>
      <c r="I6574">
        <v>3745.34</v>
      </c>
      <c r="J6574" t="s">
        <v>47</v>
      </c>
      <c r="K6574" t="s">
        <v>29</v>
      </c>
      <c r="L6574">
        <f t="shared" si="306"/>
        <v>2022</v>
      </c>
      <c r="M6574" t="str">
        <f t="shared" si="307"/>
        <v>Oct</v>
      </c>
      <c r="N6574" s="2">
        <f t="shared" si="308"/>
        <v>0.1315350662778218</v>
      </c>
    </row>
    <row r="6575" spans="1:14" x14ac:dyDescent="0.45">
      <c r="A6575" t="s">
        <v>11318</v>
      </c>
      <c r="B6575" s="1">
        <v>44605</v>
      </c>
      <c r="C6575" t="s">
        <v>2704</v>
      </c>
      <c r="D6575" t="s">
        <v>56</v>
      </c>
      <c r="E6575" t="s">
        <v>14</v>
      </c>
      <c r="F6575" t="s">
        <v>32</v>
      </c>
      <c r="G6575">
        <v>1</v>
      </c>
      <c r="H6575">
        <v>46029.33</v>
      </c>
      <c r="I6575">
        <v>8266.83</v>
      </c>
      <c r="J6575" t="s">
        <v>71</v>
      </c>
      <c r="K6575" t="s">
        <v>33</v>
      </c>
      <c r="L6575">
        <f t="shared" si="306"/>
        <v>2022</v>
      </c>
      <c r="M6575" t="str">
        <f t="shared" si="307"/>
        <v>Feb</v>
      </c>
      <c r="N6575" s="2">
        <f t="shared" si="308"/>
        <v>0.17959918165222044</v>
      </c>
    </row>
    <row r="6576" spans="1:14" x14ac:dyDescent="0.45">
      <c r="A6576" t="s">
        <v>11319</v>
      </c>
      <c r="B6576" s="1">
        <v>45252</v>
      </c>
      <c r="C6576" t="s">
        <v>3600</v>
      </c>
      <c r="D6576" t="s">
        <v>13</v>
      </c>
      <c r="E6576" t="s">
        <v>20</v>
      </c>
      <c r="F6576" t="s">
        <v>27</v>
      </c>
      <c r="G6576">
        <v>4</v>
      </c>
      <c r="H6576">
        <v>14617.68</v>
      </c>
      <c r="I6576">
        <v>2967.04</v>
      </c>
      <c r="J6576" t="s">
        <v>16</v>
      </c>
      <c r="K6576" t="s">
        <v>23</v>
      </c>
      <c r="L6576">
        <f t="shared" si="306"/>
        <v>2023</v>
      </c>
      <c r="M6576" t="str">
        <f t="shared" si="307"/>
        <v>Nov</v>
      </c>
      <c r="N6576" s="2">
        <f t="shared" si="308"/>
        <v>0.20297612206588186</v>
      </c>
    </row>
    <row r="6577" spans="1:14" x14ac:dyDescent="0.45">
      <c r="A6577" t="s">
        <v>11320</v>
      </c>
      <c r="B6577" s="1">
        <v>45301</v>
      </c>
      <c r="C6577" t="s">
        <v>11321</v>
      </c>
      <c r="D6577" t="s">
        <v>56</v>
      </c>
      <c r="E6577" t="s">
        <v>36</v>
      </c>
      <c r="F6577" t="s">
        <v>37</v>
      </c>
      <c r="G6577">
        <v>4</v>
      </c>
      <c r="H6577">
        <v>41990.84</v>
      </c>
      <c r="I6577">
        <v>6716.83</v>
      </c>
      <c r="J6577" t="s">
        <v>71</v>
      </c>
      <c r="K6577" t="s">
        <v>23</v>
      </c>
      <c r="L6577">
        <f t="shared" si="306"/>
        <v>2024</v>
      </c>
      <c r="M6577" t="str">
        <f t="shared" si="307"/>
        <v>Jan</v>
      </c>
      <c r="N6577" s="2">
        <f t="shared" si="308"/>
        <v>0.1599594101951759</v>
      </c>
    </row>
    <row r="6578" spans="1:14" x14ac:dyDescent="0.45">
      <c r="A6578" t="s">
        <v>11322</v>
      </c>
      <c r="B6578" s="1">
        <v>45191</v>
      </c>
      <c r="C6578" t="s">
        <v>3072</v>
      </c>
      <c r="D6578" t="s">
        <v>56</v>
      </c>
      <c r="E6578" t="s">
        <v>14</v>
      </c>
      <c r="F6578" t="s">
        <v>32</v>
      </c>
      <c r="G6578">
        <v>2</v>
      </c>
      <c r="H6578">
        <v>40667.57</v>
      </c>
      <c r="I6578">
        <v>3160.67</v>
      </c>
      <c r="J6578" t="s">
        <v>28</v>
      </c>
      <c r="K6578" t="s">
        <v>29</v>
      </c>
      <c r="L6578">
        <f t="shared" si="306"/>
        <v>2023</v>
      </c>
      <c r="M6578" t="str">
        <f t="shared" si="307"/>
        <v>Sep</v>
      </c>
      <c r="N6578" s="2">
        <f t="shared" si="308"/>
        <v>7.7719667046740187E-2</v>
      </c>
    </row>
    <row r="6579" spans="1:14" x14ac:dyDescent="0.45">
      <c r="A6579" t="s">
        <v>11323</v>
      </c>
      <c r="B6579" s="1">
        <v>45040</v>
      </c>
      <c r="C6579" t="s">
        <v>8709</v>
      </c>
      <c r="D6579" t="s">
        <v>26</v>
      </c>
      <c r="E6579" t="s">
        <v>36</v>
      </c>
      <c r="F6579" t="s">
        <v>64</v>
      </c>
      <c r="G6579">
        <v>3</v>
      </c>
      <c r="H6579">
        <v>40888.18</v>
      </c>
      <c r="I6579">
        <v>7380.66</v>
      </c>
      <c r="J6579" t="s">
        <v>71</v>
      </c>
      <c r="K6579" t="s">
        <v>23</v>
      </c>
      <c r="L6579">
        <f t="shared" si="306"/>
        <v>2023</v>
      </c>
      <c r="M6579" t="str">
        <f t="shared" si="307"/>
        <v>Apr</v>
      </c>
      <c r="N6579" s="2">
        <f t="shared" si="308"/>
        <v>0.18050840120543393</v>
      </c>
    </row>
    <row r="6580" spans="1:14" x14ac:dyDescent="0.45">
      <c r="A6580" t="s">
        <v>11324</v>
      </c>
      <c r="B6580" s="1">
        <v>45201</v>
      </c>
      <c r="C6580" t="s">
        <v>553</v>
      </c>
      <c r="D6580" t="s">
        <v>56</v>
      </c>
      <c r="E6580" t="s">
        <v>20</v>
      </c>
      <c r="F6580" t="s">
        <v>27</v>
      </c>
      <c r="G6580">
        <v>5</v>
      </c>
      <c r="H6580">
        <v>32589.599999999999</v>
      </c>
      <c r="I6580">
        <v>7415.77</v>
      </c>
      <c r="J6580" t="s">
        <v>28</v>
      </c>
      <c r="K6580" t="s">
        <v>17</v>
      </c>
      <c r="L6580">
        <f t="shared" si="306"/>
        <v>2023</v>
      </c>
      <c r="M6580" t="str">
        <f t="shared" si="307"/>
        <v>Oct</v>
      </c>
      <c r="N6580" s="2">
        <f t="shared" si="308"/>
        <v>0.22755020006382407</v>
      </c>
    </row>
    <row r="6581" spans="1:14" x14ac:dyDescent="0.45">
      <c r="A6581" t="s">
        <v>11325</v>
      </c>
      <c r="B6581" s="1">
        <v>44953</v>
      </c>
      <c r="C6581" t="s">
        <v>11326</v>
      </c>
      <c r="D6581" t="s">
        <v>56</v>
      </c>
      <c r="E6581" t="s">
        <v>36</v>
      </c>
      <c r="F6581" t="s">
        <v>64</v>
      </c>
      <c r="G6581">
        <v>2</v>
      </c>
      <c r="H6581">
        <v>18170.740000000002</v>
      </c>
      <c r="I6581">
        <v>3260.39</v>
      </c>
      <c r="J6581" t="s">
        <v>28</v>
      </c>
      <c r="K6581" t="s">
        <v>23</v>
      </c>
      <c r="L6581">
        <f t="shared" si="306"/>
        <v>2023</v>
      </c>
      <c r="M6581" t="str">
        <f t="shared" si="307"/>
        <v>Jan</v>
      </c>
      <c r="N6581" s="2">
        <f t="shared" si="308"/>
        <v>0.1794307771725312</v>
      </c>
    </row>
    <row r="6582" spans="1:14" x14ac:dyDescent="0.45">
      <c r="A6582" t="s">
        <v>11327</v>
      </c>
      <c r="B6582" s="1">
        <v>45291</v>
      </c>
      <c r="C6582" t="s">
        <v>10291</v>
      </c>
      <c r="D6582" t="s">
        <v>26</v>
      </c>
      <c r="E6582" t="s">
        <v>14</v>
      </c>
      <c r="F6582" t="s">
        <v>32</v>
      </c>
      <c r="G6582">
        <v>4</v>
      </c>
      <c r="H6582">
        <v>24366.2</v>
      </c>
      <c r="I6582">
        <v>3709.57</v>
      </c>
      <c r="J6582" t="s">
        <v>16</v>
      </c>
      <c r="K6582" t="s">
        <v>29</v>
      </c>
      <c r="L6582">
        <f t="shared" si="306"/>
        <v>2023</v>
      </c>
      <c r="M6582" t="str">
        <f t="shared" si="307"/>
        <v>Dec</v>
      </c>
      <c r="N6582" s="2">
        <f t="shared" si="308"/>
        <v>0.15224245060780919</v>
      </c>
    </row>
    <row r="6583" spans="1:14" x14ac:dyDescent="0.45">
      <c r="A6583" t="s">
        <v>11328</v>
      </c>
      <c r="B6583" s="1">
        <v>45404</v>
      </c>
      <c r="C6583" t="s">
        <v>6995</v>
      </c>
      <c r="D6583" t="s">
        <v>26</v>
      </c>
      <c r="E6583" t="s">
        <v>36</v>
      </c>
      <c r="F6583" t="s">
        <v>53</v>
      </c>
      <c r="G6583">
        <v>2</v>
      </c>
      <c r="H6583">
        <v>19218.8</v>
      </c>
      <c r="I6583">
        <v>2921.53</v>
      </c>
      <c r="J6583" t="s">
        <v>71</v>
      </c>
      <c r="K6583" t="s">
        <v>29</v>
      </c>
      <c r="L6583">
        <f t="shared" si="306"/>
        <v>2024</v>
      </c>
      <c r="M6583" t="str">
        <f t="shared" si="307"/>
        <v>Apr</v>
      </c>
      <c r="N6583" s="2">
        <f t="shared" si="308"/>
        <v>0.15201417362166214</v>
      </c>
    </row>
    <row r="6584" spans="1:14" x14ac:dyDescent="0.45">
      <c r="A6584" t="s">
        <v>11329</v>
      </c>
      <c r="B6584" s="1">
        <v>45336</v>
      </c>
      <c r="C6584" t="s">
        <v>11330</v>
      </c>
      <c r="D6584" t="s">
        <v>26</v>
      </c>
      <c r="E6584" t="s">
        <v>14</v>
      </c>
      <c r="F6584" t="s">
        <v>15</v>
      </c>
      <c r="G6584">
        <v>3</v>
      </c>
      <c r="H6584">
        <v>3714.56</v>
      </c>
      <c r="I6584">
        <v>808.73</v>
      </c>
      <c r="J6584" t="s">
        <v>71</v>
      </c>
      <c r="K6584" t="s">
        <v>29</v>
      </c>
      <c r="L6584">
        <f t="shared" si="306"/>
        <v>2024</v>
      </c>
      <c r="M6584" t="str">
        <f t="shared" si="307"/>
        <v>Feb</v>
      </c>
      <c r="N6584" s="2">
        <f t="shared" si="308"/>
        <v>0.217718922294969</v>
      </c>
    </row>
    <row r="6585" spans="1:14" x14ac:dyDescent="0.45">
      <c r="A6585" t="s">
        <v>11331</v>
      </c>
      <c r="B6585" s="1">
        <v>44814</v>
      </c>
      <c r="C6585" t="s">
        <v>11332</v>
      </c>
      <c r="D6585" t="s">
        <v>13</v>
      </c>
      <c r="E6585" t="s">
        <v>20</v>
      </c>
      <c r="F6585" t="s">
        <v>27</v>
      </c>
      <c r="G6585">
        <v>3</v>
      </c>
      <c r="H6585">
        <v>28627.19</v>
      </c>
      <c r="I6585">
        <v>2804.8</v>
      </c>
      <c r="J6585" t="s">
        <v>28</v>
      </c>
      <c r="K6585" t="s">
        <v>17</v>
      </c>
      <c r="L6585">
        <f t="shared" si="306"/>
        <v>2022</v>
      </c>
      <c r="M6585" t="str">
        <f t="shared" si="307"/>
        <v>Sep</v>
      </c>
      <c r="N6585" s="2">
        <f t="shared" si="308"/>
        <v>9.7976783610267029E-2</v>
      </c>
    </row>
    <row r="6586" spans="1:14" x14ac:dyDescent="0.45">
      <c r="A6586" t="s">
        <v>11333</v>
      </c>
      <c r="B6586" s="1">
        <v>45087</v>
      </c>
      <c r="C6586" t="s">
        <v>5455</v>
      </c>
      <c r="D6586" t="s">
        <v>26</v>
      </c>
      <c r="E6586" t="s">
        <v>14</v>
      </c>
      <c r="F6586" t="s">
        <v>15</v>
      </c>
      <c r="G6586">
        <v>4</v>
      </c>
      <c r="H6586">
        <v>5818.12</v>
      </c>
      <c r="I6586">
        <v>1124.47</v>
      </c>
      <c r="J6586" t="s">
        <v>28</v>
      </c>
      <c r="K6586" t="s">
        <v>23</v>
      </c>
      <c r="L6586">
        <f t="shared" si="306"/>
        <v>2023</v>
      </c>
      <c r="M6586" t="str">
        <f t="shared" si="307"/>
        <v>Jun</v>
      </c>
      <c r="N6586" s="2">
        <f t="shared" si="308"/>
        <v>0.1932703347473067</v>
      </c>
    </row>
    <row r="6587" spans="1:14" x14ac:dyDescent="0.45">
      <c r="A6587" t="s">
        <v>11334</v>
      </c>
      <c r="B6587" s="1">
        <v>45168</v>
      </c>
      <c r="C6587" t="s">
        <v>11335</v>
      </c>
      <c r="D6587" t="s">
        <v>13</v>
      </c>
      <c r="E6587" t="s">
        <v>20</v>
      </c>
      <c r="F6587" t="s">
        <v>21</v>
      </c>
      <c r="G6587">
        <v>4</v>
      </c>
      <c r="H6587">
        <v>31931.96</v>
      </c>
      <c r="I6587">
        <v>7534.86</v>
      </c>
      <c r="J6587" t="s">
        <v>71</v>
      </c>
      <c r="K6587" t="s">
        <v>33</v>
      </c>
      <c r="L6587">
        <f t="shared" si="306"/>
        <v>2023</v>
      </c>
      <c r="M6587" t="str">
        <f t="shared" si="307"/>
        <v>Aug</v>
      </c>
      <c r="N6587" s="2">
        <f t="shared" si="308"/>
        <v>0.23596609791569323</v>
      </c>
    </row>
    <row r="6588" spans="1:14" x14ac:dyDescent="0.45">
      <c r="A6588" t="s">
        <v>11336</v>
      </c>
      <c r="B6588" s="1">
        <v>45593</v>
      </c>
      <c r="C6588" t="s">
        <v>11337</v>
      </c>
      <c r="D6588" t="s">
        <v>56</v>
      </c>
      <c r="E6588" t="s">
        <v>36</v>
      </c>
      <c r="F6588" t="s">
        <v>46</v>
      </c>
      <c r="G6588">
        <v>5</v>
      </c>
      <c r="H6588">
        <v>9873.91</v>
      </c>
      <c r="I6588">
        <v>1162.6500000000001</v>
      </c>
      <c r="J6588" t="s">
        <v>22</v>
      </c>
      <c r="K6588" t="s">
        <v>17</v>
      </c>
      <c r="L6588">
        <f t="shared" si="306"/>
        <v>2024</v>
      </c>
      <c r="M6588" t="str">
        <f t="shared" si="307"/>
        <v>Oct</v>
      </c>
      <c r="N6588" s="2">
        <f t="shared" si="308"/>
        <v>0.11774970604350253</v>
      </c>
    </row>
    <row r="6589" spans="1:14" x14ac:dyDescent="0.45">
      <c r="A6589" t="s">
        <v>11338</v>
      </c>
      <c r="B6589" s="1">
        <v>45637</v>
      </c>
      <c r="C6589" t="s">
        <v>6378</v>
      </c>
      <c r="D6589" t="s">
        <v>56</v>
      </c>
      <c r="E6589" t="s">
        <v>14</v>
      </c>
      <c r="F6589" t="s">
        <v>32</v>
      </c>
      <c r="G6589">
        <v>3</v>
      </c>
      <c r="H6589">
        <v>42308.79</v>
      </c>
      <c r="I6589">
        <v>2542.61</v>
      </c>
      <c r="J6589" t="s">
        <v>16</v>
      </c>
      <c r="K6589" t="s">
        <v>17</v>
      </c>
      <c r="L6589">
        <f t="shared" si="306"/>
        <v>2024</v>
      </c>
      <c r="M6589" t="str">
        <f t="shared" si="307"/>
        <v>Dec</v>
      </c>
      <c r="N6589" s="2">
        <f t="shared" si="308"/>
        <v>6.0096495314567025E-2</v>
      </c>
    </row>
    <row r="6590" spans="1:14" x14ac:dyDescent="0.45">
      <c r="A6590" t="s">
        <v>11339</v>
      </c>
      <c r="B6590" s="1">
        <v>45039</v>
      </c>
      <c r="C6590" t="s">
        <v>3275</v>
      </c>
      <c r="D6590" t="s">
        <v>26</v>
      </c>
      <c r="E6590" t="s">
        <v>20</v>
      </c>
      <c r="F6590" t="s">
        <v>21</v>
      </c>
      <c r="G6590">
        <v>4</v>
      </c>
      <c r="H6590">
        <v>598.51</v>
      </c>
      <c r="I6590">
        <v>139.16</v>
      </c>
      <c r="J6590" t="s">
        <v>22</v>
      </c>
      <c r="K6590" t="s">
        <v>17</v>
      </c>
      <c r="L6590">
        <f t="shared" si="306"/>
        <v>2023</v>
      </c>
      <c r="M6590" t="str">
        <f t="shared" si="307"/>
        <v>Apr</v>
      </c>
      <c r="N6590" s="2">
        <f t="shared" si="308"/>
        <v>0.23251073499189653</v>
      </c>
    </row>
    <row r="6591" spans="1:14" x14ac:dyDescent="0.45">
      <c r="A6591" t="s">
        <v>11340</v>
      </c>
      <c r="B6591" s="1">
        <v>44975</v>
      </c>
      <c r="C6591" t="s">
        <v>6294</v>
      </c>
      <c r="D6591" t="s">
        <v>13</v>
      </c>
      <c r="E6591" t="s">
        <v>14</v>
      </c>
      <c r="F6591" t="s">
        <v>57</v>
      </c>
      <c r="G6591">
        <v>1</v>
      </c>
      <c r="H6591">
        <v>36770.559999999998</v>
      </c>
      <c r="I6591">
        <v>7348.49</v>
      </c>
      <c r="J6591" t="s">
        <v>28</v>
      </c>
      <c r="K6591" t="s">
        <v>29</v>
      </c>
      <c r="L6591">
        <f t="shared" si="306"/>
        <v>2023</v>
      </c>
      <c r="M6591" t="str">
        <f t="shared" si="307"/>
        <v>Feb</v>
      </c>
      <c r="N6591" s="2">
        <f t="shared" si="308"/>
        <v>0.19984710594562607</v>
      </c>
    </row>
    <row r="6592" spans="1:14" x14ac:dyDescent="0.45">
      <c r="A6592" t="s">
        <v>11341</v>
      </c>
      <c r="B6592" s="1">
        <v>44699</v>
      </c>
      <c r="C6592" t="s">
        <v>8119</v>
      </c>
      <c r="D6592" t="s">
        <v>56</v>
      </c>
      <c r="E6592" t="s">
        <v>36</v>
      </c>
      <c r="F6592" t="s">
        <v>64</v>
      </c>
      <c r="G6592">
        <v>4</v>
      </c>
      <c r="H6592">
        <v>10045.68</v>
      </c>
      <c r="I6592">
        <v>1565.19</v>
      </c>
      <c r="J6592" t="s">
        <v>16</v>
      </c>
      <c r="K6592" t="s">
        <v>29</v>
      </c>
      <c r="L6592">
        <f t="shared" si="306"/>
        <v>2022</v>
      </c>
      <c r="M6592" t="str">
        <f t="shared" si="307"/>
        <v>May</v>
      </c>
      <c r="N6592" s="2">
        <f t="shared" si="308"/>
        <v>0.15580727237976921</v>
      </c>
    </row>
    <row r="6593" spans="1:14" x14ac:dyDescent="0.45">
      <c r="A6593" t="s">
        <v>11342</v>
      </c>
      <c r="B6593" s="1">
        <v>45364</v>
      </c>
      <c r="C6593" t="s">
        <v>164</v>
      </c>
      <c r="D6593" t="s">
        <v>13</v>
      </c>
      <c r="E6593" t="s">
        <v>36</v>
      </c>
      <c r="F6593" t="s">
        <v>46</v>
      </c>
      <c r="G6593">
        <v>4</v>
      </c>
      <c r="H6593">
        <v>25823.56</v>
      </c>
      <c r="I6593">
        <v>3038.99</v>
      </c>
      <c r="J6593" t="s">
        <v>47</v>
      </c>
      <c r="K6593" t="s">
        <v>23</v>
      </c>
      <c r="L6593">
        <f t="shared" si="306"/>
        <v>2024</v>
      </c>
      <c r="M6593" t="str">
        <f t="shared" si="307"/>
        <v>Mar</v>
      </c>
      <c r="N6593" s="2">
        <f t="shared" si="308"/>
        <v>0.11768284465813388</v>
      </c>
    </row>
    <row r="6594" spans="1:14" x14ac:dyDescent="0.45">
      <c r="A6594" t="s">
        <v>11343</v>
      </c>
      <c r="B6594" s="1">
        <v>45490</v>
      </c>
      <c r="C6594" t="s">
        <v>11344</v>
      </c>
      <c r="D6594" t="s">
        <v>56</v>
      </c>
      <c r="E6594" t="s">
        <v>36</v>
      </c>
      <c r="F6594" t="s">
        <v>64</v>
      </c>
      <c r="G6594">
        <v>5</v>
      </c>
      <c r="H6594">
        <v>12382.78</v>
      </c>
      <c r="I6594">
        <v>2457.1</v>
      </c>
      <c r="J6594" t="s">
        <v>28</v>
      </c>
      <c r="K6594" t="s">
        <v>23</v>
      </c>
      <c r="L6594">
        <f t="shared" si="306"/>
        <v>2024</v>
      </c>
      <c r="M6594" t="str">
        <f t="shared" si="307"/>
        <v>Jul</v>
      </c>
      <c r="N6594" s="2">
        <f t="shared" si="308"/>
        <v>0.19842878578154499</v>
      </c>
    </row>
    <row r="6595" spans="1:14" x14ac:dyDescent="0.45">
      <c r="A6595" t="s">
        <v>11345</v>
      </c>
      <c r="B6595" s="1">
        <v>44774</v>
      </c>
      <c r="C6595" t="s">
        <v>6716</v>
      </c>
      <c r="D6595" t="s">
        <v>56</v>
      </c>
      <c r="E6595" t="s">
        <v>14</v>
      </c>
      <c r="F6595" t="s">
        <v>32</v>
      </c>
      <c r="G6595">
        <v>2</v>
      </c>
      <c r="H6595">
        <v>30937.84</v>
      </c>
      <c r="I6595">
        <v>2869.46</v>
      </c>
      <c r="J6595" t="s">
        <v>28</v>
      </c>
      <c r="K6595" t="s">
        <v>29</v>
      </c>
      <c r="L6595">
        <f t="shared" ref="L6595:L6658" si="309">YEAR(B6595 )</f>
        <v>2022</v>
      </c>
      <c r="M6595" t="str">
        <f t="shared" ref="M6595:M6658" si="310">TEXT(B6595,"MMM")</f>
        <v>Aug</v>
      </c>
      <c r="N6595" s="2">
        <f t="shared" ref="N6595:N6658" si="311">I6595 / H6595</f>
        <v>9.2749202917850757E-2</v>
      </c>
    </row>
    <row r="6596" spans="1:14" x14ac:dyDescent="0.45">
      <c r="A6596" t="s">
        <v>11346</v>
      </c>
      <c r="B6596" s="1">
        <v>44859</v>
      </c>
      <c r="C6596" t="s">
        <v>1173</v>
      </c>
      <c r="D6596" t="s">
        <v>56</v>
      </c>
      <c r="E6596" t="s">
        <v>36</v>
      </c>
      <c r="F6596" t="s">
        <v>64</v>
      </c>
      <c r="G6596">
        <v>4</v>
      </c>
      <c r="H6596">
        <v>29040.89</v>
      </c>
      <c r="I6596">
        <v>5849.65</v>
      </c>
      <c r="J6596" t="s">
        <v>16</v>
      </c>
      <c r="K6596" t="s">
        <v>29</v>
      </c>
      <c r="L6596">
        <f t="shared" si="309"/>
        <v>2022</v>
      </c>
      <c r="M6596" t="str">
        <f t="shared" si="310"/>
        <v>Oct</v>
      </c>
      <c r="N6596" s="2">
        <f t="shared" si="311"/>
        <v>0.20142805540739281</v>
      </c>
    </row>
    <row r="6597" spans="1:14" x14ac:dyDescent="0.45">
      <c r="A6597" t="s">
        <v>11347</v>
      </c>
      <c r="B6597" s="1">
        <v>45639</v>
      </c>
      <c r="C6597" t="s">
        <v>11348</v>
      </c>
      <c r="D6597" t="s">
        <v>56</v>
      </c>
      <c r="E6597" t="s">
        <v>14</v>
      </c>
      <c r="F6597" t="s">
        <v>57</v>
      </c>
      <c r="G6597">
        <v>4</v>
      </c>
      <c r="H6597">
        <v>26400.61</v>
      </c>
      <c r="I6597">
        <v>3135.83</v>
      </c>
      <c r="J6597" t="s">
        <v>47</v>
      </c>
      <c r="K6597" t="s">
        <v>33</v>
      </c>
      <c r="L6597">
        <f t="shared" si="309"/>
        <v>2024</v>
      </c>
      <c r="M6597" t="str">
        <f t="shared" si="310"/>
        <v>Dec</v>
      </c>
      <c r="N6597" s="2">
        <f t="shared" si="311"/>
        <v>0.11877869488621663</v>
      </c>
    </row>
    <row r="6598" spans="1:14" x14ac:dyDescent="0.45">
      <c r="A6598" t="s">
        <v>11349</v>
      </c>
      <c r="B6598" s="1">
        <v>45414</v>
      </c>
      <c r="C6598" t="s">
        <v>8351</v>
      </c>
      <c r="D6598" t="s">
        <v>13</v>
      </c>
      <c r="E6598" t="s">
        <v>20</v>
      </c>
      <c r="F6598" t="s">
        <v>43</v>
      </c>
      <c r="G6598">
        <v>2</v>
      </c>
      <c r="H6598">
        <v>4021.86</v>
      </c>
      <c r="I6598">
        <v>974.1</v>
      </c>
      <c r="J6598" t="s">
        <v>16</v>
      </c>
      <c r="K6598" t="s">
        <v>17</v>
      </c>
      <c r="L6598">
        <f t="shared" si="309"/>
        <v>2024</v>
      </c>
      <c r="M6598" t="str">
        <f t="shared" si="310"/>
        <v>May</v>
      </c>
      <c r="N6598" s="2">
        <f t="shared" si="311"/>
        <v>0.24220136951559726</v>
      </c>
    </row>
    <row r="6599" spans="1:14" x14ac:dyDescent="0.45">
      <c r="A6599" t="s">
        <v>11350</v>
      </c>
      <c r="B6599" s="1">
        <v>45031</v>
      </c>
      <c r="C6599" t="s">
        <v>3316</v>
      </c>
      <c r="D6599" t="s">
        <v>26</v>
      </c>
      <c r="E6599" t="s">
        <v>20</v>
      </c>
      <c r="F6599" t="s">
        <v>27</v>
      </c>
      <c r="G6599">
        <v>4</v>
      </c>
      <c r="H6599">
        <v>14562.07</v>
      </c>
      <c r="I6599">
        <v>1935.21</v>
      </c>
      <c r="J6599" t="s">
        <v>47</v>
      </c>
      <c r="K6599" t="s">
        <v>33</v>
      </c>
      <c r="L6599">
        <f t="shared" si="309"/>
        <v>2023</v>
      </c>
      <c r="M6599" t="str">
        <f t="shared" si="310"/>
        <v>Apr</v>
      </c>
      <c r="N6599" s="2">
        <f t="shared" si="311"/>
        <v>0.13289388115837927</v>
      </c>
    </row>
    <row r="6600" spans="1:14" x14ac:dyDescent="0.45">
      <c r="A6600" t="s">
        <v>11351</v>
      </c>
      <c r="B6600" s="1">
        <v>45598</v>
      </c>
      <c r="C6600" t="s">
        <v>11352</v>
      </c>
      <c r="D6600" t="s">
        <v>56</v>
      </c>
      <c r="E6600" t="s">
        <v>36</v>
      </c>
      <c r="F6600" t="s">
        <v>64</v>
      </c>
      <c r="G6600">
        <v>2</v>
      </c>
      <c r="H6600">
        <v>39581.56</v>
      </c>
      <c r="I6600">
        <v>2687.61</v>
      </c>
      <c r="J6600" t="s">
        <v>71</v>
      </c>
      <c r="K6600" t="s">
        <v>33</v>
      </c>
      <c r="L6600">
        <f t="shared" si="309"/>
        <v>2024</v>
      </c>
      <c r="M6600" t="str">
        <f t="shared" si="310"/>
        <v>Nov</v>
      </c>
      <c r="N6600" s="2">
        <f t="shared" si="311"/>
        <v>6.7900557734460201E-2</v>
      </c>
    </row>
    <row r="6601" spans="1:14" x14ac:dyDescent="0.45">
      <c r="A6601" t="s">
        <v>11353</v>
      </c>
      <c r="B6601" s="1">
        <v>44662</v>
      </c>
      <c r="C6601" t="s">
        <v>4425</v>
      </c>
      <c r="D6601" t="s">
        <v>56</v>
      </c>
      <c r="E6601" t="s">
        <v>20</v>
      </c>
      <c r="F6601" t="s">
        <v>21</v>
      </c>
      <c r="G6601">
        <v>5</v>
      </c>
      <c r="H6601">
        <v>8781.43</v>
      </c>
      <c r="I6601">
        <v>754.95</v>
      </c>
      <c r="J6601" t="s">
        <v>28</v>
      </c>
      <c r="K6601" t="s">
        <v>17</v>
      </c>
      <c r="L6601">
        <f t="shared" si="309"/>
        <v>2022</v>
      </c>
      <c r="M6601" t="str">
        <f t="shared" si="310"/>
        <v>Apr</v>
      </c>
      <c r="N6601" s="2">
        <f t="shared" si="311"/>
        <v>8.5971191480203116E-2</v>
      </c>
    </row>
    <row r="6602" spans="1:14" x14ac:dyDescent="0.45">
      <c r="A6602" t="s">
        <v>11354</v>
      </c>
      <c r="B6602" s="1">
        <v>44720</v>
      </c>
      <c r="C6602" t="s">
        <v>6237</v>
      </c>
      <c r="D6602" t="s">
        <v>26</v>
      </c>
      <c r="E6602" t="s">
        <v>20</v>
      </c>
      <c r="F6602" t="s">
        <v>50</v>
      </c>
      <c r="G6602">
        <v>2</v>
      </c>
      <c r="H6602">
        <v>8640.8700000000008</v>
      </c>
      <c r="I6602">
        <v>1467.15</v>
      </c>
      <c r="J6602" t="s">
        <v>71</v>
      </c>
      <c r="K6602" t="s">
        <v>33</v>
      </c>
      <c r="L6602">
        <f t="shared" si="309"/>
        <v>2022</v>
      </c>
      <c r="M6602" t="str">
        <f t="shared" si="310"/>
        <v>Jun</v>
      </c>
      <c r="N6602" s="2">
        <f t="shared" si="311"/>
        <v>0.16979193067364745</v>
      </c>
    </row>
    <row r="6603" spans="1:14" x14ac:dyDescent="0.45">
      <c r="A6603" t="s">
        <v>11355</v>
      </c>
      <c r="B6603" s="1">
        <v>45541</v>
      </c>
      <c r="C6603" t="s">
        <v>11356</v>
      </c>
      <c r="D6603" t="s">
        <v>13</v>
      </c>
      <c r="E6603" t="s">
        <v>20</v>
      </c>
      <c r="F6603" t="s">
        <v>21</v>
      </c>
      <c r="G6603">
        <v>3</v>
      </c>
      <c r="H6603">
        <v>47958.58</v>
      </c>
      <c r="I6603">
        <v>4932.8900000000003</v>
      </c>
      <c r="J6603" t="s">
        <v>28</v>
      </c>
      <c r="K6603" t="s">
        <v>33</v>
      </c>
      <c r="L6603">
        <f t="shared" si="309"/>
        <v>2024</v>
      </c>
      <c r="M6603" t="str">
        <f t="shared" si="310"/>
        <v>Sep</v>
      </c>
      <c r="N6603" s="2">
        <f t="shared" si="311"/>
        <v>0.10285729894421394</v>
      </c>
    </row>
    <row r="6604" spans="1:14" x14ac:dyDescent="0.45">
      <c r="A6604" t="s">
        <v>11357</v>
      </c>
      <c r="B6604" s="1">
        <v>44704</v>
      </c>
      <c r="C6604" t="s">
        <v>11358</v>
      </c>
      <c r="D6604" t="s">
        <v>26</v>
      </c>
      <c r="E6604" t="s">
        <v>14</v>
      </c>
      <c r="F6604" t="s">
        <v>15</v>
      </c>
      <c r="G6604">
        <v>3</v>
      </c>
      <c r="H6604">
        <v>8051.27</v>
      </c>
      <c r="I6604">
        <v>749.92</v>
      </c>
      <c r="J6604" t="s">
        <v>22</v>
      </c>
      <c r="K6604" t="s">
        <v>33</v>
      </c>
      <c r="L6604">
        <f t="shared" si="309"/>
        <v>2022</v>
      </c>
      <c r="M6604" t="str">
        <f t="shared" si="310"/>
        <v>May</v>
      </c>
      <c r="N6604" s="2">
        <f t="shared" si="311"/>
        <v>9.314306935427577E-2</v>
      </c>
    </row>
    <row r="6605" spans="1:14" x14ac:dyDescent="0.45">
      <c r="A6605" t="s">
        <v>11359</v>
      </c>
      <c r="B6605" s="1">
        <v>45475</v>
      </c>
      <c r="C6605" t="s">
        <v>3306</v>
      </c>
      <c r="D6605" t="s">
        <v>13</v>
      </c>
      <c r="E6605" t="s">
        <v>36</v>
      </c>
      <c r="F6605" t="s">
        <v>46</v>
      </c>
      <c r="G6605">
        <v>3</v>
      </c>
      <c r="H6605">
        <v>46517.94</v>
      </c>
      <c r="I6605">
        <v>2522.9</v>
      </c>
      <c r="J6605" t="s">
        <v>47</v>
      </c>
      <c r="K6605" t="s">
        <v>33</v>
      </c>
      <c r="L6605">
        <f t="shared" si="309"/>
        <v>2024</v>
      </c>
      <c r="M6605" t="str">
        <f t="shared" si="310"/>
        <v>Jul</v>
      </c>
      <c r="N6605" s="2">
        <f t="shared" si="311"/>
        <v>5.4234989769538375E-2</v>
      </c>
    </row>
    <row r="6606" spans="1:14" x14ac:dyDescent="0.45">
      <c r="A6606" t="s">
        <v>11360</v>
      </c>
      <c r="B6606" s="1">
        <v>45174</v>
      </c>
      <c r="C6606" t="s">
        <v>11361</v>
      </c>
      <c r="D6606" t="s">
        <v>56</v>
      </c>
      <c r="E6606" t="s">
        <v>20</v>
      </c>
      <c r="F6606" t="s">
        <v>50</v>
      </c>
      <c r="G6606">
        <v>1</v>
      </c>
      <c r="H6606">
        <v>35640.78</v>
      </c>
      <c r="I6606">
        <v>2153.91</v>
      </c>
      <c r="J6606" t="s">
        <v>28</v>
      </c>
      <c r="K6606" t="s">
        <v>29</v>
      </c>
      <c r="L6606">
        <f t="shared" si="309"/>
        <v>2023</v>
      </c>
      <c r="M6606" t="str">
        <f t="shared" si="310"/>
        <v>Sep</v>
      </c>
      <c r="N6606" s="2">
        <f t="shared" si="311"/>
        <v>6.0433862558563534E-2</v>
      </c>
    </row>
    <row r="6607" spans="1:14" x14ac:dyDescent="0.45">
      <c r="A6607" t="s">
        <v>11362</v>
      </c>
      <c r="B6607" s="1">
        <v>45196</v>
      </c>
      <c r="C6607" t="s">
        <v>10246</v>
      </c>
      <c r="D6607" t="s">
        <v>13</v>
      </c>
      <c r="E6607" t="s">
        <v>36</v>
      </c>
      <c r="F6607" t="s">
        <v>46</v>
      </c>
      <c r="G6607">
        <v>5</v>
      </c>
      <c r="H6607">
        <v>46676.23</v>
      </c>
      <c r="I6607">
        <v>3630.64</v>
      </c>
      <c r="J6607" t="s">
        <v>16</v>
      </c>
      <c r="K6607" t="s">
        <v>23</v>
      </c>
      <c r="L6607">
        <f t="shared" si="309"/>
        <v>2023</v>
      </c>
      <c r="M6607" t="str">
        <f t="shared" si="310"/>
        <v>Sep</v>
      </c>
      <c r="N6607" s="2">
        <f t="shared" si="311"/>
        <v>7.778348851224702E-2</v>
      </c>
    </row>
    <row r="6608" spans="1:14" x14ac:dyDescent="0.45">
      <c r="A6608" t="s">
        <v>11363</v>
      </c>
      <c r="B6608" s="1">
        <v>45503</v>
      </c>
      <c r="C6608" t="s">
        <v>3523</v>
      </c>
      <c r="D6608" t="s">
        <v>26</v>
      </c>
      <c r="E6608" t="s">
        <v>14</v>
      </c>
      <c r="F6608" t="s">
        <v>15</v>
      </c>
      <c r="G6608">
        <v>2</v>
      </c>
      <c r="H6608">
        <v>12346.26</v>
      </c>
      <c r="I6608">
        <v>2508.87</v>
      </c>
      <c r="J6608" t="s">
        <v>22</v>
      </c>
      <c r="K6608" t="s">
        <v>17</v>
      </c>
      <c r="L6608">
        <f t="shared" si="309"/>
        <v>2024</v>
      </c>
      <c r="M6608" t="str">
        <f t="shared" si="310"/>
        <v>Jul</v>
      </c>
      <c r="N6608" s="2">
        <f t="shared" si="311"/>
        <v>0.20320890698883709</v>
      </c>
    </row>
    <row r="6609" spans="1:14" x14ac:dyDescent="0.45">
      <c r="A6609" t="s">
        <v>11364</v>
      </c>
      <c r="B6609" s="1">
        <v>45564</v>
      </c>
      <c r="C6609" t="s">
        <v>11365</v>
      </c>
      <c r="D6609" t="s">
        <v>26</v>
      </c>
      <c r="E6609" t="s">
        <v>20</v>
      </c>
      <c r="F6609" t="s">
        <v>21</v>
      </c>
      <c r="G6609">
        <v>1</v>
      </c>
      <c r="H6609">
        <v>42694.18</v>
      </c>
      <c r="I6609">
        <v>5343.41</v>
      </c>
      <c r="J6609" t="s">
        <v>47</v>
      </c>
      <c r="K6609" t="s">
        <v>17</v>
      </c>
      <c r="L6609">
        <f t="shared" si="309"/>
        <v>2024</v>
      </c>
      <c r="M6609" t="str">
        <f t="shared" si="310"/>
        <v>Sep</v>
      </c>
      <c r="N6609" s="2">
        <f t="shared" si="311"/>
        <v>0.12515546615487169</v>
      </c>
    </row>
    <row r="6610" spans="1:14" x14ac:dyDescent="0.45">
      <c r="A6610" t="s">
        <v>11366</v>
      </c>
      <c r="B6610" s="1">
        <v>44751</v>
      </c>
      <c r="C6610" t="s">
        <v>11367</v>
      </c>
      <c r="D6610" t="s">
        <v>13</v>
      </c>
      <c r="E6610" t="s">
        <v>36</v>
      </c>
      <c r="F6610" t="s">
        <v>46</v>
      </c>
      <c r="G6610">
        <v>2</v>
      </c>
      <c r="H6610">
        <v>19043.37</v>
      </c>
      <c r="I6610">
        <v>4742.29</v>
      </c>
      <c r="J6610" t="s">
        <v>47</v>
      </c>
      <c r="K6610" t="s">
        <v>33</v>
      </c>
      <c r="L6610">
        <f t="shared" si="309"/>
        <v>2022</v>
      </c>
      <c r="M6610" t="str">
        <f t="shared" si="310"/>
        <v>Jul</v>
      </c>
      <c r="N6610" s="2">
        <f t="shared" si="311"/>
        <v>0.24902577642507603</v>
      </c>
    </row>
    <row r="6611" spans="1:14" x14ac:dyDescent="0.45">
      <c r="A6611" t="s">
        <v>11368</v>
      </c>
      <c r="B6611" s="1">
        <v>44833</v>
      </c>
      <c r="C6611" t="s">
        <v>11369</v>
      </c>
      <c r="D6611" t="s">
        <v>26</v>
      </c>
      <c r="E6611" t="s">
        <v>20</v>
      </c>
      <c r="F6611" t="s">
        <v>21</v>
      </c>
      <c r="G6611">
        <v>3</v>
      </c>
      <c r="H6611">
        <v>5950.04</v>
      </c>
      <c r="I6611">
        <v>401.74</v>
      </c>
      <c r="J6611" t="s">
        <v>28</v>
      </c>
      <c r="K6611" t="s">
        <v>17</v>
      </c>
      <c r="L6611">
        <f t="shared" si="309"/>
        <v>2022</v>
      </c>
      <c r="M6611" t="str">
        <f t="shared" si="310"/>
        <v>Sep</v>
      </c>
      <c r="N6611" s="2">
        <f t="shared" si="311"/>
        <v>6.7518873822696987E-2</v>
      </c>
    </row>
    <row r="6612" spans="1:14" x14ac:dyDescent="0.45">
      <c r="A6612" t="s">
        <v>11370</v>
      </c>
      <c r="B6612" s="1">
        <v>45492</v>
      </c>
      <c r="C6612" t="s">
        <v>11371</v>
      </c>
      <c r="D6612" t="s">
        <v>56</v>
      </c>
      <c r="E6612" t="s">
        <v>20</v>
      </c>
      <c r="F6612" t="s">
        <v>43</v>
      </c>
      <c r="G6612">
        <v>5</v>
      </c>
      <c r="H6612">
        <v>40458.28</v>
      </c>
      <c r="I6612">
        <v>6589.82</v>
      </c>
      <c r="J6612" t="s">
        <v>16</v>
      </c>
      <c r="K6612" t="s">
        <v>33</v>
      </c>
      <c r="L6612">
        <f t="shared" si="309"/>
        <v>2024</v>
      </c>
      <c r="M6612" t="str">
        <f t="shared" si="310"/>
        <v>Jul</v>
      </c>
      <c r="N6612" s="2">
        <f t="shared" si="311"/>
        <v>0.16287939081938232</v>
      </c>
    </row>
    <row r="6613" spans="1:14" x14ac:dyDescent="0.45">
      <c r="A6613" t="s">
        <v>11372</v>
      </c>
      <c r="B6613" s="1">
        <v>45612</v>
      </c>
      <c r="C6613" t="s">
        <v>4058</v>
      </c>
      <c r="D6613" t="s">
        <v>26</v>
      </c>
      <c r="E6613" t="s">
        <v>14</v>
      </c>
      <c r="F6613" t="s">
        <v>57</v>
      </c>
      <c r="G6613">
        <v>2</v>
      </c>
      <c r="H6613">
        <v>29004.16</v>
      </c>
      <c r="I6613">
        <v>1556.73</v>
      </c>
      <c r="J6613" t="s">
        <v>71</v>
      </c>
      <c r="K6613" t="s">
        <v>33</v>
      </c>
      <c r="L6613">
        <f t="shared" si="309"/>
        <v>2024</v>
      </c>
      <c r="M6613" t="str">
        <f t="shared" si="310"/>
        <v>Nov</v>
      </c>
      <c r="N6613" s="2">
        <f t="shared" si="311"/>
        <v>5.3672645579116926E-2</v>
      </c>
    </row>
    <row r="6614" spans="1:14" x14ac:dyDescent="0.45">
      <c r="A6614" t="s">
        <v>11373</v>
      </c>
      <c r="B6614" s="1">
        <v>44902</v>
      </c>
      <c r="C6614" t="s">
        <v>6687</v>
      </c>
      <c r="D6614" t="s">
        <v>26</v>
      </c>
      <c r="E6614" t="s">
        <v>20</v>
      </c>
      <c r="F6614" t="s">
        <v>21</v>
      </c>
      <c r="G6614">
        <v>2</v>
      </c>
      <c r="H6614">
        <v>48365.04</v>
      </c>
      <c r="I6614">
        <v>3004.67</v>
      </c>
      <c r="J6614" t="s">
        <v>22</v>
      </c>
      <c r="K6614" t="s">
        <v>23</v>
      </c>
      <c r="L6614">
        <f t="shared" si="309"/>
        <v>2022</v>
      </c>
      <c r="M6614" t="str">
        <f t="shared" si="310"/>
        <v>Dec</v>
      </c>
      <c r="N6614" s="2">
        <f t="shared" si="311"/>
        <v>6.2124832316896667E-2</v>
      </c>
    </row>
    <row r="6615" spans="1:14" x14ac:dyDescent="0.45">
      <c r="A6615" t="s">
        <v>11374</v>
      </c>
      <c r="B6615" s="1">
        <v>45649</v>
      </c>
      <c r="C6615" t="s">
        <v>11375</v>
      </c>
      <c r="D6615" t="s">
        <v>13</v>
      </c>
      <c r="E6615" t="s">
        <v>20</v>
      </c>
      <c r="F6615" t="s">
        <v>21</v>
      </c>
      <c r="G6615">
        <v>5</v>
      </c>
      <c r="H6615">
        <v>6662.29</v>
      </c>
      <c r="I6615">
        <v>1014.52</v>
      </c>
      <c r="J6615" t="s">
        <v>22</v>
      </c>
      <c r="K6615" t="s">
        <v>17</v>
      </c>
      <c r="L6615">
        <f t="shared" si="309"/>
        <v>2024</v>
      </c>
      <c r="M6615" t="str">
        <f t="shared" si="310"/>
        <v>Dec</v>
      </c>
      <c r="N6615" s="2">
        <f t="shared" si="311"/>
        <v>0.15227797048762512</v>
      </c>
    </row>
    <row r="6616" spans="1:14" x14ac:dyDescent="0.45">
      <c r="A6616" t="s">
        <v>11376</v>
      </c>
      <c r="B6616" s="1">
        <v>44640</v>
      </c>
      <c r="C6616" t="s">
        <v>10839</v>
      </c>
      <c r="D6616" t="s">
        <v>13</v>
      </c>
      <c r="E6616" t="s">
        <v>20</v>
      </c>
      <c r="F6616" t="s">
        <v>27</v>
      </c>
      <c r="G6616">
        <v>1</v>
      </c>
      <c r="H6616">
        <v>43941.19</v>
      </c>
      <c r="I6616">
        <v>6321.47</v>
      </c>
      <c r="J6616" t="s">
        <v>22</v>
      </c>
      <c r="K6616" t="s">
        <v>29</v>
      </c>
      <c r="L6616">
        <f t="shared" si="309"/>
        <v>2022</v>
      </c>
      <c r="M6616" t="str">
        <f t="shared" si="310"/>
        <v>Mar</v>
      </c>
      <c r="N6616" s="2">
        <f t="shared" si="311"/>
        <v>0.14386205744541739</v>
      </c>
    </row>
    <row r="6617" spans="1:14" x14ac:dyDescent="0.45">
      <c r="A6617" t="s">
        <v>11377</v>
      </c>
      <c r="B6617" s="1">
        <v>45330</v>
      </c>
      <c r="C6617" t="s">
        <v>6071</v>
      </c>
      <c r="D6617" t="s">
        <v>56</v>
      </c>
      <c r="E6617" t="s">
        <v>36</v>
      </c>
      <c r="F6617" t="s">
        <v>46</v>
      </c>
      <c r="G6617">
        <v>4</v>
      </c>
      <c r="H6617">
        <v>32197</v>
      </c>
      <c r="I6617">
        <v>4460.0200000000004</v>
      </c>
      <c r="J6617" t="s">
        <v>28</v>
      </c>
      <c r="K6617" t="s">
        <v>17</v>
      </c>
      <c r="L6617">
        <f t="shared" si="309"/>
        <v>2024</v>
      </c>
      <c r="M6617" t="str">
        <f t="shared" si="310"/>
        <v>Feb</v>
      </c>
      <c r="N6617" s="2">
        <f t="shared" si="311"/>
        <v>0.13852284374320589</v>
      </c>
    </row>
    <row r="6618" spans="1:14" x14ac:dyDescent="0.45">
      <c r="A6618" t="s">
        <v>11378</v>
      </c>
      <c r="B6618" s="1">
        <v>44889</v>
      </c>
      <c r="C6618" t="s">
        <v>6160</v>
      </c>
      <c r="D6618" t="s">
        <v>56</v>
      </c>
      <c r="E6618" t="s">
        <v>14</v>
      </c>
      <c r="F6618" t="s">
        <v>57</v>
      </c>
      <c r="G6618">
        <v>3</v>
      </c>
      <c r="H6618">
        <v>15435.23</v>
      </c>
      <c r="I6618">
        <v>3064.88</v>
      </c>
      <c r="J6618" t="s">
        <v>22</v>
      </c>
      <c r="K6618" t="s">
        <v>17</v>
      </c>
      <c r="L6618">
        <f t="shared" si="309"/>
        <v>2022</v>
      </c>
      <c r="M6618" t="str">
        <f t="shared" si="310"/>
        <v>Nov</v>
      </c>
      <c r="N6618" s="2">
        <f t="shared" si="311"/>
        <v>0.19856393458341731</v>
      </c>
    </row>
    <row r="6619" spans="1:14" x14ac:dyDescent="0.45">
      <c r="A6619" t="s">
        <v>11379</v>
      </c>
      <c r="B6619" s="1">
        <v>45012</v>
      </c>
      <c r="C6619" t="s">
        <v>10580</v>
      </c>
      <c r="D6619" t="s">
        <v>56</v>
      </c>
      <c r="E6619" t="s">
        <v>14</v>
      </c>
      <c r="F6619" t="s">
        <v>57</v>
      </c>
      <c r="G6619">
        <v>2</v>
      </c>
      <c r="H6619">
        <v>47014.78</v>
      </c>
      <c r="I6619">
        <v>8951.6</v>
      </c>
      <c r="J6619" t="s">
        <v>47</v>
      </c>
      <c r="K6619" t="s">
        <v>33</v>
      </c>
      <c r="L6619">
        <f t="shared" si="309"/>
        <v>2023</v>
      </c>
      <c r="M6619" t="str">
        <f t="shared" si="310"/>
        <v>Mar</v>
      </c>
      <c r="N6619" s="2">
        <f t="shared" si="311"/>
        <v>0.1903996998390719</v>
      </c>
    </row>
    <row r="6620" spans="1:14" x14ac:dyDescent="0.45">
      <c r="A6620" t="s">
        <v>11380</v>
      </c>
      <c r="B6620" s="1">
        <v>45406</v>
      </c>
      <c r="C6620" t="s">
        <v>587</v>
      </c>
      <c r="D6620" t="s">
        <v>56</v>
      </c>
      <c r="E6620" t="s">
        <v>20</v>
      </c>
      <c r="F6620" t="s">
        <v>50</v>
      </c>
      <c r="G6620">
        <v>1</v>
      </c>
      <c r="H6620">
        <v>20591.64</v>
      </c>
      <c r="I6620">
        <v>4515.29</v>
      </c>
      <c r="J6620" t="s">
        <v>71</v>
      </c>
      <c r="K6620" t="s">
        <v>29</v>
      </c>
      <c r="L6620">
        <f t="shared" si="309"/>
        <v>2024</v>
      </c>
      <c r="M6620" t="str">
        <f t="shared" si="310"/>
        <v>Apr</v>
      </c>
      <c r="N6620" s="2">
        <f t="shared" si="311"/>
        <v>0.21927782342737151</v>
      </c>
    </row>
    <row r="6621" spans="1:14" x14ac:dyDescent="0.45">
      <c r="A6621" t="s">
        <v>11381</v>
      </c>
      <c r="B6621" s="1">
        <v>45266</v>
      </c>
      <c r="C6621" t="s">
        <v>11382</v>
      </c>
      <c r="D6621" t="s">
        <v>26</v>
      </c>
      <c r="E6621" t="s">
        <v>20</v>
      </c>
      <c r="F6621" t="s">
        <v>21</v>
      </c>
      <c r="G6621">
        <v>1</v>
      </c>
      <c r="H6621">
        <v>31155.24</v>
      </c>
      <c r="I6621">
        <v>6019.89</v>
      </c>
      <c r="J6621" t="s">
        <v>71</v>
      </c>
      <c r="K6621" t="s">
        <v>23</v>
      </c>
      <c r="L6621">
        <f t="shared" si="309"/>
        <v>2023</v>
      </c>
      <c r="M6621" t="str">
        <f t="shared" si="310"/>
        <v>Dec</v>
      </c>
      <c r="N6621" s="2">
        <f t="shared" si="311"/>
        <v>0.19322239212408571</v>
      </c>
    </row>
    <row r="6622" spans="1:14" x14ac:dyDescent="0.45">
      <c r="A6622" t="s">
        <v>11383</v>
      </c>
      <c r="B6622" s="1">
        <v>45492</v>
      </c>
      <c r="C6622" t="s">
        <v>11384</v>
      </c>
      <c r="D6622" t="s">
        <v>13</v>
      </c>
      <c r="E6622" t="s">
        <v>14</v>
      </c>
      <c r="F6622" t="s">
        <v>57</v>
      </c>
      <c r="G6622">
        <v>2</v>
      </c>
      <c r="H6622">
        <v>31857.27</v>
      </c>
      <c r="I6622">
        <v>3628.54</v>
      </c>
      <c r="J6622" t="s">
        <v>28</v>
      </c>
      <c r="K6622" t="s">
        <v>23</v>
      </c>
      <c r="L6622">
        <f t="shared" si="309"/>
        <v>2024</v>
      </c>
      <c r="M6622" t="str">
        <f t="shared" si="310"/>
        <v>Jul</v>
      </c>
      <c r="N6622" s="2">
        <f t="shared" si="311"/>
        <v>0.11389990416630176</v>
      </c>
    </row>
    <row r="6623" spans="1:14" x14ac:dyDescent="0.45">
      <c r="A6623" t="s">
        <v>11385</v>
      </c>
      <c r="B6623" s="1">
        <v>45488</v>
      </c>
      <c r="C6623" t="s">
        <v>11386</v>
      </c>
      <c r="D6623" t="s">
        <v>13</v>
      </c>
      <c r="E6623" t="s">
        <v>36</v>
      </c>
      <c r="F6623" t="s">
        <v>64</v>
      </c>
      <c r="G6623">
        <v>3</v>
      </c>
      <c r="H6623">
        <v>15625.6</v>
      </c>
      <c r="I6623">
        <v>905.89</v>
      </c>
      <c r="J6623" t="s">
        <v>71</v>
      </c>
      <c r="K6623" t="s">
        <v>29</v>
      </c>
      <c r="L6623">
        <f t="shared" si="309"/>
        <v>2024</v>
      </c>
      <c r="M6623" t="str">
        <f t="shared" si="310"/>
        <v>Jul</v>
      </c>
      <c r="N6623" s="2">
        <f t="shared" si="311"/>
        <v>5.7974733770223219E-2</v>
      </c>
    </row>
    <row r="6624" spans="1:14" x14ac:dyDescent="0.45">
      <c r="A6624" t="s">
        <v>11387</v>
      </c>
      <c r="B6624" s="1">
        <v>44585</v>
      </c>
      <c r="C6624" t="s">
        <v>11388</v>
      </c>
      <c r="D6624" t="s">
        <v>26</v>
      </c>
      <c r="E6624" t="s">
        <v>20</v>
      </c>
      <c r="F6624" t="s">
        <v>50</v>
      </c>
      <c r="G6624">
        <v>2</v>
      </c>
      <c r="H6624">
        <v>32690.29</v>
      </c>
      <c r="I6624">
        <v>4622.53</v>
      </c>
      <c r="J6624" t="s">
        <v>22</v>
      </c>
      <c r="K6624" t="s">
        <v>17</v>
      </c>
      <c r="L6624">
        <f t="shared" si="309"/>
        <v>2022</v>
      </c>
      <c r="M6624" t="str">
        <f t="shared" si="310"/>
        <v>Jan</v>
      </c>
      <c r="N6624" s="2">
        <f t="shared" si="311"/>
        <v>0.14140376240161834</v>
      </c>
    </row>
    <row r="6625" spans="1:14" x14ac:dyDescent="0.45">
      <c r="A6625" t="s">
        <v>11389</v>
      </c>
      <c r="B6625" s="1">
        <v>45317</v>
      </c>
      <c r="C6625" t="s">
        <v>11390</v>
      </c>
      <c r="D6625" t="s">
        <v>13</v>
      </c>
      <c r="E6625" t="s">
        <v>20</v>
      </c>
      <c r="F6625" t="s">
        <v>50</v>
      </c>
      <c r="G6625">
        <v>4</v>
      </c>
      <c r="H6625">
        <v>7609.12</v>
      </c>
      <c r="I6625">
        <v>582.28</v>
      </c>
      <c r="J6625" t="s">
        <v>71</v>
      </c>
      <c r="K6625" t="s">
        <v>17</v>
      </c>
      <c r="L6625">
        <f t="shared" si="309"/>
        <v>2024</v>
      </c>
      <c r="M6625" t="str">
        <f t="shared" si="310"/>
        <v>Jan</v>
      </c>
      <c r="N6625" s="2">
        <f t="shared" si="311"/>
        <v>7.6523960720819226E-2</v>
      </c>
    </row>
    <row r="6626" spans="1:14" x14ac:dyDescent="0.45">
      <c r="A6626" t="s">
        <v>11391</v>
      </c>
      <c r="B6626" s="1">
        <v>45207</v>
      </c>
      <c r="C6626" t="s">
        <v>11392</v>
      </c>
      <c r="D6626" t="s">
        <v>26</v>
      </c>
      <c r="E6626" t="s">
        <v>14</v>
      </c>
      <c r="F6626" t="s">
        <v>32</v>
      </c>
      <c r="G6626">
        <v>1</v>
      </c>
      <c r="H6626">
        <v>11043.51</v>
      </c>
      <c r="I6626">
        <v>847.4</v>
      </c>
      <c r="J6626" t="s">
        <v>47</v>
      </c>
      <c r="K6626" t="s">
        <v>17</v>
      </c>
      <c r="L6626">
        <f t="shared" si="309"/>
        <v>2023</v>
      </c>
      <c r="M6626" t="str">
        <f t="shared" si="310"/>
        <v>Oct</v>
      </c>
      <c r="N6626" s="2">
        <f t="shared" si="311"/>
        <v>7.6732850334721478E-2</v>
      </c>
    </row>
    <row r="6627" spans="1:14" x14ac:dyDescent="0.45">
      <c r="A6627" t="s">
        <v>11393</v>
      </c>
      <c r="B6627" s="1">
        <v>44662</v>
      </c>
      <c r="C6627" t="s">
        <v>5663</v>
      </c>
      <c r="D6627" t="s">
        <v>26</v>
      </c>
      <c r="E6627" t="s">
        <v>36</v>
      </c>
      <c r="F6627" t="s">
        <v>37</v>
      </c>
      <c r="G6627">
        <v>3</v>
      </c>
      <c r="H6627">
        <v>1191.83</v>
      </c>
      <c r="I6627">
        <v>240.34</v>
      </c>
      <c r="J6627" t="s">
        <v>22</v>
      </c>
      <c r="K6627" t="s">
        <v>23</v>
      </c>
      <c r="L6627">
        <f t="shared" si="309"/>
        <v>2022</v>
      </c>
      <c r="M6627" t="str">
        <f t="shared" si="310"/>
        <v>Apr</v>
      </c>
      <c r="N6627" s="2">
        <f t="shared" si="311"/>
        <v>0.20165627648238424</v>
      </c>
    </row>
    <row r="6628" spans="1:14" x14ac:dyDescent="0.45">
      <c r="A6628" t="s">
        <v>11394</v>
      </c>
      <c r="B6628" s="1">
        <v>45423</v>
      </c>
      <c r="C6628" t="s">
        <v>11395</v>
      </c>
      <c r="D6628" t="s">
        <v>13</v>
      </c>
      <c r="E6628" t="s">
        <v>36</v>
      </c>
      <c r="F6628" t="s">
        <v>46</v>
      </c>
      <c r="G6628">
        <v>3</v>
      </c>
      <c r="H6628">
        <v>17937.36</v>
      </c>
      <c r="I6628">
        <v>3820.04</v>
      </c>
      <c r="J6628" t="s">
        <v>71</v>
      </c>
      <c r="K6628" t="s">
        <v>23</v>
      </c>
      <c r="L6628">
        <f t="shared" si="309"/>
        <v>2024</v>
      </c>
      <c r="M6628" t="str">
        <f t="shared" si="310"/>
        <v>May</v>
      </c>
      <c r="N6628" s="2">
        <f t="shared" si="311"/>
        <v>0.21296556460928476</v>
      </c>
    </row>
    <row r="6629" spans="1:14" x14ac:dyDescent="0.45">
      <c r="A6629" t="s">
        <v>11396</v>
      </c>
      <c r="B6629" s="1">
        <v>45241</v>
      </c>
      <c r="C6629" t="s">
        <v>4886</v>
      </c>
      <c r="D6629" t="s">
        <v>56</v>
      </c>
      <c r="E6629" t="s">
        <v>20</v>
      </c>
      <c r="F6629" t="s">
        <v>27</v>
      </c>
      <c r="G6629">
        <v>3</v>
      </c>
      <c r="H6629">
        <v>14820.46</v>
      </c>
      <c r="I6629">
        <v>1432.62</v>
      </c>
      <c r="J6629" t="s">
        <v>16</v>
      </c>
      <c r="K6629" t="s">
        <v>29</v>
      </c>
      <c r="L6629">
        <f t="shared" si="309"/>
        <v>2023</v>
      </c>
      <c r="M6629" t="str">
        <f t="shared" si="310"/>
        <v>Nov</v>
      </c>
      <c r="N6629" s="2">
        <f t="shared" si="311"/>
        <v>9.666501579573103E-2</v>
      </c>
    </row>
    <row r="6630" spans="1:14" x14ac:dyDescent="0.45">
      <c r="A6630" t="s">
        <v>11397</v>
      </c>
      <c r="B6630" s="1">
        <v>45548</v>
      </c>
      <c r="C6630" t="s">
        <v>4456</v>
      </c>
      <c r="D6630" t="s">
        <v>56</v>
      </c>
      <c r="E6630" t="s">
        <v>36</v>
      </c>
      <c r="F6630" t="s">
        <v>37</v>
      </c>
      <c r="G6630">
        <v>2</v>
      </c>
      <c r="H6630">
        <v>41801.1</v>
      </c>
      <c r="I6630">
        <v>6050.01</v>
      </c>
      <c r="J6630" t="s">
        <v>28</v>
      </c>
      <c r="K6630" t="s">
        <v>29</v>
      </c>
      <c r="L6630">
        <f t="shared" si="309"/>
        <v>2024</v>
      </c>
      <c r="M6630" t="str">
        <f t="shared" si="310"/>
        <v>Sep</v>
      </c>
      <c r="N6630" s="2">
        <f t="shared" si="311"/>
        <v>0.14473327256938215</v>
      </c>
    </row>
    <row r="6631" spans="1:14" x14ac:dyDescent="0.45">
      <c r="A6631" t="s">
        <v>11398</v>
      </c>
      <c r="B6631" s="1">
        <v>44903</v>
      </c>
      <c r="C6631" t="s">
        <v>11399</v>
      </c>
      <c r="D6631" t="s">
        <v>13</v>
      </c>
      <c r="E6631" t="s">
        <v>14</v>
      </c>
      <c r="F6631" t="s">
        <v>57</v>
      </c>
      <c r="G6631">
        <v>4</v>
      </c>
      <c r="H6631">
        <v>32912.85</v>
      </c>
      <c r="I6631">
        <v>6668.08</v>
      </c>
      <c r="J6631" t="s">
        <v>71</v>
      </c>
      <c r="K6631" t="s">
        <v>23</v>
      </c>
      <c r="L6631">
        <f t="shared" si="309"/>
        <v>2022</v>
      </c>
      <c r="M6631" t="str">
        <f t="shared" si="310"/>
        <v>Dec</v>
      </c>
      <c r="N6631" s="2">
        <f t="shared" si="311"/>
        <v>0.20259807339686475</v>
      </c>
    </row>
    <row r="6632" spans="1:14" x14ac:dyDescent="0.45">
      <c r="A6632" t="s">
        <v>11400</v>
      </c>
      <c r="B6632" s="1">
        <v>45122</v>
      </c>
      <c r="C6632" t="s">
        <v>11401</v>
      </c>
      <c r="D6632" t="s">
        <v>13</v>
      </c>
      <c r="E6632" t="s">
        <v>20</v>
      </c>
      <c r="F6632" t="s">
        <v>21</v>
      </c>
      <c r="G6632">
        <v>2</v>
      </c>
      <c r="H6632">
        <v>12054.32</v>
      </c>
      <c r="I6632">
        <v>1772.04</v>
      </c>
      <c r="J6632" t="s">
        <v>16</v>
      </c>
      <c r="K6632" t="s">
        <v>33</v>
      </c>
      <c r="L6632">
        <f t="shared" si="309"/>
        <v>2023</v>
      </c>
      <c r="M6632" t="str">
        <f t="shared" si="310"/>
        <v>Jul</v>
      </c>
      <c r="N6632" s="2">
        <f t="shared" si="311"/>
        <v>0.14700455936129123</v>
      </c>
    </row>
    <row r="6633" spans="1:14" x14ac:dyDescent="0.45">
      <c r="A6633" t="s">
        <v>11402</v>
      </c>
      <c r="B6633" s="1">
        <v>45363</v>
      </c>
      <c r="C6633" t="s">
        <v>448</v>
      </c>
      <c r="D6633" t="s">
        <v>56</v>
      </c>
      <c r="E6633" t="s">
        <v>36</v>
      </c>
      <c r="F6633" t="s">
        <v>37</v>
      </c>
      <c r="G6633">
        <v>4</v>
      </c>
      <c r="H6633">
        <v>49300.78</v>
      </c>
      <c r="I6633">
        <v>4571.5200000000004</v>
      </c>
      <c r="J6633" t="s">
        <v>22</v>
      </c>
      <c r="K6633" t="s">
        <v>29</v>
      </c>
      <c r="L6633">
        <f t="shared" si="309"/>
        <v>2024</v>
      </c>
      <c r="M6633" t="str">
        <f t="shared" si="310"/>
        <v>Mar</v>
      </c>
      <c r="N6633" s="2">
        <f t="shared" si="311"/>
        <v>9.27271333232456E-2</v>
      </c>
    </row>
    <row r="6634" spans="1:14" x14ac:dyDescent="0.45">
      <c r="A6634" t="s">
        <v>11403</v>
      </c>
      <c r="B6634" s="1">
        <v>45443</v>
      </c>
      <c r="C6634" t="s">
        <v>2665</v>
      </c>
      <c r="D6634" t="s">
        <v>56</v>
      </c>
      <c r="E6634" t="s">
        <v>20</v>
      </c>
      <c r="F6634" t="s">
        <v>43</v>
      </c>
      <c r="G6634">
        <v>4</v>
      </c>
      <c r="H6634">
        <v>13501.52</v>
      </c>
      <c r="I6634">
        <v>2182.71</v>
      </c>
      <c r="J6634" t="s">
        <v>16</v>
      </c>
      <c r="K6634" t="s">
        <v>23</v>
      </c>
      <c r="L6634">
        <f t="shared" si="309"/>
        <v>2024</v>
      </c>
      <c r="M6634" t="str">
        <f t="shared" si="310"/>
        <v>May</v>
      </c>
      <c r="N6634" s="2">
        <f t="shared" si="311"/>
        <v>0.16166402005107572</v>
      </c>
    </row>
    <row r="6635" spans="1:14" x14ac:dyDescent="0.45">
      <c r="A6635" t="s">
        <v>11404</v>
      </c>
      <c r="B6635" s="1">
        <v>45561</v>
      </c>
      <c r="C6635" t="s">
        <v>5637</v>
      </c>
      <c r="D6635" t="s">
        <v>26</v>
      </c>
      <c r="E6635" t="s">
        <v>14</v>
      </c>
      <c r="F6635" t="s">
        <v>32</v>
      </c>
      <c r="G6635">
        <v>1</v>
      </c>
      <c r="H6635">
        <v>28532.1</v>
      </c>
      <c r="I6635">
        <v>5444.87</v>
      </c>
      <c r="J6635" t="s">
        <v>28</v>
      </c>
      <c r="K6635" t="s">
        <v>33</v>
      </c>
      <c r="L6635">
        <f t="shared" si="309"/>
        <v>2024</v>
      </c>
      <c r="M6635" t="str">
        <f t="shared" si="310"/>
        <v>Sep</v>
      </c>
      <c r="N6635" s="2">
        <f t="shared" si="311"/>
        <v>0.19083313180593087</v>
      </c>
    </row>
    <row r="6636" spans="1:14" x14ac:dyDescent="0.45">
      <c r="A6636" t="s">
        <v>11405</v>
      </c>
      <c r="B6636" s="1">
        <v>45337</v>
      </c>
      <c r="C6636" t="s">
        <v>11406</v>
      </c>
      <c r="D6636" t="s">
        <v>13</v>
      </c>
      <c r="E6636" t="s">
        <v>14</v>
      </c>
      <c r="F6636" t="s">
        <v>32</v>
      </c>
      <c r="G6636">
        <v>5</v>
      </c>
      <c r="H6636">
        <v>48103.199999999997</v>
      </c>
      <c r="I6636">
        <v>3066.31</v>
      </c>
      <c r="J6636" t="s">
        <v>71</v>
      </c>
      <c r="K6636" t="s">
        <v>29</v>
      </c>
      <c r="L6636">
        <f t="shared" si="309"/>
        <v>2024</v>
      </c>
      <c r="M6636" t="str">
        <f t="shared" si="310"/>
        <v>Feb</v>
      </c>
      <c r="N6636" s="2">
        <f t="shared" si="311"/>
        <v>6.374440785644199E-2</v>
      </c>
    </row>
    <row r="6637" spans="1:14" x14ac:dyDescent="0.45">
      <c r="A6637" t="s">
        <v>11407</v>
      </c>
      <c r="B6637" s="1">
        <v>45378</v>
      </c>
      <c r="C6637" t="s">
        <v>5899</v>
      </c>
      <c r="D6637" t="s">
        <v>56</v>
      </c>
      <c r="E6637" t="s">
        <v>14</v>
      </c>
      <c r="F6637" t="s">
        <v>15</v>
      </c>
      <c r="G6637">
        <v>1</v>
      </c>
      <c r="H6637">
        <v>8052.77</v>
      </c>
      <c r="I6637">
        <v>996.78</v>
      </c>
      <c r="J6637" t="s">
        <v>22</v>
      </c>
      <c r="K6637" t="s">
        <v>23</v>
      </c>
      <c r="L6637">
        <f t="shared" si="309"/>
        <v>2024</v>
      </c>
      <c r="M6637" t="str">
        <f t="shared" si="310"/>
        <v>Mar</v>
      </c>
      <c r="N6637" s="2">
        <f t="shared" si="311"/>
        <v>0.1237810095159802</v>
      </c>
    </row>
    <row r="6638" spans="1:14" x14ac:dyDescent="0.45">
      <c r="A6638" t="s">
        <v>11408</v>
      </c>
      <c r="B6638" s="1">
        <v>45495</v>
      </c>
      <c r="C6638" t="s">
        <v>11409</v>
      </c>
      <c r="D6638" t="s">
        <v>56</v>
      </c>
      <c r="E6638" t="s">
        <v>36</v>
      </c>
      <c r="F6638" t="s">
        <v>37</v>
      </c>
      <c r="G6638">
        <v>1</v>
      </c>
      <c r="H6638">
        <v>39091.94</v>
      </c>
      <c r="I6638">
        <v>3376.48</v>
      </c>
      <c r="J6638" t="s">
        <v>22</v>
      </c>
      <c r="K6638" t="s">
        <v>33</v>
      </c>
      <c r="L6638">
        <f t="shared" si="309"/>
        <v>2024</v>
      </c>
      <c r="M6638" t="str">
        <f t="shared" si="310"/>
        <v>Jul</v>
      </c>
      <c r="N6638" s="2">
        <f t="shared" si="311"/>
        <v>8.6372791936138241E-2</v>
      </c>
    </row>
    <row r="6639" spans="1:14" x14ac:dyDescent="0.45">
      <c r="A6639" t="s">
        <v>11410</v>
      </c>
      <c r="B6639" s="1">
        <v>45276</v>
      </c>
      <c r="C6639" t="s">
        <v>9438</v>
      </c>
      <c r="D6639" t="s">
        <v>56</v>
      </c>
      <c r="E6639" t="s">
        <v>36</v>
      </c>
      <c r="F6639" t="s">
        <v>53</v>
      </c>
      <c r="G6639">
        <v>3</v>
      </c>
      <c r="H6639">
        <v>20777.099999999999</v>
      </c>
      <c r="I6639">
        <v>2605.69</v>
      </c>
      <c r="J6639" t="s">
        <v>22</v>
      </c>
      <c r="K6639" t="s">
        <v>29</v>
      </c>
      <c r="L6639">
        <f t="shared" si="309"/>
        <v>2023</v>
      </c>
      <c r="M6639" t="str">
        <f t="shared" si="310"/>
        <v>Dec</v>
      </c>
      <c r="N6639" s="2">
        <f t="shared" si="311"/>
        <v>0.12541163107459657</v>
      </c>
    </row>
    <row r="6640" spans="1:14" x14ac:dyDescent="0.45">
      <c r="A6640" t="s">
        <v>11411</v>
      </c>
      <c r="B6640" s="1">
        <v>45074</v>
      </c>
      <c r="C6640" t="s">
        <v>8321</v>
      </c>
      <c r="D6640" t="s">
        <v>56</v>
      </c>
      <c r="E6640" t="s">
        <v>20</v>
      </c>
      <c r="F6640" t="s">
        <v>27</v>
      </c>
      <c r="G6640">
        <v>3</v>
      </c>
      <c r="H6640">
        <v>18309.63</v>
      </c>
      <c r="I6640">
        <v>2881.16</v>
      </c>
      <c r="J6640" t="s">
        <v>22</v>
      </c>
      <c r="K6640" t="s">
        <v>29</v>
      </c>
      <c r="L6640">
        <f t="shared" si="309"/>
        <v>2023</v>
      </c>
      <c r="M6640" t="str">
        <f t="shared" si="310"/>
        <v>May</v>
      </c>
      <c r="N6640" s="2">
        <f t="shared" si="311"/>
        <v>0.15735763092973476</v>
      </c>
    </row>
    <row r="6641" spans="1:14" x14ac:dyDescent="0.45">
      <c r="A6641" t="s">
        <v>11412</v>
      </c>
      <c r="B6641" s="1">
        <v>44666</v>
      </c>
      <c r="C6641" t="s">
        <v>11413</v>
      </c>
      <c r="D6641" t="s">
        <v>56</v>
      </c>
      <c r="E6641" t="s">
        <v>36</v>
      </c>
      <c r="F6641" t="s">
        <v>37</v>
      </c>
      <c r="G6641">
        <v>4</v>
      </c>
      <c r="H6641">
        <v>2698.85</v>
      </c>
      <c r="I6641">
        <v>396.25</v>
      </c>
      <c r="J6641" t="s">
        <v>16</v>
      </c>
      <c r="K6641" t="s">
        <v>17</v>
      </c>
      <c r="L6641">
        <f t="shared" si="309"/>
        <v>2022</v>
      </c>
      <c r="M6641" t="str">
        <f t="shared" si="310"/>
        <v>Apr</v>
      </c>
      <c r="N6641" s="2">
        <f t="shared" si="311"/>
        <v>0.14682179446801416</v>
      </c>
    </row>
    <row r="6642" spans="1:14" x14ac:dyDescent="0.45">
      <c r="A6642" t="s">
        <v>11414</v>
      </c>
      <c r="B6642" s="1">
        <v>44643</v>
      </c>
      <c r="C6642" t="s">
        <v>11415</v>
      </c>
      <c r="D6642" t="s">
        <v>13</v>
      </c>
      <c r="E6642" t="s">
        <v>36</v>
      </c>
      <c r="F6642" t="s">
        <v>53</v>
      </c>
      <c r="G6642">
        <v>5</v>
      </c>
      <c r="H6642">
        <v>29702.57</v>
      </c>
      <c r="I6642">
        <v>2595.0100000000002</v>
      </c>
      <c r="J6642" t="s">
        <v>16</v>
      </c>
      <c r="K6642" t="s">
        <v>29</v>
      </c>
      <c r="L6642">
        <f t="shared" si="309"/>
        <v>2022</v>
      </c>
      <c r="M6642" t="str">
        <f t="shared" si="310"/>
        <v>Mar</v>
      </c>
      <c r="N6642" s="2">
        <f t="shared" si="311"/>
        <v>8.736651407605471E-2</v>
      </c>
    </row>
    <row r="6643" spans="1:14" x14ac:dyDescent="0.45">
      <c r="A6643" t="s">
        <v>11416</v>
      </c>
      <c r="B6643" s="1">
        <v>44805</v>
      </c>
      <c r="C6643" t="s">
        <v>8089</v>
      </c>
      <c r="D6643" t="s">
        <v>56</v>
      </c>
      <c r="E6643" t="s">
        <v>14</v>
      </c>
      <c r="F6643" t="s">
        <v>15</v>
      </c>
      <c r="G6643">
        <v>2</v>
      </c>
      <c r="H6643">
        <v>45676.4</v>
      </c>
      <c r="I6643">
        <v>8647.2900000000009</v>
      </c>
      <c r="J6643" t="s">
        <v>47</v>
      </c>
      <c r="K6643" t="s">
        <v>23</v>
      </c>
      <c r="L6643">
        <f t="shared" si="309"/>
        <v>2022</v>
      </c>
      <c r="M6643" t="str">
        <f t="shared" si="310"/>
        <v>Sep</v>
      </c>
      <c r="N6643" s="2">
        <f t="shared" si="311"/>
        <v>0.18931636468723456</v>
      </c>
    </row>
    <row r="6644" spans="1:14" x14ac:dyDescent="0.45">
      <c r="A6644" t="s">
        <v>11417</v>
      </c>
      <c r="B6644" s="1">
        <v>44889</v>
      </c>
      <c r="C6644" t="s">
        <v>11418</v>
      </c>
      <c r="D6644" t="s">
        <v>56</v>
      </c>
      <c r="E6644" t="s">
        <v>20</v>
      </c>
      <c r="F6644" t="s">
        <v>50</v>
      </c>
      <c r="G6644">
        <v>1</v>
      </c>
      <c r="H6644">
        <v>18786.939999999999</v>
      </c>
      <c r="I6644">
        <v>3546.1</v>
      </c>
      <c r="J6644" t="s">
        <v>47</v>
      </c>
      <c r="K6644" t="s">
        <v>17</v>
      </c>
      <c r="L6644">
        <f t="shared" si="309"/>
        <v>2022</v>
      </c>
      <c r="M6644" t="str">
        <f t="shared" si="310"/>
        <v>Nov</v>
      </c>
      <c r="N6644" s="2">
        <f t="shared" si="311"/>
        <v>0.18875346384243524</v>
      </c>
    </row>
    <row r="6645" spans="1:14" x14ac:dyDescent="0.45">
      <c r="A6645" t="s">
        <v>11419</v>
      </c>
      <c r="B6645" s="1">
        <v>45627</v>
      </c>
      <c r="C6645" t="s">
        <v>3365</v>
      </c>
      <c r="D6645" t="s">
        <v>56</v>
      </c>
      <c r="E6645" t="s">
        <v>20</v>
      </c>
      <c r="F6645" t="s">
        <v>43</v>
      </c>
      <c r="G6645">
        <v>2</v>
      </c>
      <c r="H6645">
        <v>11212.76</v>
      </c>
      <c r="I6645">
        <v>2330.94</v>
      </c>
      <c r="J6645" t="s">
        <v>28</v>
      </c>
      <c r="K6645" t="s">
        <v>17</v>
      </c>
      <c r="L6645">
        <f t="shared" si="309"/>
        <v>2024</v>
      </c>
      <c r="M6645" t="str">
        <f t="shared" si="310"/>
        <v>Dec</v>
      </c>
      <c r="N6645" s="2">
        <f t="shared" si="311"/>
        <v>0.20788280494722083</v>
      </c>
    </row>
    <row r="6646" spans="1:14" x14ac:dyDescent="0.45">
      <c r="A6646" t="s">
        <v>11420</v>
      </c>
      <c r="B6646" s="1">
        <v>45489</v>
      </c>
      <c r="C6646" t="s">
        <v>11421</v>
      </c>
      <c r="D6646" t="s">
        <v>13</v>
      </c>
      <c r="E6646" t="s">
        <v>36</v>
      </c>
      <c r="F6646" t="s">
        <v>37</v>
      </c>
      <c r="G6646">
        <v>3</v>
      </c>
      <c r="H6646">
        <v>37356.639999999999</v>
      </c>
      <c r="I6646">
        <v>4213.3900000000003</v>
      </c>
      <c r="J6646" t="s">
        <v>71</v>
      </c>
      <c r="K6646" t="s">
        <v>17</v>
      </c>
      <c r="L6646">
        <f t="shared" si="309"/>
        <v>2024</v>
      </c>
      <c r="M6646" t="str">
        <f t="shared" si="310"/>
        <v>Jul</v>
      </c>
      <c r="N6646" s="2">
        <f t="shared" si="311"/>
        <v>0.11278824862193175</v>
      </c>
    </row>
    <row r="6647" spans="1:14" x14ac:dyDescent="0.45">
      <c r="A6647" t="s">
        <v>11422</v>
      </c>
      <c r="B6647" s="1">
        <v>45572</v>
      </c>
      <c r="C6647" t="s">
        <v>11423</v>
      </c>
      <c r="D6647" t="s">
        <v>26</v>
      </c>
      <c r="E6647" t="s">
        <v>14</v>
      </c>
      <c r="F6647" t="s">
        <v>57</v>
      </c>
      <c r="G6647">
        <v>5</v>
      </c>
      <c r="H6647">
        <v>28275.55</v>
      </c>
      <c r="I6647">
        <v>3068.7</v>
      </c>
      <c r="J6647" t="s">
        <v>28</v>
      </c>
      <c r="K6647" t="s">
        <v>29</v>
      </c>
      <c r="L6647">
        <f t="shared" si="309"/>
        <v>2024</v>
      </c>
      <c r="M6647" t="str">
        <f t="shared" si="310"/>
        <v>Oct</v>
      </c>
      <c r="N6647" s="2">
        <f t="shared" si="311"/>
        <v>0.10852839290482413</v>
      </c>
    </row>
    <row r="6648" spans="1:14" x14ac:dyDescent="0.45">
      <c r="A6648" t="s">
        <v>11424</v>
      </c>
      <c r="B6648" s="1">
        <v>45046</v>
      </c>
      <c r="C6648" t="s">
        <v>11425</v>
      </c>
      <c r="D6648" t="s">
        <v>26</v>
      </c>
      <c r="E6648" t="s">
        <v>36</v>
      </c>
      <c r="F6648" t="s">
        <v>46</v>
      </c>
      <c r="G6648">
        <v>4</v>
      </c>
      <c r="H6648">
        <v>13460.37</v>
      </c>
      <c r="I6648">
        <v>2917.97</v>
      </c>
      <c r="J6648" t="s">
        <v>28</v>
      </c>
      <c r="K6648" t="s">
        <v>17</v>
      </c>
      <c r="L6648">
        <f t="shared" si="309"/>
        <v>2023</v>
      </c>
      <c r="M6648" t="str">
        <f t="shared" si="310"/>
        <v>Apr</v>
      </c>
      <c r="N6648" s="2">
        <f t="shared" si="311"/>
        <v>0.21678230241813559</v>
      </c>
    </row>
    <row r="6649" spans="1:14" x14ac:dyDescent="0.45">
      <c r="A6649" t="s">
        <v>11426</v>
      </c>
      <c r="B6649" s="1">
        <v>45379</v>
      </c>
      <c r="C6649" t="s">
        <v>11427</v>
      </c>
      <c r="D6649" t="s">
        <v>56</v>
      </c>
      <c r="E6649" t="s">
        <v>14</v>
      </c>
      <c r="F6649" t="s">
        <v>40</v>
      </c>
      <c r="G6649">
        <v>4</v>
      </c>
      <c r="H6649">
        <v>25072.97</v>
      </c>
      <c r="I6649">
        <v>1904.15</v>
      </c>
      <c r="J6649" t="s">
        <v>71</v>
      </c>
      <c r="K6649" t="s">
        <v>29</v>
      </c>
      <c r="L6649">
        <f t="shared" si="309"/>
        <v>2024</v>
      </c>
      <c r="M6649" t="str">
        <f t="shared" si="310"/>
        <v>Mar</v>
      </c>
      <c r="N6649" s="2">
        <f t="shared" si="311"/>
        <v>7.5944333678858153E-2</v>
      </c>
    </row>
    <row r="6650" spans="1:14" x14ac:dyDescent="0.45">
      <c r="A6650" t="s">
        <v>11428</v>
      </c>
      <c r="B6650" s="1">
        <v>44628</v>
      </c>
      <c r="C6650" t="s">
        <v>7631</v>
      </c>
      <c r="D6650" t="s">
        <v>26</v>
      </c>
      <c r="E6650" t="s">
        <v>36</v>
      </c>
      <c r="F6650" t="s">
        <v>53</v>
      </c>
      <c r="G6650">
        <v>4</v>
      </c>
      <c r="H6650">
        <v>48594.11</v>
      </c>
      <c r="I6650">
        <v>6394.57</v>
      </c>
      <c r="J6650" t="s">
        <v>47</v>
      </c>
      <c r="K6650" t="s">
        <v>23</v>
      </c>
      <c r="L6650">
        <f t="shared" si="309"/>
        <v>2022</v>
      </c>
      <c r="M6650" t="str">
        <f t="shared" si="310"/>
        <v>Mar</v>
      </c>
      <c r="N6650" s="2">
        <f t="shared" si="311"/>
        <v>0.13159146242209188</v>
      </c>
    </row>
    <row r="6651" spans="1:14" x14ac:dyDescent="0.45">
      <c r="A6651" t="s">
        <v>11429</v>
      </c>
      <c r="B6651" s="1">
        <v>45448</v>
      </c>
      <c r="C6651" t="s">
        <v>1030</v>
      </c>
      <c r="D6651" t="s">
        <v>13</v>
      </c>
      <c r="E6651" t="s">
        <v>20</v>
      </c>
      <c r="F6651" t="s">
        <v>27</v>
      </c>
      <c r="G6651">
        <v>3</v>
      </c>
      <c r="H6651">
        <v>10239.780000000001</v>
      </c>
      <c r="I6651">
        <v>1532.32</v>
      </c>
      <c r="J6651" t="s">
        <v>71</v>
      </c>
      <c r="K6651" t="s">
        <v>23</v>
      </c>
      <c r="L6651">
        <f t="shared" si="309"/>
        <v>2024</v>
      </c>
      <c r="M6651" t="str">
        <f t="shared" si="310"/>
        <v>Jun</v>
      </c>
      <c r="N6651" s="2">
        <f t="shared" si="311"/>
        <v>0.14964384000437508</v>
      </c>
    </row>
    <row r="6652" spans="1:14" x14ac:dyDescent="0.45">
      <c r="A6652" t="s">
        <v>11430</v>
      </c>
      <c r="B6652" s="1">
        <v>45039</v>
      </c>
      <c r="C6652" t="s">
        <v>5879</v>
      </c>
      <c r="D6652" t="s">
        <v>13</v>
      </c>
      <c r="E6652" t="s">
        <v>36</v>
      </c>
      <c r="F6652" t="s">
        <v>64</v>
      </c>
      <c r="G6652">
        <v>5</v>
      </c>
      <c r="H6652">
        <v>29684.83</v>
      </c>
      <c r="I6652">
        <v>3329.76</v>
      </c>
      <c r="J6652" t="s">
        <v>47</v>
      </c>
      <c r="K6652" t="s">
        <v>29</v>
      </c>
      <c r="L6652">
        <f t="shared" si="309"/>
        <v>2023</v>
      </c>
      <c r="M6652" t="str">
        <f t="shared" si="310"/>
        <v>Apr</v>
      </c>
      <c r="N6652" s="2">
        <f t="shared" si="311"/>
        <v>0.112170425095916</v>
      </c>
    </row>
    <row r="6653" spans="1:14" x14ac:dyDescent="0.45">
      <c r="A6653" t="s">
        <v>11431</v>
      </c>
      <c r="B6653" s="1">
        <v>45374</v>
      </c>
      <c r="C6653" t="s">
        <v>11432</v>
      </c>
      <c r="D6653" t="s">
        <v>13</v>
      </c>
      <c r="E6653" t="s">
        <v>20</v>
      </c>
      <c r="F6653" t="s">
        <v>43</v>
      </c>
      <c r="G6653">
        <v>2</v>
      </c>
      <c r="H6653">
        <v>18577.990000000002</v>
      </c>
      <c r="I6653">
        <v>3361.25</v>
      </c>
      <c r="J6653" t="s">
        <v>22</v>
      </c>
      <c r="K6653" t="s">
        <v>17</v>
      </c>
      <c r="L6653">
        <f t="shared" si="309"/>
        <v>2024</v>
      </c>
      <c r="M6653" t="str">
        <f t="shared" si="310"/>
        <v>Mar</v>
      </c>
      <c r="N6653" s="2">
        <f t="shared" si="311"/>
        <v>0.18092646190465167</v>
      </c>
    </row>
    <row r="6654" spans="1:14" x14ac:dyDescent="0.45">
      <c r="A6654" t="s">
        <v>11433</v>
      </c>
      <c r="B6654" s="1">
        <v>44835</v>
      </c>
      <c r="C6654" t="s">
        <v>7448</v>
      </c>
      <c r="D6654" t="s">
        <v>26</v>
      </c>
      <c r="E6654" t="s">
        <v>20</v>
      </c>
      <c r="F6654" t="s">
        <v>21</v>
      </c>
      <c r="G6654">
        <v>1</v>
      </c>
      <c r="H6654">
        <v>20986.57</v>
      </c>
      <c r="I6654">
        <v>2773.3</v>
      </c>
      <c r="J6654" t="s">
        <v>16</v>
      </c>
      <c r="K6654" t="s">
        <v>29</v>
      </c>
      <c r="L6654">
        <f t="shared" si="309"/>
        <v>2022</v>
      </c>
      <c r="M6654" t="str">
        <f t="shared" si="310"/>
        <v>Oct</v>
      </c>
      <c r="N6654" s="2">
        <f t="shared" si="311"/>
        <v>0.13214641554098647</v>
      </c>
    </row>
    <row r="6655" spans="1:14" x14ac:dyDescent="0.45">
      <c r="A6655" t="s">
        <v>11434</v>
      </c>
      <c r="B6655" s="1">
        <v>45624</v>
      </c>
      <c r="C6655" t="s">
        <v>11435</v>
      </c>
      <c r="D6655" t="s">
        <v>56</v>
      </c>
      <c r="E6655" t="s">
        <v>36</v>
      </c>
      <c r="F6655" t="s">
        <v>64</v>
      </c>
      <c r="G6655">
        <v>5</v>
      </c>
      <c r="H6655">
        <v>3192.6</v>
      </c>
      <c r="I6655">
        <v>796.22</v>
      </c>
      <c r="J6655" t="s">
        <v>22</v>
      </c>
      <c r="K6655" t="s">
        <v>23</v>
      </c>
      <c r="L6655">
        <f t="shared" si="309"/>
        <v>2024</v>
      </c>
      <c r="M6655" t="str">
        <f t="shared" si="310"/>
        <v>Nov</v>
      </c>
      <c r="N6655" s="2">
        <f t="shared" si="311"/>
        <v>0.24939547704065654</v>
      </c>
    </row>
    <row r="6656" spans="1:14" x14ac:dyDescent="0.45">
      <c r="A6656" t="s">
        <v>11436</v>
      </c>
      <c r="B6656" s="1">
        <v>45637</v>
      </c>
      <c r="C6656" t="s">
        <v>11437</v>
      </c>
      <c r="D6656" t="s">
        <v>13</v>
      </c>
      <c r="E6656" t="s">
        <v>14</v>
      </c>
      <c r="F6656" t="s">
        <v>32</v>
      </c>
      <c r="G6656">
        <v>3</v>
      </c>
      <c r="H6656">
        <v>4325.34</v>
      </c>
      <c r="I6656">
        <v>361.82</v>
      </c>
      <c r="J6656" t="s">
        <v>16</v>
      </c>
      <c r="K6656" t="s">
        <v>23</v>
      </c>
      <c r="L6656">
        <f t="shared" si="309"/>
        <v>2024</v>
      </c>
      <c r="M6656" t="str">
        <f t="shared" si="310"/>
        <v>Dec</v>
      </c>
      <c r="N6656" s="2">
        <f t="shared" si="311"/>
        <v>8.3651227417960203E-2</v>
      </c>
    </row>
    <row r="6657" spans="1:14" x14ac:dyDescent="0.45">
      <c r="A6657" t="s">
        <v>11438</v>
      </c>
      <c r="B6657" s="1">
        <v>45111</v>
      </c>
      <c r="C6657" t="s">
        <v>11269</v>
      </c>
      <c r="D6657" t="s">
        <v>56</v>
      </c>
      <c r="E6657" t="s">
        <v>14</v>
      </c>
      <c r="F6657" t="s">
        <v>15</v>
      </c>
      <c r="G6657">
        <v>5</v>
      </c>
      <c r="H6657">
        <v>11013.94</v>
      </c>
      <c r="I6657">
        <v>1840.68</v>
      </c>
      <c r="J6657" t="s">
        <v>71</v>
      </c>
      <c r="K6657" t="s">
        <v>23</v>
      </c>
      <c r="L6657">
        <f t="shared" si="309"/>
        <v>2023</v>
      </c>
      <c r="M6657" t="str">
        <f t="shared" si="310"/>
        <v>Jul</v>
      </c>
      <c r="N6657" s="2">
        <f t="shared" si="311"/>
        <v>0.16712275534459059</v>
      </c>
    </row>
    <row r="6658" spans="1:14" x14ac:dyDescent="0.45">
      <c r="A6658" t="s">
        <v>11439</v>
      </c>
      <c r="B6658" s="1">
        <v>45160</v>
      </c>
      <c r="C6658" t="s">
        <v>8670</v>
      </c>
      <c r="D6658" t="s">
        <v>13</v>
      </c>
      <c r="E6658" t="s">
        <v>20</v>
      </c>
      <c r="F6658" t="s">
        <v>50</v>
      </c>
      <c r="G6658">
        <v>3</v>
      </c>
      <c r="H6658">
        <v>48967.46</v>
      </c>
      <c r="I6658">
        <v>7919.83</v>
      </c>
      <c r="J6658" t="s">
        <v>47</v>
      </c>
      <c r="K6658" t="s">
        <v>17</v>
      </c>
      <c r="L6658">
        <f t="shared" si="309"/>
        <v>2023</v>
      </c>
      <c r="M6658" t="str">
        <f t="shared" si="310"/>
        <v>Aug</v>
      </c>
      <c r="N6658" s="2">
        <f t="shared" si="311"/>
        <v>0.16173658997219786</v>
      </c>
    </row>
    <row r="6659" spans="1:14" x14ac:dyDescent="0.45">
      <c r="A6659" t="s">
        <v>11440</v>
      </c>
      <c r="B6659" s="1">
        <v>44629</v>
      </c>
      <c r="C6659" t="s">
        <v>7311</v>
      </c>
      <c r="D6659" t="s">
        <v>56</v>
      </c>
      <c r="E6659" t="s">
        <v>14</v>
      </c>
      <c r="F6659" t="s">
        <v>32</v>
      </c>
      <c r="G6659">
        <v>1</v>
      </c>
      <c r="H6659">
        <v>38324.97</v>
      </c>
      <c r="I6659">
        <v>7170.19</v>
      </c>
      <c r="J6659" t="s">
        <v>28</v>
      </c>
      <c r="K6659" t="s">
        <v>23</v>
      </c>
      <c r="L6659">
        <f t="shared" ref="L6659:L6722" si="312">YEAR(B6659 )</f>
        <v>2022</v>
      </c>
      <c r="M6659" t="str">
        <f t="shared" ref="M6659:M6722" si="313">TEXT(B6659,"MMM")</f>
        <v>Mar</v>
      </c>
      <c r="N6659" s="2">
        <f t="shared" ref="N6659:N6722" si="314">I6659 / H6659</f>
        <v>0.18708925277697541</v>
      </c>
    </row>
    <row r="6660" spans="1:14" x14ac:dyDescent="0.45">
      <c r="A6660" t="s">
        <v>11441</v>
      </c>
      <c r="B6660" s="1">
        <v>45579</v>
      </c>
      <c r="C6660" t="s">
        <v>11442</v>
      </c>
      <c r="D6660" t="s">
        <v>26</v>
      </c>
      <c r="E6660" t="s">
        <v>36</v>
      </c>
      <c r="F6660" t="s">
        <v>64</v>
      </c>
      <c r="G6660">
        <v>4</v>
      </c>
      <c r="H6660">
        <v>19426.330000000002</v>
      </c>
      <c r="I6660">
        <v>978.04</v>
      </c>
      <c r="J6660" t="s">
        <v>22</v>
      </c>
      <c r="K6660" t="s">
        <v>17</v>
      </c>
      <c r="L6660">
        <f t="shared" si="312"/>
        <v>2024</v>
      </c>
      <c r="M6660" t="str">
        <f t="shared" si="313"/>
        <v>Oct</v>
      </c>
      <c r="N6660" s="2">
        <f t="shared" si="314"/>
        <v>5.034610242902287E-2</v>
      </c>
    </row>
    <row r="6661" spans="1:14" x14ac:dyDescent="0.45">
      <c r="A6661" t="s">
        <v>11443</v>
      </c>
      <c r="B6661" s="1">
        <v>45144</v>
      </c>
      <c r="C6661" t="s">
        <v>7683</v>
      </c>
      <c r="D6661" t="s">
        <v>56</v>
      </c>
      <c r="E6661" t="s">
        <v>20</v>
      </c>
      <c r="F6661" t="s">
        <v>50</v>
      </c>
      <c r="G6661">
        <v>1</v>
      </c>
      <c r="H6661">
        <v>35837.01</v>
      </c>
      <c r="I6661">
        <v>6326.68</v>
      </c>
      <c r="J6661" t="s">
        <v>71</v>
      </c>
      <c r="K6661" t="s">
        <v>33</v>
      </c>
      <c r="L6661">
        <f t="shared" si="312"/>
        <v>2023</v>
      </c>
      <c r="M6661" t="str">
        <f t="shared" si="313"/>
        <v>Aug</v>
      </c>
      <c r="N6661" s="2">
        <f t="shared" si="314"/>
        <v>0.17654039776197847</v>
      </c>
    </row>
    <row r="6662" spans="1:14" x14ac:dyDescent="0.45">
      <c r="A6662" t="s">
        <v>11444</v>
      </c>
      <c r="B6662" s="1">
        <v>45541</v>
      </c>
      <c r="C6662" t="s">
        <v>11445</v>
      </c>
      <c r="D6662" t="s">
        <v>13</v>
      </c>
      <c r="E6662" t="s">
        <v>36</v>
      </c>
      <c r="F6662" t="s">
        <v>37</v>
      </c>
      <c r="G6662">
        <v>5</v>
      </c>
      <c r="H6662">
        <v>43962.76</v>
      </c>
      <c r="I6662">
        <v>9704.43</v>
      </c>
      <c r="J6662" t="s">
        <v>16</v>
      </c>
      <c r="K6662" t="s">
        <v>23</v>
      </c>
      <c r="L6662">
        <f t="shared" si="312"/>
        <v>2024</v>
      </c>
      <c r="M6662" t="str">
        <f t="shared" si="313"/>
        <v>Sep</v>
      </c>
      <c r="N6662" s="2">
        <f t="shared" si="314"/>
        <v>0.22074205532136745</v>
      </c>
    </row>
    <row r="6663" spans="1:14" x14ac:dyDescent="0.45">
      <c r="A6663" t="s">
        <v>11446</v>
      </c>
      <c r="B6663" s="1">
        <v>45540</v>
      </c>
      <c r="C6663" t="s">
        <v>11447</v>
      </c>
      <c r="D6663" t="s">
        <v>26</v>
      </c>
      <c r="E6663" t="s">
        <v>14</v>
      </c>
      <c r="F6663" t="s">
        <v>40</v>
      </c>
      <c r="G6663">
        <v>4</v>
      </c>
      <c r="H6663">
        <v>29246.35</v>
      </c>
      <c r="I6663">
        <v>3103.76</v>
      </c>
      <c r="J6663" t="s">
        <v>22</v>
      </c>
      <c r="K6663" t="s">
        <v>33</v>
      </c>
      <c r="L6663">
        <f t="shared" si="312"/>
        <v>2024</v>
      </c>
      <c r="M6663" t="str">
        <f t="shared" si="313"/>
        <v>Sep</v>
      </c>
      <c r="N6663" s="2">
        <f t="shared" si="314"/>
        <v>0.1061246959022237</v>
      </c>
    </row>
    <row r="6664" spans="1:14" x14ac:dyDescent="0.45">
      <c r="A6664" t="s">
        <v>11448</v>
      </c>
      <c r="B6664" s="1">
        <v>44823</v>
      </c>
      <c r="C6664" t="s">
        <v>11449</v>
      </c>
      <c r="D6664" t="s">
        <v>26</v>
      </c>
      <c r="E6664" t="s">
        <v>20</v>
      </c>
      <c r="F6664" t="s">
        <v>43</v>
      </c>
      <c r="G6664">
        <v>2</v>
      </c>
      <c r="H6664">
        <v>1091.77</v>
      </c>
      <c r="I6664">
        <v>208.16</v>
      </c>
      <c r="J6664" t="s">
        <v>47</v>
      </c>
      <c r="K6664" t="s">
        <v>29</v>
      </c>
      <c r="L6664">
        <f t="shared" si="312"/>
        <v>2022</v>
      </c>
      <c r="M6664" t="str">
        <f t="shared" si="313"/>
        <v>Sep</v>
      </c>
      <c r="N6664" s="2">
        <f t="shared" si="314"/>
        <v>0.19066286855290035</v>
      </c>
    </row>
    <row r="6665" spans="1:14" x14ac:dyDescent="0.45">
      <c r="A6665" t="s">
        <v>11450</v>
      </c>
      <c r="B6665" s="1">
        <v>44662</v>
      </c>
      <c r="C6665" t="s">
        <v>2836</v>
      </c>
      <c r="D6665" t="s">
        <v>13</v>
      </c>
      <c r="E6665" t="s">
        <v>14</v>
      </c>
      <c r="F6665" t="s">
        <v>40</v>
      </c>
      <c r="G6665">
        <v>4</v>
      </c>
      <c r="H6665">
        <v>3513.18</v>
      </c>
      <c r="I6665">
        <v>490.49</v>
      </c>
      <c r="J6665" t="s">
        <v>22</v>
      </c>
      <c r="K6665" t="s">
        <v>33</v>
      </c>
      <c r="L6665">
        <f t="shared" si="312"/>
        <v>2022</v>
      </c>
      <c r="M6665" t="str">
        <f t="shared" si="313"/>
        <v>Apr</v>
      </c>
      <c r="N6665" s="2">
        <f t="shared" si="314"/>
        <v>0.13961425261444049</v>
      </c>
    </row>
    <row r="6666" spans="1:14" x14ac:dyDescent="0.45">
      <c r="A6666" t="s">
        <v>11451</v>
      </c>
      <c r="B6666" s="1">
        <v>44602</v>
      </c>
      <c r="C6666" t="s">
        <v>5310</v>
      </c>
      <c r="D6666" t="s">
        <v>26</v>
      </c>
      <c r="E6666" t="s">
        <v>36</v>
      </c>
      <c r="F6666" t="s">
        <v>64</v>
      </c>
      <c r="G6666">
        <v>4</v>
      </c>
      <c r="H6666">
        <v>49820.12</v>
      </c>
      <c r="I6666">
        <v>5011.2299999999996</v>
      </c>
      <c r="J6666" t="s">
        <v>22</v>
      </c>
      <c r="K6666" t="s">
        <v>17</v>
      </c>
      <c r="L6666">
        <f t="shared" si="312"/>
        <v>2022</v>
      </c>
      <c r="M6666" t="str">
        <f t="shared" si="313"/>
        <v>Feb</v>
      </c>
      <c r="N6666" s="2">
        <f t="shared" si="314"/>
        <v>0.10058646988405485</v>
      </c>
    </row>
    <row r="6667" spans="1:14" x14ac:dyDescent="0.45">
      <c r="A6667" t="s">
        <v>11452</v>
      </c>
      <c r="B6667" s="1">
        <v>45464</v>
      </c>
      <c r="C6667" t="s">
        <v>950</v>
      </c>
      <c r="D6667" t="s">
        <v>26</v>
      </c>
      <c r="E6667" t="s">
        <v>20</v>
      </c>
      <c r="F6667" t="s">
        <v>27</v>
      </c>
      <c r="G6667">
        <v>5</v>
      </c>
      <c r="H6667">
        <v>1213.93</v>
      </c>
      <c r="I6667">
        <v>253.63</v>
      </c>
      <c r="J6667" t="s">
        <v>16</v>
      </c>
      <c r="K6667" t="s">
        <v>17</v>
      </c>
      <c r="L6667">
        <f t="shared" si="312"/>
        <v>2024</v>
      </c>
      <c r="M6667" t="str">
        <f t="shared" si="313"/>
        <v>Jun</v>
      </c>
      <c r="N6667" s="2">
        <f t="shared" si="314"/>
        <v>0.20893296977585196</v>
      </c>
    </row>
    <row r="6668" spans="1:14" x14ac:dyDescent="0.45">
      <c r="A6668" t="s">
        <v>11453</v>
      </c>
      <c r="B6668" s="1">
        <v>44895</v>
      </c>
      <c r="C6668" t="s">
        <v>11454</v>
      </c>
      <c r="D6668" t="s">
        <v>26</v>
      </c>
      <c r="E6668" t="s">
        <v>14</v>
      </c>
      <c r="F6668" t="s">
        <v>57</v>
      </c>
      <c r="G6668">
        <v>2</v>
      </c>
      <c r="H6668">
        <v>13619.85</v>
      </c>
      <c r="I6668">
        <v>850.45</v>
      </c>
      <c r="J6668" t="s">
        <v>16</v>
      </c>
      <c r="K6668" t="s">
        <v>33</v>
      </c>
      <c r="L6668">
        <f t="shared" si="312"/>
        <v>2022</v>
      </c>
      <c r="M6668" t="str">
        <f t="shared" si="313"/>
        <v>Nov</v>
      </c>
      <c r="N6668" s="2">
        <f t="shared" si="314"/>
        <v>6.2441950535431744E-2</v>
      </c>
    </row>
    <row r="6669" spans="1:14" x14ac:dyDescent="0.45">
      <c r="A6669" t="s">
        <v>11455</v>
      </c>
      <c r="B6669" s="1">
        <v>44605</v>
      </c>
      <c r="C6669" t="s">
        <v>3292</v>
      </c>
      <c r="D6669" t="s">
        <v>26</v>
      </c>
      <c r="E6669" t="s">
        <v>14</v>
      </c>
      <c r="F6669" t="s">
        <v>57</v>
      </c>
      <c r="G6669">
        <v>4</v>
      </c>
      <c r="H6669">
        <v>6326.89</v>
      </c>
      <c r="I6669">
        <v>1092.77</v>
      </c>
      <c r="J6669" t="s">
        <v>71</v>
      </c>
      <c r="K6669" t="s">
        <v>29</v>
      </c>
      <c r="L6669">
        <f t="shared" si="312"/>
        <v>2022</v>
      </c>
      <c r="M6669" t="str">
        <f t="shared" si="313"/>
        <v>Feb</v>
      </c>
      <c r="N6669" s="2">
        <f t="shared" si="314"/>
        <v>0.17271834977374348</v>
      </c>
    </row>
    <row r="6670" spans="1:14" x14ac:dyDescent="0.45">
      <c r="A6670" t="s">
        <v>11456</v>
      </c>
      <c r="B6670" s="1">
        <v>44740</v>
      </c>
      <c r="C6670" t="s">
        <v>6076</v>
      </c>
      <c r="D6670" t="s">
        <v>26</v>
      </c>
      <c r="E6670" t="s">
        <v>14</v>
      </c>
      <c r="F6670" t="s">
        <v>32</v>
      </c>
      <c r="G6670">
        <v>2</v>
      </c>
      <c r="H6670">
        <v>26484.05</v>
      </c>
      <c r="I6670">
        <v>5173.46</v>
      </c>
      <c r="J6670" t="s">
        <v>28</v>
      </c>
      <c r="K6670" t="s">
        <v>23</v>
      </c>
      <c r="L6670">
        <f t="shared" si="312"/>
        <v>2022</v>
      </c>
      <c r="M6670" t="str">
        <f t="shared" si="313"/>
        <v>Jun</v>
      </c>
      <c r="N6670" s="2">
        <f t="shared" si="314"/>
        <v>0.19534247971892518</v>
      </c>
    </row>
    <row r="6671" spans="1:14" x14ac:dyDescent="0.45">
      <c r="A6671" t="s">
        <v>11457</v>
      </c>
      <c r="B6671" s="1">
        <v>45075</v>
      </c>
      <c r="C6671" t="s">
        <v>11458</v>
      </c>
      <c r="D6671" t="s">
        <v>13</v>
      </c>
      <c r="E6671" t="s">
        <v>36</v>
      </c>
      <c r="F6671" t="s">
        <v>46</v>
      </c>
      <c r="G6671">
        <v>3</v>
      </c>
      <c r="H6671">
        <v>14432.49</v>
      </c>
      <c r="I6671">
        <v>3315.39</v>
      </c>
      <c r="J6671" t="s">
        <v>28</v>
      </c>
      <c r="K6671" t="s">
        <v>17</v>
      </c>
      <c r="L6671">
        <f t="shared" si="312"/>
        <v>2023</v>
      </c>
      <c r="M6671" t="str">
        <f t="shared" si="313"/>
        <v>May</v>
      </c>
      <c r="N6671" s="2">
        <f t="shared" si="314"/>
        <v>0.2297171174204867</v>
      </c>
    </row>
    <row r="6672" spans="1:14" x14ac:dyDescent="0.45">
      <c r="A6672" t="s">
        <v>11459</v>
      </c>
      <c r="B6672" s="1">
        <v>45273</v>
      </c>
      <c r="C6672" t="s">
        <v>11460</v>
      </c>
      <c r="D6672" t="s">
        <v>56</v>
      </c>
      <c r="E6672" t="s">
        <v>14</v>
      </c>
      <c r="F6672" t="s">
        <v>32</v>
      </c>
      <c r="G6672">
        <v>2</v>
      </c>
      <c r="H6672">
        <v>38330.19</v>
      </c>
      <c r="I6672">
        <v>9467.81</v>
      </c>
      <c r="J6672" t="s">
        <v>22</v>
      </c>
      <c r="K6672" t="s">
        <v>33</v>
      </c>
      <c r="L6672">
        <f t="shared" si="312"/>
        <v>2023</v>
      </c>
      <c r="M6672" t="str">
        <f t="shared" si="313"/>
        <v>Dec</v>
      </c>
      <c r="N6672" s="2">
        <f t="shared" si="314"/>
        <v>0.24700660236748107</v>
      </c>
    </row>
    <row r="6673" spans="1:14" x14ac:dyDescent="0.45">
      <c r="A6673" t="s">
        <v>11461</v>
      </c>
      <c r="B6673" s="1">
        <v>44894</v>
      </c>
      <c r="C6673" t="s">
        <v>11462</v>
      </c>
      <c r="D6673" t="s">
        <v>56</v>
      </c>
      <c r="E6673" t="s">
        <v>20</v>
      </c>
      <c r="F6673" t="s">
        <v>21</v>
      </c>
      <c r="G6673">
        <v>5</v>
      </c>
      <c r="H6673">
        <v>22876.19</v>
      </c>
      <c r="I6673">
        <v>2419.2399999999998</v>
      </c>
      <c r="J6673" t="s">
        <v>28</v>
      </c>
      <c r="K6673" t="s">
        <v>17</v>
      </c>
      <c r="L6673">
        <f t="shared" si="312"/>
        <v>2022</v>
      </c>
      <c r="M6673" t="str">
        <f t="shared" si="313"/>
        <v>Nov</v>
      </c>
      <c r="N6673" s="2">
        <f t="shared" si="314"/>
        <v>0.10575362418304796</v>
      </c>
    </row>
    <row r="6674" spans="1:14" x14ac:dyDescent="0.45">
      <c r="A6674" t="s">
        <v>11463</v>
      </c>
      <c r="B6674" s="1">
        <v>44654</v>
      </c>
      <c r="C6674" t="s">
        <v>8412</v>
      </c>
      <c r="D6674" t="s">
        <v>26</v>
      </c>
      <c r="E6674" t="s">
        <v>20</v>
      </c>
      <c r="F6674" t="s">
        <v>21</v>
      </c>
      <c r="G6674">
        <v>2</v>
      </c>
      <c r="H6674">
        <v>48566.26</v>
      </c>
      <c r="I6674">
        <v>8519.61</v>
      </c>
      <c r="J6674" t="s">
        <v>16</v>
      </c>
      <c r="K6674" t="s">
        <v>17</v>
      </c>
      <c r="L6674">
        <f t="shared" si="312"/>
        <v>2022</v>
      </c>
      <c r="M6674" t="str">
        <f t="shared" si="313"/>
        <v>Apr</v>
      </c>
      <c r="N6674" s="2">
        <f t="shared" si="314"/>
        <v>0.17542240230151551</v>
      </c>
    </row>
    <row r="6675" spans="1:14" x14ac:dyDescent="0.45">
      <c r="A6675" t="s">
        <v>11464</v>
      </c>
      <c r="B6675" s="1">
        <v>45120</v>
      </c>
      <c r="C6675" t="s">
        <v>11465</v>
      </c>
      <c r="D6675" t="s">
        <v>26</v>
      </c>
      <c r="E6675" t="s">
        <v>36</v>
      </c>
      <c r="F6675" t="s">
        <v>46</v>
      </c>
      <c r="G6675">
        <v>2</v>
      </c>
      <c r="H6675">
        <v>6939.56</v>
      </c>
      <c r="I6675">
        <v>709.18</v>
      </c>
      <c r="J6675" t="s">
        <v>16</v>
      </c>
      <c r="K6675" t="s">
        <v>23</v>
      </c>
      <c r="L6675">
        <f t="shared" si="312"/>
        <v>2023</v>
      </c>
      <c r="M6675" t="str">
        <f t="shared" si="313"/>
        <v>Jul</v>
      </c>
      <c r="N6675" s="2">
        <f t="shared" si="314"/>
        <v>0.10219379903048607</v>
      </c>
    </row>
    <row r="6676" spans="1:14" x14ac:dyDescent="0.45">
      <c r="A6676" t="s">
        <v>11466</v>
      </c>
      <c r="B6676" s="1">
        <v>45609</v>
      </c>
      <c r="C6676" t="s">
        <v>1202</v>
      </c>
      <c r="D6676" t="s">
        <v>56</v>
      </c>
      <c r="E6676" t="s">
        <v>36</v>
      </c>
      <c r="F6676" t="s">
        <v>37</v>
      </c>
      <c r="G6676">
        <v>4</v>
      </c>
      <c r="H6676">
        <v>44520.94</v>
      </c>
      <c r="I6676">
        <v>4181.34</v>
      </c>
      <c r="J6676" t="s">
        <v>71</v>
      </c>
      <c r="K6676" t="s">
        <v>33</v>
      </c>
      <c r="L6676">
        <f t="shared" si="312"/>
        <v>2024</v>
      </c>
      <c r="M6676" t="str">
        <f t="shared" si="313"/>
        <v>Nov</v>
      </c>
      <c r="N6676" s="2">
        <f t="shared" si="314"/>
        <v>9.391850216999012E-2</v>
      </c>
    </row>
    <row r="6677" spans="1:14" x14ac:dyDescent="0.45">
      <c r="A6677" t="s">
        <v>11467</v>
      </c>
      <c r="B6677" s="1">
        <v>45167</v>
      </c>
      <c r="C6677" t="s">
        <v>11468</v>
      </c>
      <c r="D6677" t="s">
        <v>13</v>
      </c>
      <c r="E6677" t="s">
        <v>14</v>
      </c>
      <c r="F6677" t="s">
        <v>15</v>
      </c>
      <c r="G6677">
        <v>1</v>
      </c>
      <c r="H6677">
        <v>18769.03</v>
      </c>
      <c r="I6677">
        <v>1210.1500000000001</v>
      </c>
      <c r="J6677" t="s">
        <v>47</v>
      </c>
      <c r="K6677" t="s">
        <v>17</v>
      </c>
      <c r="L6677">
        <f t="shared" si="312"/>
        <v>2023</v>
      </c>
      <c r="M6677" t="str">
        <f t="shared" si="313"/>
        <v>Aug</v>
      </c>
      <c r="N6677" s="2">
        <f t="shared" si="314"/>
        <v>6.447589459870863E-2</v>
      </c>
    </row>
    <row r="6678" spans="1:14" x14ac:dyDescent="0.45">
      <c r="A6678" t="s">
        <v>11469</v>
      </c>
      <c r="B6678" s="1">
        <v>44827</v>
      </c>
      <c r="C6678" t="s">
        <v>8659</v>
      </c>
      <c r="D6678" t="s">
        <v>56</v>
      </c>
      <c r="E6678" t="s">
        <v>20</v>
      </c>
      <c r="F6678" t="s">
        <v>43</v>
      </c>
      <c r="G6678">
        <v>4</v>
      </c>
      <c r="H6678">
        <v>9312.67</v>
      </c>
      <c r="I6678">
        <v>989.58</v>
      </c>
      <c r="J6678" t="s">
        <v>16</v>
      </c>
      <c r="K6678" t="s">
        <v>29</v>
      </c>
      <c r="L6678">
        <f t="shared" si="312"/>
        <v>2022</v>
      </c>
      <c r="M6678" t="str">
        <f t="shared" si="313"/>
        <v>Sep</v>
      </c>
      <c r="N6678" s="2">
        <f t="shared" si="314"/>
        <v>0.10626168435046018</v>
      </c>
    </row>
    <row r="6679" spans="1:14" x14ac:dyDescent="0.45">
      <c r="A6679" t="s">
        <v>11470</v>
      </c>
      <c r="B6679" s="1">
        <v>44750</v>
      </c>
      <c r="C6679" t="s">
        <v>10356</v>
      </c>
      <c r="D6679" t="s">
        <v>56</v>
      </c>
      <c r="E6679" t="s">
        <v>36</v>
      </c>
      <c r="F6679" t="s">
        <v>53</v>
      </c>
      <c r="G6679">
        <v>1</v>
      </c>
      <c r="H6679">
        <v>42908.46</v>
      </c>
      <c r="I6679">
        <v>6979.17</v>
      </c>
      <c r="J6679" t="s">
        <v>71</v>
      </c>
      <c r="K6679" t="s">
        <v>29</v>
      </c>
      <c r="L6679">
        <f t="shared" si="312"/>
        <v>2022</v>
      </c>
      <c r="M6679" t="str">
        <f t="shared" si="313"/>
        <v>Jul</v>
      </c>
      <c r="N6679" s="2">
        <f t="shared" si="314"/>
        <v>0.16265253984878508</v>
      </c>
    </row>
    <row r="6680" spans="1:14" x14ac:dyDescent="0.45">
      <c r="A6680" t="s">
        <v>11471</v>
      </c>
      <c r="B6680" s="1">
        <v>45237</v>
      </c>
      <c r="C6680" t="s">
        <v>10193</v>
      </c>
      <c r="D6680" t="s">
        <v>56</v>
      </c>
      <c r="E6680" t="s">
        <v>14</v>
      </c>
      <c r="F6680" t="s">
        <v>40</v>
      </c>
      <c r="G6680">
        <v>5</v>
      </c>
      <c r="H6680">
        <v>37846.67</v>
      </c>
      <c r="I6680">
        <v>2165.06</v>
      </c>
      <c r="J6680" t="s">
        <v>22</v>
      </c>
      <c r="K6680" t="s">
        <v>29</v>
      </c>
      <c r="L6680">
        <f t="shared" si="312"/>
        <v>2023</v>
      </c>
      <c r="M6680" t="str">
        <f t="shared" si="313"/>
        <v>Nov</v>
      </c>
      <c r="N6680" s="2">
        <f t="shared" si="314"/>
        <v>5.7206089729955105E-2</v>
      </c>
    </row>
    <row r="6681" spans="1:14" x14ac:dyDescent="0.45">
      <c r="A6681" t="s">
        <v>11472</v>
      </c>
      <c r="B6681" s="1">
        <v>45067</v>
      </c>
      <c r="C6681" t="s">
        <v>1410</v>
      </c>
      <c r="D6681" t="s">
        <v>26</v>
      </c>
      <c r="E6681" t="s">
        <v>20</v>
      </c>
      <c r="F6681" t="s">
        <v>21</v>
      </c>
      <c r="G6681">
        <v>4</v>
      </c>
      <c r="H6681">
        <v>35745.4</v>
      </c>
      <c r="I6681">
        <v>3174.22</v>
      </c>
      <c r="J6681" t="s">
        <v>22</v>
      </c>
      <c r="K6681" t="s">
        <v>23</v>
      </c>
      <c r="L6681">
        <f t="shared" si="312"/>
        <v>2023</v>
      </c>
      <c r="M6681" t="str">
        <f t="shared" si="313"/>
        <v>May</v>
      </c>
      <c r="N6681" s="2">
        <f t="shared" si="314"/>
        <v>8.8800796745874988E-2</v>
      </c>
    </row>
    <row r="6682" spans="1:14" x14ac:dyDescent="0.45">
      <c r="A6682" t="s">
        <v>11473</v>
      </c>
      <c r="B6682" s="1">
        <v>45405</v>
      </c>
      <c r="C6682" t="s">
        <v>11474</v>
      </c>
      <c r="D6682" t="s">
        <v>13</v>
      </c>
      <c r="E6682" t="s">
        <v>36</v>
      </c>
      <c r="F6682" t="s">
        <v>46</v>
      </c>
      <c r="G6682">
        <v>1</v>
      </c>
      <c r="H6682">
        <v>17409.740000000002</v>
      </c>
      <c r="I6682">
        <v>1386.49</v>
      </c>
      <c r="J6682" t="s">
        <v>28</v>
      </c>
      <c r="K6682" t="s">
        <v>33</v>
      </c>
      <c r="L6682">
        <f t="shared" si="312"/>
        <v>2024</v>
      </c>
      <c r="M6682" t="str">
        <f t="shared" si="313"/>
        <v>Apr</v>
      </c>
      <c r="N6682" s="2">
        <f t="shared" si="314"/>
        <v>7.9638753938887072E-2</v>
      </c>
    </row>
    <row r="6683" spans="1:14" x14ac:dyDescent="0.45">
      <c r="A6683" t="s">
        <v>11475</v>
      </c>
      <c r="B6683" s="1">
        <v>44678</v>
      </c>
      <c r="C6683" t="s">
        <v>11476</v>
      </c>
      <c r="D6683" t="s">
        <v>26</v>
      </c>
      <c r="E6683" t="s">
        <v>14</v>
      </c>
      <c r="F6683" t="s">
        <v>40</v>
      </c>
      <c r="G6683">
        <v>5</v>
      </c>
      <c r="H6683">
        <v>8635.19</v>
      </c>
      <c r="I6683">
        <v>669.02</v>
      </c>
      <c r="J6683" t="s">
        <v>71</v>
      </c>
      <c r="K6683" t="s">
        <v>23</v>
      </c>
      <c r="L6683">
        <f t="shared" si="312"/>
        <v>2022</v>
      </c>
      <c r="M6683" t="str">
        <f t="shared" si="313"/>
        <v>Apr</v>
      </c>
      <c r="N6683" s="2">
        <f t="shared" si="314"/>
        <v>7.7476002265149918E-2</v>
      </c>
    </row>
    <row r="6684" spans="1:14" x14ac:dyDescent="0.45">
      <c r="A6684" t="s">
        <v>11477</v>
      </c>
      <c r="B6684" s="1">
        <v>45488</v>
      </c>
      <c r="C6684" t="s">
        <v>3240</v>
      </c>
      <c r="D6684" t="s">
        <v>26</v>
      </c>
      <c r="E6684" t="s">
        <v>20</v>
      </c>
      <c r="F6684" t="s">
        <v>21</v>
      </c>
      <c r="G6684">
        <v>4</v>
      </c>
      <c r="H6684">
        <v>32687.61</v>
      </c>
      <c r="I6684">
        <v>6291.06</v>
      </c>
      <c r="J6684" t="s">
        <v>16</v>
      </c>
      <c r="K6684" t="s">
        <v>33</v>
      </c>
      <c r="L6684">
        <f t="shared" si="312"/>
        <v>2024</v>
      </c>
      <c r="M6684" t="str">
        <f t="shared" si="313"/>
        <v>Jul</v>
      </c>
      <c r="N6684" s="2">
        <f t="shared" si="314"/>
        <v>0.19246007891063313</v>
      </c>
    </row>
    <row r="6685" spans="1:14" x14ac:dyDescent="0.45">
      <c r="A6685" t="s">
        <v>11478</v>
      </c>
      <c r="B6685" s="1">
        <v>44715</v>
      </c>
      <c r="C6685" t="s">
        <v>6703</v>
      </c>
      <c r="D6685" t="s">
        <v>13</v>
      </c>
      <c r="E6685" t="s">
        <v>20</v>
      </c>
      <c r="F6685" t="s">
        <v>21</v>
      </c>
      <c r="G6685">
        <v>3</v>
      </c>
      <c r="H6685">
        <v>16344.52</v>
      </c>
      <c r="I6685">
        <v>1364.44</v>
      </c>
      <c r="J6685" t="s">
        <v>47</v>
      </c>
      <c r="K6685" t="s">
        <v>23</v>
      </c>
      <c r="L6685">
        <f t="shared" si="312"/>
        <v>2022</v>
      </c>
      <c r="M6685" t="str">
        <f t="shared" si="313"/>
        <v>Jun</v>
      </c>
      <c r="N6685" s="2">
        <f t="shared" si="314"/>
        <v>8.3479967597702473E-2</v>
      </c>
    </row>
    <row r="6686" spans="1:14" x14ac:dyDescent="0.45">
      <c r="A6686" t="s">
        <v>11479</v>
      </c>
      <c r="B6686" s="1">
        <v>45123</v>
      </c>
      <c r="C6686" t="s">
        <v>89</v>
      </c>
      <c r="D6686" t="s">
        <v>13</v>
      </c>
      <c r="E6686" t="s">
        <v>36</v>
      </c>
      <c r="F6686" t="s">
        <v>64</v>
      </c>
      <c r="G6686">
        <v>4</v>
      </c>
      <c r="H6686">
        <v>29383.84</v>
      </c>
      <c r="I6686">
        <v>7261.44</v>
      </c>
      <c r="J6686" t="s">
        <v>16</v>
      </c>
      <c r="K6686" t="s">
        <v>23</v>
      </c>
      <c r="L6686">
        <f t="shared" si="312"/>
        <v>2023</v>
      </c>
      <c r="M6686" t="str">
        <f t="shared" si="313"/>
        <v>Jul</v>
      </c>
      <c r="N6686" s="2">
        <f t="shared" si="314"/>
        <v>0.24712358902035947</v>
      </c>
    </row>
    <row r="6687" spans="1:14" x14ac:dyDescent="0.45">
      <c r="A6687" t="s">
        <v>11480</v>
      </c>
      <c r="B6687" s="1">
        <v>44651</v>
      </c>
      <c r="C6687" t="s">
        <v>2003</v>
      </c>
      <c r="D6687" t="s">
        <v>56</v>
      </c>
      <c r="E6687" t="s">
        <v>20</v>
      </c>
      <c r="F6687" t="s">
        <v>21</v>
      </c>
      <c r="G6687">
        <v>4</v>
      </c>
      <c r="H6687">
        <v>42312.09</v>
      </c>
      <c r="I6687">
        <v>3466.17</v>
      </c>
      <c r="J6687" t="s">
        <v>47</v>
      </c>
      <c r="K6687" t="s">
        <v>17</v>
      </c>
      <c r="L6687">
        <f t="shared" si="312"/>
        <v>2022</v>
      </c>
      <c r="M6687" t="str">
        <f t="shared" si="313"/>
        <v>Mar</v>
      </c>
      <c r="N6687" s="2">
        <f t="shared" si="314"/>
        <v>8.1919139423271226E-2</v>
      </c>
    </row>
    <row r="6688" spans="1:14" x14ac:dyDescent="0.45">
      <c r="A6688" t="s">
        <v>11481</v>
      </c>
      <c r="B6688" s="1">
        <v>45449</v>
      </c>
      <c r="C6688" t="s">
        <v>6870</v>
      </c>
      <c r="D6688" t="s">
        <v>26</v>
      </c>
      <c r="E6688" t="s">
        <v>14</v>
      </c>
      <c r="F6688" t="s">
        <v>40</v>
      </c>
      <c r="G6688">
        <v>1</v>
      </c>
      <c r="H6688">
        <v>18464.259999999998</v>
      </c>
      <c r="I6688">
        <v>3685.79</v>
      </c>
      <c r="J6688" t="s">
        <v>47</v>
      </c>
      <c r="K6688" t="s">
        <v>29</v>
      </c>
      <c r="L6688">
        <f t="shared" si="312"/>
        <v>2024</v>
      </c>
      <c r="M6688" t="str">
        <f t="shared" si="313"/>
        <v>Jun</v>
      </c>
      <c r="N6688" s="2">
        <f t="shared" si="314"/>
        <v>0.19961753138224875</v>
      </c>
    </row>
    <row r="6689" spans="1:14" x14ac:dyDescent="0.45">
      <c r="A6689" t="s">
        <v>11482</v>
      </c>
      <c r="B6689" s="1">
        <v>45543</v>
      </c>
      <c r="C6689" t="s">
        <v>419</v>
      </c>
      <c r="D6689" t="s">
        <v>56</v>
      </c>
      <c r="E6689" t="s">
        <v>14</v>
      </c>
      <c r="F6689" t="s">
        <v>32</v>
      </c>
      <c r="G6689">
        <v>3</v>
      </c>
      <c r="H6689">
        <v>34661.279999999999</v>
      </c>
      <c r="I6689">
        <v>5382.96</v>
      </c>
      <c r="J6689" t="s">
        <v>22</v>
      </c>
      <c r="K6689" t="s">
        <v>29</v>
      </c>
      <c r="L6689">
        <f t="shared" si="312"/>
        <v>2024</v>
      </c>
      <c r="M6689" t="str">
        <f t="shared" si="313"/>
        <v>Sep</v>
      </c>
      <c r="N6689" s="2">
        <f t="shared" si="314"/>
        <v>0.15530182382185539</v>
      </c>
    </row>
    <row r="6690" spans="1:14" x14ac:dyDescent="0.45">
      <c r="A6690" t="s">
        <v>11483</v>
      </c>
      <c r="B6690" s="1">
        <v>45304</v>
      </c>
      <c r="C6690" t="s">
        <v>708</v>
      </c>
      <c r="D6690" t="s">
        <v>26</v>
      </c>
      <c r="E6690" t="s">
        <v>14</v>
      </c>
      <c r="F6690" t="s">
        <v>15</v>
      </c>
      <c r="G6690">
        <v>5</v>
      </c>
      <c r="H6690">
        <v>24831.19</v>
      </c>
      <c r="I6690">
        <v>4211.47</v>
      </c>
      <c r="J6690" t="s">
        <v>22</v>
      </c>
      <c r="K6690" t="s">
        <v>33</v>
      </c>
      <c r="L6690">
        <f t="shared" si="312"/>
        <v>2024</v>
      </c>
      <c r="M6690" t="str">
        <f t="shared" si="313"/>
        <v>Jan</v>
      </c>
      <c r="N6690" s="2">
        <f t="shared" si="314"/>
        <v>0.16960403428107959</v>
      </c>
    </row>
    <row r="6691" spans="1:14" x14ac:dyDescent="0.45">
      <c r="A6691" t="s">
        <v>11484</v>
      </c>
      <c r="B6691" s="1">
        <v>44717</v>
      </c>
      <c r="C6691" t="s">
        <v>11485</v>
      </c>
      <c r="D6691" t="s">
        <v>56</v>
      </c>
      <c r="E6691" t="s">
        <v>14</v>
      </c>
      <c r="F6691" t="s">
        <v>40</v>
      </c>
      <c r="G6691">
        <v>3</v>
      </c>
      <c r="H6691">
        <v>48089.24</v>
      </c>
      <c r="I6691">
        <v>7450.18</v>
      </c>
      <c r="J6691" t="s">
        <v>22</v>
      </c>
      <c r="K6691" t="s">
        <v>29</v>
      </c>
      <c r="L6691">
        <f t="shared" si="312"/>
        <v>2022</v>
      </c>
      <c r="M6691" t="str">
        <f t="shared" si="313"/>
        <v>Jun</v>
      </c>
      <c r="N6691" s="2">
        <f t="shared" si="314"/>
        <v>0.15492405369683532</v>
      </c>
    </row>
    <row r="6692" spans="1:14" x14ac:dyDescent="0.45">
      <c r="A6692" t="s">
        <v>11486</v>
      </c>
      <c r="B6692" s="1">
        <v>44580</v>
      </c>
      <c r="C6692" t="s">
        <v>3320</v>
      </c>
      <c r="D6692" t="s">
        <v>13</v>
      </c>
      <c r="E6692" t="s">
        <v>36</v>
      </c>
      <c r="F6692" t="s">
        <v>37</v>
      </c>
      <c r="G6692">
        <v>1</v>
      </c>
      <c r="H6692">
        <v>2991.97</v>
      </c>
      <c r="I6692">
        <v>353.16</v>
      </c>
      <c r="J6692" t="s">
        <v>47</v>
      </c>
      <c r="K6692" t="s">
        <v>33</v>
      </c>
      <c r="L6692">
        <f t="shared" si="312"/>
        <v>2022</v>
      </c>
      <c r="M6692" t="str">
        <f t="shared" si="313"/>
        <v>Jan</v>
      </c>
      <c r="N6692" s="2">
        <f t="shared" si="314"/>
        <v>0.11803594287375878</v>
      </c>
    </row>
    <row r="6693" spans="1:14" x14ac:dyDescent="0.45">
      <c r="A6693" t="s">
        <v>11487</v>
      </c>
      <c r="B6693" s="1">
        <v>45007</v>
      </c>
      <c r="C6693" t="s">
        <v>10096</v>
      </c>
      <c r="D6693" t="s">
        <v>26</v>
      </c>
      <c r="E6693" t="s">
        <v>36</v>
      </c>
      <c r="F6693" t="s">
        <v>64</v>
      </c>
      <c r="G6693">
        <v>4</v>
      </c>
      <c r="H6693">
        <v>43106.44</v>
      </c>
      <c r="I6693">
        <v>2882.14</v>
      </c>
      <c r="J6693" t="s">
        <v>28</v>
      </c>
      <c r="K6693" t="s">
        <v>17</v>
      </c>
      <c r="L6693">
        <f t="shared" si="312"/>
        <v>2023</v>
      </c>
      <c r="M6693" t="str">
        <f t="shared" si="313"/>
        <v>Mar</v>
      </c>
      <c r="N6693" s="2">
        <f t="shared" si="314"/>
        <v>6.6861007311204534E-2</v>
      </c>
    </row>
    <row r="6694" spans="1:14" x14ac:dyDescent="0.45">
      <c r="A6694" t="s">
        <v>11488</v>
      </c>
      <c r="B6694" s="1">
        <v>45057</v>
      </c>
      <c r="C6694" t="s">
        <v>11489</v>
      </c>
      <c r="D6694" t="s">
        <v>56</v>
      </c>
      <c r="E6694" t="s">
        <v>20</v>
      </c>
      <c r="F6694" t="s">
        <v>21</v>
      </c>
      <c r="G6694">
        <v>5</v>
      </c>
      <c r="H6694">
        <v>23938.73</v>
      </c>
      <c r="I6694">
        <v>2984.21</v>
      </c>
      <c r="J6694" t="s">
        <v>71</v>
      </c>
      <c r="K6694" t="s">
        <v>23</v>
      </c>
      <c r="L6694">
        <f t="shared" si="312"/>
        <v>2023</v>
      </c>
      <c r="M6694" t="str">
        <f t="shared" si="313"/>
        <v>May</v>
      </c>
      <c r="N6694" s="2">
        <f t="shared" si="314"/>
        <v>0.12466033076942679</v>
      </c>
    </row>
    <row r="6695" spans="1:14" x14ac:dyDescent="0.45">
      <c r="A6695" t="s">
        <v>11490</v>
      </c>
      <c r="B6695" s="1">
        <v>44864</v>
      </c>
      <c r="C6695" t="s">
        <v>8701</v>
      </c>
      <c r="D6695" t="s">
        <v>13</v>
      </c>
      <c r="E6695" t="s">
        <v>20</v>
      </c>
      <c r="F6695" t="s">
        <v>27</v>
      </c>
      <c r="G6695">
        <v>3</v>
      </c>
      <c r="H6695">
        <v>22532.36</v>
      </c>
      <c r="I6695">
        <v>3438.38</v>
      </c>
      <c r="J6695" t="s">
        <v>71</v>
      </c>
      <c r="K6695" t="s">
        <v>17</v>
      </c>
      <c r="L6695">
        <f t="shared" si="312"/>
        <v>2022</v>
      </c>
      <c r="M6695" t="str">
        <f t="shared" si="313"/>
        <v>Oct</v>
      </c>
      <c r="N6695" s="2">
        <f t="shared" si="314"/>
        <v>0.15259741988855141</v>
      </c>
    </row>
    <row r="6696" spans="1:14" x14ac:dyDescent="0.45">
      <c r="A6696" t="s">
        <v>11491</v>
      </c>
      <c r="B6696" s="1">
        <v>44990</v>
      </c>
      <c r="C6696" t="s">
        <v>11492</v>
      </c>
      <c r="D6696" t="s">
        <v>13</v>
      </c>
      <c r="E6696" t="s">
        <v>20</v>
      </c>
      <c r="F6696" t="s">
        <v>43</v>
      </c>
      <c r="G6696">
        <v>3</v>
      </c>
      <c r="H6696">
        <v>18920.240000000002</v>
      </c>
      <c r="I6696">
        <v>3070.51</v>
      </c>
      <c r="J6696" t="s">
        <v>28</v>
      </c>
      <c r="K6696" t="s">
        <v>23</v>
      </c>
      <c r="L6696">
        <f t="shared" si="312"/>
        <v>2023</v>
      </c>
      <c r="M6696" t="str">
        <f t="shared" si="313"/>
        <v>Mar</v>
      </c>
      <c r="N6696" s="2">
        <f t="shared" si="314"/>
        <v>0.16228705344118255</v>
      </c>
    </row>
    <row r="6697" spans="1:14" x14ac:dyDescent="0.45">
      <c r="A6697" t="s">
        <v>11493</v>
      </c>
      <c r="B6697" s="1">
        <v>44801</v>
      </c>
      <c r="C6697" t="s">
        <v>652</v>
      </c>
      <c r="D6697" t="s">
        <v>56</v>
      </c>
      <c r="E6697" t="s">
        <v>36</v>
      </c>
      <c r="F6697" t="s">
        <v>64</v>
      </c>
      <c r="G6697">
        <v>5</v>
      </c>
      <c r="H6697">
        <v>10131.799999999999</v>
      </c>
      <c r="I6697">
        <v>1293.21</v>
      </c>
      <c r="J6697" t="s">
        <v>47</v>
      </c>
      <c r="K6697" t="s">
        <v>29</v>
      </c>
      <c r="L6697">
        <f t="shared" si="312"/>
        <v>2022</v>
      </c>
      <c r="M6697" t="str">
        <f t="shared" si="313"/>
        <v>Aug</v>
      </c>
      <c r="N6697" s="2">
        <f t="shared" si="314"/>
        <v>0.12763872164867054</v>
      </c>
    </row>
    <row r="6698" spans="1:14" x14ac:dyDescent="0.45">
      <c r="A6698" t="s">
        <v>11494</v>
      </c>
      <c r="B6698" s="1">
        <v>45397</v>
      </c>
      <c r="C6698" t="s">
        <v>4217</v>
      </c>
      <c r="D6698" t="s">
        <v>13</v>
      </c>
      <c r="E6698" t="s">
        <v>36</v>
      </c>
      <c r="F6698" t="s">
        <v>37</v>
      </c>
      <c r="G6698">
        <v>2</v>
      </c>
      <c r="H6698">
        <v>1580.78</v>
      </c>
      <c r="I6698">
        <v>261.25</v>
      </c>
      <c r="J6698" t="s">
        <v>28</v>
      </c>
      <c r="K6698" t="s">
        <v>33</v>
      </c>
      <c r="L6698">
        <f t="shared" si="312"/>
        <v>2024</v>
      </c>
      <c r="M6698" t="str">
        <f t="shared" si="313"/>
        <v>Apr</v>
      </c>
      <c r="N6698" s="2">
        <f t="shared" si="314"/>
        <v>0.16526651399941802</v>
      </c>
    </row>
    <row r="6699" spans="1:14" x14ac:dyDescent="0.45">
      <c r="A6699" t="s">
        <v>11495</v>
      </c>
      <c r="B6699" s="1">
        <v>45164</v>
      </c>
      <c r="C6699" t="s">
        <v>11496</v>
      </c>
      <c r="D6699" t="s">
        <v>13</v>
      </c>
      <c r="E6699" t="s">
        <v>14</v>
      </c>
      <c r="F6699" t="s">
        <v>32</v>
      </c>
      <c r="G6699">
        <v>3</v>
      </c>
      <c r="H6699">
        <v>32692.86</v>
      </c>
      <c r="I6699">
        <v>4593.43</v>
      </c>
      <c r="J6699" t="s">
        <v>22</v>
      </c>
      <c r="K6699" t="s">
        <v>17</v>
      </c>
      <c r="L6699">
        <f t="shared" si="312"/>
        <v>2023</v>
      </c>
      <c r="M6699" t="str">
        <f t="shared" si="313"/>
        <v>Aug</v>
      </c>
      <c r="N6699" s="2">
        <f t="shared" si="314"/>
        <v>0.14050254398055112</v>
      </c>
    </row>
    <row r="6700" spans="1:14" x14ac:dyDescent="0.45">
      <c r="A6700" t="s">
        <v>11497</v>
      </c>
      <c r="B6700" s="1">
        <v>45173</v>
      </c>
      <c r="C6700" t="s">
        <v>3580</v>
      </c>
      <c r="D6700" t="s">
        <v>56</v>
      </c>
      <c r="E6700" t="s">
        <v>36</v>
      </c>
      <c r="F6700" t="s">
        <v>64</v>
      </c>
      <c r="G6700">
        <v>4</v>
      </c>
      <c r="H6700">
        <v>23818.87</v>
      </c>
      <c r="I6700">
        <v>3834.72</v>
      </c>
      <c r="J6700" t="s">
        <v>71</v>
      </c>
      <c r="K6700" t="s">
        <v>23</v>
      </c>
      <c r="L6700">
        <f t="shared" si="312"/>
        <v>2023</v>
      </c>
      <c r="M6700" t="str">
        <f t="shared" si="313"/>
        <v>Sep</v>
      </c>
      <c r="N6700" s="2">
        <f t="shared" si="314"/>
        <v>0.16099504300581849</v>
      </c>
    </row>
    <row r="6701" spans="1:14" x14ac:dyDescent="0.45">
      <c r="A6701" t="s">
        <v>11498</v>
      </c>
      <c r="B6701" s="1">
        <v>45384</v>
      </c>
      <c r="C6701" t="s">
        <v>5808</v>
      </c>
      <c r="D6701" t="s">
        <v>13</v>
      </c>
      <c r="E6701" t="s">
        <v>36</v>
      </c>
      <c r="F6701" t="s">
        <v>64</v>
      </c>
      <c r="G6701">
        <v>4</v>
      </c>
      <c r="H6701">
        <v>10896.71</v>
      </c>
      <c r="I6701">
        <v>1983.36</v>
      </c>
      <c r="J6701" t="s">
        <v>22</v>
      </c>
      <c r="K6701" t="s">
        <v>23</v>
      </c>
      <c r="L6701">
        <f t="shared" si="312"/>
        <v>2024</v>
      </c>
      <c r="M6701" t="str">
        <f t="shared" si="313"/>
        <v>Apr</v>
      </c>
      <c r="N6701" s="2">
        <f t="shared" si="314"/>
        <v>0.18201457137062471</v>
      </c>
    </row>
    <row r="6702" spans="1:14" x14ac:dyDescent="0.45">
      <c r="A6702" t="s">
        <v>11499</v>
      </c>
      <c r="B6702" s="1">
        <v>45271</v>
      </c>
      <c r="C6702" t="s">
        <v>11500</v>
      </c>
      <c r="D6702" t="s">
        <v>56</v>
      </c>
      <c r="E6702" t="s">
        <v>14</v>
      </c>
      <c r="F6702" t="s">
        <v>15</v>
      </c>
      <c r="G6702">
        <v>5</v>
      </c>
      <c r="H6702">
        <v>4106.57</v>
      </c>
      <c r="I6702">
        <v>370.92</v>
      </c>
      <c r="J6702" t="s">
        <v>47</v>
      </c>
      <c r="K6702" t="s">
        <v>33</v>
      </c>
      <c r="L6702">
        <f t="shared" si="312"/>
        <v>2023</v>
      </c>
      <c r="M6702" t="str">
        <f t="shared" si="313"/>
        <v>Dec</v>
      </c>
      <c r="N6702" s="2">
        <f t="shared" si="314"/>
        <v>9.0323554694063432E-2</v>
      </c>
    </row>
    <row r="6703" spans="1:14" x14ac:dyDescent="0.45">
      <c r="A6703" t="s">
        <v>11501</v>
      </c>
      <c r="B6703" s="1">
        <v>45448</v>
      </c>
      <c r="C6703" t="s">
        <v>484</v>
      </c>
      <c r="D6703" t="s">
        <v>26</v>
      </c>
      <c r="E6703" t="s">
        <v>36</v>
      </c>
      <c r="F6703" t="s">
        <v>37</v>
      </c>
      <c r="G6703">
        <v>1</v>
      </c>
      <c r="H6703">
        <v>15038.46</v>
      </c>
      <c r="I6703">
        <v>3555.88</v>
      </c>
      <c r="J6703" t="s">
        <v>16</v>
      </c>
      <c r="K6703" t="s">
        <v>17</v>
      </c>
      <c r="L6703">
        <f t="shared" si="312"/>
        <v>2024</v>
      </c>
      <c r="M6703" t="str">
        <f t="shared" si="313"/>
        <v>Jun</v>
      </c>
      <c r="N6703" s="2">
        <f t="shared" si="314"/>
        <v>0.23645240270612816</v>
      </c>
    </row>
    <row r="6704" spans="1:14" x14ac:dyDescent="0.45">
      <c r="A6704" t="s">
        <v>11502</v>
      </c>
      <c r="B6704" s="1">
        <v>45063</v>
      </c>
      <c r="C6704" t="s">
        <v>11503</v>
      </c>
      <c r="D6704" t="s">
        <v>26</v>
      </c>
      <c r="E6704" t="s">
        <v>20</v>
      </c>
      <c r="F6704" t="s">
        <v>43</v>
      </c>
      <c r="G6704">
        <v>3</v>
      </c>
      <c r="H6704">
        <v>42388.78</v>
      </c>
      <c r="I6704">
        <v>7910.25</v>
      </c>
      <c r="J6704" t="s">
        <v>47</v>
      </c>
      <c r="K6704" t="s">
        <v>23</v>
      </c>
      <c r="L6704">
        <f t="shared" si="312"/>
        <v>2023</v>
      </c>
      <c r="M6704" t="str">
        <f t="shared" si="313"/>
        <v>May</v>
      </c>
      <c r="N6704" s="2">
        <f t="shared" si="314"/>
        <v>0.18661188172908019</v>
      </c>
    </row>
    <row r="6705" spans="1:14" x14ac:dyDescent="0.45">
      <c r="A6705" t="s">
        <v>11504</v>
      </c>
      <c r="B6705" s="1">
        <v>44876</v>
      </c>
      <c r="C6705" t="s">
        <v>1173</v>
      </c>
      <c r="D6705" t="s">
        <v>26</v>
      </c>
      <c r="E6705" t="s">
        <v>36</v>
      </c>
      <c r="F6705" t="s">
        <v>53</v>
      </c>
      <c r="G6705">
        <v>3</v>
      </c>
      <c r="H6705">
        <v>41366.11</v>
      </c>
      <c r="I6705">
        <v>7487.61</v>
      </c>
      <c r="J6705" t="s">
        <v>71</v>
      </c>
      <c r="K6705" t="s">
        <v>23</v>
      </c>
      <c r="L6705">
        <f t="shared" si="312"/>
        <v>2022</v>
      </c>
      <c r="M6705" t="str">
        <f t="shared" si="313"/>
        <v>Nov</v>
      </c>
      <c r="N6705" s="2">
        <f t="shared" si="314"/>
        <v>0.18100831816189628</v>
      </c>
    </row>
    <row r="6706" spans="1:14" x14ac:dyDescent="0.45">
      <c r="A6706" t="s">
        <v>11505</v>
      </c>
      <c r="B6706" s="1">
        <v>44696</v>
      </c>
      <c r="C6706" t="s">
        <v>9818</v>
      </c>
      <c r="D6706" t="s">
        <v>13</v>
      </c>
      <c r="E6706" t="s">
        <v>20</v>
      </c>
      <c r="F6706" t="s">
        <v>50</v>
      </c>
      <c r="G6706">
        <v>5</v>
      </c>
      <c r="H6706">
        <v>35848.19</v>
      </c>
      <c r="I6706">
        <v>6888.25</v>
      </c>
      <c r="J6706" t="s">
        <v>16</v>
      </c>
      <c r="K6706" t="s">
        <v>33</v>
      </c>
      <c r="L6706">
        <f t="shared" si="312"/>
        <v>2022</v>
      </c>
      <c r="M6706" t="str">
        <f t="shared" si="313"/>
        <v>May</v>
      </c>
      <c r="N6706" s="2">
        <f t="shared" si="314"/>
        <v>0.19215056603973588</v>
      </c>
    </row>
    <row r="6707" spans="1:14" x14ac:dyDescent="0.45">
      <c r="A6707" t="s">
        <v>11506</v>
      </c>
      <c r="B6707" s="1">
        <v>45302</v>
      </c>
      <c r="C6707" t="s">
        <v>11507</v>
      </c>
      <c r="D6707" t="s">
        <v>13</v>
      </c>
      <c r="E6707" t="s">
        <v>20</v>
      </c>
      <c r="F6707" t="s">
        <v>27</v>
      </c>
      <c r="G6707">
        <v>2</v>
      </c>
      <c r="H6707">
        <v>45163.519999999997</v>
      </c>
      <c r="I6707">
        <v>5133.32</v>
      </c>
      <c r="J6707" t="s">
        <v>22</v>
      </c>
      <c r="K6707" t="s">
        <v>33</v>
      </c>
      <c r="L6707">
        <f t="shared" si="312"/>
        <v>2024</v>
      </c>
      <c r="M6707" t="str">
        <f t="shared" si="313"/>
        <v>Jan</v>
      </c>
      <c r="N6707" s="2">
        <f t="shared" si="314"/>
        <v>0.11366075983448588</v>
      </c>
    </row>
    <row r="6708" spans="1:14" x14ac:dyDescent="0.45">
      <c r="A6708" t="s">
        <v>11508</v>
      </c>
      <c r="B6708" s="1">
        <v>45042</v>
      </c>
      <c r="C6708" t="s">
        <v>1644</v>
      </c>
      <c r="D6708" t="s">
        <v>13</v>
      </c>
      <c r="E6708" t="s">
        <v>14</v>
      </c>
      <c r="F6708" t="s">
        <v>32</v>
      </c>
      <c r="G6708">
        <v>5</v>
      </c>
      <c r="H6708">
        <v>13386.98</v>
      </c>
      <c r="I6708">
        <v>2513.66</v>
      </c>
      <c r="J6708" t="s">
        <v>22</v>
      </c>
      <c r="K6708" t="s">
        <v>33</v>
      </c>
      <c r="L6708">
        <f t="shared" si="312"/>
        <v>2023</v>
      </c>
      <c r="M6708" t="str">
        <f t="shared" si="313"/>
        <v>Apr</v>
      </c>
      <c r="N6708" s="2">
        <f t="shared" si="314"/>
        <v>0.18776901138270169</v>
      </c>
    </row>
    <row r="6709" spans="1:14" x14ac:dyDescent="0.45">
      <c r="A6709" t="s">
        <v>11509</v>
      </c>
      <c r="B6709" s="1">
        <v>45372</v>
      </c>
      <c r="C6709" t="s">
        <v>1090</v>
      </c>
      <c r="D6709" t="s">
        <v>26</v>
      </c>
      <c r="E6709" t="s">
        <v>20</v>
      </c>
      <c r="F6709" t="s">
        <v>21</v>
      </c>
      <c r="G6709">
        <v>5</v>
      </c>
      <c r="H6709">
        <v>6509.98</v>
      </c>
      <c r="I6709">
        <v>1428.91</v>
      </c>
      <c r="J6709" t="s">
        <v>71</v>
      </c>
      <c r="K6709" t="s">
        <v>29</v>
      </c>
      <c r="L6709">
        <f t="shared" si="312"/>
        <v>2024</v>
      </c>
      <c r="M6709" t="str">
        <f t="shared" si="313"/>
        <v>Mar</v>
      </c>
      <c r="N6709" s="2">
        <f t="shared" si="314"/>
        <v>0.21949529798862671</v>
      </c>
    </row>
    <row r="6710" spans="1:14" x14ac:dyDescent="0.45">
      <c r="A6710" t="s">
        <v>11510</v>
      </c>
      <c r="B6710" s="1">
        <v>45483</v>
      </c>
      <c r="C6710" t="s">
        <v>11511</v>
      </c>
      <c r="D6710" t="s">
        <v>56</v>
      </c>
      <c r="E6710" t="s">
        <v>20</v>
      </c>
      <c r="F6710" t="s">
        <v>21</v>
      </c>
      <c r="G6710">
        <v>3</v>
      </c>
      <c r="H6710">
        <v>38433.08</v>
      </c>
      <c r="I6710">
        <v>6898.48</v>
      </c>
      <c r="J6710" t="s">
        <v>16</v>
      </c>
      <c r="K6710" t="s">
        <v>17</v>
      </c>
      <c r="L6710">
        <f t="shared" si="312"/>
        <v>2024</v>
      </c>
      <c r="M6710" t="str">
        <f t="shared" si="313"/>
        <v>Jul</v>
      </c>
      <c r="N6710" s="2">
        <f t="shared" si="314"/>
        <v>0.17949329067563669</v>
      </c>
    </row>
    <row r="6711" spans="1:14" x14ac:dyDescent="0.45">
      <c r="A6711" t="s">
        <v>11512</v>
      </c>
      <c r="B6711" s="1">
        <v>44771</v>
      </c>
      <c r="C6711" t="s">
        <v>3371</v>
      </c>
      <c r="D6711" t="s">
        <v>56</v>
      </c>
      <c r="E6711" t="s">
        <v>14</v>
      </c>
      <c r="F6711" t="s">
        <v>32</v>
      </c>
      <c r="G6711">
        <v>5</v>
      </c>
      <c r="H6711">
        <v>49072.61</v>
      </c>
      <c r="I6711">
        <v>4968.0200000000004</v>
      </c>
      <c r="J6711" t="s">
        <v>28</v>
      </c>
      <c r="K6711" t="s">
        <v>17</v>
      </c>
      <c r="L6711">
        <f t="shared" si="312"/>
        <v>2022</v>
      </c>
      <c r="M6711" t="str">
        <f t="shared" si="313"/>
        <v>Jul</v>
      </c>
      <c r="N6711" s="2">
        <f t="shared" si="314"/>
        <v>0.10123814486329544</v>
      </c>
    </row>
    <row r="6712" spans="1:14" x14ac:dyDescent="0.45">
      <c r="A6712" t="s">
        <v>11513</v>
      </c>
      <c r="B6712" s="1">
        <v>45614</v>
      </c>
      <c r="C6712" t="s">
        <v>572</v>
      </c>
      <c r="D6712" t="s">
        <v>26</v>
      </c>
      <c r="E6712" t="s">
        <v>14</v>
      </c>
      <c r="F6712" t="s">
        <v>40</v>
      </c>
      <c r="G6712">
        <v>5</v>
      </c>
      <c r="H6712">
        <v>40137.82</v>
      </c>
      <c r="I6712">
        <v>7977.8</v>
      </c>
      <c r="J6712" t="s">
        <v>22</v>
      </c>
      <c r="K6712" t="s">
        <v>29</v>
      </c>
      <c r="L6712">
        <f t="shared" si="312"/>
        <v>2024</v>
      </c>
      <c r="M6712" t="str">
        <f t="shared" si="313"/>
        <v>Nov</v>
      </c>
      <c r="N6712" s="2">
        <f t="shared" si="314"/>
        <v>0.19876017182796674</v>
      </c>
    </row>
    <row r="6713" spans="1:14" x14ac:dyDescent="0.45">
      <c r="A6713" t="s">
        <v>11514</v>
      </c>
      <c r="B6713" s="1">
        <v>45066</v>
      </c>
      <c r="C6713" t="s">
        <v>11515</v>
      </c>
      <c r="D6713" t="s">
        <v>13</v>
      </c>
      <c r="E6713" t="s">
        <v>20</v>
      </c>
      <c r="F6713" t="s">
        <v>27</v>
      </c>
      <c r="G6713">
        <v>5</v>
      </c>
      <c r="H6713">
        <v>42099.23</v>
      </c>
      <c r="I6713">
        <v>3943.46</v>
      </c>
      <c r="J6713" t="s">
        <v>28</v>
      </c>
      <c r="K6713" t="s">
        <v>33</v>
      </c>
      <c r="L6713">
        <f t="shared" si="312"/>
        <v>2023</v>
      </c>
      <c r="M6713" t="str">
        <f t="shared" si="313"/>
        <v>May</v>
      </c>
      <c r="N6713" s="2">
        <f t="shared" si="314"/>
        <v>9.3670596825642646E-2</v>
      </c>
    </row>
    <row r="6714" spans="1:14" x14ac:dyDescent="0.45">
      <c r="A6714" t="s">
        <v>11516</v>
      </c>
      <c r="B6714" s="1">
        <v>44917</v>
      </c>
      <c r="C6714" t="s">
        <v>11517</v>
      </c>
      <c r="D6714" t="s">
        <v>26</v>
      </c>
      <c r="E6714" t="s">
        <v>14</v>
      </c>
      <c r="F6714" t="s">
        <v>32</v>
      </c>
      <c r="G6714">
        <v>2</v>
      </c>
      <c r="H6714">
        <v>14418.81</v>
      </c>
      <c r="I6714">
        <v>1304.93</v>
      </c>
      <c r="J6714" t="s">
        <v>16</v>
      </c>
      <c r="K6714" t="s">
        <v>17</v>
      </c>
      <c r="L6714">
        <f t="shared" si="312"/>
        <v>2022</v>
      </c>
      <c r="M6714" t="str">
        <f t="shared" si="313"/>
        <v>Dec</v>
      </c>
      <c r="N6714" s="2">
        <f t="shared" si="314"/>
        <v>9.0501920754902807E-2</v>
      </c>
    </row>
    <row r="6715" spans="1:14" x14ac:dyDescent="0.45">
      <c r="A6715" t="s">
        <v>11518</v>
      </c>
      <c r="B6715" s="1">
        <v>45350</v>
      </c>
      <c r="C6715" t="s">
        <v>11519</v>
      </c>
      <c r="D6715" t="s">
        <v>56</v>
      </c>
      <c r="E6715" t="s">
        <v>14</v>
      </c>
      <c r="F6715" t="s">
        <v>40</v>
      </c>
      <c r="G6715">
        <v>5</v>
      </c>
      <c r="H6715">
        <v>48914.73</v>
      </c>
      <c r="I6715">
        <v>5275.85</v>
      </c>
      <c r="J6715" t="s">
        <v>16</v>
      </c>
      <c r="K6715" t="s">
        <v>17</v>
      </c>
      <c r="L6715">
        <f t="shared" si="312"/>
        <v>2024</v>
      </c>
      <c r="M6715" t="str">
        <f t="shared" si="313"/>
        <v>Feb</v>
      </c>
      <c r="N6715" s="2">
        <f t="shared" si="314"/>
        <v>0.1078581032748213</v>
      </c>
    </row>
    <row r="6716" spans="1:14" x14ac:dyDescent="0.45">
      <c r="A6716" t="s">
        <v>11520</v>
      </c>
      <c r="B6716" s="1">
        <v>45576</v>
      </c>
      <c r="C6716" t="s">
        <v>11521</v>
      </c>
      <c r="D6716" t="s">
        <v>56</v>
      </c>
      <c r="E6716" t="s">
        <v>20</v>
      </c>
      <c r="F6716" t="s">
        <v>21</v>
      </c>
      <c r="G6716">
        <v>4</v>
      </c>
      <c r="H6716">
        <v>7127.28</v>
      </c>
      <c r="I6716">
        <v>645</v>
      </c>
      <c r="J6716" t="s">
        <v>22</v>
      </c>
      <c r="K6716" t="s">
        <v>23</v>
      </c>
      <c r="L6716">
        <f t="shared" si="312"/>
        <v>2024</v>
      </c>
      <c r="M6716" t="str">
        <f t="shared" si="313"/>
        <v>Oct</v>
      </c>
      <c r="N6716" s="2">
        <f t="shared" si="314"/>
        <v>9.0497356635350371E-2</v>
      </c>
    </row>
    <row r="6717" spans="1:14" x14ac:dyDescent="0.45">
      <c r="A6717" t="s">
        <v>11522</v>
      </c>
      <c r="B6717" s="1">
        <v>45445</v>
      </c>
      <c r="C6717" t="s">
        <v>11523</v>
      </c>
      <c r="D6717" t="s">
        <v>56</v>
      </c>
      <c r="E6717" t="s">
        <v>36</v>
      </c>
      <c r="F6717" t="s">
        <v>46</v>
      </c>
      <c r="G6717">
        <v>1</v>
      </c>
      <c r="H6717">
        <v>31988.639999999999</v>
      </c>
      <c r="I6717">
        <v>7770.83</v>
      </c>
      <c r="J6717" t="s">
        <v>28</v>
      </c>
      <c r="K6717" t="s">
        <v>23</v>
      </c>
      <c r="L6717">
        <f t="shared" si="312"/>
        <v>2024</v>
      </c>
      <c r="M6717" t="str">
        <f t="shared" si="313"/>
        <v>Jun</v>
      </c>
      <c r="N6717" s="2">
        <f t="shared" si="314"/>
        <v>0.24292467575989476</v>
      </c>
    </row>
    <row r="6718" spans="1:14" x14ac:dyDescent="0.45">
      <c r="A6718" t="s">
        <v>11524</v>
      </c>
      <c r="B6718" s="1">
        <v>44988</v>
      </c>
      <c r="C6718" t="s">
        <v>10601</v>
      </c>
      <c r="D6718" t="s">
        <v>26</v>
      </c>
      <c r="E6718" t="s">
        <v>14</v>
      </c>
      <c r="F6718" t="s">
        <v>15</v>
      </c>
      <c r="G6718">
        <v>1</v>
      </c>
      <c r="H6718">
        <v>25003.200000000001</v>
      </c>
      <c r="I6718">
        <v>2715.51</v>
      </c>
      <c r="J6718" t="s">
        <v>22</v>
      </c>
      <c r="K6718" t="s">
        <v>29</v>
      </c>
      <c r="L6718">
        <f t="shared" si="312"/>
        <v>2023</v>
      </c>
      <c r="M6718" t="str">
        <f t="shared" si="313"/>
        <v>Mar</v>
      </c>
      <c r="N6718" s="2">
        <f t="shared" si="314"/>
        <v>0.10860649836820888</v>
      </c>
    </row>
    <row r="6719" spans="1:14" x14ac:dyDescent="0.45">
      <c r="A6719" t="s">
        <v>11525</v>
      </c>
      <c r="B6719" s="1">
        <v>45110</v>
      </c>
      <c r="C6719" t="s">
        <v>9833</v>
      </c>
      <c r="D6719" t="s">
        <v>56</v>
      </c>
      <c r="E6719" t="s">
        <v>20</v>
      </c>
      <c r="F6719" t="s">
        <v>27</v>
      </c>
      <c r="G6719">
        <v>1</v>
      </c>
      <c r="H6719">
        <v>30027.72</v>
      </c>
      <c r="I6719">
        <v>4945.1000000000004</v>
      </c>
      <c r="J6719" t="s">
        <v>47</v>
      </c>
      <c r="K6719" t="s">
        <v>33</v>
      </c>
      <c r="L6719">
        <f t="shared" si="312"/>
        <v>2023</v>
      </c>
      <c r="M6719" t="str">
        <f t="shared" si="313"/>
        <v>Jul</v>
      </c>
      <c r="N6719" s="2">
        <f t="shared" si="314"/>
        <v>0.16468449819033881</v>
      </c>
    </row>
    <row r="6720" spans="1:14" x14ac:dyDescent="0.45">
      <c r="A6720" t="s">
        <v>11526</v>
      </c>
      <c r="B6720" s="1">
        <v>44838</v>
      </c>
      <c r="C6720" t="s">
        <v>4644</v>
      </c>
      <c r="D6720" t="s">
        <v>56</v>
      </c>
      <c r="E6720" t="s">
        <v>20</v>
      </c>
      <c r="F6720" t="s">
        <v>27</v>
      </c>
      <c r="G6720">
        <v>4</v>
      </c>
      <c r="H6720">
        <v>16483.96</v>
      </c>
      <c r="I6720">
        <v>3329.65</v>
      </c>
      <c r="J6720" t="s">
        <v>71</v>
      </c>
      <c r="K6720" t="s">
        <v>17</v>
      </c>
      <c r="L6720">
        <f t="shared" si="312"/>
        <v>2022</v>
      </c>
      <c r="M6720" t="str">
        <f t="shared" si="313"/>
        <v>Oct</v>
      </c>
      <c r="N6720" s="2">
        <f t="shared" si="314"/>
        <v>0.20199333169942177</v>
      </c>
    </row>
    <row r="6721" spans="1:14" x14ac:dyDescent="0.45">
      <c r="A6721" t="s">
        <v>11527</v>
      </c>
      <c r="B6721" s="1">
        <v>44924</v>
      </c>
      <c r="C6721" t="s">
        <v>11528</v>
      </c>
      <c r="D6721" t="s">
        <v>13</v>
      </c>
      <c r="E6721" t="s">
        <v>36</v>
      </c>
      <c r="F6721" t="s">
        <v>46</v>
      </c>
      <c r="G6721">
        <v>4</v>
      </c>
      <c r="H6721">
        <v>43239.35</v>
      </c>
      <c r="I6721">
        <v>8525.93</v>
      </c>
      <c r="J6721" t="s">
        <v>47</v>
      </c>
      <c r="K6721" t="s">
        <v>29</v>
      </c>
      <c r="L6721">
        <f t="shared" si="312"/>
        <v>2022</v>
      </c>
      <c r="M6721" t="str">
        <f t="shared" si="313"/>
        <v>Dec</v>
      </c>
      <c r="N6721" s="2">
        <f t="shared" si="314"/>
        <v>0.19717988360139549</v>
      </c>
    </row>
    <row r="6722" spans="1:14" x14ac:dyDescent="0.45">
      <c r="A6722" t="s">
        <v>11529</v>
      </c>
      <c r="B6722" s="1">
        <v>45092</v>
      </c>
      <c r="C6722" t="s">
        <v>351</v>
      </c>
      <c r="D6722" t="s">
        <v>26</v>
      </c>
      <c r="E6722" t="s">
        <v>14</v>
      </c>
      <c r="F6722" t="s">
        <v>57</v>
      </c>
      <c r="G6722">
        <v>4</v>
      </c>
      <c r="H6722">
        <v>19683.05</v>
      </c>
      <c r="I6722">
        <v>4630.25</v>
      </c>
      <c r="J6722" t="s">
        <v>28</v>
      </c>
      <c r="K6722" t="s">
        <v>29</v>
      </c>
      <c r="L6722">
        <f t="shared" si="312"/>
        <v>2023</v>
      </c>
      <c r="M6722" t="str">
        <f t="shared" si="313"/>
        <v>Jun</v>
      </c>
      <c r="N6722" s="2">
        <f t="shared" si="314"/>
        <v>0.23524047340224205</v>
      </c>
    </row>
    <row r="6723" spans="1:14" x14ac:dyDescent="0.45">
      <c r="A6723" t="s">
        <v>11530</v>
      </c>
      <c r="B6723" s="1">
        <v>45358</v>
      </c>
      <c r="C6723" t="s">
        <v>2340</v>
      </c>
      <c r="D6723" t="s">
        <v>56</v>
      </c>
      <c r="E6723" t="s">
        <v>36</v>
      </c>
      <c r="F6723" t="s">
        <v>64</v>
      </c>
      <c r="G6723">
        <v>1</v>
      </c>
      <c r="H6723">
        <v>18529.509999999998</v>
      </c>
      <c r="I6723">
        <v>1991.87</v>
      </c>
      <c r="J6723" t="s">
        <v>47</v>
      </c>
      <c r="K6723" t="s">
        <v>29</v>
      </c>
      <c r="L6723">
        <f t="shared" ref="L6723:L6786" si="315">YEAR(B6723 )</f>
        <v>2024</v>
      </c>
      <c r="M6723" t="str">
        <f t="shared" ref="M6723:M6786" si="316">TEXT(B6723,"MMM")</f>
        <v>Mar</v>
      </c>
      <c r="N6723" s="2">
        <f t="shared" ref="N6723:N6786" si="317">I6723 / H6723</f>
        <v>0.10749717612608213</v>
      </c>
    </row>
    <row r="6724" spans="1:14" x14ac:dyDescent="0.45">
      <c r="A6724" t="s">
        <v>11531</v>
      </c>
      <c r="B6724" s="1">
        <v>44619</v>
      </c>
      <c r="C6724" t="s">
        <v>11532</v>
      </c>
      <c r="D6724" t="s">
        <v>26</v>
      </c>
      <c r="E6724" t="s">
        <v>20</v>
      </c>
      <c r="F6724" t="s">
        <v>21</v>
      </c>
      <c r="G6724">
        <v>2</v>
      </c>
      <c r="H6724">
        <v>39900.78</v>
      </c>
      <c r="I6724">
        <v>8622.25</v>
      </c>
      <c r="J6724" t="s">
        <v>22</v>
      </c>
      <c r="K6724" t="s">
        <v>33</v>
      </c>
      <c r="L6724">
        <f t="shared" si="315"/>
        <v>2022</v>
      </c>
      <c r="M6724" t="str">
        <f t="shared" si="316"/>
        <v>Feb</v>
      </c>
      <c r="N6724" s="2">
        <f t="shared" si="317"/>
        <v>0.21609226686796601</v>
      </c>
    </row>
    <row r="6725" spans="1:14" x14ac:dyDescent="0.45">
      <c r="A6725" t="s">
        <v>11533</v>
      </c>
      <c r="B6725" s="1">
        <v>44637</v>
      </c>
      <c r="C6725" t="s">
        <v>11534</v>
      </c>
      <c r="D6725" t="s">
        <v>56</v>
      </c>
      <c r="E6725" t="s">
        <v>20</v>
      </c>
      <c r="F6725" t="s">
        <v>27</v>
      </c>
      <c r="G6725">
        <v>2</v>
      </c>
      <c r="H6725">
        <v>38877.480000000003</v>
      </c>
      <c r="I6725">
        <v>7876.35</v>
      </c>
      <c r="J6725" t="s">
        <v>22</v>
      </c>
      <c r="K6725" t="s">
        <v>33</v>
      </c>
      <c r="L6725">
        <f t="shared" si="315"/>
        <v>2022</v>
      </c>
      <c r="M6725" t="str">
        <f t="shared" si="316"/>
        <v>Mar</v>
      </c>
      <c r="N6725" s="2">
        <f t="shared" si="317"/>
        <v>0.20259414962080874</v>
      </c>
    </row>
    <row r="6726" spans="1:14" x14ac:dyDescent="0.45">
      <c r="A6726" t="s">
        <v>11535</v>
      </c>
      <c r="B6726" s="1">
        <v>45568</v>
      </c>
      <c r="C6726" t="s">
        <v>11536</v>
      </c>
      <c r="D6726" t="s">
        <v>26</v>
      </c>
      <c r="E6726" t="s">
        <v>20</v>
      </c>
      <c r="F6726" t="s">
        <v>43</v>
      </c>
      <c r="G6726">
        <v>4</v>
      </c>
      <c r="H6726">
        <v>35784.9</v>
      </c>
      <c r="I6726">
        <v>5878.23</v>
      </c>
      <c r="J6726" t="s">
        <v>16</v>
      </c>
      <c r="K6726" t="s">
        <v>17</v>
      </c>
      <c r="L6726">
        <f t="shared" si="315"/>
        <v>2024</v>
      </c>
      <c r="M6726" t="str">
        <f t="shared" si="316"/>
        <v>Oct</v>
      </c>
      <c r="N6726" s="2">
        <f t="shared" si="317"/>
        <v>0.16426565394901199</v>
      </c>
    </row>
    <row r="6727" spans="1:14" x14ac:dyDescent="0.45">
      <c r="A6727" t="s">
        <v>11537</v>
      </c>
      <c r="B6727" s="1">
        <v>45561</v>
      </c>
      <c r="C6727" t="s">
        <v>7685</v>
      </c>
      <c r="D6727" t="s">
        <v>26</v>
      </c>
      <c r="E6727" t="s">
        <v>20</v>
      </c>
      <c r="F6727" t="s">
        <v>27</v>
      </c>
      <c r="G6727">
        <v>3</v>
      </c>
      <c r="H6727">
        <v>18605.310000000001</v>
      </c>
      <c r="I6727">
        <v>1769.59</v>
      </c>
      <c r="J6727" t="s">
        <v>22</v>
      </c>
      <c r="K6727" t="s">
        <v>33</v>
      </c>
      <c r="L6727">
        <f t="shared" si="315"/>
        <v>2024</v>
      </c>
      <c r="M6727" t="str">
        <f t="shared" si="316"/>
        <v>Sep</v>
      </c>
      <c r="N6727" s="2">
        <f t="shared" si="317"/>
        <v>9.5112094342959072E-2</v>
      </c>
    </row>
    <row r="6728" spans="1:14" x14ac:dyDescent="0.45">
      <c r="A6728" t="s">
        <v>11538</v>
      </c>
      <c r="B6728" s="1">
        <v>45208</v>
      </c>
      <c r="C6728" t="s">
        <v>6071</v>
      </c>
      <c r="D6728" t="s">
        <v>26</v>
      </c>
      <c r="E6728" t="s">
        <v>20</v>
      </c>
      <c r="F6728" t="s">
        <v>50</v>
      </c>
      <c r="G6728">
        <v>4</v>
      </c>
      <c r="H6728">
        <v>48399.39</v>
      </c>
      <c r="I6728">
        <v>5860.77</v>
      </c>
      <c r="J6728" t="s">
        <v>16</v>
      </c>
      <c r="K6728" t="s">
        <v>23</v>
      </c>
      <c r="L6728">
        <f t="shared" si="315"/>
        <v>2023</v>
      </c>
      <c r="M6728" t="str">
        <f t="shared" si="316"/>
        <v>Oct</v>
      </c>
      <c r="N6728" s="2">
        <f t="shared" si="317"/>
        <v>0.12109181541337609</v>
      </c>
    </row>
    <row r="6729" spans="1:14" x14ac:dyDescent="0.45">
      <c r="A6729" t="s">
        <v>11539</v>
      </c>
      <c r="B6729" s="1">
        <v>45193</v>
      </c>
      <c r="C6729" t="s">
        <v>1258</v>
      </c>
      <c r="D6729" t="s">
        <v>26</v>
      </c>
      <c r="E6729" t="s">
        <v>36</v>
      </c>
      <c r="F6729" t="s">
        <v>37</v>
      </c>
      <c r="G6729">
        <v>1</v>
      </c>
      <c r="H6729">
        <v>22821.45</v>
      </c>
      <c r="I6729">
        <v>3761.75</v>
      </c>
      <c r="J6729" t="s">
        <v>16</v>
      </c>
      <c r="K6729" t="s">
        <v>17</v>
      </c>
      <c r="L6729">
        <f t="shared" si="315"/>
        <v>2023</v>
      </c>
      <c r="M6729" t="str">
        <f t="shared" si="316"/>
        <v>Sep</v>
      </c>
      <c r="N6729" s="2">
        <f t="shared" si="317"/>
        <v>0.16483396103227446</v>
      </c>
    </row>
    <row r="6730" spans="1:14" x14ac:dyDescent="0.45">
      <c r="A6730" t="s">
        <v>11540</v>
      </c>
      <c r="B6730" s="1">
        <v>45167</v>
      </c>
      <c r="C6730" t="s">
        <v>6054</v>
      </c>
      <c r="D6730" t="s">
        <v>26</v>
      </c>
      <c r="E6730" t="s">
        <v>36</v>
      </c>
      <c r="F6730" t="s">
        <v>37</v>
      </c>
      <c r="G6730">
        <v>1</v>
      </c>
      <c r="H6730">
        <v>43013.47</v>
      </c>
      <c r="I6730">
        <v>5684.59</v>
      </c>
      <c r="J6730" t="s">
        <v>47</v>
      </c>
      <c r="K6730" t="s">
        <v>33</v>
      </c>
      <c r="L6730">
        <f t="shared" si="315"/>
        <v>2023</v>
      </c>
      <c r="M6730" t="str">
        <f t="shared" si="316"/>
        <v>Aug</v>
      </c>
      <c r="N6730" s="2">
        <f t="shared" si="317"/>
        <v>0.1321583680647016</v>
      </c>
    </row>
    <row r="6731" spans="1:14" x14ac:dyDescent="0.45">
      <c r="A6731" t="s">
        <v>11541</v>
      </c>
      <c r="B6731" s="1">
        <v>44665</v>
      </c>
      <c r="C6731" t="s">
        <v>2072</v>
      </c>
      <c r="D6731" t="s">
        <v>26</v>
      </c>
      <c r="E6731" t="s">
        <v>14</v>
      </c>
      <c r="F6731" t="s">
        <v>57</v>
      </c>
      <c r="G6731">
        <v>4</v>
      </c>
      <c r="H6731">
        <v>18348.32</v>
      </c>
      <c r="I6731">
        <v>2224.2199999999998</v>
      </c>
      <c r="J6731" t="s">
        <v>22</v>
      </c>
      <c r="K6731" t="s">
        <v>23</v>
      </c>
      <c r="L6731">
        <f t="shared" si="315"/>
        <v>2022</v>
      </c>
      <c r="M6731" t="str">
        <f t="shared" si="316"/>
        <v>Apr</v>
      </c>
      <c r="N6731" s="2">
        <f t="shared" si="317"/>
        <v>0.12122199743627754</v>
      </c>
    </row>
    <row r="6732" spans="1:14" x14ac:dyDescent="0.45">
      <c r="A6732" t="s">
        <v>11542</v>
      </c>
      <c r="B6732" s="1">
        <v>45196</v>
      </c>
      <c r="C6732" t="s">
        <v>11543</v>
      </c>
      <c r="D6732" t="s">
        <v>13</v>
      </c>
      <c r="E6732" t="s">
        <v>20</v>
      </c>
      <c r="F6732" t="s">
        <v>21</v>
      </c>
      <c r="G6732">
        <v>4</v>
      </c>
      <c r="H6732">
        <v>28893.01</v>
      </c>
      <c r="I6732">
        <v>7162.77</v>
      </c>
      <c r="J6732" t="s">
        <v>28</v>
      </c>
      <c r="K6732" t="s">
        <v>23</v>
      </c>
      <c r="L6732">
        <f t="shared" si="315"/>
        <v>2023</v>
      </c>
      <c r="M6732" t="str">
        <f t="shared" si="316"/>
        <v>Sep</v>
      </c>
      <c r="N6732" s="2">
        <f t="shared" si="317"/>
        <v>0.24790667362105925</v>
      </c>
    </row>
    <row r="6733" spans="1:14" x14ac:dyDescent="0.45">
      <c r="A6733" t="s">
        <v>11544</v>
      </c>
      <c r="B6733" s="1">
        <v>45513</v>
      </c>
      <c r="C6733" t="s">
        <v>9374</v>
      </c>
      <c r="D6733" t="s">
        <v>13</v>
      </c>
      <c r="E6733" t="s">
        <v>20</v>
      </c>
      <c r="F6733" t="s">
        <v>50</v>
      </c>
      <c r="G6733">
        <v>4</v>
      </c>
      <c r="H6733">
        <v>26617.02</v>
      </c>
      <c r="I6733">
        <v>1898.12</v>
      </c>
      <c r="J6733" t="s">
        <v>47</v>
      </c>
      <c r="K6733" t="s">
        <v>17</v>
      </c>
      <c r="L6733">
        <f t="shared" si="315"/>
        <v>2024</v>
      </c>
      <c r="M6733" t="str">
        <f t="shared" si="316"/>
        <v>Aug</v>
      </c>
      <c r="N6733" s="2">
        <f t="shared" si="317"/>
        <v>7.1312265610500344E-2</v>
      </c>
    </row>
    <row r="6734" spans="1:14" x14ac:dyDescent="0.45">
      <c r="A6734" t="s">
        <v>11545</v>
      </c>
      <c r="B6734" s="1">
        <v>45296</v>
      </c>
      <c r="C6734" t="s">
        <v>2687</v>
      </c>
      <c r="D6734" t="s">
        <v>26</v>
      </c>
      <c r="E6734" t="s">
        <v>20</v>
      </c>
      <c r="F6734" t="s">
        <v>27</v>
      </c>
      <c r="G6734">
        <v>1</v>
      </c>
      <c r="H6734">
        <v>46103.03</v>
      </c>
      <c r="I6734">
        <v>4865.9799999999996</v>
      </c>
      <c r="J6734" t="s">
        <v>16</v>
      </c>
      <c r="K6734" t="s">
        <v>29</v>
      </c>
      <c r="L6734">
        <f t="shared" si="315"/>
        <v>2024</v>
      </c>
      <c r="M6734" t="str">
        <f t="shared" si="316"/>
        <v>Jan</v>
      </c>
      <c r="N6734" s="2">
        <f t="shared" si="317"/>
        <v>0.10554577432329285</v>
      </c>
    </row>
    <row r="6735" spans="1:14" x14ac:dyDescent="0.45">
      <c r="A6735" t="s">
        <v>11546</v>
      </c>
      <c r="B6735" s="1">
        <v>44588</v>
      </c>
      <c r="C6735" t="s">
        <v>158</v>
      </c>
      <c r="D6735" t="s">
        <v>13</v>
      </c>
      <c r="E6735" t="s">
        <v>14</v>
      </c>
      <c r="F6735" t="s">
        <v>57</v>
      </c>
      <c r="G6735">
        <v>3</v>
      </c>
      <c r="H6735">
        <v>47667.05</v>
      </c>
      <c r="I6735">
        <v>6406.19</v>
      </c>
      <c r="J6735" t="s">
        <v>16</v>
      </c>
      <c r="K6735" t="s">
        <v>17</v>
      </c>
      <c r="L6735">
        <f t="shared" si="315"/>
        <v>2022</v>
      </c>
      <c r="M6735" t="str">
        <f t="shared" si="316"/>
        <v>Jan</v>
      </c>
      <c r="N6735" s="2">
        <f t="shared" si="317"/>
        <v>0.13439451361055485</v>
      </c>
    </row>
    <row r="6736" spans="1:14" x14ac:dyDescent="0.45">
      <c r="A6736" t="s">
        <v>11547</v>
      </c>
      <c r="B6736" s="1">
        <v>44999</v>
      </c>
      <c r="C6736" t="s">
        <v>11548</v>
      </c>
      <c r="D6736" t="s">
        <v>56</v>
      </c>
      <c r="E6736" t="s">
        <v>20</v>
      </c>
      <c r="F6736" t="s">
        <v>27</v>
      </c>
      <c r="G6736">
        <v>2</v>
      </c>
      <c r="H6736">
        <v>12842.88</v>
      </c>
      <c r="I6736">
        <v>2646.31</v>
      </c>
      <c r="J6736" t="s">
        <v>47</v>
      </c>
      <c r="K6736" t="s">
        <v>23</v>
      </c>
      <c r="L6736">
        <f t="shared" si="315"/>
        <v>2023</v>
      </c>
      <c r="M6736" t="str">
        <f t="shared" si="316"/>
        <v>Mar</v>
      </c>
      <c r="N6736" s="2">
        <f t="shared" si="317"/>
        <v>0.20605269223102607</v>
      </c>
    </row>
    <row r="6737" spans="1:14" x14ac:dyDescent="0.45">
      <c r="A6737" t="s">
        <v>11549</v>
      </c>
      <c r="B6737" s="1">
        <v>44965</v>
      </c>
      <c r="C6737" t="s">
        <v>7814</v>
      </c>
      <c r="D6737" t="s">
        <v>56</v>
      </c>
      <c r="E6737" t="s">
        <v>14</v>
      </c>
      <c r="F6737" t="s">
        <v>32</v>
      </c>
      <c r="G6737">
        <v>2</v>
      </c>
      <c r="H6737">
        <v>46617.71</v>
      </c>
      <c r="I6737">
        <v>10186.69</v>
      </c>
      <c r="J6737" t="s">
        <v>28</v>
      </c>
      <c r="K6737" t="s">
        <v>23</v>
      </c>
      <c r="L6737">
        <f t="shared" si="315"/>
        <v>2023</v>
      </c>
      <c r="M6737" t="str">
        <f t="shared" si="316"/>
        <v>Feb</v>
      </c>
      <c r="N6737" s="2">
        <f t="shared" si="317"/>
        <v>0.21851545260374225</v>
      </c>
    </row>
    <row r="6738" spans="1:14" x14ac:dyDescent="0.45">
      <c r="A6738" t="s">
        <v>11550</v>
      </c>
      <c r="B6738" s="1">
        <v>44732</v>
      </c>
      <c r="C6738" t="s">
        <v>11551</v>
      </c>
      <c r="D6738" t="s">
        <v>26</v>
      </c>
      <c r="E6738" t="s">
        <v>20</v>
      </c>
      <c r="F6738" t="s">
        <v>21</v>
      </c>
      <c r="G6738">
        <v>5</v>
      </c>
      <c r="H6738">
        <v>26105.16</v>
      </c>
      <c r="I6738">
        <v>2546.19</v>
      </c>
      <c r="J6738" t="s">
        <v>22</v>
      </c>
      <c r="K6738" t="s">
        <v>29</v>
      </c>
      <c r="L6738">
        <f t="shared" si="315"/>
        <v>2022</v>
      </c>
      <c r="M6738" t="str">
        <f t="shared" si="316"/>
        <v>Jun</v>
      </c>
      <c r="N6738" s="2">
        <f t="shared" si="317"/>
        <v>9.7535889456337371E-2</v>
      </c>
    </row>
    <row r="6739" spans="1:14" x14ac:dyDescent="0.45">
      <c r="A6739" t="s">
        <v>11552</v>
      </c>
      <c r="B6739" s="1">
        <v>44821</v>
      </c>
      <c r="C6739" t="s">
        <v>11553</v>
      </c>
      <c r="D6739" t="s">
        <v>13</v>
      </c>
      <c r="E6739" t="s">
        <v>36</v>
      </c>
      <c r="F6739" t="s">
        <v>37</v>
      </c>
      <c r="G6739">
        <v>5</v>
      </c>
      <c r="H6739">
        <v>16751.349999999999</v>
      </c>
      <c r="I6739">
        <v>2932.74</v>
      </c>
      <c r="J6739" t="s">
        <v>71</v>
      </c>
      <c r="K6739" t="s">
        <v>33</v>
      </c>
      <c r="L6739">
        <f t="shared" si="315"/>
        <v>2022</v>
      </c>
      <c r="M6739" t="str">
        <f t="shared" si="316"/>
        <v>Sep</v>
      </c>
      <c r="N6739" s="2">
        <f t="shared" si="317"/>
        <v>0.17507484471400814</v>
      </c>
    </row>
    <row r="6740" spans="1:14" x14ac:dyDescent="0.45">
      <c r="A6740" t="s">
        <v>11554</v>
      </c>
      <c r="B6740" s="1">
        <v>45420</v>
      </c>
      <c r="C6740" t="s">
        <v>566</v>
      </c>
      <c r="D6740" t="s">
        <v>26</v>
      </c>
      <c r="E6740" t="s">
        <v>20</v>
      </c>
      <c r="F6740" t="s">
        <v>27</v>
      </c>
      <c r="G6740">
        <v>1</v>
      </c>
      <c r="H6740">
        <v>44845.36</v>
      </c>
      <c r="I6740">
        <v>3590.36</v>
      </c>
      <c r="J6740" t="s">
        <v>22</v>
      </c>
      <c r="K6740" t="s">
        <v>17</v>
      </c>
      <c r="L6740">
        <f t="shared" si="315"/>
        <v>2024</v>
      </c>
      <c r="M6740" t="str">
        <f t="shared" si="316"/>
        <v>May</v>
      </c>
      <c r="N6740" s="2">
        <f t="shared" si="317"/>
        <v>8.0060902621809704E-2</v>
      </c>
    </row>
    <row r="6741" spans="1:14" x14ac:dyDescent="0.45">
      <c r="A6741" t="s">
        <v>11555</v>
      </c>
      <c r="B6741" s="1">
        <v>45211</v>
      </c>
      <c r="C6741" t="s">
        <v>9923</v>
      </c>
      <c r="D6741" t="s">
        <v>56</v>
      </c>
      <c r="E6741" t="s">
        <v>14</v>
      </c>
      <c r="F6741" t="s">
        <v>15</v>
      </c>
      <c r="G6741">
        <v>5</v>
      </c>
      <c r="H6741">
        <v>39507.14</v>
      </c>
      <c r="I6741">
        <v>7982.75</v>
      </c>
      <c r="J6741" t="s">
        <v>71</v>
      </c>
      <c r="K6741" t="s">
        <v>17</v>
      </c>
      <c r="L6741">
        <f t="shared" si="315"/>
        <v>2023</v>
      </c>
      <c r="M6741" t="str">
        <f t="shared" si="316"/>
        <v>Oct</v>
      </c>
      <c r="N6741" s="2">
        <f t="shared" si="317"/>
        <v>0.20205841273248329</v>
      </c>
    </row>
    <row r="6742" spans="1:14" x14ac:dyDescent="0.45">
      <c r="A6742" t="s">
        <v>11556</v>
      </c>
      <c r="B6742" s="1">
        <v>44945</v>
      </c>
      <c r="C6742" t="s">
        <v>2435</v>
      </c>
      <c r="D6742" t="s">
        <v>56</v>
      </c>
      <c r="E6742" t="s">
        <v>36</v>
      </c>
      <c r="F6742" t="s">
        <v>64</v>
      </c>
      <c r="G6742">
        <v>1</v>
      </c>
      <c r="H6742">
        <v>6424.13</v>
      </c>
      <c r="I6742">
        <v>647.17999999999995</v>
      </c>
      <c r="J6742" t="s">
        <v>71</v>
      </c>
      <c r="K6742" t="s">
        <v>33</v>
      </c>
      <c r="L6742">
        <f t="shared" si="315"/>
        <v>2023</v>
      </c>
      <c r="M6742" t="str">
        <f t="shared" si="316"/>
        <v>Jan</v>
      </c>
      <c r="N6742" s="2">
        <f t="shared" si="317"/>
        <v>0.100742046004673</v>
      </c>
    </row>
    <row r="6743" spans="1:14" x14ac:dyDescent="0.45">
      <c r="A6743" t="s">
        <v>11557</v>
      </c>
      <c r="B6743" s="1">
        <v>44585</v>
      </c>
      <c r="C6743" t="s">
        <v>11558</v>
      </c>
      <c r="D6743" t="s">
        <v>56</v>
      </c>
      <c r="E6743" t="s">
        <v>36</v>
      </c>
      <c r="F6743" t="s">
        <v>37</v>
      </c>
      <c r="G6743">
        <v>1</v>
      </c>
      <c r="H6743">
        <v>7164.59</v>
      </c>
      <c r="I6743">
        <v>746.63</v>
      </c>
      <c r="J6743" t="s">
        <v>22</v>
      </c>
      <c r="K6743" t="s">
        <v>29</v>
      </c>
      <c r="L6743">
        <f t="shared" si="315"/>
        <v>2022</v>
      </c>
      <c r="M6743" t="str">
        <f t="shared" si="316"/>
        <v>Jan</v>
      </c>
      <c r="N6743" s="2">
        <f t="shared" si="317"/>
        <v>0.10421112722430732</v>
      </c>
    </row>
    <row r="6744" spans="1:14" x14ac:dyDescent="0.45">
      <c r="A6744" t="s">
        <v>11559</v>
      </c>
      <c r="B6744" s="1">
        <v>45030</v>
      </c>
      <c r="C6744" t="s">
        <v>3204</v>
      </c>
      <c r="D6744" t="s">
        <v>26</v>
      </c>
      <c r="E6744" t="s">
        <v>20</v>
      </c>
      <c r="F6744" t="s">
        <v>21</v>
      </c>
      <c r="G6744">
        <v>2</v>
      </c>
      <c r="H6744">
        <v>13704.63</v>
      </c>
      <c r="I6744">
        <v>2452.4699999999998</v>
      </c>
      <c r="J6744" t="s">
        <v>47</v>
      </c>
      <c r="K6744" t="s">
        <v>33</v>
      </c>
      <c r="L6744">
        <f t="shared" si="315"/>
        <v>2023</v>
      </c>
      <c r="M6744" t="str">
        <f t="shared" si="316"/>
        <v>Apr</v>
      </c>
      <c r="N6744" s="2">
        <f t="shared" si="317"/>
        <v>0.17895193084380973</v>
      </c>
    </row>
    <row r="6745" spans="1:14" x14ac:dyDescent="0.45">
      <c r="A6745" t="s">
        <v>11560</v>
      </c>
      <c r="B6745" s="1">
        <v>45624</v>
      </c>
      <c r="C6745" t="s">
        <v>11561</v>
      </c>
      <c r="D6745" t="s">
        <v>13</v>
      </c>
      <c r="E6745" t="s">
        <v>36</v>
      </c>
      <c r="F6745" t="s">
        <v>53</v>
      </c>
      <c r="G6745">
        <v>3</v>
      </c>
      <c r="H6745">
        <v>33594.58</v>
      </c>
      <c r="I6745">
        <v>5286.47</v>
      </c>
      <c r="J6745" t="s">
        <v>47</v>
      </c>
      <c r="K6745" t="s">
        <v>33</v>
      </c>
      <c r="L6745">
        <f t="shared" si="315"/>
        <v>2024</v>
      </c>
      <c r="M6745" t="str">
        <f t="shared" si="316"/>
        <v>Nov</v>
      </c>
      <c r="N6745" s="2">
        <f t="shared" si="317"/>
        <v>0.15736080046245554</v>
      </c>
    </row>
    <row r="6746" spans="1:14" x14ac:dyDescent="0.45">
      <c r="A6746" t="s">
        <v>11562</v>
      </c>
      <c r="B6746" s="1">
        <v>45301</v>
      </c>
      <c r="C6746" t="s">
        <v>1990</v>
      </c>
      <c r="D6746" t="s">
        <v>26</v>
      </c>
      <c r="E6746" t="s">
        <v>14</v>
      </c>
      <c r="F6746" t="s">
        <v>32</v>
      </c>
      <c r="G6746">
        <v>5</v>
      </c>
      <c r="H6746">
        <v>40983.050000000003</v>
      </c>
      <c r="I6746">
        <v>9853.7800000000007</v>
      </c>
      <c r="J6746" t="s">
        <v>22</v>
      </c>
      <c r="K6746" t="s">
        <v>17</v>
      </c>
      <c r="L6746">
        <f t="shared" si="315"/>
        <v>2024</v>
      </c>
      <c r="M6746" t="str">
        <f t="shared" si="316"/>
        <v>Jan</v>
      </c>
      <c r="N6746" s="2">
        <f t="shared" si="317"/>
        <v>0.24043549711405079</v>
      </c>
    </row>
    <row r="6747" spans="1:14" x14ac:dyDescent="0.45">
      <c r="A6747" t="s">
        <v>11563</v>
      </c>
      <c r="B6747" s="1">
        <v>44798</v>
      </c>
      <c r="C6747" t="s">
        <v>11564</v>
      </c>
      <c r="D6747" t="s">
        <v>56</v>
      </c>
      <c r="E6747" t="s">
        <v>36</v>
      </c>
      <c r="F6747" t="s">
        <v>53</v>
      </c>
      <c r="G6747">
        <v>5</v>
      </c>
      <c r="H6747">
        <v>990</v>
      </c>
      <c r="I6747">
        <v>238.32</v>
      </c>
      <c r="J6747" t="s">
        <v>28</v>
      </c>
      <c r="K6747" t="s">
        <v>33</v>
      </c>
      <c r="L6747">
        <f t="shared" si="315"/>
        <v>2022</v>
      </c>
      <c r="M6747" t="str">
        <f t="shared" si="316"/>
        <v>Aug</v>
      </c>
      <c r="N6747" s="2">
        <f t="shared" si="317"/>
        <v>0.24072727272727273</v>
      </c>
    </row>
    <row r="6748" spans="1:14" x14ac:dyDescent="0.45">
      <c r="A6748" t="s">
        <v>11565</v>
      </c>
      <c r="B6748" s="1">
        <v>45396</v>
      </c>
      <c r="C6748" t="s">
        <v>11566</v>
      </c>
      <c r="D6748" t="s">
        <v>13</v>
      </c>
      <c r="E6748" t="s">
        <v>14</v>
      </c>
      <c r="F6748" t="s">
        <v>32</v>
      </c>
      <c r="G6748">
        <v>3</v>
      </c>
      <c r="H6748">
        <v>20305.84</v>
      </c>
      <c r="I6748">
        <v>3975.97</v>
      </c>
      <c r="J6748" t="s">
        <v>16</v>
      </c>
      <c r="K6748" t="s">
        <v>17</v>
      </c>
      <c r="L6748">
        <f t="shared" si="315"/>
        <v>2024</v>
      </c>
      <c r="M6748" t="str">
        <f t="shared" si="316"/>
        <v>Apr</v>
      </c>
      <c r="N6748" s="2">
        <f t="shared" si="317"/>
        <v>0.19580426123716133</v>
      </c>
    </row>
    <row r="6749" spans="1:14" x14ac:dyDescent="0.45">
      <c r="A6749" t="s">
        <v>11567</v>
      </c>
      <c r="B6749" s="1">
        <v>45252</v>
      </c>
      <c r="C6749" t="s">
        <v>11568</v>
      </c>
      <c r="D6749" t="s">
        <v>56</v>
      </c>
      <c r="E6749" t="s">
        <v>14</v>
      </c>
      <c r="F6749" t="s">
        <v>32</v>
      </c>
      <c r="G6749">
        <v>2</v>
      </c>
      <c r="H6749">
        <v>42626.85</v>
      </c>
      <c r="I6749">
        <v>9483.7900000000009</v>
      </c>
      <c r="J6749" t="s">
        <v>22</v>
      </c>
      <c r="K6749" t="s">
        <v>17</v>
      </c>
      <c r="L6749">
        <f t="shared" si="315"/>
        <v>2023</v>
      </c>
      <c r="M6749" t="str">
        <f t="shared" si="316"/>
        <v>Nov</v>
      </c>
      <c r="N6749" s="2">
        <f t="shared" si="317"/>
        <v>0.22248395084318923</v>
      </c>
    </row>
    <row r="6750" spans="1:14" x14ac:dyDescent="0.45">
      <c r="A6750" t="s">
        <v>11569</v>
      </c>
      <c r="B6750" s="1">
        <v>45351</v>
      </c>
      <c r="C6750" t="s">
        <v>6090</v>
      </c>
      <c r="D6750" t="s">
        <v>26</v>
      </c>
      <c r="E6750" t="s">
        <v>36</v>
      </c>
      <c r="F6750" t="s">
        <v>64</v>
      </c>
      <c r="G6750">
        <v>1</v>
      </c>
      <c r="H6750">
        <v>7065.04</v>
      </c>
      <c r="I6750">
        <v>652.5</v>
      </c>
      <c r="J6750" t="s">
        <v>16</v>
      </c>
      <c r="K6750" t="s">
        <v>17</v>
      </c>
      <c r="L6750">
        <f t="shared" si="315"/>
        <v>2024</v>
      </c>
      <c r="M6750" t="str">
        <f t="shared" si="316"/>
        <v>Feb</v>
      </c>
      <c r="N6750" s="2">
        <f t="shared" si="317"/>
        <v>9.2356165004019788E-2</v>
      </c>
    </row>
    <row r="6751" spans="1:14" x14ac:dyDescent="0.45">
      <c r="A6751" t="s">
        <v>11570</v>
      </c>
      <c r="B6751" s="1">
        <v>45003</v>
      </c>
      <c r="C6751" t="s">
        <v>11571</v>
      </c>
      <c r="D6751" t="s">
        <v>56</v>
      </c>
      <c r="E6751" t="s">
        <v>20</v>
      </c>
      <c r="F6751" t="s">
        <v>43</v>
      </c>
      <c r="G6751">
        <v>5</v>
      </c>
      <c r="H6751">
        <v>43121.31</v>
      </c>
      <c r="I6751">
        <v>4649.45</v>
      </c>
      <c r="J6751" t="s">
        <v>22</v>
      </c>
      <c r="K6751" t="s">
        <v>17</v>
      </c>
      <c r="L6751">
        <f t="shared" si="315"/>
        <v>2023</v>
      </c>
      <c r="M6751" t="str">
        <f t="shared" si="316"/>
        <v>Mar</v>
      </c>
      <c r="N6751" s="2">
        <f t="shared" si="317"/>
        <v>0.10782255919405045</v>
      </c>
    </row>
    <row r="6752" spans="1:14" x14ac:dyDescent="0.45">
      <c r="A6752" t="s">
        <v>11572</v>
      </c>
      <c r="B6752" s="1">
        <v>44982</v>
      </c>
      <c r="C6752" t="s">
        <v>3392</v>
      </c>
      <c r="D6752" t="s">
        <v>26</v>
      </c>
      <c r="E6752" t="s">
        <v>14</v>
      </c>
      <c r="F6752" t="s">
        <v>15</v>
      </c>
      <c r="G6752">
        <v>1</v>
      </c>
      <c r="H6752">
        <v>12169</v>
      </c>
      <c r="I6752">
        <v>805.64</v>
      </c>
      <c r="J6752" t="s">
        <v>16</v>
      </c>
      <c r="K6752" t="s">
        <v>33</v>
      </c>
      <c r="L6752">
        <f t="shared" si="315"/>
        <v>2023</v>
      </c>
      <c r="M6752" t="str">
        <f t="shared" si="316"/>
        <v>Feb</v>
      </c>
      <c r="N6752" s="2">
        <f t="shared" si="317"/>
        <v>6.6204289588298132E-2</v>
      </c>
    </row>
    <row r="6753" spans="1:14" x14ac:dyDescent="0.45">
      <c r="A6753" t="s">
        <v>11573</v>
      </c>
      <c r="B6753" s="1">
        <v>45617</v>
      </c>
      <c r="C6753" t="s">
        <v>3472</v>
      </c>
      <c r="D6753" t="s">
        <v>56</v>
      </c>
      <c r="E6753" t="s">
        <v>20</v>
      </c>
      <c r="F6753" t="s">
        <v>50</v>
      </c>
      <c r="G6753">
        <v>3</v>
      </c>
      <c r="H6753">
        <v>36835.620000000003</v>
      </c>
      <c r="I6753">
        <v>5599.45</v>
      </c>
      <c r="J6753" t="s">
        <v>71</v>
      </c>
      <c r="K6753" t="s">
        <v>17</v>
      </c>
      <c r="L6753">
        <f t="shared" si="315"/>
        <v>2024</v>
      </c>
      <c r="M6753" t="str">
        <f t="shared" si="316"/>
        <v>Nov</v>
      </c>
      <c r="N6753" s="2">
        <f t="shared" si="317"/>
        <v>0.15201182985382083</v>
      </c>
    </row>
    <row r="6754" spans="1:14" x14ac:dyDescent="0.45">
      <c r="A6754" t="s">
        <v>11574</v>
      </c>
      <c r="B6754" s="1">
        <v>45327</v>
      </c>
      <c r="C6754" t="s">
        <v>11575</v>
      </c>
      <c r="D6754" t="s">
        <v>26</v>
      </c>
      <c r="E6754" t="s">
        <v>14</v>
      </c>
      <c r="F6754" t="s">
        <v>15</v>
      </c>
      <c r="G6754">
        <v>3</v>
      </c>
      <c r="H6754">
        <v>13639.43</v>
      </c>
      <c r="I6754">
        <v>3285.46</v>
      </c>
      <c r="J6754" t="s">
        <v>28</v>
      </c>
      <c r="K6754" t="s">
        <v>33</v>
      </c>
      <c r="L6754">
        <f t="shared" si="315"/>
        <v>2024</v>
      </c>
      <c r="M6754" t="str">
        <f t="shared" si="316"/>
        <v>Feb</v>
      </c>
      <c r="N6754" s="2">
        <f t="shared" si="317"/>
        <v>0.24087956754791073</v>
      </c>
    </row>
    <row r="6755" spans="1:14" x14ac:dyDescent="0.45">
      <c r="A6755" t="s">
        <v>11576</v>
      </c>
      <c r="B6755" s="1">
        <v>45538</v>
      </c>
      <c r="C6755" t="s">
        <v>11577</v>
      </c>
      <c r="D6755" t="s">
        <v>13</v>
      </c>
      <c r="E6755" t="s">
        <v>36</v>
      </c>
      <c r="F6755" t="s">
        <v>46</v>
      </c>
      <c r="G6755">
        <v>5</v>
      </c>
      <c r="H6755">
        <v>19492.36</v>
      </c>
      <c r="I6755">
        <v>4434.25</v>
      </c>
      <c r="J6755" t="s">
        <v>47</v>
      </c>
      <c r="K6755" t="s">
        <v>29</v>
      </c>
      <c r="L6755">
        <f t="shared" si="315"/>
        <v>2024</v>
      </c>
      <c r="M6755" t="str">
        <f t="shared" si="316"/>
        <v>Sep</v>
      </c>
      <c r="N6755" s="2">
        <f t="shared" si="317"/>
        <v>0.22748656396660025</v>
      </c>
    </row>
    <row r="6756" spans="1:14" x14ac:dyDescent="0.45">
      <c r="A6756" t="s">
        <v>11578</v>
      </c>
      <c r="B6756" s="1">
        <v>44685</v>
      </c>
      <c r="C6756" t="s">
        <v>4374</v>
      </c>
      <c r="D6756" t="s">
        <v>56</v>
      </c>
      <c r="E6756" t="s">
        <v>14</v>
      </c>
      <c r="F6756" t="s">
        <v>57</v>
      </c>
      <c r="G6756">
        <v>1</v>
      </c>
      <c r="H6756">
        <v>12130.1</v>
      </c>
      <c r="I6756">
        <v>1592.4</v>
      </c>
      <c r="J6756" t="s">
        <v>47</v>
      </c>
      <c r="K6756" t="s">
        <v>17</v>
      </c>
      <c r="L6756">
        <f t="shared" si="315"/>
        <v>2022</v>
      </c>
      <c r="M6756" t="str">
        <f t="shared" si="316"/>
        <v>May</v>
      </c>
      <c r="N6756" s="2">
        <f t="shared" si="317"/>
        <v>0.13127674132942022</v>
      </c>
    </row>
    <row r="6757" spans="1:14" x14ac:dyDescent="0.45">
      <c r="A6757" t="s">
        <v>11579</v>
      </c>
      <c r="B6757" s="1">
        <v>45396</v>
      </c>
      <c r="C6757" t="s">
        <v>11580</v>
      </c>
      <c r="D6757" t="s">
        <v>13</v>
      </c>
      <c r="E6757" t="s">
        <v>14</v>
      </c>
      <c r="F6757" t="s">
        <v>32</v>
      </c>
      <c r="G6757">
        <v>1</v>
      </c>
      <c r="H6757">
        <v>6845.91</v>
      </c>
      <c r="I6757">
        <v>1641.65</v>
      </c>
      <c r="J6757" t="s">
        <v>28</v>
      </c>
      <c r="K6757" t="s">
        <v>23</v>
      </c>
      <c r="L6757">
        <f t="shared" si="315"/>
        <v>2024</v>
      </c>
      <c r="M6757" t="str">
        <f t="shared" si="316"/>
        <v>Apr</v>
      </c>
      <c r="N6757" s="2">
        <f t="shared" si="317"/>
        <v>0.23980011422878772</v>
      </c>
    </row>
    <row r="6758" spans="1:14" x14ac:dyDescent="0.45">
      <c r="A6758" t="s">
        <v>11581</v>
      </c>
      <c r="B6758" s="1">
        <v>45389</v>
      </c>
      <c r="C6758" t="s">
        <v>2105</v>
      </c>
      <c r="D6758" t="s">
        <v>56</v>
      </c>
      <c r="E6758" t="s">
        <v>20</v>
      </c>
      <c r="F6758" t="s">
        <v>50</v>
      </c>
      <c r="G6758">
        <v>2</v>
      </c>
      <c r="H6758">
        <v>11371.72</v>
      </c>
      <c r="I6758">
        <v>1084.42</v>
      </c>
      <c r="J6758" t="s">
        <v>28</v>
      </c>
      <c r="K6758" t="s">
        <v>23</v>
      </c>
      <c r="L6758">
        <f t="shared" si="315"/>
        <v>2024</v>
      </c>
      <c r="M6758" t="str">
        <f t="shared" si="316"/>
        <v>Apr</v>
      </c>
      <c r="N6758" s="2">
        <f t="shared" si="317"/>
        <v>9.5361123910894754E-2</v>
      </c>
    </row>
    <row r="6759" spans="1:14" x14ac:dyDescent="0.45">
      <c r="A6759" t="s">
        <v>11582</v>
      </c>
      <c r="B6759" s="1">
        <v>44857</v>
      </c>
      <c r="C6759" t="s">
        <v>11583</v>
      </c>
      <c r="D6759" t="s">
        <v>26</v>
      </c>
      <c r="E6759" t="s">
        <v>14</v>
      </c>
      <c r="F6759" t="s">
        <v>40</v>
      </c>
      <c r="G6759">
        <v>1</v>
      </c>
      <c r="H6759">
        <v>6256.78</v>
      </c>
      <c r="I6759">
        <v>413.15</v>
      </c>
      <c r="J6759" t="s">
        <v>47</v>
      </c>
      <c r="K6759" t="s">
        <v>33</v>
      </c>
      <c r="L6759">
        <f t="shared" si="315"/>
        <v>2022</v>
      </c>
      <c r="M6759" t="str">
        <f t="shared" si="316"/>
        <v>Oct</v>
      </c>
      <c r="N6759" s="2">
        <f t="shared" si="317"/>
        <v>6.6032368087099114E-2</v>
      </c>
    </row>
    <row r="6760" spans="1:14" x14ac:dyDescent="0.45">
      <c r="A6760" t="s">
        <v>11584</v>
      </c>
      <c r="B6760" s="1">
        <v>44747</v>
      </c>
      <c r="C6760" t="s">
        <v>11585</v>
      </c>
      <c r="D6760" t="s">
        <v>56</v>
      </c>
      <c r="E6760" t="s">
        <v>20</v>
      </c>
      <c r="F6760" t="s">
        <v>27</v>
      </c>
      <c r="G6760">
        <v>3</v>
      </c>
      <c r="H6760">
        <v>33004.25</v>
      </c>
      <c r="I6760">
        <v>3055.59</v>
      </c>
      <c r="J6760" t="s">
        <v>28</v>
      </c>
      <c r="K6760" t="s">
        <v>23</v>
      </c>
      <c r="L6760">
        <f t="shared" si="315"/>
        <v>2022</v>
      </c>
      <c r="M6760" t="str">
        <f t="shared" si="316"/>
        <v>Jul</v>
      </c>
      <c r="N6760" s="2">
        <f t="shared" si="317"/>
        <v>9.2581712961209539E-2</v>
      </c>
    </row>
    <row r="6761" spans="1:14" x14ac:dyDescent="0.45">
      <c r="A6761" t="s">
        <v>11586</v>
      </c>
      <c r="B6761" s="1">
        <v>44665</v>
      </c>
      <c r="C6761" t="s">
        <v>11587</v>
      </c>
      <c r="D6761" t="s">
        <v>26</v>
      </c>
      <c r="E6761" t="s">
        <v>14</v>
      </c>
      <c r="F6761" t="s">
        <v>32</v>
      </c>
      <c r="G6761">
        <v>2</v>
      </c>
      <c r="H6761">
        <v>3479.67</v>
      </c>
      <c r="I6761">
        <v>727.4</v>
      </c>
      <c r="J6761" t="s">
        <v>28</v>
      </c>
      <c r="K6761" t="s">
        <v>33</v>
      </c>
      <c r="L6761">
        <f t="shared" si="315"/>
        <v>2022</v>
      </c>
      <c r="M6761" t="str">
        <f t="shared" si="316"/>
        <v>Apr</v>
      </c>
      <c r="N6761" s="2">
        <f t="shared" si="317"/>
        <v>0.20904281153097851</v>
      </c>
    </row>
    <row r="6762" spans="1:14" x14ac:dyDescent="0.45">
      <c r="A6762" t="s">
        <v>11588</v>
      </c>
      <c r="B6762" s="1">
        <v>45125</v>
      </c>
      <c r="C6762" t="s">
        <v>6217</v>
      </c>
      <c r="D6762" t="s">
        <v>26</v>
      </c>
      <c r="E6762" t="s">
        <v>20</v>
      </c>
      <c r="F6762" t="s">
        <v>21</v>
      </c>
      <c r="G6762">
        <v>2</v>
      </c>
      <c r="H6762">
        <v>6643.9</v>
      </c>
      <c r="I6762">
        <v>889.53</v>
      </c>
      <c r="J6762" t="s">
        <v>71</v>
      </c>
      <c r="K6762" t="s">
        <v>17</v>
      </c>
      <c r="L6762">
        <f t="shared" si="315"/>
        <v>2023</v>
      </c>
      <c r="M6762" t="str">
        <f t="shared" si="316"/>
        <v>Jul</v>
      </c>
      <c r="N6762" s="2">
        <f t="shared" si="317"/>
        <v>0.13388672315958999</v>
      </c>
    </row>
    <row r="6763" spans="1:14" x14ac:dyDescent="0.45">
      <c r="A6763" t="s">
        <v>11589</v>
      </c>
      <c r="B6763" s="1">
        <v>45456</v>
      </c>
      <c r="C6763" t="s">
        <v>11590</v>
      </c>
      <c r="D6763" t="s">
        <v>56</v>
      </c>
      <c r="E6763" t="s">
        <v>14</v>
      </c>
      <c r="F6763" t="s">
        <v>15</v>
      </c>
      <c r="G6763">
        <v>1</v>
      </c>
      <c r="H6763">
        <v>20182.849999999999</v>
      </c>
      <c r="I6763">
        <v>1848.88</v>
      </c>
      <c r="J6763" t="s">
        <v>28</v>
      </c>
      <c r="K6763" t="s">
        <v>29</v>
      </c>
      <c r="L6763">
        <f t="shared" si="315"/>
        <v>2024</v>
      </c>
      <c r="M6763" t="str">
        <f t="shared" si="316"/>
        <v>Jun</v>
      </c>
      <c r="N6763" s="2">
        <f t="shared" si="317"/>
        <v>9.1606487686327759E-2</v>
      </c>
    </row>
    <row r="6764" spans="1:14" x14ac:dyDescent="0.45">
      <c r="A6764" t="s">
        <v>11591</v>
      </c>
      <c r="B6764" s="1">
        <v>44781</v>
      </c>
      <c r="C6764" t="s">
        <v>11592</v>
      </c>
      <c r="D6764" t="s">
        <v>56</v>
      </c>
      <c r="E6764" t="s">
        <v>36</v>
      </c>
      <c r="F6764" t="s">
        <v>53</v>
      </c>
      <c r="G6764">
        <v>5</v>
      </c>
      <c r="H6764">
        <v>24286.959999999999</v>
      </c>
      <c r="I6764">
        <v>3905.68</v>
      </c>
      <c r="J6764" t="s">
        <v>47</v>
      </c>
      <c r="K6764" t="s">
        <v>29</v>
      </c>
      <c r="L6764">
        <f t="shared" si="315"/>
        <v>2022</v>
      </c>
      <c r="M6764" t="str">
        <f t="shared" si="316"/>
        <v>Aug</v>
      </c>
      <c r="N6764" s="2">
        <f t="shared" si="317"/>
        <v>0.16081386884155119</v>
      </c>
    </row>
    <row r="6765" spans="1:14" x14ac:dyDescent="0.45">
      <c r="A6765" t="s">
        <v>11593</v>
      </c>
      <c r="B6765" s="1">
        <v>44792</v>
      </c>
      <c r="C6765" t="s">
        <v>3110</v>
      </c>
      <c r="D6765" t="s">
        <v>26</v>
      </c>
      <c r="E6765" t="s">
        <v>36</v>
      </c>
      <c r="F6765" t="s">
        <v>37</v>
      </c>
      <c r="G6765">
        <v>3</v>
      </c>
      <c r="H6765">
        <v>13974.75</v>
      </c>
      <c r="I6765">
        <v>3063.86</v>
      </c>
      <c r="J6765" t="s">
        <v>71</v>
      </c>
      <c r="K6765" t="s">
        <v>17</v>
      </c>
      <c r="L6765">
        <f t="shared" si="315"/>
        <v>2022</v>
      </c>
      <c r="M6765" t="str">
        <f t="shared" si="316"/>
        <v>Aug</v>
      </c>
      <c r="N6765" s="2">
        <f t="shared" si="317"/>
        <v>0.21924256247875634</v>
      </c>
    </row>
    <row r="6766" spans="1:14" x14ac:dyDescent="0.45">
      <c r="A6766" t="s">
        <v>11594</v>
      </c>
      <c r="B6766" s="1">
        <v>45272</v>
      </c>
      <c r="C6766" t="s">
        <v>4675</v>
      </c>
      <c r="D6766" t="s">
        <v>13</v>
      </c>
      <c r="E6766" t="s">
        <v>36</v>
      </c>
      <c r="F6766" t="s">
        <v>64</v>
      </c>
      <c r="G6766">
        <v>5</v>
      </c>
      <c r="H6766">
        <v>22515.63</v>
      </c>
      <c r="I6766">
        <v>3244.48</v>
      </c>
      <c r="J6766" t="s">
        <v>16</v>
      </c>
      <c r="K6766" t="s">
        <v>29</v>
      </c>
      <c r="L6766">
        <f t="shared" si="315"/>
        <v>2023</v>
      </c>
      <c r="M6766" t="str">
        <f t="shared" si="316"/>
        <v>Dec</v>
      </c>
      <c r="N6766" s="2">
        <f t="shared" si="317"/>
        <v>0.14409901033193387</v>
      </c>
    </row>
    <row r="6767" spans="1:14" x14ac:dyDescent="0.45">
      <c r="A6767" t="s">
        <v>11595</v>
      </c>
      <c r="B6767" s="1">
        <v>45456</v>
      </c>
      <c r="C6767" t="s">
        <v>7768</v>
      </c>
      <c r="D6767" t="s">
        <v>13</v>
      </c>
      <c r="E6767" t="s">
        <v>14</v>
      </c>
      <c r="F6767" t="s">
        <v>15</v>
      </c>
      <c r="G6767">
        <v>2</v>
      </c>
      <c r="H6767">
        <v>3307.51</v>
      </c>
      <c r="I6767">
        <v>755.45</v>
      </c>
      <c r="J6767" t="s">
        <v>22</v>
      </c>
      <c r="K6767" t="s">
        <v>23</v>
      </c>
      <c r="L6767">
        <f t="shared" si="315"/>
        <v>2024</v>
      </c>
      <c r="M6767" t="str">
        <f t="shared" si="316"/>
        <v>Jun</v>
      </c>
      <c r="N6767" s="2">
        <f t="shared" si="317"/>
        <v>0.22840444926848294</v>
      </c>
    </row>
    <row r="6768" spans="1:14" x14ac:dyDescent="0.45">
      <c r="A6768" t="s">
        <v>11596</v>
      </c>
      <c r="B6768" s="1">
        <v>45240</v>
      </c>
      <c r="C6768" t="s">
        <v>11597</v>
      </c>
      <c r="D6768" t="s">
        <v>13</v>
      </c>
      <c r="E6768" t="s">
        <v>20</v>
      </c>
      <c r="F6768" t="s">
        <v>27</v>
      </c>
      <c r="G6768">
        <v>4</v>
      </c>
      <c r="H6768">
        <v>49249.53</v>
      </c>
      <c r="I6768">
        <v>3542.83</v>
      </c>
      <c r="J6768" t="s">
        <v>47</v>
      </c>
      <c r="K6768" t="s">
        <v>23</v>
      </c>
      <c r="L6768">
        <f t="shared" si="315"/>
        <v>2023</v>
      </c>
      <c r="M6768" t="str">
        <f t="shared" si="316"/>
        <v>Nov</v>
      </c>
      <c r="N6768" s="2">
        <f t="shared" si="317"/>
        <v>7.1936321016667568E-2</v>
      </c>
    </row>
    <row r="6769" spans="1:14" x14ac:dyDescent="0.45">
      <c r="A6769" t="s">
        <v>11598</v>
      </c>
      <c r="B6769" s="1">
        <v>45089</v>
      </c>
      <c r="C6769" t="s">
        <v>4442</v>
      </c>
      <c r="D6769" t="s">
        <v>13</v>
      </c>
      <c r="E6769" t="s">
        <v>14</v>
      </c>
      <c r="F6769" t="s">
        <v>57</v>
      </c>
      <c r="G6769">
        <v>1</v>
      </c>
      <c r="H6769">
        <v>35236.199999999997</v>
      </c>
      <c r="I6769">
        <v>2741.09</v>
      </c>
      <c r="J6769" t="s">
        <v>71</v>
      </c>
      <c r="K6769" t="s">
        <v>33</v>
      </c>
      <c r="L6769">
        <f t="shared" si="315"/>
        <v>2023</v>
      </c>
      <c r="M6769" t="str">
        <f t="shared" si="316"/>
        <v>Jun</v>
      </c>
      <c r="N6769" s="2">
        <f t="shared" si="317"/>
        <v>7.7791873130473782E-2</v>
      </c>
    </row>
    <row r="6770" spans="1:14" x14ac:dyDescent="0.45">
      <c r="A6770" t="s">
        <v>11599</v>
      </c>
      <c r="B6770" s="1">
        <v>45104</v>
      </c>
      <c r="C6770" t="s">
        <v>11189</v>
      </c>
      <c r="D6770" t="s">
        <v>26</v>
      </c>
      <c r="E6770" t="s">
        <v>14</v>
      </c>
      <c r="F6770" t="s">
        <v>40</v>
      </c>
      <c r="G6770">
        <v>5</v>
      </c>
      <c r="H6770">
        <v>7897.76</v>
      </c>
      <c r="I6770">
        <v>1954.33</v>
      </c>
      <c r="J6770" t="s">
        <v>28</v>
      </c>
      <c r="K6770" t="s">
        <v>17</v>
      </c>
      <c r="L6770">
        <f t="shared" si="315"/>
        <v>2023</v>
      </c>
      <c r="M6770" t="str">
        <f t="shared" si="316"/>
        <v>Jun</v>
      </c>
      <c r="N6770" s="2">
        <f t="shared" si="317"/>
        <v>0.24745370839326591</v>
      </c>
    </row>
    <row r="6771" spans="1:14" x14ac:dyDescent="0.45">
      <c r="A6771" t="s">
        <v>11600</v>
      </c>
      <c r="B6771" s="1">
        <v>45099</v>
      </c>
      <c r="C6771" t="s">
        <v>11601</v>
      </c>
      <c r="D6771" t="s">
        <v>56</v>
      </c>
      <c r="E6771" t="s">
        <v>20</v>
      </c>
      <c r="F6771" t="s">
        <v>50</v>
      </c>
      <c r="G6771">
        <v>3</v>
      </c>
      <c r="H6771">
        <v>37874.68</v>
      </c>
      <c r="I6771">
        <v>6477.14</v>
      </c>
      <c r="J6771" t="s">
        <v>16</v>
      </c>
      <c r="K6771" t="s">
        <v>29</v>
      </c>
      <c r="L6771">
        <f t="shared" si="315"/>
        <v>2023</v>
      </c>
      <c r="M6771" t="str">
        <f t="shared" si="316"/>
        <v>Jun</v>
      </c>
      <c r="N6771" s="2">
        <f t="shared" si="317"/>
        <v>0.17101504223930078</v>
      </c>
    </row>
    <row r="6772" spans="1:14" x14ac:dyDescent="0.45">
      <c r="A6772" t="s">
        <v>11602</v>
      </c>
      <c r="B6772" s="1">
        <v>44907</v>
      </c>
      <c r="C6772" t="s">
        <v>10100</v>
      </c>
      <c r="D6772" t="s">
        <v>26</v>
      </c>
      <c r="E6772" t="s">
        <v>36</v>
      </c>
      <c r="F6772" t="s">
        <v>37</v>
      </c>
      <c r="G6772">
        <v>5</v>
      </c>
      <c r="H6772">
        <v>23680.05</v>
      </c>
      <c r="I6772">
        <v>2708.02</v>
      </c>
      <c r="J6772" t="s">
        <v>71</v>
      </c>
      <c r="K6772" t="s">
        <v>17</v>
      </c>
      <c r="L6772">
        <f t="shared" si="315"/>
        <v>2022</v>
      </c>
      <c r="M6772" t="str">
        <f t="shared" si="316"/>
        <v>Dec</v>
      </c>
      <c r="N6772" s="2">
        <f t="shared" si="317"/>
        <v>0.11435871123582932</v>
      </c>
    </row>
    <row r="6773" spans="1:14" x14ac:dyDescent="0.45">
      <c r="A6773" t="s">
        <v>11603</v>
      </c>
      <c r="B6773" s="1">
        <v>44631</v>
      </c>
      <c r="C6773" t="s">
        <v>11604</v>
      </c>
      <c r="D6773" t="s">
        <v>13</v>
      </c>
      <c r="E6773" t="s">
        <v>36</v>
      </c>
      <c r="F6773" t="s">
        <v>53</v>
      </c>
      <c r="G6773">
        <v>1</v>
      </c>
      <c r="H6773">
        <v>40202.94</v>
      </c>
      <c r="I6773">
        <v>4461.84</v>
      </c>
      <c r="J6773" t="s">
        <v>16</v>
      </c>
      <c r="K6773" t="s">
        <v>17</v>
      </c>
      <c r="L6773">
        <f t="shared" si="315"/>
        <v>2022</v>
      </c>
      <c r="M6773" t="str">
        <f t="shared" si="316"/>
        <v>Mar</v>
      </c>
      <c r="N6773" s="2">
        <f t="shared" si="317"/>
        <v>0.11098292811421254</v>
      </c>
    </row>
    <row r="6774" spans="1:14" x14ac:dyDescent="0.45">
      <c r="A6774" t="s">
        <v>11605</v>
      </c>
      <c r="B6774" s="1">
        <v>45162</v>
      </c>
      <c r="C6774" t="s">
        <v>11606</v>
      </c>
      <c r="D6774" t="s">
        <v>56</v>
      </c>
      <c r="E6774" t="s">
        <v>14</v>
      </c>
      <c r="F6774" t="s">
        <v>32</v>
      </c>
      <c r="G6774">
        <v>5</v>
      </c>
      <c r="H6774">
        <v>18026.21</v>
      </c>
      <c r="I6774">
        <v>4311.8900000000003</v>
      </c>
      <c r="J6774" t="s">
        <v>22</v>
      </c>
      <c r="K6774" t="s">
        <v>29</v>
      </c>
      <c r="L6774">
        <f t="shared" si="315"/>
        <v>2023</v>
      </c>
      <c r="M6774" t="str">
        <f t="shared" si="316"/>
        <v>Aug</v>
      </c>
      <c r="N6774" s="2">
        <f t="shared" si="317"/>
        <v>0.23920114100523629</v>
      </c>
    </row>
    <row r="6775" spans="1:14" x14ac:dyDescent="0.45">
      <c r="A6775" t="s">
        <v>11607</v>
      </c>
      <c r="B6775" s="1">
        <v>45530</v>
      </c>
      <c r="C6775" t="s">
        <v>11608</v>
      </c>
      <c r="D6775" t="s">
        <v>56</v>
      </c>
      <c r="E6775" t="s">
        <v>14</v>
      </c>
      <c r="F6775" t="s">
        <v>15</v>
      </c>
      <c r="G6775">
        <v>4</v>
      </c>
      <c r="H6775">
        <v>18213.18</v>
      </c>
      <c r="I6775">
        <v>2462.56</v>
      </c>
      <c r="J6775" t="s">
        <v>71</v>
      </c>
      <c r="K6775" t="s">
        <v>33</v>
      </c>
      <c r="L6775">
        <f t="shared" si="315"/>
        <v>2024</v>
      </c>
      <c r="M6775" t="str">
        <f t="shared" si="316"/>
        <v>Aug</v>
      </c>
      <c r="N6775" s="2">
        <f t="shared" si="317"/>
        <v>0.1352075804444913</v>
      </c>
    </row>
    <row r="6776" spans="1:14" x14ac:dyDescent="0.45">
      <c r="A6776" t="s">
        <v>11609</v>
      </c>
      <c r="B6776" s="1">
        <v>44779</v>
      </c>
      <c r="C6776" t="s">
        <v>11610</v>
      </c>
      <c r="D6776" t="s">
        <v>56</v>
      </c>
      <c r="E6776" t="s">
        <v>20</v>
      </c>
      <c r="F6776" t="s">
        <v>27</v>
      </c>
      <c r="G6776">
        <v>3</v>
      </c>
      <c r="H6776">
        <v>38500.080000000002</v>
      </c>
      <c r="I6776">
        <v>9516.48</v>
      </c>
      <c r="J6776" t="s">
        <v>28</v>
      </c>
      <c r="K6776" t="s">
        <v>33</v>
      </c>
      <c r="L6776">
        <f t="shared" si="315"/>
        <v>2022</v>
      </c>
      <c r="M6776" t="str">
        <f t="shared" si="316"/>
        <v>Aug</v>
      </c>
      <c r="N6776" s="2">
        <f t="shared" si="317"/>
        <v>0.24718078507888813</v>
      </c>
    </row>
    <row r="6777" spans="1:14" x14ac:dyDescent="0.45">
      <c r="A6777" t="s">
        <v>11611</v>
      </c>
      <c r="B6777" s="1">
        <v>45047</v>
      </c>
      <c r="C6777" t="s">
        <v>1426</v>
      </c>
      <c r="D6777" t="s">
        <v>26</v>
      </c>
      <c r="E6777" t="s">
        <v>20</v>
      </c>
      <c r="F6777" t="s">
        <v>27</v>
      </c>
      <c r="G6777">
        <v>4</v>
      </c>
      <c r="H6777">
        <v>3095.53</v>
      </c>
      <c r="I6777">
        <v>325.39</v>
      </c>
      <c r="J6777" t="s">
        <v>16</v>
      </c>
      <c r="K6777" t="s">
        <v>23</v>
      </c>
      <c r="L6777">
        <f t="shared" si="315"/>
        <v>2023</v>
      </c>
      <c r="M6777" t="str">
        <f t="shared" si="316"/>
        <v>May</v>
      </c>
      <c r="N6777" s="2">
        <f t="shared" si="317"/>
        <v>0.10511608674443471</v>
      </c>
    </row>
    <row r="6778" spans="1:14" x14ac:dyDescent="0.45">
      <c r="A6778" t="s">
        <v>11612</v>
      </c>
      <c r="B6778" s="1">
        <v>45552</v>
      </c>
      <c r="C6778" t="s">
        <v>11613</v>
      </c>
      <c r="D6778" t="s">
        <v>56</v>
      </c>
      <c r="E6778" t="s">
        <v>36</v>
      </c>
      <c r="F6778" t="s">
        <v>46</v>
      </c>
      <c r="G6778">
        <v>1</v>
      </c>
      <c r="H6778">
        <v>20849.8</v>
      </c>
      <c r="I6778">
        <v>2518.92</v>
      </c>
      <c r="J6778" t="s">
        <v>47</v>
      </c>
      <c r="K6778" t="s">
        <v>33</v>
      </c>
      <c r="L6778">
        <f t="shared" si="315"/>
        <v>2024</v>
      </c>
      <c r="M6778" t="str">
        <f t="shared" si="316"/>
        <v>Sep</v>
      </c>
      <c r="N6778" s="2">
        <f t="shared" si="317"/>
        <v>0.12081266966589609</v>
      </c>
    </row>
    <row r="6779" spans="1:14" x14ac:dyDescent="0.45">
      <c r="A6779" t="s">
        <v>11614</v>
      </c>
      <c r="B6779" s="1">
        <v>45628</v>
      </c>
      <c r="C6779" t="s">
        <v>4017</v>
      </c>
      <c r="D6779" t="s">
        <v>13</v>
      </c>
      <c r="E6779" t="s">
        <v>36</v>
      </c>
      <c r="F6779" t="s">
        <v>64</v>
      </c>
      <c r="G6779">
        <v>2</v>
      </c>
      <c r="H6779">
        <v>5758.93</v>
      </c>
      <c r="I6779">
        <v>1380.13</v>
      </c>
      <c r="J6779" t="s">
        <v>16</v>
      </c>
      <c r="K6779" t="s">
        <v>33</v>
      </c>
      <c r="L6779">
        <f t="shared" si="315"/>
        <v>2024</v>
      </c>
      <c r="M6779" t="str">
        <f t="shared" si="316"/>
        <v>Dec</v>
      </c>
      <c r="N6779" s="2">
        <f t="shared" si="317"/>
        <v>0.23965042117198856</v>
      </c>
    </row>
    <row r="6780" spans="1:14" x14ac:dyDescent="0.45">
      <c r="A6780" t="s">
        <v>11615</v>
      </c>
      <c r="B6780" s="1">
        <v>45525</v>
      </c>
      <c r="C6780" t="s">
        <v>7677</v>
      </c>
      <c r="D6780" t="s">
        <v>26</v>
      </c>
      <c r="E6780" t="s">
        <v>36</v>
      </c>
      <c r="F6780" t="s">
        <v>46</v>
      </c>
      <c r="G6780">
        <v>2</v>
      </c>
      <c r="H6780">
        <v>26856.75</v>
      </c>
      <c r="I6780">
        <v>6073.21</v>
      </c>
      <c r="J6780" t="s">
        <v>71</v>
      </c>
      <c r="K6780" t="s">
        <v>33</v>
      </c>
      <c r="L6780">
        <f t="shared" si="315"/>
        <v>2024</v>
      </c>
      <c r="M6780" t="str">
        <f t="shared" si="316"/>
        <v>Aug</v>
      </c>
      <c r="N6780" s="2">
        <f t="shared" si="317"/>
        <v>0.22613346737784729</v>
      </c>
    </row>
    <row r="6781" spans="1:14" x14ac:dyDescent="0.45">
      <c r="A6781" t="s">
        <v>11616</v>
      </c>
      <c r="B6781" s="1">
        <v>45055</v>
      </c>
      <c r="C6781" t="s">
        <v>293</v>
      </c>
      <c r="D6781" t="s">
        <v>56</v>
      </c>
      <c r="E6781" t="s">
        <v>14</v>
      </c>
      <c r="F6781" t="s">
        <v>57</v>
      </c>
      <c r="G6781">
        <v>3</v>
      </c>
      <c r="H6781">
        <v>32742.48</v>
      </c>
      <c r="I6781">
        <v>3850.56</v>
      </c>
      <c r="J6781" t="s">
        <v>28</v>
      </c>
      <c r="K6781" t="s">
        <v>23</v>
      </c>
      <c r="L6781">
        <f t="shared" si="315"/>
        <v>2023</v>
      </c>
      <c r="M6781" t="str">
        <f t="shared" si="316"/>
        <v>May</v>
      </c>
      <c r="N6781" s="2">
        <f t="shared" si="317"/>
        <v>0.1176013545705762</v>
      </c>
    </row>
    <row r="6782" spans="1:14" x14ac:dyDescent="0.45">
      <c r="A6782" t="s">
        <v>11617</v>
      </c>
      <c r="B6782" s="1">
        <v>44567</v>
      </c>
      <c r="C6782" t="s">
        <v>7528</v>
      </c>
      <c r="D6782" t="s">
        <v>26</v>
      </c>
      <c r="E6782" t="s">
        <v>20</v>
      </c>
      <c r="F6782" t="s">
        <v>21</v>
      </c>
      <c r="G6782">
        <v>4</v>
      </c>
      <c r="H6782">
        <v>45659.22</v>
      </c>
      <c r="I6782">
        <v>8552.74</v>
      </c>
      <c r="J6782" t="s">
        <v>22</v>
      </c>
      <c r="K6782" t="s">
        <v>29</v>
      </c>
      <c r="L6782">
        <f t="shared" si="315"/>
        <v>2022</v>
      </c>
      <c r="M6782" t="str">
        <f t="shared" si="316"/>
        <v>Jan</v>
      </c>
      <c r="N6782" s="2">
        <f t="shared" si="317"/>
        <v>0.18731682231978558</v>
      </c>
    </row>
    <row r="6783" spans="1:14" x14ac:dyDescent="0.45">
      <c r="A6783" t="s">
        <v>11618</v>
      </c>
      <c r="B6783" s="1">
        <v>45582</v>
      </c>
      <c r="C6783" t="s">
        <v>2825</v>
      </c>
      <c r="D6783" t="s">
        <v>56</v>
      </c>
      <c r="E6783" t="s">
        <v>36</v>
      </c>
      <c r="F6783" t="s">
        <v>37</v>
      </c>
      <c r="G6783">
        <v>3</v>
      </c>
      <c r="H6783">
        <v>42022.59</v>
      </c>
      <c r="I6783">
        <v>5829.65</v>
      </c>
      <c r="J6783" t="s">
        <v>47</v>
      </c>
      <c r="K6783" t="s">
        <v>29</v>
      </c>
      <c r="L6783">
        <f t="shared" si="315"/>
        <v>2024</v>
      </c>
      <c r="M6783" t="str">
        <f t="shared" si="316"/>
        <v>Oct</v>
      </c>
      <c r="N6783" s="2">
        <f t="shared" si="317"/>
        <v>0.13872657539670924</v>
      </c>
    </row>
    <row r="6784" spans="1:14" x14ac:dyDescent="0.45">
      <c r="A6784" t="s">
        <v>11619</v>
      </c>
      <c r="B6784" s="1">
        <v>44900</v>
      </c>
      <c r="C6784" t="s">
        <v>11620</v>
      </c>
      <c r="D6784" t="s">
        <v>56</v>
      </c>
      <c r="E6784" t="s">
        <v>36</v>
      </c>
      <c r="F6784" t="s">
        <v>53</v>
      </c>
      <c r="G6784">
        <v>5</v>
      </c>
      <c r="H6784">
        <v>47453.89</v>
      </c>
      <c r="I6784">
        <v>11755.04</v>
      </c>
      <c r="J6784" t="s">
        <v>16</v>
      </c>
      <c r="K6784" t="s">
        <v>29</v>
      </c>
      <c r="L6784">
        <f t="shared" si="315"/>
        <v>2022</v>
      </c>
      <c r="M6784" t="str">
        <f t="shared" si="316"/>
        <v>Dec</v>
      </c>
      <c r="N6784" s="2">
        <f t="shared" si="317"/>
        <v>0.24771499238523967</v>
      </c>
    </row>
    <row r="6785" spans="1:14" x14ac:dyDescent="0.45">
      <c r="A6785" t="s">
        <v>11621</v>
      </c>
      <c r="B6785" s="1">
        <v>45307</v>
      </c>
      <c r="C6785" t="s">
        <v>1956</v>
      </c>
      <c r="D6785" t="s">
        <v>13</v>
      </c>
      <c r="E6785" t="s">
        <v>36</v>
      </c>
      <c r="F6785" t="s">
        <v>64</v>
      </c>
      <c r="G6785">
        <v>4</v>
      </c>
      <c r="H6785">
        <v>34385.22</v>
      </c>
      <c r="I6785">
        <v>2604.4899999999998</v>
      </c>
      <c r="J6785" t="s">
        <v>71</v>
      </c>
      <c r="K6785" t="s">
        <v>29</v>
      </c>
      <c r="L6785">
        <f t="shared" si="315"/>
        <v>2024</v>
      </c>
      <c r="M6785" t="str">
        <f t="shared" si="316"/>
        <v>Jan</v>
      </c>
      <c r="N6785" s="2">
        <f t="shared" si="317"/>
        <v>7.5744462300953719E-2</v>
      </c>
    </row>
    <row r="6786" spans="1:14" x14ac:dyDescent="0.45">
      <c r="A6786" t="s">
        <v>11622</v>
      </c>
      <c r="B6786" s="1">
        <v>45337</v>
      </c>
      <c r="C6786" t="s">
        <v>11623</v>
      </c>
      <c r="D6786" t="s">
        <v>26</v>
      </c>
      <c r="E6786" t="s">
        <v>14</v>
      </c>
      <c r="F6786" t="s">
        <v>15</v>
      </c>
      <c r="G6786">
        <v>5</v>
      </c>
      <c r="H6786">
        <v>35532.080000000002</v>
      </c>
      <c r="I6786">
        <v>4492.71</v>
      </c>
      <c r="J6786" t="s">
        <v>71</v>
      </c>
      <c r="K6786" t="s">
        <v>17</v>
      </c>
      <c r="L6786">
        <f t="shared" si="315"/>
        <v>2024</v>
      </c>
      <c r="M6786" t="str">
        <f t="shared" si="316"/>
        <v>Feb</v>
      </c>
      <c r="N6786" s="2">
        <f t="shared" si="317"/>
        <v>0.12644095138815403</v>
      </c>
    </row>
    <row r="6787" spans="1:14" x14ac:dyDescent="0.45">
      <c r="A6787" t="s">
        <v>11624</v>
      </c>
      <c r="B6787" s="1">
        <v>44579</v>
      </c>
      <c r="C6787" t="s">
        <v>10992</v>
      </c>
      <c r="D6787" t="s">
        <v>13</v>
      </c>
      <c r="E6787" t="s">
        <v>14</v>
      </c>
      <c r="F6787" t="s">
        <v>32</v>
      </c>
      <c r="G6787">
        <v>5</v>
      </c>
      <c r="H6787">
        <v>3989.82</v>
      </c>
      <c r="I6787">
        <v>596.66</v>
      </c>
      <c r="J6787" t="s">
        <v>16</v>
      </c>
      <c r="K6787" t="s">
        <v>33</v>
      </c>
      <c r="L6787">
        <f t="shared" ref="L6787:L6850" si="318">YEAR(B6787 )</f>
        <v>2022</v>
      </c>
      <c r="M6787" t="str">
        <f t="shared" ref="M6787:M6850" si="319">TEXT(B6787,"MMM")</f>
        <v>Jan</v>
      </c>
      <c r="N6787" s="2">
        <f t="shared" ref="N6787:N6850" si="320">I6787 / H6787</f>
        <v>0.14954559353554794</v>
      </c>
    </row>
    <row r="6788" spans="1:14" x14ac:dyDescent="0.45">
      <c r="A6788" t="s">
        <v>11625</v>
      </c>
      <c r="B6788" s="1">
        <v>45028</v>
      </c>
      <c r="C6788" t="s">
        <v>5879</v>
      </c>
      <c r="D6788" t="s">
        <v>26</v>
      </c>
      <c r="E6788" t="s">
        <v>14</v>
      </c>
      <c r="F6788" t="s">
        <v>32</v>
      </c>
      <c r="G6788">
        <v>3</v>
      </c>
      <c r="H6788">
        <v>3205.77</v>
      </c>
      <c r="I6788">
        <v>195.29</v>
      </c>
      <c r="J6788" t="s">
        <v>71</v>
      </c>
      <c r="K6788" t="s">
        <v>17</v>
      </c>
      <c r="L6788">
        <f t="shared" si="318"/>
        <v>2023</v>
      </c>
      <c r="M6788" t="str">
        <f t="shared" si="319"/>
        <v>Apr</v>
      </c>
      <c r="N6788" s="2">
        <f t="shared" si="320"/>
        <v>6.0918281723267728E-2</v>
      </c>
    </row>
    <row r="6789" spans="1:14" x14ac:dyDescent="0.45">
      <c r="A6789" t="s">
        <v>11626</v>
      </c>
      <c r="B6789" s="1">
        <v>45420</v>
      </c>
      <c r="C6789" t="s">
        <v>11606</v>
      </c>
      <c r="D6789" t="s">
        <v>56</v>
      </c>
      <c r="E6789" t="s">
        <v>36</v>
      </c>
      <c r="F6789" t="s">
        <v>64</v>
      </c>
      <c r="G6789">
        <v>5</v>
      </c>
      <c r="H6789">
        <v>1213.6099999999999</v>
      </c>
      <c r="I6789">
        <v>96.59</v>
      </c>
      <c r="J6789" t="s">
        <v>47</v>
      </c>
      <c r="K6789" t="s">
        <v>29</v>
      </c>
      <c r="L6789">
        <f t="shared" si="318"/>
        <v>2024</v>
      </c>
      <c r="M6789" t="str">
        <f t="shared" si="319"/>
        <v>May</v>
      </c>
      <c r="N6789" s="2">
        <f t="shared" si="320"/>
        <v>7.9588994817115885E-2</v>
      </c>
    </row>
    <row r="6790" spans="1:14" x14ac:dyDescent="0.45">
      <c r="A6790" t="s">
        <v>11627</v>
      </c>
      <c r="B6790" s="1">
        <v>45329</v>
      </c>
      <c r="C6790" t="s">
        <v>6131</v>
      </c>
      <c r="D6790" t="s">
        <v>13</v>
      </c>
      <c r="E6790" t="s">
        <v>20</v>
      </c>
      <c r="F6790" t="s">
        <v>21</v>
      </c>
      <c r="G6790">
        <v>2</v>
      </c>
      <c r="H6790">
        <v>19333.080000000002</v>
      </c>
      <c r="I6790">
        <v>4424.87</v>
      </c>
      <c r="J6790" t="s">
        <v>47</v>
      </c>
      <c r="K6790" t="s">
        <v>33</v>
      </c>
      <c r="L6790">
        <f t="shared" si="318"/>
        <v>2024</v>
      </c>
      <c r="M6790" t="str">
        <f t="shared" si="319"/>
        <v>Feb</v>
      </c>
      <c r="N6790" s="2">
        <f t="shared" si="320"/>
        <v>0.22887558526628968</v>
      </c>
    </row>
    <row r="6791" spans="1:14" x14ac:dyDescent="0.45">
      <c r="A6791" t="s">
        <v>11628</v>
      </c>
      <c r="B6791" s="1">
        <v>44938</v>
      </c>
      <c r="C6791" t="s">
        <v>1681</v>
      </c>
      <c r="D6791" t="s">
        <v>26</v>
      </c>
      <c r="E6791" t="s">
        <v>36</v>
      </c>
      <c r="F6791" t="s">
        <v>46</v>
      </c>
      <c r="G6791">
        <v>3</v>
      </c>
      <c r="H6791">
        <v>9013.08</v>
      </c>
      <c r="I6791">
        <v>865.94</v>
      </c>
      <c r="J6791" t="s">
        <v>16</v>
      </c>
      <c r="K6791" t="s">
        <v>33</v>
      </c>
      <c r="L6791">
        <f t="shared" si="318"/>
        <v>2023</v>
      </c>
      <c r="M6791" t="str">
        <f t="shared" si="319"/>
        <v>Jan</v>
      </c>
      <c r="N6791" s="2">
        <f t="shared" si="320"/>
        <v>9.6075925210915694E-2</v>
      </c>
    </row>
    <row r="6792" spans="1:14" x14ac:dyDescent="0.45">
      <c r="A6792" t="s">
        <v>11629</v>
      </c>
      <c r="B6792" s="1">
        <v>44876</v>
      </c>
      <c r="C6792" t="s">
        <v>11630</v>
      </c>
      <c r="D6792" t="s">
        <v>13</v>
      </c>
      <c r="E6792" t="s">
        <v>14</v>
      </c>
      <c r="F6792" t="s">
        <v>57</v>
      </c>
      <c r="G6792">
        <v>5</v>
      </c>
      <c r="H6792">
        <v>36546.629999999997</v>
      </c>
      <c r="I6792">
        <v>5133.97</v>
      </c>
      <c r="J6792" t="s">
        <v>28</v>
      </c>
      <c r="K6792" t="s">
        <v>23</v>
      </c>
      <c r="L6792">
        <f t="shared" si="318"/>
        <v>2022</v>
      </c>
      <c r="M6792" t="str">
        <f t="shared" si="319"/>
        <v>Nov</v>
      </c>
      <c r="N6792" s="2">
        <f t="shared" si="320"/>
        <v>0.14047724783379481</v>
      </c>
    </row>
    <row r="6793" spans="1:14" x14ac:dyDescent="0.45">
      <c r="A6793" t="s">
        <v>11631</v>
      </c>
      <c r="B6793" s="1">
        <v>45058</v>
      </c>
      <c r="C6793" t="s">
        <v>11632</v>
      </c>
      <c r="D6793" t="s">
        <v>26</v>
      </c>
      <c r="E6793" t="s">
        <v>20</v>
      </c>
      <c r="F6793" t="s">
        <v>27</v>
      </c>
      <c r="G6793">
        <v>1</v>
      </c>
      <c r="H6793">
        <v>48628.08</v>
      </c>
      <c r="I6793">
        <v>11033.23</v>
      </c>
      <c r="J6793" t="s">
        <v>71</v>
      </c>
      <c r="K6793" t="s">
        <v>33</v>
      </c>
      <c r="L6793">
        <f t="shared" si="318"/>
        <v>2023</v>
      </c>
      <c r="M6793" t="str">
        <f t="shared" si="319"/>
        <v>May</v>
      </c>
      <c r="N6793" s="2">
        <f t="shared" si="320"/>
        <v>0.22689010135707599</v>
      </c>
    </row>
    <row r="6794" spans="1:14" x14ac:dyDescent="0.45">
      <c r="A6794" t="s">
        <v>11633</v>
      </c>
      <c r="B6794" s="1">
        <v>45006</v>
      </c>
      <c r="C6794" t="s">
        <v>11634</v>
      </c>
      <c r="D6794" t="s">
        <v>56</v>
      </c>
      <c r="E6794" t="s">
        <v>14</v>
      </c>
      <c r="F6794" t="s">
        <v>57</v>
      </c>
      <c r="G6794">
        <v>5</v>
      </c>
      <c r="H6794">
        <v>29785.26</v>
      </c>
      <c r="I6794">
        <v>4977.7299999999996</v>
      </c>
      <c r="J6794" t="s">
        <v>47</v>
      </c>
      <c r="K6794" t="s">
        <v>17</v>
      </c>
      <c r="L6794">
        <f t="shared" si="318"/>
        <v>2023</v>
      </c>
      <c r="M6794" t="str">
        <f t="shared" si="319"/>
        <v>Mar</v>
      </c>
      <c r="N6794" s="2">
        <f t="shared" si="320"/>
        <v>0.16712058246260061</v>
      </c>
    </row>
    <row r="6795" spans="1:14" x14ac:dyDescent="0.45">
      <c r="A6795" t="s">
        <v>11635</v>
      </c>
      <c r="B6795" s="1">
        <v>45006</v>
      </c>
      <c r="C6795" t="s">
        <v>11066</v>
      </c>
      <c r="D6795" t="s">
        <v>13</v>
      </c>
      <c r="E6795" t="s">
        <v>36</v>
      </c>
      <c r="F6795" t="s">
        <v>64</v>
      </c>
      <c r="G6795">
        <v>3</v>
      </c>
      <c r="H6795">
        <v>37708.18</v>
      </c>
      <c r="I6795">
        <v>8099.5</v>
      </c>
      <c r="J6795" t="s">
        <v>28</v>
      </c>
      <c r="K6795" t="s">
        <v>17</v>
      </c>
      <c r="L6795">
        <f t="shared" si="318"/>
        <v>2023</v>
      </c>
      <c r="M6795" t="str">
        <f t="shared" si="319"/>
        <v>Mar</v>
      </c>
      <c r="N6795" s="2">
        <f t="shared" si="320"/>
        <v>0.21479424358322252</v>
      </c>
    </row>
    <row r="6796" spans="1:14" x14ac:dyDescent="0.45">
      <c r="A6796" t="s">
        <v>11636</v>
      </c>
      <c r="B6796" s="1">
        <v>44917</v>
      </c>
      <c r="C6796" t="s">
        <v>6547</v>
      </c>
      <c r="D6796" t="s">
        <v>26</v>
      </c>
      <c r="E6796" t="s">
        <v>20</v>
      </c>
      <c r="F6796" t="s">
        <v>43</v>
      </c>
      <c r="G6796">
        <v>1</v>
      </c>
      <c r="H6796">
        <v>32800.99</v>
      </c>
      <c r="I6796">
        <v>7052.74</v>
      </c>
      <c r="J6796" t="s">
        <v>47</v>
      </c>
      <c r="K6796" t="s">
        <v>33</v>
      </c>
      <c r="L6796">
        <f t="shared" si="318"/>
        <v>2022</v>
      </c>
      <c r="M6796" t="str">
        <f t="shared" si="319"/>
        <v>Dec</v>
      </c>
      <c r="N6796" s="2">
        <f t="shared" si="320"/>
        <v>0.21501607116126678</v>
      </c>
    </row>
    <row r="6797" spans="1:14" x14ac:dyDescent="0.45">
      <c r="A6797" t="s">
        <v>11637</v>
      </c>
      <c r="B6797" s="1">
        <v>45137</v>
      </c>
      <c r="C6797" t="s">
        <v>3542</v>
      </c>
      <c r="D6797" t="s">
        <v>26</v>
      </c>
      <c r="E6797" t="s">
        <v>20</v>
      </c>
      <c r="F6797" t="s">
        <v>43</v>
      </c>
      <c r="G6797">
        <v>1</v>
      </c>
      <c r="H6797">
        <v>46323.41</v>
      </c>
      <c r="I6797">
        <v>6501.46</v>
      </c>
      <c r="J6797" t="s">
        <v>22</v>
      </c>
      <c r="K6797" t="s">
        <v>33</v>
      </c>
      <c r="L6797">
        <f t="shared" si="318"/>
        <v>2023</v>
      </c>
      <c r="M6797" t="str">
        <f t="shared" si="319"/>
        <v>Jul</v>
      </c>
      <c r="N6797" s="2">
        <f t="shared" si="320"/>
        <v>0.14034933956718643</v>
      </c>
    </row>
    <row r="6798" spans="1:14" x14ac:dyDescent="0.45">
      <c r="A6798" t="s">
        <v>11638</v>
      </c>
      <c r="B6798" s="1">
        <v>44995</v>
      </c>
      <c r="C6798" t="s">
        <v>11639</v>
      </c>
      <c r="D6798" t="s">
        <v>56</v>
      </c>
      <c r="E6798" t="s">
        <v>14</v>
      </c>
      <c r="F6798" t="s">
        <v>40</v>
      </c>
      <c r="G6798">
        <v>1</v>
      </c>
      <c r="H6798">
        <v>25125.4</v>
      </c>
      <c r="I6798">
        <v>1369.12</v>
      </c>
      <c r="J6798" t="s">
        <v>28</v>
      </c>
      <c r="K6798" t="s">
        <v>33</v>
      </c>
      <c r="L6798">
        <f t="shared" si="318"/>
        <v>2023</v>
      </c>
      <c r="M6798" t="str">
        <f t="shared" si="319"/>
        <v>Mar</v>
      </c>
      <c r="N6798" s="2">
        <f t="shared" si="320"/>
        <v>5.4491470782554695E-2</v>
      </c>
    </row>
    <row r="6799" spans="1:14" x14ac:dyDescent="0.45">
      <c r="A6799" t="s">
        <v>11640</v>
      </c>
      <c r="B6799" s="1">
        <v>45234</v>
      </c>
      <c r="C6799" t="s">
        <v>7611</v>
      </c>
      <c r="D6799" t="s">
        <v>26</v>
      </c>
      <c r="E6799" t="s">
        <v>14</v>
      </c>
      <c r="F6799" t="s">
        <v>57</v>
      </c>
      <c r="G6799">
        <v>3</v>
      </c>
      <c r="H6799">
        <v>46024.82</v>
      </c>
      <c r="I6799">
        <v>4049.8</v>
      </c>
      <c r="J6799" t="s">
        <v>16</v>
      </c>
      <c r="K6799" t="s">
        <v>33</v>
      </c>
      <c r="L6799">
        <f t="shared" si="318"/>
        <v>2023</v>
      </c>
      <c r="M6799" t="str">
        <f t="shared" si="319"/>
        <v>Nov</v>
      </c>
      <c r="N6799" s="2">
        <f t="shared" si="320"/>
        <v>8.7991653199295514E-2</v>
      </c>
    </row>
    <row r="6800" spans="1:14" x14ac:dyDescent="0.45">
      <c r="A6800" t="s">
        <v>11641</v>
      </c>
      <c r="B6800" s="1">
        <v>44803</v>
      </c>
      <c r="C6800" t="s">
        <v>4852</v>
      </c>
      <c r="D6800" t="s">
        <v>13</v>
      </c>
      <c r="E6800" t="s">
        <v>14</v>
      </c>
      <c r="F6800" t="s">
        <v>15</v>
      </c>
      <c r="G6800">
        <v>3</v>
      </c>
      <c r="H6800">
        <v>16021.3</v>
      </c>
      <c r="I6800">
        <v>2997.29</v>
      </c>
      <c r="J6800" t="s">
        <v>16</v>
      </c>
      <c r="K6800" t="s">
        <v>29</v>
      </c>
      <c r="L6800">
        <f t="shared" si="318"/>
        <v>2022</v>
      </c>
      <c r="M6800" t="str">
        <f t="shared" si="319"/>
        <v>Aug</v>
      </c>
      <c r="N6800" s="2">
        <f t="shared" si="320"/>
        <v>0.18708157265640118</v>
      </c>
    </row>
    <row r="6801" spans="1:14" x14ac:dyDescent="0.45">
      <c r="A6801" t="s">
        <v>11642</v>
      </c>
      <c r="B6801" s="1">
        <v>44778</v>
      </c>
      <c r="C6801" t="s">
        <v>11643</v>
      </c>
      <c r="D6801" t="s">
        <v>13</v>
      </c>
      <c r="E6801" t="s">
        <v>14</v>
      </c>
      <c r="F6801" t="s">
        <v>15</v>
      </c>
      <c r="G6801">
        <v>2</v>
      </c>
      <c r="H6801">
        <v>41183.730000000003</v>
      </c>
      <c r="I6801">
        <v>5792.06</v>
      </c>
      <c r="J6801" t="s">
        <v>16</v>
      </c>
      <c r="K6801" t="s">
        <v>33</v>
      </c>
      <c r="L6801">
        <f t="shared" si="318"/>
        <v>2022</v>
      </c>
      <c r="M6801" t="str">
        <f t="shared" si="319"/>
        <v>Aug</v>
      </c>
      <c r="N6801" s="2">
        <f t="shared" si="320"/>
        <v>0.14063951953841966</v>
      </c>
    </row>
    <row r="6802" spans="1:14" x14ac:dyDescent="0.45">
      <c r="A6802" t="s">
        <v>11644</v>
      </c>
      <c r="B6802" s="1">
        <v>44992</v>
      </c>
      <c r="C6802" t="s">
        <v>9367</v>
      </c>
      <c r="D6802" t="s">
        <v>13</v>
      </c>
      <c r="E6802" t="s">
        <v>36</v>
      </c>
      <c r="F6802" t="s">
        <v>37</v>
      </c>
      <c r="G6802">
        <v>5</v>
      </c>
      <c r="H6802">
        <v>31500.69</v>
      </c>
      <c r="I6802">
        <v>5889.72</v>
      </c>
      <c r="J6802" t="s">
        <v>16</v>
      </c>
      <c r="K6802" t="s">
        <v>17</v>
      </c>
      <c r="L6802">
        <f t="shared" si="318"/>
        <v>2023</v>
      </c>
      <c r="M6802" t="str">
        <f t="shared" si="319"/>
        <v>Mar</v>
      </c>
      <c r="N6802" s="2">
        <f t="shared" si="320"/>
        <v>0.18697114253687777</v>
      </c>
    </row>
    <row r="6803" spans="1:14" x14ac:dyDescent="0.45">
      <c r="A6803" t="s">
        <v>11645</v>
      </c>
      <c r="B6803" s="1">
        <v>45533</v>
      </c>
      <c r="C6803" t="s">
        <v>1141</v>
      </c>
      <c r="D6803" t="s">
        <v>56</v>
      </c>
      <c r="E6803" t="s">
        <v>36</v>
      </c>
      <c r="F6803" t="s">
        <v>37</v>
      </c>
      <c r="G6803">
        <v>2</v>
      </c>
      <c r="H6803">
        <v>29727.25</v>
      </c>
      <c r="I6803">
        <v>2297.9499999999998</v>
      </c>
      <c r="J6803" t="s">
        <v>28</v>
      </c>
      <c r="K6803" t="s">
        <v>29</v>
      </c>
      <c r="L6803">
        <f t="shared" si="318"/>
        <v>2024</v>
      </c>
      <c r="M6803" t="str">
        <f t="shared" si="319"/>
        <v>Aug</v>
      </c>
      <c r="N6803" s="2">
        <f t="shared" si="320"/>
        <v>7.7301129435114246E-2</v>
      </c>
    </row>
    <row r="6804" spans="1:14" x14ac:dyDescent="0.45">
      <c r="A6804" t="s">
        <v>11646</v>
      </c>
      <c r="B6804" s="1">
        <v>44790</v>
      </c>
      <c r="C6804" t="s">
        <v>3381</v>
      </c>
      <c r="D6804" t="s">
        <v>56</v>
      </c>
      <c r="E6804" t="s">
        <v>14</v>
      </c>
      <c r="F6804" t="s">
        <v>57</v>
      </c>
      <c r="G6804">
        <v>4</v>
      </c>
      <c r="H6804">
        <v>42324.12</v>
      </c>
      <c r="I6804">
        <v>2587</v>
      </c>
      <c r="J6804" t="s">
        <v>71</v>
      </c>
      <c r="K6804" t="s">
        <v>23</v>
      </c>
      <c r="L6804">
        <f t="shared" si="318"/>
        <v>2022</v>
      </c>
      <c r="M6804" t="str">
        <f t="shared" si="319"/>
        <v>Aug</v>
      </c>
      <c r="N6804" s="2">
        <f t="shared" si="320"/>
        <v>6.112353901274261E-2</v>
      </c>
    </row>
    <row r="6805" spans="1:14" x14ac:dyDescent="0.45">
      <c r="A6805" t="s">
        <v>11647</v>
      </c>
      <c r="B6805" s="1">
        <v>45214</v>
      </c>
      <c r="C6805" t="s">
        <v>11648</v>
      </c>
      <c r="D6805" t="s">
        <v>56</v>
      </c>
      <c r="E6805" t="s">
        <v>20</v>
      </c>
      <c r="F6805" t="s">
        <v>27</v>
      </c>
      <c r="G6805">
        <v>4</v>
      </c>
      <c r="H6805">
        <v>6225.56</v>
      </c>
      <c r="I6805">
        <v>1449.14</v>
      </c>
      <c r="J6805" t="s">
        <v>16</v>
      </c>
      <c r="K6805" t="s">
        <v>17</v>
      </c>
      <c r="L6805">
        <f t="shared" si="318"/>
        <v>2023</v>
      </c>
      <c r="M6805" t="str">
        <f t="shared" si="319"/>
        <v>Oct</v>
      </c>
      <c r="N6805" s="2">
        <f t="shared" si="320"/>
        <v>0.23277263410841756</v>
      </c>
    </row>
    <row r="6806" spans="1:14" x14ac:dyDescent="0.45">
      <c r="A6806" t="s">
        <v>11649</v>
      </c>
      <c r="B6806" s="1">
        <v>45544</v>
      </c>
      <c r="C6806" t="s">
        <v>11650</v>
      </c>
      <c r="D6806" t="s">
        <v>56</v>
      </c>
      <c r="E6806" t="s">
        <v>20</v>
      </c>
      <c r="F6806" t="s">
        <v>50</v>
      </c>
      <c r="G6806">
        <v>5</v>
      </c>
      <c r="H6806">
        <v>29066.55</v>
      </c>
      <c r="I6806">
        <v>4403.1099999999997</v>
      </c>
      <c r="J6806" t="s">
        <v>71</v>
      </c>
      <c r="K6806" t="s">
        <v>33</v>
      </c>
      <c r="L6806">
        <f t="shared" si="318"/>
        <v>2024</v>
      </c>
      <c r="M6806" t="str">
        <f t="shared" si="319"/>
        <v>Sep</v>
      </c>
      <c r="N6806" s="2">
        <f t="shared" si="320"/>
        <v>0.15148375022147451</v>
      </c>
    </row>
    <row r="6807" spans="1:14" x14ac:dyDescent="0.45">
      <c r="A6807" t="s">
        <v>11651</v>
      </c>
      <c r="B6807" s="1">
        <v>45368</v>
      </c>
      <c r="C6807" t="s">
        <v>6506</v>
      </c>
      <c r="D6807" t="s">
        <v>13</v>
      </c>
      <c r="E6807" t="s">
        <v>14</v>
      </c>
      <c r="F6807" t="s">
        <v>32</v>
      </c>
      <c r="G6807">
        <v>4</v>
      </c>
      <c r="H6807">
        <v>39365.599999999999</v>
      </c>
      <c r="I6807">
        <v>7236.25</v>
      </c>
      <c r="J6807" t="s">
        <v>28</v>
      </c>
      <c r="K6807" t="s">
        <v>17</v>
      </c>
      <c r="L6807">
        <f t="shared" si="318"/>
        <v>2024</v>
      </c>
      <c r="M6807" t="str">
        <f t="shared" si="319"/>
        <v>Mar</v>
      </c>
      <c r="N6807" s="2">
        <f t="shared" si="320"/>
        <v>0.18382166155221819</v>
      </c>
    </row>
    <row r="6808" spans="1:14" x14ac:dyDescent="0.45">
      <c r="A6808" t="s">
        <v>11652</v>
      </c>
      <c r="B6808" s="1">
        <v>45221</v>
      </c>
      <c r="C6808" t="s">
        <v>11653</v>
      </c>
      <c r="D6808" t="s">
        <v>56</v>
      </c>
      <c r="E6808" t="s">
        <v>14</v>
      </c>
      <c r="F6808" t="s">
        <v>32</v>
      </c>
      <c r="G6808">
        <v>3</v>
      </c>
      <c r="H6808">
        <v>42900.01</v>
      </c>
      <c r="I6808">
        <v>5169.6499999999996</v>
      </c>
      <c r="J6808" t="s">
        <v>47</v>
      </c>
      <c r="K6808" t="s">
        <v>29</v>
      </c>
      <c r="L6808">
        <f t="shared" si="318"/>
        <v>2023</v>
      </c>
      <c r="M6808" t="str">
        <f t="shared" si="319"/>
        <v>Oct</v>
      </c>
      <c r="N6808" s="2">
        <f t="shared" si="320"/>
        <v>0.12050463391500374</v>
      </c>
    </row>
    <row r="6809" spans="1:14" x14ac:dyDescent="0.45">
      <c r="A6809" t="s">
        <v>11654</v>
      </c>
      <c r="B6809" s="1">
        <v>45247</v>
      </c>
      <c r="C6809" t="s">
        <v>11655</v>
      </c>
      <c r="D6809" t="s">
        <v>13</v>
      </c>
      <c r="E6809" t="s">
        <v>20</v>
      </c>
      <c r="F6809" t="s">
        <v>27</v>
      </c>
      <c r="G6809">
        <v>1</v>
      </c>
      <c r="H6809">
        <v>45570.69</v>
      </c>
      <c r="I6809">
        <v>2915.08</v>
      </c>
      <c r="J6809" t="s">
        <v>16</v>
      </c>
      <c r="K6809" t="s">
        <v>29</v>
      </c>
      <c r="L6809">
        <f t="shared" si="318"/>
        <v>2023</v>
      </c>
      <c r="M6809" t="str">
        <f t="shared" si="319"/>
        <v>Nov</v>
      </c>
      <c r="N6809" s="2">
        <f t="shared" si="320"/>
        <v>6.3968309455046654E-2</v>
      </c>
    </row>
    <row r="6810" spans="1:14" x14ac:dyDescent="0.45">
      <c r="A6810" t="s">
        <v>11656</v>
      </c>
      <c r="B6810" s="1">
        <v>45462</v>
      </c>
      <c r="C6810" t="s">
        <v>11657</v>
      </c>
      <c r="D6810" t="s">
        <v>26</v>
      </c>
      <c r="E6810" t="s">
        <v>36</v>
      </c>
      <c r="F6810" t="s">
        <v>46</v>
      </c>
      <c r="G6810">
        <v>4</v>
      </c>
      <c r="H6810">
        <v>33409.699999999997</v>
      </c>
      <c r="I6810">
        <v>4975.55</v>
      </c>
      <c r="J6810" t="s">
        <v>47</v>
      </c>
      <c r="K6810" t="s">
        <v>29</v>
      </c>
      <c r="L6810">
        <f t="shared" si="318"/>
        <v>2024</v>
      </c>
      <c r="M6810" t="str">
        <f t="shared" si="319"/>
        <v>Jun</v>
      </c>
      <c r="N6810" s="2">
        <f t="shared" si="320"/>
        <v>0.1489253121099561</v>
      </c>
    </row>
    <row r="6811" spans="1:14" x14ac:dyDescent="0.45">
      <c r="A6811" t="s">
        <v>11658</v>
      </c>
      <c r="B6811" s="1">
        <v>44900</v>
      </c>
      <c r="C6811" t="s">
        <v>9162</v>
      </c>
      <c r="D6811" t="s">
        <v>56</v>
      </c>
      <c r="E6811" t="s">
        <v>36</v>
      </c>
      <c r="F6811" t="s">
        <v>46</v>
      </c>
      <c r="G6811">
        <v>2</v>
      </c>
      <c r="H6811">
        <v>40796.78</v>
      </c>
      <c r="I6811">
        <v>4069.54</v>
      </c>
      <c r="J6811" t="s">
        <v>71</v>
      </c>
      <c r="K6811" t="s">
        <v>33</v>
      </c>
      <c r="L6811">
        <f t="shared" si="318"/>
        <v>2022</v>
      </c>
      <c r="M6811" t="str">
        <f t="shared" si="319"/>
        <v>Dec</v>
      </c>
      <c r="N6811" s="2">
        <f t="shared" si="320"/>
        <v>9.9751499995833007E-2</v>
      </c>
    </row>
    <row r="6812" spans="1:14" x14ac:dyDescent="0.45">
      <c r="A6812" t="s">
        <v>11659</v>
      </c>
      <c r="B6812" s="1">
        <v>44788</v>
      </c>
      <c r="C6812" t="s">
        <v>2878</v>
      </c>
      <c r="D6812" t="s">
        <v>56</v>
      </c>
      <c r="E6812" t="s">
        <v>20</v>
      </c>
      <c r="F6812" t="s">
        <v>50</v>
      </c>
      <c r="G6812">
        <v>2</v>
      </c>
      <c r="H6812">
        <v>37226.400000000001</v>
      </c>
      <c r="I6812">
        <v>3610.24</v>
      </c>
      <c r="J6812" t="s">
        <v>28</v>
      </c>
      <c r="K6812" t="s">
        <v>17</v>
      </c>
      <c r="L6812">
        <f t="shared" si="318"/>
        <v>2022</v>
      </c>
      <c r="M6812" t="str">
        <f t="shared" si="319"/>
        <v>Aug</v>
      </c>
      <c r="N6812" s="2">
        <f t="shared" si="320"/>
        <v>9.6980637397116015E-2</v>
      </c>
    </row>
    <row r="6813" spans="1:14" x14ac:dyDescent="0.45">
      <c r="A6813" t="s">
        <v>11660</v>
      </c>
      <c r="B6813" s="1">
        <v>45219</v>
      </c>
      <c r="C6813" t="s">
        <v>11661</v>
      </c>
      <c r="D6813" t="s">
        <v>13</v>
      </c>
      <c r="E6813" t="s">
        <v>14</v>
      </c>
      <c r="F6813" t="s">
        <v>32</v>
      </c>
      <c r="G6813">
        <v>3</v>
      </c>
      <c r="H6813">
        <v>27851.99</v>
      </c>
      <c r="I6813">
        <v>3637.99</v>
      </c>
      <c r="J6813" t="s">
        <v>28</v>
      </c>
      <c r="K6813" t="s">
        <v>17</v>
      </c>
      <c r="L6813">
        <f t="shared" si="318"/>
        <v>2023</v>
      </c>
      <c r="M6813" t="str">
        <f t="shared" si="319"/>
        <v>Oct</v>
      </c>
      <c r="N6813" s="2">
        <f t="shared" si="320"/>
        <v>0.13061867392599236</v>
      </c>
    </row>
    <row r="6814" spans="1:14" x14ac:dyDescent="0.45">
      <c r="A6814" t="s">
        <v>11662</v>
      </c>
      <c r="B6814" s="1">
        <v>45111</v>
      </c>
      <c r="C6814" t="s">
        <v>958</v>
      </c>
      <c r="D6814" t="s">
        <v>13</v>
      </c>
      <c r="E6814" t="s">
        <v>20</v>
      </c>
      <c r="F6814" t="s">
        <v>50</v>
      </c>
      <c r="G6814">
        <v>2</v>
      </c>
      <c r="H6814">
        <v>16170.76</v>
      </c>
      <c r="I6814">
        <v>2258.08</v>
      </c>
      <c r="J6814" t="s">
        <v>71</v>
      </c>
      <c r="K6814" t="s">
        <v>23</v>
      </c>
      <c r="L6814">
        <f t="shared" si="318"/>
        <v>2023</v>
      </c>
      <c r="M6814" t="str">
        <f t="shared" si="319"/>
        <v>Jul</v>
      </c>
      <c r="N6814" s="2">
        <f t="shared" si="320"/>
        <v>0.13963969535136259</v>
      </c>
    </row>
    <row r="6815" spans="1:14" x14ac:dyDescent="0.45">
      <c r="A6815" t="s">
        <v>11663</v>
      </c>
      <c r="B6815" s="1">
        <v>45533</v>
      </c>
      <c r="C6815" t="s">
        <v>9095</v>
      </c>
      <c r="D6815" t="s">
        <v>26</v>
      </c>
      <c r="E6815" t="s">
        <v>14</v>
      </c>
      <c r="F6815" t="s">
        <v>40</v>
      </c>
      <c r="G6815">
        <v>2</v>
      </c>
      <c r="H6815">
        <v>31856.880000000001</v>
      </c>
      <c r="I6815">
        <v>7939.78</v>
      </c>
      <c r="J6815" t="s">
        <v>16</v>
      </c>
      <c r="K6815" t="s">
        <v>33</v>
      </c>
      <c r="L6815">
        <f t="shared" si="318"/>
        <v>2024</v>
      </c>
      <c r="M6815" t="str">
        <f t="shared" si="319"/>
        <v>Aug</v>
      </c>
      <c r="N6815" s="2">
        <f t="shared" si="320"/>
        <v>0.24923281878200249</v>
      </c>
    </row>
    <row r="6816" spans="1:14" x14ac:dyDescent="0.45">
      <c r="A6816" t="s">
        <v>11664</v>
      </c>
      <c r="B6816" s="1">
        <v>45547</v>
      </c>
      <c r="C6816" t="s">
        <v>3607</v>
      </c>
      <c r="D6816" t="s">
        <v>26</v>
      </c>
      <c r="E6816" t="s">
        <v>36</v>
      </c>
      <c r="F6816" t="s">
        <v>46</v>
      </c>
      <c r="G6816">
        <v>5</v>
      </c>
      <c r="H6816">
        <v>43959.98</v>
      </c>
      <c r="I6816">
        <v>9475.99</v>
      </c>
      <c r="J6816" t="s">
        <v>28</v>
      </c>
      <c r="K6816" t="s">
        <v>17</v>
      </c>
      <c r="L6816">
        <f t="shared" si="318"/>
        <v>2024</v>
      </c>
      <c r="M6816" t="str">
        <f t="shared" si="319"/>
        <v>Sep</v>
      </c>
      <c r="N6816" s="2">
        <f t="shared" si="320"/>
        <v>0.21555947022723848</v>
      </c>
    </row>
    <row r="6817" spans="1:14" x14ac:dyDescent="0.45">
      <c r="A6817" t="s">
        <v>11665</v>
      </c>
      <c r="B6817" s="1">
        <v>45285</v>
      </c>
      <c r="C6817" t="s">
        <v>11666</v>
      </c>
      <c r="D6817" t="s">
        <v>56</v>
      </c>
      <c r="E6817" t="s">
        <v>20</v>
      </c>
      <c r="F6817" t="s">
        <v>43</v>
      </c>
      <c r="G6817">
        <v>5</v>
      </c>
      <c r="H6817">
        <v>33536.39</v>
      </c>
      <c r="I6817">
        <v>5197.67</v>
      </c>
      <c r="J6817" t="s">
        <v>28</v>
      </c>
      <c r="K6817" t="s">
        <v>17</v>
      </c>
      <c r="L6817">
        <f t="shared" si="318"/>
        <v>2023</v>
      </c>
      <c r="M6817" t="str">
        <f t="shared" si="319"/>
        <v>Dec</v>
      </c>
      <c r="N6817" s="2">
        <f t="shared" si="320"/>
        <v>0.15498597195464389</v>
      </c>
    </row>
    <row r="6818" spans="1:14" x14ac:dyDescent="0.45">
      <c r="A6818" t="s">
        <v>11667</v>
      </c>
      <c r="B6818" s="1">
        <v>45197</v>
      </c>
      <c r="C6818" t="s">
        <v>2397</v>
      </c>
      <c r="D6818" t="s">
        <v>26</v>
      </c>
      <c r="E6818" t="s">
        <v>14</v>
      </c>
      <c r="F6818" t="s">
        <v>32</v>
      </c>
      <c r="G6818">
        <v>5</v>
      </c>
      <c r="H6818">
        <v>27381.73</v>
      </c>
      <c r="I6818">
        <v>2616.1799999999998</v>
      </c>
      <c r="J6818" t="s">
        <v>28</v>
      </c>
      <c r="K6818" t="s">
        <v>33</v>
      </c>
      <c r="L6818">
        <f t="shared" si="318"/>
        <v>2023</v>
      </c>
      <c r="M6818" t="str">
        <f t="shared" si="319"/>
        <v>Sep</v>
      </c>
      <c r="N6818" s="2">
        <f t="shared" si="320"/>
        <v>9.5544730007928638E-2</v>
      </c>
    </row>
    <row r="6819" spans="1:14" x14ac:dyDescent="0.45">
      <c r="A6819" t="s">
        <v>11668</v>
      </c>
      <c r="B6819" s="1">
        <v>45450</v>
      </c>
      <c r="C6819" t="s">
        <v>9865</v>
      </c>
      <c r="D6819" t="s">
        <v>56</v>
      </c>
      <c r="E6819" t="s">
        <v>20</v>
      </c>
      <c r="F6819" t="s">
        <v>50</v>
      </c>
      <c r="G6819">
        <v>5</v>
      </c>
      <c r="H6819">
        <v>40416.51</v>
      </c>
      <c r="I6819">
        <v>3074.41</v>
      </c>
      <c r="J6819" t="s">
        <v>28</v>
      </c>
      <c r="K6819" t="s">
        <v>23</v>
      </c>
      <c r="L6819">
        <f t="shared" si="318"/>
        <v>2024</v>
      </c>
      <c r="M6819" t="str">
        <f t="shared" si="319"/>
        <v>Jun</v>
      </c>
      <c r="N6819" s="2">
        <f t="shared" si="320"/>
        <v>7.606817115084899E-2</v>
      </c>
    </row>
    <row r="6820" spans="1:14" x14ac:dyDescent="0.45">
      <c r="A6820" t="s">
        <v>11669</v>
      </c>
      <c r="B6820" s="1">
        <v>44673</v>
      </c>
      <c r="C6820" t="s">
        <v>3688</v>
      </c>
      <c r="D6820" t="s">
        <v>13</v>
      </c>
      <c r="E6820" t="s">
        <v>36</v>
      </c>
      <c r="F6820" t="s">
        <v>37</v>
      </c>
      <c r="G6820">
        <v>5</v>
      </c>
      <c r="H6820">
        <v>22763.48</v>
      </c>
      <c r="I6820">
        <v>1777.72</v>
      </c>
      <c r="J6820" t="s">
        <v>16</v>
      </c>
      <c r="K6820" t="s">
        <v>33</v>
      </c>
      <c r="L6820">
        <f t="shared" si="318"/>
        <v>2022</v>
      </c>
      <c r="M6820" t="str">
        <f t="shared" si="319"/>
        <v>Apr</v>
      </c>
      <c r="N6820" s="2">
        <f t="shared" si="320"/>
        <v>7.8095264871627712E-2</v>
      </c>
    </row>
    <row r="6821" spans="1:14" x14ac:dyDescent="0.45">
      <c r="A6821" t="s">
        <v>11670</v>
      </c>
      <c r="B6821" s="1">
        <v>44918</v>
      </c>
      <c r="C6821" t="s">
        <v>3160</v>
      </c>
      <c r="D6821" t="s">
        <v>56</v>
      </c>
      <c r="E6821" t="s">
        <v>36</v>
      </c>
      <c r="F6821" t="s">
        <v>37</v>
      </c>
      <c r="G6821">
        <v>5</v>
      </c>
      <c r="H6821">
        <v>37028.129999999997</v>
      </c>
      <c r="I6821">
        <v>3717.1</v>
      </c>
      <c r="J6821" t="s">
        <v>22</v>
      </c>
      <c r="K6821" t="s">
        <v>17</v>
      </c>
      <c r="L6821">
        <f t="shared" si="318"/>
        <v>2022</v>
      </c>
      <c r="M6821" t="str">
        <f t="shared" si="319"/>
        <v>Dec</v>
      </c>
      <c r="N6821" s="2">
        <f t="shared" si="320"/>
        <v>0.10038584179109235</v>
      </c>
    </row>
    <row r="6822" spans="1:14" x14ac:dyDescent="0.45">
      <c r="A6822" t="s">
        <v>11671</v>
      </c>
      <c r="B6822" s="1">
        <v>44595</v>
      </c>
      <c r="C6822" t="s">
        <v>8623</v>
      </c>
      <c r="D6822" t="s">
        <v>26</v>
      </c>
      <c r="E6822" t="s">
        <v>14</v>
      </c>
      <c r="F6822" t="s">
        <v>40</v>
      </c>
      <c r="G6822">
        <v>3</v>
      </c>
      <c r="H6822">
        <v>13344.95</v>
      </c>
      <c r="I6822">
        <v>3126.6</v>
      </c>
      <c r="J6822" t="s">
        <v>28</v>
      </c>
      <c r="K6822" t="s">
        <v>17</v>
      </c>
      <c r="L6822">
        <f t="shared" si="318"/>
        <v>2022</v>
      </c>
      <c r="M6822" t="str">
        <f t="shared" si="319"/>
        <v>Feb</v>
      </c>
      <c r="N6822" s="2">
        <f t="shared" si="320"/>
        <v>0.2342908740759613</v>
      </c>
    </row>
    <row r="6823" spans="1:14" x14ac:dyDescent="0.45">
      <c r="A6823" t="s">
        <v>11672</v>
      </c>
      <c r="B6823" s="1">
        <v>45100</v>
      </c>
      <c r="C6823" t="s">
        <v>11673</v>
      </c>
      <c r="D6823" t="s">
        <v>56</v>
      </c>
      <c r="E6823" t="s">
        <v>20</v>
      </c>
      <c r="F6823" t="s">
        <v>43</v>
      </c>
      <c r="G6823">
        <v>5</v>
      </c>
      <c r="H6823">
        <v>48635.360000000001</v>
      </c>
      <c r="I6823">
        <v>11721.47</v>
      </c>
      <c r="J6823" t="s">
        <v>28</v>
      </c>
      <c r="K6823" t="s">
        <v>33</v>
      </c>
      <c r="L6823">
        <f t="shared" si="318"/>
        <v>2023</v>
      </c>
      <c r="M6823" t="str">
        <f t="shared" si="319"/>
        <v>Jun</v>
      </c>
      <c r="N6823" s="2">
        <f t="shared" si="320"/>
        <v>0.24100716022252122</v>
      </c>
    </row>
    <row r="6824" spans="1:14" x14ac:dyDescent="0.45">
      <c r="A6824" t="s">
        <v>11674</v>
      </c>
      <c r="B6824" s="1">
        <v>44563</v>
      </c>
      <c r="C6824" t="s">
        <v>11675</v>
      </c>
      <c r="D6824" t="s">
        <v>56</v>
      </c>
      <c r="E6824" t="s">
        <v>14</v>
      </c>
      <c r="F6824" t="s">
        <v>40</v>
      </c>
      <c r="G6824">
        <v>1</v>
      </c>
      <c r="H6824">
        <v>35485.96</v>
      </c>
      <c r="I6824">
        <v>8645.73</v>
      </c>
      <c r="J6824" t="s">
        <v>28</v>
      </c>
      <c r="K6824" t="s">
        <v>23</v>
      </c>
      <c r="L6824">
        <f t="shared" si="318"/>
        <v>2022</v>
      </c>
      <c r="M6824" t="str">
        <f t="shared" si="319"/>
        <v>Jan</v>
      </c>
      <c r="N6824" s="2">
        <f t="shared" si="320"/>
        <v>0.24363804727278054</v>
      </c>
    </row>
    <row r="6825" spans="1:14" x14ac:dyDescent="0.45">
      <c r="A6825" t="s">
        <v>11676</v>
      </c>
      <c r="B6825" s="1">
        <v>45277</v>
      </c>
      <c r="C6825" t="s">
        <v>11677</v>
      </c>
      <c r="D6825" t="s">
        <v>56</v>
      </c>
      <c r="E6825" t="s">
        <v>14</v>
      </c>
      <c r="F6825" t="s">
        <v>15</v>
      </c>
      <c r="G6825">
        <v>2</v>
      </c>
      <c r="H6825">
        <v>45874.28</v>
      </c>
      <c r="I6825">
        <v>2447.4699999999998</v>
      </c>
      <c r="J6825" t="s">
        <v>28</v>
      </c>
      <c r="K6825" t="s">
        <v>23</v>
      </c>
      <c r="L6825">
        <f t="shared" si="318"/>
        <v>2023</v>
      </c>
      <c r="M6825" t="str">
        <f t="shared" si="319"/>
        <v>Dec</v>
      </c>
      <c r="N6825" s="2">
        <f t="shared" si="320"/>
        <v>5.3351682031848778E-2</v>
      </c>
    </row>
    <row r="6826" spans="1:14" x14ac:dyDescent="0.45">
      <c r="A6826" t="s">
        <v>11678</v>
      </c>
      <c r="B6826" s="1">
        <v>45002</v>
      </c>
      <c r="C6826" t="s">
        <v>11679</v>
      </c>
      <c r="D6826" t="s">
        <v>13</v>
      </c>
      <c r="E6826" t="s">
        <v>20</v>
      </c>
      <c r="F6826" t="s">
        <v>21</v>
      </c>
      <c r="G6826">
        <v>4</v>
      </c>
      <c r="H6826">
        <v>34920.660000000003</v>
      </c>
      <c r="I6826">
        <v>8567.6200000000008</v>
      </c>
      <c r="J6826" t="s">
        <v>71</v>
      </c>
      <c r="K6826" t="s">
        <v>17</v>
      </c>
      <c r="L6826">
        <f t="shared" si="318"/>
        <v>2023</v>
      </c>
      <c r="M6826" t="str">
        <f t="shared" si="319"/>
        <v>Mar</v>
      </c>
      <c r="N6826" s="2">
        <f t="shared" si="320"/>
        <v>0.24534530561564416</v>
      </c>
    </row>
    <row r="6827" spans="1:14" x14ac:dyDescent="0.45">
      <c r="A6827" t="s">
        <v>11680</v>
      </c>
      <c r="B6827" s="1">
        <v>44869</v>
      </c>
      <c r="C6827" t="s">
        <v>11681</v>
      </c>
      <c r="D6827" t="s">
        <v>13</v>
      </c>
      <c r="E6827" t="s">
        <v>36</v>
      </c>
      <c r="F6827" t="s">
        <v>64</v>
      </c>
      <c r="G6827">
        <v>5</v>
      </c>
      <c r="H6827">
        <v>45614.04</v>
      </c>
      <c r="I6827">
        <v>8727.24</v>
      </c>
      <c r="J6827" t="s">
        <v>22</v>
      </c>
      <c r="K6827" t="s">
        <v>33</v>
      </c>
      <c r="L6827">
        <f t="shared" si="318"/>
        <v>2022</v>
      </c>
      <c r="M6827" t="str">
        <f t="shared" si="319"/>
        <v>Nov</v>
      </c>
      <c r="N6827" s="2">
        <f t="shared" si="320"/>
        <v>0.19132793324160718</v>
      </c>
    </row>
    <row r="6828" spans="1:14" x14ac:dyDescent="0.45">
      <c r="A6828" t="s">
        <v>11682</v>
      </c>
      <c r="B6828" s="1">
        <v>45130</v>
      </c>
      <c r="C6828" t="s">
        <v>11399</v>
      </c>
      <c r="D6828" t="s">
        <v>26</v>
      </c>
      <c r="E6828" t="s">
        <v>14</v>
      </c>
      <c r="F6828" t="s">
        <v>15</v>
      </c>
      <c r="G6828">
        <v>4</v>
      </c>
      <c r="H6828">
        <v>31275.95</v>
      </c>
      <c r="I6828">
        <v>6916.74</v>
      </c>
      <c r="J6828" t="s">
        <v>28</v>
      </c>
      <c r="K6828" t="s">
        <v>33</v>
      </c>
      <c r="L6828">
        <f t="shared" si="318"/>
        <v>2023</v>
      </c>
      <c r="M6828" t="str">
        <f t="shared" si="319"/>
        <v>Jul</v>
      </c>
      <c r="N6828" s="2">
        <f t="shared" si="320"/>
        <v>0.22115203534984548</v>
      </c>
    </row>
    <row r="6829" spans="1:14" x14ac:dyDescent="0.45">
      <c r="A6829" t="s">
        <v>11683</v>
      </c>
      <c r="B6829" s="1">
        <v>44851</v>
      </c>
      <c r="C6829" t="s">
        <v>11684</v>
      </c>
      <c r="D6829" t="s">
        <v>26</v>
      </c>
      <c r="E6829" t="s">
        <v>14</v>
      </c>
      <c r="F6829" t="s">
        <v>40</v>
      </c>
      <c r="G6829">
        <v>5</v>
      </c>
      <c r="H6829">
        <v>18787.57</v>
      </c>
      <c r="I6829">
        <v>1707.31</v>
      </c>
      <c r="J6829" t="s">
        <v>22</v>
      </c>
      <c r="K6829" t="s">
        <v>33</v>
      </c>
      <c r="L6829">
        <f t="shared" si="318"/>
        <v>2022</v>
      </c>
      <c r="M6829" t="str">
        <f t="shared" si="319"/>
        <v>Oct</v>
      </c>
      <c r="N6829" s="2">
        <f t="shared" si="320"/>
        <v>9.0874445178381238E-2</v>
      </c>
    </row>
    <row r="6830" spans="1:14" x14ac:dyDescent="0.45">
      <c r="A6830" t="s">
        <v>11685</v>
      </c>
      <c r="B6830" s="1">
        <v>44870</v>
      </c>
      <c r="C6830" t="s">
        <v>5136</v>
      </c>
      <c r="D6830" t="s">
        <v>26</v>
      </c>
      <c r="E6830" t="s">
        <v>14</v>
      </c>
      <c r="F6830" t="s">
        <v>32</v>
      </c>
      <c r="G6830">
        <v>5</v>
      </c>
      <c r="H6830">
        <v>5721</v>
      </c>
      <c r="I6830">
        <v>575.97</v>
      </c>
      <c r="J6830" t="s">
        <v>22</v>
      </c>
      <c r="K6830" t="s">
        <v>33</v>
      </c>
      <c r="L6830">
        <f t="shared" si="318"/>
        <v>2022</v>
      </c>
      <c r="M6830" t="str">
        <f t="shared" si="319"/>
        <v>Nov</v>
      </c>
      <c r="N6830" s="2">
        <f t="shared" si="320"/>
        <v>0.10067645516518092</v>
      </c>
    </row>
    <row r="6831" spans="1:14" x14ac:dyDescent="0.45">
      <c r="A6831" t="s">
        <v>11686</v>
      </c>
      <c r="B6831" s="1">
        <v>44689</v>
      </c>
      <c r="C6831" t="s">
        <v>3580</v>
      </c>
      <c r="D6831" t="s">
        <v>13</v>
      </c>
      <c r="E6831" t="s">
        <v>14</v>
      </c>
      <c r="F6831" t="s">
        <v>40</v>
      </c>
      <c r="G6831">
        <v>3</v>
      </c>
      <c r="H6831">
        <v>1912.01</v>
      </c>
      <c r="I6831">
        <v>145.85</v>
      </c>
      <c r="J6831" t="s">
        <v>71</v>
      </c>
      <c r="K6831" t="s">
        <v>29</v>
      </c>
      <c r="L6831">
        <f t="shared" si="318"/>
        <v>2022</v>
      </c>
      <c r="M6831" t="str">
        <f t="shared" si="319"/>
        <v>May</v>
      </c>
      <c r="N6831" s="2">
        <f t="shared" si="320"/>
        <v>7.6280981794028271E-2</v>
      </c>
    </row>
    <row r="6832" spans="1:14" x14ac:dyDescent="0.45">
      <c r="A6832" t="s">
        <v>11687</v>
      </c>
      <c r="B6832" s="1">
        <v>45590</v>
      </c>
      <c r="C6832" t="s">
        <v>11688</v>
      </c>
      <c r="D6832" t="s">
        <v>56</v>
      </c>
      <c r="E6832" t="s">
        <v>14</v>
      </c>
      <c r="F6832" t="s">
        <v>15</v>
      </c>
      <c r="G6832">
        <v>2</v>
      </c>
      <c r="H6832">
        <v>7020.29</v>
      </c>
      <c r="I6832">
        <v>1543.46</v>
      </c>
      <c r="J6832" t="s">
        <v>28</v>
      </c>
      <c r="K6832" t="s">
        <v>33</v>
      </c>
      <c r="L6832">
        <f t="shared" si="318"/>
        <v>2024</v>
      </c>
      <c r="M6832" t="str">
        <f t="shared" si="319"/>
        <v>Oct</v>
      </c>
      <c r="N6832" s="2">
        <f t="shared" si="320"/>
        <v>0.21985701445381886</v>
      </c>
    </row>
    <row r="6833" spans="1:14" x14ac:dyDescent="0.45">
      <c r="A6833" t="s">
        <v>11689</v>
      </c>
      <c r="B6833" s="1">
        <v>44576</v>
      </c>
      <c r="C6833" t="s">
        <v>11690</v>
      </c>
      <c r="D6833" t="s">
        <v>13</v>
      </c>
      <c r="E6833" t="s">
        <v>14</v>
      </c>
      <c r="F6833" t="s">
        <v>32</v>
      </c>
      <c r="G6833">
        <v>5</v>
      </c>
      <c r="H6833">
        <v>47831.56</v>
      </c>
      <c r="I6833">
        <v>10663.46</v>
      </c>
      <c r="J6833" t="s">
        <v>28</v>
      </c>
      <c r="K6833" t="s">
        <v>29</v>
      </c>
      <c r="L6833">
        <f t="shared" si="318"/>
        <v>2022</v>
      </c>
      <c r="M6833" t="str">
        <f t="shared" si="319"/>
        <v>Jan</v>
      </c>
      <c r="N6833" s="2">
        <f t="shared" si="320"/>
        <v>0.22293774236090147</v>
      </c>
    </row>
    <row r="6834" spans="1:14" x14ac:dyDescent="0.45">
      <c r="A6834" t="s">
        <v>11691</v>
      </c>
      <c r="B6834" s="1">
        <v>44925</v>
      </c>
      <c r="C6834" t="s">
        <v>5342</v>
      </c>
      <c r="D6834" t="s">
        <v>56</v>
      </c>
      <c r="E6834" t="s">
        <v>14</v>
      </c>
      <c r="F6834" t="s">
        <v>32</v>
      </c>
      <c r="G6834">
        <v>5</v>
      </c>
      <c r="H6834">
        <v>40959.33</v>
      </c>
      <c r="I6834">
        <v>5920.49</v>
      </c>
      <c r="J6834" t="s">
        <v>47</v>
      </c>
      <c r="K6834" t="s">
        <v>17</v>
      </c>
      <c r="L6834">
        <f t="shared" si="318"/>
        <v>2022</v>
      </c>
      <c r="M6834" t="str">
        <f t="shared" si="319"/>
        <v>Dec</v>
      </c>
      <c r="N6834" s="2">
        <f t="shared" si="320"/>
        <v>0.14454557728361278</v>
      </c>
    </row>
    <row r="6835" spans="1:14" x14ac:dyDescent="0.45">
      <c r="A6835" t="s">
        <v>11692</v>
      </c>
      <c r="B6835" s="1">
        <v>44818</v>
      </c>
      <c r="C6835" t="s">
        <v>11226</v>
      </c>
      <c r="D6835" t="s">
        <v>13</v>
      </c>
      <c r="E6835" t="s">
        <v>14</v>
      </c>
      <c r="F6835" t="s">
        <v>40</v>
      </c>
      <c r="G6835">
        <v>2</v>
      </c>
      <c r="H6835">
        <v>23311.200000000001</v>
      </c>
      <c r="I6835">
        <v>2534.8000000000002</v>
      </c>
      <c r="J6835" t="s">
        <v>22</v>
      </c>
      <c r="K6835" t="s">
        <v>33</v>
      </c>
      <c r="L6835">
        <f t="shared" si="318"/>
        <v>2022</v>
      </c>
      <c r="M6835" t="str">
        <f t="shared" si="319"/>
        <v>Sep</v>
      </c>
      <c r="N6835" s="2">
        <f t="shared" si="320"/>
        <v>0.10873743093448643</v>
      </c>
    </row>
    <row r="6836" spans="1:14" x14ac:dyDescent="0.45">
      <c r="A6836" t="s">
        <v>11693</v>
      </c>
      <c r="B6836" s="1">
        <v>44873</v>
      </c>
      <c r="C6836" t="s">
        <v>415</v>
      </c>
      <c r="D6836" t="s">
        <v>13</v>
      </c>
      <c r="E6836" t="s">
        <v>20</v>
      </c>
      <c r="F6836" t="s">
        <v>50</v>
      </c>
      <c r="G6836">
        <v>4</v>
      </c>
      <c r="H6836">
        <v>9930.42</v>
      </c>
      <c r="I6836">
        <v>1014.41</v>
      </c>
      <c r="J6836" t="s">
        <v>71</v>
      </c>
      <c r="K6836" t="s">
        <v>23</v>
      </c>
      <c r="L6836">
        <f t="shared" si="318"/>
        <v>2022</v>
      </c>
      <c r="M6836" t="str">
        <f t="shared" si="319"/>
        <v>Nov</v>
      </c>
      <c r="N6836" s="2">
        <f t="shared" si="320"/>
        <v>0.10215177202978323</v>
      </c>
    </row>
    <row r="6837" spans="1:14" x14ac:dyDescent="0.45">
      <c r="A6837" t="s">
        <v>11694</v>
      </c>
      <c r="B6837" s="1">
        <v>44965</v>
      </c>
      <c r="C6837" t="s">
        <v>9107</v>
      </c>
      <c r="D6837" t="s">
        <v>26</v>
      </c>
      <c r="E6837" t="s">
        <v>14</v>
      </c>
      <c r="F6837" t="s">
        <v>15</v>
      </c>
      <c r="G6837">
        <v>2</v>
      </c>
      <c r="H6837">
        <v>35141.050000000003</v>
      </c>
      <c r="I6837">
        <v>3595.04</v>
      </c>
      <c r="J6837" t="s">
        <v>16</v>
      </c>
      <c r="K6837" t="s">
        <v>29</v>
      </c>
      <c r="L6837">
        <f t="shared" si="318"/>
        <v>2023</v>
      </c>
      <c r="M6837" t="str">
        <f t="shared" si="319"/>
        <v>Feb</v>
      </c>
      <c r="N6837" s="2">
        <f t="shared" si="320"/>
        <v>0.10230314688946403</v>
      </c>
    </row>
    <row r="6838" spans="1:14" x14ac:dyDescent="0.45">
      <c r="A6838" t="s">
        <v>11695</v>
      </c>
      <c r="B6838" s="1">
        <v>44646</v>
      </c>
      <c r="C6838" t="s">
        <v>11696</v>
      </c>
      <c r="D6838" t="s">
        <v>56</v>
      </c>
      <c r="E6838" t="s">
        <v>14</v>
      </c>
      <c r="F6838" t="s">
        <v>15</v>
      </c>
      <c r="G6838">
        <v>5</v>
      </c>
      <c r="H6838">
        <v>41939.620000000003</v>
      </c>
      <c r="I6838">
        <v>5967.97</v>
      </c>
      <c r="J6838" t="s">
        <v>71</v>
      </c>
      <c r="K6838" t="s">
        <v>23</v>
      </c>
      <c r="L6838">
        <f t="shared" si="318"/>
        <v>2022</v>
      </c>
      <c r="M6838" t="str">
        <f t="shared" si="319"/>
        <v>Mar</v>
      </c>
      <c r="N6838" s="2">
        <f t="shared" si="320"/>
        <v>0.14229909569996105</v>
      </c>
    </row>
    <row r="6839" spans="1:14" x14ac:dyDescent="0.45">
      <c r="A6839" t="s">
        <v>11697</v>
      </c>
      <c r="B6839" s="1">
        <v>44695</v>
      </c>
      <c r="C6839" t="s">
        <v>11009</v>
      </c>
      <c r="D6839" t="s">
        <v>56</v>
      </c>
      <c r="E6839" t="s">
        <v>36</v>
      </c>
      <c r="F6839" t="s">
        <v>37</v>
      </c>
      <c r="G6839">
        <v>2</v>
      </c>
      <c r="H6839">
        <v>40888.03</v>
      </c>
      <c r="I6839">
        <v>9108.65</v>
      </c>
      <c r="J6839" t="s">
        <v>22</v>
      </c>
      <c r="K6839" t="s">
        <v>17</v>
      </c>
      <c r="L6839">
        <f t="shared" si="318"/>
        <v>2022</v>
      </c>
      <c r="M6839" t="str">
        <f t="shared" si="319"/>
        <v>May</v>
      </c>
      <c r="N6839" s="2">
        <f t="shared" si="320"/>
        <v>0.22277057613193885</v>
      </c>
    </row>
    <row r="6840" spans="1:14" x14ac:dyDescent="0.45">
      <c r="A6840" t="s">
        <v>11698</v>
      </c>
      <c r="B6840" s="1">
        <v>45427</v>
      </c>
      <c r="C6840" t="s">
        <v>11699</v>
      </c>
      <c r="D6840" t="s">
        <v>13</v>
      </c>
      <c r="E6840" t="s">
        <v>36</v>
      </c>
      <c r="F6840" t="s">
        <v>37</v>
      </c>
      <c r="G6840">
        <v>4</v>
      </c>
      <c r="H6840">
        <v>35212.199999999997</v>
      </c>
      <c r="I6840">
        <v>7304.09</v>
      </c>
      <c r="J6840" t="s">
        <v>71</v>
      </c>
      <c r="K6840" t="s">
        <v>29</v>
      </c>
      <c r="L6840">
        <f t="shared" si="318"/>
        <v>2024</v>
      </c>
      <c r="M6840" t="str">
        <f t="shared" si="319"/>
        <v>May</v>
      </c>
      <c r="N6840" s="2">
        <f t="shared" si="320"/>
        <v>0.20743066323603754</v>
      </c>
    </row>
    <row r="6841" spans="1:14" x14ac:dyDescent="0.45">
      <c r="A6841" t="s">
        <v>11700</v>
      </c>
      <c r="B6841" s="1">
        <v>44878</v>
      </c>
      <c r="C6841" t="s">
        <v>11701</v>
      </c>
      <c r="D6841" t="s">
        <v>26</v>
      </c>
      <c r="E6841" t="s">
        <v>14</v>
      </c>
      <c r="F6841" t="s">
        <v>40</v>
      </c>
      <c r="G6841">
        <v>4</v>
      </c>
      <c r="H6841">
        <v>10948.93</v>
      </c>
      <c r="I6841">
        <v>2064.9</v>
      </c>
      <c r="J6841" t="s">
        <v>16</v>
      </c>
      <c r="K6841" t="s">
        <v>29</v>
      </c>
      <c r="L6841">
        <f t="shared" si="318"/>
        <v>2022</v>
      </c>
      <c r="M6841" t="str">
        <f t="shared" si="319"/>
        <v>Nov</v>
      </c>
      <c r="N6841" s="2">
        <f t="shared" si="320"/>
        <v>0.18859377126349333</v>
      </c>
    </row>
    <row r="6842" spans="1:14" x14ac:dyDescent="0.45">
      <c r="A6842" t="s">
        <v>11702</v>
      </c>
      <c r="B6842" s="1">
        <v>45587</v>
      </c>
      <c r="C6842" t="s">
        <v>11703</v>
      </c>
      <c r="D6842" t="s">
        <v>56</v>
      </c>
      <c r="E6842" t="s">
        <v>20</v>
      </c>
      <c r="F6842" t="s">
        <v>21</v>
      </c>
      <c r="G6842">
        <v>2</v>
      </c>
      <c r="H6842">
        <v>18665.61</v>
      </c>
      <c r="I6842">
        <v>2207.8000000000002</v>
      </c>
      <c r="J6842" t="s">
        <v>16</v>
      </c>
      <c r="K6842" t="s">
        <v>33</v>
      </c>
      <c r="L6842">
        <f t="shared" si="318"/>
        <v>2024</v>
      </c>
      <c r="M6842" t="str">
        <f t="shared" si="319"/>
        <v>Oct</v>
      </c>
      <c r="N6842" s="2">
        <f t="shared" si="320"/>
        <v>0.11828169558883959</v>
      </c>
    </row>
    <row r="6843" spans="1:14" x14ac:dyDescent="0.45">
      <c r="A6843" t="s">
        <v>11704</v>
      </c>
      <c r="B6843" s="1">
        <v>45286</v>
      </c>
      <c r="C6843" t="s">
        <v>11705</v>
      </c>
      <c r="D6843" t="s">
        <v>56</v>
      </c>
      <c r="E6843" t="s">
        <v>20</v>
      </c>
      <c r="F6843" t="s">
        <v>50</v>
      </c>
      <c r="G6843">
        <v>3</v>
      </c>
      <c r="H6843">
        <v>36440.06</v>
      </c>
      <c r="I6843">
        <v>4973.97</v>
      </c>
      <c r="J6843" t="s">
        <v>71</v>
      </c>
      <c r="K6843" t="s">
        <v>23</v>
      </c>
      <c r="L6843">
        <f t="shared" si="318"/>
        <v>2023</v>
      </c>
      <c r="M6843" t="str">
        <f t="shared" si="319"/>
        <v>Dec</v>
      </c>
      <c r="N6843" s="2">
        <f t="shared" si="320"/>
        <v>0.13649730543802618</v>
      </c>
    </row>
    <row r="6844" spans="1:14" x14ac:dyDescent="0.45">
      <c r="A6844" t="s">
        <v>11706</v>
      </c>
      <c r="B6844" s="1">
        <v>44595</v>
      </c>
      <c r="C6844" t="s">
        <v>8860</v>
      </c>
      <c r="D6844" t="s">
        <v>26</v>
      </c>
      <c r="E6844" t="s">
        <v>14</v>
      </c>
      <c r="F6844" t="s">
        <v>32</v>
      </c>
      <c r="G6844">
        <v>3</v>
      </c>
      <c r="H6844">
        <v>18770.03</v>
      </c>
      <c r="I6844">
        <v>4290.87</v>
      </c>
      <c r="J6844" t="s">
        <v>71</v>
      </c>
      <c r="K6844" t="s">
        <v>17</v>
      </c>
      <c r="L6844">
        <f t="shared" si="318"/>
        <v>2022</v>
      </c>
      <c r="M6844" t="str">
        <f t="shared" si="319"/>
        <v>Feb</v>
      </c>
      <c r="N6844" s="2">
        <f t="shared" si="320"/>
        <v>0.22860219189846795</v>
      </c>
    </row>
    <row r="6845" spans="1:14" x14ac:dyDescent="0.45">
      <c r="A6845" t="s">
        <v>11707</v>
      </c>
      <c r="B6845" s="1">
        <v>45144</v>
      </c>
      <c r="C6845" t="s">
        <v>3786</v>
      </c>
      <c r="D6845" t="s">
        <v>56</v>
      </c>
      <c r="E6845" t="s">
        <v>14</v>
      </c>
      <c r="F6845" t="s">
        <v>57</v>
      </c>
      <c r="G6845">
        <v>4</v>
      </c>
      <c r="H6845">
        <v>34409.879999999997</v>
      </c>
      <c r="I6845">
        <v>5645.12</v>
      </c>
      <c r="J6845" t="s">
        <v>16</v>
      </c>
      <c r="K6845" t="s">
        <v>29</v>
      </c>
      <c r="L6845">
        <f t="shared" si="318"/>
        <v>2023</v>
      </c>
      <c r="M6845" t="str">
        <f t="shared" si="319"/>
        <v>Aug</v>
      </c>
      <c r="N6845" s="2">
        <f t="shared" si="320"/>
        <v>0.1640552073997352</v>
      </c>
    </row>
    <row r="6846" spans="1:14" x14ac:dyDescent="0.45">
      <c r="A6846" t="s">
        <v>11708</v>
      </c>
      <c r="B6846" s="1">
        <v>45183</v>
      </c>
      <c r="C6846" t="s">
        <v>1557</v>
      </c>
      <c r="D6846" t="s">
        <v>26</v>
      </c>
      <c r="E6846" t="s">
        <v>36</v>
      </c>
      <c r="F6846" t="s">
        <v>46</v>
      </c>
      <c r="G6846">
        <v>1</v>
      </c>
      <c r="H6846">
        <v>1074.52</v>
      </c>
      <c r="I6846">
        <v>150.53</v>
      </c>
      <c r="J6846" t="s">
        <v>71</v>
      </c>
      <c r="K6846" t="s">
        <v>29</v>
      </c>
      <c r="L6846">
        <f t="shared" si="318"/>
        <v>2023</v>
      </c>
      <c r="M6846" t="str">
        <f t="shared" si="319"/>
        <v>Sep</v>
      </c>
      <c r="N6846" s="2">
        <f t="shared" si="320"/>
        <v>0.14009045899564457</v>
      </c>
    </row>
    <row r="6847" spans="1:14" x14ac:dyDescent="0.45">
      <c r="A6847" t="s">
        <v>11709</v>
      </c>
      <c r="B6847" s="1">
        <v>45509</v>
      </c>
      <c r="C6847" t="s">
        <v>2775</v>
      </c>
      <c r="D6847" t="s">
        <v>56</v>
      </c>
      <c r="E6847" t="s">
        <v>36</v>
      </c>
      <c r="F6847" t="s">
        <v>64</v>
      </c>
      <c r="G6847">
        <v>3</v>
      </c>
      <c r="H6847">
        <v>23872.35</v>
      </c>
      <c r="I6847">
        <v>3214.55</v>
      </c>
      <c r="J6847" t="s">
        <v>28</v>
      </c>
      <c r="K6847" t="s">
        <v>33</v>
      </c>
      <c r="L6847">
        <f t="shared" si="318"/>
        <v>2024</v>
      </c>
      <c r="M6847" t="str">
        <f t="shared" si="319"/>
        <v>Aug</v>
      </c>
      <c r="N6847" s="2">
        <f t="shared" si="320"/>
        <v>0.13465578378333093</v>
      </c>
    </row>
    <row r="6848" spans="1:14" x14ac:dyDescent="0.45">
      <c r="A6848" t="s">
        <v>11710</v>
      </c>
      <c r="B6848" s="1">
        <v>45203</v>
      </c>
      <c r="C6848" t="s">
        <v>11711</v>
      </c>
      <c r="D6848" t="s">
        <v>26</v>
      </c>
      <c r="E6848" t="s">
        <v>14</v>
      </c>
      <c r="F6848" t="s">
        <v>15</v>
      </c>
      <c r="G6848">
        <v>5</v>
      </c>
      <c r="H6848">
        <v>5933.18</v>
      </c>
      <c r="I6848">
        <v>637.82000000000005</v>
      </c>
      <c r="J6848" t="s">
        <v>16</v>
      </c>
      <c r="K6848" t="s">
        <v>17</v>
      </c>
      <c r="L6848">
        <f t="shared" si="318"/>
        <v>2023</v>
      </c>
      <c r="M6848" t="str">
        <f t="shared" si="319"/>
        <v>Oct</v>
      </c>
      <c r="N6848" s="2">
        <f t="shared" si="320"/>
        <v>0.10750053091259662</v>
      </c>
    </row>
    <row r="6849" spans="1:14" x14ac:dyDescent="0.45">
      <c r="A6849" t="s">
        <v>11712</v>
      </c>
      <c r="B6849" s="1">
        <v>45271</v>
      </c>
      <c r="C6849" t="s">
        <v>11713</v>
      </c>
      <c r="D6849" t="s">
        <v>26</v>
      </c>
      <c r="E6849" t="s">
        <v>20</v>
      </c>
      <c r="F6849" t="s">
        <v>27</v>
      </c>
      <c r="G6849">
        <v>1</v>
      </c>
      <c r="H6849">
        <v>40784.959999999999</v>
      </c>
      <c r="I6849">
        <v>8830.64</v>
      </c>
      <c r="J6849" t="s">
        <v>22</v>
      </c>
      <c r="K6849" t="s">
        <v>23</v>
      </c>
      <c r="L6849">
        <f t="shared" si="318"/>
        <v>2023</v>
      </c>
      <c r="M6849" t="str">
        <f t="shared" si="319"/>
        <v>Dec</v>
      </c>
      <c r="N6849" s="2">
        <f t="shared" si="320"/>
        <v>0.21651706903721371</v>
      </c>
    </row>
    <row r="6850" spans="1:14" x14ac:dyDescent="0.45">
      <c r="A6850" t="s">
        <v>11714</v>
      </c>
      <c r="B6850" s="1">
        <v>45587</v>
      </c>
      <c r="C6850" t="s">
        <v>1504</v>
      </c>
      <c r="D6850" t="s">
        <v>13</v>
      </c>
      <c r="E6850" t="s">
        <v>20</v>
      </c>
      <c r="F6850" t="s">
        <v>50</v>
      </c>
      <c r="G6850">
        <v>2</v>
      </c>
      <c r="H6850">
        <v>19579.55</v>
      </c>
      <c r="I6850">
        <v>3206.69</v>
      </c>
      <c r="J6850" t="s">
        <v>47</v>
      </c>
      <c r="K6850" t="s">
        <v>29</v>
      </c>
      <c r="L6850">
        <f t="shared" si="318"/>
        <v>2024</v>
      </c>
      <c r="M6850" t="str">
        <f t="shared" si="319"/>
        <v>Oct</v>
      </c>
      <c r="N6850" s="2">
        <f t="shared" si="320"/>
        <v>0.16377751276204</v>
      </c>
    </row>
    <row r="6851" spans="1:14" x14ac:dyDescent="0.45">
      <c r="A6851" t="s">
        <v>11715</v>
      </c>
      <c r="B6851" s="1">
        <v>44995</v>
      </c>
      <c r="C6851" t="s">
        <v>11716</v>
      </c>
      <c r="D6851" t="s">
        <v>13</v>
      </c>
      <c r="E6851" t="s">
        <v>36</v>
      </c>
      <c r="F6851" t="s">
        <v>46</v>
      </c>
      <c r="G6851">
        <v>3</v>
      </c>
      <c r="H6851">
        <v>31750.01</v>
      </c>
      <c r="I6851">
        <v>2040.95</v>
      </c>
      <c r="J6851" t="s">
        <v>22</v>
      </c>
      <c r="K6851" t="s">
        <v>29</v>
      </c>
      <c r="L6851">
        <f t="shared" ref="L6851:L6914" si="321">YEAR(B6851 )</f>
        <v>2023</v>
      </c>
      <c r="M6851" t="str">
        <f t="shared" ref="M6851:M6914" si="322">TEXT(B6851,"MMM")</f>
        <v>Mar</v>
      </c>
      <c r="N6851" s="2">
        <f t="shared" ref="N6851:N6914" si="323">I6851 / H6851</f>
        <v>6.428186951752142E-2</v>
      </c>
    </row>
    <row r="6852" spans="1:14" x14ac:dyDescent="0.45">
      <c r="A6852" t="s">
        <v>11717</v>
      </c>
      <c r="B6852" s="1">
        <v>45621</v>
      </c>
      <c r="C6852" t="s">
        <v>11718</v>
      </c>
      <c r="D6852" t="s">
        <v>13</v>
      </c>
      <c r="E6852" t="s">
        <v>14</v>
      </c>
      <c r="F6852" t="s">
        <v>40</v>
      </c>
      <c r="G6852">
        <v>2</v>
      </c>
      <c r="H6852">
        <v>17682.8</v>
      </c>
      <c r="I6852">
        <v>1394.28</v>
      </c>
      <c r="J6852" t="s">
        <v>16</v>
      </c>
      <c r="K6852" t="s">
        <v>23</v>
      </c>
      <c r="L6852">
        <f t="shared" si="321"/>
        <v>2024</v>
      </c>
      <c r="M6852" t="str">
        <f t="shared" si="322"/>
        <v>Nov</v>
      </c>
      <c r="N6852" s="2">
        <f t="shared" si="323"/>
        <v>7.8849503472300769E-2</v>
      </c>
    </row>
    <row r="6853" spans="1:14" x14ac:dyDescent="0.45">
      <c r="A6853" t="s">
        <v>11719</v>
      </c>
      <c r="B6853" s="1">
        <v>44746</v>
      </c>
      <c r="C6853" t="s">
        <v>978</v>
      </c>
      <c r="D6853" t="s">
        <v>56</v>
      </c>
      <c r="E6853" t="s">
        <v>36</v>
      </c>
      <c r="F6853" t="s">
        <v>46</v>
      </c>
      <c r="G6853">
        <v>5</v>
      </c>
      <c r="H6853">
        <v>38020.910000000003</v>
      </c>
      <c r="I6853">
        <v>4434.62</v>
      </c>
      <c r="J6853" t="s">
        <v>28</v>
      </c>
      <c r="K6853" t="s">
        <v>33</v>
      </c>
      <c r="L6853">
        <f t="shared" si="321"/>
        <v>2022</v>
      </c>
      <c r="M6853" t="str">
        <f t="shared" si="322"/>
        <v>Jul</v>
      </c>
      <c r="N6853" s="2">
        <f t="shared" si="323"/>
        <v>0.11663634563191674</v>
      </c>
    </row>
    <row r="6854" spans="1:14" x14ac:dyDescent="0.45">
      <c r="A6854" t="s">
        <v>11720</v>
      </c>
      <c r="B6854" s="1">
        <v>45444</v>
      </c>
      <c r="C6854" t="s">
        <v>11721</v>
      </c>
      <c r="D6854" t="s">
        <v>13</v>
      </c>
      <c r="E6854" t="s">
        <v>36</v>
      </c>
      <c r="F6854" t="s">
        <v>53</v>
      </c>
      <c r="G6854">
        <v>3</v>
      </c>
      <c r="H6854">
        <v>33050.400000000001</v>
      </c>
      <c r="I6854">
        <v>7628.28</v>
      </c>
      <c r="J6854" t="s">
        <v>22</v>
      </c>
      <c r="K6854" t="s">
        <v>23</v>
      </c>
      <c r="L6854">
        <f t="shared" si="321"/>
        <v>2024</v>
      </c>
      <c r="M6854" t="str">
        <f t="shared" si="322"/>
        <v>Jun</v>
      </c>
      <c r="N6854" s="2">
        <f t="shared" si="323"/>
        <v>0.23080749400914966</v>
      </c>
    </row>
    <row r="6855" spans="1:14" x14ac:dyDescent="0.45">
      <c r="A6855" t="s">
        <v>11722</v>
      </c>
      <c r="B6855" s="1">
        <v>44635</v>
      </c>
      <c r="C6855" t="s">
        <v>11723</v>
      </c>
      <c r="D6855" t="s">
        <v>26</v>
      </c>
      <c r="E6855" t="s">
        <v>14</v>
      </c>
      <c r="F6855" t="s">
        <v>57</v>
      </c>
      <c r="G6855">
        <v>4</v>
      </c>
      <c r="H6855">
        <v>22969.08</v>
      </c>
      <c r="I6855">
        <v>3506.3</v>
      </c>
      <c r="J6855" t="s">
        <v>28</v>
      </c>
      <c r="K6855" t="s">
        <v>17</v>
      </c>
      <c r="L6855">
        <f t="shared" si="321"/>
        <v>2022</v>
      </c>
      <c r="M6855" t="str">
        <f t="shared" si="322"/>
        <v>Mar</v>
      </c>
      <c r="N6855" s="2">
        <f t="shared" si="323"/>
        <v>0.15265304487598111</v>
      </c>
    </row>
    <row r="6856" spans="1:14" x14ac:dyDescent="0.45">
      <c r="A6856" t="s">
        <v>11724</v>
      </c>
      <c r="B6856" s="1">
        <v>44623</v>
      </c>
      <c r="C6856" t="s">
        <v>5043</v>
      </c>
      <c r="D6856" t="s">
        <v>13</v>
      </c>
      <c r="E6856" t="s">
        <v>36</v>
      </c>
      <c r="F6856" t="s">
        <v>46</v>
      </c>
      <c r="G6856">
        <v>5</v>
      </c>
      <c r="H6856">
        <v>42866.27</v>
      </c>
      <c r="I6856">
        <v>7278.14</v>
      </c>
      <c r="J6856" t="s">
        <v>16</v>
      </c>
      <c r="K6856" t="s">
        <v>17</v>
      </c>
      <c r="L6856">
        <f t="shared" si="321"/>
        <v>2022</v>
      </c>
      <c r="M6856" t="str">
        <f t="shared" si="322"/>
        <v>Mar</v>
      </c>
      <c r="N6856" s="2">
        <f t="shared" si="323"/>
        <v>0.16978710767230273</v>
      </c>
    </row>
    <row r="6857" spans="1:14" x14ac:dyDescent="0.45">
      <c r="A6857" t="s">
        <v>11725</v>
      </c>
      <c r="B6857" s="1">
        <v>44674</v>
      </c>
      <c r="C6857" t="s">
        <v>1666</v>
      </c>
      <c r="D6857" t="s">
        <v>56</v>
      </c>
      <c r="E6857" t="s">
        <v>20</v>
      </c>
      <c r="F6857" t="s">
        <v>50</v>
      </c>
      <c r="G6857">
        <v>4</v>
      </c>
      <c r="H6857">
        <v>40040.75</v>
      </c>
      <c r="I6857">
        <v>2632.5</v>
      </c>
      <c r="J6857" t="s">
        <v>47</v>
      </c>
      <c r="K6857" t="s">
        <v>29</v>
      </c>
      <c r="L6857">
        <f t="shared" si="321"/>
        <v>2022</v>
      </c>
      <c r="M6857" t="str">
        <f t="shared" si="322"/>
        <v>Apr</v>
      </c>
      <c r="N6857" s="2">
        <f t="shared" si="323"/>
        <v>6.574552174971747E-2</v>
      </c>
    </row>
    <row r="6858" spans="1:14" x14ac:dyDescent="0.45">
      <c r="A6858" t="s">
        <v>11726</v>
      </c>
      <c r="B6858" s="1">
        <v>45213</v>
      </c>
      <c r="C6858" t="s">
        <v>8982</v>
      </c>
      <c r="D6858" t="s">
        <v>13</v>
      </c>
      <c r="E6858" t="s">
        <v>20</v>
      </c>
      <c r="F6858" t="s">
        <v>50</v>
      </c>
      <c r="G6858">
        <v>3</v>
      </c>
      <c r="H6858">
        <v>40353.67</v>
      </c>
      <c r="I6858">
        <v>2524.85</v>
      </c>
      <c r="J6858" t="s">
        <v>28</v>
      </c>
      <c r="K6858" t="s">
        <v>17</v>
      </c>
      <c r="L6858">
        <f t="shared" si="321"/>
        <v>2023</v>
      </c>
      <c r="M6858" t="str">
        <f t="shared" si="322"/>
        <v>Oct</v>
      </c>
      <c r="N6858" s="2">
        <f t="shared" si="323"/>
        <v>6.2568039040810916E-2</v>
      </c>
    </row>
    <row r="6859" spans="1:14" x14ac:dyDescent="0.45">
      <c r="A6859" t="s">
        <v>11727</v>
      </c>
      <c r="B6859" s="1">
        <v>45413</v>
      </c>
      <c r="C6859" t="s">
        <v>2301</v>
      </c>
      <c r="D6859" t="s">
        <v>26</v>
      </c>
      <c r="E6859" t="s">
        <v>14</v>
      </c>
      <c r="F6859" t="s">
        <v>57</v>
      </c>
      <c r="G6859">
        <v>3</v>
      </c>
      <c r="H6859">
        <v>9484.42</v>
      </c>
      <c r="I6859">
        <v>1642.54</v>
      </c>
      <c r="J6859" t="s">
        <v>71</v>
      </c>
      <c r="K6859" t="s">
        <v>17</v>
      </c>
      <c r="L6859">
        <f t="shared" si="321"/>
        <v>2024</v>
      </c>
      <c r="M6859" t="str">
        <f t="shared" si="322"/>
        <v>May</v>
      </c>
      <c r="N6859" s="2">
        <f t="shared" si="323"/>
        <v>0.17318296743501446</v>
      </c>
    </row>
    <row r="6860" spans="1:14" x14ac:dyDescent="0.45">
      <c r="A6860" t="s">
        <v>11728</v>
      </c>
      <c r="B6860" s="1">
        <v>45473</v>
      </c>
      <c r="C6860" t="s">
        <v>11729</v>
      </c>
      <c r="D6860" t="s">
        <v>13</v>
      </c>
      <c r="E6860" t="s">
        <v>14</v>
      </c>
      <c r="F6860" t="s">
        <v>57</v>
      </c>
      <c r="G6860">
        <v>5</v>
      </c>
      <c r="H6860">
        <v>20681.21</v>
      </c>
      <c r="I6860">
        <v>3791.35</v>
      </c>
      <c r="J6860" t="s">
        <v>28</v>
      </c>
      <c r="K6860" t="s">
        <v>17</v>
      </c>
      <c r="L6860">
        <f t="shared" si="321"/>
        <v>2024</v>
      </c>
      <c r="M6860" t="str">
        <f t="shared" si="322"/>
        <v>Jun</v>
      </c>
      <c r="N6860" s="2">
        <f t="shared" si="323"/>
        <v>0.18332341289508688</v>
      </c>
    </row>
    <row r="6861" spans="1:14" x14ac:dyDescent="0.45">
      <c r="A6861" t="s">
        <v>11730</v>
      </c>
      <c r="B6861" s="1">
        <v>44601</v>
      </c>
      <c r="C6861" t="s">
        <v>11731</v>
      </c>
      <c r="D6861" t="s">
        <v>56</v>
      </c>
      <c r="E6861" t="s">
        <v>14</v>
      </c>
      <c r="F6861" t="s">
        <v>15</v>
      </c>
      <c r="G6861">
        <v>2</v>
      </c>
      <c r="H6861">
        <v>47995.41</v>
      </c>
      <c r="I6861">
        <v>3305.05</v>
      </c>
      <c r="J6861" t="s">
        <v>28</v>
      </c>
      <c r="K6861" t="s">
        <v>29</v>
      </c>
      <c r="L6861">
        <f t="shared" si="321"/>
        <v>2022</v>
      </c>
      <c r="M6861" t="str">
        <f t="shared" si="322"/>
        <v>Feb</v>
      </c>
      <c r="N6861" s="2">
        <f t="shared" si="323"/>
        <v>6.8861793242312133E-2</v>
      </c>
    </row>
    <row r="6862" spans="1:14" x14ac:dyDescent="0.45">
      <c r="A6862" t="s">
        <v>11732</v>
      </c>
      <c r="B6862" s="1">
        <v>45084</v>
      </c>
      <c r="C6862" t="s">
        <v>2578</v>
      </c>
      <c r="D6862" t="s">
        <v>26</v>
      </c>
      <c r="E6862" t="s">
        <v>14</v>
      </c>
      <c r="F6862" t="s">
        <v>57</v>
      </c>
      <c r="G6862">
        <v>2</v>
      </c>
      <c r="H6862">
        <v>40379.589999999997</v>
      </c>
      <c r="I6862">
        <v>3542.75</v>
      </c>
      <c r="J6862" t="s">
        <v>22</v>
      </c>
      <c r="K6862" t="s">
        <v>17</v>
      </c>
      <c r="L6862">
        <f t="shared" si="321"/>
        <v>2023</v>
      </c>
      <c r="M6862" t="str">
        <f t="shared" si="322"/>
        <v>Jun</v>
      </c>
      <c r="N6862" s="2">
        <f t="shared" si="323"/>
        <v>8.7736155815351283E-2</v>
      </c>
    </row>
    <row r="6863" spans="1:14" x14ac:dyDescent="0.45">
      <c r="A6863" t="s">
        <v>11733</v>
      </c>
      <c r="B6863" s="1">
        <v>44990</v>
      </c>
      <c r="C6863" t="s">
        <v>6752</v>
      </c>
      <c r="D6863" t="s">
        <v>26</v>
      </c>
      <c r="E6863" t="s">
        <v>14</v>
      </c>
      <c r="F6863" t="s">
        <v>32</v>
      </c>
      <c r="G6863">
        <v>1</v>
      </c>
      <c r="H6863">
        <v>32230.12</v>
      </c>
      <c r="I6863">
        <v>6485.81</v>
      </c>
      <c r="J6863" t="s">
        <v>22</v>
      </c>
      <c r="K6863" t="s">
        <v>33</v>
      </c>
      <c r="L6863">
        <f t="shared" si="321"/>
        <v>2023</v>
      </c>
      <c r="M6863" t="str">
        <f t="shared" si="322"/>
        <v>Mar</v>
      </c>
      <c r="N6863" s="2">
        <f t="shared" si="323"/>
        <v>0.20123443536666946</v>
      </c>
    </row>
    <row r="6864" spans="1:14" x14ac:dyDescent="0.45">
      <c r="A6864" t="s">
        <v>11734</v>
      </c>
      <c r="B6864" s="1">
        <v>44602</v>
      </c>
      <c r="C6864" t="s">
        <v>708</v>
      </c>
      <c r="D6864" t="s">
        <v>13</v>
      </c>
      <c r="E6864" t="s">
        <v>14</v>
      </c>
      <c r="F6864" t="s">
        <v>32</v>
      </c>
      <c r="G6864">
        <v>5</v>
      </c>
      <c r="H6864">
        <v>38136.06</v>
      </c>
      <c r="I6864">
        <v>5240.62</v>
      </c>
      <c r="J6864" t="s">
        <v>22</v>
      </c>
      <c r="K6864" t="s">
        <v>23</v>
      </c>
      <c r="L6864">
        <f t="shared" si="321"/>
        <v>2022</v>
      </c>
      <c r="M6864" t="str">
        <f t="shared" si="322"/>
        <v>Feb</v>
      </c>
      <c r="N6864" s="2">
        <f t="shared" si="323"/>
        <v>0.13741902021341482</v>
      </c>
    </row>
    <row r="6865" spans="1:14" x14ac:dyDescent="0.45">
      <c r="A6865" t="s">
        <v>11735</v>
      </c>
      <c r="B6865" s="1">
        <v>45257</v>
      </c>
      <c r="C6865" t="s">
        <v>11736</v>
      </c>
      <c r="D6865" t="s">
        <v>56</v>
      </c>
      <c r="E6865" t="s">
        <v>36</v>
      </c>
      <c r="F6865" t="s">
        <v>37</v>
      </c>
      <c r="G6865">
        <v>3</v>
      </c>
      <c r="H6865">
        <v>23516.37</v>
      </c>
      <c r="I6865">
        <v>1799.52</v>
      </c>
      <c r="J6865" t="s">
        <v>28</v>
      </c>
      <c r="K6865" t="s">
        <v>33</v>
      </c>
      <c r="L6865">
        <f t="shared" si="321"/>
        <v>2023</v>
      </c>
      <c r="M6865" t="str">
        <f t="shared" si="322"/>
        <v>Nov</v>
      </c>
      <c r="N6865" s="2">
        <f t="shared" si="323"/>
        <v>7.6522014239442576E-2</v>
      </c>
    </row>
    <row r="6866" spans="1:14" x14ac:dyDescent="0.45">
      <c r="A6866" t="s">
        <v>11737</v>
      </c>
      <c r="B6866" s="1">
        <v>44973</v>
      </c>
      <c r="C6866" t="s">
        <v>11738</v>
      </c>
      <c r="D6866" t="s">
        <v>26</v>
      </c>
      <c r="E6866" t="s">
        <v>14</v>
      </c>
      <c r="F6866" t="s">
        <v>15</v>
      </c>
      <c r="G6866">
        <v>3</v>
      </c>
      <c r="H6866">
        <v>26648.79</v>
      </c>
      <c r="I6866">
        <v>5960.42</v>
      </c>
      <c r="J6866" t="s">
        <v>47</v>
      </c>
      <c r="K6866" t="s">
        <v>23</v>
      </c>
      <c r="L6866">
        <f t="shared" si="321"/>
        <v>2023</v>
      </c>
      <c r="M6866" t="str">
        <f t="shared" si="322"/>
        <v>Feb</v>
      </c>
      <c r="N6866" s="2">
        <f t="shared" si="323"/>
        <v>0.22366568988685789</v>
      </c>
    </row>
    <row r="6867" spans="1:14" x14ac:dyDescent="0.45">
      <c r="A6867" t="s">
        <v>11739</v>
      </c>
      <c r="B6867" s="1">
        <v>45531</v>
      </c>
      <c r="C6867" t="s">
        <v>526</v>
      </c>
      <c r="D6867" t="s">
        <v>13</v>
      </c>
      <c r="E6867" t="s">
        <v>20</v>
      </c>
      <c r="F6867" t="s">
        <v>43</v>
      </c>
      <c r="G6867">
        <v>1</v>
      </c>
      <c r="H6867">
        <v>34825.85</v>
      </c>
      <c r="I6867">
        <v>4612.49</v>
      </c>
      <c r="J6867" t="s">
        <v>22</v>
      </c>
      <c r="K6867" t="s">
        <v>17</v>
      </c>
      <c r="L6867">
        <f t="shared" si="321"/>
        <v>2024</v>
      </c>
      <c r="M6867" t="str">
        <f t="shared" si="322"/>
        <v>Aug</v>
      </c>
      <c r="N6867" s="2">
        <f t="shared" si="323"/>
        <v>0.13244443423491459</v>
      </c>
    </row>
    <row r="6868" spans="1:14" x14ac:dyDescent="0.45">
      <c r="A6868" t="s">
        <v>11740</v>
      </c>
      <c r="B6868" s="1">
        <v>45503</v>
      </c>
      <c r="C6868" t="s">
        <v>11741</v>
      </c>
      <c r="D6868" t="s">
        <v>56</v>
      </c>
      <c r="E6868" t="s">
        <v>14</v>
      </c>
      <c r="F6868" t="s">
        <v>40</v>
      </c>
      <c r="G6868">
        <v>4</v>
      </c>
      <c r="H6868">
        <v>36363.980000000003</v>
      </c>
      <c r="I6868">
        <v>7729.44</v>
      </c>
      <c r="J6868" t="s">
        <v>22</v>
      </c>
      <c r="K6868" t="s">
        <v>29</v>
      </c>
      <c r="L6868">
        <f t="shared" si="321"/>
        <v>2024</v>
      </c>
      <c r="M6868" t="str">
        <f t="shared" si="322"/>
        <v>Jul</v>
      </c>
      <c r="N6868" s="2">
        <f t="shared" si="323"/>
        <v>0.21255759133076191</v>
      </c>
    </row>
    <row r="6869" spans="1:14" x14ac:dyDescent="0.45">
      <c r="A6869" t="s">
        <v>11742</v>
      </c>
      <c r="B6869" s="1">
        <v>45490</v>
      </c>
      <c r="C6869" t="s">
        <v>6050</v>
      </c>
      <c r="D6869" t="s">
        <v>13</v>
      </c>
      <c r="E6869" t="s">
        <v>20</v>
      </c>
      <c r="F6869" t="s">
        <v>21</v>
      </c>
      <c r="G6869">
        <v>3</v>
      </c>
      <c r="H6869">
        <v>12054.52</v>
      </c>
      <c r="I6869">
        <v>1549.41</v>
      </c>
      <c r="J6869" t="s">
        <v>22</v>
      </c>
      <c r="K6869" t="s">
        <v>33</v>
      </c>
      <c r="L6869">
        <f t="shared" si="321"/>
        <v>2024</v>
      </c>
      <c r="M6869" t="str">
        <f t="shared" si="322"/>
        <v>Jul</v>
      </c>
      <c r="N6869" s="2">
        <f t="shared" si="323"/>
        <v>0.12853352933173615</v>
      </c>
    </row>
    <row r="6870" spans="1:14" x14ac:dyDescent="0.45">
      <c r="A6870" t="s">
        <v>11743</v>
      </c>
      <c r="B6870" s="1">
        <v>44763</v>
      </c>
      <c r="C6870" t="s">
        <v>11744</v>
      </c>
      <c r="D6870" t="s">
        <v>56</v>
      </c>
      <c r="E6870" t="s">
        <v>20</v>
      </c>
      <c r="F6870" t="s">
        <v>50</v>
      </c>
      <c r="G6870">
        <v>5</v>
      </c>
      <c r="H6870">
        <v>21549.24</v>
      </c>
      <c r="I6870">
        <v>2973.99</v>
      </c>
      <c r="J6870" t="s">
        <v>47</v>
      </c>
      <c r="K6870" t="s">
        <v>23</v>
      </c>
      <c r="L6870">
        <f t="shared" si="321"/>
        <v>2022</v>
      </c>
      <c r="M6870" t="str">
        <f t="shared" si="322"/>
        <v>Jul</v>
      </c>
      <c r="N6870" s="2">
        <f t="shared" si="323"/>
        <v>0.138009043474387</v>
      </c>
    </row>
    <row r="6871" spans="1:14" x14ac:dyDescent="0.45">
      <c r="A6871" t="s">
        <v>11745</v>
      </c>
      <c r="B6871" s="1">
        <v>45228</v>
      </c>
      <c r="C6871" t="s">
        <v>3341</v>
      </c>
      <c r="D6871" t="s">
        <v>56</v>
      </c>
      <c r="E6871" t="s">
        <v>20</v>
      </c>
      <c r="F6871" t="s">
        <v>43</v>
      </c>
      <c r="G6871">
        <v>4</v>
      </c>
      <c r="H6871">
        <v>16231.88</v>
      </c>
      <c r="I6871">
        <v>3302.42</v>
      </c>
      <c r="J6871" t="s">
        <v>47</v>
      </c>
      <c r="K6871" t="s">
        <v>29</v>
      </c>
      <c r="L6871">
        <f t="shared" si="321"/>
        <v>2023</v>
      </c>
      <c r="M6871" t="str">
        <f t="shared" si="322"/>
        <v>Oct</v>
      </c>
      <c r="N6871" s="2">
        <f t="shared" si="323"/>
        <v>0.20345271157746361</v>
      </c>
    </row>
    <row r="6872" spans="1:14" x14ac:dyDescent="0.45">
      <c r="A6872" t="s">
        <v>11746</v>
      </c>
      <c r="B6872" s="1">
        <v>45033</v>
      </c>
      <c r="C6872" t="s">
        <v>4634</v>
      </c>
      <c r="D6872" t="s">
        <v>13</v>
      </c>
      <c r="E6872" t="s">
        <v>14</v>
      </c>
      <c r="F6872" t="s">
        <v>15</v>
      </c>
      <c r="G6872">
        <v>4</v>
      </c>
      <c r="H6872">
        <v>9642.74</v>
      </c>
      <c r="I6872">
        <v>1380.39</v>
      </c>
      <c r="J6872" t="s">
        <v>71</v>
      </c>
      <c r="K6872" t="s">
        <v>17</v>
      </c>
      <c r="L6872">
        <f t="shared" si="321"/>
        <v>2023</v>
      </c>
      <c r="M6872" t="str">
        <f t="shared" si="322"/>
        <v>Apr</v>
      </c>
      <c r="N6872" s="2">
        <f t="shared" si="323"/>
        <v>0.14315329460298631</v>
      </c>
    </row>
    <row r="6873" spans="1:14" x14ac:dyDescent="0.45">
      <c r="A6873" t="s">
        <v>11747</v>
      </c>
      <c r="B6873" s="1">
        <v>45301</v>
      </c>
      <c r="C6873" t="s">
        <v>4305</v>
      </c>
      <c r="D6873" t="s">
        <v>13</v>
      </c>
      <c r="E6873" t="s">
        <v>14</v>
      </c>
      <c r="F6873" t="s">
        <v>32</v>
      </c>
      <c r="G6873">
        <v>2</v>
      </c>
      <c r="H6873">
        <v>26319.53</v>
      </c>
      <c r="I6873">
        <v>3490.74</v>
      </c>
      <c r="J6873" t="s">
        <v>16</v>
      </c>
      <c r="K6873" t="s">
        <v>23</v>
      </c>
      <c r="L6873">
        <f t="shared" si="321"/>
        <v>2024</v>
      </c>
      <c r="M6873" t="str">
        <f t="shared" si="322"/>
        <v>Jan</v>
      </c>
      <c r="N6873" s="2">
        <f t="shared" si="323"/>
        <v>0.13262926807583569</v>
      </c>
    </row>
    <row r="6874" spans="1:14" x14ac:dyDescent="0.45">
      <c r="A6874" t="s">
        <v>11748</v>
      </c>
      <c r="B6874" s="1">
        <v>44920</v>
      </c>
      <c r="C6874" t="s">
        <v>11749</v>
      </c>
      <c r="D6874" t="s">
        <v>56</v>
      </c>
      <c r="E6874" t="s">
        <v>14</v>
      </c>
      <c r="F6874" t="s">
        <v>57</v>
      </c>
      <c r="G6874">
        <v>2</v>
      </c>
      <c r="H6874">
        <v>3786.97</v>
      </c>
      <c r="I6874">
        <v>423.84</v>
      </c>
      <c r="J6874" t="s">
        <v>28</v>
      </c>
      <c r="K6874" t="s">
        <v>29</v>
      </c>
      <c r="L6874">
        <f t="shared" si="321"/>
        <v>2022</v>
      </c>
      <c r="M6874" t="str">
        <f t="shared" si="322"/>
        <v>Dec</v>
      </c>
      <c r="N6874" s="2">
        <f t="shared" si="323"/>
        <v>0.11192061199322942</v>
      </c>
    </row>
    <row r="6875" spans="1:14" x14ac:dyDescent="0.45">
      <c r="A6875" t="s">
        <v>11750</v>
      </c>
      <c r="B6875" s="1">
        <v>44835</v>
      </c>
      <c r="C6875" t="s">
        <v>974</v>
      </c>
      <c r="D6875" t="s">
        <v>56</v>
      </c>
      <c r="E6875" t="s">
        <v>36</v>
      </c>
      <c r="F6875" t="s">
        <v>37</v>
      </c>
      <c r="G6875">
        <v>5</v>
      </c>
      <c r="H6875">
        <v>5513.92</v>
      </c>
      <c r="I6875">
        <v>914.78</v>
      </c>
      <c r="J6875" t="s">
        <v>71</v>
      </c>
      <c r="K6875" t="s">
        <v>23</v>
      </c>
      <c r="L6875">
        <f t="shared" si="321"/>
        <v>2022</v>
      </c>
      <c r="M6875" t="str">
        <f t="shared" si="322"/>
        <v>Oct</v>
      </c>
      <c r="N6875" s="2">
        <f t="shared" si="323"/>
        <v>0.16590374905693225</v>
      </c>
    </row>
    <row r="6876" spans="1:14" x14ac:dyDescent="0.45">
      <c r="A6876" t="s">
        <v>11751</v>
      </c>
      <c r="B6876" s="1">
        <v>45376</v>
      </c>
      <c r="C6876" t="s">
        <v>7350</v>
      </c>
      <c r="D6876" t="s">
        <v>26</v>
      </c>
      <c r="E6876" t="s">
        <v>36</v>
      </c>
      <c r="F6876" t="s">
        <v>46</v>
      </c>
      <c r="G6876">
        <v>2</v>
      </c>
      <c r="H6876">
        <v>49228.05</v>
      </c>
      <c r="I6876">
        <v>3843.61</v>
      </c>
      <c r="J6876" t="s">
        <v>47</v>
      </c>
      <c r="K6876" t="s">
        <v>17</v>
      </c>
      <c r="L6876">
        <f t="shared" si="321"/>
        <v>2024</v>
      </c>
      <c r="M6876" t="str">
        <f t="shared" si="322"/>
        <v>Mar</v>
      </c>
      <c r="N6876" s="2">
        <f t="shared" si="323"/>
        <v>7.8077640694685244E-2</v>
      </c>
    </row>
    <row r="6877" spans="1:14" x14ac:dyDescent="0.45">
      <c r="A6877" t="s">
        <v>11752</v>
      </c>
      <c r="B6877" s="1">
        <v>45019</v>
      </c>
      <c r="C6877" t="s">
        <v>11753</v>
      </c>
      <c r="D6877" t="s">
        <v>13</v>
      </c>
      <c r="E6877" t="s">
        <v>20</v>
      </c>
      <c r="F6877" t="s">
        <v>43</v>
      </c>
      <c r="G6877">
        <v>4</v>
      </c>
      <c r="H6877">
        <v>9774.6</v>
      </c>
      <c r="I6877">
        <v>2179.81</v>
      </c>
      <c r="J6877" t="s">
        <v>16</v>
      </c>
      <c r="K6877" t="s">
        <v>29</v>
      </c>
      <c r="L6877">
        <f t="shared" si="321"/>
        <v>2023</v>
      </c>
      <c r="M6877" t="str">
        <f t="shared" si="322"/>
        <v>Apr</v>
      </c>
      <c r="N6877" s="2">
        <f t="shared" si="323"/>
        <v>0.22300759110347226</v>
      </c>
    </row>
    <row r="6878" spans="1:14" x14ac:dyDescent="0.45">
      <c r="A6878" t="s">
        <v>11754</v>
      </c>
      <c r="B6878" s="1">
        <v>45478</v>
      </c>
      <c r="C6878" t="s">
        <v>4064</v>
      </c>
      <c r="D6878" t="s">
        <v>13</v>
      </c>
      <c r="E6878" t="s">
        <v>14</v>
      </c>
      <c r="F6878" t="s">
        <v>57</v>
      </c>
      <c r="G6878">
        <v>3</v>
      </c>
      <c r="H6878">
        <v>44747.27</v>
      </c>
      <c r="I6878">
        <v>10838.81</v>
      </c>
      <c r="J6878" t="s">
        <v>22</v>
      </c>
      <c r="K6878" t="s">
        <v>17</v>
      </c>
      <c r="L6878">
        <f t="shared" si="321"/>
        <v>2024</v>
      </c>
      <c r="M6878" t="str">
        <f t="shared" si="322"/>
        <v>Jul</v>
      </c>
      <c r="N6878" s="2">
        <f t="shared" si="323"/>
        <v>0.24222282163805747</v>
      </c>
    </row>
    <row r="6879" spans="1:14" x14ac:dyDescent="0.45">
      <c r="A6879" t="s">
        <v>11755</v>
      </c>
      <c r="B6879" s="1">
        <v>44627</v>
      </c>
      <c r="C6879" t="s">
        <v>11756</v>
      </c>
      <c r="D6879" t="s">
        <v>26</v>
      </c>
      <c r="E6879" t="s">
        <v>20</v>
      </c>
      <c r="F6879" t="s">
        <v>27</v>
      </c>
      <c r="G6879">
        <v>4</v>
      </c>
      <c r="H6879">
        <v>44424.45</v>
      </c>
      <c r="I6879">
        <v>2559.88</v>
      </c>
      <c r="J6879" t="s">
        <v>22</v>
      </c>
      <c r="K6879" t="s">
        <v>33</v>
      </c>
      <c r="L6879">
        <f t="shared" si="321"/>
        <v>2022</v>
      </c>
      <c r="M6879" t="str">
        <f t="shared" si="322"/>
        <v>Mar</v>
      </c>
      <c r="N6879" s="2">
        <f t="shared" si="323"/>
        <v>5.7623223247558503E-2</v>
      </c>
    </row>
    <row r="6880" spans="1:14" x14ac:dyDescent="0.45">
      <c r="A6880" t="s">
        <v>11757</v>
      </c>
      <c r="B6880" s="1">
        <v>44920</v>
      </c>
      <c r="C6880" t="s">
        <v>11758</v>
      </c>
      <c r="D6880" t="s">
        <v>56</v>
      </c>
      <c r="E6880" t="s">
        <v>36</v>
      </c>
      <c r="F6880" t="s">
        <v>64</v>
      </c>
      <c r="G6880">
        <v>4</v>
      </c>
      <c r="H6880">
        <v>35199.65</v>
      </c>
      <c r="I6880">
        <v>6152.66</v>
      </c>
      <c r="J6880" t="s">
        <v>28</v>
      </c>
      <c r="K6880" t="s">
        <v>29</v>
      </c>
      <c r="L6880">
        <f t="shared" si="321"/>
        <v>2022</v>
      </c>
      <c r="M6880" t="str">
        <f t="shared" si="322"/>
        <v>Dec</v>
      </c>
      <c r="N6880" s="2">
        <f t="shared" si="323"/>
        <v>0.17479321527344732</v>
      </c>
    </row>
    <row r="6881" spans="1:14" x14ac:dyDescent="0.45">
      <c r="A6881" t="s">
        <v>11759</v>
      </c>
      <c r="B6881" s="1">
        <v>45627</v>
      </c>
      <c r="C6881" t="s">
        <v>11760</v>
      </c>
      <c r="D6881" t="s">
        <v>13</v>
      </c>
      <c r="E6881" t="s">
        <v>36</v>
      </c>
      <c r="F6881" t="s">
        <v>64</v>
      </c>
      <c r="G6881">
        <v>4</v>
      </c>
      <c r="H6881">
        <v>18163.39</v>
      </c>
      <c r="I6881">
        <v>4489.18</v>
      </c>
      <c r="J6881" t="s">
        <v>71</v>
      </c>
      <c r="K6881" t="s">
        <v>29</v>
      </c>
      <c r="L6881">
        <f t="shared" si="321"/>
        <v>2024</v>
      </c>
      <c r="M6881" t="str">
        <f t="shared" si="322"/>
        <v>Dec</v>
      </c>
      <c r="N6881" s="2">
        <f t="shared" si="323"/>
        <v>0.2471554043600892</v>
      </c>
    </row>
    <row r="6882" spans="1:14" x14ac:dyDescent="0.45">
      <c r="A6882" t="s">
        <v>11761</v>
      </c>
      <c r="B6882" s="1">
        <v>45465</v>
      </c>
      <c r="C6882" t="s">
        <v>11762</v>
      </c>
      <c r="D6882" t="s">
        <v>13</v>
      </c>
      <c r="E6882" t="s">
        <v>14</v>
      </c>
      <c r="F6882" t="s">
        <v>57</v>
      </c>
      <c r="G6882">
        <v>1</v>
      </c>
      <c r="H6882">
        <v>27414.46</v>
      </c>
      <c r="I6882">
        <v>1555.39</v>
      </c>
      <c r="J6882" t="s">
        <v>71</v>
      </c>
      <c r="K6882" t="s">
        <v>33</v>
      </c>
      <c r="L6882">
        <f t="shared" si="321"/>
        <v>2024</v>
      </c>
      <c r="M6882" t="str">
        <f t="shared" si="322"/>
        <v>Jun</v>
      </c>
      <c r="N6882" s="2">
        <f t="shared" si="323"/>
        <v>5.673611663333876E-2</v>
      </c>
    </row>
    <row r="6883" spans="1:14" x14ac:dyDescent="0.45">
      <c r="A6883" t="s">
        <v>11763</v>
      </c>
      <c r="B6883" s="1">
        <v>45516</v>
      </c>
      <c r="C6883" t="s">
        <v>3064</v>
      </c>
      <c r="D6883" t="s">
        <v>26</v>
      </c>
      <c r="E6883" t="s">
        <v>20</v>
      </c>
      <c r="F6883" t="s">
        <v>21</v>
      </c>
      <c r="G6883">
        <v>5</v>
      </c>
      <c r="H6883">
        <v>12395.09</v>
      </c>
      <c r="I6883">
        <v>1081.8699999999999</v>
      </c>
      <c r="J6883" t="s">
        <v>28</v>
      </c>
      <c r="K6883" t="s">
        <v>23</v>
      </c>
      <c r="L6883">
        <f t="shared" si="321"/>
        <v>2024</v>
      </c>
      <c r="M6883" t="str">
        <f t="shared" si="322"/>
        <v>Aug</v>
      </c>
      <c r="N6883" s="2">
        <f t="shared" si="323"/>
        <v>8.7282141557665158E-2</v>
      </c>
    </row>
    <row r="6884" spans="1:14" x14ac:dyDescent="0.45">
      <c r="A6884" t="s">
        <v>11764</v>
      </c>
      <c r="B6884" s="1">
        <v>44981</v>
      </c>
      <c r="C6884" t="s">
        <v>547</v>
      </c>
      <c r="D6884" t="s">
        <v>56</v>
      </c>
      <c r="E6884" t="s">
        <v>20</v>
      </c>
      <c r="F6884" t="s">
        <v>50</v>
      </c>
      <c r="G6884">
        <v>5</v>
      </c>
      <c r="H6884">
        <v>12827.96</v>
      </c>
      <c r="I6884">
        <v>1703.31</v>
      </c>
      <c r="J6884" t="s">
        <v>22</v>
      </c>
      <c r="K6884" t="s">
        <v>33</v>
      </c>
      <c r="L6884">
        <f t="shared" si="321"/>
        <v>2023</v>
      </c>
      <c r="M6884" t="str">
        <f t="shared" si="322"/>
        <v>Feb</v>
      </c>
      <c r="N6884" s="2">
        <f t="shared" si="323"/>
        <v>0.13278105014359259</v>
      </c>
    </row>
    <row r="6885" spans="1:14" x14ac:dyDescent="0.45">
      <c r="A6885" t="s">
        <v>11765</v>
      </c>
      <c r="B6885" s="1">
        <v>45594</v>
      </c>
      <c r="C6885" t="s">
        <v>11766</v>
      </c>
      <c r="D6885" t="s">
        <v>26</v>
      </c>
      <c r="E6885" t="s">
        <v>36</v>
      </c>
      <c r="F6885" t="s">
        <v>64</v>
      </c>
      <c r="G6885">
        <v>4</v>
      </c>
      <c r="H6885">
        <v>15052.3</v>
      </c>
      <c r="I6885">
        <v>1842.58</v>
      </c>
      <c r="J6885" t="s">
        <v>16</v>
      </c>
      <c r="K6885" t="s">
        <v>33</v>
      </c>
      <c r="L6885">
        <f t="shared" si="321"/>
        <v>2024</v>
      </c>
      <c r="M6885" t="str">
        <f t="shared" si="322"/>
        <v>Oct</v>
      </c>
      <c r="N6885" s="2">
        <f t="shared" si="323"/>
        <v>0.12241185732412987</v>
      </c>
    </row>
    <row r="6886" spans="1:14" x14ac:dyDescent="0.45">
      <c r="A6886" t="s">
        <v>11767</v>
      </c>
      <c r="B6886" s="1">
        <v>45361</v>
      </c>
      <c r="C6886" t="s">
        <v>11768</v>
      </c>
      <c r="D6886" t="s">
        <v>26</v>
      </c>
      <c r="E6886" t="s">
        <v>20</v>
      </c>
      <c r="F6886" t="s">
        <v>43</v>
      </c>
      <c r="G6886">
        <v>3</v>
      </c>
      <c r="H6886">
        <v>39048.300000000003</v>
      </c>
      <c r="I6886">
        <v>7414.56</v>
      </c>
      <c r="J6886" t="s">
        <v>47</v>
      </c>
      <c r="K6886" t="s">
        <v>29</v>
      </c>
      <c r="L6886">
        <f t="shared" si="321"/>
        <v>2024</v>
      </c>
      <c r="M6886" t="str">
        <f t="shared" si="322"/>
        <v>Mar</v>
      </c>
      <c r="N6886" s="2">
        <f t="shared" si="323"/>
        <v>0.18988176181805611</v>
      </c>
    </row>
    <row r="6887" spans="1:14" x14ac:dyDescent="0.45">
      <c r="A6887" t="s">
        <v>11769</v>
      </c>
      <c r="B6887" s="1">
        <v>45197</v>
      </c>
      <c r="C6887" t="s">
        <v>6294</v>
      </c>
      <c r="D6887" t="s">
        <v>13</v>
      </c>
      <c r="E6887" t="s">
        <v>14</v>
      </c>
      <c r="F6887" t="s">
        <v>15</v>
      </c>
      <c r="G6887">
        <v>4</v>
      </c>
      <c r="H6887">
        <v>44926.25</v>
      </c>
      <c r="I6887">
        <v>3908.74</v>
      </c>
      <c r="J6887" t="s">
        <v>28</v>
      </c>
      <c r="K6887" t="s">
        <v>29</v>
      </c>
      <c r="L6887">
        <f t="shared" si="321"/>
        <v>2023</v>
      </c>
      <c r="M6887" t="str">
        <f t="shared" si="322"/>
        <v>Sep</v>
      </c>
      <c r="N6887" s="2">
        <f t="shared" si="323"/>
        <v>8.7003477922150185E-2</v>
      </c>
    </row>
    <row r="6888" spans="1:14" x14ac:dyDescent="0.45">
      <c r="A6888" t="s">
        <v>11770</v>
      </c>
      <c r="B6888" s="1">
        <v>44967</v>
      </c>
      <c r="C6888" t="s">
        <v>4724</v>
      </c>
      <c r="D6888" t="s">
        <v>26</v>
      </c>
      <c r="E6888" t="s">
        <v>14</v>
      </c>
      <c r="F6888" t="s">
        <v>57</v>
      </c>
      <c r="G6888">
        <v>4</v>
      </c>
      <c r="H6888">
        <v>43076.12</v>
      </c>
      <c r="I6888">
        <v>7104.38</v>
      </c>
      <c r="J6888" t="s">
        <v>47</v>
      </c>
      <c r="K6888" t="s">
        <v>23</v>
      </c>
      <c r="L6888">
        <f t="shared" si="321"/>
        <v>2023</v>
      </c>
      <c r="M6888" t="str">
        <f t="shared" si="322"/>
        <v>Feb</v>
      </c>
      <c r="N6888" s="2">
        <f t="shared" si="323"/>
        <v>0.16492618183810426</v>
      </c>
    </row>
    <row r="6889" spans="1:14" x14ac:dyDescent="0.45">
      <c r="A6889" t="s">
        <v>11771</v>
      </c>
      <c r="B6889" s="1">
        <v>44756</v>
      </c>
      <c r="C6889" t="s">
        <v>11772</v>
      </c>
      <c r="D6889" t="s">
        <v>56</v>
      </c>
      <c r="E6889" t="s">
        <v>20</v>
      </c>
      <c r="F6889" t="s">
        <v>21</v>
      </c>
      <c r="G6889">
        <v>5</v>
      </c>
      <c r="H6889">
        <v>26672.959999999999</v>
      </c>
      <c r="I6889">
        <v>2147.98</v>
      </c>
      <c r="J6889" t="s">
        <v>16</v>
      </c>
      <c r="K6889" t="s">
        <v>23</v>
      </c>
      <c r="L6889">
        <f t="shared" si="321"/>
        <v>2022</v>
      </c>
      <c r="M6889" t="str">
        <f t="shared" si="322"/>
        <v>Jul</v>
      </c>
      <c r="N6889" s="2">
        <f t="shared" si="323"/>
        <v>8.0530244862212524E-2</v>
      </c>
    </row>
    <row r="6890" spans="1:14" x14ac:dyDescent="0.45">
      <c r="A6890" t="s">
        <v>11773</v>
      </c>
      <c r="B6890" s="1">
        <v>45499</v>
      </c>
      <c r="C6890" t="s">
        <v>11774</v>
      </c>
      <c r="D6890" t="s">
        <v>56</v>
      </c>
      <c r="E6890" t="s">
        <v>36</v>
      </c>
      <c r="F6890" t="s">
        <v>53</v>
      </c>
      <c r="G6890">
        <v>4</v>
      </c>
      <c r="H6890">
        <v>41613.17</v>
      </c>
      <c r="I6890">
        <v>3066.7</v>
      </c>
      <c r="J6890" t="s">
        <v>28</v>
      </c>
      <c r="K6890" t="s">
        <v>33</v>
      </c>
      <c r="L6890">
        <f t="shared" si="321"/>
        <v>2024</v>
      </c>
      <c r="M6890" t="str">
        <f t="shared" si="322"/>
        <v>Jul</v>
      </c>
      <c r="N6890" s="2">
        <f t="shared" si="323"/>
        <v>7.3695419022391226E-2</v>
      </c>
    </row>
    <row r="6891" spans="1:14" x14ac:dyDescent="0.45">
      <c r="A6891" t="s">
        <v>11775</v>
      </c>
      <c r="B6891" s="1">
        <v>45038</v>
      </c>
      <c r="C6891" t="s">
        <v>3955</v>
      </c>
      <c r="D6891" t="s">
        <v>13</v>
      </c>
      <c r="E6891" t="s">
        <v>20</v>
      </c>
      <c r="F6891" t="s">
        <v>21</v>
      </c>
      <c r="G6891">
        <v>4</v>
      </c>
      <c r="H6891">
        <v>45752.91</v>
      </c>
      <c r="I6891">
        <v>6538.21</v>
      </c>
      <c r="J6891" t="s">
        <v>16</v>
      </c>
      <c r="K6891" t="s">
        <v>29</v>
      </c>
      <c r="L6891">
        <f t="shared" si="321"/>
        <v>2023</v>
      </c>
      <c r="M6891" t="str">
        <f t="shared" si="322"/>
        <v>Apr</v>
      </c>
      <c r="N6891" s="2">
        <f t="shared" si="323"/>
        <v>0.14290260444636199</v>
      </c>
    </row>
    <row r="6892" spans="1:14" x14ac:dyDescent="0.45">
      <c r="A6892" t="s">
        <v>11776</v>
      </c>
      <c r="B6892" s="1">
        <v>44788</v>
      </c>
      <c r="C6892" t="s">
        <v>11777</v>
      </c>
      <c r="D6892" t="s">
        <v>56</v>
      </c>
      <c r="E6892" t="s">
        <v>36</v>
      </c>
      <c r="F6892" t="s">
        <v>53</v>
      </c>
      <c r="G6892">
        <v>4</v>
      </c>
      <c r="H6892">
        <v>15609.59</v>
      </c>
      <c r="I6892">
        <v>3419.55</v>
      </c>
      <c r="J6892" t="s">
        <v>16</v>
      </c>
      <c r="K6892" t="s">
        <v>33</v>
      </c>
      <c r="L6892">
        <f t="shared" si="321"/>
        <v>2022</v>
      </c>
      <c r="M6892" t="str">
        <f t="shared" si="322"/>
        <v>Aug</v>
      </c>
      <c r="N6892" s="2">
        <f t="shared" si="323"/>
        <v>0.21906725288748777</v>
      </c>
    </row>
    <row r="6893" spans="1:14" x14ac:dyDescent="0.45">
      <c r="A6893" t="s">
        <v>11778</v>
      </c>
      <c r="B6893" s="1">
        <v>44627</v>
      </c>
      <c r="C6893" t="s">
        <v>4167</v>
      </c>
      <c r="D6893" t="s">
        <v>13</v>
      </c>
      <c r="E6893" t="s">
        <v>14</v>
      </c>
      <c r="F6893" t="s">
        <v>57</v>
      </c>
      <c r="G6893">
        <v>4</v>
      </c>
      <c r="H6893">
        <v>24280.53</v>
      </c>
      <c r="I6893">
        <v>5525.11</v>
      </c>
      <c r="J6893" t="s">
        <v>22</v>
      </c>
      <c r="K6893" t="s">
        <v>29</v>
      </c>
      <c r="L6893">
        <f t="shared" si="321"/>
        <v>2022</v>
      </c>
      <c r="M6893" t="str">
        <f t="shared" si="322"/>
        <v>Mar</v>
      </c>
      <c r="N6893" s="2">
        <f t="shared" si="323"/>
        <v>0.22755310530700937</v>
      </c>
    </row>
    <row r="6894" spans="1:14" x14ac:dyDescent="0.45">
      <c r="A6894" t="s">
        <v>11779</v>
      </c>
      <c r="B6894" s="1">
        <v>44895</v>
      </c>
      <c r="C6894" t="s">
        <v>6712</v>
      </c>
      <c r="D6894" t="s">
        <v>13</v>
      </c>
      <c r="E6894" t="s">
        <v>36</v>
      </c>
      <c r="F6894" t="s">
        <v>64</v>
      </c>
      <c r="G6894">
        <v>4</v>
      </c>
      <c r="H6894">
        <v>37097.64</v>
      </c>
      <c r="I6894">
        <v>5147.0600000000004</v>
      </c>
      <c r="J6894" t="s">
        <v>47</v>
      </c>
      <c r="K6894" t="s">
        <v>33</v>
      </c>
      <c r="L6894">
        <f t="shared" si="321"/>
        <v>2022</v>
      </c>
      <c r="M6894" t="str">
        <f t="shared" si="322"/>
        <v>Nov</v>
      </c>
      <c r="N6894" s="2">
        <f t="shared" si="323"/>
        <v>0.13874359662771002</v>
      </c>
    </row>
    <row r="6895" spans="1:14" x14ac:dyDescent="0.45">
      <c r="A6895" t="s">
        <v>11780</v>
      </c>
      <c r="B6895" s="1">
        <v>45063</v>
      </c>
      <c r="C6895" t="s">
        <v>6443</v>
      </c>
      <c r="D6895" t="s">
        <v>56</v>
      </c>
      <c r="E6895" t="s">
        <v>36</v>
      </c>
      <c r="F6895" t="s">
        <v>37</v>
      </c>
      <c r="G6895">
        <v>2</v>
      </c>
      <c r="H6895">
        <v>49904.21</v>
      </c>
      <c r="I6895">
        <v>2602.29</v>
      </c>
      <c r="J6895" t="s">
        <v>71</v>
      </c>
      <c r="K6895" t="s">
        <v>17</v>
      </c>
      <c r="L6895">
        <f t="shared" si="321"/>
        <v>2023</v>
      </c>
      <c r="M6895" t="str">
        <f t="shared" si="322"/>
        <v>May</v>
      </c>
      <c r="N6895" s="2">
        <f t="shared" si="323"/>
        <v>5.2145700733465174E-2</v>
      </c>
    </row>
    <row r="6896" spans="1:14" x14ac:dyDescent="0.45">
      <c r="A6896" t="s">
        <v>11781</v>
      </c>
      <c r="B6896" s="1">
        <v>45023</v>
      </c>
      <c r="C6896" t="s">
        <v>11782</v>
      </c>
      <c r="D6896" t="s">
        <v>13</v>
      </c>
      <c r="E6896" t="s">
        <v>36</v>
      </c>
      <c r="F6896" t="s">
        <v>64</v>
      </c>
      <c r="G6896">
        <v>3</v>
      </c>
      <c r="H6896">
        <v>8808.16</v>
      </c>
      <c r="I6896">
        <v>1455.34</v>
      </c>
      <c r="J6896" t="s">
        <v>22</v>
      </c>
      <c r="K6896" t="s">
        <v>29</v>
      </c>
      <c r="L6896">
        <f t="shared" si="321"/>
        <v>2023</v>
      </c>
      <c r="M6896" t="str">
        <f t="shared" si="322"/>
        <v>Apr</v>
      </c>
      <c r="N6896" s="2">
        <f t="shared" si="323"/>
        <v>0.16522633557973515</v>
      </c>
    </row>
    <row r="6897" spans="1:14" x14ac:dyDescent="0.45">
      <c r="A6897" t="s">
        <v>11783</v>
      </c>
      <c r="B6897" s="1">
        <v>45270</v>
      </c>
      <c r="C6897" t="s">
        <v>3869</v>
      </c>
      <c r="D6897" t="s">
        <v>56</v>
      </c>
      <c r="E6897" t="s">
        <v>20</v>
      </c>
      <c r="F6897" t="s">
        <v>43</v>
      </c>
      <c r="G6897">
        <v>5</v>
      </c>
      <c r="H6897">
        <v>26078.53</v>
      </c>
      <c r="I6897">
        <v>2215.27</v>
      </c>
      <c r="J6897" t="s">
        <v>22</v>
      </c>
      <c r="K6897" t="s">
        <v>17</v>
      </c>
      <c r="L6897">
        <f t="shared" si="321"/>
        <v>2023</v>
      </c>
      <c r="M6897" t="str">
        <f t="shared" si="322"/>
        <v>Dec</v>
      </c>
      <c r="N6897" s="2">
        <f t="shared" si="323"/>
        <v>8.4946122346619996E-2</v>
      </c>
    </row>
    <row r="6898" spans="1:14" x14ac:dyDescent="0.45">
      <c r="A6898" t="s">
        <v>11784</v>
      </c>
      <c r="B6898" s="1">
        <v>44902</v>
      </c>
      <c r="C6898" t="s">
        <v>6742</v>
      </c>
      <c r="D6898" t="s">
        <v>56</v>
      </c>
      <c r="E6898" t="s">
        <v>20</v>
      </c>
      <c r="F6898" t="s">
        <v>21</v>
      </c>
      <c r="G6898">
        <v>1</v>
      </c>
      <c r="H6898">
        <v>3657.1</v>
      </c>
      <c r="I6898">
        <v>195.3</v>
      </c>
      <c r="J6898" t="s">
        <v>71</v>
      </c>
      <c r="K6898" t="s">
        <v>23</v>
      </c>
      <c r="L6898">
        <f t="shared" si="321"/>
        <v>2022</v>
      </c>
      <c r="M6898" t="str">
        <f t="shared" si="322"/>
        <v>Dec</v>
      </c>
      <c r="N6898" s="2">
        <f t="shared" si="323"/>
        <v>5.3402969566049605E-2</v>
      </c>
    </row>
    <row r="6899" spans="1:14" x14ac:dyDescent="0.45">
      <c r="A6899" t="s">
        <v>11785</v>
      </c>
      <c r="B6899" s="1">
        <v>45233</v>
      </c>
      <c r="C6899" t="s">
        <v>5826</v>
      </c>
      <c r="D6899" t="s">
        <v>56</v>
      </c>
      <c r="E6899" t="s">
        <v>36</v>
      </c>
      <c r="F6899" t="s">
        <v>37</v>
      </c>
      <c r="G6899">
        <v>2</v>
      </c>
      <c r="H6899">
        <v>39779.01</v>
      </c>
      <c r="I6899">
        <v>5443.84</v>
      </c>
      <c r="J6899" t="s">
        <v>22</v>
      </c>
      <c r="K6899" t="s">
        <v>29</v>
      </c>
      <c r="L6899">
        <f t="shared" si="321"/>
        <v>2023</v>
      </c>
      <c r="M6899" t="str">
        <f t="shared" si="322"/>
        <v>Nov</v>
      </c>
      <c r="N6899" s="2">
        <f t="shared" si="323"/>
        <v>0.13685207349303061</v>
      </c>
    </row>
    <row r="6900" spans="1:14" x14ac:dyDescent="0.45">
      <c r="A6900" t="s">
        <v>11786</v>
      </c>
      <c r="B6900" s="1">
        <v>45235</v>
      </c>
      <c r="C6900" t="s">
        <v>11787</v>
      </c>
      <c r="D6900" t="s">
        <v>26</v>
      </c>
      <c r="E6900" t="s">
        <v>14</v>
      </c>
      <c r="F6900" t="s">
        <v>32</v>
      </c>
      <c r="G6900">
        <v>4</v>
      </c>
      <c r="H6900">
        <v>16625.54</v>
      </c>
      <c r="I6900">
        <v>3464.1</v>
      </c>
      <c r="J6900" t="s">
        <v>16</v>
      </c>
      <c r="K6900" t="s">
        <v>23</v>
      </c>
      <c r="L6900">
        <f t="shared" si="321"/>
        <v>2023</v>
      </c>
      <c r="M6900" t="str">
        <f t="shared" si="322"/>
        <v>Nov</v>
      </c>
      <c r="N6900" s="2">
        <f t="shared" si="323"/>
        <v>0.20836014950491832</v>
      </c>
    </row>
    <row r="6901" spans="1:14" x14ac:dyDescent="0.45">
      <c r="A6901" t="s">
        <v>11788</v>
      </c>
      <c r="B6901" s="1">
        <v>45102</v>
      </c>
      <c r="C6901" t="s">
        <v>11789</v>
      </c>
      <c r="D6901" t="s">
        <v>26</v>
      </c>
      <c r="E6901" t="s">
        <v>36</v>
      </c>
      <c r="F6901" t="s">
        <v>64</v>
      </c>
      <c r="G6901">
        <v>5</v>
      </c>
      <c r="H6901">
        <v>48955.49</v>
      </c>
      <c r="I6901">
        <v>5714.54</v>
      </c>
      <c r="J6901" t="s">
        <v>28</v>
      </c>
      <c r="K6901" t="s">
        <v>29</v>
      </c>
      <c r="L6901">
        <f t="shared" si="321"/>
        <v>2023</v>
      </c>
      <c r="M6901" t="str">
        <f t="shared" si="322"/>
        <v>Jun</v>
      </c>
      <c r="N6901" s="2">
        <f t="shared" si="323"/>
        <v>0.11672929838921028</v>
      </c>
    </row>
    <row r="6902" spans="1:14" x14ac:dyDescent="0.45">
      <c r="A6902" t="s">
        <v>11790</v>
      </c>
      <c r="B6902" s="1">
        <v>44571</v>
      </c>
      <c r="C6902" t="s">
        <v>1430</v>
      </c>
      <c r="D6902" t="s">
        <v>13</v>
      </c>
      <c r="E6902" t="s">
        <v>36</v>
      </c>
      <c r="F6902" t="s">
        <v>46</v>
      </c>
      <c r="G6902">
        <v>5</v>
      </c>
      <c r="H6902">
        <v>4648.55</v>
      </c>
      <c r="I6902">
        <v>767.71</v>
      </c>
      <c r="J6902" t="s">
        <v>16</v>
      </c>
      <c r="K6902" t="s">
        <v>17</v>
      </c>
      <c r="L6902">
        <f t="shared" si="321"/>
        <v>2022</v>
      </c>
      <c r="M6902" t="str">
        <f t="shared" si="322"/>
        <v>Jan</v>
      </c>
      <c r="N6902" s="2">
        <f t="shared" si="323"/>
        <v>0.16515042325026083</v>
      </c>
    </row>
    <row r="6903" spans="1:14" x14ac:dyDescent="0.45">
      <c r="A6903" t="s">
        <v>11791</v>
      </c>
      <c r="B6903" s="1">
        <v>45472</v>
      </c>
      <c r="C6903" t="s">
        <v>11792</v>
      </c>
      <c r="D6903" t="s">
        <v>13</v>
      </c>
      <c r="E6903" t="s">
        <v>20</v>
      </c>
      <c r="F6903" t="s">
        <v>50</v>
      </c>
      <c r="G6903">
        <v>4</v>
      </c>
      <c r="H6903">
        <v>26578.32</v>
      </c>
      <c r="I6903">
        <v>5301.4</v>
      </c>
      <c r="J6903" t="s">
        <v>16</v>
      </c>
      <c r="K6903" t="s">
        <v>17</v>
      </c>
      <c r="L6903">
        <f t="shared" si="321"/>
        <v>2024</v>
      </c>
      <c r="M6903" t="str">
        <f t="shared" si="322"/>
        <v>Jun</v>
      </c>
      <c r="N6903" s="2">
        <f t="shared" si="323"/>
        <v>0.19946332198573874</v>
      </c>
    </row>
    <row r="6904" spans="1:14" x14ac:dyDescent="0.45">
      <c r="A6904" t="s">
        <v>11793</v>
      </c>
      <c r="B6904" s="1">
        <v>45448</v>
      </c>
      <c r="C6904" t="s">
        <v>6844</v>
      </c>
      <c r="D6904" t="s">
        <v>26</v>
      </c>
      <c r="E6904" t="s">
        <v>20</v>
      </c>
      <c r="F6904" t="s">
        <v>50</v>
      </c>
      <c r="G6904">
        <v>3</v>
      </c>
      <c r="H6904">
        <v>20148.95</v>
      </c>
      <c r="I6904">
        <v>4571.62</v>
      </c>
      <c r="J6904" t="s">
        <v>28</v>
      </c>
      <c r="K6904" t="s">
        <v>23</v>
      </c>
      <c r="L6904">
        <f t="shared" si="321"/>
        <v>2024</v>
      </c>
      <c r="M6904" t="str">
        <f t="shared" si="322"/>
        <v>Jun</v>
      </c>
      <c r="N6904" s="2">
        <f t="shared" si="323"/>
        <v>0.22689122758257874</v>
      </c>
    </row>
    <row r="6905" spans="1:14" x14ac:dyDescent="0.45">
      <c r="A6905" t="s">
        <v>11794</v>
      </c>
      <c r="B6905" s="1">
        <v>44794</v>
      </c>
      <c r="C6905" t="s">
        <v>6925</v>
      </c>
      <c r="D6905" t="s">
        <v>56</v>
      </c>
      <c r="E6905" t="s">
        <v>36</v>
      </c>
      <c r="F6905" t="s">
        <v>37</v>
      </c>
      <c r="G6905">
        <v>3</v>
      </c>
      <c r="H6905">
        <v>11510.7</v>
      </c>
      <c r="I6905">
        <v>576.71</v>
      </c>
      <c r="J6905" t="s">
        <v>16</v>
      </c>
      <c r="K6905" t="s">
        <v>23</v>
      </c>
      <c r="L6905">
        <f t="shared" si="321"/>
        <v>2022</v>
      </c>
      <c r="M6905" t="str">
        <f t="shared" si="322"/>
        <v>Aug</v>
      </c>
      <c r="N6905" s="2">
        <f t="shared" si="323"/>
        <v>5.0102078935251551E-2</v>
      </c>
    </row>
    <row r="6906" spans="1:14" x14ac:dyDescent="0.45">
      <c r="A6906" t="s">
        <v>11795</v>
      </c>
      <c r="B6906" s="1">
        <v>45532</v>
      </c>
      <c r="C6906" t="s">
        <v>11796</v>
      </c>
      <c r="D6906" t="s">
        <v>13</v>
      </c>
      <c r="E6906" t="s">
        <v>36</v>
      </c>
      <c r="F6906" t="s">
        <v>64</v>
      </c>
      <c r="G6906">
        <v>3</v>
      </c>
      <c r="H6906">
        <v>21297.360000000001</v>
      </c>
      <c r="I6906">
        <v>3050.78</v>
      </c>
      <c r="J6906" t="s">
        <v>16</v>
      </c>
      <c r="K6906" t="s">
        <v>17</v>
      </c>
      <c r="L6906">
        <f t="shared" si="321"/>
        <v>2024</v>
      </c>
      <c r="M6906" t="str">
        <f t="shared" si="322"/>
        <v>Aug</v>
      </c>
      <c r="N6906" s="2">
        <f t="shared" si="323"/>
        <v>0.14324686252192761</v>
      </c>
    </row>
    <row r="6907" spans="1:14" x14ac:dyDescent="0.45">
      <c r="A6907" t="s">
        <v>11797</v>
      </c>
      <c r="B6907" s="1">
        <v>44779</v>
      </c>
      <c r="C6907" t="s">
        <v>10146</v>
      </c>
      <c r="D6907" t="s">
        <v>56</v>
      </c>
      <c r="E6907" t="s">
        <v>36</v>
      </c>
      <c r="F6907" t="s">
        <v>37</v>
      </c>
      <c r="G6907">
        <v>3</v>
      </c>
      <c r="H6907">
        <v>23139.96</v>
      </c>
      <c r="I6907">
        <v>3084.76</v>
      </c>
      <c r="J6907" t="s">
        <v>71</v>
      </c>
      <c r="K6907" t="s">
        <v>17</v>
      </c>
      <c r="L6907">
        <f t="shared" si="321"/>
        <v>2022</v>
      </c>
      <c r="M6907" t="str">
        <f t="shared" si="322"/>
        <v>Aug</v>
      </c>
      <c r="N6907" s="2">
        <f t="shared" si="323"/>
        <v>0.13330878705062585</v>
      </c>
    </row>
    <row r="6908" spans="1:14" x14ac:dyDescent="0.45">
      <c r="A6908" t="s">
        <v>11798</v>
      </c>
      <c r="B6908" s="1">
        <v>45467</v>
      </c>
      <c r="C6908" t="s">
        <v>4882</v>
      </c>
      <c r="D6908" t="s">
        <v>56</v>
      </c>
      <c r="E6908" t="s">
        <v>14</v>
      </c>
      <c r="F6908" t="s">
        <v>32</v>
      </c>
      <c r="G6908">
        <v>3</v>
      </c>
      <c r="H6908">
        <v>27831.24</v>
      </c>
      <c r="I6908">
        <v>2615.29</v>
      </c>
      <c r="J6908" t="s">
        <v>28</v>
      </c>
      <c r="K6908" t="s">
        <v>33</v>
      </c>
      <c r="L6908">
        <f t="shared" si="321"/>
        <v>2024</v>
      </c>
      <c r="M6908" t="str">
        <f t="shared" si="322"/>
        <v>Jun</v>
      </c>
      <c r="N6908" s="2">
        <f t="shared" si="323"/>
        <v>9.3969582382962449E-2</v>
      </c>
    </row>
    <row r="6909" spans="1:14" x14ac:dyDescent="0.45">
      <c r="A6909" t="s">
        <v>11799</v>
      </c>
      <c r="B6909" s="1">
        <v>44772</v>
      </c>
      <c r="C6909" t="s">
        <v>9203</v>
      </c>
      <c r="D6909" t="s">
        <v>26</v>
      </c>
      <c r="E6909" t="s">
        <v>36</v>
      </c>
      <c r="F6909" t="s">
        <v>46</v>
      </c>
      <c r="G6909">
        <v>5</v>
      </c>
      <c r="H6909">
        <v>49268.480000000003</v>
      </c>
      <c r="I6909">
        <v>7477.25</v>
      </c>
      <c r="J6909" t="s">
        <v>28</v>
      </c>
      <c r="K6909" t="s">
        <v>33</v>
      </c>
      <c r="L6909">
        <f t="shared" si="321"/>
        <v>2022</v>
      </c>
      <c r="M6909" t="str">
        <f t="shared" si="322"/>
        <v>Jul</v>
      </c>
      <c r="N6909" s="2">
        <f t="shared" si="323"/>
        <v>0.15176538833753345</v>
      </c>
    </row>
    <row r="6910" spans="1:14" x14ac:dyDescent="0.45">
      <c r="A6910" t="s">
        <v>11800</v>
      </c>
      <c r="B6910" s="1">
        <v>45259</v>
      </c>
      <c r="C6910" t="s">
        <v>5939</v>
      </c>
      <c r="D6910" t="s">
        <v>26</v>
      </c>
      <c r="E6910" t="s">
        <v>14</v>
      </c>
      <c r="F6910" t="s">
        <v>57</v>
      </c>
      <c r="G6910">
        <v>4</v>
      </c>
      <c r="H6910">
        <v>36311.300000000003</v>
      </c>
      <c r="I6910">
        <v>4407.1499999999996</v>
      </c>
      <c r="J6910" t="s">
        <v>16</v>
      </c>
      <c r="K6910" t="s">
        <v>33</v>
      </c>
      <c r="L6910">
        <f t="shared" si="321"/>
        <v>2023</v>
      </c>
      <c r="M6910" t="str">
        <f t="shared" si="322"/>
        <v>Nov</v>
      </c>
      <c r="N6910" s="2">
        <f t="shared" si="323"/>
        <v>0.1213713086559831</v>
      </c>
    </row>
    <row r="6911" spans="1:14" x14ac:dyDescent="0.45">
      <c r="A6911" t="s">
        <v>11801</v>
      </c>
      <c r="B6911" s="1">
        <v>44970</v>
      </c>
      <c r="C6911" t="s">
        <v>11802</v>
      </c>
      <c r="D6911" t="s">
        <v>26</v>
      </c>
      <c r="E6911" t="s">
        <v>36</v>
      </c>
      <c r="F6911" t="s">
        <v>53</v>
      </c>
      <c r="G6911">
        <v>3</v>
      </c>
      <c r="H6911">
        <v>22050.94</v>
      </c>
      <c r="I6911">
        <v>3841.77</v>
      </c>
      <c r="J6911" t="s">
        <v>71</v>
      </c>
      <c r="K6911" t="s">
        <v>17</v>
      </c>
      <c r="L6911">
        <f t="shared" si="321"/>
        <v>2023</v>
      </c>
      <c r="M6911" t="str">
        <f t="shared" si="322"/>
        <v>Feb</v>
      </c>
      <c r="N6911" s="2">
        <f t="shared" si="323"/>
        <v>0.1742225048002489</v>
      </c>
    </row>
    <row r="6912" spans="1:14" x14ac:dyDescent="0.45">
      <c r="A6912" t="s">
        <v>11803</v>
      </c>
      <c r="B6912" s="1">
        <v>45512</v>
      </c>
      <c r="C6912" t="s">
        <v>11804</v>
      </c>
      <c r="D6912" t="s">
        <v>56</v>
      </c>
      <c r="E6912" t="s">
        <v>36</v>
      </c>
      <c r="F6912" t="s">
        <v>64</v>
      </c>
      <c r="G6912">
        <v>5</v>
      </c>
      <c r="H6912">
        <v>12610.07</v>
      </c>
      <c r="I6912">
        <v>1669.25</v>
      </c>
      <c r="J6912" t="s">
        <v>28</v>
      </c>
      <c r="K6912" t="s">
        <v>29</v>
      </c>
      <c r="L6912">
        <f t="shared" si="321"/>
        <v>2024</v>
      </c>
      <c r="M6912" t="str">
        <f t="shared" si="322"/>
        <v>Aug</v>
      </c>
      <c r="N6912" s="2">
        <f t="shared" si="323"/>
        <v>0.13237436429773983</v>
      </c>
    </row>
    <row r="6913" spans="1:14" x14ac:dyDescent="0.45">
      <c r="A6913" t="s">
        <v>11805</v>
      </c>
      <c r="B6913" s="1">
        <v>45501</v>
      </c>
      <c r="C6913" t="s">
        <v>11806</v>
      </c>
      <c r="D6913" t="s">
        <v>13</v>
      </c>
      <c r="E6913" t="s">
        <v>20</v>
      </c>
      <c r="F6913" t="s">
        <v>43</v>
      </c>
      <c r="G6913">
        <v>2</v>
      </c>
      <c r="H6913">
        <v>17116.169999999998</v>
      </c>
      <c r="I6913">
        <v>2913.1</v>
      </c>
      <c r="J6913" t="s">
        <v>16</v>
      </c>
      <c r="K6913" t="s">
        <v>33</v>
      </c>
      <c r="L6913">
        <f t="shared" si="321"/>
        <v>2024</v>
      </c>
      <c r="M6913" t="str">
        <f t="shared" si="322"/>
        <v>Jul</v>
      </c>
      <c r="N6913" s="2">
        <f t="shared" si="323"/>
        <v>0.17019578562260132</v>
      </c>
    </row>
    <row r="6914" spans="1:14" x14ac:dyDescent="0.45">
      <c r="A6914" t="s">
        <v>11807</v>
      </c>
      <c r="B6914" s="1">
        <v>45205</v>
      </c>
      <c r="C6914" t="s">
        <v>11808</v>
      </c>
      <c r="D6914" t="s">
        <v>13</v>
      </c>
      <c r="E6914" t="s">
        <v>36</v>
      </c>
      <c r="F6914" t="s">
        <v>53</v>
      </c>
      <c r="G6914">
        <v>4</v>
      </c>
      <c r="H6914">
        <v>17426.18</v>
      </c>
      <c r="I6914">
        <v>4140.95</v>
      </c>
      <c r="J6914" t="s">
        <v>16</v>
      </c>
      <c r="K6914" t="s">
        <v>33</v>
      </c>
      <c r="L6914">
        <f t="shared" si="321"/>
        <v>2023</v>
      </c>
      <c r="M6914" t="str">
        <f t="shared" si="322"/>
        <v>Oct</v>
      </c>
      <c r="N6914" s="2">
        <f t="shared" si="323"/>
        <v>0.23762809749468902</v>
      </c>
    </row>
    <row r="6915" spans="1:14" x14ac:dyDescent="0.45">
      <c r="A6915" t="s">
        <v>11809</v>
      </c>
      <c r="B6915" s="1">
        <v>44622</v>
      </c>
      <c r="C6915" t="s">
        <v>5997</v>
      </c>
      <c r="D6915" t="s">
        <v>13</v>
      </c>
      <c r="E6915" t="s">
        <v>20</v>
      </c>
      <c r="F6915" t="s">
        <v>43</v>
      </c>
      <c r="G6915">
        <v>1</v>
      </c>
      <c r="H6915">
        <v>34541.46</v>
      </c>
      <c r="I6915">
        <v>7190.54</v>
      </c>
      <c r="J6915" t="s">
        <v>16</v>
      </c>
      <c r="K6915" t="s">
        <v>29</v>
      </c>
      <c r="L6915">
        <f t="shared" ref="L6915:L6978" si="324">YEAR(B6915 )</f>
        <v>2022</v>
      </c>
      <c r="M6915" t="str">
        <f t="shared" ref="M6915:M6978" si="325">TEXT(B6915,"MMM")</f>
        <v>Mar</v>
      </c>
      <c r="N6915" s="2">
        <f t="shared" ref="N6915:N6978" si="326">I6915 / H6915</f>
        <v>0.2081712817003103</v>
      </c>
    </row>
    <row r="6916" spans="1:14" x14ac:dyDescent="0.45">
      <c r="A6916" t="s">
        <v>11810</v>
      </c>
      <c r="B6916" s="1">
        <v>44627</v>
      </c>
      <c r="C6916" t="s">
        <v>7208</v>
      </c>
      <c r="D6916" t="s">
        <v>26</v>
      </c>
      <c r="E6916" t="s">
        <v>36</v>
      </c>
      <c r="F6916" t="s">
        <v>37</v>
      </c>
      <c r="G6916">
        <v>4</v>
      </c>
      <c r="H6916">
        <v>29602.13</v>
      </c>
      <c r="I6916">
        <v>2048.1799999999998</v>
      </c>
      <c r="J6916" t="s">
        <v>22</v>
      </c>
      <c r="K6916" t="s">
        <v>29</v>
      </c>
      <c r="L6916">
        <f t="shared" si="324"/>
        <v>2022</v>
      </c>
      <c r="M6916" t="str">
        <f t="shared" si="325"/>
        <v>Mar</v>
      </c>
      <c r="N6916" s="2">
        <f t="shared" si="326"/>
        <v>6.9190291374303131E-2</v>
      </c>
    </row>
    <row r="6917" spans="1:14" x14ac:dyDescent="0.45">
      <c r="A6917" t="s">
        <v>11811</v>
      </c>
      <c r="B6917" s="1">
        <v>44679</v>
      </c>
      <c r="C6917" t="s">
        <v>1664</v>
      </c>
      <c r="D6917" t="s">
        <v>56</v>
      </c>
      <c r="E6917" t="s">
        <v>36</v>
      </c>
      <c r="F6917" t="s">
        <v>53</v>
      </c>
      <c r="G6917">
        <v>2</v>
      </c>
      <c r="H6917">
        <v>23707.68</v>
      </c>
      <c r="I6917">
        <v>4412.01</v>
      </c>
      <c r="J6917" t="s">
        <v>22</v>
      </c>
      <c r="K6917" t="s">
        <v>29</v>
      </c>
      <c r="L6917">
        <f t="shared" si="324"/>
        <v>2022</v>
      </c>
      <c r="M6917" t="str">
        <f t="shared" si="325"/>
        <v>Apr</v>
      </c>
      <c r="N6917" s="2">
        <f t="shared" si="326"/>
        <v>0.18610045352392138</v>
      </c>
    </row>
    <row r="6918" spans="1:14" x14ac:dyDescent="0.45">
      <c r="A6918" t="s">
        <v>11812</v>
      </c>
      <c r="B6918" s="1">
        <v>45581</v>
      </c>
      <c r="C6918" t="s">
        <v>10445</v>
      </c>
      <c r="D6918" t="s">
        <v>56</v>
      </c>
      <c r="E6918" t="s">
        <v>20</v>
      </c>
      <c r="F6918" t="s">
        <v>27</v>
      </c>
      <c r="G6918">
        <v>2</v>
      </c>
      <c r="H6918">
        <v>15371.99</v>
      </c>
      <c r="I6918">
        <v>2192.3000000000002</v>
      </c>
      <c r="J6918" t="s">
        <v>47</v>
      </c>
      <c r="K6918" t="s">
        <v>29</v>
      </c>
      <c r="L6918">
        <f t="shared" si="324"/>
        <v>2024</v>
      </c>
      <c r="M6918" t="str">
        <f t="shared" si="325"/>
        <v>Oct</v>
      </c>
      <c r="N6918" s="2">
        <f t="shared" si="326"/>
        <v>0.14261653826212484</v>
      </c>
    </row>
    <row r="6919" spans="1:14" x14ac:dyDescent="0.45">
      <c r="A6919" t="s">
        <v>11813</v>
      </c>
      <c r="B6919" s="1">
        <v>45480</v>
      </c>
      <c r="C6919" t="s">
        <v>11814</v>
      </c>
      <c r="D6919" t="s">
        <v>13</v>
      </c>
      <c r="E6919" t="s">
        <v>36</v>
      </c>
      <c r="F6919" t="s">
        <v>37</v>
      </c>
      <c r="G6919">
        <v>1</v>
      </c>
      <c r="H6919">
        <v>14971.04</v>
      </c>
      <c r="I6919">
        <v>2155.38</v>
      </c>
      <c r="J6919" t="s">
        <v>22</v>
      </c>
      <c r="K6919" t="s">
        <v>17</v>
      </c>
      <c r="L6919">
        <f t="shared" si="324"/>
        <v>2024</v>
      </c>
      <c r="M6919" t="str">
        <f t="shared" si="325"/>
        <v>Jul</v>
      </c>
      <c r="N6919" s="2">
        <f t="shared" si="326"/>
        <v>0.14396995799890988</v>
      </c>
    </row>
    <row r="6920" spans="1:14" x14ac:dyDescent="0.45">
      <c r="A6920" t="s">
        <v>11815</v>
      </c>
      <c r="B6920" s="1">
        <v>45359</v>
      </c>
      <c r="C6920" t="s">
        <v>3760</v>
      </c>
      <c r="D6920" t="s">
        <v>26</v>
      </c>
      <c r="E6920" t="s">
        <v>36</v>
      </c>
      <c r="F6920" t="s">
        <v>46</v>
      </c>
      <c r="G6920">
        <v>4</v>
      </c>
      <c r="H6920">
        <v>12188.06</v>
      </c>
      <c r="I6920">
        <v>2005.94</v>
      </c>
      <c r="J6920" t="s">
        <v>22</v>
      </c>
      <c r="K6920" t="s">
        <v>23</v>
      </c>
      <c r="L6920">
        <f t="shared" si="324"/>
        <v>2024</v>
      </c>
      <c r="M6920" t="str">
        <f t="shared" si="325"/>
        <v>Mar</v>
      </c>
      <c r="N6920" s="2">
        <f t="shared" si="326"/>
        <v>0.16458238636829817</v>
      </c>
    </row>
    <row r="6921" spans="1:14" x14ac:dyDescent="0.45">
      <c r="A6921" t="s">
        <v>11816</v>
      </c>
      <c r="B6921" s="1">
        <v>45038</v>
      </c>
      <c r="C6921" t="s">
        <v>3833</v>
      </c>
      <c r="D6921" t="s">
        <v>13</v>
      </c>
      <c r="E6921" t="s">
        <v>14</v>
      </c>
      <c r="F6921" t="s">
        <v>40</v>
      </c>
      <c r="G6921">
        <v>5</v>
      </c>
      <c r="H6921">
        <v>43811.95</v>
      </c>
      <c r="I6921">
        <v>7983.76</v>
      </c>
      <c r="J6921" t="s">
        <v>28</v>
      </c>
      <c r="K6921" t="s">
        <v>23</v>
      </c>
      <c r="L6921">
        <f t="shared" si="324"/>
        <v>2023</v>
      </c>
      <c r="M6921" t="str">
        <f t="shared" si="325"/>
        <v>Apr</v>
      </c>
      <c r="N6921" s="2">
        <f t="shared" si="326"/>
        <v>0.18222790813921774</v>
      </c>
    </row>
    <row r="6922" spans="1:14" x14ac:dyDescent="0.45">
      <c r="A6922" t="s">
        <v>11817</v>
      </c>
      <c r="B6922" s="1">
        <v>44689</v>
      </c>
      <c r="C6922" t="s">
        <v>11818</v>
      </c>
      <c r="D6922" t="s">
        <v>26</v>
      </c>
      <c r="E6922" t="s">
        <v>14</v>
      </c>
      <c r="F6922" t="s">
        <v>32</v>
      </c>
      <c r="G6922">
        <v>5</v>
      </c>
      <c r="H6922">
        <v>10808.82</v>
      </c>
      <c r="I6922">
        <v>2221.4899999999998</v>
      </c>
      <c r="J6922" t="s">
        <v>71</v>
      </c>
      <c r="K6922" t="s">
        <v>23</v>
      </c>
      <c r="L6922">
        <f t="shared" si="324"/>
        <v>2022</v>
      </c>
      <c r="M6922" t="str">
        <f t="shared" si="325"/>
        <v>May</v>
      </c>
      <c r="N6922" s="2">
        <f t="shared" si="326"/>
        <v>0.20552567255260054</v>
      </c>
    </row>
    <row r="6923" spans="1:14" x14ac:dyDescent="0.45">
      <c r="A6923" t="s">
        <v>11819</v>
      </c>
      <c r="B6923" s="1">
        <v>45498</v>
      </c>
      <c r="C6923" t="s">
        <v>11820</v>
      </c>
      <c r="D6923" t="s">
        <v>13</v>
      </c>
      <c r="E6923" t="s">
        <v>36</v>
      </c>
      <c r="F6923" t="s">
        <v>46</v>
      </c>
      <c r="G6923">
        <v>4</v>
      </c>
      <c r="H6923">
        <v>46910.46</v>
      </c>
      <c r="I6923">
        <v>11612.53</v>
      </c>
      <c r="J6923" t="s">
        <v>71</v>
      </c>
      <c r="K6923" t="s">
        <v>33</v>
      </c>
      <c r="L6923">
        <f t="shared" si="324"/>
        <v>2024</v>
      </c>
      <c r="M6923" t="str">
        <f t="shared" si="325"/>
        <v>Jul</v>
      </c>
      <c r="N6923" s="2">
        <f t="shared" si="326"/>
        <v>0.24754670919875868</v>
      </c>
    </row>
    <row r="6924" spans="1:14" x14ac:dyDescent="0.45">
      <c r="A6924" t="s">
        <v>11821</v>
      </c>
      <c r="B6924" s="1">
        <v>45154</v>
      </c>
      <c r="C6924" t="s">
        <v>10096</v>
      </c>
      <c r="D6924" t="s">
        <v>13</v>
      </c>
      <c r="E6924" t="s">
        <v>20</v>
      </c>
      <c r="F6924" t="s">
        <v>21</v>
      </c>
      <c r="G6924">
        <v>3</v>
      </c>
      <c r="H6924">
        <v>37639.129999999997</v>
      </c>
      <c r="I6924">
        <v>5292.74</v>
      </c>
      <c r="J6924" t="s">
        <v>71</v>
      </c>
      <c r="K6924" t="s">
        <v>33</v>
      </c>
      <c r="L6924">
        <f t="shared" si="324"/>
        <v>2023</v>
      </c>
      <c r="M6924" t="str">
        <f t="shared" si="325"/>
        <v>Aug</v>
      </c>
      <c r="N6924" s="2">
        <f t="shared" si="326"/>
        <v>0.14061802172366897</v>
      </c>
    </row>
    <row r="6925" spans="1:14" x14ac:dyDescent="0.45">
      <c r="A6925" t="s">
        <v>11822</v>
      </c>
      <c r="B6925" s="1">
        <v>45387</v>
      </c>
      <c r="C6925" t="s">
        <v>8165</v>
      </c>
      <c r="D6925" t="s">
        <v>26</v>
      </c>
      <c r="E6925" t="s">
        <v>14</v>
      </c>
      <c r="F6925" t="s">
        <v>32</v>
      </c>
      <c r="G6925">
        <v>1</v>
      </c>
      <c r="H6925">
        <v>46920.56</v>
      </c>
      <c r="I6925">
        <v>10924.4</v>
      </c>
      <c r="J6925" t="s">
        <v>16</v>
      </c>
      <c r="K6925" t="s">
        <v>17</v>
      </c>
      <c r="L6925">
        <f t="shared" si="324"/>
        <v>2024</v>
      </c>
      <c r="M6925" t="str">
        <f t="shared" si="325"/>
        <v>Apr</v>
      </c>
      <c r="N6925" s="2">
        <f t="shared" si="326"/>
        <v>0.23282757068543086</v>
      </c>
    </row>
    <row r="6926" spans="1:14" x14ac:dyDescent="0.45">
      <c r="A6926" t="s">
        <v>11823</v>
      </c>
      <c r="B6926" s="1">
        <v>44997</v>
      </c>
      <c r="C6926" t="s">
        <v>2347</v>
      </c>
      <c r="D6926" t="s">
        <v>26</v>
      </c>
      <c r="E6926" t="s">
        <v>14</v>
      </c>
      <c r="F6926" t="s">
        <v>57</v>
      </c>
      <c r="G6926">
        <v>5</v>
      </c>
      <c r="H6926">
        <v>31484.83</v>
      </c>
      <c r="I6926">
        <v>5465.37</v>
      </c>
      <c r="J6926" t="s">
        <v>71</v>
      </c>
      <c r="K6926" t="s">
        <v>17</v>
      </c>
      <c r="L6926">
        <f t="shared" si="324"/>
        <v>2023</v>
      </c>
      <c r="M6926" t="str">
        <f t="shared" si="325"/>
        <v>Mar</v>
      </c>
      <c r="N6926" s="2">
        <f t="shared" si="326"/>
        <v>0.17358740701474329</v>
      </c>
    </row>
    <row r="6927" spans="1:14" x14ac:dyDescent="0.45">
      <c r="A6927" t="s">
        <v>11824</v>
      </c>
      <c r="B6927" s="1">
        <v>44749</v>
      </c>
      <c r="C6927" t="s">
        <v>236</v>
      </c>
      <c r="D6927" t="s">
        <v>56</v>
      </c>
      <c r="E6927" t="s">
        <v>20</v>
      </c>
      <c r="F6927" t="s">
        <v>50</v>
      </c>
      <c r="G6927">
        <v>2</v>
      </c>
      <c r="H6927">
        <v>21305.34</v>
      </c>
      <c r="I6927">
        <v>4571.9799999999996</v>
      </c>
      <c r="J6927" t="s">
        <v>47</v>
      </c>
      <c r="K6927" t="s">
        <v>17</v>
      </c>
      <c r="L6927">
        <f t="shared" si="324"/>
        <v>2022</v>
      </c>
      <c r="M6927" t="str">
        <f t="shared" si="325"/>
        <v>Jul</v>
      </c>
      <c r="N6927" s="2">
        <f t="shared" si="326"/>
        <v>0.2145931489476347</v>
      </c>
    </row>
    <row r="6928" spans="1:14" x14ac:dyDescent="0.45">
      <c r="A6928" t="s">
        <v>11825</v>
      </c>
      <c r="B6928" s="1">
        <v>45407</v>
      </c>
      <c r="C6928" t="s">
        <v>5792</v>
      </c>
      <c r="D6928" t="s">
        <v>26</v>
      </c>
      <c r="E6928" t="s">
        <v>14</v>
      </c>
      <c r="F6928" t="s">
        <v>40</v>
      </c>
      <c r="G6928">
        <v>2</v>
      </c>
      <c r="H6928">
        <v>29229.3</v>
      </c>
      <c r="I6928">
        <v>6680.27</v>
      </c>
      <c r="J6928" t="s">
        <v>47</v>
      </c>
      <c r="K6928" t="s">
        <v>33</v>
      </c>
      <c r="L6928">
        <f t="shared" si="324"/>
        <v>2024</v>
      </c>
      <c r="M6928" t="str">
        <f t="shared" si="325"/>
        <v>Apr</v>
      </c>
      <c r="N6928" s="2">
        <f t="shared" si="326"/>
        <v>0.22854704012754326</v>
      </c>
    </row>
    <row r="6929" spans="1:14" x14ac:dyDescent="0.45">
      <c r="A6929" t="s">
        <v>11826</v>
      </c>
      <c r="B6929" s="1">
        <v>45633</v>
      </c>
      <c r="C6929" t="s">
        <v>11827</v>
      </c>
      <c r="D6929" t="s">
        <v>56</v>
      </c>
      <c r="E6929" t="s">
        <v>20</v>
      </c>
      <c r="F6929" t="s">
        <v>21</v>
      </c>
      <c r="G6929">
        <v>2</v>
      </c>
      <c r="H6929">
        <v>24820.03</v>
      </c>
      <c r="I6929">
        <v>3401.49</v>
      </c>
      <c r="J6929" t="s">
        <v>16</v>
      </c>
      <c r="K6929" t="s">
        <v>33</v>
      </c>
      <c r="L6929">
        <f t="shared" si="324"/>
        <v>2024</v>
      </c>
      <c r="M6929" t="str">
        <f t="shared" si="325"/>
        <v>Dec</v>
      </c>
      <c r="N6929" s="2">
        <f t="shared" si="326"/>
        <v>0.13704616795386629</v>
      </c>
    </row>
    <row r="6930" spans="1:14" x14ac:dyDescent="0.45">
      <c r="A6930" t="s">
        <v>11828</v>
      </c>
      <c r="B6930" s="1">
        <v>45165</v>
      </c>
      <c r="C6930" t="s">
        <v>11829</v>
      </c>
      <c r="D6930" t="s">
        <v>26</v>
      </c>
      <c r="E6930" t="s">
        <v>20</v>
      </c>
      <c r="F6930" t="s">
        <v>43</v>
      </c>
      <c r="G6930">
        <v>4</v>
      </c>
      <c r="H6930">
        <v>29272.98</v>
      </c>
      <c r="I6930">
        <v>6519.15</v>
      </c>
      <c r="J6930" t="s">
        <v>71</v>
      </c>
      <c r="K6930" t="s">
        <v>17</v>
      </c>
      <c r="L6930">
        <f t="shared" si="324"/>
        <v>2023</v>
      </c>
      <c r="M6930" t="str">
        <f t="shared" si="325"/>
        <v>Aug</v>
      </c>
      <c r="N6930" s="2">
        <f t="shared" si="326"/>
        <v>0.22270195928122111</v>
      </c>
    </row>
    <row r="6931" spans="1:14" x14ac:dyDescent="0.45">
      <c r="A6931" t="s">
        <v>11830</v>
      </c>
      <c r="B6931" s="1">
        <v>45630</v>
      </c>
      <c r="C6931" t="s">
        <v>11831</v>
      </c>
      <c r="D6931" t="s">
        <v>56</v>
      </c>
      <c r="E6931" t="s">
        <v>14</v>
      </c>
      <c r="F6931" t="s">
        <v>40</v>
      </c>
      <c r="G6931">
        <v>2</v>
      </c>
      <c r="H6931">
        <v>17115.330000000002</v>
      </c>
      <c r="I6931">
        <v>1823.47</v>
      </c>
      <c r="J6931" t="s">
        <v>16</v>
      </c>
      <c r="K6931" t="s">
        <v>23</v>
      </c>
      <c r="L6931">
        <f t="shared" si="324"/>
        <v>2024</v>
      </c>
      <c r="M6931" t="str">
        <f t="shared" si="325"/>
        <v>Dec</v>
      </c>
      <c r="N6931" s="2">
        <f t="shared" si="326"/>
        <v>0.10654016019556736</v>
      </c>
    </row>
    <row r="6932" spans="1:14" x14ac:dyDescent="0.45">
      <c r="A6932" t="s">
        <v>11832</v>
      </c>
      <c r="B6932" s="1">
        <v>45077</v>
      </c>
      <c r="C6932" t="s">
        <v>9230</v>
      </c>
      <c r="D6932" t="s">
        <v>13</v>
      </c>
      <c r="E6932" t="s">
        <v>20</v>
      </c>
      <c r="F6932" t="s">
        <v>50</v>
      </c>
      <c r="G6932">
        <v>4</v>
      </c>
      <c r="H6932">
        <v>30788.59</v>
      </c>
      <c r="I6932">
        <v>7050.19</v>
      </c>
      <c r="J6932" t="s">
        <v>71</v>
      </c>
      <c r="K6932" t="s">
        <v>23</v>
      </c>
      <c r="L6932">
        <f t="shared" si="324"/>
        <v>2023</v>
      </c>
      <c r="M6932" t="str">
        <f t="shared" si="325"/>
        <v>May</v>
      </c>
      <c r="N6932" s="2">
        <f t="shared" si="326"/>
        <v>0.22898710204007391</v>
      </c>
    </row>
    <row r="6933" spans="1:14" x14ac:dyDescent="0.45">
      <c r="A6933" t="s">
        <v>11833</v>
      </c>
      <c r="B6933" s="1">
        <v>44621</v>
      </c>
      <c r="C6933" t="s">
        <v>210</v>
      </c>
      <c r="D6933" t="s">
        <v>26</v>
      </c>
      <c r="E6933" t="s">
        <v>36</v>
      </c>
      <c r="F6933" t="s">
        <v>46</v>
      </c>
      <c r="G6933">
        <v>3</v>
      </c>
      <c r="H6933">
        <v>9750.43</v>
      </c>
      <c r="I6933">
        <v>1856.54</v>
      </c>
      <c r="J6933" t="s">
        <v>22</v>
      </c>
      <c r="K6933" t="s">
        <v>23</v>
      </c>
      <c r="L6933">
        <f t="shared" si="324"/>
        <v>2022</v>
      </c>
      <c r="M6933" t="str">
        <f t="shared" si="325"/>
        <v>Mar</v>
      </c>
      <c r="N6933" s="2">
        <f t="shared" si="326"/>
        <v>0.19040596158323272</v>
      </c>
    </row>
    <row r="6934" spans="1:14" x14ac:dyDescent="0.45">
      <c r="A6934" t="s">
        <v>11834</v>
      </c>
      <c r="B6934" s="1">
        <v>45635</v>
      </c>
      <c r="C6934" t="s">
        <v>3992</v>
      </c>
      <c r="D6934" t="s">
        <v>26</v>
      </c>
      <c r="E6934" t="s">
        <v>14</v>
      </c>
      <c r="F6934" t="s">
        <v>57</v>
      </c>
      <c r="G6934">
        <v>4</v>
      </c>
      <c r="H6934">
        <v>29940.69</v>
      </c>
      <c r="I6934">
        <v>5503.25</v>
      </c>
      <c r="J6934" t="s">
        <v>71</v>
      </c>
      <c r="K6934" t="s">
        <v>33</v>
      </c>
      <c r="L6934">
        <f t="shared" si="324"/>
        <v>2024</v>
      </c>
      <c r="M6934" t="str">
        <f t="shared" si="325"/>
        <v>Dec</v>
      </c>
      <c r="N6934" s="2">
        <f t="shared" si="326"/>
        <v>0.18380504924903202</v>
      </c>
    </row>
    <row r="6935" spans="1:14" x14ac:dyDescent="0.45">
      <c r="A6935" t="s">
        <v>11835</v>
      </c>
      <c r="B6935" s="1">
        <v>44838</v>
      </c>
      <c r="C6935" t="s">
        <v>11836</v>
      </c>
      <c r="D6935" t="s">
        <v>56</v>
      </c>
      <c r="E6935" t="s">
        <v>14</v>
      </c>
      <c r="F6935" t="s">
        <v>57</v>
      </c>
      <c r="G6935">
        <v>3</v>
      </c>
      <c r="H6935">
        <v>29573.27</v>
      </c>
      <c r="I6935">
        <v>3186.29</v>
      </c>
      <c r="J6935" t="s">
        <v>47</v>
      </c>
      <c r="K6935" t="s">
        <v>23</v>
      </c>
      <c r="L6935">
        <f t="shared" si="324"/>
        <v>2022</v>
      </c>
      <c r="M6935" t="str">
        <f t="shared" si="325"/>
        <v>Oct</v>
      </c>
      <c r="N6935" s="2">
        <f t="shared" si="326"/>
        <v>0.10774222803227373</v>
      </c>
    </row>
    <row r="6936" spans="1:14" x14ac:dyDescent="0.45">
      <c r="A6936" t="s">
        <v>11837</v>
      </c>
      <c r="B6936" s="1">
        <v>45618</v>
      </c>
      <c r="C6936" t="s">
        <v>750</v>
      </c>
      <c r="D6936" t="s">
        <v>56</v>
      </c>
      <c r="E6936" t="s">
        <v>36</v>
      </c>
      <c r="F6936" t="s">
        <v>53</v>
      </c>
      <c r="G6936">
        <v>4</v>
      </c>
      <c r="H6936">
        <v>2928.16</v>
      </c>
      <c r="I6936">
        <v>412.67</v>
      </c>
      <c r="J6936" t="s">
        <v>16</v>
      </c>
      <c r="K6936" t="s">
        <v>23</v>
      </c>
      <c r="L6936">
        <f t="shared" si="324"/>
        <v>2024</v>
      </c>
      <c r="M6936" t="str">
        <f t="shared" si="325"/>
        <v>Nov</v>
      </c>
      <c r="N6936" s="2">
        <f t="shared" si="326"/>
        <v>0.14093150647505601</v>
      </c>
    </row>
    <row r="6937" spans="1:14" x14ac:dyDescent="0.45">
      <c r="A6937" t="s">
        <v>11838</v>
      </c>
      <c r="B6937" s="1">
        <v>45479</v>
      </c>
      <c r="C6937" t="s">
        <v>8189</v>
      </c>
      <c r="D6937" t="s">
        <v>26</v>
      </c>
      <c r="E6937" t="s">
        <v>36</v>
      </c>
      <c r="F6937" t="s">
        <v>37</v>
      </c>
      <c r="G6937">
        <v>1</v>
      </c>
      <c r="H6937">
        <v>34587.17</v>
      </c>
      <c r="I6937">
        <v>3075.17</v>
      </c>
      <c r="J6937" t="s">
        <v>22</v>
      </c>
      <c r="K6937" t="s">
        <v>17</v>
      </c>
      <c r="L6937">
        <f t="shared" si="324"/>
        <v>2024</v>
      </c>
      <c r="M6937" t="str">
        <f t="shared" si="325"/>
        <v>Jul</v>
      </c>
      <c r="N6937" s="2">
        <f t="shared" si="326"/>
        <v>8.8910714580001785E-2</v>
      </c>
    </row>
    <row r="6938" spans="1:14" x14ac:dyDescent="0.45">
      <c r="A6938" t="s">
        <v>11839</v>
      </c>
      <c r="B6938" s="1">
        <v>45569</v>
      </c>
      <c r="C6938" t="s">
        <v>11840</v>
      </c>
      <c r="D6938" t="s">
        <v>56</v>
      </c>
      <c r="E6938" t="s">
        <v>36</v>
      </c>
      <c r="F6938" t="s">
        <v>46</v>
      </c>
      <c r="G6938">
        <v>1</v>
      </c>
      <c r="H6938">
        <v>42028.74</v>
      </c>
      <c r="I6938">
        <v>7818.51</v>
      </c>
      <c r="J6938" t="s">
        <v>16</v>
      </c>
      <c r="K6938" t="s">
        <v>23</v>
      </c>
      <c r="L6938">
        <f t="shared" si="324"/>
        <v>2024</v>
      </c>
      <c r="M6938" t="str">
        <f t="shared" si="325"/>
        <v>Oct</v>
      </c>
      <c r="N6938" s="2">
        <f t="shared" si="326"/>
        <v>0.18602770389976003</v>
      </c>
    </row>
    <row r="6939" spans="1:14" x14ac:dyDescent="0.45">
      <c r="A6939" t="s">
        <v>11841</v>
      </c>
      <c r="B6939" s="1">
        <v>45257</v>
      </c>
      <c r="C6939" t="s">
        <v>11842</v>
      </c>
      <c r="D6939" t="s">
        <v>26</v>
      </c>
      <c r="E6939" t="s">
        <v>20</v>
      </c>
      <c r="F6939" t="s">
        <v>43</v>
      </c>
      <c r="G6939">
        <v>1</v>
      </c>
      <c r="H6939">
        <v>23605.16</v>
      </c>
      <c r="I6939">
        <v>1387.02</v>
      </c>
      <c r="J6939" t="s">
        <v>22</v>
      </c>
      <c r="K6939" t="s">
        <v>33</v>
      </c>
      <c r="L6939">
        <f t="shared" si="324"/>
        <v>2023</v>
      </c>
      <c r="M6939" t="str">
        <f t="shared" si="325"/>
        <v>Nov</v>
      </c>
      <c r="N6939" s="2">
        <f t="shared" si="326"/>
        <v>5.8759186550737211E-2</v>
      </c>
    </row>
    <row r="6940" spans="1:14" x14ac:dyDescent="0.45">
      <c r="A6940" t="s">
        <v>11843</v>
      </c>
      <c r="B6940" s="1">
        <v>44748</v>
      </c>
      <c r="C6940" t="s">
        <v>11844</v>
      </c>
      <c r="D6940" t="s">
        <v>13</v>
      </c>
      <c r="E6940" t="s">
        <v>20</v>
      </c>
      <c r="F6940" t="s">
        <v>43</v>
      </c>
      <c r="G6940">
        <v>2</v>
      </c>
      <c r="H6940">
        <v>48706.05</v>
      </c>
      <c r="I6940">
        <v>12121.7</v>
      </c>
      <c r="J6940" t="s">
        <v>47</v>
      </c>
      <c r="K6940" t="s">
        <v>29</v>
      </c>
      <c r="L6940">
        <f t="shared" si="324"/>
        <v>2022</v>
      </c>
      <c r="M6940" t="str">
        <f t="shared" si="325"/>
        <v>Jul</v>
      </c>
      <c r="N6940" s="2">
        <f t="shared" si="326"/>
        <v>0.24887462645810943</v>
      </c>
    </row>
    <row r="6941" spans="1:14" x14ac:dyDescent="0.45">
      <c r="A6941" t="s">
        <v>11845</v>
      </c>
      <c r="B6941" s="1">
        <v>45101</v>
      </c>
      <c r="C6941" t="s">
        <v>11846</v>
      </c>
      <c r="D6941" t="s">
        <v>13</v>
      </c>
      <c r="E6941" t="s">
        <v>20</v>
      </c>
      <c r="F6941" t="s">
        <v>21</v>
      </c>
      <c r="G6941">
        <v>4</v>
      </c>
      <c r="H6941">
        <v>47875.59</v>
      </c>
      <c r="I6941">
        <v>11042.84</v>
      </c>
      <c r="J6941" t="s">
        <v>16</v>
      </c>
      <c r="K6941" t="s">
        <v>29</v>
      </c>
      <c r="L6941">
        <f t="shared" si="324"/>
        <v>2023</v>
      </c>
      <c r="M6941" t="str">
        <f t="shared" si="325"/>
        <v>Jun</v>
      </c>
      <c r="N6941" s="2">
        <f t="shared" si="326"/>
        <v>0.23065700078056481</v>
      </c>
    </row>
    <row r="6942" spans="1:14" x14ac:dyDescent="0.45">
      <c r="A6942" t="s">
        <v>11847</v>
      </c>
      <c r="B6942" s="1">
        <v>45620</v>
      </c>
      <c r="C6942" t="s">
        <v>2631</v>
      </c>
      <c r="D6942" t="s">
        <v>26</v>
      </c>
      <c r="E6942" t="s">
        <v>36</v>
      </c>
      <c r="F6942" t="s">
        <v>46</v>
      </c>
      <c r="G6942">
        <v>2</v>
      </c>
      <c r="H6942">
        <v>8163.86</v>
      </c>
      <c r="I6942">
        <v>660.7</v>
      </c>
      <c r="J6942" t="s">
        <v>16</v>
      </c>
      <c r="K6942" t="s">
        <v>17</v>
      </c>
      <c r="L6942">
        <f t="shared" si="324"/>
        <v>2024</v>
      </c>
      <c r="M6942" t="str">
        <f t="shared" si="325"/>
        <v>Nov</v>
      </c>
      <c r="N6942" s="2">
        <f t="shared" si="326"/>
        <v>8.0929854260117159E-2</v>
      </c>
    </row>
    <row r="6943" spans="1:14" x14ac:dyDescent="0.45">
      <c r="A6943" t="s">
        <v>11848</v>
      </c>
      <c r="B6943" s="1">
        <v>44622</v>
      </c>
      <c r="C6943" t="s">
        <v>1996</v>
      </c>
      <c r="D6943" t="s">
        <v>13</v>
      </c>
      <c r="E6943" t="s">
        <v>20</v>
      </c>
      <c r="F6943" t="s">
        <v>27</v>
      </c>
      <c r="G6943">
        <v>2</v>
      </c>
      <c r="H6943">
        <v>47248.49</v>
      </c>
      <c r="I6943">
        <v>4766.7299999999996</v>
      </c>
      <c r="J6943" t="s">
        <v>47</v>
      </c>
      <c r="K6943" t="s">
        <v>29</v>
      </c>
      <c r="L6943">
        <f t="shared" si="324"/>
        <v>2022</v>
      </c>
      <c r="M6943" t="str">
        <f t="shared" si="325"/>
        <v>Mar</v>
      </c>
      <c r="N6943" s="2">
        <f t="shared" si="326"/>
        <v>0.10088639869760917</v>
      </c>
    </row>
    <row r="6944" spans="1:14" x14ac:dyDescent="0.45">
      <c r="A6944" t="s">
        <v>11849</v>
      </c>
      <c r="B6944" s="1">
        <v>45122</v>
      </c>
      <c r="C6944" t="s">
        <v>3849</v>
      </c>
      <c r="D6944" t="s">
        <v>26</v>
      </c>
      <c r="E6944" t="s">
        <v>14</v>
      </c>
      <c r="F6944" t="s">
        <v>40</v>
      </c>
      <c r="G6944">
        <v>3</v>
      </c>
      <c r="H6944">
        <v>41492.14</v>
      </c>
      <c r="I6944">
        <v>9703.86</v>
      </c>
      <c r="J6944" t="s">
        <v>22</v>
      </c>
      <c r="K6944" t="s">
        <v>33</v>
      </c>
      <c r="L6944">
        <f t="shared" si="324"/>
        <v>2023</v>
      </c>
      <c r="M6944" t="str">
        <f t="shared" si="325"/>
        <v>Jul</v>
      </c>
      <c r="N6944" s="2">
        <f t="shared" si="326"/>
        <v>0.23387224664719633</v>
      </c>
    </row>
    <row r="6945" spans="1:14" x14ac:dyDescent="0.45">
      <c r="A6945" t="s">
        <v>11850</v>
      </c>
      <c r="B6945" s="1">
        <v>45489</v>
      </c>
      <c r="C6945" t="s">
        <v>6724</v>
      </c>
      <c r="D6945" t="s">
        <v>13</v>
      </c>
      <c r="E6945" t="s">
        <v>14</v>
      </c>
      <c r="F6945" t="s">
        <v>40</v>
      </c>
      <c r="G6945">
        <v>2</v>
      </c>
      <c r="H6945">
        <v>41612.269999999997</v>
      </c>
      <c r="I6945">
        <v>5133.3999999999996</v>
      </c>
      <c r="J6945" t="s">
        <v>16</v>
      </c>
      <c r="K6945" t="s">
        <v>23</v>
      </c>
      <c r="L6945">
        <f t="shared" si="324"/>
        <v>2024</v>
      </c>
      <c r="M6945" t="str">
        <f t="shared" si="325"/>
        <v>Jul</v>
      </c>
      <c r="N6945" s="2">
        <f t="shared" si="326"/>
        <v>0.12336265240997427</v>
      </c>
    </row>
    <row r="6946" spans="1:14" x14ac:dyDescent="0.45">
      <c r="A6946" t="s">
        <v>11851</v>
      </c>
      <c r="B6946" s="1">
        <v>45247</v>
      </c>
      <c r="C6946" t="s">
        <v>2635</v>
      </c>
      <c r="D6946" t="s">
        <v>26</v>
      </c>
      <c r="E6946" t="s">
        <v>36</v>
      </c>
      <c r="F6946" t="s">
        <v>46</v>
      </c>
      <c r="G6946">
        <v>3</v>
      </c>
      <c r="H6946">
        <v>39637.050000000003</v>
      </c>
      <c r="I6946">
        <v>7885.05</v>
      </c>
      <c r="J6946" t="s">
        <v>47</v>
      </c>
      <c r="K6946" t="s">
        <v>23</v>
      </c>
      <c r="L6946">
        <f t="shared" si="324"/>
        <v>2023</v>
      </c>
      <c r="M6946" t="str">
        <f t="shared" si="325"/>
        <v>Nov</v>
      </c>
      <c r="N6946" s="2">
        <f t="shared" si="326"/>
        <v>0.19893130290977759</v>
      </c>
    </row>
    <row r="6947" spans="1:14" x14ac:dyDescent="0.45">
      <c r="A6947" t="s">
        <v>11852</v>
      </c>
      <c r="B6947" s="1">
        <v>45612</v>
      </c>
      <c r="C6947" t="s">
        <v>1356</v>
      </c>
      <c r="D6947" t="s">
        <v>56</v>
      </c>
      <c r="E6947" t="s">
        <v>14</v>
      </c>
      <c r="F6947" t="s">
        <v>32</v>
      </c>
      <c r="G6947">
        <v>5</v>
      </c>
      <c r="H6947">
        <v>27364.85</v>
      </c>
      <c r="I6947">
        <v>2403.3200000000002</v>
      </c>
      <c r="J6947" t="s">
        <v>71</v>
      </c>
      <c r="K6947" t="s">
        <v>33</v>
      </c>
      <c r="L6947">
        <f t="shared" si="324"/>
        <v>2024</v>
      </c>
      <c r="M6947" t="str">
        <f t="shared" si="325"/>
        <v>Nov</v>
      </c>
      <c r="N6947" s="2">
        <f t="shared" si="326"/>
        <v>8.7825074867941916E-2</v>
      </c>
    </row>
    <row r="6948" spans="1:14" x14ac:dyDescent="0.45">
      <c r="A6948" t="s">
        <v>11853</v>
      </c>
      <c r="B6948" s="1">
        <v>45065</v>
      </c>
      <c r="C6948" t="s">
        <v>11854</v>
      </c>
      <c r="D6948" t="s">
        <v>13</v>
      </c>
      <c r="E6948" t="s">
        <v>20</v>
      </c>
      <c r="F6948" t="s">
        <v>27</v>
      </c>
      <c r="G6948">
        <v>5</v>
      </c>
      <c r="H6948">
        <v>6228.32</v>
      </c>
      <c r="I6948">
        <v>710.34</v>
      </c>
      <c r="J6948" t="s">
        <v>28</v>
      </c>
      <c r="K6948" t="s">
        <v>17</v>
      </c>
      <c r="L6948">
        <f t="shared" si="324"/>
        <v>2023</v>
      </c>
      <c r="M6948" t="str">
        <f t="shared" si="325"/>
        <v>May</v>
      </c>
      <c r="N6948" s="2">
        <f t="shared" si="326"/>
        <v>0.11405001669792177</v>
      </c>
    </row>
    <row r="6949" spans="1:14" x14ac:dyDescent="0.45">
      <c r="A6949" t="s">
        <v>11855</v>
      </c>
      <c r="B6949" s="1">
        <v>44647</v>
      </c>
      <c r="C6949" t="s">
        <v>6326</v>
      </c>
      <c r="D6949" t="s">
        <v>56</v>
      </c>
      <c r="E6949" t="s">
        <v>20</v>
      </c>
      <c r="F6949" t="s">
        <v>27</v>
      </c>
      <c r="G6949">
        <v>4</v>
      </c>
      <c r="H6949">
        <v>42335.17</v>
      </c>
      <c r="I6949">
        <v>9214</v>
      </c>
      <c r="J6949" t="s">
        <v>47</v>
      </c>
      <c r="K6949" t="s">
        <v>17</v>
      </c>
      <c r="L6949">
        <f t="shared" si="324"/>
        <v>2022</v>
      </c>
      <c r="M6949" t="str">
        <f t="shared" si="325"/>
        <v>Mar</v>
      </c>
      <c r="N6949" s="2">
        <f t="shared" si="326"/>
        <v>0.21764410063783848</v>
      </c>
    </row>
    <row r="6950" spans="1:14" x14ac:dyDescent="0.45">
      <c r="A6950" t="s">
        <v>11856</v>
      </c>
      <c r="B6950" s="1">
        <v>44672</v>
      </c>
      <c r="C6950" t="s">
        <v>2141</v>
      </c>
      <c r="D6950" t="s">
        <v>26</v>
      </c>
      <c r="E6950" t="s">
        <v>20</v>
      </c>
      <c r="F6950" t="s">
        <v>21</v>
      </c>
      <c r="G6950">
        <v>2</v>
      </c>
      <c r="H6950">
        <v>37462.480000000003</v>
      </c>
      <c r="I6950">
        <v>7932.44</v>
      </c>
      <c r="J6950" t="s">
        <v>16</v>
      </c>
      <c r="K6950" t="s">
        <v>29</v>
      </c>
      <c r="L6950">
        <f t="shared" si="324"/>
        <v>2022</v>
      </c>
      <c r="M6950" t="str">
        <f t="shared" si="325"/>
        <v>Apr</v>
      </c>
      <c r="N6950" s="2">
        <f t="shared" si="326"/>
        <v>0.21174358985310099</v>
      </c>
    </row>
    <row r="6951" spans="1:14" x14ac:dyDescent="0.45">
      <c r="A6951" t="s">
        <v>11857</v>
      </c>
      <c r="B6951" s="1">
        <v>45017</v>
      </c>
      <c r="C6951" t="s">
        <v>11858</v>
      </c>
      <c r="D6951" t="s">
        <v>26</v>
      </c>
      <c r="E6951" t="s">
        <v>36</v>
      </c>
      <c r="F6951" t="s">
        <v>53</v>
      </c>
      <c r="G6951">
        <v>5</v>
      </c>
      <c r="H6951">
        <v>30336.7</v>
      </c>
      <c r="I6951">
        <v>7119.1</v>
      </c>
      <c r="J6951" t="s">
        <v>71</v>
      </c>
      <c r="K6951" t="s">
        <v>33</v>
      </c>
      <c r="L6951">
        <f t="shared" si="324"/>
        <v>2023</v>
      </c>
      <c r="M6951" t="str">
        <f t="shared" si="325"/>
        <v>Apr</v>
      </c>
      <c r="N6951" s="2">
        <f t="shared" si="326"/>
        <v>0.23466955865338024</v>
      </c>
    </row>
    <row r="6952" spans="1:14" x14ac:dyDescent="0.45">
      <c r="A6952" t="s">
        <v>11859</v>
      </c>
      <c r="B6952" s="1">
        <v>45511</v>
      </c>
      <c r="C6952" t="s">
        <v>5688</v>
      </c>
      <c r="D6952" t="s">
        <v>56</v>
      </c>
      <c r="E6952" t="s">
        <v>36</v>
      </c>
      <c r="F6952" t="s">
        <v>64</v>
      </c>
      <c r="G6952">
        <v>1</v>
      </c>
      <c r="H6952">
        <v>25448.37</v>
      </c>
      <c r="I6952">
        <v>5333.42</v>
      </c>
      <c r="J6952" t="s">
        <v>71</v>
      </c>
      <c r="K6952" t="s">
        <v>23</v>
      </c>
      <c r="L6952">
        <f t="shared" si="324"/>
        <v>2024</v>
      </c>
      <c r="M6952" t="str">
        <f t="shared" si="325"/>
        <v>Aug</v>
      </c>
      <c r="N6952" s="2">
        <f t="shared" si="326"/>
        <v>0.2095780594199157</v>
      </c>
    </row>
    <row r="6953" spans="1:14" x14ac:dyDescent="0.45">
      <c r="A6953" t="s">
        <v>11860</v>
      </c>
      <c r="B6953" s="1">
        <v>45637</v>
      </c>
      <c r="C6953" t="s">
        <v>11861</v>
      </c>
      <c r="D6953" t="s">
        <v>56</v>
      </c>
      <c r="E6953" t="s">
        <v>14</v>
      </c>
      <c r="F6953" t="s">
        <v>40</v>
      </c>
      <c r="G6953">
        <v>1</v>
      </c>
      <c r="H6953">
        <v>43102.239999999998</v>
      </c>
      <c r="I6953">
        <v>2982.06</v>
      </c>
      <c r="J6953" t="s">
        <v>16</v>
      </c>
      <c r="K6953" t="s">
        <v>17</v>
      </c>
      <c r="L6953">
        <f t="shared" si="324"/>
        <v>2024</v>
      </c>
      <c r="M6953" t="str">
        <f t="shared" si="325"/>
        <v>Dec</v>
      </c>
      <c r="N6953" s="2">
        <f t="shared" si="326"/>
        <v>6.918573141442301E-2</v>
      </c>
    </row>
    <row r="6954" spans="1:14" x14ac:dyDescent="0.45">
      <c r="A6954" t="s">
        <v>11862</v>
      </c>
      <c r="B6954" s="1">
        <v>45379</v>
      </c>
      <c r="C6954" t="s">
        <v>4052</v>
      </c>
      <c r="D6954" t="s">
        <v>13</v>
      </c>
      <c r="E6954" t="s">
        <v>20</v>
      </c>
      <c r="F6954" t="s">
        <v>27</v>
      </c>
      <c r="G6954">
        <v>2</v>
      </c>
      <c r="H6954">
        <v>27542</v>
      </c>
      <c r="I6954">
        <v>3479.87</v>
      </c>
      <c r="J6954" t="s">
        <v>47</v>
      </c>
      <c r="K6954" t="s">
        <v>17</v>
      </c>
      <c r="L6954">
        <f t="shared" si="324"/>
        <v>2024</v>
      </c>
      <c r="M6954" t="str">
        <f t="shared" si="325"/>
        <v>Mar</v>
      </c>
      <c r="N6954" s="2">
        <f t="shared" si="326"/>
        <v>0.12634775978505555</v>
      </c>
    </row>
    <row r="6955" spans="1:14" x14ac:dyDescent="0.45">
      <c r="A6955" t="s">
        <v>11863</v>
      </c>
      <c r="B6955" s="1">
        <v>44593</v>
      </c>
      <c r="C6955" t="s">
        <v>11204</v>
      </c>
      <c r="D6955" t="s">
        <v>26</v>
      </c>
      <c r="E6955" t="s">
        <v>36</v>
      </c>
      <c r="F6955" t="s">
        <v>64</v>
      </c>
      <c r="G6955">
        <v>3</v>
      </c>
      <c r="H6955">
        <v>25394.31</v>
      </c>
      <c r="I6955">
        <v>6047.98</v>
      </c>
      <c r="J6955" t="s">
        <v>28</v>
      </c>
      <c r="K6955" t="s">
        <v>17</v>
      </c>
      <c r="L6955">
        <f t="shared" si="324"/>
        <v>2022</v>
      </c>
      <c r="M6955" t="str">
        <f t="shared" si="325"/>
        <v>Feb</v>
      </c>
      <c r="N6955" s="2">
        <f t="shared" si="326"/>
        <v>0.23816280103692516</v>
      </c>
    </row>
    <row r="6956" spans="1:14" x14ac:dyDescent="0.45">
      <c r="A6956" t="s">
        <v>11864</v>
      </c>
      <c r="B6956" s="1">
        <v>45254</v>
      </c>
      <c r="C6956" t="s">
        <v>11865</v>
      </c>
      <c r="D6956" t="s">
        <v>56</v>
      </c>
      <c r="E6956" t="s">
        <v>36</v>
      </c>
      <c r="F6956" t="s">
        <v>64</v>
      </c>
      <c r="G6956">
        <v>2</v>
      </c>
      <c r="H6956">
        <v>44322.07</v>
      </c>
      <c r="I6956">
        <v>8208.64</v>
      </c>
      <c r="J6956" t="s">
        <v>47</v>
      </c>
      <c r="K6956" t="s">
        <v>17</v>
      </c>
      <c r="L6956">
        <f t="shared" si="324"/>
        <v>2023</v>
      </c>
      <c r="M6956" t="str">
        <f t="shared" si="325"/>
        <v>Nov</v>
      </c>
      <c r="N6956" s="2">
        <f t="shared" si="326"/>
        <v>0.18520434627714816</v>
      </c>
    </row>
    <row r="6957" spans="1:14" x14ac:dyDescent="0.45">
      <c r="A6957" t="s">
        <v>11866</v>
      </c>
      <c r="B6957" s="1">
        <v>45155</v>
      </c>
      <c r="C6957" t="s">
        <v>911</v>
      </c>
      <c r="D6957" t="s">
        <v>26</v>
      </c>
      <c r="E6957" t="s">
        <v>36</v>
      </c>
      <c r="F6957" t="s">
        <v>46</v>
      </c>
      <c r="G6957">
        <v>5</v>
      </c>
      <c r="H6957">
        <v>7308.33</v>
      </c>
      <c r="I6957">
        <v>835.46</v>
      </c>
      <c r="J6957" t="s">
        <v>71</v>
      </c>
      <c r="K6957" t="s">
        <v>29</v>
      </c>
      <c r="L6957">
        <f t="shared" si="324"/>
        <v>2023</v>
      </c>
      <c r="M6957" t="str">
        <f t="shared" si="325"/>
        <v>Aug</v>
      </c>
      <c r="N6957" s="2">
        <f t="shared" si="326"/>
        <v>0.114316129676684</v>
      </c>
    </row>
    <row r="6958" spans="1:14" x14ac:dyDescent="0.45">
      <c r="A6958" t="s">
        <v>11867</v>
      </c>
      <c r="B6958" s="1">
        <v>44596</v>
      </c>
      <c r="C6958" t="s">
        <v>11427</v>
      </c>
      <c r="D6958" t="s">
        <v>13</v>
      </c>
      <c r="E6958" t="s">
        <v>20</v>
      </c>
      <c r="F6958" t="s">
        <v>43</v>
      </c>
      <c r="G6958">
        <v>3</v>
      </c>
      <c r="H6958">
        <v>41223.68</v>
      </c>
      <c r="I6958">
        <v>3653.94</v>
      </c>
      <c r="J6958" t="s">
        <v>28</v>
      </c>
      <c r="K6958" t="s">
        <v>33</v>
      </c>
      <c r="L6958">
        <f t="shared" si="324"/>
        <v>2022</v>
      </c>
      <c r="M6958" t="str">
        <f t="shared" si="325"/>
        <v>Feb</v>
      </c>
      <c r="N6958" s="2">
        <f t="shared" si="326"/>
        <v>8.8636919362851646E-2</v>
      </c>
    </row>
    <row r="6959" spans="1:14" x14ac:dyDescent="0.45">
      <c r="A6959" t="s">
        <v>11868</v>
      </c>
      <c r="B6959" s="1">
        <v>45453</v>
      </c>
      <c r="C6959" t="s">
        <v>11869</v>
      </c>
      <c r="D6959" t="s">
        <v>56</v>
      </c>
      <c r="E6959" t="s">
        <v>14</v>
      </c>
      <c r="F6959" t="s">
        <v>32</v>
      </c>
      <c r="G6959">
        <v>1</v>
      </c>
      <c r="H6959">
        <v>6843.55</v>
      </c>
      <c r="I6959">
        <v>694.79</v>
      </c>
      <c r="J6959" t="s">
        <v>16</v>
      </c>
      <c r="K6959" t="s">
        <v>33</v>
      </c>
      <c r="L6959">
        <f t="shared" si="324"/>
        <v>2024</v>
      </c>
      <c r="M6959" t="str">
        <f t="shared" si="325"/>
        <v>Jun</v>
      </c>
      <c r="N6959" s="2">
        <f t="shared" si="326"/>
        <v>0.10152479341862045</v>
      </c>
    </row>
    <row r="6960" spans="1:14" x14ac:dyDescent="0.45">
      <c r="A6960" t="s">
        <v>11870</v>
      </c>
      <c r="B6960" s="1">
        <v>45052</v>
      </c>
      <c r="C6960" t="s">
        <v>3804</v>
      </c>
      <c r="D6960" t="s">
        <v>13</v>
      </c>
      <c r="E6960" t="s">
        <v>36</v>
      </c>
      <c r="F6960" t="s">
        <v>53</v>
      </c>
      <c r="G6960">
        <v>2</v>
      </c>
      <c r="H6960">
        <v>7253.6</v>
      </c>
      <c r="I6960">
        <v>982.44</v>
      </c>
      <c r="J6960" t="s">
        <v>28</v>
      </c>
      <c r="K6960" t="s">
        <v>33</v>
      </c>
      <c r="L6960">
        <f t="shared" si="324"/>
        <v>2023</v>
      </c>
      <c r="M6960" t="str">
        <f t="shared" si="325"/>
        <v>May</v>
      </c>
      <c r="N6960" s="2">
        <f t="shared" si="326"/>
        <v>0.13544171170177566</v>
      </c>
    </row>
    <row r="6961" spans="1:14" x14ac:dyDescent="0.45">
      <c r="A6961" t="s">
        <v>11871</v>
      </c>
      <c r="B6961" s="1">
        <v>44863</v>
      </c>
      <c r="C6961" t="s">
        <v>2529</v>
      </c>
      <c r="D6961" t="s">
        <v>13</v>
      </c>
      <c r="E6961" t="s">
        <v>36</v>
      </c>
      <c r="F6961" t="s">
        <v>37</v>
      </c>
      <c r="G6961">
        <v>3</v>
      </c>
      <c r="H6961">
        <v>10859.24</v>
      </c>
      <c r="I6961">
        <v>1049.17</v>
      </c>
      <c r="J6961" t="s">
        <v>28</v>
      </c>
      <c r="K6961" t="s">
        <v>29</v>
      </c>
      <c r="L6961">
        <f t="shared" si="324"/>
        <v>2022</v>
      </c>
      <c r="M6961" t="str">
        <f t="shared" si="325"/>
        <v>Oct</v>
      </c>
      <c r="N6961" s="2">
        <f t="shared" si="326"/>
        <v>9.6615416916837657E-2</v>
      </c>
    </row>
    <row r="6962" spans="1:14" x14ac:dyDescent="0.45">
      <c r="A6962" t="s">
        <v>11872</v>
      </c>
      <c r="B6962" s="1">
        <v>44942</v>
      </c>
      <c r="C6962" t="s">
        <v>11873</v>
      </c>
      <c r="D6962" t="s">
        <v>13</v>
      </c>
      <c r="E6962" t="s">
        <v>36</v>
      </c>
      <c r="F6962" t="s">
        <v>46</v>
      </c>
      <c r="G6962">
        <v>1</v>
      </c>
      <c r="H6962">
        <v>6101.58</v>
      </c>
      <c r="I6962">
        <v>1436.16</v>
      </c>
      <c r="J6962" t="s">
        <v>28</v>
      </c>
      <c r="K6962" t="s">
        <v>29</v>
      </c>
      <c r="L6962">
        <f t="shared" si="324"/>
        <v>2023</v>
      </c>
      <c r="M6962" t="str">
        <f t="shared" si="325"/>
        <v>Jan</v>
      </c>
      <c r="N6962" s="2">
        <f t="shared" si="326"/>
        <v>0.23537509956437513</v>
      </c>
    </row>
    <row r="6963" spans="1:14" x14ac:dyDescent="0.45">
      <c r="A6963" t="s">
        <v>11874</v>
      </c>
      <c r="B6963" s="1">
        <v>45164</v>
      </c>
      <c r="C6963" t="s">
        <v>11568</v>
      </c>
      <c r="D6963" t="s">
        <v>26</v>
      </c>
      <c r="E6963" t="s">
        <v>14</v>
      </c>
      <c r="F6963" t="s">
        <v>57</v>
      </c>
      <c r="G6963">
        <v>4</v>
      </c>
      <c r="H6963">
        <v>41801.660000000003</v>
      </c>
      <c r="I6963">
        <v>6228.05</v>
      </c>
      <c r="J6963" t="s">
        <v>16</v>
      </c>
      <c r="K6963" t="s">
        <v>23</v>
      </c>
      <c r="L6963">
        <f t="shared" si="324"/>
        <v>2023</v>
      </c>
      <c r="M6963" t="str">
        <f t="shared" si="325"/>
        <v>Aug</v>
      </c>
      <c r="N6963" s="2">
        <f t="shared" si="326"/>
        <v>0.14899049463585895</v>
      </c>
    </row>
    <row r="6964" spans="1:14" x14ac:dyDescent="0.45">
      <c r="A6964" t="s">
        <v>11875</v>
      </c>
      <c r="B6964" s="1">
        <v>45356</v>
      </c>
      <c r="C6964" t="s">
        <v>11876</v>
      </c>
      <c r="D6964" t="s">
        <v>13</v>
      </c>
      <c r="E6964" t="s">
        <v>14</v>
      </c>
      <c r="F6964" t="s">
        <v>15</v>
      </c>
      <c r="G6964">
        <v>3</v>
      </c>
      <c r="H6964">
        <v>33992.410000000003</v>
      </c>
      <c r="I6964">
        <v>2450.5300000000002</v>
      </c>
      <c r="J6964" t="s">
        <v>16</v>
      </c>
      <c r="K6964" t="s">
        <v>29</v>
      </c>
      <c r="L6964">
        <f t="shared" si="324"/>
        <v>2024</v>
      </c>
      <c r="M6964" t="str">
        <f t="shared" si="325"/>
        <v>Mar</v>
      </c>
      <c r="N6964" s="2">
        <f t="shared" si="326"/>
        <v>7.2090504909772507E-2</v>
      </c>
    </row>
    <row r="6965" spans="1:14" x14ac:dyDescent="0.45">
      <c r="A6965" t="s">
        <v>11877</v>
      </c>
      <c r="B6965" s="1">
        <v>45382</v>
      </c>
      <c r="C6965" t="s">
        <v>3158</v>
      </c>
      <c r="D6965" t="s">
        <v>13</v>
      </c>
      <c r="E6965" t="s">
        <v>14</v>
      </c>
      <c r="F6965" t="s">
        <v>15</v>
      </c>
      <c r="G6965">
        <v>5</v>
      </c>
      <c r="H6965">
        <v>14548.24</v>
      </c>
      <c r="I6965">
        <v>1163.3900000000001</v>
      </c>
      <c r="J6965" t="s">
        <v>28</v>
      </c>
      <c r="K6965" t="s">
        <v>23</v>
      </c>
      <c r="L6965">
        <f t="shared" si="324"/>
        <v>2024</v>
      </c>
      <c r="M6965" t="str">
        <f t="shared" si="325"/>
        <v>Mar</v>
      </c>
      <c r="N6965" s="2">
        <f t="shared" si="326"/>
        <v>7.9967748676128533E-2</v>
      </c>
    </row>
    <row r="6966" spans="1:14" x14ac:dyDescent="0.45">
      <c r="A6966" t="s">
        <v>11878</v>
      </c>
      <c r="B6966" s="1">
        <v>44577</v>
      </c>
      <c r="C6966" t="s">
        <v>1370</v>
      </c>
      <c r="D6966" t="s">
        <v>13</v>
      </c>
      <c r="E6966" t="s">
        <v>20</v>
      </c>
      <c r="F6966" t="s">
        <v>43</v>
      </c>
      <c r="G6966">
        <v>2</v>
      </c>
      <c r="H6966">
        <v>19460.68</v>
      </c>
      <c r="I6966">
        <v>4059.06</v>
      </c>
      <c r="J6966" t="s">
        <v>47</v>
      </c>
      <c r="K6966" t="s">
        <v>17</v>
      </c>
      <c r="L6966">
        <f t="shared" si="324"/>
        <v>2022</v>
      </c>
      <c r="M6966" t="str">
        <f t="shared" si="325"/>
        <v>Jan</v>
      </c>
      <c r="N6966" s="2">
        <f t="shared" si="326"/>
        <v>0.20857750088897201</v>
      </c>
    </row>
    <row r="6967" spans="1:14" x14ac:dyDescent="0.45">
      <c r="A6967" t="s">
        <v>11879</v>
      </c>
      <c r="B6967" s="1">
        <v>44619</v>
      </c>
      <c r="C6967" t="s">
        <v>5220</v>
      </c>
      <c r="D6967" t="s">
        <v>26</v>
      </c>
      <c r="E6967" t="s">
        <v>20</v>
      </c>
      <c r="F6967" t="s">
        <v>50</v>
      </c>
      <c r="G6967">
        <v>4</v>
      </c>
      <c r="H6967">
        <v>4032.47</v>
      </c>
      <c r="I6967">
        <v>620.20000000000005</v>
      </c>
      <c r="J6967" t="s">
        <v>28</v>
      </c>
      <c r="K6967" t="s">
        <v>33</v>
      </c>
      <c r="L6967">
        <f t="shared" si="324"/>
        <v>2022</v>
      </c>
      <c r="M6967" t="str">
        <f t="shared" si="325"/>
        <v>Feb</v>
      </c>
      <c r="N6967" s="2">
        <f t="shared" si="326"/>
        <v>0.15380151619230895</v>
      </c>
    </row>
    <row r="6968" spans="1:14" x14ac:dyDescent="0.45">
      <c r="A6968" t="s">
        <v>11880</v>
      </c>
      <c r="B6968" s="1">
        <v>44802</v>
      </c>
      <c r="C6968" t="s">
        <v>3966</v>
      </c>
      <c r="D6968" t="s">
        <v>26</v>
      </c>
      <c r="E6968" t="s">
        <v>36</v>
      </c>
      <c r="F6968" t="s">
        <v>37</v>
      </c>
      <c r="G6968">
        <v>1</v>
      </c>
      <c r="H6968">
        <v>11652.53</v>
      </c>
      <c r="I6968">
        <v>1940.37</v>
      </c>
      <c r="J6968" t="s">
        <v>16</v>
      </c>
      <c r="K6968" t="s">
        <v>33</v>
      </c>
      <c r="L6968">
        <f t="shared" si="324"/>
        <v>2022</v>
      </c>
      <c r="M6968" t="str">
        <f t="shared" si="325"/>
        <v>Aug</v>
      </c>
      <c r="N6968" s="2">
        <f t="shared" si="326"/>
        <v>0.16651920226766204</v>
      </c>
    </row>
    <row r="6969" spans="1:14" x14ac:dyDescent="0.45">
      <c r="A6969" t="s">
        <v>11881</v>
      </c>
      <c r="B6969" s="1">
        <v>44707</v>
      </c>
      <c r="C6969" t="s">
        <v>11882</v>
      </c>
      <c r="D6969" t="s">
        <v>13</v>
      </c>
      <c r="E6969" t="s">
        <v>14</v>
      </c>
      <c r="F6969" t="s">
        <v>15</v>
      </c>
      <c r="G6969">
        <v>4</v>
      </c>
      <c r="H6969">
        <v>38991.18</v>
      </c>
      <c r="I6969">
        <v>6572.24</v>
      </c>
      <c r="J6969" t="s">
        <v>47</v>
      </c>
      <c r="K6969" t="s">
        <v>29</v>
      </c>
      <c r="L6969">
        <f t="shared" si="324"/>
        <v>2022</v>
      </c>
      <c r="M6969" t="str">
        <f t="shared" si="325"/>
        <v>May</v>
      </c>
      <c r="N6969" s="2">
        <f t="shared" si="326"/>
        <v>0.16855709419412288</v>
      </c>
    </row>
    <row r="6970" spans="1:14" x14ac:dyDescent="0.45">
      <c r="A6970" t="s">
        <v>11883</v>
      </c>
      <c r="B6970" s="1">
        <v>44915</v>
      </c>
      <c r="C6970" t="s">
        <v>11884</v>
      </c>
      <c r="D6970" t="s">
        <v>26</v>
      </c>
      <c r="E6970" t="s">
        <v>36</v>
      </c>
      <c r="F6970" t="s">
        <v>64</v>
      </c>
      <c r="G6970">
        <v>4</v>
      </c>
      <c r="H6970">
        <v>39389.879999999997</v>
      </c>
      <c r="I6970">
        <v>6801.52</v>
      </c>
      <c r="J6970" t="s">
        <v>71</v>
      </c>
      <c r="K6970" t="s">
        <v>23</v>
      </c>
      <c r="L6970">
        <f t="shared" si="324"/>
        <v>2022</v>
      </c>
      <c r="M6970" t="str">
        <f t="shared" si="325"/>
        <v>Dec</v>
      </c>
      <c r="N6970" s="2">
        <f t="shared" si="326"/>
        <v>0.17267176239176157</v>
      </c>
    </row>
    <row r="6971" spans="1:14" x14ac:dyDescent="0.45">
      <c r="A6971" t="s">
        <v>11885</v>
      </c>
      <c r="B6971" s="1">
        <v>44806</v>
      </c>
      <c r="C6971" t="s">
        <v>6746</v>
      </c>
      <c r="D6971" t="s">
        <v>13</v>
      </c>
      <c r="E6971" t="s">
        <v>36</v>
      </c>
      <c r="F6971" t="s">
        <v>64</v>
      </c>
      <c r="G6971">
        <v>4</v>
      </c>
      <c r="H6971">
        <v>7847.37</v>
      </c>
      <c r="I6971">
        <v>1351.13</v>
      </c>
      <c r="J6971" t="s">
        <v>16</v>
      </c>
      <c r="K6971" t="s">
        <v>23</v>
      </c>
      <c r="L6971">
        <f t="shared" si="324"/>
        <v>2022</v>
      </c>
      <c r="M6971" t="str">
        <f t="shared" si="325"/>
        <v>Sep</v>
      </c>
      <c r="N6971" s="2">
        <f t="shared" si="326"/>
        <v>0.17217615583310078</v>
      </c>
    </row>
    <row r="6972" spans="1:14" x14ac:dyDescent="0.45">
      <c r="A6972" t="s">
        <v>11886</v>
      </c>
      <c r="B6972" s="1">
        <v>44679</v>
      </c>
      <c r="C6972" t="s">
        <v>5789</v>
      </c>
      <c r="D6972" t="s">
        <v>13</v>
      </c>
      <c r="E6972" t="s">
        <v>20</v>
      </c>
      <c r="F6972" t="s">
        <v>50</v>
      </c>
      <c r="G6972">
        <v>3</v>
      </c>
      <c r="H6972">
        <v>8041.33</v>
      </c>
      <c r="I6972">
        <v>1048.51</v>
      </c>
      <c r="J6972" t="s">
        <v>47</v>
      </c>
      <c r="K6972" t="s">
        <v>17</v>
      </c>
      <c r="L6972">
        <f t="shared" si="324"/>
        <v>2022</v>
      </c>
      <c r="M6972" t="str">
        <f t="shared" si="325"/>
        <v>Apr</v>
      </c>
      <c r="N6972" s="2">
        <f t="shared" si="326"/>
        <v>0.13039012203205191</v>
      </c>
    </row>
    <row r="6973" spans="1:14" x14ac:dyDescent="0.45">
      <c r="A6973" t="s">
        <v>11887</v>
      </c>
      <c r="B6973" s="1">
        <v>45443</v>
      </c>
      <c r="C6973" t="s">
        <v>8004</v>
      </c>
      <c r="D6973" t="s">
        <v>26</v>
      </c>
      <c r="E6973" t="s">
        <v>36</v>
      </c>
      <c r="F6973" t="s">
        <v>37</v>
      </c>
      <c r="G6973">
        <v>2</v>
      </c>
      <c r="H6973">
        <v>34057.35</v>
      </c>
      <c r="I6973">
        <v>4282.1000000000004</v>
      </c>
      <c r="J6973" t="s">
        <v>16</v>
      </c>
      <c r="K6973" t="s">
        <v>33</v>
      </c>
      <c r="L6973">
        <f t="shared" si="324"/>
        <v>2024</v>
      </c>
      <c r="M6973" t="str">
        <f t="shared" si="325"/>
        <v>May</v>
      </c>
      <c r="N6973" s="2">
        <f t="shared" si="326"/>
        <v>0.12573203728416921</v>
      </c>
    </row>
    <row r="6974" spans="1:14" x14ac:dyDescent="0.45">
      <c r="A6974" t="s">
        <v>11888</v>
      </c>
      <c r="B6974" s="1">
        <v>45250</v>
      </c>
      <c r="C6974" t="s">
        <v>11889</v>
      </c>
      <c r="D6974" t="s">
        <v>26</v>
      </c>
      <c r="E6974" t="s">
        <v>36</v>
      </c>
      <c r="F6974" t="s">
        <v>64</v>
      </c>
      <c r="G6974">
        <v>5</v>
      </c>
      <c r="H6974">
        <v>4968.88</v>
      </c>
      <c r="I6974">
        <v>773.74</v>
      </c>
      <c r="J6974" t="s">
        <v>16</v>
      </c>
      <c r="K6974" t="s">
        <v>23</v>
      </c>
      <c r="L6974">
        <f t="shared" si="324"/>
        <v>2023</v>
      </c>
      <c r="M6974" t="str">
        <f t="shared" si="325"/>
        <v>Nov</v>
      </c>
      <c r="N6974" s="2">
        <f t="shared" si="326"/>
        <v>0.1557171837516704</v>
      </c>
    </row>
    <row r="6975" spans="1:14" x14ac:dyDescent="0.45">
      <c r="A6975" t="s">
        <v>11890</v>
      </c>
      <c r="B6975" s="1">
        <v>45441</v>
      </c>
      <c r="C6975" t="s">
        <v>5626</v>
      </c>
      <c r="D6975" t="s">
        <v>13</v>
      </c>
      <c r="E6975" t="s">
        <v>14</v>
      </c>
      <c r="F6975" t="s">
        <v>32</v>
      </c>
      <c r="G6975">
        <v>1</v>
      </c>
      <c r="H6975">
        <v>47648.54</v>
      </c>
      <c r="I6975">
        <v>8115.19</v>
      </c>
      <c r="J6975" t="s">
        <v>71</v>
      </c>
      <c r="K6975" t="s">
        <v>17</v>
      </c>
      <c r="L6975">
        <f t="shared" si="324"/>
        <v>2024</v>
      </c>
      <c r="M6975" t="str">
        <f t="shared" si="325"/>
        <v>May</v>
      </c>
      <c r="N6975" s="2">
        <f t="shared" si="326"/>
        <v>0.17031350803193548</v>
      </c>
    </row>
    <row r="6976" spans="1:14" x14ac:dyDescent="0.45">
      <c r="A6976" t="s">
        <v>11891</v>
      </c>
      <c r="B6976" s="1">
        <v>44812</v>
      </c>
      <c r="C6976" t="s">
        <v>5608</v>
      </c>
      <c r="D6976" t="s">
        <v>26</v>
      </c>
      <c r="E6976" t="s">
        <v>14</v>
      </c>
      <c r="F6976" t="s">
        <v>32</v>
      </c>
      <c r="G6976">
        <v>4</v>
      </c>
      <c r="H6976">
        <v>41652.5</v>
      </c>
      <c r="I6976">
        <v>2418.11</v>
      </c>
      <c r="J6976" t="s">
        <v>22</v>
      </c>
      <c r="K6976" t="s">
        <v>33</v>
      </c>
      <c r="L6976">
        <f t="shared" si="324"/>
        <v>2022</v>
      </c>
      <c r="M6976" t="str">
        <f t="shared" si="325"/>
        <v>Sep</v>
      </c>
      <c r="N6976" s="2">
        <f t="shared" si="326"/>
        <v>5.8054378488686158E-2</v>
      </c>
    </row>
    <row r="6977" spans="1:14" x14ac:dyDescent="0.45">
      <c r="A6977" t="s">
        <v>11892</v>
      </c>
      <c r="B6977" s="1">
        <v>45040</v>
      </c>
      <c r="C6977" t="s">
        <v>11893</v>
      </c>
      <c r="D6977" t="s">
        <v>56</v>
      </c>
      <c r="E6977" t="s">
        <v>36</v>
      </c>
      <c r="F6977" t="s">
        <v>53</v>
      </c>
      <c r="G6977">
        <v>1</v>
      </c>
      <c r="H6977">
        <v>46024.26</v>
      </c>
      <c r="I6977">
        <v>8069.34</v>
      </c>
      <c r="J6977" t="s">
        <v>16</v>
      </c>
      <c r="K6977" t="s">
        <v>23</v>
      </c>
      <c r="L6977">
        <f t="shared" si="324"/>
        <v>2023</v>
      </c>
      <c r="M6977" t="str">
        <f t="shared" si="325"/>
        <v>Apr</v>
      </c>
      <c r="N6977" s="2">
        <f t="shared" si="326"/>
        <v>0.17532796833669895</v>
      </c>
    </row>
    <row r="6978" spans="1:14" x14ac:dyDescent="0.45">
      <c r="A6978" t="s">
        <v>11894</v>
      </c>
      <c r="B6978" s="1">
        <v>45461</v>
      </c>
      <c r="C6978" t="s">
        <v>8010</v>
      </c>
      <c r="D6978" t="s">
        <v>13</v>
      </c>
      <c r="E6978" t="s">
        <v>36</v>
      </c>
      <c r="F6978" t="s">
        <v>37</v>
      </c>
      <c r="G6978">
        <v>5</v>
      </c>
      <c r="H6978">
        <v>42275.360000000001</v>
      </c>
      <c r="I6978">
        <v>6702.11</v>
      </c>
      <c r="J6978" t="s">
        <v>28</v>
      </c>
      <c r="K6978" t="s">
        <v>23</v>
      </c>
      <c r="L6978">
        <f t="shared" si="324"/>
        <v>2024</v>
      </c>
      <c r="M6978" t="str">
        <f t="shared" si="325"/>
        <v>Jun</v>
      </c>
      <c r="N6978" s="2">
        <f t="shared" si="326"/>
        <v>0.15853466416371143</v>
      </c>
    </row>
    <row r="6979" spans="1:14" x14ac:dyDescent="0.45">
      <c r="A6979" t="s">
        <v>11895</v>
      </c>
      <c r="B6979" s="1">
        <v>45015</v>
      </c>
      <c r="C6979" t="s">
        <v>6602</v>
      </c>
      <c r="D6979" t="s">
        <v>56</v>
      </c>
      <c r="E6979" t="s">
        <v>14</v>
      </c>
      <c r="F6979" t="s">
        <v>57</v>
      </c>
      <c r="G6979">
        <v>2</v>
      </c>
      <c r="H6979">
        <v>41712.589999999997</v>
      </c>
      <c r="I6979">
        <v>5855.58</v>
      </c>
      <c r="J6979" t="s">
        <v>22</v>
      </c>
      <c r="K6979" t="s">
        <v>23</v>
      </c>
      <c r="L6979">
        <f t="shared" ref="L6979:L7042" si="327">YEAR(B6979 )</f>
        <v>2023</v>
      </c>
      <c r="M6979" t="str">
        <f t="shared" ref="M6979:M7042" si="328">TEXT(B6979,"MMM")</f>
        <v>Mar</v>
      </c>
      <c r="N6979" s="2">
        <f t="shared" ref="N6979:N7042" si="329">I6979 / H6979</f>
        <v>0.1403791996613013</v>
      </c>
    </row>
    <row r="6980" spans="1:14" x14ac:dyDescent="0.45">
      <c r="A6980" t="s">
        <v>11896</v>
      </c>
      <c r="B6980" s="1">
        <v>44819</v>
      </c>
      <c r="C6980" t="s">
        <v>11897</v>
      </c>
      <c r="D6980" t="s">
        <v>56</v>
      </c>
      <c r="E6980" t="s">
        <v>14</v>
      </c>
      <c r="F6980" t="s">
        <v>40</v>
      </c>
      <c r="G6980">
        <v>1</v>
      </c>
      <c r="H6980">
        <v>4396.71</v>
      </c>
      <c r="I6980">
        <v>667.48</v>
      </c>
      <c r="J6980" t="s">
        <v>28</v>
      </c>
      <c r="K6980" t="s">
        <v>17</v>
      </c>
      <c r="L6980">
        <f t="shared" si="327"/>
        <v>2022</v>
      </c>
      <c r="M6980" t="str">
        <f t="shared" si="328"/>
        <v>Sep</v>
      </c>
      <c r="N6980" s="2">
        <f t="shared" si="329"/>
        <v>0.15181351510561306</v>
      </c>
    </row>
    <row r="6981" spans="1:14" x14ac:dyDescent="0.45">
      <c r="A6981" t="s">
        <v>11898</v>
      </c>
      <c r="B6981" s="1">
        <v>44897</v>
      </c>
      <c r="C6981" t="s">
        <v>11899</v>
      </c>
      <c r="D6981" t="s">
        <v>26</v>
      </c>
      <c r="E6981" t="s">
        <v>14</v>
      </c>
      <c r="F6981" t="s">
        <v>57</v>
      </c>
      <c r="G6981">
        <v>4</v>
      </c>
      <c r="H6981">
        <v>12614.83</v>
      </c>
      <c r="I6981">
        <v>1354.95</v>
      </c>
      <c r="J6981" t="s">
        <v>71</v>
      </c>
      <c r="K6981" t="s">
        <v>17</v>
      </c>
      <c r="L6981">
        <f t="shared" si="327"/>
        <v>2022</v>
      </c>
      <c r="M6981" t="str">
        <f t="shared" si="328"/>
        <v>Dec</v>
      </c>
      <c r="N6981" s="2">
        <f t="shared" si="329"/>
        <v>0.10740929525011435</v>
      </c>
    </row>
    <row r="6982" spans="1:14" x14ac:dyDescent="0.45">
      <c r="A6982" t="s">
        <v>11900</v>
      </c>
      <c r="B6982" s="1">
        <v>45448</v>
      </c>
      <c r="C6982" t="s">
        <v>2359</v>
      </c>
      <c r="D6982" t="s">
        <v>56</v>
      </c>
      <c r="E6982" t="s">
        <v>20</v>
      </c>
      <c r="F6982" t="s">
        <v>50</v>
      </c>
      <c r="G6982">
        <v>5</v>
      </c>
      <c r="H6982">
        <v>3253.88</v>
      </c>
      <c r="I6982">
        <v>340.89</v>
      </c>
      <c r="J6982" t="s">
        <v>47</v>
      </c>
      <c r="K6982" t="s">
        <v>29</v>
      </c>
      <c r="L6982">
        <f t="shared" si="327"/>
        <v>2024</v>
      </c>
      <c r="M6982" t="str">
        <f t="shared" si="328"/>
        <v>Jun</v>
      </c>
      <c r="N6982" s="2">
        <f t="shared" si="329"/>
        <v>0.10476415848156662</v>
      </c>
    </row>
    <row r="6983" spans="1:14" x14ac:dyDescent="0.45">
      <c r="A6983" t="s">
        <v>11901</v>
      </c>
      <c r="B6983" s="1">
        <v>45573</v>
      </c>
      <c r="C6983" t="s">
        <v>10299</v>
      </c>
      <c r="D6983" t="s">
        <v>56</v>
      </c>
      <c r="E6983" t="s">
        <v>20</v>
      </c>
      <c r="F6983" t="s">
        <v>50</v>
      </c>
      <c r="G6983">
        <v>1</v>
      </c>
      <c r="H6983">
        <v>24668.22</v>
      </c>
      <c r="I6983">
        <v>4426.16</v>
      </c>
      <c r="J6983" t="s">
        <v>71</v>
      </c>
      <c r="K6983" t="s">
        <v>29</v>
      </c>
      <c r="L6983">
        <f t="shared" si="327"/>
        <v>2024</v>
      </c>
      <c r="M6983" t="str">
        <f t="shared" si="328"/>
        <v>Oct</v>
      </c>
      <c r="N6983" s="2">
        <f t="shared" si="329"/>
        <v>0.17942761982826486</v>
      </c>
    </row>
    <row r="6984" spans="1:14" x14ac:dyDescent="0.45">
      <c r="A6984" t="s">
        <v>11902</v>
      </c>
      <c r="B6984" s="1">
        <v>44666</v>
      </c>
      <c r="C6984" t="s">
        <v>11903</v>
      </c>
      <c r="D6984" t="s">
        <v>56</v>
      </c>
      <c r="E6984" t="s">
        <v>36</v>
      </c>
      <c r="F6984" t="s">
        <v>64</v>
      </c>
      <c r="G6984">
        <v>4</v>
      </c>
      <c r="H6984">
        <v>5137.0200000000004</v>
      </c>
      <c r="I6984">
        <v>572.02</v>
      </c>
      <c r="J6984" t="s">
        <v>16</v>
      </c>
      <c r="K6984" t="s">
        <v>23</v>
      </c>
      <c r="L6984">
        <f t="shared" si="327"/>
        <v>2022</v>
      </c>
      <c r="M6984" t="str">
        <f t="shared" si="328"/>
        <v>Apr</v>
      </c>
      <c r="N6984" s="2">
        <f t="shared" si="329"/>
        <v>0.11135249619429162</v>
      </c>
    </row>
    <row r="6985" spans="1:14" x14ac:dyDescent="0.45">
      <c r="A6985" t="s">
        <v>11904</v>
      </c>
      <c r="B6985" s="1">
        <v>45288</v>
      </c>
      <c r="C6985" t="s">
        <v>11723</v>
      </c>
      <c r="D6985" t="s">
        <v>13</v>
      </c>
      <c r="E6985" t="s">
        <v>36</v>
      </c>
      <c r="F6985" t="s">
        <v>53</v>
      </c>
      <c r="G6985">
        <v>1</v>
      </c>
      <c r="H6985">
        <v>32797.79</v>
      </c>
      <c r="I6985">
        <v>2816.24</v>
      </c>
      <c r="J6985" t="s">
        <v>71</v>
      </c>
      <c r="K6985" t="s">
        <v>29</v>
      </c>
      <c r="L6985">
        <f t="shared" si="327"/>
        <v>2023</v>
      </c>
      <c r="M6985" t="str">
        <f t="shared" si="328"/>
        <v>Dec</v>
      </c>
      <c r="N6985" s="2">
        <f t="shared" si="329"/>
        <v>8.5866761144577114E-2</v>
      </c>
    </row>
    <row r="6986" spans="1:14" x14ac:dyDescent="0.45">
      <c r="A6986" t="s">
        <v>11905</v>
      </c>
      <c r="B6986" s="1">
        <v>45085</v>
      </c>
      <c r="C6986" t="s">
        <v>3343</v>
      </c>
      <c r="D6986" t="s">
        <v>26</v>
      </c>
      <c r="E6986" t="s">
        <v>36</v>
      </c>
      <c r="F6986" t="s">
        <v>46</v>
      </c>
      <c r="G6986">
        <v>5</v>
      </c>
      <c r="H6986">
        <v>44001.38</v>
      </c>
      <c r="I6986">
        <v>7808.75</v>
      </c>
      <c r="J6986" t="s">
        <v>47</v>
      </c>
      <c r="K6986" t="s">
        <v>29</v>
      </c>
      <c r="L6986">
        <f t="shared" si="327"/>
        <v>2023</v>
      </c>
      <c r="M6986" t="str">
        <f t="shared" si="328"/>
        <v>Jun</v>
      </c>
      <c r="N6986" s="2">
        <f t="shared" si="329"/>
        <v>0.17746602492921815</v>
      </c>
    </row>
    <row r="6987" spans="1:14" x14ac:dyDescent="0.45">
      <c r="A6987" t="s">
        <v>11906</v>
      </c>
      <c r="B6987" s="1">
        <v>45019</v>
      </c>
      <c r="C6987" t="s">
        <v>11907</v>
      </c>
      <c r="D6987" t="s">
        <v>56</v>
      </c>
      <c r="E6987" t="s">
        <v>14</v>
      </c>
      <c r="F6987" t="s">
        <v>57</v>
      </c>
      <c r="G6987">
        <v>3</v>
      </c>
      <c r="H6987">
        <v>20240.13</v>
      </c>
      <c r="I6987">
        <v>1961.87</v>
      </c>
      <c r="J6987" t="s">
        <v>47</v>
      </c>
      <c r="K6987" t="s">
        <v>29</v>
      </c>
      <c r="L6987">
        <f t="shared" si="327"/>
        <v>2023</v>
      </c>
      <c r="M6987" t="str">
        <f t="shared" si="328"/>
        <v>Apr</v>
      </c>
      <c r="N6987" s="2">
        <f t="shared" si="329"/>
        <v>9.6929713396109604E-2</v>
      </c>
    </row>
    <row r="6988" spans="1:14" x14ac:dyDescent="0.45">
      <c r="A6988" t="s">
        <v>11908</v>
      </c>
      <c r="B6988" s="1">
        <v>45060</v>
      </c>
      <c r="C6988" t="s">
        <v>11909</v>
      </c>
      <c r="D6988" t="s">
        <v>26</v>
      </c>
      <c r="E6988" t="s">
        <v>20</v>
      </c>
      <c r="F6988" t="s">
        <v>21</v>
      </c>
      <c r="G6988">
        <v>3</v>
      </c>
      <c r="H6988">
        <v>27851.47</v>
      </c>
      <c r="I6988">
        <v>5578.69</v>
      </c>
      <c r="J6988" t="s">
        <v>47</v>
      </c>
      <c r="K6988" t="s">
        <v>29</v>
      </c>
      <c r="L6988">
        <f t="shared" si="327"/>
        <v>2023</v>
      </c>
      <c r="M6988" t="str">
        <f t="shared" si="328"/>
        <v>May</v>
      </c>
      <c r="N6988" s="2">
        <f t="shared" si="329"/>
        <v>0.20030145626065696</v>
      </c>
    </row>
    <row r="6989" spans="1:14" x14ac:dyDescent="0.45">
      <c r="A6989" t="s">
        <v>11910</v>
      </c>
      <c r="B6989" s="1">
        <v>45595</v>
      </c>
      <c r="C6989" t="s">
        <v>10875</v>
      </c>
      <c r="D6989" t="s">
        <v>26</v>
      </c>
      <c r="E6989" t="s">
        <v>14</v>
      </c>
      <c r="F6989" t="s">
        <v>57</v>
      </c>
      <c r="G6989">
        <v>5</v>
      </c>
      <c r="H6989">
        <v>33147.71</v>
      </c>
      <c r="I6989">
        <v>3043.81</v>
      </c>
      <c r="J6989" t="s">
        <v>71</v>
      </c>
      <c r="K6989" t="s">
        <v>29</v>
      </c>
      <c r="L6989">
        <f t="shared" si="327"/>
        <v>2024</v>
      </c>
      <c r="M6989" t="str">
        <f t="shared" si="328"/>
        <v>Oct</v>
      </c>
      <c r="N6989" s="2">
        <f t="shared" si="329"/>
        <v>9.182564949433912E-2</v>
      </c>
    </row>
    <row r="6990" spans="1:14" x14ac:dyDescent="0.45">
      <c r="A6990" t="s">
        <v>11911</v>
      </c>
      <c r="B6990" s="1">
        <v>45578</v>
      </c>
      <c r="C6990" t="s">
        <v>5826</v>
      </c>
      <c r="D6990" t="s">
        <v>26</v>
      </c>
      <c r="E6990" t="s">
        <v>20</v>
      </c>
      <c r="F6990" t="s">
        <v>43</v>
      </c>
      <c r="G6990">
        <v>2</v>
      </c>
      <c r="H6990">
        <v>25905.57</v>
      </c>
      <c r="I6990">
        <v>2345.2600000000002</v>
      </c>
      <c r="J6990" t="s">
        <v>71</v>
      </c>
      <c r="K6990" t="s">
        <v>33</v>
      </c>
      <c r="L6990">
        <f t="shared" si="327"/>
        <v>2024</v>
      </c>
      <c r="M6990" t="str">
        <f t="shared" si="328"/>
        <v>Oct</v>
      </c>
      <c r="N6990" s="2">
        <f t="shared" si="329"/>
        <v>9.0531109718875138E-2</v>
      </c>
    </row>
    <row r="6991" spans="1:14" x14ac:dyDescent="0.45">
      <c r="A6991" t="s">
        <v>11912</v>
      </c>
      <c r="B6991" s="1">
        <v>45254</v>
      </c>
      <c r="C6991" t="s">
        <v>11913</v>
      </c>
      <c r="D6991" t="s">
        <v>13</v>
      </c>
      <c r="E6991" t="s">
        <v>20</v>
      </c>
      <c r="F6991" t="s">
        <v>27</v>
      </c>
      <c r="G6991">
        <v>1</v>
      </c>
      <c r="H6991">
        <v>4556.28</v>
      </c>
      <c r="I6991">
        <v>826.45</v>
      </c>
      <c r="J6991" t="s">
        <v>47</v>
      </c>
      <c r="K6991" t="s">
        <v>17</v>
      </c>
      <c r="L6991">
        <f t="shared" si="327"/>
        <v>2023</v>
      </c>
      <c r="M6991" t="str">
        <f t="shared" si="328"/>
        <v>Nov</v>
      </c>
      <c r="N6991" s="2">
        <f t="shared" si="329"/>
        <v>0.1813870087000799</v>
      </c>
    </row>
    <row r="6992" spans="1:14" x14ac:dyDescent="0.45">
      <c r="A6992" t="s">
        <v>11914</v>
      </c>
      <c r="B6992" s="1">
        <v>44739</v>
      </c>
      <c r="C6992" t="s">
        <v>6854</v>
      </c>
      <c r="D6992" t="s">
        <v>13</v>
      </c>
      <c r="E6992" t="s">
        <v>20</v>
      </c>
      <c r="F6992" t="s">
        <v>21</v>
      </c>
      <c r="G6992">
        <v>5</v>
      </c>
      <c r="H6992">
        <v>18257.650000000001</v>
      </c>
      <c r="I6992">
        <v>2608.79</v>
      </c>
      <c r="J6992" t="s">
        <v>28</v>
      </c>
      <c r="K6992" t="s">
        <v>17</v>
      </c>
      <c r="L6992">
        <f t="shared" si="327"/>
        <v>2022</v>
      </c>
      <c r="M6992" t="str">
        <f t="shared" si="328"/>
        <v>Jun</v>
      </c>
      <c r="N6992" s="2">
        <f t="shared" si="329"/>
        <v>0.14288750195123687</v>
      </c>
    </row>
    <row r="6993" spans="1:14" x14ac:dyDescent="0.45">
      <c r="A6993" t="s">
        <v>11915</v>
      </c>
      <c r="B6993" s="1">
        <v>44926</v>
      </c>
      <c r="C6993" t="s">
        <v>11916</v>
      </c>
      <c r="D6993" t="s">
        <v>56</v>
      </c>
      <c r="E6993" t="s">
        <v>20</v>
      </c>
      <c r="F6993" t="s">
        <v>43</v>
      </c>
      <c r="G6993">
        <v>2</v>
      </c>
      <c r="H6993">
        <v>3500.48</v>
      </c>
      <c r="I6993">
        <v>810.91</v>
      </c>
      <c r="J6993" t="s">
        <v>47</v>
      </c>
      <c r="K6993" t="s">
        <v>29</v>
      </c>
      <c r="L6993">
        <f t="shared" si="327"/>
        <v>2022</v>
      </c>
      <c r="M6993" t="str">
        <f t="shared" si="328"/>
        <v>Dec</v>
      </c>
      <c r="N6993" s="2">
        <f t="shared" si="329"/>
        <v>0.2316568013529573</v>
      </c>
    </row>
    <row r="6994" spans="1:14" x14ac:dyDescent="0.45">
      <c r="A6994" t="s">
        <v>11917</v>
      </c>
      <c r="B6994" s="1">
        <v>45522</v>
      </c>
      <c r="C6994" t="s">
        <v>11918</v>
      </c>
      <c r="D6994" t="s">
        <v>26</v>
      </c>
      <c r="E6994" t="s">
        <v>20</v>
      </c>
      <c r="F6994" t="s">
        <v>43</v>
      </c>
      <c r="G6994">
        <v>3</v>
      </c>
      <c r="H6994">
        <v>12915.21</v>
      </c>
      <c r="I6994">
        <v>2615.29</v>
      </c>
      <c r="J6994" t="s">
        <v>71</v>
      </c>
      <c r="K6994" t="s">
        <v>17</v>
      </c>
      <c r="L6994">
        <f t="shared" si="327"/>
        <v>2024</v>
      </c>
      <c r="M6994" t="str">
        <f t="shared" si="328"/>
        <v>Aug</v>
      </c>
      <c r="N6994" s="2">
        <f t="shared" si="329"/>
        <v>0.2024969009408287</v>
      </c>
    </row>
    <row r="6995" spans="1:14" x14ac:dyDescent="0.45">
      <c r="A6995" t="s">
        <v>11919</v>
      </c>
      <c r="B6995" s="1">
        <v>45317</v>
      </c>
      <c r="C6995" t="s">
        <v>9391</v>
      </c>
      <c r="D6995" t="s">
        <v>26</v>
      </c>
      <c r="E6995" t="s">
        <v>20</v>
      </c>
      <c r="F6995" t="s">
        <v>43</v>
      </c>
      <c r="G6995">
        <v>1</v>
      </c>
      <c r="H6995">
        <v>25906.68</v>
      </c>
      <c r="I6995">
        <v>4440.43</v>
      </c>
      <c r="J6995" t="s">
        <v>71</v>
      </c>
      <c r="K6995" t="s">
        <v>33</v>
      </c>
      <c r="L6995">
        <f t="shared" si="327"/>
        <v>2024</v>
      </c>
      <c r="M6995" t="str">
        <f t="shared" si="328"/>
        <v>Jan</v>
      </c>
      <c r="N6995" s="2">
        <f t="shared" si="329"/>
        <v>0.17140096685488068</v>
      </c>
    </row>
    <row r="6996" spans="1:14" x14ac:dyDescent="0.45">
      <c r="A6996" t="s">
        <v>11920</v>
      </c>
      <c r="B6996" s="1">
        <v>44744</v>
      </c>
      <c r="C6996" t="s">
        <v>2683</v>
      </c>
      <c r="D6996" t="s">
        <v>13</v>
      </c>
      <c r="E6996" t="s">
        <v>14</v>
      </c>
      <c r="F6996" t="s">
        <v>40</v>
      </c>
      <c r="G6996">
        <v>5</v>
      </c>
      <c r="H6996">
        <v>36875.089999999997</v>
      </c>
      <c r="I6996">
        <v>7993.32</v>
      </c>
      <c r="J6996" t="s">
        <v>16</v>
      </c>
      <c r="K6996" t="s">
        <v>17</v>
      </c>
      <c r="L6996">
        <f t="shared" si="327"/>
        <v>2022</v>
      </c>
      <c r="M6996" t="str">
        <f t="shared" si="328"/>
        <v>Jul</v>
      </c>
      <c r="N6996" s="2">
        <f t="shared" si="329"/>
        <v>0.21676747094040993</v>
      </c>
    </row>
    <row r="6997" spans="1:14" x14ac:dyDescent="0.45">
      <c r="A6997" t="s">
        <v>11921</v>
      </c>
      <c r="B6997" s="1">
        <v>45493</v>
      </c>
      <c r="C6997" t="s">
        <v>4974</v>
      </c>
      <c r="D6997" t="s">
        <v>13</v>
      </c>
      <c r="E6997" t="s">
        <v>14</v>
      </c>
      <c r="F6997" t="s">
        <v>57</v>
      </c>
      <c r="G6997">
        <v>2</v>
      </c>
      <c r="H6997">
        <v>43158.73</v>
      </c>
      <c r="I6997">
        <v>2763.6</v>
      </c>
      <c r="J6997" t="s">
        <v>22</v>
      </c>
      <c r="K6997" t="s">
        <v>29</v>
      </c>
      <c r="L6997">
        <f t="shared" si="327"/>
        <v>2024</v>
      </c>
      <c r="M6997" t="str">
        <f t="shared" si="328"/>
        <v>Jul</v>
      </c>
      <c r="N6997" s="2">
        <f t="shared" si="329"/>
        <v>6.403339486588229E-2</v>
      </c>
    </row>
    <row r="6998" spans="1:14" x14ac:dyDescent="0.45">
      <c r="A6998" t="s">
        <v>11922</v>
      </c>
      <c r="B6998" s="1">
        <v>45039</v>
      </c>
      <c r="C6998" t="s">
        <v>11923</v>
      </c>
      <c r="D6998" t="s">
        <v>13</v>
      </c>
      <c r="E6998" t="s">
        <v>14</v>
      </c>
      <c r="F6998" t="s">
        <v>32</v>
      </c>
      <c r="G6998">
        <v>4</v>
      </c>
      <c r="H6998">
        <v>46567.97</v>
      </c>
      <c r="I6998">
        <v>7279.47</v>
      </c>
      <c r="J6998" t="s">
        <v>47</v>
      </c>
      <c r="K6998" t="s">
        <v>17</v>
      </c>
      <c r="L6998">
        <f t="shared" si="327"/>
        <v>2023</v>
      </c>
      <c r="M6998" t="str">
        <f t="shared" si="328"/>
        <v>Apr</v>
      </c>
      <c r="N6998" s="2">
        <f t="shared" si="329"/>
        <v>0.15631924689867305</v>
      </c>
    </row>
    <row r="6999" spans="1:14" x14ac:dyDescent="0.45">
      <c r="A6999" t="s">
        <v>11924</v>
      </c>
      <c r="B6999" s="1">
        <v>45641</v>
      </c>
      <c r="C6999" t="s">
        <v>10174</v>
      </c>
      <c r="D6999" t="s">
        <v>56</v>
      </c>
      <c r="E6999" t="s">
        <v>14</v>
      </c>
      <c r="F6999" t="s">
        <v>40</v>
      </c>
      <c r="G6999">
        <v>4</v>
      </c>
      <c r="H6999">
        <v>3109.35</v>
      </c>
      <c r="I6999">
        <v>551.9</v>
      </c>
      <c r="J6999" t="s">
        <v>16</v>
      </c>
      <c r="K6999" t="s">
        <v>33</v>
      </c>
      <c r="L6999">
        <f t="shared" si="327"/>
        <v>2024</v>
      </c>
      <c r="M6999" t="str">
        <f t="shared" si="328"/>
        <v>Dec</v>
      </c>
      <c r="N6999" s="2">
        <f t="shared" si="329"/>
        <v>0.17749690449772459</v>
      </c>
    </row>
    <row r="7000" spans="1:14" x14ac:dyDescent="0.45">
      <c r="A7000" t="s">
        <v>11925</v>
      </c>
      <c r="B7000" s="1">
        <v>44715</v>
      </c>
      <c r="C7000" t="s">
        <v>11926</v>
      </c>
      <c r="D7000" t="s">
        <v>56</v>
      </c>
      <c r="E7000" t="s">
        <v>14</v>
      </c>
      <c r="F7000" t="s">
        <v>40</v>
      </c>
      <c r="G7000">
        <v>1</v>
      </c>
      <c r="H7000">
        <v>1230.18</v>
      </c>
      <c r="I7000">
        <v>106.11</v>
      </c>
      <c r="J7000" t="s">
        <v>28</v>
      </c>
      <c r="K7000" t="s">
        <v>23</v>
      </c>
      <c r="L7000">
        <f t="shared" si="327"/>
        <v>2022</v>
      </c>
      <c r="M7000" t="str">
        <f t="shared" si="328"/>
        <v>Jun</v>
      </c>
      <c r="N7000" s="2">
        <f t="shared" si="329"/>
        <v>8.6255669901965565E-2</v>
      </c>
    </row>
    <row r="7001" spans="1:14" x14ac:dyDescent="0.45">
      <c r="A7001" t="s">
        <v>11927</v>
      </c>
      <c r="B7001" s="1">
        <v>44922</v>
      </c>
      <c r="C7001" t="s">
        <v>11928</v>
      </c>
      <c r="D7001" t="s">
        <v>13</v>
      </c>
      <c r="E7001" t="s">
        <v>20</v>
      </c>
      <c r="F7001" t="s">
        <v>21</v>
      </c>
      <c r="G7001">
        <v>4</v>
      </c>
      <c r="H7001">
        <v>10825.71</v>
      </c>
      <c r="I7001">
        <v>1318.17</v>
      </c>
      <c r="J7001" t="s">
        <v>16</v>
      </c>
      <c r="K7001" t="s">
        <v>33</v>
      </c>
      <c r="L7001">
        <f t="shared" si="327"/>
        <v>2022</v>
      </c>
      <c r="M7001" t="str">
        <f t="shared" si="328"/>
        <v>Dec</v>
      </c>
      <c r="N7001" s="2">
        <f t="shared" si="329"/>
        <v>0.12176291439545306</v>
      </c>
    </row>
    <row r="7002" spans="1:14" x14ac:dyDescent="0.45">
      <c r="A7002" t="s">
        <v>11929</v>
      </c>
      <c r="B7002" s="1">
        <v>44822</v>
      </c>
      <c r="C7002" t="s">
        <v>11930</v>
      </c>
      <c r="D7002" t="s">
        <v>26</v>
      </c>
      <c r="E7002" t="s">
        <v>20</v>
      </c>
      <c r="F7002" t="s">
        <v>43</v>
      </c>
      <c r="G7002">
        <v>2</v>
      </c>
      <c r="H7002">
        <v>37743.78</v>
      </c>
      <c r="I7002">
        <v>8451.51</v>
      </c>
      <c r="J7002" t="s">
        <v>22</v>
      </c>
      <c r="K7002" t="s">
        <v>17</v>
      </c>
      <c r="L7002">
        <f t="shared" si="327"/>
        <v>2022</v>
      </c>
      <c r="M7002" t="str">
        <f t="shared" si="328"/>
        <v>Sep</v>
      </c>
      <c r="N7002" s="2">
        <f t="shared" si="329"/>
        <v>0.22391795416357346</v>
      </c>
    </row>
    <row r="7003" spans="1:14" x14ac:dyDescent="0.45">
      <c r="A7003" t="s">
        <v>11931</v>
      </c>
      <c r="B7003" s="1">
        <v>45215</v>
      </c>
      <c r="C7003" t="s">
        <v>11932</v>
      </c>
      <c r="D7003" t="s">
        <v>26</v>
      </c>
      <c r="E7003" t="s">
        <v>14</v>
      </c>
      <c r="F7003" t="s">
        <v>57</v>
      </c>
      <c r="G7003">
        <v>4</v>
      </c>
      <c r="H7003">
        <v>47264.01</v>
      </c>
      <c r="I7003">
        <v>3152.57</v>
      </c>
      <c r="J7003" t="s">
        <v>71</v>
      </c>
      <c r="K7003" t="s">
        <v>29</v>
      </c>
      <c r="L7003">
        <f t="shared" si="327"/>
        <v>2023</v>
      </c>
      <c r="M7003" t="str">
        <f t="shared" si="328"/>
        <v>Oct</v>
      </c>
      <c r="N7003" s="2">
        <f t="shared" si="329"/>
        <v>6.6701280741942967E-2</v>
      </c>
    </row>
    <row r="7004" spans="1:14" x14ac:dyDescent="0.45">
      <c r="A7004" t="s">
        <v>11933</v>
      </c>
      <c r="B7004" s="1">
        <v>45029</v>
      </c>
      <c r="C7004" t="s">
        <v>11934</v>
      </c>
      <c r="D7004" t="s">
        <v>26</v>
      </c>
      <c r="E7004" t="s">
        <v>14</v>
      </c>
      <c r="F7004" t="s">
        <v>57</v>
      </c>
      <c r="G7004">
        <v>1</v>
      </c>
      <c r="H7004">
        <v>3176.34</v>
      </c>
      <c r="I7004">
        <v>321.77999999999997</v>
      </c>
      <c r="J7004" t="s">
        <v>22</v>
      </c>
      <c r="K7004" t="s">
        <v>33</v>
      </c>
      <c r="L7004">
        <f t="shared" si="327"/>
        <v>2023</v>
      </c>
      <c r="M7004" t="str">
        <f t="shared" si="328"/>
        <v>Apr</v>
      </c>
      <c r="N7004" s="2">
        <f t="shared" si="329"/>
        <v>0.10130527588356408</v>
      </c>
    </row>
    <row r="7005" spans="1:14" x14ac:dyDescent="0.45">
      <c r="A7005" t="s">
        <v>11935</v>
      </c>
      <c r="B7005" s="1">
        <v>45449</v>
      </c>
      <c r="C7005" t="s">
        <v>5556</v>
      </c>
      <c r="D7005" t="s">
        <v>56</v>
      </c>
      <c r="E7005" t="s">
        <v>36</v>
      </c>
      <c r="F7005" t="s">
        <v>64</v>
      </c>
      <c r="G7005">
        <v>3</v>
      </c>
      <c r="H7005">
        <v>20235.71</v>
      </c>
      <c r="I7005">
        <v>1965.63</v>
      </c>
      <c r="J7005" t="s">
        <v>16</v>
      </c>
      <c r="K7005" t="s">
        <v>17</v>
      </c>
      <c r="L7005">
        <f t="shared" si="327"/>
        <v>2024</v>
      </c>
      <c r="M7005" t="str">
        <f t="shared" si="328"/>
        <v>Jun</v>
      </c>
      <c r="N7005" s="2">
        <f t="shared" si="329"/>
        <v>9.7136695475473808E-2</v>
      </c>
    </row>
    <row r="7006" spans="1:14" x14ac:dyDescent="0.45">
      <c r="A7006" t="s">
        <v>11936</v>
      </c>
      <c r="B7006" s="1">
        <v>45612</v>
      </c>
      <c r="C7006" t="s">
        <v>11937</v>
      </c>
      <c r="D7006" t="s">
        <v>13</v>
      </c>
      <c r="E7006" t="s">
        <v>36</v>
      </c>
      <c r="F7006" t="s">
        <v>37</v>
      </c>
      <c r="G7006">
        <v>2</v>
      </c>
      <c r="H7006">
        <v>12902.84</v>
      </c>
      <c r="I7006">
        <v>2196.6799999999998</v>
      </c>
      <c r="J7006" t="s">
        <v>47</v>
      </c>
      <c r="K7006" t="s">
        <v>17</v>
      </c>
      <c r="L7006">
        <f t="shared" si="327"/>
        <v>2024</v>
      </c>
      <c r="M7006" t="str">
        <f t="shared" si="328"/>
        <v>Nov</v>
      </c>
      <c r="N7006" s="2">
        <f t="shared" si="329"/>
        <v>0.1702477904089332</v>
      </c>
    </row>
    <row r="7007" spans="1:14" x14ac:dyDescent="0.45">
      <c r="A7007" t="s">
        <v>11938</v>
      </c>
      <c r="B7007" s="1">
        <v>45165</v>
      </c>
      <c r="C7007" t="s">
        <v>2825</v>
      </c>
      <c r="D7007" t="s">
        <v>56</v>
      </c>
      <c r="E7007" t="s">
        <v>36</v>
      </c>
      <c r="F7007" t="s">
        <v>46</v>
      </c>
      <c r="G7007">
        <v>5</v>
      </c>
      <c r="H7007">
        <v>13714.16</v>
      </c>
      <c r="I7007">
        <v>3252.25</v>
      </c>
      <c r="J7007" t="s">
        <v>16</v>
      </c>
      <c r="K7007" t="s">
        <v>33</v>
      </c>
      <c r="L7007">
        <f t="shared" si="327"/>
        <v>2023</v>
      </c>
      <c r="M7007" t="str">
        <f t="shared" si="328"/>
        <v>Aug</v>
      </c>
      <c r="N7007" s="2">
        <f t="shared" si="329"/>
        <v>0.23714540299952749</v>
      </c>
    </row>
    <row r="7008" spans="1:14" x14ac:dyDescent="0.45">
      <c r="A7008" t="s">
        <v>11939</v>
      </c>
      <c r="B7008" s="1">
        <v>44976</v>
      </c>
      <c r="C7008" t="s">
        <v>5092</v>
      </c>
      <c r="D7008" t="s">
        <v>26</v>
      </c>
      <c r="E7008" t="s">
        <v>20</v>
      </c>
      <c r="F7008" t="s">
        <v>50</v>
      </c>
      <c r="G7008">
        <v>4</v>
      </c>
      <c r="H7008">
        <v>17629.34</v>
      </c>
      <c r="I7008">
        <v>2564.3200000000002</v>
      </c>
      <c r="J7008" t="s">
        <v>22</v>
      </c>
      <c r="K7008" t="s">
        <v>29</v>
      </c>
      <c r="L7008">
        <f t="shared" si="327"/>
        <v>2023</v>
      </c>
      <c r="M7008" t="str">
        <f t="shared" si="328"/>
        <v>Feb</v>
      </c>
      <c r="N7008" s="2">
        <f t="shared" si="329"/>
        <v>0.14545751570960683</v>
      </c>
    </row>
    <row r="7009" spans="1:14" x14ac:dyDescent="0.45">
      <c r="A7009" t="s">
        <v>11940</v>
      </c>
      <c r="B7009" s="1">
        <v>44891</v>
      </c>
      <c r="C7009" t="s">
        <v>4579</v>
      </c>
      <c r="D7009" t="s">
        <v>26</v>
      </c>
      <c r="E7009" t="s">
        <v>14</v>
      </c>
      <c r="F7009" t="s">
        <v>32</v>
      </c>
      <c r="G7009">
        <v>1</v>
      </c>
      <c r="H7009">
        <v>44196.32</v>
      </c>
      <c r="I7009">
        <v>5583.04</v>
      </c>
      <c r="J7009" t="s">
        <v>22</v>
      </c>
      <c r="K7009" t="s">
        <v>29</v>
      </c>
      <c r="L7009">
        <f t="shared" si="327"/>
        <v>2022</v>
      </c>
      <c r="M7009" t="str">
        <f t="shared" si="328"/>
        <v>Nov</v>
      </c>
      <c r="N7009" s="2">
        <f t="shared" si="329"/>
        <v>0.12632363961524398</v>
      </c>
    </row>
    <row r="7010" spans="1:14" x14ac:dyDescent="0.45">
      <c r="A7010" t="s">
        <v>11941</v>
      </c>
      <c r="B7010" s="1">
        <v>44606</v>
      </c>
      <c r="C7010" t="s">
        <v>8361</v>
      </c>
      <c r="D7010" t="s">
        <v>26</v>
      </c>
      <c r="E7010" t="s">
        <v>14</v>
      </c>
      <c r="F7010" t="s">
        <v>32</v>
      </c>
      <c r="G7010">
        <v>1</v>
      </c>
      <c r="H7010">
        <v>6766.12</v>
      </c>
      <c r="I7010">
        <v>719.33</v>
      </c>
      <c r="J7010" t="s">
        <v>71</v>
      </c>
      <c r="K7010" t="s">
        <v>17</v>
      </c>
      <c r="L7010">
        <f t="shared" si="327"/>
        <v>2022</v>
      </c>
      <c r="M7010" t="str">
        <f t="shared" si="328"/>
        <v>Feb</v>
      </c>
      <c r="N7010" s="2">
        <f t="shared" si="329"/>
        <v>0.10631351498347651</v>
      </c>
    </row>
    <row r="7011" spans="1:14" x14ac:dyDescent="0.45">
      <c r="A7011" t="s">
        <v>11942</v>
      </c>
      <c r="B7011" s="1">
        <v>45095</v>
      </c>
      <c r="C7011" t="s">
        <v>7526</v>
      </c>
      <c r="D7011" t="s">
        <v>13</v>
      </c>
      <c r="E7011" t="s">
        <v>14</v>
      </c>
      <c r="F7011" t="s">
        <v>15</v>
      </c>
      <c r="G7011">
        <v>1</v>
      </c>
      <c r="H7011">
        <v>40318.160000000003</v>
      </c>
      <c r="I7011">
        <v>5058.66</v>
      </c>
      <c r="J7011" t="s">
        <v>71</v>
      </c>
      <c r="K7011" t="s">
        <v>23</v>
      </c>
      <c r="L7011">
        <f t="shared" si="327"/>
        <v>2023</v>
      </c>
      <c r="M7011" t="str">
        <f t="shared" si="328"/>
        <v>Jun</v>
      </c>
      <c r="N7011" s="2">
        <f t="shared" si="329"/>
        <v>0.12546852336515354</v>
      </c>
    </row>
    <row r="7012" spans="1:14" x14ac:dyDescent="0.45">
      <c r="A7012" t="s">
        <v>11943</v>
      </c>
      <c r="B7012" s="1">
        <v>45285</v>
      </c>
      <c r="C7012" t="s">
        <v>11731</v>
      </c>
      <c r="D7012" t="s">
        <v>26</v>
      </c>
      <c r="E7012" t="s">
        <v>36</v>
      </c>
      <c r="F7012" t="s">
        <v>53</v>
      </c>
      <c r="G7012">
        <v>5</v>
      </c>
      <c r="H7012">
        <v>6754.27</v>
      </c>
      <c r="I7012">
        <v>1190.3900000000001</v>
      </c>
      <c r="J7012" t="s">
        <v>71</v>
      </c>
      <c r="K7012" t="s">
        <v>23</v>
      </c>
      <c r="L7012">
        <f t="shared" si="327"/>
        <v>2023</v>
      </c>
      <c r="M7012" t="str">
        <f t="shared" si="328"/>
        <v>Dec</v>
      </c>
      <c r="N7012" s="2">
        <f t="shared" si="329"/>
        <v>0.17624258432073342</v>
      </c>
    </row>
    <row r="7013" spans="1:14" x14ac:dyDescent="0.45">
      <c r="A7013" t="s">
        <v>11944</v>
      </c>
      <c r="B7013" s="1">
        <v>45381</v>
      </c>
      <c r="C7013" t="s">
        <v>11945</v>
      </c>
      <c r="D7013" t="s">
        <v>26</v>
      </c>
      <c r="E7013" t="s">
        <v>36</v>
      </c>
      <c r="F7013" t="s">
        <v>53</v>
      </c>
      <c r="G7013">
        <v>2</v>
      </c>
      <c r="H7013">
        <v>23976.99</v>
      </c>
      <c r="I7013">
        <v>2333.25</v>
      </c>
      <c r="J7013" t="s">
        <v>28</v>
      </c>
      <c r="K7013" t="s">
        <v>23</v>
      </c>
      <c r="L7013">
        <f t="shared" si="327"/>
        <v>2024</v>
      </c>
      <c r="M7013" t="str">
        <f t="shared" si="328"/>
        <v>Mar</v>
      </c>
      <c r="N7013" s="2">
        <f t="shared" si="329"/>
        <v>9.7312047925948997E-2</v>
      </c>
    </row>
    <row r="7014" spans="1:14" x14ac:dyDescent="0.45">
      <c r="A7014" t="s">
        <v>11946</v>
      </c>
      <c r="B7014" s="1">
        <v>44570</v>
      </c>
      <c r="C7014" t="s">
        <v>11947</v>
      </c>
      <c r="D7014" t="s">
        <v>13</v>
      </c>
      <c r="E7014" t="s">
        <v>14</v>
      </c>
      <c r="F7014" t="s">
        <v>40</v>
      </c>
      <c r="G7014">
        <v>5</v>
      </c>
      <c r="H7014">
        <v>5080.32</v>
      </c>
      <c r="I7014">
        <v>1082.9000000000001</v>
      </c>
      <c r="J7014" t="s">
        <v>22</v>
      </c>
      <c r="K7014" t="s">
        <v>33</v>
      </c>
      <c r="L7014">
        <f t="shared" si="327"/>
        <v>2022</v>
      </c>
      <c r="M7014" t="str">
        <f t="shared" si="328"/>
        <v>Jan</v>
      </c>
      <c r="N7014" s="2">
        <f t="shared" si="329"/>
        <v>0.21315586419753088</v>
      </c>
    </row>
    <row r="7015" spans="1:14" x14ac:dyDescent="0.45">
      <c r="A7015" t="s">
        <v>11948</v>
      </c>
      <c r="B7015" s="1">
        <v>44953</v>
      </c>
      <c r="C7015" t="s">
        <v>204</v>
      </c>
      <c r="D7015" t="s">
        <v>13</v>
      </c>
      <c r="E7015" t="s">
        <v>20</v>
      </c>
      <c r="F7015" t="s">
        <v>43</v>
      </c>
      <c r="G7015">
        <v>5</v>
      </c>
      <c r="H7015">
        <v>48724.959999999999</v>
      </c>
      <c r="I7015">
        <v>5306.68</v>
      </c>
      <c r="J7015" t="s">
        <v>71</v>
      </c>
      <c r="K7015" t="s">
        <v>17</v>
      </c>
      <c r="L7015">
        <f t="shared" si="327"/>
        <v>2023</v>
      </c>
      <c r="M7015" t="str">
        <f t="shared" si="328"/>
        <v>Jan</v>
      </c>
      <c r="N7015" s="2">
        <f t="shared" si="329"/>
        <v>0.10891091547330158</v>
      </c>
    </row>
    <row r="7016" spans="1:14" x14ac:dyDescent="0.45">
      <c r="A7016" t="s">
        <v>11949</v>
      </c>
      <c r="B7016" s="1">
        <v>45562</v>
      </c>
      <c r="C7016" t="s">
        <v>11950</v>
      </c>
      <c r="D7016" t="s">
        <v>56</v>
      </c>
      <c r="E7016" t="s">
        <v>20</v>
      </c>
      <c r="F7016" t="s">
        <v>27</v>
      </c>
      <c r="G7016">
        <v>3</v>
      </c>
      <c r="H7016">
        <v>40524.33</v>
      </c>
      <c r="I7016">
        <v>8564.84</v>
      </c>
      <c r="J7016" t="s">
        <v>22</v>
      </c>
      <c r="K7016" t="s">
        <v>29</v>
      </c>
      <c r="L7016">
        <f t="shared" si="327"/>
        <v>2024</v>
      </c>
      <c r="M7016" t="str">
        <f t="shared" si="328"/>
        <v>Sep</v>
      </c>
      <c r="N7016" s="2">
        <f t="shared" si="329"/>
        <v>0.21135056396984231</v>
      </c>
    </row>
    <row r="7017" spans="1:14" x14ac:dyDescent="0.45">
      <c r="A7017" t="s">
        <v>11951</v>
      </c>
      <c r="B7017" s="1">
        <v>45120</v>
      </c>
      <c r="C7017" t="s">
        <v>7973</v>
      </c>
      <c r="D7017" t="s">
        <v>13</v>
      </c>
      <c r="E7017" t="s">
        <v>36</v>
      </c>
      <c r="F7017" t="s">
        <v>46</v>
      </c>
      <c r="G7017">
        <v>2</v>
      </c>
      <c r="H7017">
        <v>4858.43</v>
      </c>
      <c r="I7017">
        <v>590</v>
      </c>
      <c r="J7017" t="s">
        <v>71</v>
      </c>
      <c r="K7017" t="s">
        <v>33</v>
      </c>
      <c r="L7017">
        <f t="shared" si="327"/>
        <v>2023</v>
      </c>
      <c r="M7017" t="str">
        <f t="shared" si="328"/>
        <v>Jul</v>
      </c>
      <c r="N7017" s="2">
        <f t="shared" si="329"/>
        <v>0.1214384070574239</v>
      </c>
    </row>
    <row r="7018" spans="1:14" x14ac:dyDescent="0.45">
      <c r="A7018" t="s">
        <v>11952</v>
      </c>
      <c r="B7018" s="1">
        <v>44699</v>
      </c>
      <c r="C7018" t="s">
        <v>11953</v>
      </c>
      <c r="D7018" t="s">
        <v>26</v>
      </c>
      <c r="E7018" t="s">
        <v>20</v>
      </c>
      <c r="F7018" t="s">
        <v>50</v>
      </c>
      <c r="G7018">
        <v>2</v>
      </c>
      <c r="H7018">
        <v>28389.47</v>
      </c>
      <c r="I7018">
        <v>3954.47</v>
      </c>
      <c r="J7018" t="s">
        <v>22</v>
      </c>
      <c r="K7018" t="s">
        <v>29</v>
      </c>
      <c r="L7018">
        <f t="shared" si="327"/>
        <v>2022</v>
      </c>
      <c r="M7018" t="str">
        <f t="shared" si="328"/>
        <v>May</v>
      </c>
      <c r="N7018" s="2">
        <f t="shared" si="329"/>
        <v>0.13929354792463541</v>
      </c>
    </row>
    <row r="7019" spans="1:14" x14ac:dyDescent="0.45">
      <c r="A7019" t="s">
        <v>11954</v>
      </c>
      <c r="B7019" s="1">
        <v>44724</v>
      </c>
      <c r="C7019" t="s">
        <v>5428</v>
      </c>
      <c r="D7019" t="s">
        <v>13</v>
      </c>
      <c r="E7019" t="s">
        <v>14</v>
      </c>
      <c r="F7019" t="s">
        <v>40</v>
      </c>
      <c r="G7019">
        <v>5</v>
      </c>
      <c r="H7019">
        <v>12592.39</v>
      </c>
      <c r="I7019">
        <v>2327.88</v>
      </c>
      <c r="J7019" t="s">
        <v>28</v>
      </c>
      <c r="K7019" t="s">
        <v>33</v>
      </c>
      <c r="L7019">
        <f t="shared" si="327"/>
        <v>2022</v>
      </c>
      <c r="M7019" t="str">
        <f t="shared" si="328"/>
        <v>Jun</v>
      </c>
      <c r="N7019" s="2">
        <f t="shared" si="329"/>
        <v>0.18486403295958911</v>
      </c>
    </row>
    <row r="7020" spans="1:14" x14ac:dyDescent="0.45">
      <c r="A7020" t="s">
        <v>11955</v>
      </c>
      <c r="B7020" s="1">
        <v>45157</v>
      </c>
      <c r="C7020" t="s">
        <v>11956</v>
      </c>
      <c r="D7020" t="s">
        <v>56</v>
      </c>
      <c r="E7020" t="s">
        <v>36</v>
      </c>
      <c r="F7020" t="s">
        <v>53</v>
      </c>
      <c r="G7020">
        <v>3</v>
      </c>
      <c r="H7020">
        <v>15731.53</v>
      </c>
      <c r="I7020">
        <v>1090.27</v>
      </c>
      <c r="J7020" t="s">
        <v>47</v>
      </c>
      <c r="K7020" t="s">
        <v>33</v>
      </c>
      <c r="L7020">
        <f t="shared" si="327"/>
        <v>2023</v>
      </c>
      <c r="M7020" t="str">
        <f t="shared" si="328"/>
        <v>Aug</v>
      </c>
      <c r="N7020" s="2">
        <f t="shared" si="329"/>
        <v>6.9304765652164785E-2</v>
      </c>
    </row>
    <row r="7021" spans="1:14" x14ac:dyDescent="0.45">
      <c r="A7021" t="s">
        <v>11957</v>
      </c>
      <c r="B7021" s="1">
        <v>44826</v>
      </c>
      <c r="C7021" t="s">
        <v>5690</v>
      </c>
      <c r="D7021" t="s">
        <v>56</v>
      </c>
      <c r="E7021" t="s">
        <v>14</v>
      </c>
      <c r="F7021" t="s">
        <v>57</v>
      </c>
      <c r="G7021">
        <v>5</v>
      </c>
      <c r="H7021">
        <v>37348.36</v>
      </c>
      <c r="I7021">
        <v>4485.21</v>
      </c>
      <c r="J7021" t="s">
        <v>16</v>
      </c>
      <c r="K7021" t="s">
        <v>17</v>
      </c>
      <c r="L7021">
        <f t="shared" si="327"/>
        <v>2022</v>
      </c>
      <c r="M7021" t="str">
        <f t="shared" si="328"/>
        <v>Sep</v>
      </c>
      <c r="N7021" s="2">
        <f t="shared" si="329"/>
        <v>0.12009121685664377</v>
      </c>
    </row>
    <row r="7022" spans="1:14" x14ac:dyDescent="0.45">
      <c r="A7022" t="s">
        <v>11958</v>
      </c>
      <c r="B7022" s="1">
        <v>45634</v>
      </c>
      <c r="C7022" t="s">
        <v>5796</v>
      </c>
      <c r="D7022" t="s">
        <v>26</v>
      </c>
      <c r="E7022" t="s">
        <v>36</v>
      </c>
      <c r="F7022" t="s">
        <v>37</v>
      </c>
      <c r="G7022">
        <v>1</v>
      </c>
      <c r="H7022">
        <v>18906.96</v>
      </c>
      <c r="I7022">
        <v>3297.4</v>
      </c>
      <c r="J7022" t="s">
        <v>16</v>
      </c>
      <c r="K7022" t="s">
        <v>33</v>
      </c>
      <c r="L7022">
        <f t="shared" si="327"/>
        <v>2024</v>
      </c>
      <c r="M7022" t="str">
        <f t="shared" si="328"/>
        <v>Dec</v>
      </c>
      <c r="N7022" s="2">
        <f t="shared" si="329"/>
        <v>0.17440138446371073</v>
      </c>
    </row>
    <row r="7023" spans="1:14" x14ac:dyDescent="0.45">
      <c r="A7023" t="s">
        <v>11959</v>
      </c>
      <c r="B7023" s="1">
        <v>44659</v>
      </c>
      <c r="C7023" t="s">
        <v>4818</v>
      </c>
      <c r="D7023" t="s">
        <v>56</v>
      </c>
      <c r="E7023" t="s">
        <v>20</v>
      </c>
      <c r="F7023" t="s">
        <v>43</v>
      </c>
      <c r="G7023">
        <v>2</v>
      </c>
      <c r="H7023">
        <v>44128.28</v>
      </c>
      <c r="I7023">
        <v>2352.81</v>
      </c>
      <c r="J7023" t="s">
        <v>71</v>
      </c>
      <c r="K7023" t="s">
        <v>17</v>
      </c>
      <c r="L7023">
        <f t="shared" si="327"/>
        <v>2022</v>
      </c>
      <c r="M7023" t="str">
        <f t="shared" si="328"/>
        <v>Apr</v>
      </c>
      <c r="N7023" s="2">
        <f t="shared" si="329"/>
        <v>5.3317509769245479E-2</v>
      </c>
    </row>
    <row r="7024" spans="1:14" x14ac:dyDescent="0.45">
      <c r="A7024" t="s">
        <v>11960</v>
      </c>
      <c r="B7024" s="1">
        <v>45509</v>
      </c>
      <c r="C7024" t="s">
        <v>6973</v>
      </c>
      <c r="D7024" t="s">
        <v>56</v>
      </c>
      <c r="E7024" t="s">
        <v>20</v>
      </c>
      <c r="F7024" t="s">
        <v>43</v>
      </c>
      <c r="G7024">
        <v>4</v>
      </c>
      <c r="H7024">
        <v>16997.53</v>
      </c>
      <c r="I7024">
        <v>1898.93</v>
      </c>
      <c r="J7024" t="s">
        <v>71</v>
      </c>
      <c r="K7024" t="s">
        <v>23</v>
      </c>
      <c r="L7024">
        <f t="shared" si="327"/>
        <v>2024</v>
      </c>
      <c r="M7024" t="str">
        <f t="shared" si="328"/>
        <v>Aug</v>
      </c>
      <c r="N7024" s="2">
        <f t="shared" si="329"/>
        <v>0.11171799667363436</v>
      </c>
    </row>
    <row r="7025" spans="1:14" x14ac:dyDescent="0.45">
      <c r="A7025" t="s">
        <v>11961</v>
      </c>
      <c r="B7025" s="1">
        <v>45352</v>
      </c>
      <c r="C7025" t="s">
        <v>11962</v>
      </c>
      <c r="D7025" t="s">
        <v>56</v>
      </c>
      <c r="E7025" t="s">
        <v>36</v>
      </c>
      <c r="F7025" t="s">
        <v>64</v>
      </c>
      <c r="G7025">
        <v>4</v>
      </c>
      <c r="H7025">
        <v>9956.4699999999993</v>
      </c>
      <c r="I7025">
        <v>1944.33</v>
      </c>
      <c r="J7025" t="s">
        <v>22</v>
      </c>
      <c r="K7025" t="s">
        <v>33</v>
      </c>
      <c r="L7025">
        <f t="shared" si="327"/>
        <v>2024</v>
      </c>
      <c r="M7025" t="str">
        <f t="shared" si="328"/>
        <v>Mar</v>
      </c>
      <c r="N7025" s="2">
        <f t="shared" si="329"/>
        <v>0.19528306719148453</v>
      </c>
    </row>
    <row r="7026" spans="1:14" x14ac:dyDescent="0.45">
      <c r="A7026" t="s">
        <v>11963</v>
      </c>
      <c r="B7026" s="1">
        <v>45325</v>
      </c>
      <c r="C7026" t="s">
        <v>7299</v>
      </c>
      <c r="D7026" t="s">
        <v>13</v>
      </c>
      <c r="E7026" t="s">
        <v>20</v>
      </c>
      <c r="F7026" t="s">
        <v>50</v>
      </c>
      <c r="G7026">
        <v>4</v>
      </c>
      <c r="H7026">
        <v>41595.43</v>
      </c>
      <c r="I7026">
        <v>3232.61</v>
      </c>
      <c r="J7026" t="s">
        <v>16</v>
      </c>
      <c r="K7026" t="s">
        <v>23</v>
      </c>
      <c r="L7026">
        <f t="shared" si="327"/>
        <v>2024</v>
      </c>
      <c r="M7026" t="str">
        <f t="shared" si="328"/>
        <v>Feb</v>
      </c>
      <c r="N7026" s="2">
        <f t="shared" si="329"/>
        <v>7.7715508650830156E-2</v>
      </c>
    </row>
    <row r="7027" spans="1:14" x14ac:dyDescent="0.45">
      <c r="A7027" t="s">
        <v>11964</v>
      </c>
      <c r="B7027" s="1">
        <v>44852</v>
      </c>
      <c r="C7027" t="s">
        <v>5408</v>
      </c>
      <c r="D7027" t="s">
        <v>13</v>
      </c>
      <c r="E7027" t="s">
        <v>36</v>
      </c>
      <c r="F7027" t="s">
        <v>37</v>
      </c>
      <c r="G7027">
        <v>3</v>
      </c>
      <c r="H7027">
        <v>8022.86</v>
      </c>
      <c r="I7027">
        <v>622.66999999999996</v>
      </c>
      <c r="J7027" t="s">
        <v>16</v>
      </c>
      <c r="K7027" t="s">
        <v>29</v>
      </c>
      <c r="L7027">
        <f t="shared" si="327"/>
        <v>2022</v>
      </c>
      <c r="M7027" t="str">
        <f t="shared" si="328"/>
        <v>Oct</v>
      </c>
      <c r="N7027" s="2">
        <f t="shared" si="329"/>
        <v>7.7611973784909624E-2</v>
      </c>
    </row>
    <row r="7028" spans="1:14" x14ac:dyDescent="0.45">
      <c r="A7028" t="s">
        <v>11965</v>
      </c>
      <c r="B7028" s="1">
        <v>45571</v>
      </c>
      <c r="C7028" t="s">
        <v>1484</v>
      </c>
      <c r="D7028" t="s">
        <v>26</v>
      </c>
      <c r="E7028" t="s">
        <v>20</v>
      </c>
      <c r="F7028" t="s">
        <v>21</v>
      </c>
      <c r="G7028">
        <v>2</v>
      </c>
      <c r="H7028">
        <v>6958.67</v>
      </c>
      <c r="I7028">
        <v>693.05</v>
      </c>
      <c r="J7028" t="s">
        <v>71</v>
      </c>
      <c r="K7028" t="s">
        <v>29</v>
      </c>
      <c r="L7028">
        <f t="shared" si="327"/>
        <v>2024</v>
      </c>
      <c r="M7028" t="str">
        <f t="shared" si="328"/>
        <v>Oct</v>
      </c>
      <c r="N7028" s="2">
        <f t="shared" si="329"/>
        <v>9.9595181263086183E-2</v>
      </c>
    </row>
    <row r="7029" spans="1:14" x14ac:dyDescent="0.45">
      <c r="A7029" t="s">
        <v>11966</v>
      </c>
      <c r="B7029" s="1">
        <v>45326</v>
      </c>
      <c r="C7029" t="s">
        <v>1230</v>
      </c>
      <c r="D7029" t="s">
        <v>13</v>
      </c>
      <c r="E7029" t="s">
        <v>36</v>
      </c>
      <c r="F7029" t="s">
        <v>64</v>
      </c>
      <c r="G7029">
        <v>2</v>
      </c>
      <c r="H7029">
        <v>19723.169999999998</v>
      </c>
      <c r="I7029">
        <v>4311.47</v>
      </c>
      <c r="J7029" t="s">
        <v>16</v>
      </c>
      <c r="K7029" t="s">
        <v>23</v>
      </c>
      <c r="L7029">
        <f t="shared" si="327"/>
        <v>2024</v>
      </c>
      <c r="M7029" t="str">
        <f t="shared" si="328"/>
        <v>Feb</v>
      </c>
      <c r="N7029" s="2">
        <f t="shared" si="329"/>
        <v>0.21859924139983586</v>
      </c>
    </row>
    <row r="7030" spans="1:14" x14ac:dyDescent="0.45">
      <c r="A7030" t="s">
        <v>11967</v>
      </c>
      <c r="B7030" s="1">
        <v>44675</v>
      </c>
      <c r="C7030" t="s">
        <v>1236</v>
      </c>
      <c r="D7030" t="s">
        <v>56</v>
      </c>
      <c r="E7030" t="s">
        <v>36</v>
      </c>
      <c r="F7030" t="s">
        <v>64</v>
      </c>
      <c r="G7030">
        <v>1</v>
      </c>
      <c r="H7030">
        <v>32435.05</v>
      </c>
      <c r="I7030">
        <v>6683.59</v>
      </c>
      <c r="J7030" t="s">
        <v>47</v>
      </c>
      <c r="K7030" t="s">
        <v>23</v>
      </c>
      <c r="L7030">
        <f t="shared" si="327"/>
        <v>2022</v>
      </c>
      <c r="M7030" t="str">
        <f t="shared" si="328"/>
        <v>Apr</v>
      </c>
      <c r="N7030" s="2">
        <f t="shared" si="329"/>
        <v>0.20606072751545013</v>
      </c>
    </row>
    <row r="7031" spans="1:14" x14ac:dyDescent="0.45">
      <c r="A7031" t="s">
        <v>11968</v>
      </c>
      <c r="B7031" s="1">
        <v>44916</v>
      </c>
      <c r="C7031" t="s">
        <v>407</v>
      </c>
      <c r="D7031" t="s">
        <v>26</v>
      </c>
      <c r="E7031" t="s">
        <v>14</v>
      </c>
      <c r="F7031" t="s">
        <v>40</v>
      </c>
      <c r="G7031">
        <v>2</v>
      </c>
      <c r="H7031">
        <v>24928.19</v>
      </c>
      <c r="I7031">
        <v>1775.64</v>
      </c>
      <c r="J7031" t="s">
        <v>47</v>
      </c>
      <c r="K7031" t="s">
        <v>33</v>
      </c>
      <c r="L7031">
        <f t="shared" si="327"/>
        <v>2022</v>
      </c>
      <c r="M7031" t="str">
        <f t="shared" si="328"/>
        <v>Dec</v>
      </c>
      <c r="N7031" s="2">
        <f t="shared" si="329"/>
        <v>7.1230201631165363E-2</v>
      </c>
    </row>
    <row r="7032" spans="1:14" x14ac:dyDescent="0.45">
      <c r="A7032" t="s">
        <v>11969</v>
      </c>
      <c r="B7032" s="1">
        <v>44807</v>
      </c>
      <c r="C7032" t="s">
        <v>11970</v>
      </c>
      <c r="D7032" t="s">
        <v>26</v>
      </c>
      <c r="E7032" t="s">
        <v>14</v>
      </c>
      <c r="F7032" t="s">
        <v>40</v>
      </c>
      <c r="G7032">
        <v>3</v>
      </c>
      <c r="H7032">
        <v>14491.08</v>
      </c>
      <c r="I7032">
        <v>2218.7199999999998</v>
      </c>
      <c r="J7032" t="s">
        <v>28</v>
      </c>
      <c r="K7032" t="s">
        <v>33</v>
      </c>
      <c r="L7032">
        <f t="shared" si="327"/>
        <v>2022</v>
      </c>
      <c r="M7032" t="str">
        <f t="shared" si="328"/>
        <v>Sep</v>
      </c>
      <c r="N7032" s="2">
        <f t="shared" si="329"/>
        <v>0.15310936106901624</v>
      </c>
    </row>
    <row r="7033" spans="1:14" x14ac:dyDescent="0.45">
      <c r="A7033" t="s">
        <v>11971</v>
      </c>
      <c r="B7033" s="1">
        <v>45132</v>
      </c>
      <c r="C7033" t="s">
        <v>7673</v>
      </c>
      <c r="D7033" t="s">
        <v>26</v>
      </c>
      <c r="E7033" t="s">
        <v>36</v>
      </c>
      <c r="F7033" t="s">
        <v>53</v>
      </c>
      <c r="G7033">
        <v>4</v>
      </c>
      <c r="H7033">
        <v>23094.38</v>
      </c>
      <c r="I7033">
        <v>5426.18</v>
      </c>
      <c r="J7033" t="s">
        <v>16</v>
      </c>
      <c r="K7033" t="s">
        <v>17</v>
      </c>
      <c r="L7033">
        <f t="shared" si="327"/>
        <v>2023</v>
      </c>
      <c r="M7033" t="str">
        <f t="shared" si="328"/>
        <v>Jul</v>
      </c>
      <c r="N7033" s="2">
        <f t="shared" si="329"/>
        <v>0.23495672973251502</v>
      </c>
    </row>
    <row r="7034" spans="1:14" x14ac:dyDescent="0.45">
      <c r="A7034" t="s">
        <v>11972</v>
      </c>
      <c r="B7034" s="1">
        <v>45558</v>
      </c>
      <c r="C7034" t="s">
        <v>11973</v>
      </c>
      <c r="D7034" t="s">
        <v>26</v>
      </c>
      <c r="E7034" t="s">
        <v>20</v>
      </c>
      <c r="F7034" t="s">
        <v>43</v>
      </c>
      <c r="G7034">
        <v>4</v>
      </c>
      <c r="H7034">
        <v>8300.4699999999993</v>
      </c>
      <c r="I7034">
        <v>1376.59</v>
      </c>
      <c r="J7034" t="s">
        <v>47</v>
      </c>
      <c r="K7034" t="s">
        <v>17</v>
      </c>
      <c r="L7034">
        <f t="shared" si="327"/>
        <v>2024</v>
      </c>
      <c r="M7034" t="str">
        <f t="shared" si="328"/>
        <v>Sep</v>
      </c>
      <c r="N7034" s="2">
        <f t="shared" si="329"/>
        <v>0.16584482565445088</v>
      </c>
    </row>
    <row r="7035" spans="1:14" x14ac:dyDescent="0.45">
      <c r="A7035" t="s">
        <v>11974</v>
      </c>
      <c r="B7035" s="1">
        <v>45108</v>
      </c>
      <c r="C7035" t="s">
        <v>11975</v>
      </c>
      <c r="D7035" t="s">
        <v>26</v>
      </c>
      <c r="E7035" t="s">
        <v>14</v>
      </c>
      <c r="F7035" t="s">
        <v>57</v>
      </c>
      <c r="G7035">
        <v>3</v>
      </c>
      <c r="H7035">
        <v>22015.15</v>
      </c>
      <c r="I7035">
        <v>1536.92</v>
      </c>
      <c r="J7035" t="s">
        <v>16</v>
      </c>
      <c r="K7035" t="s">
        <v>29</v>
      </c>
      <c r="L7035">
        <f t="shared" si="327"/>
        <v>2023</v>
      </c>
      <c r="M7035" t="str">
        <f t="shared" si="328"/>
        <v>Jul</v>
      </c>
      <c r="N7035" s="2">
        <f t="shared" si="329"/>
        <v>6.9811924969850309E-2</v>
      </c>
    </row>
    <row r="7036" spans="1:14" x14ac:dyDescent="0.45">
      <c r="A7036" t="s">
        <v>11976</v>
      </c>
      <c r="B7036" s="1">
        <v>45012</v>
      </c>
      <c r="C7036" t="s">
        <v>4203</v>
      </c>
      <c r="D7036" t="s">
        <v>26</v>
      </c>
      <c r="E7036" t="s">
        <v>36</v>
      </c>
      <c r="F7036" t="s">
        <v>53</v>
      </c>
      <c r="G7036">
        <v>2</v>
      </c>
      <c r="H7036">
        <v>44886.67</v>
      </c>
      <c r="I7036">
        <v>11062.18</v>
      </c>
      <c r="J7036" t="s">
        <v>22</v>
      </c>
      <c r="K7036" t="s">
        <v>23</v>
      </c>
      <c r="L7036">
        <f t="shared" si="327"/>
        <v>2023</v>
      </c>
      <c r="M7036" t="str">
        <f t="shared" si="328"/>
        <v>Mar</v>
      </c>
      <c r="N7036" s="2">
        <f t="shared" si="329"/>
        <v>0.24644688501062789</v>
      </c>
    </row>
    <row r="7037" spans="1:14" x14ac:dyDescent="0.45">
      <c r="A7037" t="s">
        <v>11977</v>
      </c>
      <c r="B7037" s="1">
        <v>44764</v>
      </c>
      <c r="C7037" t="s">
        <v>2274</v>
      </c>
      <c r="D7037" t="s">
        <v>26</v>
      </c>
      <c r="E7037" t="s">
        <v>36</v>
      </c>
      <c r="F7037" t="s">
        <v>53</v>
      </c>
      <c r="G7037">
        <v>4</v>
      </c>
      <c r="H7037">
        <v>32401.37</v>
      </c>
      <c r="I7037">
        <v>4296.46</v>
      </c>
      <c r="J7037" t="s">
        <v>71</v>
      </c>
      <c r="K7037" t="s">
        <v>33</v>
      </c>
      <c r="L7037">
        <f t="shared" si="327"/>
        <v>2022</v>
      </c>
      <c r="M7037" t="str">
        <f t="shared" si="328"/>
        <v>Jul</v>
      </c>
      <c r="N7037" s="2">
        <f t="shared" si="329"/>
        <v>0.13260118322157366</v>
      </c>
    </row>
    <row r="7038" spans="1:14" x14ac:dyDescent="0.45">
      <c r="A7038" t="s">
        <v>11978</v>
      </c>
      <c r="B7038" s="1">
        <v>45111</v>
      </c>
      <c r="C7038" t="s">
        <v>1133</v>
      </c>
      <c r="D7038" t="s">
        <v>13</v>
      </c>
      <c r="E7038" t="s">
        <v>14</v>
      </c>
      <c r="F7038" t="s">
        <v>32</v>
      </c>
      <c r="G7038">
        <v>5</v>
      </c>
      <c r="H7038">
        <v>10469.06</v>
      </c>
      <c r="I7038">
        <v>953.94</v>
      </c>
      <c r="J7038" t="s">
        <v>16</v>
      </c>
      <c r="K7038" t="s">
        <v>33</v>
      </c>
      <c r="L7038">
        <f t="shared" si="327"/>
        <v>2023</v>
      </c>
      <c r="M7038" t="str">
        <f t="shared" si="328"/>
        <v>Jul</v>
      </c>
      <c r="N7038" s="2">
        <f t="shared" si="329"/>
        <v>9.1119928627785118E-2</v>
      </c>
    </row>
    <row r="7039" spans="1:14" x14ac:dyDescent="0.45">
      <c r="A7039" t="s">
        <v>11979</v>
      </c>
      <c r="B7039" s="1">
        <v>44896</v>
      </c>
      <c r="C7039" t="s">
        <v>5532</v>
      </c>
      <c r="D7039" t="s">
        <v>26</v>
      </c>
      <c r="E7039" t="s">
        <v>20</v>
      </c>
      <c r="F7039" t="s">
        <v>50</v>
      </c>
      <c r="G7039">
        <v>5</v>
      </c>
      <c r="H7039">
        <v>30113.49</v>
      </c>
      <c r="I7039">
        <v>2445.84</v>
      </c>
      <c r="J7039" t="s">
        <v>71</v>
      </c>
      <c r="K7039" t="s">
        <v>33</v>
      </c>
      <c r="L7039">
        <f t="shared" si="327"/>
        <v>2022</v>
      </c>
      <c r="M7039" t="str">
        <f t="shared" si="328"/>
        <v>Dec</v>
      </c>
      <c r="N7039" s="2">
        <f t="shared" si="329"/>
        <v>8.1220741933266449E-2</v>
      </c>
    </row>
    <row r="7040" spans="1:14" x14ac:dyDescent="0.45">
      <c r="A7040" t="s">
        <v>11980</v>
      </c>
      <c r="B7040" s="1">
        <v>45248</v>
      </c>
      <c r="C7040" t="s">
        <v>8146</v>
      </c>
      <c r="D7040" t="s">
        <v>26</v>
      </c>
      <c r="E7040" t="s">
        <v>20</v>
      </c>
      <c r="F7040" t="s">
        <v>27</v>
      </c>
      <c r="G7040">
        <v>4</v>
      </c>
      <c r="H7040">
        <v>18303.66</v>
      </c>
      <c r="I7040">
        <v>1295.76</v>
      </c>
      <c r="J7040" t="s">
        <v>22</v>
      </c>
      <c r="K7040" t="s">
        <v>17</v>
      </c>
      <c r="L7040">
        <f t="shared" si="327"/>
        <v>2023</v>
      </c>
      <c r="M7040" t="str">
        <f t="shared" si="328"/>
        <v>Nov</v>
      </c>
      <c r="N7040" s="2">
        <f t="shared" si="329"/>
        <v>7.0792398897269723E-2</v>
      </c>
    </row>
    <row r="7041" spans="1:14" x14ac:dyDescent="0.45">
      <c r="A7041" t="s">
        <v>11981</v>
      </c>
      <c r="B7041" s="1">
        <v>44835</v>
      </c>
      <c r="C7041" t="s">
        <v>10550</v>
      </c>
      <c r="D7041" t="s">
        <v>13</v>
      </c>
      <c r="E7041" t="s">
        <v>20</v>
      </c>
      <c r="F7041" t="s">
        <v>50</v>
      </c>
      <c r="G7041">
        <v>1</v>
      </c>
      <c r="H7041">
        <v>20081.259999999998</v>
      </c>
      <c r="I7041">
        <v>1619.33</v>
      </c>
      <c r="J7041" t="s">
        <v>16</v>
      </c>
      <c r="K7041" t="s">
        <v>29</v>
      </c>
      <c r="L7041">
        <f t="shared" si="327"/>
        <v>2022</v>
      </c>
      <c r="M7041" t="str">
        <f t="shared" si="328"/>
        <v>Oct</v>
      </c>
      <c r="N7041" s="2">
        <f t="shared" si="329"/>
        <v>8.0638864294371976E-2</v>
      </c>
    </row>
    <row r="7042" spans="1:14" x14ac:dyDescent="0.45">
      <c r="A7042" t="s">
        <v>11982</v>
      </c>
      <c r="B7042" s="1">
        <v>45048</v>
      </c>
      <c r="C7042" t="s">
        <v>11983</v>
      </c>
      <c r="D7042" t="s">
        <v>13</v>
      </c>
      <c r="E7042" t="s">
        <v>14</v>
      </c>
      <c r="F7042" t="s">
        <v>57</v>
      </c>
      <c r="G7042">
        <v>1</v>
      </c>
      <c r="H7042">
        <v>11441.62</v>
      </c>
      <c r="I7042">
        <v>1768.62</v>
      </c>
      <c r="J7042" t="s">
        <v>28</v>
      </c>
      <c r="K7042" t="s">
        <v>33</v>
      </c>
      <c r="L7042">
        <f t="shared" si="327"/>
        <v>2023</v>
      </c>
      <c r="M7042" t="str">
        <f t="shared" si="328"/>
        <v>May</v>
      </c>
      <c r="N7042" s="2">
        <f t="shared" si="329"/>
        <v>0.15457776084155914</v>
      </c>
    </row>
    <row r="7043" spans="1:14" x14ac:dyDescent="0.45">
      <c r="A7043" t="s">
        <v>11984</v>
      </c>
      <c r="B7043" s="1">
        <v>45359</v>
      </c>
      <c r="C7043" t="s">
        <v>11985</v>
      </c>
      <c r="D7043" t="s">
        <v>13</v>
      </c>
      <c r="E7043" t="s">
        <v>36</v>
      </c>
      <c r="F7043" t="s">
        <v>37</v>
      </c>
      <c r="G7043">
        <v>5</v>
      </c>
      <c r="H7043">
        <v>9666.23</v>
      </c>
      <c r="I7043">
        <v>544.70000000000005</v>
      </c>
      <c r="J7043" t="s">
        <v>47</v>
      </c>
      <c r="K7043" t="s">
        <v>33</v>
      </c>
      <c r="L7043">
        <f t="shared" ref="L7043:L7106" si="330">YEAR(B7043 )</f>
        <v>2024</v>
      </c>
      <c r="M7043" t="str">
        <f t="shared" ref="M7043:M7106" si="331">TEXT(B7043,"MMM")</f>
        <v>Mar</v>
      </c>
      <c r="N7043" s="2">
        <f t="shared" ref="N7043:N7106" si="332">I7043 / H7043</f>
        <v>5.6350821364689239E-2</v>
      </c>
    </row>
    <row r="7044" spans="1:14" x14ac:dyDescent="0.45">
      <c r="A7044" t="s">
        <v>11986</v>
      </c>
      <c r="B7044" s="1">
        <v>45003</v>
      </c>
      <c r="C7044" t="s">
        <v>11987</v>
      </c>
      <c r="D7044" t="s">
        <v>26</v>
      </c>
      <c r="E7044" t="s">
        <v>14</v>
      </c>
      <c r="F7044" t="s">
        <v>40</v>
      </c>
      <c r="G7044">
        <v>5</v>
      </c>
      <c r="H7044">
        <v>29884.62</v>
      </c>
      <c r="I7044">
        <v>5095.99</v>
      </c>
      <c r="J7044" t="s">
        <v>16</v>
      </c>
      <c r="K7044" t="s">
        <v>33</v>
      </c>
      <c r="L7044">
        <f t="shared" si="330"/>
        <v>2023</v>
      </c>
      <c r="M7044" t="str">
        <f t="shared" si="331"/>
        <v>Mar</v>
      </c>
      <c r="N7044" s="2">
        <f t="shared" si="332"/>
        <v>0.17052216156671893</v>
      </c>
    </row>
    <row r="7045" spans="1:14" x14ac:dyDescent="0.45">
      <c r="A7045" t="s">
        <v>11988</v>
      </c>
      <c r="B7045" s="1">
        <v>45536</v>
      </c>
      <c r="C7045" t="s">
        <v>11989</v>
      </c>
      <c r="D7045" t="s">
        <v>13</v>
      </c>
      <c r="E7045" t="s">
        <v>14</v>
      </c>
      <c r="F7045" t="s">
        <v>40</v>
      </c>
      <c r="G7045">
        <v>3</v>
      </c>
      <c r="H7045">
        <v>17112.39</v>
      </c>
      <c r="I7045">
        <v>3673.96</v>
      </c>
      <c r="J7045" t="s">
        <v>22</v>
      </c>
      <c r="K7045" t="s">
        <v>33</v>
      </c>
      <c r="L7045">
        <f t="shared" si="330"/>
        <v>2024</v>
      </c>
      <c r="M7045" t="str">
        <f t="shared" si="331"/>
        <v>Sep</v>
      </c>
      <c r="N7045" s="2">
        <f t="shared" si="332"/>
        <v>0.21469590162449548</v>
      </c>
    </row>
    <row r="7046" spans="1:14" x14ac:dyDescent="0.45">
      <c r="A7046" t="s">
        <v>11990</v>
      </c>
      <c r="B7046" s="1">
        <v>45348</v>
      </c>
      <c r="C7046" t="s">
        <v>11991</v>
      </c>
      <c r="D7046" t="s">
        <v>26</v>
      </c>
      <c r="E7046" t="s">
        <v>20</v>
      </c>
      <c r="F7046" t="s">
        <v>21</v>
      </c>
      <c r="G7046">
        <v>2</v>
      </c>
      <c r="H7046">
        <v>21722.44</v>
      </c>
      <c r="I7046">
        <v>3459.53</v>
      </c>
      <c r="J7046" t="s">
        <v>28</v>
      </c>
      <c r="K7046" t="s">
        <v>17</v>
      </c>
      <c r="L7046">
        <f t="shared" si="330"/>
        <v>2024</v>
      </c>
      <c r="M7046" t="str">
        <f t="shared" si="331"/>
        <v>Feb</v>
      </c>
      <c r="N7046" s="2">
        <f t="shared" si="332"/>
        <v>0.15926065395968411</v>
      </c>
    </row>
    <row r="7047" spans="1:14" x14ac:dyDescent="0.45">
      <c r="A7047" t="s">
        <v>11992</v>
      </c>
      <c r="B7047" s="1">
        <v>44912</v>
      </c>
      <c r="C7047" t="s">
        <v>11097</v>
      </c>
      <c r="D7047" t="s">
        <v>13</v>
      </c>
      <c r="E7047" t="s">
        <v>36</v>
      </c>
      <c r="F7047" t="s">
        <v>46</v>
      </c>
      <c r="G7047">
        <v>5</v>
      </c>
      <c r="H7047">
        <v>18407.12</v>
      </c>
      <c r="I7047">
        <v>1341.34</v>
      </c>
      <c r="J7047" t="s">
        <v>71</v>
      </c>
      <c r="K7047" t="s">
        <v>17</v>
      </c>
      <c r="L7047">
        <f t="shared" si="330"/>
        <v>2022</v>
      </c>
      <c r="M7047" t="str">
        <f t="shared" si="331"/>
        <v>Dec</v>
      </c>
      <c r="N7047" s="2">
        <f t="shared" si="332"/>
        <v>7.2870715244970422E-2</v>
      </c>
    </row>
    <row r="7048" spans="1:14" x14ac:dyDescent="0.45">
      <c r="A7048" t="s">
        <v>11993</v>
      </c>
      <c r="B7048" s="1">
        <v>44571</v>
      </c>
      <c r="C7048" t="s">
        <v>11994</v>
      </c>
      <c r="D7048" t="s">
        <v>56</v>
      </c>
      <c r="E7048" t="s">
        <v>14</v>
      </c>
      <c r="F7048" t="s">
        <v>32</v>
      </c>
      <c r="G7048">
        <v>2</v>
      </c>
      <c r="H7048">
        <v>44426.33</v>
      </c>
      <c r="I7048">
        <v>6703.4</v>
      </c>
      <c r="J7048" t="s">
        <v>28</v>
      </c>
      <c r="K7048" t="s">
        <v>23</v>
      </c>
      <c r="L7048">
        <f t="shared" si="330"/>
        <v>2022</v>
      </c>
      <c r="M7048" t="str">
        <f t="shared" si="331"/>
        <v>Jan</v>
      </c>
      <c r="N7048" s="2">
        <f t="shared" si="332"/>
        <v>0.15088799817585652</v>
      </c>
    </row>
    <row r="7049" spans="1:14" x14ac:dyDescent="0.45">
      <c r="A7049" t="s">
        <v>11995</v>
      </c>
      <c r="B7049" s="1">
        <v>45325</v>
      </c>
      <c r="C7049" t="s">
        <v>3066</v>
      </c>
      <c r="D7049" t="s">
        <v>56</v>
      </c>
      <c r="E7049" t="s">
        <v>36</v>
      </c>
      <c r="F7049" t="s">
        <v>37</v>
      </c>
      <c r="G7049">
        <v>5</v>
      </c>
      <c r="H7049">
        <v>16412.259999999998</v>
      </c>
      <c r="I7049">
        <v>3733.19</v>
      </c>
      <c r="J7049" t="s">
        <v>28</v>
      </c>
      <c r="K7049" t="s">
        <v>17</v>
      </c>
      <c r="L7049">
        <f t="shared" si="330"/>
        <v>2024</v>
      </c>
      <c r="M7049" t="str">
        <f t="shared" si="331"/>
        <v>Feb</v>
      </c>
      <c r="N7049" s="2">
        <f t="shared" si="332"/>
        <v>0.2274634937540595</v>
      </c>
    </row>
    <row r="7050" spans="1:14" x14ac:dyDescent="0.45">
      <c r="A7050" t="s">
        <v>11996</v>
      </c>
      <c r="B7050" s="1">
        <v>45273</v>
      </c>
      <c r="C7050" t="s">
        <v>7933</v>
      </c>
      <c r="D7050" t="s">
        <v>13</v>
      </c>
      <c r="E7050" t="s">
        <v>20</v>
      </c>
      <c r="F7050" t="s">
        <v>50</v>
      </c>
      <c r="G7050">
        <v>2</v>
      </c>
      <c r="H7050">
        <v>36751</v>
      </c>
      <c r="I7050">
        <v>6530.53</v>
      </c>
      <c r="J7050" t="s">
        <v>22</v>
      </c>
      <c r="K7050" t="s">
        <v>29</v>
      </c>
      <c r="L7050">
        <f t="shared" si="330"/>
        <v>2023</v>
      </c>
      <c r="M7050" t="str">
        <f t="shared" si="331"/>
        <v>Dec</v>
      </c>
      <c r="N7050" s="2">
        <f t="shared" si="332"/>
        <v>0.17769666131533834</v>
      </c>
    </row>
    <row r="7051" spans="1:14" x14ac:dyDescent="0.45">
      <c r="A7051" t="s">
        <v>11997</v>
      </c>
      <c r="B7051" s="1">
        <v>45288</v>
      </c>
      <c r="C7051" t="s">
        <v>480</v>
      </c>
      <c r="D7051" t="s">
        <v>26</v>
      </c>
      <c r="E7051" t="s">
        <v>36</v>
      </c>
      <c r="F7051" t="s">
        <v>64</v>
      </c>
      <c r="G7051">
        <v>5</v>
      </c>
      <c r="H7051">
        <v>39162.22</v>
      </c>
      <c r="I7051">
        <v>8786.1</v>
      </c>
      <c r="J7051" t="s">
        <v>71</v>
      </c>
      <c r="K7051" t="s">
        <v>17</v>
      </c>
      <c r="L7051">
        <f t="shared" si="330"/>
        <v>2023</v>
      </c>
      <c r="M7051" t="str">
        <f t="shared" si="331"/>
        <v>Dec</v>
      </c>
      <c r="N7051" s="2">
        <f t="shared" si="332"/>
        <v>0.22435142849409456</v>
      </c>
    </row>
    <row r="7052" spans="1:14" x14ac:dyDescent="0.45">
      <c r="A7052" t="s">
        <v>11998</v>
      </c>
      <c r="B7052" s="1">
        <v>45619</v>
      </c>
      <c r="C7052" t="s">
        <v>789</v>
      </c>
      <c r="D7052" t="s">
        <v>26</v>
      </c>
      <c r="E7052" t="s">
        <v>14</v>
      </c>
      <c r="F7052" t="s">
        <v>40</v>
      </c>
      <c r="G7052">
        <v>1</v>
      </c>
      <c r="H7052">
        <v>28775.31</v>
      </c>
      <c r="I7052">
        <v>2506.66</v>
      </c>
      <c r="J7052" t="s">
        <v>16</v>
      </c>
      <c r="K7052" t="s">
        <v>33</v>
      </c>
      <c r="L7052">
        <f t="shared" si="330"/>
        <v>2024</v>
      </c>
      <c r="M7052" t="str">
        <f t="shared" si="331"/>
        <v>Nov</v>
      </c>
      <c r="N7052" s="2">
        <f t="shared" si="332"/>
        <v>8.7111485506150929E-2</v>
      </c>
    </row>
    <row r="7053" spans="1:14" x14ac:dyDescent="0.45">
      <c r="A7053" t="s">
        <v>11999</v>
      </c>
      <c r="B7053" s="1">
        <v>45022</v>
      </c>
      <c r="C7053" t="s">
        <v>10122</v>
      </c>
      <c r="D7053" t="s">
        <v>13</v>
      </c>
      <c r="E7053" t="s">
        <v>14</v>
      </c>
      <c r="F7053" t="s">
        <v>32</v>
      </c>
      <c r="G7053">
        <v>2</v>
      </c>
      <c r="H7053">
        <v>36590.089999999997</v>
      </c>
      <c r="I7053">
        <v>2302.21</v>
      </c>
      <c r="J7053" t="s">
        <v>22</v>
      </c>
      <c r="K7053" t="s">
        <v>23</v>
      </c>
      <c r="L7053">
        <f t="shared" si="330"/>
        <v>2023</v>
      </c>
      <c r="M7053" t="str">
        <f t="shared" si="331"/>
        <v>Apr</v>
      </c>
      <c r="N7053" s="2">
        <f t="shared" si="332"/>
        <v>6.2918948819202153E-2</v>
      </c>
    </row>
    <row r="7054" spans="1:14" x14ac:dyDescent="0.45">
      <c r="A7054" t="s">
        <v>12000</v>
      </c>
      <c r="B7054" s="1">
        <v>44699</v>
      </c>
      <c r="C7054" t="s">
        <v>7841</v>
      </c>
      <c r="D7054" t="s">
        <v>56</v>
      </c>
      <c r="E7054" t="s">
        <v>14</v>
      </c>
      <c r="F7054" t="s">
        <v>15</v>
      </c>
      <c r="G7054">
        <v>5</v>
      </c>
      <c r="H7054">
        <v>27394.240000000002</v>
      </c>
      <c r="I7054">
        <v>1716.17</v>
      </c>
      <c r="J7054" t="s">
        <v>28</v>
      </c>
      <c r="K7054" t="s">
        <v>17</v>
      </c>
      <c r="L7054">
        <f t="shared" si="330"/>
        <v>2022</v>
      </c>
      <c r="M7054" t="str">
        <f t="shared" si="331"/>
        <v>May</v>
      </c>
      <c r="N7054" s="2">
        <f t="shared" si="332"/>
        <v>6.2647111217540616E-2</v>
      </c>
    </row>
    <row r="7055" spans="1:14" x14ac:dyDescent="0.45">
      <c r="A7055" t="s">
        <v>12001</v>
      </c>
      <c r="B7055" s="1">
        <v>45092</v>
      </c>
      <c r="C7055" t="s">
        <v>1685</v>
      </c>
      <c r="D7055" t="s">
        <v>56</v>
      </c>
      <c r="E7055" t="s">
        <v>36</v>
      </c>
      <c r="F7055" t="s">
        <v>64</v>
      </c>
      <c r="G7055">
        <v>3</v>
      </c>
      <c r="H7055">
        <v>30368.61</v>
      </c>
      <c r="I7055">
        <v>4629.66</v>
      </c>
      <c r="J7055" t="s">
        <v>28</v>
      </c>
      <c r="K7055" t="s">
        <v>23</v>
      </c>
      <c r="L7055">
        <f t="shared" si="330"/>
        <v>2023</v>
      </c>
      <c r="M7055" t="str">
        <f t="shared" si="331"/>
        <v>Jun</v>
      </c>
      <c r="N7055" s="2">
        <f t="shared" si="332"/>
        <v>0.15244886084677567</v>
      </c>
    </row>
    <row r="7056" spans="1:14" x14ac:dyDescent="0.45">
      <c r="A7056" t="s">
        <v>12002</v>
      </c>
      <c r="B7056" s="1">
        <v>44745</v>
      </c>
      <c r="C7056" t="s">
        <v>1400</v>
      </c>
      <c r="D7056" t="s">
        <v>56</v>
      </c>
      <c r="E7056" t="s">
        <v>36</v>
      </c>
      <c r="F7056" t="s">
        <v>53</v>
      </c>
      <c r="G7056">
        <v>5</v>
      </c>
      <c r="H7056">
        <v>46238.25</v>
      </c>
      <c r="I7056">
        <v>4952.8900000000003</v>
      </c>
      <c r="J7056" t="s">
        <v>22</v>
      </c>
      <c r="K7056" t="s">
        <v>17</v>
      </c>
      <c r="L7056">
        <f t="shared" si="330"/>
        <v>2022</v>
      </c>
      <c r="M7056" t="str">
        <f t="shared" si="331"/>
        <v>Jul</v>
      </c>
      <c r="N7056" s="2">
        <f t="shared" si="332"/>
        <v>0.10711672695225274</v>
      </c>
    </row>
    <row r="7057" spans="1:14" x14ac:dyDescent="0.45">
      <c r="A7057" t="s">
        <v>12003</v>
      </c>
      <c r="B7057" s="1">
        <v>44748</v>
      </c>
      <c r="C7057" t="s">
        <v>12004</v>
      </c>
      <c r="D7057" t="s">
        <v>26</v>
      </c>
      <c r="E7057" t="s">
        <v>20</v>
      </c>
      <c r="F7057" t="s">
        <v>43</v>
      </c>
      <c r="G7057">
        <v>4</v>
      </c>
      <c r="H7057">
        <v>32546.48</v>
      </c>
      <c r="I7057">
        <v>3862.4</v>
      </c>
      <c r="J7057" t="s">
        <v>22</v>
      </c>
      <c r="K7057" t="s">
        <v>17</v>
      </c>
      <c r="L7057">
        <f t="shared" si="330"/>
        <v>2022</v>
      </c>
      <c r="M7057" t="str">
        <f t="shared" si="331"/>
        <v>Jul</v>
      </c>
      <c r="N7057" s="2">
        <f t="shared" si="332"/>
        <v>0.11867335576689092</v>
      </c>
    </row>
    <row r="7058" spans="1:14" x14ac:dyDescent="0.45">
      <c r="A7058" t="s">
        <v>12005</v>
      </c>
      <c r="B7058" s="1">
        <v>45440</v>
      </c>
      <c r="C7058" t="s">
        <v>12006</v>
      </c>
      <c r="D7058" t="s">
        <v>56</v>
      </c>
      <c r="E7058" t="s">
        <v>20</v>
      </c>
      <c r="F7058" t="s">
        <v>21</v>
      </c>
      <c r="G7058">
        <v>5</v>
      </c>
      <c r="H7058">
        <v>28259.64</v>
      </c>
      <c r="I7058">
        <v>6817.84</v>
      </c>
      <c r="J7058" t="s">
        <v>16</v>
      </c>
      <c r="K7058" t="s">
        <v>33</v>
      </c>
      <c r="L7058">
        <f t="shared" si="330"/>
        <v>2024</v>
      </c>
      <c r="M7058" t="str">
        <f t="shared" si="331"/>
        <v>May</v>
      </c>
      <c r="N7058" s="2">
        <f t="shared" si="332"/>
        <v>0.2412571426953776</v>
      </c>
    </row>
    <row r="7059" spans="1:14" x14ac:dyDescent="0.45">
      <c r="A7059" t="s">
        <v>12007</v>
      </c>
      <c r="B7059" s="1">
        <v>44722</v>
      </c>
      <c r="C7059" t="s">
        <v>12008</v>
      </c>
      <c r="D7059" t="s">
        <v>56</v>
      </c>
      <c r="E7059" t="s">
        <v>36</v>
      </c>
      <c r="F7059" t="s">
        <v>46</v>
      </c>
      <c r="G7059">
        <v>5</v>
      </c>
      <c r="H7059">
        <v>21571.97</v>
      </c>
      <c r="I7059">
        <v>3661.46</v>
      </c>
      <c r="J7059" t="s">
        <v>71</v>
      </c>
      <c r="K7059" t="s">
        <v>23</v>
      </c>
      <c r="L7059">
        <f t="shared" si="330"/>
        <v>2022</v>
      </c>
      <c r="M7059" t="str">
        <f t="shared" si="331"/>
        <v>Jun</v>
      </c>
      <c r="N7059" s="2">
        <f t="shared" si="332"/>
        <v>0.16973229612316351</v>
      </c>
    </row>
    <row r="7060" spans="1:14" x14ac:dyDescent="0.45">
      <c r="A7060" t="s">
        <v>12009</v>
      </c>
      <c r="B7060" s="1">
        <v>44782</v>
      </c>
      <c r="C7060" t="s">
        <v>12010</v>
      </c>
      <c r="D7060" t="s">
        <v>13</v>
      </c>
      <c r="E7060" t="s">
        <v>20</v>
      </c>
      <c r="F7060" t="s">
        <v>43</v>
      </c>
      <c r="G7060">
        <v>3</v>
      </c>
      <c r="H7060">
        <v>44470.71</v>
      </c>
      <c r="I7060">
        <v>3198.99</v>
      </c>
      <c r="J7060" t="s">
        <v>16</v>
      </c>
      <c r="K7060" t="s">
        <v>23</v>
      </c>
      <c r="L7060">
        <f t="shared" si="330"/>
        <v>2022</v>
      </c>
      <c r="M7060" t="str">
        <f t="shared" si="331"/>
        <v>Aug</v>
      </c>
      <c r="N7060" s="2">
        <f t="shared" si="332"/>
        <v>7.1934763353227321E-2</v>
      </c>
    </row>
    <row r="7061" spans="1:14" x14ac:dyDescent="0.45">
      <c r="A7061" t="s">
        <v>12011</v>
      </c>
      <c r="B7061" s="1">
        <v>44925</v>
      </c>
      <c r="C7061" t="s">
        <v>1072</v>
      </c>
      <c r="D7061" t="s">
        <v>56</v>
      </c>
      <c r="E7061" t="s">
        <v>20</v>
      </c>
      <c r="F7061" t="s">
        <v>27</v>
      </c>
      <c r="G7061">
        <v>1</v>
      </c>
      <c r="H7061">
        <v>15750.85</v>
      </c>
      <c r="I7061">
        <v>2176.02</v>
      </c>
      <c r="J7061" t="s">
        <v>22</v>
      </c>
      <c r="K7061" t="s">
        <v>29</v>
      </c>
      <c r="L7061">
        <f t="shared" si="330"/>
        <v>2022</v>
      </c>
      <c r="M7061" t="str">
        <f t="shared" si="331"/>
        <v>Dec</v>
      </c>
      <c r="N7061" s="2">
        <f t="shared" si="332"/>
        <v>0.13815254414841102</v>
      </c>
    </row>
    <row r="7062" spans="1:14" x14ac:dyDescent="0.45">
      <c r="A7062" t="s">
        <v>12012</v>
      </c>
      <c r="B7062" s="1">
        <v>45635</v>
      </c>
      <c r="C7062" t="s">
        <v>7238</v>
      </c>
      <c r="D7062" t="s">
        <v>13</v>
      </c>
      <c r="E7062" t="s">
        <v>14</v>
      </c>
      <c r="F7062" t="s">
        <v>15</v>
      </c>
      <c r="G7062">
        <v>5</v>
      </c>
      <c r="H7062">
        <v>25812.14</v>
      </c>
      <c r="I7062">
        <v>5612.73</v>
      </c>
      <c r="J7062" t="s">
        <v>16</v>
      </c>
      <c r="K7062" t="s">
        <v>29</v>
      </c>
      <c r="L7062">
        <f t="shared" si="330"/>
        <v>2024</v>
      </c>
      <c r="M7062" t="str">
        <f t="shared" si="331"/>
        <v>Dec</v>
      </c>
      <c r="N7062" s="2">
        <f t="shared" si="332"/>
        <v>0.21744535710715965</v>
      </c>
    </row>
    <row r="7063" spans="1:14" x14ac:dyDescent="0.45">
      <c r="A7063" t="s">
        <v>12013</v>
      </c>
      <c r="B7063" s="1">
        <v>45377</v>
      </c>
      <c r="C7063" t="s">
        <v>12014</v>
      </c>
      <c r="D7063" t="s">
        <v>13</v>
      </c>
      <c r="E7063" t="s">
        <v>20</v>
      </c>
      <c r="F7063" t="s">
        <v>43</v>
      </c>
      <c r="G7063">
        <v>2</v>
      </c>
      <c r="H7063">
        <v>3259.43</v>
      </c>
      <c r="I7063">
        <v>600.39</v>
      </c>
      <c r="J7063" t="s">
        <v>71</v>
      </c>
      <c r="K7063" t="s">
        <v>17</v>
      </c>
      <c r="L7063">
        <f t="shared" si="330"/>
        <v>2024</v>
      </c>
      <c r="M7063" t="str">
        <f t="shared" si="331"/>
        <v>Mar</v>
      </c>
      <c r="N7063" s="2">
        <f t="shared" si="332"/>
        <v>0.18420091856551607</v>
      </c>
    </row>
    <row r="7064" spans="1:14" x14ac:dyDescent="0.45">
      <c r="A7064" t="s">
        <v>12015</v>
      </c>
      <c r="B7064" s="1">
        <v>44799</v>
      </c>
      <c r="C7064" t="s">
        <v>6494</v>
      </c>
      <c r="D7064" t="s">
        <v>26</v>
      </c>
      <c r="E7064" t="s">
        <v>36</v>
      </c>
      <c r="F7064" t="s">
        <v>64</v>
      </c>
      <c r="G7064">
        <v>3</v>
      </c>
      <c r="H7064">
        <v>7187.78</v>
      </c>
      <c r="I7064">
        <v>379.86</v>
      </c>
      <c r="J7064" t="s">
        <v>28</v>
      </c>
      <c r="K7064" t="s">
        <v>17</v>
      </c>
      <c r="L7064">
        <f t="shared" si="330"/>
        <v>2022</v>
      </c>
      <c r="M7064" t="str">
        <f t="shared" si="331"/>
        <v>Aug</v>
      </c>
      <c r="N7064" s="2">
        <f t="shared" si="332"/>
        <v>5.2848028181163034E-2</v>
      </c>
    </row>
    <row r="7065" spans="1:14" x14ac:dyDescent="0.45">
      <c r="A7065" t="s">
        <v>12016</v>
      </c>
      <c r="B7065" s="1">
        <v>44846</v>
      </c>
      <c r="C7065" t="s">
        <v>12017</v>
      </c>
      <c r="D7065" t="s">
        <v>26</v>
      </c>
      <c r="E7065" t="s">
        <v>14</v>
      </c>
      <c r="F7065" t="s">
        <v>40</v>
      </c>
      <c r="G7065">
        <v>5</v>
      </c>
      <c r="H7065">
        <v>5231.1099999999997</v>
      </c>
      <c r="I7065">
        <v>1028.4000000000001</v>
      </c>
      <c r="J7065" t="s">
        <v>16</v>
      </c>
      <c r="K7065" t="s">
        <v>23</v>
      </c>
      <c r="L7065">
        <f t="shared" si="330"/>
        <v>2022</v>
      </c>
      <c r="M7065" t="str">
        <f t="shared" si="331"/>
        <v>Oct</v>
      </c>
      <c r="N7065" s="2">
        <f t="shared" si="332"/>
        <v>0.19659307489232689</v>
      </c>
    </row>
    <row r="7066" spans="1:14" x14ac:dyDescent="0.45">
      <c r="A7066" t="s">
        <v>12018</v>
      </c>
      <c r="B7066" s="1">
        <v>45091</v>
      </c>
      <c r="C7066" t="s">
        <v>12019</v>
      </c>
      <c r="D7066" t="s">
        <v>13</v>
      </c>
      <c r="E7066" t="s">
        <v>14</v>
      </c>
      <c r="F7066" t="s">
        <v>32</v>
      </c>
      <c r="G7066">
        <v>3</v>
      </c>
      <c r="H7066">
        <v>24715.29</v>
      </c>
      <c r="I7066">
        <v>4431.07</v>
      </c>
      <c r="J7066" t="s">
        <v>28</v>
      </c>
      <c r="K7066" t="s">
        <v>17</v>
      </c>
      <c r="L7066">
        <f t="shared" si="330"/>
        <v>2023</v>
      </c>
      <c r="M7066" t="str">
        <f t="shared" si="331"/>
        <v>Jun</v>
      </c>
      <c r="N7066" s="2">
        <f t="shared" si="332"/>
        <v>0.17928456433244358</v>
      </c>
    </row>
    <row r="7067" spans="1:14" x14ac:dyDescent="0.45">
      <c r="A7067" t="s">
        <v>12020</v>
      </c>
      <c r="B7067" s="1">
        <v>44742</v>
      </c>
      <c r="C7067" t="s">
        <v>5274</v>
      </c>
      <c r="D7067" t="s">
        <v>56</v>
      </c>
      <c r="E7067" t="s">
        <v>36</v>
      </c>
      <c r="F7067" t="s">
        <v>64</v>
      </c>
      <c r="G7067">
        <v>4</v>
      </c>
      <c r="H7067">
        <v>45707.83</v>
      </c>
      <c r="I7067">
        <v>7308.76</v>
      </c>
      <c r="J7067" t="s">
        <v>71</v>
      </c>
      <c r="K7067" t="s">
        <v>17</v>
      </c>
      <c r="L7067">
        <f t="shared" si="330"/>
        <v>2022</v>
      </c>
      <c r="M7067" t="str">
        <f t="shared" si="331"/>
        <v>Jun</v>
      </c>
      <c r="N7067" s="2">
        <f t="shared" si="332"/>
        <v>0.15990170611906099</v>
      </c>
    </row>
    <row r="7068" spans="1:14" x14ac:dyDescent="0.45">
      <c r="A7068" t="s">
        <v>12021</v>
      </c>
      <c r="B7068" s="1">
        <v>45612</v>
      </c>
      <c r="C7068" t="s">
        <v>12022</v>
      </c>
      <c r="D7068" t="s">
        <v>26</v>
      </c>
      <c r="E7068" t="s">
        <v>20</v>
      </c>
      <c r="F7068" t="s">
        <v>43</v>
      </c>
      <c r="G7068">
        <v>5</v>
      </c>
      <c r="H7068">
        <v>10483.19</v>
      </c>
      <c r="I7068">
        <v>1168.33</v>
      </c>
      <c r="J7068" t="s">
        <v>47</v>
      </c>
      <c r="K7068" t="s">
        <v>17</v>
      </c>
      <c r="L7068">
        <f t="shared" si="330"/>
        <v>2024</v>
      </c>
      <c r="M7068" t="str">
        <f t="shared" si="331"/>
        <v>Nov</v>
      </c>
      <c r="N7068" s="2">
        <f t="shared" si="332"/>
        <v>0.11144794666508953</v>
      </c>
    </row>
    <row r="7069" spans="1:14" x14ac:dyDescent="0.45">
      <c r="A7069" t="s">
        <v>12023</v>
      </c>
      <c r="B7069" s="1">
        <v>44758</v>
      </c>
      <c r="C7069" t="s">
        <v>11269</v>
      </c>
      <c r="D7069" t="s">
        <v>26</v>
      </c>
      <c r="E7069" t="s">
        <v>36</v>
      </c>
      <c r="F7069" t="s">
        <v>46</v>
      </c>
      <c r="G7069">
        <v>2</v>
      </c>
      <c r="H7069">
        <v>8202.1</v>
      </c>
      <c r="I7069">
        <v>886.49</v>
      </c>
      <c r="J7069" t="s">
        <v>16</v>
      </c>
      <c r="K7069" t="s">
        <v>29</v>
      </c>
      <c r="L7069">
        <f t="shared" si="330"/>
        <v>2022</v>
      </c>
      <c r="M7069" t="str">
        <f t="shared" si="331"/>
        <v>Jul</v>
      </c>
      <c r="N7069" s="2">
        <f t="shared" si="332"/>
        <v>0.10808085734141257</v>
      </c>
    </row>
    <row r="7070" spans="1:14" x14ac:dyDescent="0.45">
      <c r="A7070" t="s">
        <v>12024</v>
      </c>
      <c r="B7070" s="1">
        <v>44910</v>
      </c>
      <c r="C7070" t="s">
        <v>12025</v>
      </c>
      <c r="D7070" t="s">
        <v>56</v>
      </c>
      <c r="E7070" t="s">
        <v>20</v>
      </c>
      <c r="F7070" t="s">
        <v>43</v>
      </c>
      <c r="G7070">
        <v>2</v>
      </c>
      <c r="H7070">
        <v>7970.95</v>
      </c>
      <c r="I7070">
        <v>1097.47</v>
      </c>
      <c r="J7070" t="s">
        <v>28</v>
      </c>
      <c r="K7070" t="s">
        <v>17</v>
      </c>
      <c r="L7070">
        <f t="shared" si="330"/>
        <v>2022</v>
      </c>
      <c r="M7070" t="str">
        <f t="shared" si="331"/>
        <v>Dec</v>
      </c>
      <c r="N7070" s="2">
        <f t="shared" si="332"/>
        <v>0.13768371398641316</v>
      </c>
    </row>
    <row r="7071" spans="1:14" x14ac:dyDescent="0.45">
      <c r="A7071" t="s">
        <v>12026</v>
      </c>
      <c r="B7071" s="1">
        <v>45305</v>
      </c>
      <c r="C7071" t="s">
        <v>12027</v>
      </c>
      <c r="D7071" t="s">
        <v>26</v>
      </c>
      <c r="E7071" t="s">
        <v>20</v>
      </c>
      <c r="F7071" t="s">
        <v>43</v>
      </c>
      <c r="G7071">
        <v>3</v>
      </c>
      <c r="H7071">
        <v>22905.24</v>
      </c>
      <c r="I7071">
        <v>5105.29</v>
      </c>
      <c r="J7071" t="s">
        <v>16</v>
      </c>
      <c r="K7071" t="s">
        <v>29</v>
      </c>
      <c r="L7071">
        <f t="shared" si="330"/>
        <v>2024</v>
      </c>
      <c r="M7071" t="str">
        <f t="shared" si="331"/>
        <v>Jan</v>
      </c>
      <c r="N7071" s="2">
        <f t="shared" si="332"/>
        <v>0.22288742663250852</v>
      </c>
    </row>
    <row r="7072" spans="1:14" x14ac:dyDescent="0.45">
      <c r="A7072" t="s">
        <v>12028</v>
      </c>
      <c r="B7072" s="1">
        <v>44683</v>
      </c>
      <c r="C7072" t="s">
        <v>5667</v>
      </c>
      <c r="D7072" t="s">
        <v>26</v>
      </c>
      <c r="E7072" t="s">
        <v>36</v>
      </c>
      <c r="F7072" t="s">
        <v>64</v>
      </c>
      <c r="G7072">
        <v>4</v>
      </c>
      <c r="H7072">
        <v>31291.85</v>
      </c>
      <c r="I7072">
        <v>3225.52</v>
      </c>
      <c r="J7072" t="s">
        <v>22</v>
      </c>
      <c r="K7072" t="s">
        <v>17</v>
      </c>
      <c r="L7072">
        <f t="shared" si="330"/>
        <v>2022</v>
      </c>
      <c r="M7072" t="str">
        <f t="shared" si="331"/>
        <v>May</v>
      </c>
      <c r="N7072" s="2">
        <f t="shared" si="332"/>
        <v>0.10307859714270649</v>
      </c>
    </row>
    <row r="7073" spans="1:14" x14ac:dyDescent="0.45">
      <c r="A7073" t="s">
        <v>12029</v>
      </c>
      <c r="B7073" s="1">
        <v>44984</v>
      </c>
      <c r="C7073" t="s">
        <v>6024</v>
      </c>
      <c r="D7073" t="s">
        <v>56</v>
      </c>
      <c r="E7073" t="s">
        <v>36</v>
      </c>
      <c r="F7073" t="s">
        <v>53</v>
      </c>
      <c r="G7073">
        <v>5</v>
      </c>
      <c r="H7073">
        <v>25152.29</v>
      </c>
      <c r="I7073">
        <v>5701.35</v>
      </c>
      <c r="J7073" t="s">
        <v>71</v>
      </c>
      <c r="K7073" t="s">
        <v>29</v>
      </c>
      <c r="L7073">
        <f t="shared" si="330"/>
        <v>2023</v>
      </c>
      <c r="M7073" t="str">
        <f t="shared" si="331"/>
        <v>Feb</v>
      </c>
      <c r="N7073" s="2">
        <f t="shared" si="332"/>
        <v>0.22667319754980561</v>
      </c>
    </row>
    <row r="7074" spans="1:14" x14ac:dyDescent="0.45">
      <c r="A7074" t="s">
        <v>12030</v>
      </c>
      <c r="B7074" s="1">
        <v>44947</v>
      </c>
      <c r="C7074" t="s">
        <v>846</v>
      </c>
      <c r="D7074" t="s">
        <v>56</v>
      </c>
      <c r="E7074" t="s">
        <v>20</v>
      </c>
      <c r="F7074" t="s">
        <v>27</v>
      </c>
      <c r="G7074">
        <v>1</v>
      </c>
      <c r="H7074">
        <v>46493.05</v>
      </c>
      <c r="I7074">
        <v>11113.71</v>
      </c>
      <c r="J7074" t="s">
        <v>71</v>
      </c>
      <c r="K7074" t="s">
        <v>23</v>
      </c>
      <c r="L7074">
        <f t="shared" si="330"/>
        <v>2023</v>
      </c>
      <c r="M7074" t="str">
        <f t="shared" si="331"/>
        <v>Jan</v>
      </c>
      <c r="N7074" s="2">
        <f t="shared" si="332"/>
        <v>0.23904024364931958</v>
      </c>
    </row>
    <row r="7075" spans="1:14" x14ac:dyDescent="0.45">
      <c r="A7075" t="s">
        <v>12031</v>
      </c>
      <c r="B7075" s="1">
        <v>45006</v>
      </c>
      <c r="C7075" t="s">
        <v>12032</v>
      </c>
      <c r="D7075" t="s">
        <v>13</v>
      </c>
      <c r="E7075" t="s">
        <v>14</v>
      </c>
      <c r="F7075" t="s">
        <v>57</v>
      </c>
      <c r="G7075">
        <v>2</v>
      </c>
      <c r="H7075">
        <v>889.64</v>
      </c>
      <c r="I7075">
        <v>65.650000000000006</v>
      </c>
      <c r="J7075" t="s">
        <v>47</v>
      </c>
      <c r="K7075" t="s">
        <v>33</v>
      </c>
      <c r="L7075">
        <f t="shared" si="330"/>
        <v>2023</v>
      </c>
      <c r="M7075" t="str">
        <f t="shared" si="331"/>
        <v>Mar</v>
      </c>
      <c r="N7075" s="2">
        <f t="shared" si="332"/>
        <v>7.3793894159435283E-2</v>
      </c>
    </row>
    <row r="7076" spans="1:14" x14ac:dyDescent="0.45">
      <c r="A7076" t="s">
        <v>12033</v>
      </c>
      <c r="B7076" s="1">
        <v>44910</v>
      </c>
      <c r="C7076" t="s">
        <v>12034</v>
      </c>
      <c r="D7076" t="s">
        <v>56</v>
      </c>
      <c r="E7076" t="s">
        <v>20</v>
      </c>
      <c r="F7076" t="s">
        <v>50</v>
      </c>
      <c r="G7076">
        <v>1</v>
      </c>
      <c r="H7076">
        <v>47907.6</v>
      </c>
      <c r="I7076">
        <v>9219.5400000000009</v>
      </c>
      <c r="J7076" t="s">
        <v>47</v>
      </c>
      <c r="K7076" t="s">
        <v>17</v>
      </c>
      <c r="L7076">
        <f t="shared" si="330"/>
        <v>2022</v>
      </c>
      <c r="M7076" t="str">
        <f t="shared" si="331"/>
        <v>Dec</v>
      </c>
      <c r="N7076" s="2">
        <f t="shared" si="332"/>
        <v>0.19244420509480753</v>
      </c>
    </row>
    <row r="7077" spans="1:14" x14ac:dyDescent="0.45">
      <c r="A7077" t="s">
        <v>12035</v>
      </c>
      <c r="B7077" s="1">
        <v>44637</v>
      </c>
      <c r="C7077" t="s">
        <v>10195</v>
      </c>
      <c r="D7077" t="s">
        <v>13</v>
      </c>
      <c r="E7077" t="s">
        <v>36</v>
      </c>
      <c r="F7077" t="s">
        <v>37</v>
      </c>
      <c r="G7077">
        <v>3</v>
      </c>
      <c r="H7077">
        <v>44546.5</v>
      </c>
      <c r="I7077">
        <v>10013.030000000001</v>
      </c>
      <c r="J7077" t="s">
        <v>47</v>
      </c>
      <c r="K7077" t="s">
        <v>23</v>
      </c>
      <c r="L7077">
        <f t="shared" si="330"/>
        <v>2022</v>
      </c>
      <c r="M7077" t="str">
        <f t="shared" si="331"/>
        <v>Mar</v>
      </c>
      <c r="N7077" s="2">
        <f t="shared" si="332"/>
        <v>0.22477703074315605</v>
      </c>
    </row>
    <row r="7078" spans="1:14" x14ac:dyDescent="0.45">
      <c r="A7078" t="s">
        <v>12036</v>
      </c>
      <c r="B7078" s="1">
        <v>44955</v>
      </c>
      <c r="C7078" t="s">
        <v>6239</v>
      </c>
      <c r="D7078" t="s">
        <v>56</v>
      </c>
      <c r="E7078" t="s">
        <v>20</v>
      </c>
      <c r="F7078" t="s">
        <v>21</v>
      </c>
      <c r="G7078">
        <v>4</v>
      </c>
      <c r="H7078">
        <v>37318.15</v>
      </c>
      <c r="I7078">
        <v>3435.6</v>
      </c>
      <c r="J7078" t="s">
        <v>22</v>
      </c>
      <c r="K7078" t="s">
        <v>23</v>
      </c>
      <c r="L7078">
        <f t="shared" si="330"/>
        <v>2023</v>
      </c>
      <c r="M7078" t="str">
        <f t="shared" si="331"/>
        <v>Jan</v>
      </c>
      <c r="N7078" s="2">
        <f t="shared" si="332"/>
        <v>9.206244146614985E-2</v>
      </c>
    </row>
    <row r="7079" spans="1:14" x14ac:dyDescent="0.45">
      <c r="A7079" t="s">
        <v>12037</v>
      </c>
      <c r="B7079" s="1">
        <v>45033</v>
      </c>
      <c r="C7079" t="s">
        <v>12038</v>
      </c>
      <c r="D7079" t="s">
        <v>26</v>
      </c>
      <c r="E7079" t="s">
        <v>20</v>
      </c>
      <c r="F7079" t="s">
        <v>50</v>
      </c>
      <c r="G7079">
        <v>2</v>
      </c>
      <c r="H7079">
        <v>44067.56</v>
      </c>
      <c r="I7079">
        <v>5021.62</v>
      </c>
      <c r="J7079" t="s">
        <v>22</v>
      </c>
      <c r="K7079" t="s">
        <v>29</v>
      </c>
      <c r="L7079">
        <f t="shared" si="330"/>
        <v>2023</v>
      </c>
      <c r="M7079" t="str">
        <f t="shared" si="331"/>
        <v>Apr</v>
      </c>
      <c r="N7079" s="2">
        <f t="shared" si="332"/>
        <v>0.11395275799250061</v>
      </c>
    </row>
    <row r="7080" spans="1:14" x14ac:dyDescent="0.45">
      <c r="A7080" t="s">
        <v>12039</v>
      </c>
      <c r="B7080" s="1">
        <v>45394</v>
      </c>
      <c r="C7080" t="s">
        <v>2091</v>
      </c>
      <c r="D7080" t="s">
        <v>26</v>
      </c>
      <c r="E7080" t="s">
        <v>14</v>
      </c>
      <c r="F7080" t="s">
        <v>15</v>
      </c>
      <c r="G7080">
        <v>2</v>
      </c>
      <c r="H7080">
        <v>31519.82</v>
      </c>
      <c r="I7080">
        <v>4655.46</v>
      </c>
      <c r="J7080" t="s">
        <v>71</v>
      </c>
      <c r="K7080" t="s">
        <v>17</v>
      </c>
      <c r="L7080">
        <f t="shared" si="330"/>
        <v>2024</v>
      </c>
      <c r="M7080" t="str">
        <f t="shared" si="331"/>
        <v>Apr</v>
      </c>
      <c r="N7080" s="2">
        <f t="shared" si="332"/>
        <v>0.14769944752222569</v>
      </c>
    </row>
    <row r="7081" spans="1:14" x14ac:dyDescent="0.45">
      <c r="A7081" t="s">
        <v>12040</v>
      </c>
      <c r="B7081" s="1">
        <v>45132</v>
      </c>
      <c r="C7081" t="s">
        <v>12041</v>
      </c>
      <c r="D7081" t="s">
        <v>13</v>
      </c>
      <c r="E7081" t="s">
        <v>20</v>
      </c>
      <c r="F7081" t="s">
        <v>50</v>
      </c>
      <c r="G7081">
        <v>4</v>
      </c>
      <c r="H7081">
        <v>4947.24</v>
      </c>
      <c r="I7081">
        <v>719.46</v>
      </c>
      <c r="J7081" t="s">
        <v>16</v>
      </c>
      <c r="K7081" t="s">
        <v>33</v>
      </c>
      <c r="L7081">
        <f t="shared" si="330"/>
        <v>2023</v>
      </c>
      <c r="M7081" t="str">
        <f t="shared" si="331"/>
        <v>Jul</v>
      </c>
      <c r="N7081" s="2">
        <f t="shared" si="332"/>
        <v>0.14542654085914572</v>
      </c>
    </row>
    <row r="7082" spans="1:14" x14ac:dyDescent="0.45">
      <c r="A7082" t="s">
        <v>12042</v>
      </c>
      <c r="B7082" s="1">
        <v>44919</v>
      </c>
      <c r="C7082" t="s">
        <v>12043</v>
      </c>
      <c r="D7082" t="s">
        <v>13</v>
      </c>
      <c r="E7082" t="s">
        <v>20</v>
      </c>
      <c r="F7082" t="s">
        <v>50</v>
      </c>
      <c r="G7082">
        <v>5</v>
      </c>
      <c r="H7082">
        <v>26818.76</v>
      </c>
      <c r="I7082">
        <v>6665.56</v>
      </c>
      <c r="J7082" t="s">
        <v>22</v>
      </c>
      <c r="K7082" t="s">
        <v>33</v>
      </c>
      <c r="L7082">
        <f t="shared" si="330"/>
        <v>2022</v>
      </c>
      <c r="M7082" t="str">
        <f t="shared" si="331"/>
        <v>Dec</v>
      </c>
      <c r="N7082" s="2">
        <f t="shared" si="332"/>
        <v>0.24854094671043706</v>
      </c>
    </row>
    <row r="7083" spans="1:14" x14ac:dyDescent="0.45">
      <c r="A7083" t="s">
        <v>12044</v>
      </c>
      <c r="B7083" s="1">
        <v>45642</v>
      </c>
      <c r="C7083" t="s">
        <v>2862</v>
      </c>
      <c r="D7083" t="s">
        <v>13</v>
      </c>
      <c r="E7083" t="s">
        <v>14</v>
      </c>
      <c r="F7083" t="s">
        <v>40</v>
      </c>
      <c r="G7083">
        <v>2</v>
      </c>
      <c r="H7083">
        <v>41680.33</v>
      </c>
      <c r="I7083">
        <v>5951.02</v>
      </c>
      <c r="J7083" t="s">
        <v>28</v>
      </c>
      <c r="K7083" t="s">
        <v>17</v>
      </c>
      <c r="L7083">
        <f t="shared" si="330"/>
        <v>2024</v>
      </c>
      <c r="M7083" t="str">
        <f t="shared" si="331"/>
        <v>Dec</v>
      </c>
      <c r="N7083" s="2">
        <f t="shared" si="332"/>
        <v>0.14277766034961817</v>
      </c>
    </row>
    <row r="7084" spans="1:14" x14ac:dyDescent="0.45">
      <c r="A7084" t="s">
        <v>12045</v>
      </c>
      <c r="B7084" s="1">
        <v>44838</v>
      </c>
      <c r="C7084" t="s">
        <v>12046</v>
      </c>
      <c r="D7084" t="s">
        <v>26</v>
      </c>
      <c r="E7084" t="s">
        <v>14</v>
      </c>
      <c r="F7084" t="s">
        <v>15</v>
      </c>
      <c r="G7084">
        <v>2</v>
      </c>
      <c r="H7084">
        <v>40890.800000000003</v>
      </c>
      <c r="I7084">
        <v>7514.23</v>
      </c>
      <c r="J7084" t="s">
        <v>47</v>
      </c>
      <c r="K7084" t="s">
        <v>33</v>
      </c>
      <c r="L7084">
        <f t="shared" si="330"/>
        <v>2022</v>
      </c>
      <c r="M7084" t="str">
        <f t="shared" si="331"/>
        <v>Oct</v>
      </c>
      <c r="N7084" s="2">
        <f t="shared" si="332"/>
        <v>0.18376334040908957</v>
      </c>
    </row>
    <row r="7085" spans="1:14" x14ac:dyDescent="0.45">
      <c r="A7085" t="s">
        <v>12047</v>
      </c>
      <c r="B7085" s="1">
        <v>44823</v>
      </c>
      <c r="C7085" t="s">
        <v>3098</v>
      </c>
      <c r="D7085" t="s">
        <v>26</v>
      </c>
      <c r="E7085" t="s">
        <v>20</v>
      </c>
      <c r="F7085" t="s">
        <v>43</v>
      </c>
      <c r="G7085">
        <v>3</v>
      </c>
      <c r="H7085">
        <v>33147.949999999997</v>
      </c>
      <c r="I7085">
        <v>4271.7700000000004</v>
      </c>
      <c r="J7085" t="s">
        <v>16</v>
      </c>
      <c r="K7085" t="s">
        <v>29</v>
      </c>
      <c r="L7085">
        <f t="shared" si="330"/>
        <v>2022</v>
      </c>
      <c r="M7085" t="str">
        <f t="shared" si="331"/>
        <v>Sep</v>
      </c>
      <c r="N7085" s="2">
        <f t="shared" si="332"/>
        <v>0.12886980944522966</v>
      </c>
    </row>
    <row r="7086" spans="1:14" x14ac:dyDescent="0.45">
      <c r="A7086" t="s">
        <v>12048</v>
      </c>
      <c r="B7086" s="1">
        <v>44760</v>
      </c>
      <c r="C7086" t="s">
        <v>842</v>
      </c>
      <c r="D7086" t="s">
        <v>13</v>
      </c>
      <c r="E7086" t="s">
        <v>14</v>
      </c>
      <c r="F7086" t="s">
        <v>32</v>
      </c>
      <c r="G7086">
        <v>2</v>
      </c>
      <c r="H7086">
        <v>1819.26</v>
      </c>
      <c r="I7086">
        <v>278.07</v>
      </c>
      <c r="J7086" t="s">
        <v>22</v>
      </c>
      <c r="K7086" t="s">
        <v>29</v>
      </c>
      <c r="L7086">
        <f t="shared" si="330"/>
        <v>2022</v>
      </c>
      <c r="M7086" t="str">
        <f t="shared" si="331"/>
        <v>Jul</v>
      </c>
      <c r="N7086" s="2">
        <f t="shared" si="332"/>
        <v>0.15284786121829755</v>
      </c>
    </row>
    <row r="7087" spans="1:14" x14ac:dyDescent="0.45">
      <c r="A7087" t="s">
        <v>12049</v>
      </c>
      <c r="B7087" s="1">
        <v>45412</v>
      </c>
      <c r="C7087" t="s">
        <v>12050</v>
      </c>
      <c r="D7087" t="s">
        <v>26</v>
      </c>
      <c r="E7087" t="s">
        <v>20</v>
      </c>
      <c r="F7087" t="s">
        <v>21</v>
      </c>
      <c r="G7087">
        <v>4</v>
      </c>
      <c r="H7087">
        <v>18062.88</v>
      </c>
      <c r="I7087">
        <v>2606.5</v>
      </c>
      <c r="J7087" t="s">
        <v>22</v>
      </c>
      <c r="K7087" t="s">
        <v>33</v>
      </c>
      <c r="L7087">
        <f t="shared" si="330"/>
        <v>2024</v>
      </c>
      <c r="M7087" t="str">
        <f t="shared" si="331"/>
        <v>Apr</v>
      </c>
      <c r="N7087" s="2">
        <f t="shared" si="332"/>
        <v>0.14430146244674161</v>
      </c>
    </row>
    <row r="7088" spans="1:14" x14ac:dyDescent="0.45">
      <c r="A7088" t="s">
        <v>12051</v>
      </c>
      <c r="B7088" s="1">
        <v>45594</v>
      </c>
      <c r="C7088" t="s">
        <v>12052</v>
      </c>
      <c r="D7088" t="s">
        <v>26</v>
      </c>
      <c r="E7088" t="s">
        <v>36</v>
      </c>
      <c r="F7088" t="s">
        <v>64</v>
      </c>
      <c r="G7088">
        <v>5</v>
      </c>
      <c r="H7088">
        <v>29364.68</v>
      </c>
      <c r="I7088">
        <v>3565.2</v>
      </c>
      <c r="J7088" t="s">
        <v>16</v>
      </c>
      <c r="K7088" t="s">
        <v>33</v>
      </c>
      <c r="L7088">
        <f t="shared" si="330"/>
        <v>2024</v>
      </c>
      <c r="M7088" t="str">
        <f t="shared" si="331"/>
        <v>Oct</v>
      </c>
      <c r="N7088" s="2">
        <f t="shared" si="332"/>
        <v>0.1214111647053535</v>
      </c>
    </row>
    <row r="7089" spans="1:14" x14ac:dyDescent="0.45">
      <c r="A7089" t="s">
        <v>12053</v>
      </c>
      <c r="B7089" s="1">
        <v>45388</v>
      </c>
      <c r="C7089" t="s">
        <v>12054</v>
      </c>
      <c r="D7089" t="s">
        <v>56</v>
      </c>
      <c r="E7089" t="s">
        <v>36</v>
      </c>
      <c r="F7089" t="s">
        <v>37</v>
      </c>
      <c r="G7089">
        <v>5</v>
      </c>
      <c r="H7089">
        <v>24028.27</v>
      </c>
      <c r="I7089">
        <v>2855.16</v>
      </c>
      <c r="J7089" t="s">
        <v>47</v>
      </c>
      <c r="K7089" t="s">
        <v>33</v>
      </c>
      <c r="L7089">
        <f t="shared" si="330"/>
        <v>2024</v>
      </c>
      <c r="M7089" t="str">
        <f t="shared" si="331"/>
        <v>Apr</v>
      </c>
      <c r="N7089" s="2">
        <f t="shared" si="332"/>
        <v>0.11882503401202001</v>
      </c>
    </row>
    <row r="7090" spans="1:14" x14ac:dyDescent="0.45">
      <c r="A7090" t="s">
        <v>12055</v>
      </c>
      <c r="B7090" s="1">
        <v>44715</v>
      </c>
      <c r="C7090" t="s">
        <v>9369</v>
      </c>
      <c r="D7090" t="s">
        <v>26</v>
      </c>
      <c r="E7090" t="s">
        <v>20</v>
      </c>
      <c r="F7090" t="s">
        <v>27</v>
      </c>
      <c r="G7090">
        <v>2</v>
      </c>
      <c r="H7090">
        <v>38700.589999999997</v>
      </c>
      <c r="I7090">
        <v>3951.73</v>
      </c>
      <c r="J7090" t="s">
        <v>16</v>
      </c>
      <c r="K7090" t="s">
        <v>17</v>
      </c>
      <c r="L7090">
        <f t="shared" si="330"/>
        <v>2022</v>
      </c>
      <c r="M7090" t="str">
        <f t="shared" si="331"/>
        <v>Jun</v>
      </c>
      <c r="N7090" s="2">
        <f t="shared" si="332"/>
        <v>0.10211032958412262</v>
      </c>
    </row>
    <row r="7091" spans="1:14" x14ac:dyDescent="0.45">
      <c r="A7091" t="s">
        <v>12056</v>
      </c>
      <c r="B7091" s="1">
        <v>45251</v>
      </c>
      <c r="C7091" t="s">
        <v>8587</v>
      </c>
      <c r="D7091" t="s">
        <v>13</v>
      </c>
      <c r="E7091" t="s">
        <v>36</v>
      </c>
      <c r="F7091" t="s">
        <v>64</v>
      </c>
      <c r="G7091">
        <v>3</v>
      </c>
      <c r="H7091">
        <v>40560.49</v>
      </c>
      <c r="I7091">
        <v>8208.9</v>
      </c>
      <c r="J7091" t="s">
        <v>71</v>
      </c>
      <c r="K7091" t="s">
        <v>17</v>
      </c>
      <c r="L7091">
        <f t="shared" si="330"/>
        <v>2023</v>
      </c>
      <c r="M7091" t="str">
        <f t="shared" si="331"/>
        <v>Nov</v>
      </c>
      <c r="N7091" s="2">
        <f t="shared" si="332"/>
        <v>0.20238660824856899</v>
      </c>
    </row>
    <row r="7092" spans="1:14" x14ac:dyDescent="0.45">
      <c r="A7092" t="s">
        <v>12057</v>
      </c>
      <c r="B7092" s="1">
        <v>45047</v>
      </c>
      <c r="C7092" t="s">
        <v>6872</v>
      </c>
      <c r="D7092" t="s">
        <v>13</v>
      </c>
      <c r="E7092" t="s">
        <v>14</v>
      </c>
      <c r="F7092" t="s">
        <v>57</v>
      </c>
      <c r="G7092">
        <v>1</v>
      </c>
      <c r="H7092">
        <v>18926.78</v>
      </c>
      <c r="I7092">
        <v>3123.03</v>
      </c>
      <c r="J7092" t="s">
        <v>28</v>
      </c>
      <c r="K7092" t="s">
        <v>33</v>
      </c>
      <c r="L7092">
        <f t="shared" si="330"/>
        <v>2023</v>
      </c>
      <c r="M7092" t="str">
        <f t="shared" si="331"/>
        <v>May</v>
      </c>
      <c r="N7092" s="2">
        <f t="shared" si="332"/>
        <v>0.16500588055654478</v>
      </c>
    </row>
    <row r="7093" spans="1:14" x14ac:dyDescent="0.45">
      <c r="A7093" t="s">
        <v>12058</v>
      </c>
      <c r="B7093" s="1">
        <v>45295</v>
      </c>
      <c r="C7093" t="s">
        <v>3300</v>
      </c>
      <c r="D7093" t="s">
        <v>13</v>
      </c>
      <c r="E7093" t="s">
        <v>20</v>
      </c>
      <c r="F7093" t="s">
        <v>43</v>
      </c>
      <c r="G7093">
        <v>4</v>
      </c>
      <c r="H7093">
        <v>38513.910000000003</v>
      </c>
      <c r="I7093">
        <v>2749.62</v>
      </c>
      <c r="J7093" t="s">
        <v>47</v>
      </c>
      <c r="K7093" t="s">
        <v>33</v>
      </c>
      <c r="L7093">
        <f t="shared" si="330"/>
        <v>2024</v>
      </c>
      <c r="M7093" t="str">
        <f t="shared" si="331"/>
        <v>Jan</v>
      </c>
      <c r="N7093" s="2">
        <f t="shared" si="332"/>
        <v>7.1392907134071815E-2</v>
      </c>
    </row>
    <row r="7094" spans="1:14" x14ac:dyDescent="0.45">
      <c r="A7094" t="s">
        <v>12059</v>
      </c>
      <c r="B7094" s="1">
        <v>45245</v>
      </c>
      <c r="C7094" t="s">
        <v>12060</v>
      </c>
      <c r="D7094" t="s">
        <v>13</v>
      </c>
      <c r="E7094" t="s">
        <v>20</v>
      </c>
      <c r="F7094" t="s">
        <v>50</v>
      </c>
      <c r="G7094">
        <v>3</v>
      </c>
      <c r="H7094">
        <v>49893.79</v>
      </c>
      <c r="I7094">
        <v>10506.67</v>
      </c>
      <c r="J7094" t="s">
        <v>22</v>
      </c>
      <c r="K7094" t="s">
        <v>29</v>
      </c>
      <c r="L7094">
        <f t="shared" si="330"/>
        <v>2023</v>
      </c>
      <c r="M7094" t="str">
        <f t="shared" si="331"/>
        <v>Nov</v>
      </c>
      <c r="N7094" s="2">
        <f t="shared" si="332"/>
        <v>0.21058071555598401</v>
      </c>
    </row>
    <row r="7095" spans="1:14" x14ac:dyDescent="0.45">
      <c r="A7095" t="s">
        <v>12061</v>
      </c>
      <c r="B7095" s="1">
        <v>45177</v>
      </c>
      <c r="C7095" t="s">
        <v>12062</v>
      </c>
      <c r="D7095" t="s">
        <v>56</v>
      </c>
      <c r="E7095" t="s">
        <v>20</v>
      </c>
      <c r="F7095" t="s">
        <v>21</v>
      </c>
      <c r="G7095">
        <v>4</v>
      </c>
      <c r="H7095">
        <v>790.04</v>
      </c>
      <c r="I7095">
        <v>82.28</v>
      </c>
      <c r="J7095" t="s">
        <v>47</v>
      </c>
      <c r="K7095" t="s">
        <v>17</v>
      </c>
      <c r="L7095">
        <f t="shared" si="330"/>
        <v>2023</v>
      </c>
      <c r="M7095" t="str">
        <f t="shared" si="331"/>
        <v>Sep</v>
      </c>
      <c r="N7095" s="2">
        <f t="shared" si="332"/>
        <v>0.10414662548731711</v>
      </c>
    </row>
    <row r="7096" spans="1:14" x14ac:dyDescent="0.45">
      <c r="A7096" t="s">
        <v>12063</v>
      </c>
      <c r="B7096" s="1">
        <v>45581</v>
      </c>
      <c r="C7096" t="s">
        <v>12064</v>
      </c>
      <c r="D7096" t="s">
        <v>26</v>
      </c>
      <c r="E7096" t="s">
        <v>20</v>
      </c>
      <c r="F7096" t="s">
        <v>43</v>
      </c>
      <c r="G7096">
        <v>2</v>
      </c>
      <c r="H7096">
        <v>8514.93</v>
      </c>
      <c r="I7096">
        <v>1528.4</v>
      </c>
      <c r="J7096" t="s">
        <v>16</v>
      </c>
      <c r="K7096" t="s">
        <v>17</v>
      </c>
      <c r="L7096">
        <f t="shared" si="330"/>
        <v>2024</v>
      </c>
      <c r="M7096" t="str">
        <f t="shared" si="331"/>
        <v>Oct</v>
      </c>
      <c r="N7096" s="2">
        <f t="shared" si="332"/>
        <v>0.17949648441032398</v>
      </c>
    </row>
    <row r="7097" spans="1:14" x14ac:dyDescent="0.45">
      <c r="A7097" t="s">
        <v>12065</v>
      </c>
      <c r="B7097" s="1">
        <v>45510</v>
      </c>
      <c r="C7097" t="s">
        <v>5725</v>
      </c>
      <c r="D7097" t="s">
        <v>13</v>
      </c>
      <c r="E7097" t="s">
        <v>36</v>
      </c>
      <c r="F7097" t="s">
        <v>37</v>
      </c>
      <c r="G7097">
        <v>4</v>
      </c>
      <c r="H7097">
        <v>49026.32</v>
      </c>
      <c r="I7097">
        <v>5680.62</v>
      </c>
      <c r="J7097" t="s">
        <v>71</v>
      </c>
      <c r="K7097" t="s">
        <v>33</v>
      </c>
      <c r="L7097">
        <f t="shared" si="330"/>
        <v>2024</v>
      </c>
      <c r="M7097" t="str">
        <f t="shared" si="331"/>
        <v>Aug</v>
      </c>
      <c r="N7097" s="2">
        <f t="shared" si="332"/>
        <v>0.11586878231937457</v>
      </c>
    </row>
    <row r="7098" spans="1:14" x14ac:dyDescent="0.45">
      <c r="A7098" t="s">
        <v>12066</v>
      </c>
      <c r="B7098" s="1">
        <v>44732</v>
      </c>
      <c r="C7098" t="s">
        <v>612</v>
      </c>
      <c r="D7098" t="s">
        <v>26</v>
      </c>
      <c r="E7098" t="s">
        <v>14</v>
      </c>
      <c r="F7098" t="s">
        <v>40</v>
      </c>
      <c r="G7098">
        <v>2</v>
      </c>
      <c r="H7098">
        <v>44361.59</v>
      </c>
      <c r="I7098">
        <v>3277.08</v>
      </c>
      <c r="J7098" t="s">
        <v>16</v>
      </c>
      <c r="K7098" t="s">
        <v>23</v>
      </c>
      <c r="L7098">
        <f t="shared" si="330"/>
        <v>2022</v>
      </c>
      <c r="M7098" t="str">
        <f t="shared" si="331"/>
        <v>Jun</v>
      </c>
      <c r="N7098" s="2">
        <f t="shared" si="332"/>
        <v>7.3872014055402432E-2</v>
      </c>
    </row>
    <row r="7099" spans="1:14" x14ac:dyDescent="0.45">
      <c r="A7099" t="s">
        <v>12067</v>
      </c>
      <c r="B7099" s="1">
        <v>45022</v>
      </c>
      <c r="C7099" t="s">
        <v>7370</v>
      </c>
      <c r="D7099" t="s">
        <v>56</v>
      </c>
      <c r="E7099" t="s">
        <v>36</v>
      </c>
      <c r="F7099" t="s">
        <v>64</v>
      </c>
      <c r="G7099">
        <v>4</v>
      </c>
      <c r="H7099">
        <v>6320.23</v>
      </c>
      <c r="I7099">
        <v>1413.32</v>
      </c>
      <c r="J7099" t="s">
        <v>22</v>
      </c>
      <c r="K7099" t="s">
        <v>17</v>
      </c>
      <c r="L7099">
        <f t="shared" si="330"/>
        <v>2023</v>
      </c>
      <c r="M7099" t="str">
        <f t="shared" si="331"/>
        <v>Apr</v>
      </c>
      <c r="N7099" s="2">
        <f t="shared" si="332"/>
        <v>0.22361844426547769</v>
      </c>
    </row>
    <row r="7100" spans="1:14" x14ac:dyDescent="0.45">
      <c r="A7100" t="s">
        <v>12068</v>
      </c>
      <c r="B7100" s="1">
        <v>44912</v>
      </c>
      <c r="C7100" t="s">
        <v>4936</v>
      </c>
      <c r="D7100" t="s">
        <v>13</v>
      </c>
      <c r="E7100" t="s">
        <v>36</v>
      </c>
      <c r="F7100" t="s">
        <v>53</v>
      </c>
      <c r="G7100">
        <v>2</v>
      </c>
      <c r="H7100">
        <v>31765.22</v>
      </c>
      <c r="I7100">
        <v>7404.9</v>
      </c>
      <c r="J7100" t="s">
        <v>47</v>
      </c>
      <c r="K7100" t="s">
        <v>23</v>
      </c>
      <c r="L7100">
        <f t="shared" si="330"/>
        <v>2022</v>
      </c>
      <c r="M7100" t="str">
        <f t="shared" si="331"/>
        <v>Dec</v>
      </c>
      <c r="N7100" s="2">
        <f t="shared" si="332"/>
        <v>0.23311344923787714</v>
      </c>
    </row>
    <row r="7101" spans="1:14" x14ac:dyDescent="0.45">
      <c r="A7101" t="s">
        <v>12069</v>
      </c>
      <c r="B7101" s="1">
        <v>45004</v>
      </c>
      <c r="C7101" t="s">
        <v>11923</v>
      </c>
      <c r="D7101" t="s">
        <v>56</v>
      </c>
      <c r="E7101" t="s">
        <v>20</v>
      </c>
      <c r="F7101" t="s">
        <v>27</v>
      </c>
      <c r="G7101">
        <v>3</v>
      </c>
      <c r="H7101">
        <v>28492.04</v>
      </c>
      <c r="I7101">
        <v>3292.05</v>
      </c>
      <c r="J7101" t="s">
        <v>47</v>
      </c>
      <c r="K7101" t="s">
        <v>23</v>
      </c>
      <c r="L7101">
        <f t="shared" si="330"/>
        <v>2023</v>
      </c>
      <c r="M7101" t="str">
        <f t="shared" si="331"/>
        <v>Mar</v>
      </c>
      <c r="N7101" s="2">
        <f t="shared" si="332"/>
        <v>0.11554279721634533</v>
      </c>
    </row>
    <row r="7102" spans="1:14" x14ac:dyDescent="0.45">
      <c r="A7102" t="s">
        <v>12070</v>
      </c>
      <c r="B7102" s="1">
        <v>44719</v>
      </c>
      <c r="C7102" t="s">
        <v>510</v>
      </c>
      <c r="D7102" t="s">
        <v>13</v>
      </c>
      <c r="E7102" t="s">
        <v>14</v>
      </c>
      <c r="F7102" t="s">
        <v>40</v>
      </c>
      <c r="G7102">
        <v>1</v>
      </c>
      <c r="H7102">
        <v>38055.440000000002</v>
      </c>
      <c r="I7102">
        <v>9437.91</v>
      </c>
      <c r="J7102" t="s">
        <v>71</v>
      </c>
      <c r="K7102" t="s">
        <v>23</v>
      </c>
      <c r="L7102">
        <f t="shared" si="330"/>
        <v>2022</v>
      </c>
      <c r="M7102" t="str">
        <f t="shared" si="331"/>
        <v>Jun</v>
      </c>
      <c r="N7102" s="2">
        <f t="shared" si="332"/>
        <v>0.24800422751648646</v>
      </c>
    </row>
    <row r="7103" spans="1:14" x14ac:dyDescent="0.45">
      <c r="A7103" t="s">
        <v>12071</v>
      </c>
      <c r="B7103" s="1">
        <v>44587</v>
      </c>
      <c r="C7103" t="s">
        <v>1266</v>
      </c>
      <c r="D7103" t="s">
        <v>13</v>
      </c>
      <c r="E7103" t="s">
        <v>20</v>
      </c>
      <c r="F7103" t="s">
        <v>21</v>
      </c>
      <c r="G7103">
        <v>4</v>
      </c>
      <c r="H7103">
        <v>48279.95</v>
      </c>
      <c r="I7103">
        <v>9000.8799999999992</v>
      </c>
      <c r="J7103" t="s">
        <v>22</v>
      </c>
      <c r="K7103" t="s">
        <v>33</v>
      </c>
      <c r="L7103">
        <f t="shared" si="330"/>
        <v>2022</v>
      </c>
      <c r="M7103" t="str">
        <f t="shared" si="331"/>
        <v>Jan</v>
      </c>
      <c r="N7103" s="2">
        <f t="shared" si="332"/>
        <v>0.18643101328812478</v>
      </c>
    </row>
    <row r="7104" spans="1:14" x14ac:dyDescent="0.45">
      <c r="A7104" t="s">
        <v>12072</v>
      </c>
      <c r="B7104" s="1">
        <v>44902</v>
      </c>
      <c r="C7104" t="s">
        <v>12073</v>
      </c>
      <c r="D7104" t="s">
        <v>13</v>
      </c>
      <c r="E7104" t="s">
        <v>14</v>
      </c>
      <c r="F7104" t="s">
        <v>40</v>
      </c>
      <c r="G7104">
        <v>1</v>
      </c>
      <c r="H7104">
        <v>13479.99</v>
      </c>
      <c r="I7104">
        <v>2098.1799999999998</v>
      </c>
      <c r="J7104" t="s">
        <v>22</v>
      </c>
      <c r="K7104" t="s">
        <v>23</v>
      </c>
      <c r="L7104">
        <f t="shared" si="330"/>
        <v>2022</v>
      </c>
      <c r="M7104" t="str">
        <f t="shared" si="331"/>
        <v>Dec</v>
      </c>
      <c r="N7104" s="2">
        <f t="shared" si="332"/>
        <v>0.155651450780008</v>
      </c>
    </row>
    <row r="7105" spans="1:14" x14ac:dyDescent="0.45">
      <c r="A7105" t="s">
        <v>12074</v>
      </c>
      <c r="B7105" s="1">
        <v>44934</v>
      </c>
      <c r="C7105" t="s">
        <v>5090</v>
      </c>
      <c r="D7105" t="s">
        <v>26</v>
      </c>
      <c r="E7105" t="s">
        <v>20</v>
      </c>
      <c r="F7105" t="s">
        <v>50</v>
      </c>
      <c r="G7105">
        <v>3</v>
      </c>
      <c r="H7105">
        <v>32730.400000000001</v>
      </c>
      <c r="I7105">
        <v>3376.33</v>
      </c>
      <c r="J7105" t="s">
        <v>47</v>
      </c>
      <c r="K7105" t="s">
        <v>23</v>
      </c>
      <c r="L7105">
        <f t="shared" si="330"/>
        <v>2023</v>
      </c>
      <c r="M7105" t="str">
        <f t="shared" si="331"/>
        <v>Jan</v>
      </c>
      <c r="N7105" s="2">
        <f t="shared" si="332"/>
        <v>0.10315578178085205</v>
      </c>
    </row>
    <row r="7106" spans="1:14" x14ac:dyDescent="0.45">
      <c r="A7106" t="s">
        <v>12075</v>
      </c>
      <c r="B7106" s="1">
        <v>45555</v>
      </c>
      <c r="C7106" t="s">
        <v>12076</v>
      </c>
      <c r="D7106" t="s">
        <v>26</v>
      </c>
      <c r="E7106" t="s">
        <v>20</v>
      </c>
      <c r="F7106" t="s">
        <v>50</v>
      </c>
      <c r="G7106">
        <v>4</v>
      </c>
      <c r="H7106">
        <v>47488.28</v>
      </c>
      <c r="I7106">
        <v>4036.1</v>
      </c>
      <c r="J7106" t="s">
        <v>71</v>
      </c>
      <c r="K7106" t="s">
        <v>17</v>
      </c>
      <c r="L7106">
        <f t="shared" si="330"/>
        <v>2024</v>
      </c>
      <c r="M7106" t="str">
        <f t="shared" si="331"/>
        <v>Sep</v>
      </c>
      <c r="N7106" s="2">
        <f t="shared" si="332"/>
        <v>8.4991496849327872E-2</v>
      </c>
    </row>
    <row r="7107" spans="1:14" x14ac:dyDescent="0.45">
      <c r="A7107" t="s">
        <v>12077</v>
      </c>
      <c r="B7107" s="1">
        <v>45095</v>
      </c>
      <c r="C7107" t="s">
        <v>9087</v>
      </c>
      <c r="D7107" t="s">
        <v>13</v>
      </c>
      <c r="E7107" t="s">
        <v>36</v>
      </c>
      <c r="F7107" t="s">
        <v>53</v>
      </c>
      <c r="G7107">
        <v>5</v>
      </c>
      <c r="H7107">
        <v>2430.7199999999998</v>
      </c>
      <c r="I7107">
        <v>206.73</v>
      </c>
      <c r="J7107" t="s">
        <v>28</v>
      </c>
      <c r="K7107" t="s">
        <v>17</v>
      </c>
      <c r="L7107">
        <f t="shared" ref="L7107:L7170" si="333">YEAR(B7107 )</f>
        <v>2023</v>
      </c>
      <c r="M7107" t="str">
        <f t="shared" ref="M7107:M7170" si="334">TEXT(B7107,"MMM")</f>
        <v>Jun</v>
      </c>
      <c r="N7107" s="2">
        <f t="shared" ref="N7107:N7170" si="335">I7107 / H7107</f>
        <v>8.5048874407582936E-2</v>
      </c>
    </row>
    <row r="7108" spans="1:14" x14ac:dyDescent="0.45">
      <c r="A7108" t="s">
        <v>12078</v>
      </c>
      <c r="B7108" s="1">
        <v>45628</v>
      </c>
      <c r="C7108" t="s">
        <v>2667</v>
      </c>
      <c r="D7108" t="s">
        <v>13</v>
      </c>
      <c r="E7108" t="s">
        <v>20</v>
      </c>
      <c r="F7108" t="s">
        <v>43</v>
      </c>
      <c r="G7108">
        <v>5</v>
      </c>
      <c r="H7108">
        <v>45817.63</v>
      </c>
      <c r="I7108">
        <v>8207.2000000000007</v>
      </c>
      <c r="J7108" t="s">
        <v>47</v>
      </c>
      <c r="K7108" t="s">
        <v>33</v>
      </c>
      <c r="L7108">
        <f t="shared" si="333"/>
        <v>2024</v>
      </c>
      <c r="M7108" t="str">
        <f t="shared" si="334"/>
        <v>Dec</v>
      </c>
      <c r="N7108" s="2">
        <f t="shared" si="335"/>
        <v>0.17912755417510687</v>
      </c>
    </row>
    <row r="7109" spans="1:14" x14ac:dyDescent="0.45">
      <c r="A7109" t="s">
        <v>12079</v>
      </c>
      <c r="B7109" s="1">
        <v>44855</v>
      </c>
      <c r="C7109" t="s">
        <v>10673</v>
      </c>
      <c r="D7109" t="s">
        <v>26</v>
      </c>
      <c r="E7109" t="s">
        <v>20</v>
      </c>
      <c r="F7109" t="s">
        <v>27</v>
      </c>
      <c r="G7109">
        <v>4</v>
      </c>
      <c r="H7109">
        <v>30864.03</v>
      </c>
      <c r="I7109">
        <v>4164.7</v>
      </c>
      <c r="J7109" t="s">
        <v>71</v>
      </c>
      <c r="K7109" t="s">
        <v>17</v>
      </c>
      <c r="L7109">
        <f t="shared" si="333"/>
        <v>2022</v>
      </c>
      <c r="M7109" t="str">
        <f t="shared" si="334"/>
        <v>Oct</v>
      </c>
      <c r="N7109" s="2">
        <f t="shared" si="335"/>
        <v>0.13493701243810352</v>
      </c>
    </row>
    <row r="7110" spans="1:14" x14ac:dyDescent="0.45">
      <c r="A7110" t="s">
        <v>12080</v>
      </c>
      <c r="B7110" s="1">
        <v>45363</v>
      </c>
      <c r="C7110" t="s">
        <v>2943</v>
      </c>
      <c r="D7110" t="s">
        <v>56</v>
      </c>
      <c r="E7110" t="s">
        <v>36</v>
      </c>
      <c r="F7110" t="s">
        <v>46</v>
      </c>
      <c r="G7110">
        <v>3</v>
      </c>
      <c r="H7110">
        <v>3039.14</v>
      </c>
      <c r="I7110">
        <v>204.99</v>
      </c>
      <c r="J7110" t="s">
        <v>71</v>
      </c>
      <c r="K7110" t="s">
        <v>17</v>
      </c>
      <c r="L7110">
        <f t="shared" si="333"/>
        <v>2024</v>
      </c>
      <c r="M7110" t="str">
        <f t="shared" si="334"/>
        <v>Mar</v>
      </c>
      <c r="N7110" s="2">
        <f t="shared" si="335"/>
        <v>6.7450002303283171E-2</v>
      </c>
    </row>
    <row r="7111" spans="1:14" x14ac:dyDescent="0.45">
      <c r="A7111" t="s">
        <v>12081</v>
      </c>
      <c r="B7111" s="1">
        <v>44593</v>
      </c>
      <c r="C7111" t="s">
        <v>856</v>
      </c>
      <c r="D7111" t="s">
        <v>56</v>
      </c>
      <c r="E7111" t="s">
        <v>14</v>
      </c>
      <c r="F7111" t="s">
        <v>15</v>
      </c>
      <c r="G7111">
        <v>3</v>
      </c>
      <c r="H7111">
        <v>34807.730000000003</v>
      </c>
      <c r="I7111">
        <v>3915</v>
      </c>
      <c r="J7111" t="s">
        <v>28</v>
      </c>
      <c r="K7111" t="s">
        <v>29</v>
      </c>
      <c r="L7111">
        <f t="shared" si="333"/>
        <v>2022</v>
      </c>
      <c r="M7111" t="str">
        <f t="shared" si="334"/>
        <v>Feb</v>
      </c>
      <c r="N7111" s="2">
        <f t="shared" si="335"/>
        <v>0.11247501632539668</v>
      </c>
    </row>
    <row r="7112" spans="1:14" x14ac:dyDescent="0.45">
      <c r="A7112" t="s">
        <v>12082</v>
      </c>
      <c r="B7112" s="1">
        <v>45572</v>
      </c>
      <c r="C7112" t="s">
        <v>12083</v>
      </c>
      <c r="D7112" t="s">
        <v>56</v>
      </c>
      <c r="E7112" t="s">
        <v>36</v>
      </c>
      <c r="F7112" t="s">
        <v>53</v>
      </c>
      <c r="G7112">
        <v>3</v>
      </c>
      <c r="H7112">
        <v>10683.28</v>
      </c>
      <c r="I7112">
        <v>830.01</v>
      </c>
      <c r="J7112" t="s">
        <v>47</v>
      </c>
      <c r="K7112" t="s">
        <v>17</v>
      </c>
      <c r="L7112">
        <f t="shared" si="333"/>
        <v>2024</v>
      </c>
      <c r="M7112" t="str">
        <f t="shared" si="334"/>
        <v>Oct</v>
      </c>
      <c r="N7112" s="2">
        <f t="shared" si="335"/>
        <v>7.7692431537879747E-2</v>
      </c>
    </row>
    <row r="7113" spans="1:14" x14ac:dyDescent="0.45">
      <c r="A7113" t="s">
        <v>12084</v>
      </c>
      <c r="B7113" s="1">
        <v>45156</v>
      </c>
      <c r="C7113" t="s">
        <v>11206</v>
      </c>
      <c r="D7113" t="s">
        <v>13</v>
      </c>
      <c r="E7113" t="s">
        <v>36</v>
      </c>
      <c r="F7113" t="s">
        <v>64</v>
      </c>
      <c r="G7113">
        <v>3</v>
      </c>
      <c r="H7113">
        <v>48172.57</v>
      </c>
      <c r="I7113">
        <v>8081.45</v>
      </c>
      <c r="J7113" t="s">
        <v>71</v>
      </c>
      <c r="K7113" t="s">
        <v>23</v>
      </c>
      <c r="L7113">
        <f t="shared" si="333"/>
        <v>2023</v>
      </c>
      <c r="M7113" t="str">
        <f t="shared" si="334"/>
        <v>Aug</v>
      </c>
      <c r="N7113" s="2">
        <f t="shared" si="335"/>
        <v>0.16776040804964318</v>
      </c>
    </row>
    <row r="7114" spans="1:14" x14ac:dyDescent="0.45">
      <c r="A7114" t="s">
        <v>12085</v>
      </c>
      <c r="B7114" s="1">
        <v>44810</v>
      </c>
      <c r="C7114" t="s">
        <v>12086</v>
      </c>
      <c r="D7114" t="s">
        <v>56</v>
      </c>
      <c r="E7114" t="s">
        <v>20</v>
      </c>
      <c r="F7114" t="s">
        <v>21</v>
      </c>
      <c r="G7114">
        <v>5</v>
      </c>
      <c r="H7114">
        <v>17141.580000000002</v>
      </c>
      <c r="I7114">
        <v>2355.8200000000002</v>
      </c>
      <c r="J7114" t="s">
        <v>16</v>
      </c>
      <c r="K7114" t="s">
        <v>23</v>
      </c>
      <c r="L7114">
        <f t="shared" si="333"/>
        <v>2022</v>
      </c>
      <c r="M7114" t="str">
        <f t="shared" si="334"/>
        <v>Sep</v>
      </c>
      <c r="N7114" s="2">
        <f t="shared" si="335"/>
        <v>0.13743307209720457</v>
      </c>
    </row>
    <row r="7115" spans="1:14" x14ac:dyDescent="0.45">
      <c r="A7115" t="s">
        <v>12087</v>
      </c>
      <c r="B7115" s="1">
        <v>45270</v>
      </c>
      <c r="C7115" t="s">
        <v>12088</v>
      </c>
      <c r="D7115" t="s">
        <v>26</v>
      </c>
      <c r="E7115" t="s">
        <v>20</v>
      </c>
      <c r="F7115" t="s">
        <v>27</v>
      </c>
      <c r="G7115">
        <v>2</v>
      </c>
      <c r="H7115">
        <v>17879.009999999998</v>
      </c>
      <c r="I7115">
        <v>3793.63</v>
      </c>
      <c r="J7115" t="s">
        <v>47</v>
      </c>
      <c r="K7115" t="s">
        <v>23</v>
      </c>
      <c r="L7115">
        <f t="shared" si="333"/>
        <v>2023</v>
      </c>
      <c r="M7115" t="str">
        <f t="shared" si="334"/>
        <v>Dec</v>
      </c>
      <c r="N7115" s="2">
        <f t="shared" si="335"/>
        <v>0.21218344863613817</v>
      </c>
    </row>
    <row r="7116" spans="1:14" x14ac:dyDescent="0.45">
      <c r="A7116" t="s">
        <v>12089</v>
      </c>
      <c r="B7116" s="1">
        <v>44651</v>
      </c>
      <c r="C7116" t="s">
        <v>3690</v>
      </c>
      <c r="D7116" t="s">
        <v>13</v>
      </c>
      <c r="E7116" t="s">
        <v>20</v>
      </c>
      <c r="F7116" t="s">
        <v>43</v>
      </c>
      <c r="G7116">
        <v>5</v>
      </c>
      <c r="H7116">
        <v>15103</v>
      </c>
      <c r="I7116">
        <v>3246.93</v>
      </c>
      <c r="J7116" t="s">
        <v>28</v>
      </c>
      <c r="K7116" t="s">
        <v>33</v>
      </c>
      <c r="L7116">
        <f t="shared" si="333"/>
        <v>2022</v>
      </c>
      <c r="M7116" t="str">
        <f t="shared" si="334"/>
        <v>Mar</v>
      </c>
      <c r="N7116" s="2">
        <f t="shared" si="335"/>
        <v>0.21498576441766534</v>
      </c>
    </row>
    <row r="7117" spans="1:14" x14ac:dyDescent="0.45">
      <c r="A7117" t="s">
        <v>12090</v>
      </c>
      <c r="B7117" s="1">
        <v>45126</v>
      </c>
      <c r="C7117" t="s">
        <v>8309</v>
      </c>
      <c r="D7117" t="s">
        <v>56</v>
      </c>
      <c r="E7117" t="s">
        <v>14</v>
      </c>
      <c r="F7117" t="s">
        <v>57</v>
      </c>
      <c r="G7117">
        <v>3</v>
      </c>
      <c r="H7117">
        <v>19351.55</v>
      </c>
      <c r="I7117">
        <v>1726.76</v>
      </c>
      <c r="J7117" t="s">
        <v>16</v>
      </c>
      <c r="K7117" t="s">
        <v>33</v>
      </c>
      <c r="L7117">
        <f t="shared" si="333"/>
        <v>2023</v>
      </c>
      <c r="M7117" t="str">
        <f t="shared" si="334"/>
        <v>Jul</v>
      </c>
      <c r="N7117" s="2">
        <f t="shared" si="335"/>
        <v>8.9231095183589945E-2</v>
      </c>
    </row>
    <row r="7118" spans="1:14" x14ac:dyDescent="0.45">
      <c r="A7118" t="s">
        <v>12091</v>
      </c>
      <c r="B7118" s="1">
        <v>44926</v>
      </c>
      <c r="C7118" t="s">
        <v>7102</v>
      </c>
      <c r="D7118" t="s">
        <v>56</v>
      </c>
      <c r="E7118" t="s">
        <v>20</v>
      </c>
      <c r="F7118" t="s">
        <v>43</v>
      </c>
      <c r="G7118">
        <v>5</v>
      </c>
      <c r="H7118">
        <v>4181.3599999999997</v>
      </c>
      <c r="I7118">
        <v>278.05</v>
      </c>
      <c r="J7118" t="s">
        <v>47</v>
      </c>
      <c r="K7118" t="s">
        <v>17</v>
      </c>
      <c r="L7118">
        <f t="shared" si="333"/>
        <v>2022</v>
      </c>
      <c r="M7118" t="str">
        <f t="shared" si="334"/>
        <v>Dec</v>
      </c>
      <c r="N7118" s="2">
        <f t="shared" si="335"/>
        <v>6.6497503204698952E-2</v>
      </c>
    </row>
    <row r="7119" spans="1:14" x14ac:dyDescent="0.45">
      <c r="A7119" t="s">
        <v>12092</v>
      </c>
      <c r="B7119" s="1">
        <v>44689</v>
      </c>
      <c r="C7119" t="s">
        <v>12093</v>
      </c>
      <c r="D7119" t="s">
        <v>26</v>
      </c>
      <c r="E7119" t="s">
        <v>36</v>
      </c>
      <c r="F7119" t="s">
        <v>37</v>
      </c>
      <c r="G7119">
        <v>5</v>
      </c>
      <c r="H7119">
        <v>19698.650000000001</v>
      </c>
      <c r="I7119">
        <v>1841.55</v>
      </c>
      <c r="J7119" t="s">
        <v>28</v>
      </c>
      <c r="K7119" t="s">
        <v>17</v>
      </c>
      <c r="L7119">
        <f t="shared" si="333"/>
        <v>2022</v>
      </c>
      <c r="M7119" t="str">
        <f t="shared" si="334"/>
        <v>May</v>
      </c>
      <c r="N7119" s="2">
        <f t="shared" si="335"/>
        <v>9.3486101839466151E-2</v>
      </c>
    </row>
    <row r="7120" spans="1:14" x14ac:dyDescent="0.45">
      <c r="A7120" t="s">
        <v>12094</v>
      </c>
      <c r="B7120" s="1">
        <v>44737</v>
      </c>
      <c r="C7120" t="s">
        <v>12095</v>
      </c>
      <c r="D7120" t="s">
        <v>56</v>
      </c>
      <c r="E7120" t="s">
        <v>20</v>
      </c>
      <c r="F7120" t="s">
        <v>21</v>
      </c>
      <c r="G7120">
        <v>5</v>
      </c>
      <c r="H7120">
        <v>38978.720000000001</v>
      </c>
      <c r="I7120">
        <v>6427.58</v>
      </c>
      <c r="J7120" t="s">
        <v>28</v>
      </c>
      <c r="K7120" t="s">
        <v>33</v>
      </c>
      <c r="L7120">
        <f t="shared" si="333"/>
        <v>2022</v>
      </c>
      <c r="M7120" t="str">
        <f t="shared" si="334"/>
        <v>Jun</v>
      </c>
      <c r="N7120" s="2">
        <f t="shared" si="335"/>
        <v>0.1648997196418969</v>
      </c>
    </row>
    <row r="7121" spans="1:14" x14ac:dyDescent="0.45">
      <c r="A7121" t="s">
        <v>12096</v>
      </c>
      <c r="B7121" s="1">
        <v>44705</v>
      </c>
      <c r="C7121" t="s">
        <v>3489</v>
      </c>
      <c r="D7121" t="s">
        <v>26</v>
      </c>
      <c r="E7121" t="s">
        <v>14</v>
      </c>
      <c r="F7121" t="s">
        <v>40</v>
      </c>
      <c r="G7121">
        <v>4</v>
      </c>
      <c r="H7121">
        <v>49761.52</v>
      </c>
      <c r="I7121">
        <v>7814.11</v>
      </c>
      <c r="J7121" t="s">
        <v>47</v>
      </c>
      <c r="K7121" t="s">
        <v>23</v>
      </c>
      <c r="L7121">
        <f t="shared" si="333"/>
        <v>2022</v>
      </c>
      <c r="M7121" t="str">
        <f t="shared" si="334"/>
        <v>May</v>
      </c>
      <c r="N7121" s="2">
        <f t="shared" si="335"/>
        <v>0.15703117589655621</v>
      </c>
    </row>
    <row r="7122" spans="1:14" x14ac:dyDescent="0.45">
      <c r="A7122" t="s">
        <v>12097</v>
      </c>
      <c r="B7122" s="1">
        <v>44723</v>
      </c>
      <c r="C7122" t="s">
        <v>10291</v>
      </c>
      <c r="D7122" t="s">
        <v>56</v>
      </c>
      <c r="E7122" t="s">
        <v>36</v>
      </c>
      <c r="F7122" t="s">
        <v>53</v>
      </c>
      <c r="G7122">
        <v>2</v>
      </c>
      <c r="H7122">
        <v>23958.400000000001</v>
      </c>
      <c r="I7122">
        <v>2374.15</v>
      </c>
      <c r="J7122" t="s">
        <v>28</v>
      </c>
      <c r="K7122" t="s">
        <v>17</v>
      </c>
      <c r="L7122">
        <f t="shared" si="333"/>
        <v>2022</v>
      </c>
      <c r="M7122" t="str">
        <f t="shared" si="334"/>
        <v>Jun</v>
      </c>
      <c r="N7122" s="2">
        <f t="shared" si="335"/>
        <v>9.9094680780018693E-2</v>
      </c>
    </row>
    <row r="7123" spans="1:14" x14ac:dyDescent="0.45">
      <c r="A7123" t="s">
        <v>12098</v>
      </c>
      <c r="B7123" s="1">
        <v>45307</v>
      </c>
      <c r="C7123" t="s">
        <v>8392</v>
      </c>
      <c r="D7123" t="s">
        <v>56</v>
      </c>
      <c r="E7123" t="s">
        <v>20</v>
      </c>
      <c r="F7123" t="s">
        <v>43</v>
      </c>
      <c r="G7123">
        <v>1</v>
      </c>
      <c r="H7123">
        <v>3946.62</v>
      </c>
      <c r="I7123">
        <v>358.73</v>
      </c>
      <c r="J7123" t="s">
        <v>28</v>
      </c>
      <c r="K7123" t="s">
        <v>29</v>
      </c>
      <c r="L7123">
        <f t="shared" si="333"/>
        <v>2024</v>
      </c>
      <c r="M7123" t="str">
        <f t="shared" si="334"/>
        <v>Jan</v>
      </c>
      <c r="N7123" s="2">
        <f t="shared" si="335"/>
        <v>9.0895500453552672E-2</v>
      </c>
    </row>
    <row r="7124" spans="1:14" x14ac:dyDescent="0.45">
      <c r="A7124" t="s">
        <v>12099</v>
      </c>
      <c r="B7124" s="1">
        <v>44912</v>
      </c>
      <c r="C7124" t="s">
        <v>2832</v>
      </c>
      <c r="D7124" t="s">
        <v>56</v>
      </c>
      <c r="E7124" t="s">
        <v>14</v>
      </c>
      <c r="F7124" t="s">
        <v>57</v>
      </c>
      <c r="G7124">
        <v>4</v>
      </c>
      <c r="H7124">
        <v>35577.089999999997</v>
      </c>
      <c r="I7124">
        <v>3313.51</v>
      </c>
      <c r="J7124" t="s">
        <v>47</v>
      </c>
      <c r="K7124" t="s">
        <v>17</v>
      </c>
      <c r="L7124">
        <f t="shared" si="333"/>
        <v>2022</v>
      </c>
      <c r="M7124" t="str">
        <f t="shared" si="334"/>
        <v>Dec</v>
      </c>
      <c r="N7124" s="2">
        <f t="shared" si="335"/>
        <v>9.3136060312971086E-2</v>
      </c>
    </row>
    <row r="7125" spans="1:14" x14ac:dyDescent="0.45">
      <c r="A7125" t="s">
        <v>12100</v>
      </c>
      <c r="B7125" s="1">
        <v>45158</v>
      </c>
      <c r="C7125" t="s">
        <v>329</v>
      </c>
      <c r="D7125" t="s">
        <v>56</v>
      </c>
      <c r="E7125" t="s">
        <v>14</v>
      </c>
      <c r="F7125" t="s">
        <v>32</v>
      </c>
      <c r="G7125">
        <v>2</v>
      </c>
      <c r="H7125">
        <v>43812.6</v>
      </c>
      <c r="I7125">
        <v>2441.8000000000002</v>
      </c>
      <c r="J7125" t="s">
        <v>47</v>
      </c>
      <c r="K7125" t="s">
        <v>33</v>
      </c>
      <c r="L7125">
        <f t="shared" si="333"/>
        <v>2023</v>
      </c>
      <c r="M7125" t="str">
        <f t="shared" si="334"/>
        <v>Aug</v>
      </c>
      <c r="N7125" s="2">
        <f t="shared" si="335"/>
        <v>5.5732825716802936E-2</v>
      </c>
    </row>
    <row r="7126" spans="1:14" x14ac:dyDescent="0.45">
      <c r="A7126" t="s">
        <v>12101</v>
      </c>
      <c r="B7126" s="1">
        <v>44827</v>
      </c>
      <c r="C7126" t="s">
        <v>12102</v>
      </c>
      <c r="D7126" t="s">
        <v>56</v>
      </c>
      <c r="E7126" t="s">
        <v>14</v>
      </c>
      <c r="F7126" t="s">
        <v>32</v>
      </c>
      <c r="G7126">
        <v>2</v>
      </c>
      <c r="H7126">
        <v>1210.1300000000001</v>
      </c>
      <c r="I7126">
        <v>220.25</v>
      </c>
      <c r="J7126" t="s">
        <v>22</v>
      </c>
      <c r="K7126" t="s">
        <v>17</v>
      </c>
      <c r="L7126">
        <f t="shared" si="333"/>
        <v>2022</v>
      </c>
      <c r="M7126" t="str">
        <f t="shared" si="334"/>
        <v>Sep</v>
      </c>
      <c r="N7126" s="2">
        <f t="shared" si="335"/>
        <v>0.18200523910654226</v>
      </c>
    </row>
    <row r="7127" spans="1:14" x14ac:dyDescent="0.45">
      <c r="A7127" t="s">
        <v>12103</v>
      </c>
      <c r="B7127" s="1">
        <v>45078</v>
      </c>
      <c r="C7127" t="s">
        <v>12104</v>
      </c>
      <c r="D7127" t="s">
        <v>56</v>
      </c>
      <c r="E7127" t="s">
        <v>20</v>
      </c>
      <c r="F7127" t="s">
        <v>21</v>
      </c>
      <c r="G7127">
        <v>5</v>
      </c>
      <c r="H7127">
        <v>9068.2999999999993</v>
      </c>
      <c r="I7127">
        <v>487.5</v>
      </c>
      <c r="J7127" t="s">
        <v>47</v>
      </c>
      <c r="K7127" t="s">
        <v>29</v>
      </c>
      <c r="L7127">
        <f t="shared" si="333"/>
        <v>2023</v>
      </c>
      <c r="M7127" t="str">
        <f t="shared" si="334"/>
        <v>Jun</v>
      </c>
      <c r="N7127" s="2">
        <f t="shared" si="335"/>
        <v>5.3758697881631623E-2</v>
      </c>
    </row>
    <row r="7128" spans="1:14" x14ac:dyDescent="0.45">
      <c r="A7128" t="s">
        <v>12105</v>
      </c>
      <c r="B7128" s="1">
        <v>45443</v>
      </c>
      <c r="C7128" t="s">
        <v>8014</v>
      </c>
      <c r="D7128" t="s">
        <v>13</v>
      </c>
      <c r="E7128" t="s">
        <v>20</v>
      </c>
      <c r="F7128" t="s">
        <v>27</v>
      </c>
      <c r="G7128">
        <v>5</v>
      </c>
      <c r="H7128">
        <v>5539.14</v>
      </c>
      <c r="I7128">
        <v>1069.1300000000001</v>
      </c>
      <c r="J7128" t="s">
        <v>22</v>
      </c>
      <c r="K7128" t="s">
        <v>29</v>
      </c>
      <c r="L7128">
        <f t="shared" si="333"/>
        <v>2024</v>
      </c>
      <c r="M7128" t="str">
        <f t="shared" si="334"/>
        <v>May</v>
      </c>
      <c r="N7128" s="2">
        <f t="shared" si="335"/>
        <v>0.19301371693078709</v>
      </c>
    </row>
    <row r="7129" spans="1:14" x14ac:dyDescent="0.45">
      <c r="A7129" t="s">
        <v>12106</v>
      </c>
      <c r="B7129" s="1">
        <v>44912</v>
      </c>
      <c r="C7129" t="s">
        <v>12107</v>
      </c>
      <c r="D7129" t="s">
        <v>13</v>
      </c>
      <c r="E7129" t="s">
        <v>14</v>
      </c>
      <c r="F7129" t="s">
        <v>57</v>
      </c>
      <c r="G7129">
        <v>1</v>
      </c>
      <c r="H7129">
        <v>19114.47</v>
      </c>
      <c r="I7129">
        <v>1429.6</v>
      </c>
      <c r="J7129" t="s">
        <v>16</v>
      </c>
      <c r="K7129" t="s">
        <v>23</v>
      </c>
      <c r="L7129">
        <f t="shared" si="333"/>
        <v>2022</v>
      </c>
      <c r="M7129" t="str">
        <f t="shared" si="334"/>
        <v>Dec</v>
      </c>
      <c r="N7129" s="2">
        <f t="shared" si="335"/>
        <v>7.4791506120755621E-2</v>
      </c>
    </row>
    <row r="7130" spans="1:14" x14ac:dyDescent="0.45">
      <c r="A7130" t="s">
        <v>12108</v>
      </c>
      <c r="B7130" s="1">
        <v>45114</v>
      </c>
      <c r="C7130" t="s">
        <v>12109</v>
      </c>
      <c r="D7130" t="s">
        <v>26</v>
      </c>
      <c r="E7130" t="s">
        <v>36</v>
      </c>
      <c r="F7130" t="s">
        <v>46</v>
      </c>
      <c r="G7130">
        <v>3</v>
      </c>
      <c r="H7130">
        <v>25304.86</v>
      </c>
      <c r="I7130">
        <v>3621.67</v>
      </c>
      <c r="J7130" t="s">
        <v>22</v>
      </c>
      <c r="K7130" t="s">
        <v>33</v>
      </c>
      <c r="L7130">
        <f t="shared" si="333"/>
        <v>2023</v>
      </c>
      <c r="M7130" t="str">
        <f t="shared" si="334"/>
        <v>Jul</v>
      </c>
      <c r="N7130" s="2">
        <f t="shared" si="335"/>
        <v>0.14312151894932437</v>
      </c>
    </row>
    <row r="7131" spans="1:14" x14ac:dyDescent="0.45">
      <c r="A7131" t="s">
        <v>12110</v>
      </c>
      <c r="B7131" s="1">
        <v>44661</v>
      </c>
      <c r="C7131" t="s">
        <v>1161</v>
      </c>
      <c r="D7131" t="s">
        <v>26</v>
      </c>
      <c r="E7131" t="s">
        <v>20</v>
      </c>
      <c r="F7131" t="s">
        <v>43</v>
      </c>
      <c r="G7131">
        <v>4</v>
      </c>
      <c r="H7131">
        <v>26806.81</v>
      </c>
      <c r="I7131">
        <v>4903.8999999999996</v>
      </c>
      <c r="J7131" t="s">
        <v>16</v>
      </c>
      <c r="K7131" t="s">
        <v>29</v>
      </c>
      <c r="L7131">
        <f t="shared" si="333"/>
        <v>2022</v>
      </c>
      <c r="M7131" t="str">
        <f t="shared" si="334"/>
        <v>Apr</v>
      </c>
      <c r="N7131" s="2">
        <f t="shared" si="335"/>
        <v>0.18293485871687079</v>
      </c>
    </row>
    <row r="7132" spans="1:14" x14ac:dyDescent="0.45">
      <c r="A7132" t="s">
        <v>12111</v>
      </c>
      <c r="B7132" s="1">
        <v>44909</v>
      </c>
      <c r="C7132" t="s">
        <v>12112</v>
      </c>
      <c r="D7132" t="s">
        <v>56</v>
      </c>
      <c r="E7132" t="s">
        <v>36</v>
      </c>
      <c r="F7132" t="s">
        <v>46</v>
      </c>
      <c r="G7132">
        <v>3</v>
      </c>
      <c r="H7132">
        <v>33923.160000000003</v>
      </c>
      <c r="I7132">
        <v>1751.25</v>
      </c>
      <c r="J7132" t="s">
        <v>47</v>
      </c>
      <c r="K7132" t="s">
        <v>29</v>
      </c>
      <c r="L7132">
        <f t="shared" si="333"/>
        <v>2022</v>
      </c>
      <c r="M7132" t="str">
        <f t="shared" si="334"/>
        <v>Dec</v>
      </c>
      <c r="N7132" s="2">
        <f t="shared" si="335"/>
        <v>5.1624023233684591E-2</v>
      </c>
    </row>
    <row r="7133" spans="1:14" x14ac:dyDescent="0.45">
      <c r="A7133" t="s">
        <v>12113</v>
      </c>
      <c r="B7133" s="1">
        <v>45201</v>
      </c>
      <c r="C7133" t="s">
        <v>5180</v>
      </c>
      <c r="D7133" t="s">
        <v>56</v>
      </c>
      <c r="E7133" t="s">
        <v>14</v>
      </c>
      <c r="F7133" t="s">
        <v>32</v>
      </c>
      <c r="G7133">
        <v>5</v>
      </c>
      <c r="H7133">
        <v>29152.400000000001</v>
      </c>
      <c r="I7133">
        <v>6473.2</v>
      </c>
      <c r="J7133" t="s">
        <v>28</v>
      </c>
      <c r="K7133" t="s">
        <v>29</v>
      </c>
      <c r="L7133">
        <f t="shared" si="333"/>
        <v>2023</v>
      </c>
      <c r="M7133" t="str">
        <f t="shared" si="334"/>
        <v>Oct</v>
      </c>
      <c r="N7133" s="2">
        <f t="shared" si="335"/>
        <v>0.22204689836857341</v>
      </c>
    </row>
    <row r="7134" spans="1:14" x14ac:dyDescent="0.45">
      <c r="A7134" t="s">
        <v>12114</v>
      </c>
      <c r="B7134" s="1">
        <v>45097</v>
      </c>
      <c r="C7134" t="s">
        <v>11789</v>
      </c>
      <c r="D7134" t="s">
        <v>26</v>
      </c>
      <c r="E7134" t="s">
        <v>14</v>
      </c>
      <c r="F7134" t="s">
        <v>32</v>
      </c>
      <c r="G7134">
        <v>3</v>
      </c>
      <c r="H7134">
        <v>26838.16</v>
      </c>
      <c r="I7134">
        <v>1809.28</v>
      </c>
      <c r="J7134" t="s">
        <v>47</v>
      </c>
      <c r="K7134" t="s">
        <v>29</v>
      </c>
      <c r="L7134">
        <f t="shared" si="333"/>
        <v>2023</v>
      </c>
      <c r="M7134" t="str">
        <f t="shared" si="334"/>
        <v>Jun</v>
      </c>
      <c r="N7134" s="2">
        <f t="shared" si="335"/>
        <v>6.7414457623026322E-2</v>
      </c>
    </row>
    <row r="7135" spans="1:14" x14ac:dyDescent="0.45">
      <c r="A7135" t="s">
        <v>12115</v>
      </c>
      <c r="B7135" s="1">
        <v>44988</v>
      </c>
      <c r="C7135" t="s">
        <v>7291</v>
      </c>
      <c r="D7135" t="s">
        <v>13</v>
      </c>
      <c r="E7135" t="s">
        <v>14</v>
      </c>
      <c r="F7135" t="s">
        <v>40</v>
      </c>
      <c r="G7135">
        <v>5</v>
      </c>
      <c r="H7135">
        <v>41362.49</v>
      </c>
      <c r="I7135">
        <v>7043.89</v>
      </c>
      <c r="J7135" t="s">
        <v>28</v>
      </c>
      <c r="K7135" t="s">
        <v>33</v>
      </c>
      <c r="L7135">
        <f t="shared" si="333"/>
        <v>2023</v>
      </c>
      <c r="M7135" t="str">
        <f t="shared" si="334"/>
        <v>Mar</v>
      </c>
      <c r="N7135" s="2">
        <f t="shared" si="335"/>
        <v>0.17029656580152697</v>
      </c>
    </row>
    <row r="7136" spans="1:14" x14ac:dyDescent="0.45">
      <c r="A7136" t="s">
        <v>12116</v>
      </c>
      <c r="B7136" s="1">
        <v>45200</v>
      </c>
      <c r="C7136" t="s">
        <v>12117</v>
      </c>
      <c r="D7136" t="s">
        <v>26</v>
      </c>
      <c r="E7136" t="s">
        <v>36</v>
      </c>
      <c r="F7136" t="s">
        <v>64</v>
      </c>
      <c r="G7136">
        <v>3</v>
      </c>
      <c r="H7136">
        <v>37661.480000000003</v>
      </c>
      <c r="I7136">
        <v>8069.48</v>
      </c>
      <c r="J7136" t="s">
        <v>22</v>
      </c>
      <c r="K7136" t="s">
        <v>29</v>
      </c>
      <c r="L7136">
        <f t="shared" si="333"/>
        <v>2023</v>
      </c>
      <c r="M7136" t="str">
        <f t="shared" si="334"/>
        <v>Oct</v>
      </c>
      <c r="N7136" s="2">
        <f t="shared" si="335"/>
        <v>0.21426348619332003</v>
      </c>
    </row>
    <row r="7137" spans="1:14" x14ac:dyDescent="0.45">
      <c r="A7137" t="s">
        <v>12118</v>
      </c>
      <c r="B7137" s="1">
        <v>45146</v>
      </c>
      <c r="C7137" t="s">
        <v>6923</v>
      </c>
      <c r="D7137" t="s">
        <v>13</v>
      </c>
      <c r="E7137" t="s">
        <v>20</v>
      </c>
      <c r="F7137" t="s">
        <v>21</v>
      </c>
      <c r="G7137">
        <v>3</v>
      </c>
      <c r="H7137">
        <v>27352.080000000002</v>
      </c>
      <c r="I7137">
        <v>2671.73</v>
      </c>
      <c r="J7137" t="s">
        <v>28</v>
      </c>
      <c r="K7137" t="s">
        <v>33</v>
      </c>
      <c r="L7137">
        <f t="shared" si="333"/>
        <v>2023</v>
      </c>
      <c r="M7137" t="str">
        <f t="shared" si="334"/>
        <v>Aug</v>
      </c>
      <c r="N7137" s="2">
        <f t="shared" si="335"/>
        <v>9.7679225857777538E-2</v>
      </c>
    </row>
    <row r="7138" spans="1:14" x14ac:dyDescent="0.45">
      <c r="A7138" t="s">
        <v>12119</v>
      </c>
      <c r="B7138" s="1">
        <v>45431</v>
      </c>
      <c r="C7138" t="s">
        <v>3613</v>
      </c>
      <c r="D7138" t="s">
        <v>13</v>
      </c>
      <c r="E7138" t="s">
        <v>20</v>
      </c>
      <c r="F7138" t="s">
        <v>21</v>
      </c>
      <c r="G7138">
        <v>4</v>
      </c>
      <c r="H7138">
        <v>30574.78</v>
      </c>
      <c r="I7138">
        <v>3501.41</v>
      </c>
      <c r="J7138" t="s">
        <v>16</v>
      </c>
      <c r="K7138" t="s">
        <v>17</v>
      </c>
      <c r="L7138">
        <f t="shared" si="333"/>
        <v>2024</v>
      </c>
      <c r="M7138" t="str">
        <f t="shared" si="334"/>
        <v>May</v>
      </c>
      <c r="N7138" s="2">
        <f t="shared" si="335"/>
        <v>0.11451954846445338</v>
      </c>
    </row>
    <row r="7139" spans="1:14" x14ac:dyDescent="0.45">
      <c r="A7139" t="s">
        <v>12120</v>
      </c>
      <c r="B7139" s="1">
        <v>44950</v>
      </c>
      <c r="C7139" t="s">
        <v>12121</v>
      </c>
      <c r="D7139" t="s">
        <v>26</v>
      </c>
      <c r="E7139" t="s">
        <v>20</v>
      </c>
      <c r="F7139" t="s">
        <v>50</v>
      </c>
      <c r="G7139">
        <v>3</v>
      </c>
      <c r="H7139">
        <v>21435.29</v>
      </c>
      <c r="I7139">
        <v>2170.17</v>
      </c>
      <c r="J7139" t="s">
        <v>28</v>
      </c>
      <c r="K7139" t="s">
        <v>17</v>
      </c>
      <c r="L7139">
        <f t="shared" si="333"/>
        <v>2023</v>
      </c>
      <c r="M7139" t="str">
        <f t="shared" si="334"/>
        <v>Jan</v>
      </c>
      <c r="N7139" s="2">
        <f t="shared" si="335"/>
        <v>0.10124285698957187</v>
      </c>
    </row>
    <row r="7140" spans="1:14" x14ac:dyDescent="0.45">
      <c r="A7140" t="s">
        <v>12122</v>
      </c>
      <c r="B7140" s="1">
        <v>44613</v>
      </c>
      <c r="C7140" t="s">
        <v>8100</v>
      </c>
      <c r="D7140" t="s">
        <v>26</v>
      </c>
      <c r="E7140" t="s">
        <v>14</v>
      </c>
      <c r="F7140" t="s">
        <v>15</v>
      </c>
      <c r="G7140">
        <v>1</v>
      </c>
      <c r="H7140">
        <v>40818.120000000003</v>
      </c>
      <c r="I7140">
        <v>5944.23</v>
      </c>
      <c r="J7140" t="s">
        <v>28</v>
      </c>
      <c r="K7140" t="s">
        <v>17</v>
      </c>
      <c r="L7140">
        <f t="shared" si="333"/>
        <v>2022</v>
      </c>
      <c r="M7140" t="str">
        <f t="shared" si="334"/>
        <v>Feb</v>
      </c>
      <c r="N7140" s="2">
        <f t="shared" si="335"/>
        <v>0.14562723613924403</v>
      </c>
    </row>
    <row r="7141" spans="1:14" x14ac:dyDescent="0.45">
      <c r="A7141" t="s">
        <v>12123</v>
      </c>
      <c r="B7141" s="1">
        <v>44804</v>
      </c>
      <c r="C7141" t="s">
        <v>12124</v>
      </c>
      <c r="D7141" t="s">
        <v>56</v>
      </c>
      <c r="E7141" t="s">
        <v>36</v>
      </c>
      <c r="F7141" t="s">
        <v>53</v>
      </c>
      <c r="G7141">
        <v>4</v>
      </c>
      <c r="H7141">
        <v>32306.080000000002</v>
      </c>
      <c r="I7141">
        <v>8031.56</v>
      </c>
      <c r="J7141" t="s">
        <v>28</v>
      </c>
      <c r="K7141" t="s">
        <v>29</v>
      </c>
      <c r="L7141">
        <f t="shared" si="333"/>
        <v>2022</v>
      </c>
      <c r="M7141" t="str">
        <f t="shared" si="334"/>
        <v>Aug</v>
      </c>
      <c r="N7141" s="2">
        <f t="shared" si="335"/>
        <v>0.24860831150049773</v>
      </c>
    </row>
    <row r="7142" spans="1:14" x14ac:dyDescent="0.45">
      <c r="A7142" t="s">
        <v>12125</v>
      </c>
      <c r="B7142" s="1">
        <v>45546</v>
      </c>
      <c r="C7142" t="s">
        <v>10201</v>
      </c>
      <c r="D7142" t="s">
        <v>13</v>
      </c>
      <c r="E7142" t="s">
        <v>36</v>
      </c>
      <c r="F7142" t="s">
        <v>64</v>
      </c>
      <c r="G7142">
        <v>5</v>
      </c>
      <c r="H7142">
        <v>25136.87</v>
      </c>
      <c r="I7142">
        <v>1420.16</v>
      </c>
      <c r="J7142" t="s">
        <v>22</v>
      </c>
      <c r="K7142" t="s">
        <v>29</v>
      </c>
      <c r="L7142">
        <f t="shared" si="333"/>
        <v>2024</v>
      </c>
      <c r="M7142" t="str">
        <f t="shared" si="334"/>
        <v>Sep</v>
      </c>
      <c r="N7142" s="2">
        <f t="shared" si="335"/>
        <v>5.6497089733129072E-2</v>
      </c>
    </row>
    <row r="7143" spans="1:14" x14ac:dyDescent="0.45">
      <c r="A7143" t="s">
        <v>12126</v>
      </c>
      <c r="B7143" s="1">
        <v>45204</v>
      </c>
      <c r="C7143" t="s">
        <v>2721</v>
      </c>
      <c r="D7143" t="s">
        <v>13</v>
      </c>
      <c r="E7143" t="s">
        <v>36</v>
      </c>
      <c r="F7143" t="s">
        <v>46</v>
      </c>
      <c r="G7143">
        <v>4</v>
      </c>
      <c r="H7143">
        <v>46756.31</v>
      </c>
      <c r="I7143">
        <v>4158.6000000000004</v>
      </c>
      <c r="J7143" t="s">
        <v>28</v>
      </c>
      <c r="K7143" t="s">
        <v>23</v>
      </c>
      <c r="L7143">
        <f t="shared" si="333"/>
        <v>2023</v>
      </c>
      <c r="M7143" t="str">
        <f t="shared" si="334"/>
        <v>Oct</v>
      </c>
      <c r="N7143" s="2">
        <f t="shared" si="335"/>
        <v>8.8942005902518842E-2</v>
      </c>
    </row>
    <row r="7144" spans="1:14" x14ac:dyDescent="0.45">
      <c r="A7144" t="s">
        <v>12127</v>
      </c>
      <c r="B7144" s="1">
        <v>45500</v>
      </c>
      <c r="C7144" t="s">
        <v>5924</v>
      </c>
      <c r="D7144" t="s">
        <v>13</v>
      </c>
      <c r="E7144" t="s">
        <v>36</v>
      </c>
      <c r="F7144" t="s">
        <v>37</v>
      </c>
      <c r="G7144">
        <v>2</v>
      </c>
      <c r="H7144">
        <v>38101.89</v>
      </c>
      <c r="I7144">
        <v>1946.26</v>
      </c>
      <c r="J7144" t="s">
        <v>47</v>
      </c>
      <c r="K7144" t="s">
        <v>29</v>
      </c>
      <c r="L7144">
        <f t="shared" si="333"/>
        <v>2024</v>
      </c>
      <c r="M7144" t="str">
        <f t="shared" si="334"/>
        <v>Jul</v>
      </c>
      <c r="N7144" s="2">
        <f t="shared" si="335"/>
        <v>5.108040572265575E-2</v>
      </c>
    </row>
    <row r="7145" spans="1:14" x14ac:dyDescent="0.45">
      <c r="A7145" t="s">
        <v>12128</v>
      </c>
      <c r="B7145" s="1">
        <v>45259</v>
      </c>
      <c r="C7145" t="s">
        <v>12129</v>
      </c>
      <c r="D7145" t="s">
        <v>56</v>
      </c>
      <c r="E7145" t="s">
        <v>20</v>
      </c>
      <c r="F7145" t="s">
        <v>50</v>
      </c>
      <c r="G7145">
        <v>4</v>
      </c>
      <c r="H7145">
        <v>34573.14</v>
      </c>
      <c r="I7145">
        <v>4963.95</v>
      </c>
      <c r="J7145" t="s">
        <v>71</v>
      </c>
      <c r="K7145" t="s">
        <v>29</v>
      </c>
      <c r="L7145">
        <f t="shared" si="333"/>
        <v>2023</v>
      </c>
      <c r="M7145" t="str">
        <f t="shared" si="334"/>
        <v>Nov</v>
      </c>
      <c r="N7145" s="2">
        <f t="shared" si="335"/>
        <v>0.14357822286318223</v>
      </c>
    </row>
    <row r="7146" spans="1:14" x14ac:dyDescent="0.45">
      <c r="A7146" t="s">
        <v>12130</v>
      </c>
      <c r="B7146" s="1">
        <v>45375</v>
      </c>
      <c r="C7146" t="s">
        <v>12131</v>
      </c>
      <c r="D7146" t="s">
        <v>26</v>
      </c>
      <c r="E7146" t="s">
        <v>14</v>
      </c>
      <c r="F7146" t="s">
        <v>40</v>
      </c>
      <c r="G7146">
        <v>5</v>
      </c>
      <c r="H7146">
        <v>25632.81</v>
      </c>
      <c r="I7146">
        <v>1451.87</v>
      </c>
      <c r="J7146" t="s">
        <v>16</v>
      </c>
      <c r="K7146" t="s">
        <v>23</v>
      </c>
      <c r="L7146">
        <f t="shared" si="333"/>
        <v>2024</v>
      </c>
      <c r="M7146" t="str">
        <f t="shared" si="334"/>
        <v>Mar</v>
      </c>
      <c r="N7146" s="2">
        <f t="shared" si="335"/>
        <v>5.6641078367919859E-2</v>
      </c>
    </row>
    <row r="7147" spans="1:14" x14ac:dyDescent="0.45">
      <c r="A7147" t="s">
        <v>12132</v>
      </c>
      <c r="B7147" s="1">
        <v>45068</v>
      </c>
      <c r="C7147" t="s">
        <v>12133</v>
      </c>
      <c r="D7147" t="s">
        <v>26</v>
      </c>
      <c r="E7147" t="s">
        <v>20</v>
      </c>
      <c r="F7147" t="s">
        <v>21</v>
      </c>
      <c r="G7147">
        <v>3</v>
      </c>
      <c r="H7147">
        <v>31312.48</v>
      </c>
      <c r="I7147">
        <v>4508.6899999999996</v>
      </c>
      <c r="J7147" t="s">
        <v>22</v>
      </c>
      <c r="K7147" t="s">
        <v>23</v>
      </c>
      <c r="L7147">
        <f t="shared" si="333"/>
        <v>2023</v>
      </c>
      <c r="M7147" t="str">
        <f t="shared" si="334"/>
        <v>May</v>
      </c>
      <c r="N7147" s="2">
        <f t="shared" si="335"/>
        <v>0.14399019177018235</v>
      </c>
    </row>
    <row r="7148" spans="1:14" x14ac:dyDescent="0.45">
      <c r="A7148" t="s">
        <v>12134</v>
      </c>
      <c r="B7148" s="1">
        <v>45484</v>
      </c>
      <c r="C7148" t="s">
        <v>12135</v>
      </c>
      <c r="D7148" t="s">
        <v>26</v>
      </c>
      <c r="E7148" t="s">
        <v>36</v>
      </c>
      <c r="F7148" t="s">
        <v>37</v>
      </c>
      <c r="G7148">
        <v>3</v>
      </c>
      <c r="H7148">
        <v>30697.85</v>
      </c>
      <c r="I7148">
        <v>7347.02</v>
      </c>
      <c r="J7148" t="s">
        <v>28</v>
      </c>
      <c r="K7148" t="s">
        <v>29</v>
      </c>
      <c r="L7148">
        <f t="shared" si="333"/>
        <v>2024</v>
      </c>
      <c r="M7148" t="str">
        <f t="shared" si="334"/>
        <v>Jul</v>
      </c>
      <c r="N7148" s="2">
        <f t="shared" si="335"/>
        <v>0.23933337350987124</v>
      </c>
    </row>
    <row r="7149" spans="1:14" x14ac:dyDescent="0.45">
      <c r="A7149" t="s">
        <v>12136</v>
      </c>
      <c r="B7149" s="1">
        <v>45051</v>
      </c>
      <c r="C7149" t="s">
        <v>8382</v>
      </c>
      <c r="D7149" t="s">
        <v>26</v>
      </c>
      <c r="E7149" t="s">
        <v>14</v>
      </c>
      <c r="F7149" t="s">
        <v>57</v>
      </c>
      <c r="G7149">
        <v>2</v>
      </c>
      <c r="H7149">
        <v>33860.82</v>
      </c>
      <c r="I7149">
        <v>2918.49</v>
      </c>
      <c r="J7149" t="s">
        <v>47</v>
      </c>
      <c r="K7149" t="s">
        <v>17</v>
      </c>
      <c r="L7149">
        <f t="shared" si="333"/>
        <v>2023</v>
      </c>
      <c r="M7149" t="str">
        <f t="shared" si="334"/>
        <v>May</v>
      </c>
      <c r="N7149" s="2">
        <f t="shared" si="335"/>
        <v>8.6190765610519762E-2</v>
      </c>
    </row>
    <row r="7150" spans="1:14" x14ac:dyDescent="0.45">
      <c r="A7150" t="s">
        <v>12137</v>
      </c>
      <c r="B7150" s="1">
        <v>44887</v>
      </c>
      <c r="C7150" t="s">
        <v>7991</v>
      </c>
      <c r="D7150" t="s">
        <v>56</v>
      </c>
      <c r="E7150" t="s">
        <v>36</v>
      </c>
      <c r="F7150" t="s">
        <v>46</v>
      </c>
      <c r="G7150">
        <v>1</v>
      </c>
      <c r="H7150">
        <v>4038.12</v>
      </c>
      <c r="I7150">
        <v>629.39</v>
      </c>
      <c r="J7150" t="s">
        <v>28</v>
      </c>
      <c r="K7150" t="s">
        <v>23</v>
      </c>
      <c r="L7150">
        <f t="shared" si="333"/>
        <v>2022</v>
      </c>
      <c r="M7150" t="str">
        <f t="shared" si="334"/>
        <v>Nov</v>
      </c>
      <c r="N7150" s="2">
        <f t="shared" si="335"/>
        <v>0.15586213386427347</v>
      </c>
    </row>
    <row r="7151" spans="1:14" x14ac:dyDescent="0.45">
      <c r="A7151" t="s">
        <v>12138</v>
      </c>
      <c r="B7151" s="1">
        <v>44994</v>
      </c>
      <c r="C7151" t="s">
        <v>9552</v>
      </c>
      <c r="D7151" t="s">
        <v>13</v>
      </c>
      <c r="E7151" t="s">
        <v>20</v>
      </c>
      <c r="F7151" t="s">
        <v>50</v>
      </c>
      <c r="G7151">
        <v>1</v>
      </c>
      <c r="H7151">
        <v>14637.39</v>
      </c>
      <c r="I7151">
        <v>2701.34</v>
      </c>
      <c r="J7151" t="s">
        <v>22</v>
      </c>
      <c r="K7151" t="s">
        <v>33</v>
      </c>
      <c r="L7151">
        <f t="shared" si="333"/>
        <v>2023</v>
      </c>
      <c r="M7151" t="str">
        <f t="shared" si="334"/>
        <v>Mar</v>
      </c>
      <c r="N7151" s="2">
        <f t="shared" si="335"/>
        <v>0.18455066101265322</v>
      </c>
    </row>
    <row r="7152" spans="1:14" x14ac:dyDescent="0.45">
      <c r="A7152" t="s">
        <v>12139</v>
      </c>
      <c r="B7152" s="1">
        <v>45598</v>
      </c>
      <c r="C7152" t="s">
        <v>407</v>
      </c>
      <c r="D7152" t="s">
        <v>56</v>
      </c>
      <c r="E7152" t="s">
        <v>36</v>
      </c>
      <c r="F7152" t="s">
        <v>46</v>
      </c>
      <c r="G7152">
        <v>1</v>
      </c>
      <c r="H7152">
        <v>41287.11</v>
      </c>
      <c r="I7152">
        <v>6560.57</v>
      </c>
      <c r="J7152" t="s">
        <v>22</v>
      </c>
      <c r="K7152" t="s">
        <v>23</v>
      </c>
      <c r="L7152">
        <f t="shared" si="333"/>
        <v>2024</v>
      </c>
      <c r="M7152" t="str">
        <f t="shared" si="334"/>
        <v>Nov</v>
      </c>
      <c r="N7152" s="2">
        <f t="shared" si="335"/>
        <v>0.15890116794321521</v>
      </c>
    </row>
    <row r="7153" spans="1:14" x14ac:dyDescent="0.45">
      <c r="A7153" t="s">
        <v>12140</v>
      </c>
      <c r="B7153" s="1">
        <v>44950</v>
      </c>
      <c r="C7153" t="s">
        <v>12141</v>
      </c>
      <c r="D7153" t="s">
        <v>56</v>
      </c>
      <c r="E7153" t="s">
        <v>20</v>
      </c>
      <c r="F7153" t="s">
        <v>50</v>
      </c>
      <c r="G7153">
        <v>2</v>
      </c>
      <c r="H7153">
        <v>13096.06</v>
      </c>
      <c r="I7153">
        <v>1734.34</v>
      </c>
      <c r="J7153" t="s">
        <v>71</v>
      </c>
      <c r="K7153" t="s">
        <v>29</v>
      </c>
      <c r="L7153">
        <f t="shared" si="333"/>
        <v>2023</v>
      </c>
      <c r="M7153" t="str">
        <f t="shared" si="334"/>
        <v>Jan</v>
      </c>
      <c r="N7153" s="2">
        <f t="shared" si="335"/>
        <v>0.13243219716464341</v>
      </c>
    </row>
    <row r="7154" spans="1:14" x14ac:dyDescent="0.45">
      <c r="A7154" t="s">
        <v>12142</v>
      </c>
      <c r="B7154" s="1">
        <v>45008</v>
      </c>
      <c r="C7154" t="s">
        <v>9177</v>
      </c>
      <c r="D7154" t="s">
        <v>56</v>
      </c>
      <c r="E7154" t="s">
        <v>14</v>
      </c>
      <c r="F7154" t="s">
        <v>32</v>
      </c>
      <c r="G7154">
        <v>1</v>
      </c>
      <c r="H7154">
        <v>4669.3599999999997</v>
      </c>
      <c r="I7154">
        <v>998.38</v>
      </c>
      <c r="J7154" t="s">
        <v>71</v>
      </c>
      <c r="K7154" t="s">
        <v>17</v>
      </c>
      <c r="L7154">
        <f t="shared" si="333"/>
        <v>2023</v>
      </c>
      <c r="M7154" t="str">
        <f t="shared" si="334"/>
        <v>Mar</v>
      </c>
      <c r="N7154" s="2">
        <f t="shared" si="335"/>
        <v>0.21381516953072799</v>
      </c>
    </row>
    <row r="7155" spans="1:14" x14ac:dyDescent="0.45">
      <c r="A7155" t="s">
        <v>12143</v>
      </c>
      <c r="B7155" s="1">
        <v>44594</v>
      </c>
      <c r="C7155" t="s">
        <v>12144</v>
      </c>
      <c r="D7155" t="s">
        <v>13</v>
      </c>
      <c r="E7155" t="s">
        <v>14</v>
      </c>
      <c r="F7155" t="s">
        <v>15</v>
      </c>
      <c r="G7155">
        <v>4</v>
      </c>
      <c r="H7155">
        <v>39689.78</v>
      </c>
      <c r="I7155">
        <v>8056.39</v>
      </c>
      <c r="J7155" t="s">
        <v>47</v>
      </c>
      <c r="K7155" t="s">
        <v>17</v>
      </c>
      <c r="L7155">
        <f t="shared" si="333"/>
        <v>2022</v>
      </c>
      <c r="M7155" t="str">
        <f t="shared" si="334"/>
        <v>Feb</v>
      </c>
      <c r="N7155" s="2">
        <f t="shared" si="335"/>
        <v>0.20298399235269132</v>
      </c>
    </row>
    <row r="7156" spans="1:14" x14ac:dyDescent="0.45">
      <c r="A7156" t="s">
        <v>12145</v>
      </c>
      <c r="B7156" s="1">
        <v>44818</v>
      </c>
      <c r="C7156" t="s">
        <v>3114</v>
      </c>
      <c r="D7156" t="s">
        <v>13</v>
      </c>
      <c r="E7156" t="s">
        <v>20</v>
      </c>
      <c r="F7156" t="s">
        <v>43</v>
      </c>
      <c r="G7156">
        <v>1</v>
      </c>
      <c r="H7156">
        <v>38536.769999999997</v>
      </c>
      <c r="I7156">
        <v>2257.14</v>
      </c>
      <c r="J7156" t="s">
        <v>16</v>
      </c>
      <c r="K7156" t="s">
        <v>33</v>
      </c>
      <c r="L7156">
        <f t="shared" si="333"/>
        <v>2022</v>
      </c>
      <c r="M7156" t="str">
        <f t="shared" si="334"/>
        <v>Sep</v>
      </c>
      <c r="N7156" s="2">
        <f t="shared" si="335"/>
        <v>5.8571073808209667E-2</v>
      </c>
    </row>
    <row r="7157" spans="1:14" x14ac:dyDescent="0.45">
      <c r="A7157" t="s">
        <v>12146</v>
      </c>
      <c r="B7157" s="1">
        <v>44731</v>
      </c>
      <c r="C7157" t="s">
        <v>12147</v>
      </c>
      <c r="D7157" t="s">
        <v>56</v>
      </c>
      <c r="E7157" t="s">
        <v>20</v>
      </c>
      <c r="F7157" t="s">
        <v>43</v>
      </c>
      <c r="G7157">
        <v>3</v>
      </c>
      <c r="H7157">
        <v>27863.09</v>
      </c>
      <c r="I7157">
        <v>5305.92</v>
      </c>
      <c r="J7157" t="s">
        <v>47</v>
      </c>
      <c r="K7157" t="s">
        <v>33</v>
      </c>
      <c r="L7157">
        <f t="shared" si="333"/>
        <v>2022</v>
      </c>
      <c r="M7157" t="str">
        <f t="shared" si="334"/>
        <v>Jun</v>
      </c>
      <c r="N7157" s="2">
        <f t="shared" si="335"/>
        <v>0.19042826908286195</v>
      </c>
    </row>
    <row r="7158" spans="1:14" x14ac:dyDescent="0.45">
      <c r="A7158" t="s">
        <v>12148</v>
      </c>
      <c r="B7158" s="1">
        <v>44865</v>
      </c>
      <c r="C7158" t="s">
        <v>6654</v>
      </c>
      <c r="D7158" t="s">
        <v>13</v>
      </c>
      <c r="E7158" t="s">
        <v>14</v>
      </c>
      <c r="F7158" t="s">
        <v>32</v>
      </c>
      <c r="G7158">
        <v>5</v>
      </c>
      <c r="H7158">
        <v>15318.15</v>
      </c>
      <c r="I7158">
        <v>3559.66</v>
      </c>
      <c r="J7158" t="s">
        <v>16</v>
      </c>
      <c r="K7158" t="s">
        <v>17</v>
      </c>
      <c r="L7158">
        <f t="shared" si="333"/>
        <v>2022</v>
      </c>
      <c r="M7158" t="str">
        <f t="shared" si="334"/>
        <v>Oct</v>
      </c>
      <c r="N7158" s="2">
        <f t="shared" si="335"/>
        <v>0.23238184767742839</v>
      </c>
    </row>
    <row r="7159" spans="1:14" x14ac:dyDescent="0.45">
      <c r="A7159" t="s">
        <v>12149</v>
      </c>
      <c r="B7159" s="1">
        <v>44700</v>
      </c>
      <c r="C7159" t="s">
        <v>9820</v>
      </c>
      <c r="D7159" t="s">
        <v>26</v>
      </c>
      <c r="E7159" t="s">
        <v>14</v>
      </c>
      <c r="F7159" t="s">
        <v>40</v>
      </c>
      <c r="G7159">
        <v>3</v>
      </c>
      <c r="H7159">
        <v>19194.97</v>
      </c>
      <c r="I7159">
        <v>2006</v>
      </c>
      <c r="J7159" t="s">
        <v>16</v>
      </c>
      <c r="K7159" t="s">
        <v>29</v>
      </c>
      <c r="L7159">
        <f t="shared" si="333"/>
        <v>2022</v>
      </c>
      <c r="M7159" t="str">
        <f t="shared" si="334"/>
        <v>May</v>
      </c>
      <c r="N7159" s="2">
        <f t="shared" si="335"/>
        <v>0.10450654520429049</v>
      </c>
    </row>
    <row r="7160" spans="1:14" x14ac:dyDescent="0.45">
      <c r="A7160" t="s">
        <v>12150</v>
      </c>
      <c r="B7160" s="1">
        <v>45617</v>
      </c>
      <c r="C7160" t="s">
        <v>12151</v>
      </c>
      <c r="D7160" t="s">
        <v>26</v>
      </c>
      <c r="E7160" t="s">
        <v>14</v>
      </c>
      <c r="F7160" t="s">
        <v>32</v>
      </c>
      <c r="G7160">
        <v>1</v>
      </c>
      <c r="H7160">
        <v>14054.84</v>
      </c>
      <c r="I7160">
        <v>3134.46</v>
      </c>
      <c r="J7160" t="s">
        <v>71</v>
      </c>
      <c r="K7160" t="s">
        <v>33</v>
      </c>
      <c r="L7160">
        <f t="shared" si="333"/>
        <v>2024</v>
      </c>
      <c r="M7160" t="str">
        <f t="shared" si="334"/>
        <v>Nov</v>
      </c>
      <c r="N7160" s="2">
        <f t="shared" si="335"/>
        <v>0.22301641285137361</v>
      </c>
    </row>
    <row r="7161" spans="1:14" x14ac:dyDescent="0.45">
      <c r="A7161" t="s">
        <v>12152</v>
      </c>
      <c r="B7161" s="1">
        <v>45648</v>
      </c>
      <c r="C7161" t="s">
        <v>1888</v>
      </c>
      <c r="D7161" t="s">
        <v>26</v>
      </c>
      <c r="E7161" t="s">
        <v>14</v>
      </c>
      <c r="F7161" t="s">
        <v>40</v>
      </c>
      <c r="G7161">
        <v>5</v>
      </c>
      <c r="H7161">
        <v>20802.09</v>
      </c>
      <c r="I7161">
        <v>3657.14</v>
      </c>
      <c r="J7161" t="s">
        <v>16</v>
      </c>
      <c r="K7161" t="s">
        <v>29</v>
      </c>
      <c r="L7161">
        <f t="shared" si="333"/>
        <v>2024</v>
      </c>
      <c r="M7161" t="str">
        <f t="shared" si="334"/>
        <v>Dec</v>
      </c>
      <c r="N7161" s="2">
        <f t="shared" si="335"/>
        <v>0.1758063733019134</v>
      </c>
    </row>
    <row r="7162" spans="1:14" x14ac:dyDescent="0.45">
      <c r="A7162" t="s">
        <v>12153</v>
      </c>
      <c r="B7162" s="1">
        <v>44758</v>
      </c>
      <c r="C7162" t="s">
        <v>12154</v>
      </c>
      <c r="D7162" t="s">
        <v>26</v>
      </c>
      <c r="E7162" t="s">
        <v>36</v>
      </c>
      <c r="F7162" t="s">
        <v>64</v>
      </c>
      <c r="G7162">
        <v>4</v>
      </c>
      <c r="H7162">
        <v>24885.78</v>
      </c>
      <c r="I7162">
        <v>3992.03</v>
      </c>
      <c r="J7162" t="s">
        <v>47</v>
      </c>
      <c r="K7162" t="s">
        <v>23</v>
      </c>
      <c r="L7162">
        <f t="shared" si="333"/>
        <v>2022</v>
      </c>
      <c r="M7162" t="str">
        <f t="shared" si="334"/>
        <v>Jul</v>
      </c>
      <c r="N7162" s="2">
        <f t="shared" si="335"/>
        <v>0.16041409993980499</v>
      </c>
    </row>
    <row r="7163" spans="1:14" x14ac:dyDescent="0.45">
      <c r="A7163" t="s">
        <v>12155</v>
      </c>
      <c r="B7163" s="1">
        <v>45392</v>
      </c>
      <c r="C7163" t="s">
        <v>795</v>
      </c>
      <c r="D7163" t="s">
        <v>56</v>
      </c>
      <c r="E7163" t="s">
        <v>36</v>
      </c>
      <c r="F7163" t="s">
        <v>37</v>
      </c>
      <c r="G7163">
        <v>1</v>
      </c>
      <c r="H7163">
        <v>30987.919999999998</v>
      </c>
      <c r="I7163">
        <v>3703.43</v>
      </c>
      <c r="J7163" t="s">
        <v>16</v>
      </c>
      <c r="K7163" t="s">
        <v>29</v>
      </c>
      <c r="L7163">
        <f t="shared" si="333"/>
        <v>2024</v>
      </c>
      <c r="M7163" t="str">
        <f t="shared" si="334"/>
        <v>Apr</v>
      </c>
      <c r="N7163" s="2">
        <f t="shared" si="335"/>
        <v>0.11951205502014979</v>
      </c>
    </row>
    <row r="7164" spans="1:14" x14ac:dyDescent="0.45">
      <c r="A7164" t="s">
        <v>12156</v>
      </c>
      <c r="B7164" s="1">
        <v>45013</v>
      </c>
      <c r="C7164" t="s">
        <v>8127</v>
      </c>
      <c r="D7164" t="s">
        <v>26</v>
      </c>
      <c r="E7164" t="s">
        <v>20</v>
      </c>
      <c r="F7164" t="s">
        <v>27</v>
      </c>
      <c r="G7164">
        <v>1</v>
      </c>
      <c r="H7164">
        <v>32286.18</v>
      </c>
      <c r="I7164">
        <v>5521.45</v>
      </c>
      <c r="J7164" t="s">
        <v>22</v>
      </c>
      <c r="K7164" t="s">
        <v>23</v>
      </c>
      <c r="L7164">
        <f t="shared" si="333"/>
        <v>2023</v>
      </c>
      <c r="M7164" t="str">
        <f t="shared" si="334"/>
        <v>Mar</v>
      </c>
      <c r="N7164" s="2">
        <f t="shared" si="335"/>
        <v>0.17101589596539449</v>
      </c>
    </row>
    <row r="7165" spans="1:14" x14ac:dyDescent="0.45">
      <c r="A7165" t="s">
        <v>12157</v>
      </c>
      <c r="B7165" s="1">
        <v>44808</v>
      </c>
      <c r="C7165" t="s">
        <v>8661</v>
      </c>
      <c r="D7165" t="s">
        <v>13</v>
      </c>
      <c r="E7165" t="s">
        <v>14</v>
      </c>
      <c r="F7165" t="s">
        <v>32</v>
      </c>
      <c r="G7165">
        <v>3</v>
      </c>
      <c r="H7165">
        <v>25570</v>
      </c>
      <c r="I7165">
        <v>1891.54</v>
      </c>
      <c r="J7165" t="s">
        <v>71</v>
      </c>
      <c r="K7165" t="s">
        <v>17</v>
      </c>
      <c r="L7165">
        <f t="shared" si="333"/>
        <v>2022</v>
      </c>
      <c r="M7165" t="str">
        <f t="shared" si="334"/>
        <v>Sep</v>
      </c>
      <c r="N7165" s="2">
        <f t="shared" si="335"/>
        <v>7.3974970668752443E-2</v>
      </c>
    </row>
    <row r="7166" spans="1:14" x14ac:dyDescent="0.45">
      <c r="A7166" t="s">
        <v>12158</v>
      </c>
      <c r="B7166" s="1">
        <v>45349</v>
      </c>
      <c r="C7166" t="s">
        <v>9823</v>
      </c>
      <c r="D7166" t="s">
        <v>13</v>
      </c>
      <c r="E7166" t="s">
        <v>20</v>
      </c>
      <c r="F7166" t="s">
        <v>50</v>
      </c>
      <c r="G7166">
        <v>2</v>
      </c>
      <c r="H7166">
        <v>39704.050000000003</v>
      </c>
      <c r="I7166">
        <v>3278.4</v>
      </c>
      <c r="J7166" t="s">
        <v>71</v>
      </c>
      <c r="K7166" t="s">
        <v>23</v>
      </c>
      <c r="L7166">
        <f t="shared" si="333"/>
        <v>2024</v>
      </c>
      <c r="M7166" t="str">
        <f t="shared" si="334"/>
        <v>Feb</v>
      </c>
      <c r="N7166" s="2">
        <f t="shared" si="335"/>
        <v>8.2570921606234124E-2</v>
      </c>
    </row>
    <row r="7167" spans="1:14" x14ac:dyDescent="0.45">
      <c r="A7167" t="s">
        <v>12159</v>
      </c>
      <c r="B7167" s="1">
        <v>45404</v>
      </c>
      <c r="C7167" t="s">
        <v>2598</v>
      </c>
      <c r="D7167" t="s">
        <v>56</v>
      </c>
      <c r="E7167" t="s">
        <v>14</v>
      </c>
      <c r="F7167" t="s">
        <v>15</v>
      </c>
      <c r="G7167">
        <v>2</v>
      </c>
      <c r="H7167">
        <v>24934.51</v>
      </c>
      <c r="I7167">
        <v>5755.64</v>
      </c>
      <c r="J7167" t="s">
        <v>28</v>
      </c>
      <c r="K7167" t="s">
        <v>23</v>
      </c>
      <c r="L7167">
        <f t="shared" si="333"/>
        <v>2024</v>
      </c>
      <c r="M7167" t="str">
        <f t="shared" si="334"/>
        <v>Apr</v>
      </c>
      <c r="N7167" s="2">
        <f t="shared" si="335"/>
        <v>0.23083028300937139</v>
      </c>
    </row>
    <row r="7168" spans="1:14" x14ac:dyDescent="0.45">
      <c r="A7168" t="s">
        <v>12160</v>
      </c>
      <c r="B7168" s="1">
        <v>44580</v>
      </c>
      <c r="C7168" t="s">
        <v>8237</v>
      </c>
      <c r="D7168" t="s">
        <v>26</v>
      </c>
      <c r="E7168" t="s">
        <v>36</v>
      </c>
      <c r="F7168" t="s">
        <v>37</v>
      </c>
      <c r="G7168">
        <v>1</v>
      </c>
      <c r="H7168">
        <v>20051.27</v>
      </c>
      <c r="I7168">
        <v>1412.48</v>
      </c>
      <c r="J7168" t="s">
        <v>16</v>
      </c>
      <c r="K7168" t="s">
        <v>33</v>
      </c>
      <c r="L7168">
        <f t="shared" si="333"/>
        <v>2022</v>
      </c>
      <c r="M7168" t="str">
        <f t="shared" si="334"/>
        <v>Jan</v>
      </c>
      <c r="N7168" s="2">
        <f t="shared" si="335"/>
        <v>7.0443418297195137E-2</v>
      </c>
    </row>
    <row r="7169" spans="1:14" x14ac:dyDescent="0.45">
      <c r="A7169" t="s">
        <v>12161</v>
      </c>
      <c r="B7169" s="1">
        <v>44910</v>
      </c>
      <c r="C7169" t="s">
        <v>9718</v>
      </c>
      <c r="D7169" t="s">
        <v>13</v>
      </c>
      <c r="E7169" t="s">
        <v>36</v>
      </c>
      <c r="F7169" t="s">
        <v>53</v>
      </c>
      <c r="G7169">
        <v>1</v>
      </c>
      <c r="H7169">
        <v>6261.75</v>
      </c>
      <c r="I7169">
        <v>598.66999999999996</v>
      </c>
      <c r="J7169" t="s">
        <v>16</v>
      </c>
      <c r="K7169" t="s">
        <v>33</v>
      </c>
      <c r="L7169">
        <f t="shared" si="333"/>
        <v>2022</v>
      </c>
      <c r="M7169" t="str">
        <f t="shared" si="334"/>
        <v>Dec</v>
      </c>
      <c r="N7169" s="2">
        <f t="shared" si="335"/>
        <v>9.5607457978999472E-2</v>
      </c>
    </row>
    <row r="7170" spans="1:14" x14ac:dyDescent="0.45">
      <c r="A7170" t="s">
        <v>12162</v>
      </c>
      <c r="B7170" s="1">
        <v>45475</v>
      </c>
      <c r="C7170" t="s">
        <v>12163</v>
      </c>
      <c r="D7170" t="s">
        <v>56</v>
      </c>
      <c r="E7170" t="s">
        <v>36</v>
      </c>
      <c r="F7170" t="s">
        <v>37</v>
      </c>
      <c r="G7170">
        <v>1</v>
      </c>
      <c r="H7170">
        <v>19983.099999999999</v>
      </c>
      <c r="I7170">
        <v>3716.94</v>
      </c>
      <c r="J7170" t="s">
        <v>47</v>
      </c>
      <c r="K7170" t="s">
        <v>29</v>
      </c>
      <c r="L7170">
        <f t="shared" si="333"/>
        <v>2024</v>
      </c>
      <c r="M7170" t="str">
        <f t="shared" si="334"/>
        <v>Jul</v>
      </c>
      <c r="N7170" s="2">
        <f t="shared" si="335"/>
        <v>0.18600417352663001</v>
      </c>
    </row>
    <row r="7171" spans="1:14" x14ac:dyDescent="0.45">
      <c r="A7171" t="s">
        <v>12164</v>
      </c>
      <c r="B7171" s="1">
        <v>45392</v>
      </c>
      <c r="C7171" t="s">
        <v>12165</v>
      </c>
      <c r="D7171" t="s">
        <v>13</v>
      </c>
      <c r="E7171" t="s">
        <v>20</v>
      </c>
      <c r="F7171" t="s">
        <v>50</v>
      </c>
      <c r="G7171">
        <v>3</v>
      </c>
      <c r="H7171">
        <v>10483.040000000001</v>
      </c>
      <c r="I7171">
        <v>569.08000000000004</v>
      </c>
      <c r="J7171" t="s">
        <v>47</v>
      </c>
      <c r="K7171" t="s">
        <v>23</v>
      </c>
      <c r="L7171">
        <f t="shared" ref="L7171:L7234" si="336">YEAR(B7171 )</f>
        <v>2024</v>
      </c>
      <c r="M7171" t="str">
        <f t="shared" ref="M7171:M7234" si="337">TEXT(B7171,"MMM")</f>
        <v>Apr</v>
      </c>
      <c r="N7171" s="2">
        <f t="shared" ref="N7171:N7234" si="338">I7171 / H7171</f>
        <v>5.4285779697492327E-2</v>
      </c>
    </row>
    <row r="7172" spans="1:14" x14ac:dyDescent="0.45">
      <c r="A7172" t="s">
        <v>12166</v>
      </c>
      <c r="B7172" s="1">
        <v>45285</v>
      </c>
      <c r="C7172" t="s">
        <v>12167</v>
      </c>
      <c r="D7172" t="s">
        <v>56</v>
      </c>
      <c r="E7172" t="s">
        <v>36</v>
      </c>
      <c r="F7172" t="s">
        <v>64</v>
      </c>
      <c r="G7172">
        <v>4</v>
      </c>
      <c r="H7172">
        <v>36766.6</v>
      </c>
      <c r="I7172">
        <v>8184.46</v>
      </c>
      <c r="J7172" t="s">
        <v>28</v>
      </c>
      <c r="K7172" t="s">
        <v>29</v>
      </c>
      <c r="L7172">
        <f t="shared" si="336"/>
        <v>2023</v>
      </c>
      <c r="M7172" t="str">
        <f t="shared" si="337"/>
        <v>Dec</v>
      </c>
      <c r="N7172" s="2">
        <f t="shared" si="338"/>
        <v>0.22260584334695077</v>
      </c>
    </row>
    <row r="7173" spans="1:14" x14ac:dyDescent="0.45">
      <c r="A7173" t="s">
        <v>12168</v>
      </c>
      <c r="B7173" s="1">
        <v>45197</v>
      </c>
      <c r="C7173" t="s">
        <v>12169</v>
      </c>
      <c r="D7173" t="s">
        <v>56</v>
      </c>
      <c r="E7173" t="s">
        <v>36</v>
      </c>
      <c r="F7173" t="s">
        <v>64</v>
      </c>
      <c r="G7173">
        <v>2</v>
      </c>
      <c r="H7173">
        <v>6371.17</v>
      </c>
      <c r="I7173">
        <v>988.51</v>
      </c>
      <c r="J7173" t="s">
        <v>28</v>
      </c>
      <c r="K7173" t="s">
        <v>29</v>
      </c>
      <c r="L7173">
        <f t="shared" si="336"/>
        <v>2023</v>
      </c>
      <c r="M7173" t="str">
        <f t="shared" si="337"/>
        <v>Sep</v>
      </c>
      <c r="N7173" s="2">
        <f t="shared" si="338"/>
        <v>0.15515360600957123</v>
      </c>
    </row>
    <row r="7174" spans="1:14" x14ac:dyDescent="0.45">
      <c r="A7174" t="s">
        <v>12170</v>
      </c>
      <c r="B7174" s="1">
        <v>45401</v>
      </c>
      <c r="C7174" t="s">
        <v>12171</v>
      </c>
      <c r="D7174" t="s">
        <v>56</v>
      </c>
      <c r="E7174" t="s">
        <v>14</v>
      </c>
      <c r="F7174" t="s">
        <v>32</v>
      </c>
      <c r="G7174">
        <v>4</v>
      </c>
      <c r="H7174">
        <v>625.97</v>
      </c>
      <c r="I7174">
        <v>92.5</v>
      </c>
      <c r="J7174" t="s">
        <v>22</v>
      </c>
      <c r="K7174" t="s">
        <v>17</v>
      </c>
      <c r="L7174">
        <f t="shared" si="336"/>
        <v>2024</v>
      </c>
      <c r="M7174" t="str">
        <f t="shared" si="337"/>
        <v>Apr</v>
      </c>
      <c r="N7174" s="2">
        <f t="shared" si="338"/>
        <v>0.14777065993577967</v>
      </c>
    </row>
    <row r="7175" spans="1:14" x14ac:dyDescent="0.45">
      <c r="A7175" t="s">
        <v>12172</v>
      </c>
      <c r="B7175" s="1">
        <v>45417</v>
      </c>
      <c r="C7175" t="s">
        <v>564</v>
      </c>
      <c r="D7175" t="s">
        <v>26</v>
      </c>
      <c r="E7175" t="s">
        <v>36</v>
      </c>
      <c r="F7175" t="s">
        <v>46</v>
      </c>
      <c r="G7175">
        <v>1</v>
      </c>
      <c r="H7175">
        <v>22324.31</v>
      </c>
      <c r="I7175">
        <v>4203.88</v>
      </c>
      <c r="J7175" t="s">
        <v>71</v>
      </c>
      <c r="K7175" t="s">
        <v>33</v>
      </c>
      <c r="L7175">
        <f t="shared" si="336"/>
        <v>2024</v>
      </c>
      <c r="M7175" t="str">
        <f t="shared" si="337"/>
        <v>May</v>
      </c>
      <c r="N7175" s="2">
        <f t="shared" si="338"/>
        <v>0.18830951550126296</v>
      </c>
    </row>
    <row r="7176" spans="1:14" x14ac:dyDescent="0.45">
      <c r="A7176" t="s">
        <v>12173</v>
      </c>
      <c r="B7176" s="1">
        <v>45264</v>
      </c>
      <c r="C7176" t="s">
        <v>12174</v>
      </c>
      <c r="D7176" t="s">
        <v>56</v>
      </c>
      <c r="E7176" t="s">
        <v>20</v>
      </c>
      <c r="F7176" t="s">
        <v>43</v>
      </c>
      <c r="G7176">
        <v>2</v>
      </c>
      <c r="H7176">
        <v>24902.51</v>
      </c>
      <c r="I7176">
        <v>4415.3999999999996</v>
      </c>
      <c r="J7176" t="s">
        <v>16</v>
      </c>
      <c r="K7176" t="s">
        <v>33</v>
      </c>
      <c r="L7176">
        <f t="shared" si="336"/>
        <v>2023</v>
      </c>
      <c r="M7176" t="str">
        <f t="shared" si="337"/>
        <v>Dec</v>
      </c>
      <c r="N7176" s="2">
        <f t="shared" si="338"/>
        <v>0.17730742804640978</v>
      </c>
    </row>
    <row r="7177" spans="1:14" x14ac:dyDescent="0.45">
      <c r="A7177" t="s">
        <v>12175</v>
      </c>
      <c r="B7177" s="1">
        <v>45483</v>
      </c>
      <c r="C7177" t="s">
        <v>1054</v>
      </c>
      <c r="D7177" t="s">
        <v>13</v>
      </c>
      <c r="E7177" t="s">
        <v>14</v>
      </c>
      <c r="F7177" t="s">
        <v>32</v>
      </c>
      <c r="G7177">
        <v>3</v>
      </c>
      <c r="H7177">
        <v>28599.15</v>
      </c>
      <c r="I7177">
        <v>6393.52</v>
      </c>
      <c r="J7177" t="s">
        <v>16</v>
      </c>
      <c r="K7177" t="s">
        <v>29</v>
      </c>
      <c r="L7177">
        <f t="shared" si="336"/>
        <v>2024</v>
      </c>
      <c r="M7177" t="str">
        <f t="shared" si="337"/>
        <v>Jul</v>
      </c>
      <c r="N7177" s="2">
        <f t="shared" si="338"/>
        <v>0.22355629450525627</v>
      </c>
    </row>
    <row r="7178" spans="1:14" x14ac:dyDescent="0.45">
      <c r="A7178" t="s">
        <v>12176</v>
      </c>
      <c r="B7178" s="1">
        <v>45177</v>
      </c>
      <c r="C7178" t="s">
        <v>12177</v>
      </c>
      <c r="D7178" t="s">
        <v>56</v>
      </c>
      <c r="E7178" t="s">
        <v>20</v>
      </c>
      <c r="F7178" t="s">
        <v>21</v>
      </c>
      <c r="G7178">
        <v>4</v>
      </c>
      <c r="H7178">
        <v>12061.07</v>
      </c>
      <c r="I7178">
        <v>2326</v>
      </c>
      <c r="J7178" t="s">
        <v>28</v>
      </c>
      <c r="K7178" t="s">
        <v>33</v>
      </c>
      <c r="L7178">
        <f t="shared" si="336"/>
        <v>2023</v>
      </c>
      <c r="M7178" t="str">
        <f t="shared" si="337"/>
        <v>Sep</v>
      </c>
      <c r="N7178" s="2">
        <f t="shared" si="338"/>
        <v>0.19285187798429163</v>
      </c>
    </row>
    <row r="7179" spans="1:14" x14ac:dyDescent="0.45">
      <c r="A7179" t="s">
        <v>12178</v>
      </c>
      <c r="B7179" s="1">
        <v>45288</v>
      </c>
      <c r="C7179" t="s">
        <v>4733</v>
      </c>
      <c r="D7179" t="s">
        <v>26</v>
      </c>
      <c r="E7179" t="s">
        <v>36</v>
      </c>
      <c r="F7179" t="s">
        <v>46</v>
      </c>
      <c r="G7179">
        <v>3</v>
      </c>
      <c r="H7179">
        <v>36015.050000000003</v>
      </c>
      <c r="I7179">
        <v>3938.07</v>
      </c>
      <c r="J7179" t="s">
        <v>28</v>
      </c>
      <c r="K7179" t="s">
        <v>17</v>
      </c>
      <c r="L7179">
        <f t="shared" si="336"/>
        <v>2023</v>
      </c>
      <c r="M7179" t="str">
        <f t="shared" si="337"/>
        <v>Dec</v>
      </c>
      <c r="N7179" s="2">
        <f t="shared" si="338"/>
        <v>0.10934512099802721</v>
      </c>
    </row>
    <row r="7180" spans="1:14" x14ac:dyDescent="0.45">
      <c r="A7180" t="s">
        <v>12179</v>
      </c>
      <c r="B7180" s="1">
        <v>44780</v>
      </c>
      <c r="C7180" t="s">
        <v>1452</v>
      </c>
      <c r="D7180" t="s">
        <v>13</v>
      </c>
      <c r="E7180" t="s">
        <v>14</v>
      </c>
      <c r="F7180" t="s">
        <v>57</v>
      </c>
      <c r="G7180">
        <v>3</v>
      </c>
      <c r="H7180">
        <v>644.75</v>
      </c>
      <c r="I7180">
        <v>101.37</v>
      </c>
      <c r="J7180" t="s">
        <v>22</v>
      </c>
      <c r="K7180" t="s">
        <v>33</v>
      </c>
      <c r="L7180">
        <f t="shared" si="336"/>
        <v>2022</v>
      </c>
      <c r="M7180" t="str">
        <f t="shared" si="337"/>
        <v>Aug</v>
      </c>
      <c r="N7180" s="2">
        <f t="shared" si="338"/>
        <v>0.15722373012795657</v>
      </c>
    </row>
    <row r="7181" spans="1:14" x14ac:dyDescent="0.45">
      <c r="A7181" t="s">
        <v>12180</v>
      </c>
      <c r="B7181" s="1">
        <v>44708</v>
      </c>
      <c r="C7181" t="s">
        <v>12181</v>
      </c>
      <c r="D7181" t="s">
        <v>26</v>
      </c>
      <c r="E7181" t="s">
        <v>14</v>
      </c>
      <c r="F7181" t="s">
        <v>40</v>
      </c>
      <c r="G7181">
        <v>5</v>
      </c>
      <c r="H7181">
        <v>40313.410000000003</v>
      </c>
      <c r="I7181">
        <v>7911.92</v>
      </c>
      <c r="J7181" t="s">
        <v>28</v>
      </c>
      <c r="K7181" t="s">
        <v>17</v>
      </c>
      <c r="L7181">
        <f t="shared" si="336"/>
        <v>2022</v>
      </c>
      <c r="M7181" t="str">
        <f t="shared" si="337"/>
        <v>May</v>
      </c>
      <c r="N7181" s="2">
        <f t="shared" si="338"/>
        <v>0.19626025186160137</v>
      </c>
    </row>
    <row r="7182" spans="1:14" x14ac:dyDescent="0.45">
      <c r="A7182" t="s">
        <v>12182</v>
      </c>
      <c r="B7182" s="1">
        <v>45435</v>
      </c>
      <c r="C7182" t="s">
        <v>12183</v>
      </c>
      <c r="D7182" t="s">
        <v>26</v>
      </c>
      <c r="E7182" t="s">
        <v>14</v>
      </c>
      <c r="F7182" t="s">
        <v>32</v>
      </c>
      <c r="G7182">
        <v>5</v>
      </c>
      <c r="H7182">
        <v>1090.46</v>
      </c>
      <c r="I7182">
        <v>234.74</v>
      </c>
      <c r="J7182" t="s">
        <v>28</v>
      </c>
      <c r="K7182" t="s">
        <v>23</v>
      </c>
      <c r="L7182">
        <f t="shared" si="336"/>
        <v>2024</v>
      </c>
      <c r="M7182" t="str">
        <f t="shared" si="337"/>
        <v>May</v>
      </c>
      <c r="N7182" s="2">
        <f t="shared" si="338"/>
        <v>0.21526695156172623</v>
      </c>
    </row>
    <row r="7183" spans="1:14" x14ac:dyDescent="0.45">
      <c r="A7183" t="s">
        <v>12184</v>
      </c>
      <c r="B7183" s="1">
        <v>45489</v>
      </c>
      <c r="C7183" t="s">
        <v>8140</v>
      </c>
      <c r="D7183" t="s">
        <v>26</v>
      </c>
      <c r="E7183" t="s">
        <v>36</v>
      </c>
      <c r="F7183" t="s">
        <v>64</v>
      </c>
      <c r="G7183">
        <v>3</v>
      </c>
      <c r="H7183">
        <v>27128.1</v>
      </c>
      <c r="I7183">
        <v>3674.53</v>
      </c>
      <c r="J7183" t="s">
        <v>71</v>
      </c>
      <c r="K7183" t="s">
        <v>33</v>
      </c>
      <c r="L7183">
        <f t="shared" si="336"/>
        <v>2024</v>
      </c>
      <c r="M7183" t="str">
        <f t="shared" si="337"/>
        <v>Jul</v>
      </c>
      <c r="N7183" s="2">
        <f t="shared" si="338"/>
        <v>0.13545106365724102</v>
      </c>
    </row>
    <row r="7184" spans="1:14" x14ac:dyDescent="0.45">
      <c r="A7184" t="s">
        <v>12185</v>
      </c>
      <c r="B7184" s="1">
        <v>45001</v>
      </c>
      <c r="C7184" t="s">
        <v>12186</v>
      </c>
      <c r="D7184" t="s">
        <v>56</v>
      </c>
      <c r="E7184" t="s">
        <v>36</v>
      </c>
      <c r="F7184" t="s">
        <v>64</v>
      </c>
      <c r="G7184">
        <v>2</v>
      </c>
      <c r="H7184">
        <v>25197.61</v>
      </c>
      <c r="I7184">
        <v>4913.46</v>
      </c>
      <c r="J7184" t="s">
        <v>71</v>
      </c>
      <c r="K7184" t="s">
        <v>33</v>
      </c>
      <c r="L7184">
        <f t="shared" si="336"/>
        <v>2023</v>
      </c>
      <c r="M7184" t="str">
        <f t="shared" si="337"/>
        <v>Mar</v>
      </c>
      <c r="N7184" s="2">
        <f t="shared" si="338"/>
        <v>0.19499706519785012</v>
      </c>
    </row>
    <row r="7185" spans="1:14" x14ac:dyDescent="0.45">
      <c r="A7185" t="s">
        <v>12187</v>
      </c>
      <c r="B7185" s="1">
        <v>44881</v>
      </c>
      <c r="C7185" t="s">
        <v>7920</v>
      </c>
      <c r="D7185" t="s">
        <v>26</v>
      </c>
      <c r="E7185" t="s">
        <v>36</v>
      </c>
      <c r="F7185" t="s">
        <v>46</v>
      </c>
      <c r="G7185">
        <v>5</v>
      </c>
      <c r="H7185">
        <v>40575.620000000003</v>
      </c>
      <c r="I7185">
        <v>5497.31</v>
      </c>
      <c r="J7185" t="s">
        <v>16</v>
      </c>
      <c r="K7185" t="s">
        <v>29</v>
      </c>
      <c r="L7185">
        <f t="shared" si="336"/>
        <v>2022</v>
      </c>
      <c r="M7185" t="str">
        <f t="shared" si="337"/>
        <v>Nov</v>
      </c>
      <c r="N7185" s="2">
        <f t="shared" si="338"/>
        <v>0.13548308072680096</v>
      </c>
    </row>
    <row r="7186" spans="1:14" x14ac:dyDescent="0.45">
      <c r="A7186" t="s">
        <v>12188</v>
      </c>
      <c r="B7186" s="1">
        <v>45288</v>
      </c>
      <c r="C7186" t="s">
        <v>1587</v>
      </c>
      <c r="D7186" t="s">
        <v>13</v>
      </c>
      <c r="E7186" t="s">
        <v>20</v>
      </c>
      <c r="F7186" t="s">
        <v>21</v>
      </c>
      <c r="G7186">
        <v>3</v>
      </c>
      <c r="H7186">
        <v>33025.47</v>
      </c>
      <c r="I7186">
        <v>2591.62</v>
      </c>
      <c r="J7186" t="s">
        <v>22</v>
      </c>
      <c r="K7186" t="s">
        <v>33</v>
      </c>
      <c r="L7186">
        <f t="shared" si="336"/>
        <v>2023</v>
      </c>
      <c r="M7186" t="str">
        <f t="shared" si="337"/>
        <v>Dec</v>
      </c>
      <c r="N7186" s="2">
        <f t="shared" si="338"/>
        <v>7.8473372218472587E-2</v>
      </c>
    </row>
    <row r="7187" spans="1:14" x14ac:dyDescent="0.45">
      <c r="A7187" t="s">
        <v>12189</v>
      </c>
      <c r="B7187" s="1">
        <v>45373</v>
      </c>
      <c r="C7187" t="s">
        <v>496</v>
      </c>
      <c r="D7187" t="s">
        <v>26</v>
      </c>
      <c r="E7187" t="s">
        <v>20</v>
      </c>
      <c r="F7187" t="s">
        <v>21</v>
      </c>
      <c r="G7187">
        <v>2</v>
      </c>
      <c r="H7187">
        <v>15389.08</v>
      </c>
      <c r="I7187">
        <v>1152.69</v>
      </c>
      <c r="J7187" t="s">
        <v>28</v>
      </c>
      <c r="K7187" t="s">
        <v>29</v>
      </c>
      <c r="L7187">
        <f t="shared" si="336"/>
        <v>2024</v>
      </c>
      <c r="M7187" t="str">
        <f t="shared" si="337"/>
        <v>Mar</v>
      </c>
      <c r="N7187" s="2">
        <f t="shared" si="338"/>
        <v>7.4903113116573578E-2</v>
      </c>
    </row>
    <row r="7188" spans="1:14" x14ac:dyDescent="0.45">
      <c r="A7188" t="s">
        <v>12190</v>
      </c>
      <c r="B7188" s="1">
        <v>45306</v>
      </c>
      <c r="C7188" t="s">
        <v>12191</v>
      </c>
      <c r="D7188" t="s">
        <v>56</v>
      </c>
      <c r="E7188" t="s">
        <v>36</v>
      </c>
      <c r="F7188" t="s">
        <v>37</v>
      </c>
      <c r="G7188">
        <v>2</v>
      </c>
      <c r="H7188">
        <v>15954.05</v>
      </c>
      <c r="I7188">
        <v>1220.69</v>
      </c>
      <c r="J7188" t="s">
        <v>28</v>
      </c>
      <c r="K7188" t="s">
        <v>29</v>
      </c>
      <c r="L7188">
        <f t="shared" si="336"/>
        <v>2024</v>
      </c>
      <c r="M7188" t="str">
        <f t="shared" si="337"/>
        <v>Jan</v>
      </c>
      <c r="N7188" s="2">
        <f t="shared" si="338"/>
        <v>7.6512860370877622E-2</v>
      </c>
    </row>
    <row r="7189" spans="1:14" x14ac:dyDescent="0.45">
      <c r="A7189" t="s">
        <v>12192</v>
      </c>
      <c r="B7189" s="1">
        <v>45346</v>
      </c>
      <c r="C7189" t="s">
        <v>12193</v>
      </c>
      <c r="D7189" t="s">
        <v>26</v>
      </c>
      <c r="E7189" t="s">
        <v>14</v>
      </c>
      <c r="F7189" t="s">
        <v>15</v>
      </c>
      <c r="G7189">
        <v>5</v>
      </c>
      <c r="H7189">
        <v>16069.93</v>
      </c>
      <c r="I7189">
        <v>2998.01</v>
      </c>
      <c r="J7189" t="s">
        <v>28</v>
      </c>
      <c r="K7189" t="s">
        <v>17</v>
      </c>
      <c r="L7189">
        <f t="shared" si="336"/>
        <v>2024</v>
      </c>
      <c r="M7189" t="str">
        <f t="shared" si="337"/>
        <v>Feb</v>
      </c>
      <c r="N7189" s="2">
        <f t="shared" si="338"/>
        <v>0.18656024015039269</v>
      </c>
    </row>
    <row r="7190" spans="1:14" x14ac:dyDescent="0.45">
      <c r="A7190" t="s">
        <v>12194</v>
      </c>
      <c r="B7190" s="1">
        <v>45219</v>
      </c>
      <c r="C7190" t="s">
        <v>9378</v>
      </c>
      <c r="D7190" t="s">
        <v>56</v>
      </c>
      <c r="E7190" t="s">
        <v>20</v>
      </c>
      <c r="F7190" t="s">
        <v>21</v>
      </c>
      <c r="G7190">
        <v>5</v>
      </c>
      <c r="H7190">
        <v>20261.939999999999</v>
      </c>
      <c r="I7190">
        <v>3206.73</v>
      </c>
      <c r="J7190" t="s">
        <v>16</v>
      </c>
      <c r="K7190" t="s">
        <v>23</v>
      </c>
      <c r="L7190">
        <f t="shared" si="336"/>
        <v>2023</v>
      </c>
      <c r="M7190" t="str">
        <f t="shared" si="337"/>
        <v>Oct</v>
      </c>
      <c r="N7190" s="2">
        <f t="shared" si="338"/>
        <v>0.1582637200583952</v>
      </c>
    </row>
    <row r="7191" spans="1:14" x14ac:dyDescent="0.45">
      <c r="A7191" t="s">
        <v>12195</v>
      </c>
      <c r="B7191" s="1">
        <v>45526</v>
      </c>
      <c r="C7191" t="s">
        <v>12196</v>
      </c>
      <c r="D7191" t="s">
        <v>26</v>
      </c>
      <c r="E7191" t="s">
        <v>36</v>
      </c>
      <c r="F7191" t="s">
        <v>46</v>
      </c>
      <c r="G7191">
        <v>5</v>
      </c>
      <c r="H7191">
        <v>46972.34</v>
      </c>
      <c r="I7191">
        <v>7847.97</v>
      </c>
      <c r="J7191" t="s">
        <v>47</v>
      </c>
      <c r="K7191" t="s">
        <v>33</v>
      </c>
      <c r="L7191">
        <f t="shared" si="336"/>
        <v>2024</v>
      </c>
      <c r="M7191" t="str">
        <f t="shared" si="337"/>
        <v>Aug</v>
      </c>
      <c r="N7191" s="2">
        <f t="shared" si="338"/>
        <v>0.16707641135187221</v>
      </c>
    </row>
    <row r="7192" spans="1:14" x14ac:dyDescent="0.45">
      <c r="A7192" t="s">
        <v>12197</v>
      </c>
      <c r="B7192" s="1">
        <v>44687</v>
      </c>
      <c r="C7192" t="s">
        <v>4839</v>
      </c>
      <c r="D7192" t="s">
        <v>13</v>
      </c>
      <c r="E7192" t="s">
        <v>36</v>
      </c>
      <c r="F7192" t="s">
        <v>64</v>
      </c>
      <c r="G7192">
        <v>2</v>
      </c>
      <c r="H7192">
        <v>47924.79</v>
      </c>
      <c r="I7192">
        <v>2825.78</v>
      </c>
      <c r="J7192" t="s">
        <v>28</v>
      </c>
      <c r="K7192" t="s">
        <v>17</v>
      </c>
      <c r="L7192">
        <f t="shared" si="336"/>
        <v>2022</v>
      </c>
      <c r="M7192" t="str">
        <f t="shared" si="337"/>
        <v>May</v>
      </c>
      <c r="N7192" s="2">
        <f t="shared" si="338"/>
        <v>5.8962804010200154E-2</v>
      </c>
    </row>
    <row r="7193" spans="1:14" x14ac:dyDescent="0.45">
      <c r="A7193" t="s">
        <v>12198</v>
      </c>
      <c r="B7193" s="1">
        <v>45383</v>
      </c>
      <c r="C7193" t="s">
        <v>12199</v>
      </c>
      <c r="D7193" t="s">
        <v>13</v>
      </c>
      <c r="E7193" t="s">
        <v>36</v>
      </c>
      <c r="F7193" t="s">
        <v>46</v>
      </c>
      <c r="G7193">
        <v>3</v>
      </c>
      <c r="H7193">
        <v>34318.03</v>
      </c>
      <c r="I7193">
        <v>1901.55</v>
      </c>
      <c r="J7193" t="s">
        <v>71</v>
      </c>
      <c r="K7193" t="s">
        <v>23</v>
      </c>
      <c r="L7193">
        <f t="shared" si="336"/>
        <v>2024</v>
      </c>
      <c r="M7193" t="str">
        <f t="shared" si="337"/>
        <v>Apr</v>
      </c>
      <c r="N7193" s="2">
        <f t="shared" si="338"/>
        <v>5.5409649096990705E-2</v>
      </c>
    </row>
    <row r="7194" spans="1:14" x14ac:dyDescent="0.45">
      <c r="A7194" t="s">
        <v>12200</v>
      </c>
      <c r="B7194" s="1">
        <v>45510</v>
      </c>
      <c r="C7194" t="s">
        <v>202</v>
      </c>
      <c r="D7194" t="s">
        <v>56</v>
      </c>
      <c r="E7194" t="s">
        <v>36</v>
      </c>
      <c r="F7194" t="s">
        <v>64</v>
      </c>
      <c r="G7194">
        <v>4</v>
      </c>
      <c r="H7194">
        <v>4618.75</v>
      </c>
      <c r="I7194">
        <v>996.64</v>
      </c>
      <c r="J7194" t="s">
        <v>22</v>
      </c>
      <c r="K7194" t="s">
        <v>17</v>
      </c>
      <c r="L7194">
        <f t="shared" si="336"/>
        <v>2024</v>
      </c>
      <c r="M7194" t="str">
        <f t="shared" si="337"/>
        <v>Aug</v>
      </c>
      <c r="N7194" s="2">
        <f t="shared" si="338"/>
        <v>0.21578132611637346</v>
      </c>
    </row>
    <row r="7195" spans="1:14" x14ac:dyDescent="0.45">
      <c r="A7195" t="s">
        <v>12201</v>
      </c>
      <c r="B7195" s="1">
        <v>45118</v>
      </c>
      <c r="C7195" t="s">
        <v>7117</v>
      </c>
      <c r="D7195" t="s">
        <v>13</v>
      </c>
      <c r="E7195" t="s">
        <v>20</v>
      </c>
      <c r="F7195" t="s">
        <v>27</v>
      </c>
      <c r="G7195">
        <v>2</v>
      </c>
      <c r="H7195">
        <v>11172.47</v>
      </c>
      <c r="I7195">
        <v>701.07</v>
      </c>
      <c r="J7195" t="s">
        <v>22</v>
      </c>
      <c r="K7195" t="s">
        <v>33</v>
      </c>
      <c r="L7195">
        <f t="shared" si="336"/>
        <v>2023</v>
      </c>
      <c r="M7195" t="str">
        <f t="shared" si="337"/>
        <v>Jul</v>
      </c>
      <c r="N7195" s="2">
        <f t="shared" si="338"/>
        <v>6.2749776906986562E-2</v>
      </c>
    </row>
    <row r="7196" spans="1:14" x14ac:dyDescent="0.45">
      <c r="A7196" t="s">
        <v>12202</v>
      </c>
      <c r="B7196" s="1">
        <v>45635</v>
      </c>
      <c r="C7196" t="s">
        <v>5056</v>
      </c>
      <c r="D7196" t="s">
        <v>26</v>
      </c>
      <c r="E7196" t="s">
        <v>14</v>
      </c>
      <c r="F7196" t="s">
        <v>32</v>
      </c>
      <c r="G7196">
        <v>3</v>
      </c>
      <c r="H7196">
        <v>13648.45</v>
      </c>
      <c r="I7196">
        <v>959.08</v>
      </c>
      <c r="J7196" t="s">
        <v>28</v>
      </c>
      <c r="K7196" t="s">
        <v>17</v>
      </c>
      <c r="L7196">
        <f t="shared" si="336"/>
        <v>2024</v>
      </c>
      <c r="M7196" t="str">
        <f t="shared" si="337"/>
        <v>Dec</v>
      </c>
      <c r="N7196" s="2">
        <f t="shared" si="338"/>
        <v>7.0270250468001866E-2</v>
      </c>
    </row>
    <row r="7197" spans="1:14" x14ac:dyDescent="0.45">
      <c r="A7197" t="s">
        <v>12203</v>
      </c>
      <c r="B7197" s="1">
        <v>44633</v>
      </c>
      <c r="C7197" t="s">
        <v>11749</v>
      </c>
      <c r="D7197" t="s">
        <v>13</v>
      </c>
      <c r="E7197" t="s">
        <v>20</v>
      </c>
      <c r="F7197" t="s">
        <v>43</v>
      </c>
      <c r="G7197">
        <v>5</v>
      </c>
      <c r="H7197">
        <v>23405.37</v>
      </c>
      <c r="I7197">
        <v>3258.57</v>
      </c>
      <c r="J7197" t="s">
        <v>28</v>
      </c>
      <c r="K7197" t="s">
        <v>29</v>
      </c>
      <c r="L7197">
        <f t="shared" si="336"/>
        <v>2022</v>
      </c>
      <c r="M7197" t="str">
        <f t="shared" si="337"/>
        <v>Mar</v>
      </c>
      <c r="N7197" s="2">
        <f t="shared" si="338"/>
        <v>0.13922317827062766</v>
      </c>
    </row>
    <row r="7198" spans="1:14" x14ac:dyDescent="0.45">
      <c r="A7198" t="s">
        <v>12204</v>
      </c>
      <c r="B7198" s="1">
        <v>45216</v>
      </c>
      <c r="C7198" t="s">
        <v>5814</v>
      </c>
      <c r="D7198" t="s">
        <v>13</v>
      </c>
      <c r="E7198" t="s">
        <v>14</v>
      </c>
      <c r="F7198" t="s">
        <v>15</v>
      </c>
      <c r="G7198">
        <v>5</v>
      </c>
      <c r="H7198">
        <v>3763.21</v>
      </c>
      <c r="I7198">
        <v>770.66</v>
      </c>
      <c r="J7198" t="s">
        <v>71</v>
      </c>
      <c r="K7198" t="s">
        <v>29</v>
      </c>
      <c r="L7198">
        <f t="shared" si="336"/>
        <v>2023</v>
      </c>
      <c r="M7198" t="str">
        <f t="shared" si="337"/>
        <v>Oct</v>
      </c>
      <c r="N7198" s="2">
        <f t="shared" si="338"/>
        <v>0.2047879337055333</v>
      </c>
    </row>
    <row r="7199" spans="1:14" x14ac:dyDescent="0.45">
      <c r="A7199" t="s">
        <v>12205</v>
      </c>
      <c r="B7199" s="1">
        <v>45462</v>
      </c>
      <c r="C7199" t="s">
        <v>12206</v>
      </c>
      <c r="D7199" t="s">
        <v>26</v>
      </c>
      <c r="E7199" t="s">
        <v>36</v>
      </c>
      <c r="F7199" t="s">
        <v>64</v>
      </c>
      <c r="G7199">
        <v>1</v>
      </c>
      <c r="H7199">
        <v>19192.05</v>
      </c>
      <c r="I7199">
        <v>2634.3</v>
      </c>
      <c r="J7199" t="s">
        <v>16</v>
      </c>
      <c r="K7199" t="s">
        <v>33</v>
      </c>
      <c r="L7199">
        <f t="shared" si="336"/>
        <v>2024</v>
      </c>
      <c r="M7199" t="str">
        <f t="shared" si="337"/>
        <v>Jun</v>
      </c>
      <c r="N7199" s="2">
        <f t="shared" si="338"/>
        <v>0.13725995920185705</v>
      </c>
    </row>
    <row r="7200" spans="1:14" x14ac:dyDescent="0.45">
      <c r="A7200" t="s">
        <v>12207</v>
      </c>
      <c r="B7200" s="1">
        <v>45381</v>
      </c>
      <c r="C7200" t="s">
        <v>8127</v>
      </c>
      <c r="D7200" t="s">
        <v>26</v>
      </c>
      <c r="E7200" t="s">
        <v>14</v>
      </c>
      <c r="F7200" t="s">
        <v>32</v>
      </c>
      <c r="G7200">
        <v>5</v>
      </c>
      <c r="H7200">
        <v>28077.16</v>
      </c>
      <c r="I7200">
        <v>2126.9</v>
      </c>
      <c r="J7200" t="s">
        <v>22</v>
      </c>
      <c r="K7200" t="s">
        <v>17</v>
      </c>
      <c r="L7200">
        <f t="shared" si="336"/>
        <v>2024</v>
      </c>
      <c r="M7200" t="str">
        <f t="shared" si="337"/>
        <v>Mar</v>
      </c>
      <c r="N7200" s="2">
        <f t="shared" si="338"/>
        <v>7.5751963517677712E-2</v>
      </c>
    </row>
    <row r="7201" spans="1:14" x14ac:dyDescent="0.45">
      <c r="A7201" t="s">
        <v>12208</v>
      </c>
      <c r="B7201" s="1">
        <v>45555</v>
      </c>
      <c r="C7201" t="s">
        <v>9352</v>
      </c>
      <c r="D7201" t="s">
        <v>26</v>
      </c>
      <c r="E7201" t="s">
        <v>20</v>
      </c>
      <c r="F7201" t="s">
        <v>43</v>
      </c>
      <c r="G7201">
        <v>3</v>
      </c>
      <c r="H7201">
        <v>3171.99</v>
      </c>
      <c r="I7201">
        <v>611.76</v>
      </c>
      <c r="J7201" t="s">
        <v>47</v>
      </c>
      <c r="K7201" t="s">
        <v>33</v>
      </c>
      <c r="L7201">
        <f t="shared" si="336"/>
        <v>2024</v>
      </c>
      <c r="M7201" t="str">
        <f t="shared" si="337"/>
        <v>Sep</v>
      </c>
      <c r="N7201" s="2">
        <f t="shared" si="338"/>
        <v>0.19286315530629039</v>
      </c>
    </row>
    <row r="7202" spans="1:14" x14ac:dyDescent="0.45">
      <c r="A7202" t="s">
        <v>12209</v>
      </c>
      <c r="B7202" s="1">
        <v>45115</v>
      </c>
      <c r="C7202" t="s">
        <v>12210</v>
      </c>
      <c r="D7202" t="s">
        <v>56</v>
      </c>
      <c r="E7202" t="s">
        <v>20</v>
      </c>
      <c r="F7202" t="s">
        <v>43</v>
      </c>
      <c r="G7202">
        <v>3</v>
      </c>
      <c r="H7202">
        <v>3282.28</v>
      </c>
      <c r="I7202">
        <v>586.85</v>
      </c>
      <c r="J7202" t="s">
        <v>22</v>
      </c>
      <c r="K7202" t="s">
        <v>17</v>
      </c>
      <c r="L7202">
        <f t="shared" si="336"/>
        <v>2023</v>
      </c>
      <c r="M7202" t="str">
        <f t="shared" si="337"/>
        <v>Jul</v>
      </c>
      <c r="N7202" s="2">
        <f t="shared" si="338"/>
        <v>0.1787933997099577</v>
      </c>
    </row>
    <row r="7203" spans="1:14" x14ac:dyDescent="0.45">
      <c r="A7203" t="s">
        <v>12211</v>
      </c>
      <c r="B7203" s="1">
        <v>45380</v>
      </c>
      <c r="C7203" t="s">
        <v>12212</v>
      </c>
      <c r="D7203" t="s">
        <v>26</v>
      </c>
      <c r="E7203" t="s">
        <v>14</v>
      </c>
      <c r="F7203" t="s">
        <v>32</v>
      </c>
      <c r="G7203">
        <v>1</v>
      </c>
      <c r="H7203">
        <v>18670.96</v>
      </c>
      <c r="I7203">
        <v>2578.48</v>
      </c>
      <c r="J7203" t="s">
        <v>71</v>
      </c>
      <c r="K7203" t="s">
        <v>23</v>
      </c>
      <c r="L7203">
        <f t="shared" si="336"/>
        <v>2024</v>
      </c>
      <c r="M7203" t="str">
        <f t="shared" si="337"/>
        <v>Mar</v>
      </c>
      <c r="N7203" s="2">
        <f t="shared" si="338"/>
        <v>0.13810109389126216</v>
      </c>
    </row>
    <row r="7204" spans="1:14" x14ac:dyDescent="0.45">
      <c r="A7204" t="s">
        <v>12213</v>
      </c>
      <c r="B7204" s="1">
        <v>44793</v>
      </c>
      <c r="C7204" t="s">
        <v>12214</v>
      </c>
      <c r="D7204" t="s">
        <v>13</v>
      </c>
      <c r="E7204" t="s">
        <v>20</v>
      </c>
      <c r="F7204" t="s">
        <v>43</v>
      </c>
      <c r="G7204">
        <v>5</v>
      </c>
      <c r="H7204">
        <v>22041.040000000001</v>
      </c>
      <c r="I7204">
        <v>2923.99</v>
      </c>
      <c r="J7204" t="s">
        <v>22</v>
      </c>
      <c r="K7204" t="s">
        <v>29</v>
      </c>
      <c r="L7204">
        <f t="shared" si="336"/>
        <v>2022</v>
      </c>
      <c r="M7204" t="str">
        <f t="shared" si="337"/>
        <v>Aug</v>
      </c>
      <c r="N7204" s="2">
        <f t="shared" si="338"/>
        <v>0.13266116299412367</v>
      </c>
    </row>
    <row r="7205" spans="1:14" x14ac:dyDescent="0.45">
      <c r="A7205" t="s">
        <v>12215</v>
      </c>
      <c r="B7205" s="1">
        <v>45031</v>
      </c>
      <c r="C7205" t="s">
        <v>6116</v>
      </c>
      <c r="D7205" t="s">
        <v>13</v>
      </c>
      <c r="E7205" t="s">
        <v>20</v>
      </c>
      <c r="F7205" t="s">
        <v>43</v>
      </c>
      <c r="G7205">
        <v>1</v>
      </c>
      <c r="H7205">
        <v>23116.77</v>
      </c>
      <c r="I7205">
        <v>2922.09</v>
      </c>
      <c r="J7205" t="s">
        <v>47</v>
      </c>
      <c r="K7205" t="s">
        <v>23</v>
      </c>
      <c r="L7205">
        <f t="shared" si="336"/>
        <v>2023</v>
      </c>
      <c r="M7205" t="str">
        <f t="shared" si="337"/>
        <v>Apr</v>
      </c>
      <c r="N7205" s="2">
        <f t="shared" si="338"/>
        <v>0.12640563538937316</v>
      </c>
    </row>
    <row r="7206" spans="1:14" x14ac:dyDescent="0.45">
      <c r="A7206" t="s">
        <v>12216</v>
      </c>
      <c r="B7206" s="1">
        <v>44876</v>
      </c>
      <c r="C7206" t="s">
        <v>12217</v>
      </c>
      <c r="D7206" t="s">
        <v>56</v>
      </c>
      <c r="E7206" t="s">
        <v>36</v>
      </c>
      <c r="F7206" t="s">
        <v>46</v>
      </c>
      <c r="G7206">
        <v>1</v>
      </c>
      <c r="H7206">
        <v>15613.37</v>
      </c>
      <c r="I7206">
        <v>2237.09</v>
      </c>
      <c r="J7206" t="s">
        <v>22</v>
      </c>
      <c r="K7206" t="s">
        <v>17</v>
      </c>
      <c r="L7206">
        <f t="shared" si="336"/>
        <v>2022</v>
      </c>
      <c r="M7206" t="str">
        <f t="shared" si="337"/>
        <v>Nov</v>
      </c>
      <c r="N7206" s="2">
        <f t="shared" si="338"/>
        <v>0.14328040647214535</v>
      </c>
    </row>
    <row r="7207" spans="1:14" x14ac:dyDescent="0.45">
      <c r="A7207" t="s">
        <v>12218</v>
      </c>
      <c r="B7207" s="1">
        <v>44718</v>
      </c>
      <c r="C7207" t="s">
        <v>12219</v>
      </c>
      <c r="D7207" t="s">
        <v>13</v>
      </c>
      <c r="E7207" t="s">
        <v>14</v>
      </c>
      <c r="F7207" t="s">
        <v>57</v>
      </c>
      <c r="G7207">
        <v>2</v>
      </c>
      <c r="H7207">
        <v>45767.42</v>
      </c>
      <c r="I7207">
        <v>8919.01</v>
      </c>
      <c r="J7207" t="s">
        <v>22</v>
      </c>
      <c r="K7207" t="s">
        <v>29</v>
      </c>
      <c r="L7207">
        <f t="shared" si="336"/>
        <v>2022</v>
      </c>
      <c r="M7207" t="str">
        <f t="shared" si="337"/>
        <v>Jun</v>
      </c>
      <c r="N7207" s="2">
        <f t="shared" si="338"/>
        <v>0.19487683596759442</v>
      </c>
    </row>
    <row r="7208" spans="1:14" x14ac:dyDescent="0.45">
      <c r="A7208" t="s">
        <v>12220</v>
      </c>
      <c r="B7208" s="1">
        <v>45448</v>
      </c>
      <c r="C7208" t="s">
        <v>5049</v>
      </c>
      <c r="D7208" t="s">
        <v>13</v>
      </c>
      <c r="E7208" t="s">
        <v>14</v>
      </c>
      <c r="F7208" t="s">
        <v>57</v>
      </c>
      <c r="G7208">
        <v>1</v>
      </c>
      <c r="H7208">
        <v>19365.88</v>
      </c>
      <c r="I7208">
        <v>3567.44</v>
      </c>
      <c r="J7208" t="s">
        <v>16</v>
      </c>
      <c r="K7208" t="s">
        <v>29</v>
      </c>
      <c r="L7208">
        <f t="shared" si="336"/>
        <v>2024</v>
      </c>
      <c r="M7208" t="str">
        <f t="shared" si="337"/>
        <v>Jun</v>
      </c>
      <c r="N7208" s="2">
        <f t="shared" si="338"/>
        <v>0.18421264615912109</v>
      </c>
    </row>
    <row r="7209" spans="1:14" x14ac:dyDescent="0.45">
      <c r="A7209" t="s">
        <v>12221</v>
      </c>
      <c r="B7209" s="1">
        <v>44711</v>
      </c>
      <c r="C7209" t="s">
        <v>7007</v>
      </c>
      <c r="D7209" t="s">
        <v>26</v>
      </c>
      <c r="E7209" t="s">
        <v>14</v>
      </c>
      <c r="F7209" t="s">
        <v>40</v>
      </c>
      <c r="G7209">
        <v>1</v>
      </c>
      <c r="H7209">
        <v>38827.93</v>
      </c>
      <c r="I7209">
        <v>8467.5400000000009</v>
      </c>
      <c r="J7209" t="s">
        <v>16</v>
      </c>
      <c r="K7209" t="s">
        <v>23</v>
      </c>
      <c r="L7209">
        <f t="shared" si="336"/>
        <v>2022</v>
      </c>
      <c r="M7209" t="str">
        <f t="shared" si="337"/>
        <v>May</v>
      </c>
      <c r="N7209" s="2">
        <f t="shared" si="338"/>
        <v>0.21807858415321138</v>
      </c>
    </row>
    <row r="7210" spans="1:14" x14ac:dyDescent="0.45">
      <c r="A7210" t="s">
        <v>12222</v>
      </c>
      <c r="B7210" s="1">
        <v>45016</v>
      </c>
      <c r="C7210" t="s">
        <v>12223</v>
      </c>
      <c r="D7210" t="s">
        <v>13</v>
      </c>
      <c r="E7210" t="s">
        <v>36</v>
      </c>
      <c r="F7210" t="s">
        <v>53</v>
      </c>
      <c r="G7210">
        <v>5</v>
      </c>
      <c r="H7210">
        <v>28494.7</v>
      </c>
      <c r="I7210">
        <v>6606.33</v>
      </c>
      <c r="J7210" t="s">
        <v>71</v>
      </c>
      <c r="K7210" t="s">
        <v>17</v>
      </c>
      <c r="L7210">
        <f t="shared" si="336"/>
        <v>2023</v>
      </c>
      <c r="M7210" t="str">
        <f t="shared" si="337"/>
        <v>Mar</v>
      </c>
      <c r="N7210" s="2">
        <f t="shared" si="338"/>
        <v>0.23184416751185308</v>
      </c>
    </row>
    <row r="7211" spans="1:14" x14ac:dyDescent="0.45">
      <c r="A7211" t="s">
        <v>12224</v>
      </c>
      <c r="B7211" s="1">
        <v>45271</v>
      </c>
      <c r="C7211" t="s">
        <v>12225</v>
      </c>
      <c r="D7211" t="s">
        <v>56</v>
      </c>
      <c r="E7211" t="s">
        <v>20</v>
      </c>
      <c r="F7211" t="s">
        <v>21</v>
      </c>
      <c r="G7211">
        <v>3</v>
      </c>
      <c r="H7211">
        <v>25650.09</v>
      </c>
      <c r="I7211">
        <v>2465.92</v>
      </c>
      <c r="J7211" t="s">
        <v>22</v>
      </c>
      <c r="K7211" t="s">
        <v>23</v>
      </c>
      <c r="L7211">
        <f t="shared" si="336"/>
        <v>2023</v>
      </c>
      <c r="M7211" t="str">
        <f t="shared" si="337"/>
        <v>Dec</v>
      </c>
      <c r="N7211" s="2">
        <f t="shared" si="338"/>
        <v>9.6136894646373566E-2</v>
      </c>
    </row>
    <row r="7212" spans="1:14" x14ac:dyDescent="0.45">
      <c r="A7212" t="s">
        <v>12226</v>
      </c>
      <c r="B7212" s="1">
        <v>45078</v>
      </c>
      <c r="C7212" t="s">
        <v>12227</v>
      </c>
      <c r="D7212" t="s">
        <v>56</v>
      </c>
      <c r="E7212" t="s">
        <v>36</v>
      </c>
      <c r="F7212" t="s">
        <v>46</v>
      </c>
      <c r="G7212">
        <v>3</v>
      </c>
      <c r="H7212">
        <v>47410.15</v>
      </c>
      <c r="I7212">
        <v>8365.58</v>
      </c>
      <c r="J7212" t="s">
        <v>28</v>
      </c>
      <c r="K7212" t="s">
        <v>29</v>
      </c>
      <c r="L7212">
        <f t="shared" si="336"/>
        <v>2023</v>
      </c>
      <c r="M7212" t="str">
        <f t="shared" si="337"/>
        <v>Jun</v>
      </c>
      <c r="N7212" s="2">
        <f t="shared" si="338"/>
        <v>0.17645124514476329</v>
      </c>
    </row>
    <row r="7213" spans="1:14" x14ac:dyDescent="0.45">
      <c r="A7213" t="s">
        <v>12228</v>
      </c>
      <c r="B7213" s="1">
        <v>44770</v>
      </c>
      <c r="C7213" t="s">
        <v>1335</v>
      </c>
      <c r="D7213" t="s">
        <v>13</v>
      </c>
      <c r="E7213" t="s">
        <v>20</v>
      </c>
      <c r="F7213" t="s">
        <v>27</v>
      </c>
      <c r="G7213">
        <v>1</v>
      </c>
      <c r="H7213">
        <v>2596.13</v>
      </c>
      <c r="I7213">
        <v>549.05999999999995</v>
      </c>
      <c r="J7213" t="s">
        <v>16</v>
      </c>
      <c r="K7213" t="s">
        <v>33</v>
      </c>
      <c r="L7213">
        <f t="shared" si="336"/>
        <v>2022</v>
      </c>
      <c r="M7213" t="str">
        <f t="shared" si="337"/>
        <v>Jul</v>
      </c>
      <c r="N7213" s="2">
        <f t="shared" si="338"/>
        <v>0.21149172036839448</v>
      </c>
    </row>
    <row r="7214" spans="1:14" x14ac:dyDescent="0.45">
      <c r="A7214" t="s">
        <v>12229</v>
      </c>
      <c r="B7214" s="1">
        <v>44918</v>
      </c>
      <c r="C7214" t="s">
        <v>12230</v>
      </c>
      <c r="D7214" t="s">
        <v>56</v>
      </c>
      <c r="E7214" t="s">
        <v>36</v>
      </c>
      <c r="F7214" t="s">
        <v>53</v>
      </c>
      <c r="G7214">
        <v>2</v>
      </c>
      <c r="H7214">
        <v>43099.25</v>
      </c>
      <c r="I7214">
        <v>8217.42</v>
      </c>
      <c r="J7214" t="s">
        <v>22</v>
      </c>
      <c r="K7214" t="s">
        <v>29</v>
      </c>
      <c r="L7214">
        <f t="shared" si="336"/>
        <v>2022</v>
      </c>
      <c r="M7214" t="str">
        <f t="shared" si="337"/>
        <v>Dec</v>
      </c>
      <c r="N7214" s="2">
        <f t="shared" si="338"/>
        <v>0.19066271454839701</v>
      </c>
    </row>
    <row r="7215" spans="1:14" x14ac:dyDescent="0.45">
      <c r="A7215" t="s">
        <v>12231</v>
      </c>
      <c r="B7215" s="1">
        <v>45266</v>
      </c>
      <c r="C7215" t="s">
        <v>12232</v>
      </c>
      <c r="D7215" t="s">
        <v>13</v>
      </c>
      <c r="E7215" t="s">
        <v>20</v>
      </c>
      <c r="F7215" t="s">
        <v>50</v>
      </c>
      <c r="G7215">
        <v>4</v>
      </c>
      <c r="H7215">
        <v>17776.16</v>
      </c>
      <c r="I7215">
        <v>1561.22</v>
      </c>
      <c r="J7215" t="s">
        <v>28</v>
      </c>
      <c r="K7215" t="s">
        <v>17</v>
      </c>
      <c r="L7215">
        <f t="shared" si="336"/>
        <v>2023</v>
      </c>
      <c r="M7215" t="str">
        <f t="shared" si="337"/>
        <v>Dec</v>
      </c>
      <c r="N7215" s="2">
        <f t="shared" si="338"/>
        <v>8.7826617222167225E-2</v>
      </c>
    </row>
    <row r="7216" spans="1:14" x14ac:dyDescent="0.45">
      <c r="A7216" t="s">
        <v>12233</v>
      </c>
      <c r="B7216" s="1">
        <v>45303</v>
      </c>
      <c r="C7216" t="s">
        <v>12234</v>
      </c>
      <c r="D7216" t="s">
        <v>56</v>
      </c>
      <c r="E7216" t="s">
        <v>14</v>
      </c>
      <c r="F7216" t="s">
        <v>15</v>
      </c>
      <c r="G7216">
        <v>2</v>
      </c>
      <c r="H7216">
        <v>28644</v>
      </c>
      <c r="I7216">
        <v>6207.23</v>
      </c>
      <c r="J7216" t="s">
        <v>71</v>
      </c>
      <c r="K7216" t="s">
        <v>23</v>
      </c>
      <c r="L7216">
        <f t="shared" si="336"/>
        <v>2024</v>
      </c>
      <c r="M7216" t="str">
        <f t="shared" si="337"/>
        <v>Jan</v>
      </c>
      <c r="N7216" s="2">
        <f t="shared" si="338"/>
        <v>0.21670262533165757</v>
      </c>
    </row>
    <row r="7217" spans="1:14" x14ac:dyDescent="0.45">
      <c r="A7217" t="s">
        <v>12235</v>
      </c>
      <c r="B7217" s="1">
        <v>45131</v>
      </c>
      <c r="C7217" t="s">
        <v>12236</v>
      </c>
      <c r="D7217" t="s">
        <v>56</v>
      </c>
      <c r="E7217" t="s">
        <v>14</v>
      </c>
      <c r="F7217" t="s">
        <v>57</v>
      </c>
      <c r="G7217">
        <v>4</v>
      </c>
      <c r="H7217">
        <v>39474.879999999997</v>
      </c>
      <c r="I7217">
        <v>6506.2</v>
      </c>
      <c r="J7217" t="s">
        <v>22</v>
      </c>
      <c r="K7217" t="s">
        <v>23</v>
      </c>
      <c r="L7217">
        <f t="shared" si="336"/>
        <v>2023</v>
      </c>
      <c r="M7217" t="str">
        <f t="shared" si="337"/>
        <v>Jul</v>
      </c>
      <c r="N7217" s="2">
        <f t="shared" si="338"/>
        <v>0.16481874042429009</v>
      </c>
    </row>
    <row r="7218" spans="1:14" x14ac:dyDescent="0.45">
      <c r="A7218" t="s">
        <v>12237</v>
      </c>
      <c r="B7218" s="1">
        <v>44917</v>
      </c>
      <c r="C7218" t="s">
        <v>12238</v>
      </c>
      <c r="D7218" t="s">
        <v>26</v>
      </c>
      <c r="E7218" t="s">
        <v>36</v>
      </c>
      <c r="F7218" t="s">
        <v>53</v>
      </c>
      <c r="G7218">
        <v>3</v>
      </c>
      <c r="H7218">
        <v>16612.330000000002</v>
      </c>
      <c r="I7218">
        <v>4128.7</v>
      </c>
      <c r="J7218" t="s">
        <v>16</v>
      </c>
      <c r="K7218" t="s">
        <v>33</v>
      </c>
      <c r="L7218">
        <f t="shared" si="336"/>
        <v>2022</v>
      </c>
      <c r="M7218" t="str">
        <f t="shared" si="337"/>
        <v>Dec</v>
      </c>
      <c r="N7218" s="2">
        <f t="shared" si="338"/>
        <v>0.24853226488999433</v>
      </c>
    </row>
    <row r="7219" spans="1:14" x14ac:dyDescent="0.45">
      <c r="A7219" t="s">
        <v>12239</v>
      </c>
      <c r="B7219" s="1">
        <v>44890</v>
      </c>
      <c r="C7219" t="s">
        <v>7387</v>
      </c>
      <c r="D7219" t="s">
        <v>13</v>
      </c>
      <c r="E7219" t="s">
        <v>36</v>
      </c>
      <c r="F7219" t="s">
        <v>46</v>
      </c>
      <c r="G7219">
        <v>2</v>
      </c>
      <c r="H7219">
        <v>29821.73</v>
      </c>
      <c r="I7219">
        <v>3613.77</v>
      </c>
      <c r="J7219" t="s">
        <v>71</v>
      </c>
      <c r="K7219" t="s">
        <v>29</v>
      </c>
      <c r="L7219">
        <f t="shared" si="336"/>
        <v>2022</v>
      </c>
      <c r="M7219" t="str">
        <f t="shared" si="337"/>
        <v>Nov</v>
      </c>
      <c r="N7219" s="2">
        <f t="shared" si="338"/>
        <v>0.12117908652516135</v>
      </c>
    </row>
    <row r="7220" spans="1:14" x14ac:dyDescent="0.45">
      <c r="A7220" t="s">
        <v>12240</v>
      </c>
      <c r="B7220" s="1">
        <v>45553</v>
      </c>
      <c r="C7220" t="s">
        <v>12241</v>
      </c>
      <c r="D7220" t="s">
        <v>56</v>
      </c>
      <c r="E7220" t="s">
        <v>36</v>
      </c>
      <c r="F7220" t="s">
        <v>37</v>
      </c>
      <c r="G7220">
        <v>5</v>
      </c>
      <c r="H7220">
        <v>34853.58</v>
      </c>
      <c r="I7220">
        <v>2096.0500000000002</v>
      </c>
      <c r="J7220" t="s">
        <v>47</v>
      </c>
      <c r="K7220" t="s">
        <v>33</v>
      </c>
      <c r="L7220">
        <f t="shared" si="336"/>
        <v>2024</v>
      </c>
      <c r="M7220" t="str">
        <f t="shared" si="337"/>
        <v>Sep</v>
      </c>
      <c r="N7220" s="2">
        <f t="shared" si="338"/>
        <v>6.0138728934014812E-2</v>
      </c>
    </row>
    <row r="7221" spans="1:14" x14ac:dyDescent="0.45">
      <c r="A7221" t="s">
        <v>12242</v>
      </c>
      <c r="B7221" s="1">
        <v>44562</v>
      </c>
      <c r="C7221" t="s">
        <v>562</v>
      </c>
      <c r="D7221" t="s">
        <v>26</v>
      </c>
      <c r="E7221" t="s">
        <v>36</v>
      </c>
      <c r="F7221" t="s">
        <v>37</v>
      </c>
      <c r="G7221">
        <v>2</v>
      </c>
      <c r="H7221">
        <v>3896.13</v>
      </c>
      <c r="I7221">
        <v>645.98</v>
      </c>
      <c r="J7221" t="s">
        <v>16</v>
      </c>
      <c r="K7221" t="s">
        <v>23</v>
      </c>
      <c r="L7221">
        <f t="shared" si="336"/>
        <v>2022</v>
      </c>
      <c r="M7221" t="str">
        <f t="shared" si="337"/>
        <v>Jan</v>
      </c>
      <c r="N7221" s="2">
        <f t="shared" si="338"/>
        <v>0.16580042247050278</v>
      </c>
    </row>
    <row r="7222" spans="1:14" x14ac:dyDescent="0.45">
      <c r="A7222" t="s">
        <v>12243</v>
      </c>
      <c r="B7222" s="1">
        <v>45445</v>
      </c>
      <c r="C7222" t="s">
        <v>12244</v>
      </c>
      <c r="D7222" t="s">
        <v>13</v>
      </c>
      <c r="E7222" t="s">
        <v>14</v>
      </c>
      <c r="F7222" t="s">
        <v>32</v>
      </c>
      <c r="G7222">
        <v>3</v>
      </c>
      <c r="H7222">
        <v>9270.6</v>
      </c>
      <c r="I7222">
        <v>2095.5300000000002</v>
      </c>
      <c r="J7222" t="s">
        <v>47</v>
      </c>
      <c r="K7222" t="s">
        <v>33</v>
      </c>
      <c r="L7222">
        <f t="shared" si="336"/>
        <v>2024</v>
      </c>
      <c r="M7222" t="str">
        <f t="shared" si="337"/>
        <v>Jun</v>
      </c>
      <c r="N7222" s="2">
        <f t="shared" si="338"/>
        <v>0.2260403857355511</v>
      </c>
    </row>
    <row r="7223" spans="1:14" x14ac:dyDescent="0.45">
      <c r="A7223" t="s">
        <v>12245</v>
      </c>
      <c r="B7223" s="1">
        <v>45071</v>
      </c>
      <c r="C7223" t="s">
        <v>12246</v>
      </c>
      <c r="D7223" t="s">
        <v>56</v>
      </c>
      <c r="E7223" t="s">
        <v>36</v>
      </c>
      <c r="F7223" t="s">
        <v>37</v>
      </c>
      <c r="G7223">
        <v>2</v>
      </c>
      <c r="H7223">
        <v>40882.639999999999</v>
      </c>
      <c r="I7223">
        <v>2986.07</v>
      </c>
      <c r="J7223" t="s">
        <v>22</v>
      </c>
      <c r="K7223" t="s">
        <v>17</v>
      </c>
      <c r="L7223">
        <f t="shared" si="336"/>
        <v>2023</v>
      </c>
      <c r="M7223" t="str">
        <f t="shared" si="337"/>
        <v>May</v>
      </c>
      <c r="N7223" s="2">
        <f t="shared" si="338"/>
        <v>7.3040048294337162E-2</v>
      </c>
    </row>
    <row r="7224" spans="1:14" x14ac:dyDescent="0.45">
      <c r="A7224" t="s">
        <v>12247</v>
      </c>
      <c r="B7224" s="1">
        <v>44863</v>
      </c>
      <c r="C7224" t="s">
        <v>12248</v>
      </c>
      <c r="D7224" t="s">
        <v>56</v>
      </c>
      <c r="E7224" t="s">
        <v>20</v>
      </c>
      <c r="F7224" t="s">
        <v>50</v>
      </c>
      <c r="G7224">
        <v>1</v>
      </c>
      <c r="H7224">
        <v>5829.87</v>
      </c>
      <c r="I7224">
        <v>326.3</v>
      </c>
      <c r="J7224" t="s">
        <v>28</v>
      </c>
      <c r="K7224" t="s">
        <v>33</v>
      </c>
      <c r="L7224">
        <f t="shared" si="336"/>
        <v>2022</v>
      </c>
      <c r="M7224" t="str">
        <f t="shared" si="337"/>
        <v>Oct</v>
      </c>
      <c r="N7224" s="2">
        <f t="shared" si="338"/>
        <v>5.5970373267328434E-2</v>
      </c>
    </row>
    <row r="7225" spans="1:14" x14ac:dyDescent="0.45">
      <c r="A7225" t="s">
        <v>12249</v>
      </c>
      <c r="B7225" s="1">
        <v>45144</v>
      </c>
      <c r="C7225" t="s">
        <v>12250</v>
      </c>
      <c r="D7225" t="s">
        <v>26</v>
      </c>
      <c r="E7225" t="s">
        <v>20</v>
      </c>
      <c r="F7225" t="s">
        <v>43</v>
      </c>
      <c r="G7225">
        <v>3</v>
      </c>
      <c r="H7225">
        <v>11255.55</v>
      </c>
      <c r="I7225">
        <v>1502.66</v>
      </c>
      <c r="J7225" t="s">
        <v>71</v>
      </c>
      <c r="K7225" t="s">
        <v>33</v>
      </c>
      <c r="L7225">
        <f t="shared" si="336"/>
        <v>2023</v>
      </c>
      <c r="M7225" t="str">
        <f t="shared" si="337"/>
        <v>Aug</v>
      </c>
      <c r="N7225" s="2">
        <f t="shared" si="338"/>
        <v>0.13350391584596044</v>
      </c>
    </row>
    <row r="7226" spans="1:14" x14ac:dyDescent="0.45">
      <c r="A7226" t="s">
        <v>12251</v>
      </c>
      <c r="B7226" s="1">
        <v>45393</v>
      </c>
      <c r="C7226" t="s">
        <v>9480</v>
      </c>
      <c r="D7226" t="s">
        <v>56</v>
      </c>
      <c r="E7226" t="s">
        <v>20</v>
      </c>
      <c r="F7226" t="s">
        <v>50</v>
      </c>
      <c r="G7226">
        <v>2</v>
      </c>
      <c r="H7226">
        <v>854.74</v>
      </c>
      <c r="I7226">
        <v>148.05000000000001</v>
      </c>
      <c r="J7226" t="s">
        <v>22</v>
      </c>
      <c r="K7226" t="s">
        <v>29</v>
      </c>
      <c r="L7226">
        <f t="shared" si="336"/>
        <v>2024</v>
      </c>
      <c r="M7226" t="str">
        <f t="shared" si="337"/>
        <v>Apr</v>
      </c>
      <c r="N7226" s="2">
        <f t="shared" si="338"/>
        <v>0.17321056695603343</v>
      </c>
    </row>
    <row r="7227" spans="1:14" x14ac:dyDescent="0.45">
      <c r="A7227" t="s">
        <v>12252</v>
      </c>
      <c r="B7227" s="1">
        <v>45470</v>
      </c>
      <c r="C7227" t="s">
        <v>12253</v>
      </c>
      <c r="D7227" t="s">
        <v>13</v>
      </c>
      <c r="E7227" t="s">
        <v>14</v>
      </c>
      <c r="F7227" t="s">
        <v>57</v>
      </c>
      <c r="G7227">
        <v>2</v>
      </c>
      <c r="H7227">
        <v>1158.07</v>
      </c>
      <c r="I7227">
        <v>284.86</v>
      </c>
      <c r="J7227" t="s">
        <v>28</v>
      </c>
      <c r="K7227" t="s">
        <v>17</v>
      </c>
      <c r="L7227">
        <f t="shared" si="336"/>
        <v>2024</v>
      </c>
      <c r="M7227" t="str">
        <f t="shared" si="337"/>
        <v>Jun</v>
      </c>
      <c r="N7227" s="2">
        <f t="shared" si="338"/>
        <v>0.24597822238724779</v>
      </c>
    </row>
    <row r="7228" spans="1:14" x14ac:dyDescent="0.45">
      <c r="A7228" t="s">
        <v>12254</v>
      </c>
      <c r="B7228" s="1">
        <v>45418</v>
      </c>
      <c r="C7228" t="s">
        <v>3178</v>
      </c>
      <c r="D7228" t="s">
        <v>56</v>
      </c>
      <c r="E7228" t="s">
        <v>20</v>
      </c>
      <c r="F7228" t="s">
        <v>43</v>
      </c>
      <c r="G7228">
        <v>3</v>
      </c>
      <c r="H7228">
        <v>1633.82</v>
      </c>
      <c r="I7228">
        <v>377.47</v>
      </c>
      <c r="J7228" t="s">
        <v>71</v>
      </c>
      <c r="K7228" t="s">
        <v>33</v>
      </c>
      <c r="L7228">
        <f t="shared" si="336"/>
        <v>2024</v>
      </c>
      <c r="M7228" t="str">
        <f t="shared" si="337"/>
        <v>May</v>
      </c>
      <c r="N7228" s="2">
        <f t="shared" si="338"/>
        <v>0.23103524256037999</v>
      </c>
    </row>
    <row r="7229" spans="1:14" x14ac:dyDescent="0.45">
      <c r="A7229" t="s">
        <v>12255</v>
      </c>
      <c r="B7229" s="1">
        <v>44892</v>
      </c>
      <c r="C7229" t="s">
        <v>6162</v>
      </c>
      <c r="D7229" t="s">
        <v>56</v>
      </c>
      <c r="E7229" t="s">
        <v>20</v>
      </c>
      <c r="F7229" t="s">
        <v>21</v>
      </c>
      <c r="G7229">
        <v>4</v>
      </c>
      <c r="H7229">
        <v>17478.060000000001</v>
      </c>
      <c r="I7229">
        <v>3892.99</v>
      </c>
      <c r="J7229" t="s">
        <v>71</v>
      </c>
      <c r="K7229" t="s">
        <v>23</v>
      </c>
      <c r="L7229">
        <f t="shared" si="336"/>
        <v>2022</v>
      </c>
      <c r="M7229" t="str">
        <f t="shared" si="337"/>
        <v>Nov</v>
      </c>
      <c r="N7229" s="2">
        <f t="shared" si="338"/>
        <v>0.22273581850617286</v>
      </c>
    </row>
    <row r="7230" spans="1:14" x14ac:dyDescent="0.45">
      <c r="A7230" t="s">
        <v>12256</v>
      </c>
      <c r="B7230" s="1">
        <v>44710</v>
      </c>
      <c r="C7230" t="s">
        <v>12257</v>
      </c>
      <c r="D7230" t="s">
        <v>56</v>
      </c>
      <c r="E7230" t="s">
        <v>36</v>
      </c>
      <c r="F7230" t="s">
        <v>53</v>
      </c>
      <c r="G7230">
        <v>1</v>
      </c>
      <c r="H7230">
        <v>22004.85</v>
      </c>
      <c r="I7230">
        <v>3441.97</v>
      </c>
      <c r="J7230" t="s">
        <v>28</v>
      </c>
      <c r="K7230" t="s">
        <v>17</v>
      </c>
      <c r="L7230">
        <f t="shared" si="336"/>
        <v>2022</v>
      </c>
      <c r="M7230" t="str">
        <f t="shared" si="337"/>
        <v>May</v>
      </c>
      <c r="N7230" s="2">
        <f t="shared" si="338"/>
        <v>0.15641869860508026</v>
      </c>
    </row>
    <row r="7231" spans="1:14" x14ac:dyDescent="0.45">
      <c r="A7231" t="s">
        <v>12258</v>
      </c>
      <c r="B7231" s="1">
        <v>45628</v>
      </c>
      <c r="C7231" t="s">
        <v>12259</v>
      </c>
      <c r="D7231" t="s">
        <v>26</v>
      </c>
      <c r="E7231" t="s">
        <v>20</v>
      </c>
      <c r="F7231" t="s">
        <v>50</v>
      </c>
      <c r="G7231">
        <v>1</v>
      </c>
      <c r="H7231">
        <v>891.22</v>
      </c>
      <c r="I7231">
        <v>74.489999999999995</v>
      </c>
      <c r="J7231" t="s">
        <v>71</v>
      </c>
      <c r="K7231" t="s">
        <v>23</v>
      </c>
      <c r="L7231">
        <f t="shared" si="336"/>
        <v>2024</v>
      </c>
      <c r="M7231" t="str">
        <f t="shared" si="337"/>
        <v>Dec</v>
      </c>
      <c r="N7231" s="2">
        <f t="shared" si="338"/>
        <v>8.3582056057987922E-2</v>
      </c>
    </row>
    <row r="7232" spans="1:14" x14ac:dyDescent="0.45">
      <c r="A7232" t="s">
        <v>12260</v>
      </c>
      <c r="B7232" s="1">
        <v>45420</v>
      </c>
      <c r="C7232" t="s">
        <v>9925</v>
      </c>
      <c r="D7232" t="s">
        <v>13</v>
      </c>
      <c r="E7232" t="s">
        <v>20</v>
      </c>
      <c r="F7232" t="s">
        <v>50</v>
      </c>
      <c r="G7232">
        <v>3</v>
      </c>
      <c r="H7232">
        <v>1728.14</v>
      </c>
      <c r="I7232">
        <v>363.53</v>
      </c>
      <c r="J7232" t="s">
        <v>71</v>
      </c>
      <c r="K7232" t="s">
        <v>33</v>
      </c>
      <c r="L7232">
        <f t="shared" si="336"/>
        <v>2024</v>
      </c>
      <c r="M7232" t="str">
        <f t="shared" si="337"/>
        <v>May</v>
      </c>
      <c r="N7232" s="2">
        <f t="shared" si="338"/>
        <v>0.21035911442359992</v>
      </c>
    </row>
    <row r="7233" spans="1:14" x14ac:dyDescent="0.45">
      <c r="A7233" t="s">
        <v>12261</v>
      </c>
      <c r="B7233" s="1">
        <v>44759</v>
      </c>
      <c r="C7233" t="s">
        <v>9220</v>
      </c>
      <c r="D7233" t="s">
        <v>26</v>
      </c>
      <c r="E7233" t="s">
        <v>20</v>
      </c>
      <c r="F7233" t="s">
        <v>43</v>
      </c>
      <c r="G7233">
        <v>5</v>
      </c>
      <c r="H7233">
        <v>19310.490000000002</v>
      </c>
      <c r="I7233">
        <v>4672.41</v>
      </c>
      <c r="J7233" t="s">
        <v>16</v>
      </c>
      <c r="K7233" t="s">
        <v>33</v>
      </c>
      <c r="L7233">
        <f t="shared" si="336"/>
        <v>2022</v>
      </c>
      <c r="M7233" t="str">
        <f t="shared" si="337"/>
        <v>Jul</v>
      </c>
      <c r="N7233" s="2">
        <f t="shared" si="338"/>
        <v>0.24196227024793257</v>
      </c>
    </row>
    <row r="7234" spans="1:14" x14ac:dyDescent="0.45">
      <c r="A7234" t="s">
        <v>12262</v>
      </c>
      <c r="B7234" s="1">
        <v>45438</v>
      </c>
      <c r="C7234" t="s">
        <v>12263</v>
      </c>
      <c r="D7234" t="s">
        <v>13</v>
      </c>
      <c r="E7234" t="s">
        <v>20</v>
      </c>
      <c r="F7234" t="s">
        <v>27</v>
      </c>
      <c r="G7234">
        <v>2</v>
      </c>
      <c r="H7234">
        <v>1874.57</v>
      </c>
      <c r="I7234">
        <v>164.94</v>
      </c>
      <c r="J7234" t="s">
        <v>28</v>
      </c>
      <c r="K7234" t="s">
        <v>29</v>
      </c>
      <c r="L7234">
        <f t="shared" si="336"/>
        <v>2024</v>
      </c>
      <c r="M7234" t="str">
        <f t="shared" si="337"/>
        <v>May</v>
      </c>
      <c r="N7234" s="2">
        <f t="shared" si="338"/>
        <v>8.7988178622297381E-2</v>
      </c>
    </row>
    <row r="7235" spans="1:14" x14ac:dyDescent="0.45">
      <c r="A7235" t="s">
        <v>12264</v>
      </c>
      <c r="B7235" s="1">
        <v>45555</v>
      </c>
      <c r="C7235" t="s">
        <v>12265</v>
      </c>
      <c r="D7235" t="s">
        <v>56</v>
      </c>
      <c r="E7235" t="s">
        <v>20</v>
      </c>
      <c r="F7235" t="s">
        <v>50</v>
      </c>
      <c r="G7235">
        <v>4</v>
      </c>
      <c r="H7235">
        <v>16576.29</v>
      </c>
      <c r="I7235">
        <v>1945.43</v>
      </c>
      <c r="J7235" t="s">
        <v>16</v>
      </c>
      <c r="K7235" t="s">
        <v>23</v>
      </c>
      <c r="L7235">
        <f t="shared" ref="L7235:L7298" si="339">YEAR(B7235 )</f>
        <v>2024</v>
      </c>
      <c r="M7235" t="str">
        <f t="shared" ref="M7235:M7298" si="340">TEXT(B7235,"MMM")</f>
        <v>Sep</v>
      </c>
      <c r="N7235" s="2">
        <f t="shared" ref="N7235:N7298" si="341">I7235 / H7235</f>
        <v>0.11736220831078607</v>
      </c>
    </row>
    <row r="7236" spans="1:14" x14ac:dyDescent="0.45">
      <c r="A7236" t="s">
        <v>12266</v>
      </c>
      <c r="B7236" s="1">
        <v>45009</v>
      </c>
      <c r="C7236" t="s">
        <v>12267</v>
      </c>
      <c r="D7236" t="s">
        <v>13</v>
      </c>
      <c r="E7236" t="s">
        <v>20</v>
      </c>
      <c r="F7236" t="s">
        <v>43</v>
      </c>
      <c r="G7236">
        <v>4</v>
      </c>
      <c r="H7236">
        <v>12695.43</v>
      </c>
      <c r="I7236">
        <v>2456.08</v>
      </c>
      <c r="J7236" t="s">
        <v>22</v>
      </c>
      <c r="K7236" t="s">
        <v>29</v>
      </c>
      <c r="L7236">
        <f t="shared" si="339"/>
        <v>2023</v>
      </c>
      <c r="M7236" t="str">
        <f t="shared" si="340"/>
        <v>Mar</v>
      </c>
      <c r="N7236" s="2">
        <f t="shared" si="341"/>
        <v>0.19346174174486408</v>
      </c>
    </row>
    <row r="7237" spans="1:14" x14ac:dyDescent="0.45">
      <c r="A7237" t="s">
        <v>12268</v>
      </c>
      <c r="B7237" s="1">
        <v>44566</v>
      </c>
      <c r="C7237" t="s">
        <v>12269</v>
      </c>
      <c r="D7237" t="s">
        <v>26</v>
      </c>
      <c r="E7237" t="s">
        <v>36</v>
      </c>
      <c r="F7237" t="s">
        <v>46</v>
      </c>
      <c r="G7237">
        <v>5</v>
      </c>
      <c r="H7237">
        <v>36133.33</v>
      </c>
      <c r="I7237">
        <v>6685.22</v>
      </c>
      <c r="J7237" t="s">
        <v>47</v>
      </c>
      <c r="K7237" t="s">
        <v>29</v>
      </c>
      <c r="L7237">
        <f t="shared" si="339"/>
        <v>2022</v>
      </c>
      <c r="M7237" t="str">
        <f t="shared" si="340"/>
        <v>Jan</v>
      </c>
      <c r="N7237" s="2">
        <f t="shared" si="341"/>
        <v>0.18501533072097145</v>
      </c>
    </row>
    <row r="7238" spans="1:14" x14ac:dyDescent="0.45">
      <c r="A7238" t="s">
        <v>12270</v>
      </c>
      <c r="B7238" s="1">
        <v>44852</v>
      </c>
      <c r="C7238" t="s">
        <v>3263</v>
      </c>
      <c r="D7238" t="s">
        <v>56</v>
      </c>
      <c r="E7238" t="s">
        <v>14</v>
      </c>
      <c r="F7238" t="s">
        <v>15</v>
      </c>
      <c r="G7238">
        <v>4</v>
      </c>
      <c r="H7238">
        <v>10731.87</v>
      </c>
      <c r="I7238">
        <v>1465.8</v>
      </c>
      <c r="J7238" t="s">
        <v>28</v>
      </c>
      <c r="K7238" t="s">
        <v>29</v>
      </c>
      <c r="L7238">
        <f t="shared" si="339"/>
        <v>2022</v>
      </c>
      <c r="M7238" t="str">
        <f t="shared" si="340"/>
        <v>Oct</v>
      </c>
      <c r="N7238" s="2">
        <f t="shared" si="341"/>
        <v>0.13658383860408296</v>
      </c>
    </row>
    <row r="7239" spans="1:14" x14ac:dyDescent="0.45">
      <c r="A7239" t="s">
        <v>12271</v>
      </c>
      <c r="B7239" s="1">
        <v>45120</v>
      </c>
      <c r="C7239" t="s">
        <v>10879</v>
      </c>
      <c r="D7239" t="s">
        <v>26</v>
      </c>
      <c r="E7239" t="s">
        <v>14</v>
      </c>
      <c r="F7239" t="s">
        <v>40</v>
      </c>
      <c r="G7239">
        <v>1</v>
      </c>
      <c r="H7239">
        <v>21916.38</v>
      </c>
      <c r="I7239">
        <v>2007.99</v>
      </c>
      <c r="J7239" t="s">
        <v>47</v>
      </c>
      <c r="K7239" t="s">
        <v>33</v>
      </c>
      <c r="L7239">
        <f t="shared" si="339"/>
        <v>2023</v>
      </c>
      <c r="M7239" t="str">
        <f t="shared" si="340"/>
        <v>Jul</v>
      </c>
      <c r="N7239" s="2">
        <f t="shared" si="341"/>
        <v>9.1620513971741674E-2</v>
      </c>
    </row>
    <row r="7240" spans="1:14" x14ac:dyDescent="0.45">
      <c r="A7240" t="s">
        <v>12272</v>
      </c>
      <c r="B7240" s="1">
        <v>44992</v>
      </c>
      <c r="C7240" t="s">
        <v>12273</v>
      </c>
      <c r="D7240" t="s">
        <v>26</v>
      </c>
      <c r="E7240" t="s">
        <v>36</v>
      </c>
      <c r="F7240" t="s">
        <v>46</v>
      </c>
      <c r="G7240">
        <v>1</v>
      </c>
      <c r="H7240">
        <v>3708.34</v>
      </c>
      <c r="I7240">
        <v>575.74</v>
      </c>
      <c r="J7240" t="s">
        <v>28</v>
      </c>
      <c r="K7240" t="s">
        <v>17</v>
      </c>
      <c r="L7240">
        <f t="shared" si="339"/>
        <v>2023</v>
      </c>
      <c r="M7240" t="str">
        <f t="shared" si="340"/>
        <v>Mar</v>
      </c>
      <c r="N7240" s="2">
        <f t="shared" si="341"/>
        <v>0.15525545122615508</v>
      </c>
    </row>
    <row r="7241" spans="1:14" x14ac:dyDescent="0.45">
      <c r="A7241" t="s">
        <v>12274</v>
      </c>
      <c r="B7241" s="1">
        <v>44598</v>
      </c>
      <c r="C7241" t="s">
        <v>12275</v>
      </c>
      <c r="D7241" t="s">
        <v>26</v>
      </c>
      <c r="E7241" t="s">
        <v>20</v>
      </c>
      <c r="F7241" t="s">
        <v>21</v>
      </c>
      <c r="G7241">
        <v>3</v>
      </c>
      <c r="H7241">
        <v>3058.82</v>
      </c>
      <c r="I7241">
        <v>363.88</v>
      </c>
      <c r="J7241" t="s">
        <v>71</v>
      </c>
      <c r="K7241" t="s">
        <v>33</v>
      </c>
      <c r="L7241">
        <f t="shared" si="339"/>
        <v>2022</v>
      </c>
      <c r="M7241" t="str">
        <f t="shared" si="340"/>
        <v>Feb</v>
      </c>
      <c r="N7241" s="2">
        <f t="shared" si="341"/>
        <v>0.11896090649335364</v>
      </c>
    </row>
    <row r="7242" spans="1:14" x14ac:dyDescent="0.45">
      <c r="A7242" t="s">
        <v>12276</v>
      </c>
      <c r="B7242" s="1">
        <v>45397</v>
      </c>
      <c r="C7242" t="s">
        <v>12277</v>
      </c>
      <c r="D7242" t="s">
        <v>26</v>
      </c>
      <c r="E7242" t="s">
        <v>20</v>
      </c>
      <c r="F7242" t="s">
        <v>43</v>
      </c>
      <c r="G7242">
        <v>5</v>
      </c>
      <c r="H7242">
        <v>31581.4</v>
      </c>
      <c r="I7242">
        <v>2804.61</v>
      </c>
      <c r="J7242" t="s">
        <v>16</v>
      </c>
      <c r="K7242" t="s">
        <v>23</v>
      </c>
      <c r="L7242">
        <f t="shared" si="339"/>
        <v>2024</v>
      </c>
      <c r="M7242" t="str">
        <f t="shared" si="340"/>
        <v>Apr</v>
      </c>
      <c r="N7242" s="2">
        <f t="shared" si="341"/>
        <v>8.8805752753202835E-2</v>
      </c>
    </row>
    <row r="7243" spans="1:14" x14ac:dyDescent="0.45">
      <c r="A7243" t="s">
        <v>12278</v>
      </c>
      <c r="B7243" s="1">
        <v>45268</v>
      </c>
      <c r="C7243" t="s">
        <v>12279</v>
      </c>
      <c r="D7243" t="s">
        <v>13</v>
      </c>
      <c r="E7243" t="s">
        <v>36</v>
      </c>
      <c r="F7243" t="s">
        <v>37</v>
      </c>
      <c r="G7243">
        <v>5</v>
      </c>
      <c r="H7243">
        <v>3326.19</v>
      </c>
      <c r="I7243">
        <v>657.08</v>
      </c>
      <c r="J7243" t="s">
        <v>28</v>
      </c>
      <c r="K7243" t="s">
        <v>29</v>
      </c>
      <c r="L7243">
        <f t="shared" si="339"/>
        <v>2023</v>
      </c>
      <c r="M7243" t="str">
        <f t="shared" si="340"/>
        <v>Dec</v>
      </c>
      <c r="N7243" s="2">
        <f t="shared" si="341"/>
        <v>0.19754734395810222</v>
      </c>
    </row>
    <row r="7244" spans="1:14" x14ac:dyDescent="0.45">
      <c r="A7244" t="s">
        <v>12280</v>
      </c>
      <c r="B7244" s="1">
        <v>45025</v>
      </c>
      <c r="C7244" t="s">
        <v>12281</v>
      </c>
      <c r="D7244" t="s">
        <v>26</v>
      </c>
      <c r="E7244" t="s">
        <v>36</v>
      </c>
      <c r="F7244" t="s">
        <v>64</v>
      </c>
      <c r="G7244">
        <v>3</v>
      </c>
      <c r="H7244">
        <v>9813.5400000000009</v>
      </c>
      <c r="I7244">
        <v>1163.08</v>
      </c>
      <c r="J7244" t="s">
        <v>16</v>
      </c>
      <c r="K7244" t="s">
        <v>17</v>
      </c>
      <c r="L7244">
        <f t="shared" si="339"/>
        <v>2023</v>
      </c>
      <c r="M7244" t="str">
        <f t="shared" si="340"/>
        <v>Apr</v>
      </c>
      <c r="N7244" s="2">
        <f t="shared" si="341"/>
        <v>0.11851788447390033</v>
      </c>
    </row>
    <row r="7245" spans="1:14" x14ac:dyDescent="0.45">
      <c r="A7245" t="s">
        <v>12282</v>
      </c>
      <c r="B7245" s="1">
        <v>44917</v>
      </c>
      <c r="C7245" t="s">
        <v>12283</v>
      </c>
      <c r="D7245" t="s">
        <v>13</v>
      </c>
      <c r="E7245" t="s">
        <v>14</v>
      </c>
      <c r="F7245" t="s">
        <v>32</v>
      </c>
      <c r="G7245">
        <v>5</v>
      </c>
      <c r="H7245">
        <v>26444.31</v>
      </c>
      <c r="I7245">
        <v>5016.83</v>
      </c>
      <c r="J7245" t="s">
        <v>22</v>
      </c>
      <c r="K7245" t="s">
        <v>17</v>
      </c>
      <c r="L7245">
        <f t="shared" si="339"/>
        <v>2022</v>
      </c>
      <c r="M7245" t="str">
        <f t="shared" si="340"/>
        <v>Dec</v>
      </c>
      <c r="N7245" s="2">
        <f t="shared" si="341"/>
        <v>0.18971302333091691</v>
      </c>
    </row>
    <row r="7246" spans="1:14" x14ac:dyDescent="0.45">
      <c r="A7246" t="s">
        <v>12284</v>
      </c>
      <c r="B7246" s="1">
        <v>45107</v>
      </c>
      <c r="C7246" t="s">
        <v>4642</v>
      </c>
      <c r="D7246" t="s">
        <v>26</v>
      </c>
      <c r="E7246" t="s">
        <v>36</v>
      </c>
      <c r="F7246" t="s">
        <v>37</v>
      </c>
      <c r="G7246">
        <v>2</v>
      </c>
      <c r="H7246">
        <v>39714.559999999998</v>
      </c>
      <c r="I7246">
        <v>9673.36</v>
      </c>
      <c r="J7246" t="s">
        <v>28</v>
      </c>
      <c r="K7246" t="s">
        <v>23</v>
      </c>
      <c r="L7246">
        <f t="shared" si="339"/>
        <v>2023</v>
      </c>
      <c r="M7246" t="str">
        <f t="shared" si="340"/>
        <v>Jun</v>
      </c>
      <c r="N7246" s="2">
        <f t="shared" si="341"/>
        <v>0.24357213072485256</v>
      </c>
    </row>
    <row r="7247" spans="1:14" x14ac:dyDescent="0.45">
      <c r="A7247" t="s">
        <v>12285</v>
      </c>
      <c r="B7247" s="1">
        <v>44919</v>
      </c>
      <c r="C7247" t="s">
        <v>7907</v>
      </c>
      <c r="D7247" t="s">
        <v>13</v>
      </c>
      <c r="E7247" t="s">
        <v>20</v>
      </c>
      <c r="F7247" t="s">
        <v>50</v>
      </c>
      <c r="G7247">
        <v>5</v>
      </c>
      <c r="H7247">
        <v>33602.69</v>
      </c>
      <c r="I7247">
        <v>6684.9</v>
      </c>
      <c r="J7247" t="s">
        <v>16</v>
      </c>
      <c r="K7247" t="s">
        <v>23</v>
      </c>
      <c r="L7247">
        <f t="shared" si="339"/>
        <v>2022</v>
      </c>
      <c r="M7247" t="str">
        <f t="shared" si="340"/>
        <v>Dec</v>
      </c>
      <c r="N7247" s="2">
        <f t="shared" si="341"/>
        <v>0.19893943014681262</v>
      </c>
    </row>
    <row r="7248" spans="1:14" x14ac:dyDescent="0.45">
      <c r="A7248" t="s">
        <v>12286</v>
      </c>
      <c r="B7248" s="1">
        <v>44955</v>
      </c>
      <c r="C7248" t="s">
        <v>2165</v>
      </c>
      <c r="D7248" t="s">
        <v>13</v>
      </c>
      <c r="E7248" t="s">
        <v>36</v>
      </c>
      <c r="F7248" t="s">
        <v>37</v>
      </c>
      <c r="G7248">
        <v>4</v>
      </c>
      <c r="H7248">
        <v>39885.83</v>
      </c>
      <c r="I7248">
        <v>4854.87</v>
      </c>
      <c r="J7248" t="s">
        <v>71</v>
      </c>
      <c r="K7248" t="s">
        <v>29</v>
      </c>
      <c r="L7248">
        <f t="shared" si="339"/>
        <v>2023</v>
      </c>
      <c r="M7248" t="str">
        <f t="shared" si="340"/>
        <v>Jan</v>
      </c>
      <c r="N7248" s="2">
        <f t="shared" si="341"/>
        <v>0.12171916693221627</v>
      </c>
    </row>
    <row r="7249" spans="1:14" x14ac:dyDescent="0.45">
      <c r="A7249" t="s">
        <v>12287</v>
      </c>
      <c r="B7249" s="1">
        <v>45116</v>
      </c>
      <c r="C7249" t="s">
        <v>568</v>
      </c>
      <c r="D7249" t="s">
        <v>56</v>
      </c>
      <c r="E7249" t="s">
        <v>36</v>
      </c>
      <c r="F7249" t="s">
        <v>64</v>
      </c>
      <c r="G7249">
        <v>3</v>
      </c>
      <c r="H7249">
        <v>39839.4</v>
      </c>
      <c r="I7249">
        <v>7698.77</v>
      </c>
      <c r="J7249" t="s">
        <v>28</v>
      </c>
      <c r="K7249" t="s">
        <v>23</v>
      </c>
      <c r="L7249">
        <f t="shared" si="339"/>
        <v>2023</v>
      </c>
      <c r="M7249" t="str">
        <f t="shared" si="340"/>
        <v>Jul</v>
      </c>
      <c r="N7249" s="2">
        <f t="shared" si="341"/>
        <v>0.19324512919371276</v>
      </c>
    </row>
    <row r="7250" spans="1:14" x14ac:dyDescent="0.45">
      <c r="A7250" t="s">
        <v>12288</v>
      </c>
      <c r="B7250" s="1">
        <v>45434</v>
      </c>
      <c r="C7250" t="s">
        <v>9393</v>
      </c>
      <c r="D7250" t="s">
        <v>56</v>
      </c>
      <c r="E7250" t="s">
        <v>36</v>
      </c>
      <c r="F7250" t="s">
        <v>46</v>
      </c>
      <c r="G7250">
        <v>1</v>
      </c>
      <c r="H7250">
        <v>12583.5</v>
      </c>
      <c r="I7250">
        <v>1975.5</v>
      </c>
      <c r="J7250" t="s">
        <v>71</v>
      </c>
      <c r="K7250" t="s">
        <v>17</v>
      </c>
      <c r="L7250">
        <f t="shared" si="339"/>
        <v>2024</v>
      </c>
      <c r="M7250" t="str">
        <f t="shared" si="340"/>
        <v>May</v>
      </c>
      <c r="N7250" s="2">
        <f t="shared" si="341"/>
        <v>0.1569912981285016</v>
      </c>
    </row>
    <row r="7251" spans="1:14" x14ac:dyDescent="0.45">
      <c r="A7251" t="s">
        <v>12289</v>
      </c>
      <c r="B7251" s="1">
        <v>45073</v>
      </c>
      <c r="C7251" t="s">
        <v>5305</v>
      </c>
      <c r="D7251" t="s">
        <v>26</v>
      </c>
      <c r="E7251" t="s">
        <v>20</v>
      </c>
      <c r="F7251" t="s">
        <v>27</v>
      </c>
      <c r="G7251">
        <v>4</v>
      </c>
      <c r="H7251">
        <v>41782.6</v>
      </c>
      <c r="I7251">
        <v>5086.3999999999996</v>
      </c>
      <c r="J7251" t="s">
        <v>22</v>
      </c>
      <c r="K7251" t="s">
        <v>29</v>
      </c>
      <c r="L7251">
        <f t="shared" si="339"/>
        <v>2023</v>
      </c>
      <c r="M7251" t="str">
        <f t="shared" si="340"/>
        <v>May</v>
      </c>
      <c r="N7251" s="2">
        <f t="shared" si="341"/>
        <v>0.12173488485637561</v>
      </c>
    </row>
    <row r="7252" spans="1:14" x14ac:dyDescent="0.45">
      <c r="A7252" t="s">
        <v>12290</v>
      </c>
      <c r="B7252" s="1">
        <v>44936</v>
      </c>
      <c r="C7252" t="s">
        <v>8431</v>
      </c>
      <c r="D7252" t="s">
        <v>13</v>
      </c>
      <c r="E7252" t="s">
        <v>20</v>
      </c>
      <c r="F7252" t="s">
        <v>21</v>
      </c>
      <c r="G7252">
        <v>3</v>
      </c>
      <c r="H7252">
        <v>36900.93</v>
      </c>
      <c r="I7252">
        <v>7861.65</v>
      </c>
      <c r="J7252" t="s">
        <v>28</v>
      </c>
      <c r="K7252" t="s">
        <v>29</v>
      </c>
      <c r="L7252">
        <f t="shared" si="339"/>
        <v>2023</v>
      </c>
      <c r="M7252" t="str">
        <f t="shared" si="340"/>
        <v>Jan</v>
      </c>
      <c r="N7252" s="2">
        <f t="shared" si="341"/>
        <v>0.21304747603922175</v>
      </c>
    </row>
    <row r="7253" spans="1:14" x14ac:dyDescent="0.45">
      <c r="A7253" t="s">
        <v>12291</v>
      </c>
      <c r="B7253" s="1">
        <v>45581</v>
      </c>
      <c r="C7253" t="s">
        <v>12292</v>
      </c>
      <c r="D7253" t="s">
        <v>13</v>
      </c>
      <c r="E7253" t="s">
        <v>36</v>
      </c>
      <c r="F7253" t="s">
        <v>46</v>
      </c>
      <c r="G7253">
        <v>5</v>
      </c>
      <c r="H7253">
        <v>1044.9000000000001</v>
      </c>
      <c r="I7253">
        <v>190.52</v>
      </c>
      <c r="J7253" t="s">
        <v>22</v>
      </c>
      <c r="K7253" t="s">
        <v>23</v>
      </c>
      <c r="L7253">
        <f t="shared" si="339"/>
        <v>2024</v>
      </c>
      <c r="M7253" t="str">
        <f t="shared" si="340"/>
        <v>Oct</v>
      </c>
      <c r="N7253" s="2">
        <f t="shared" si="341"/>
        <v>0.18233323763039525</v>
      </c>
    </row>
    <row r="7254" spans="1:14" x14ac:dyDescent="0.45">
      <c r="A7254" t="s">
        <v>12293</v>
      </c>
      <c r="B7254" s="1">
        <v>45150</v>
      </c>
      <c r="C7254" t="s">
        <v>12294</v>
      </c>
      <c r="D7254" t="s">
        <v>26</v>
      </c>
      <c r="E7254" t="s">
        <v>20</v>
      </c>
      <c r="F7254" t="s">
        <v>21</v>
      </c>
      <c r="G7254">
        <v>2</v>
      </c>
      <c r="H7254">
        <v>38139.07</v>
      </c>
      <c r="I7254">
        <v>6483.89</v>
      </c>
      <c r="J7254" t="s">
        <v>47</v>
      </c>
      <c r="K7254" t="s">
        <v>23</v>
      </c>
      <c r="L7254">
        <f t="shared" si="339"/>
        <v>2023</v>
      </c>
      <c r="M7254" t="str">
        <f t="shared" si="340"/>
        <v>Aug</v>
      </c>
      <c r="N7254" s="2">
        <f t="shared" si="341"/>
        <v>0.17000650514026694</v>
      </c>
    </row>
    <row r="7255" spans="1:14" x14ac:dyDescent="0.45">
      <c r="A7255" t="s">
        <v>12295</v>
      </c>
      <c r="B7255" s="1">
        <v>44712</v>
      </c>
      <c r="C7255" t="s">
        <v>12296</v>
      </c>
      <c r="D7255" t="s">
        <v>13</v>
      </c>
      <c r="E7255" t="s">
        <v>20</v>
      </c>
      <c r="F7255" t="s">
        <v>43</v>
      </c>
      <c r="G7255">
        <v>1</v>
      </c>
      <c r="H7255">
        <v>14080.32</v>
      </c>
      <c r="I7255">
        <v>1762.85</v>
      </c>
      <c r="J7255" t="s">
        <v>47</v>
      </c>
      <c r="K7255" t="s">
        <v>23</v>
      </c>
      <c r="L7255">
        <f t="shared" si="339"/>
        <v>2022</v>
      </c>
      <c r="M7255" t="str">
        <f t="shared" si="340"/>
        <v>May</v>
      </c>
      <c r="N7255" s="2">
        <f t="shared" si="341"/>
        <v>0.12519956932796983</v>
      </c>
    </row>
    <row r="7256" spans="1:14" x14ac:dyDescent="0.45">
      <c r="A7256" t="s">
        <v>12297</v>
      </c>
      <c r="B7256" s="1">
        <v>45592</v>
      </c>
      <c r="C7256" t="s">
        <v>9245</v>
      </c>
      <c r="D7256" t="s">
        <v>26</v>
      </c>
      <c r="E7256" t="s">
        <v>36</v>
      </c>
      <c r="F7256" t="s">
        <v>64</v>
      </c>
      <c r="G7256">
        <v>3</v>
      </c>
      <c r="H7256">
        <v>36740.379999999997</v>
      </c>
      <c r="I7256">
        <v>8127.92</v>
      </c>
      <c r="J7256" t="s">
        <v>28</v>
      </c>
      <c r="K7256" t="s">
        <v>29</v>
      </c>
      <c r="L7256">
        <f t="shared" si="339"/>
        <v>2024</v>
      </c>
      <c r="M7256" t="str">
        <f t="shared" si="340"/>
        <v>Oct</v>
      </c>
      <c r="N7256" s="2">
        <f t="shared" si="341"/>
        <v>0.22122580114849114</v>
      </c>
    </row>
    <row r="7257" spans="1:14" x14ac:dyDescent="0.45">
      <c r="A7257" t="s">
        <v>12298</v>
      </c>
      <c r="B7257" s="1">
        <v>45380</v>
      </c>
      <c r="C7257" t="s">
        <v>12299</v>
      </c>
      <c r="D7257" t="s">
        <v>13</v>
      </c>
      <c r="E7257" t="s">
        <v>14</v>
      </c>
      <c r="F7257" t="s">
        <v>57</v>
      </c>
      <c r="G7257">
        <v>4</v>
      </c>
      <c r="H7257">
        <v>18836.02</v>
      </c>
      <c r="I7257">
        <v>4671.8999999999996</v>
      </c>
      <c r="J7257" t="s">
        <v>22</v>
      </c>
      <c r="K7257" t="s">
        <v>33</v>
      </c>
      <c r="L7257">
        <f t="shared" si="339"/>
        <v>2024</v>
      </c>
      <c r="M7257" t="str">
        <f t="shared" si="340"/>
        <v>Mar</v>
      </c>
      <c r="N7257" s="2">
        <f t="shared" si="341"/>
        <v>0.24803010402409847</v>
      </c>
    </row>
    <row r="7258" spans="1:14" x14ac:dyDescent="0.45">
      <c r="A7258" t="s">
        <v>12300</v>
      </c>
      <c r="B7258" s="1">
        <v>45294</v>
      </c>
      <c r="C7258" t="s">
        <v>12301</v>
      </c>
      <c r="D7258" t="s">
        <v>13</v>
      </c>
      <c r="E7258" t="s">
        <v>20</v>
      </c>
      <c r="F7258" t="s">
        <v>21</v>
      </c>
      <c r="G7258">
        <v>4</v>
      </c>
      <c r="H7258">
        <v>4043.88</v>
      </c>
      <c r="I7258">
        <v>912.18</v>
      </c>
      <c r="J7258" t="s">
        <v>16</v>
      </c>
      <c r="K7258" t="s">
        <v>17</v>
      </c>
      <c r="L7258">
        <f t="shared" si="339"/>
        <v>2024</v>
      </c>
      <c r="M7258" t="str">
        <f t="shared" si="340"/>
        <v>Jan</v>
      </c>
      <c r="N7258" s="2">
        <f t="shared" si="341"/>
        <v>0.22557049170598531</v>
      </c>
    </row>
    <row r="7259" spans="1:14" x14ac:dyDescent="0.45">
      <c r="A7259" t="s">
        <v>12302</v>
      </c>
      <c r="B7259" s="1">
        <v>44889</v>
      </c>
      <c r="C7259" t="s">
        <v>214</v>
      </c>
      <c r="D7259" t="s">
        <v>26</v>
      </c>
      <c r="E7259" t="s">
        <v>20</v>
      </c>
      <c r="F7259" t="s">
        <v>50</v>
      </c>
      <c r="G7259">
        <v>1</v>
      </c>
      <c r="H7259">
        <v>32938.1</v>
      </c>
      <c r="I7259">
        <v>3831.93</v>
      </c>
      <c r="J7259" t="s">
        <v>22</v>
      </c>
      <c r="K7259" t="s">
        <v>29</v>
      </c>
      <c r="L7259">
        <f t="shared" si="339"/>
        <v>2022</v>
      </c>
      <c r="M7259" t="str">
        <f t="shared" si="340"/>
        <v>Nov</v>
      </c>
      <c r="N7259" s="2">
        <f t="shared" si="341"/>
        <v>0.11633731150248497</v>
      </c>
    </row>
    <row r="7260" spans="1:14" x14ac:dyDescent="0.45">
      <c r="A7260" t="s">
        <v>12303</v>
      </c>
      <c r="B7260" s="1">
        <v>45162</v>
      </c>
      <c r="C7260" t="s">
        <v>9138</v>
      </c>
      <c r="D7260" t="s">
        <v>26</v>
      </c>
      <c r="E7260" t="s">
        <v>36</v>
      </c>
      <c r="F7260" t="s">
        <v>53</v>
      </c>
      <c r="G7260">
        <v>5</v>
      </c>
      <c r="H7260">
        <v>27477.18</v>
      </c>
      <c r="I7260">
        <v>5124.38</v>
      </c>
      <c r="J7260" t="s">
        <v>47</v>
      </c>
      <c r="K7260" t="s">
        <v>17</v>
      </c>
      <c r="L7260">
        <f t="shared" si="339"/>
        <v>2023</v>
      </c>
      <c r="M7260" t="str">
        <f t="shared" si="340"/>
        <v>Aug</v>
      </c>
      <c r="N7260" s="2">
        <f t="shared" si="341"/>
        <v>0.18649584855505549</v>
      </c>
    </row>
    <row r="7261" spans="1:14" x14ac:dyDescent="0.45">
      <c r="A7261" t="s">
        <v>12304</v>
      </c>
      <c r="B7261" s="1">
        <v>45248</v>
      </c>
      <c r="C7261" t="s">
        <v>12305</v>
      </c>
      <c r="D7261" t="s">
        <v>13</v>
      </c>
      <c r="E7261" t="s">
        <v>36</v>
      </c>
      <c r="F7261" t="s">
        <v>64</v>
      </c>
      <c r="G7261">
        <v>4</v>
      </c>
      <c r="H7261">
        <v>19617.12</v>
      </c>
      <c r="I7261">
        <v>4111.04</v>
      </c>
      <c r="J7261" t="s">
        <v>16</v>
      </c>
      <c r="K7261" t="s">
        <v>17</v>
      </c>
      <c r="L7261">
        <f t="shared" si="339"/>
        <v>2023</v>
      </c>
      <c r="M7261" t="str">
        <f t="shared" si="340"/>
        <v>Nov</v>
      </c>
      <c r="N7261" s="2">
        <f t="shared" si="341"/>
        <v>0.20956389113182772</v>
      </c>
    </row>
    <row r="7262" spans="1:14" x14ac:dyDescent="0.45">
      <c r="A7262" t="s">
        <v>12306</v>
      </c>
      <c r="B7262" s="1">
        <v>44838</v>
      </c>
      <c r="C7262" t="s">
        <v>12307</v>
      </c>
      <c r="D7262" t="s">
        <v>56</v>
      </c>
      <c r="E7262" t="s">
        <v>14</v>
      </c>
      <c r="F7262" t="s">
        <v>32</v>
      </c>
      <c r="G7262">
        <v>2</v>
      </c>
      <c r="H7262">
        <v>46146.18</v>
      </c>
      <c r="I7262">
        <v>4872.83</v>
      </c>
      <c r="J7262" t="s">
        <v>71</v>
      </c>
      <c r="K7262" t="s">
        <v>17</v>
      </c>
      <c r="L7262">
        <f t="shared" si="339"/>
        <v>2022</v>
      </c>
      <c r="M7262" t="str">
        <f t="shared" si="340"/>
        <v>Oct</v>
      </c>
      <c r="N7262" s="2">
        <f t="shared" si="341"/>
        <v>0.10559552274966205</v>
      </c>
    </row>
    <row r="7263" spans="1:14" x14ac:dyDescent="0.45">
      <c r="A7263" t="s">
        <v>12308</v>
      </c>
      <c r="B7263" s="1">
        <v>45003</v>
      </c>
      <c r="C7263" t="s">
        <v>12309</v>
      </c>
      <c r="D7263" t="s">
        <v>56</v>
      </c>
      <c r="E7263" t="s">
        <v>14</v>
      </c>
      <c r="F7263" t="s">
        <v>15</v>
      </c>
      <c r="G7263">
        <v>1</v>
      </c>
      <c r="H7263">
        <v>38309.85</v>
      </c>
      <c r="I7263">
        <v>6185.37</v>
      </c>
      <c r="J7263" t="s">
        <v>28</v>
      </c>
      <c r="K7263" t="s">
        <v>17</v>
      </c>
      <c r="L7263">
        <f t="shared" si="339"/>
        <v>2023</v>
      </c>
      <c r="M7263" t="str">
        <f t="shared" si="340"/>
        <v>Mar</v>
      </c>
      <c r="N7263" s="2">
        <f t="shared" si="341"/>
        <v>0.16145638784803387</v>
      </c>
    </row>
    <row r="7264" spans="1:14" x14ac:dyDescent="0.45">
      <c r="A7264" t="s">
        <v>12310</v>
      </c>
      <c r="B7264" s="1">
        <v>45541</v>
      </c>
      <c r="C7264" t="s">
        <v>2572</v>
      </c>
      <c r="D7264" t="s">
        <v>26</v>
      </c>
      <c r="E7264" t="s">
        <v>20</v>
      </c>
      <c r="F7264" t="s">
        <v>43</v>
      </c>
      <c r="G7264">
        <v>1</v>
      </c>
      <c r="H7264">
        <v>41799.71</v>
      </c>
      <c r="I7264">
        <v>3122.92</v>
      </c>
      <c r="J7264" t="s">
        <v>16</v>
      </c>
      <c r="K7264" t="s">
        <v>23</v>
      </c>
      <c r="L7264">
        <f t="shared" si="339"/>
        <v>2024</v>
      </c>
      <c r="M7264" t="str">
        <f t="shared" si="340"/>
        <v>Sep</v>
      </c>
      <c r="N7264" s="2">
        <f t="shared" si="341"/>
        <v>7.47115231182226E-2</v>
      </c>
    </row>
    <row r="7265" spans="1:14" x14ac:dyDescent="0.45">
      <c r="A7265" t="s">
        <v>12311</v>
      </c>
      <c r="B7265" s="1">
        <v>44988</v>
      </c>
      <c r="C7265" t="s">
        <v>1720</v>
      </c>
      <c r="D7265" t="s">
        <v>56</v>
      </c>
      <c r="E7265" t="s">
        <v>20</v>
      </c>
      <c r="F7265" t="s">
        <v>21</v>
      </c>
      <c r="G7265">
        <v>2</v>
      </c>
      <c r="H7265">
        <v>5205.55</v>
      </c>
      <c r="I7265">
        <v>355.32</v>
      </c>
      <c r="J7265" t="s">
        <v>22</v>
      </c>
      <c r="K7265" t="s">
        <v>23</v>
      </c>
      <c r="L7265">
        <f t="shared" si="339"/>
        <v>2023</v>
      </c>
      <c r="M7265" t="str">
        <f t="shared" si="340"/>
        <v>Mar</v>
      </c>
      <c r="N7265" s="2">
        <f t="shared" si="341"/>
        <v>6.8257917030861287E-2</v>
      </c>
    </row>
    <row r="7266" spans="1:14" x14ac:dyDescent="0.45">
      <c r="A7266" t="s">
        <v>12312</v>
      </c>
      <c r="B7266" s="1">
        <v>45264</v>
      </c>
      <c r="C7266" t="s">
        <v>8464</v>
      </c>
      <c r="D7266" t="s">
        <v>13</v>
      </c>
      <c r="E7266" t="s">
        <v>14</v>
      </c>
      <c r="F7266" t="s">
        <v>57</v>
      </c>
      <c r="G7266">
        <v>2</v>
      </c>
      <c r="H7266">
        <v>40258.03</v>
      </c>
      <c r="I7266">
        <v>3743.56</v>
      </c>
      <c r="J7266" t="s">
        <v>47</v>
      </c>
      <c r="K7266" t="s">
        <v>23</v>
      </c>
      <c r="L7266">
        <f t="shared" si="339"/>
        <v>2023</v>
      </c>
      <c r="M7266" t="str">
        <f t="shared" si="340"/>
        <v>Dec</v>
      </c>
      <c r="N7266" s="2">
        <f t="shared" si="341"/>
        <v>9.2989150239095153E-2</v>
      </c>
    </row>
    <row r="7267" spans="1:14" x14ac:dyDescent="0.45">
      <c r="A7267" t="s">
        <v>12313</v>
      </c>
      <c r="B7267" s="1">
        <v>44633</v>
      </c>
      <c r="C7267" t="s">
        <v>12314</v>
      </c>
      <c r="D7267" t="s">
        <v>26</v>
      </c>
      <c r="E7267" t="s">
        <v>14</v>
      </c>
      <c r="F7267" t="s">
        <v>57</v>
      </c>
      <c r="G7267">
        <v>3</v>
      </c>
      <c r="H7267">
        <v>11498.98</v>
      </c>
      <c r="I7267">
        <v>2592.36</v>
      </c>
      <c r="J7267" t="s">
        <v>16</v>
      </c>
      <c r="K7267" t="s">
        <v>17</v>
      </c>
      <c r="L7267">
        <f t="shared" si="339"/>
        <v>2022</v>
      </c>
      <c r="M7267" t="str">
        <f t="shared" si="340"/>
        <v>Mar</v>
      </c>
      <c r="N7267" s="2">
        <f t="shared" si="341"/>
        <v>0.22544260447448383</v>
      </c>
    </row>
    <row r="7268" spans="1:14" x14ac:dyDescent="0.45">
      <c r="A7268" t="s">
        <v>12315</v>
      </c>
      <c r="B7268" s="1">
        <v>45468</v>
      </c>
      <c r="C7268" t="s">
        <v>5916</v>
      </c>
      <c r="D7268" t="s">
        <v>26</v>
      </c>
      <c r="E7268" t="s">
        <v>14</v>
      </c>
      <c r="F7268" t="s">
        <v>15</v>
      </c>
      <c r="G7268">
        <v>5</v>
      </c>
      <c r="H7268">
        <v>10898.6</v>
      </c>
      <c r="I7268">
        <v>810.45</v>
      </c>
      <c r="J7268" t="s">
        <v>16</v>
      </c>
      <c r="K7268" t="s">
        <v>23</v>
      </c>
      <c r="L7268">
        <f t="shared" si="339"/>
        <v>2024</v>
      </c>
      <c r="M7268" t="str">
        <f t="shared" si="340"/>
        <v>Jun</v>
      </c>
      <c r="N7268" s="2">
        <f t="shared" si="341"/>
        <v>7.436276218963904E-2</v>
      </c>
    </row>
    <row r="7269" spans="1:14" x14ac:dyDescent="0.45">
      <c r="A7269" t="s">
        <v>12316</v>
      </c>
      <c r="B7269" s="1">
        <v>45388</v>
      </c>
      <c r="C7269" t="s">
        <v>9669</v>
      </c>
      <c r="D7269" t="s">
        <v>26</v>
      </c>
      <c r="E7269" t="s">
        <v>14</v>
      </c>
      <c r="F7269" t="s">
        <v>57</v>
      </c>
      <c r="G7269">
        <v>1</v>
      </c>
      <c r="H7269">
        <v>22709.96</v>
      </c>
      <c r="I7269">
        <v>1640.04</v>
      </c>
      <c r="J7269" t="s">
        <v>71</v>
      </c>
      <c r="K7269" t="s">
        <v>29</v>
      </c>
      <c r="L7269">
        <f t="shared" si="339"/>
        <v>2024</v>
      </c>
      <c r="M7269" t="str">
        <f t="shared" si="340"/>
        <v>Apr</v>
      </c>
      <c r="N7269" s="2">
        <f t="shared" si="341"/>
        <v>7.2216771848123029E-2</v>
      </c>
    </row>
    <row r="7270" spans="1:14" x14ac:dyDescent="0.45">
      <c r="A7270" t="s">
        <v>12317</v>
      </c>
      <c r="B7270" s="1">
        <v>45409</v>
      </c>
      <c r="C7270" t="s">
        <v>12318</v>
      </c>
      <c r="D7270" t="s">
        <v>26</v>
      </c>
      <c r="E7270" t="s">
        <v>36</v>
      </c>
      <c r="F7270" t="s">
        <v>64</v>
      </c>
      <c r="G7270">
        <v>4</v>
      </c>
      <c r="H7270">
        <v>40162.339999999997</v>
      </c>
      <c r="I7270">
        <v>4454.33</v>
      </c>
      <c r="J7270" t="s">
        <v>16</v>
      </c>
      <c r="K7270" t="s">
        <v>29</v>
      </c>
      <c r="L7270">
        <f t="shared" si="339"/>
        <v>2024</v>
      </c>
      <c r="M7270" t="str">
        <f t="shared" si="340"/>
        <v>Apr</v>
      </c>
      <c r="N7270" s="2">
        <f t="shared" si="341"/>
        <v>0.1109081293570046</v>
      </c>
    </row>
    <row r="7271" spans="1:14" x14ac:dyDescent="0.45">
      <c r="A7271" t="s">
        <v>12319</v>
      </c>
      <c r="B7271" s="1">
        <v>45007</v>
      </c>
      <c r="C7271" t="s">
        <v>12320</v>
      </c>
      <c r="D7271" t="s">
        <v>56</v>
      </c>
      <c r="E7271" t="s">
        <v>14</v>
      </c>
      <c r="F7271" t="s">
        <v>15</v>
      </c>
      <c r="G7271">
        <v>1</v>
      </c>
      <c r="H7271">
        <v>6445.15</v>
      </c>
      <c r="I7271">
        <v>1247.55</v>
      </c>
      <c r="J7271" t="s">
        <v>22</v>
      </c>
      <c r="K7271" t="s">
        <v>33</v>
      </c>
      <c r="L7271">
        <f t="shared" si="339"/>
        <v>2023</v>
      </c>
      <c r="M7271" t="str">
        <f t="shared" si="340"/>
        <v>Mar</v>
      </c>
      <c r="N7271" s="2">
        <f t="shared" si="341"/>
        <v>0.19356415289015771</v>
      </c>
    </row>
    <row r="7272" spans="1:14" x14ac:dyDescent="0.45">
      <c r="A7272" t="s">
        <v>12321</v>
      </c>
      <c r="B7272" s="1">
        <v>45194</v>
      </c>
      <c r="C7272" t="s">
        <v>10419</v>
      </c>
      <c r="D7272" t="s">
        <v>26</v>
      </c>
      <c r="E7272" t="s">
        <v>20</v>
      </c>
      <c r="F7272" t="s">
        <v>27</v>
      </c>
      <c r="G7272">
        <v>2</v>
      </c>
      <c r="H7272">
        <v>45131.58</v>
      </c>
      <c r="I7272">
        <v>9846.7099999999991</v>
      </c>
      <c r="J7272" t="s">
        <v>47</v>
      </c>
      <c r="K7272" t="s">
        <v>33</v>
      </c>
      <c r="L7272">
        <f t="shared" si="339"/>
        <v>2023</v>
      </c>
      <c r="M7272" t="str">
        <f t="shared" si="340"/>
        <v>Sep</v>
      </c>
      <c r="N7272" s="2">
        <f t="shared" si="341"/>
        <v>0.2181778258150944</v>
      </c>
    </row>
    <row r="7273" spans="1:14" x14ac:dyDescent="0.45">
      <c r="A7273" t="s">
        <v>12322</v>
      </c>
      <c r="B7273" s="1">
        <v>45132</v>
      </c>
      <c r="C7273" t="s">
        <v>12323</v>
      </c>
      <c r="D7273" t="s">
        <v>56</v>
      </c>
      <c r="E7273" t="s">
        <v>36</v>
      </c>
      <c r="F7273" t="s">
        <v>64</v>
      </c>
      <c r="G7273">
        <v>1</v>
      </c>
      <c r="H7273">
        <v>27874.92</v>
      </c>
      <c r="I7273">
        <v>4211.1099999999997</v>
      </c>
      <c r="J7273" t="s">
        <v>28</v>
      </c>
      <c r="K7273" t="s">
        <v>33</v>
      </c>
      <c r="L7273">
        <f t="shared" si="339"/>
        <v>2023</v>
      </c>
      <c r="M7273" t="str">
        <f t="shared" si="340"/>
        <v>Jul</v>
      </c>
      <c r="N7273" s="2">
        <f t="shared" si="341"/>
        <v>0.15107164433117656</v>
      </c>
    </row>
    <row r="7274" spans="1:14" x14ac:dyDescent="0.45">
      <c r="A7274" t="s">
        <v>12324</v>
      </c>
      <c r="B7274" s="1">
        <v>44778</v>
      </c>
      <c r="C7274" t="s">
        <v>2765</v>
      </c>
      <c r="D7274" t="s">
        <v>13</v>
      </c>
      <c r="E7274" t="s">
        <v>20</v>
      </c>
      <c r="F7274" t="s">
        <v>43</v>
      </c>
      <c r="G7274">
        <v>3</v>
      </c>
      <c r="H7274">
        <v>6898.44</v>
      </c>
      <c r="I7274">
        <v>1459.66</v>
      </c>
      <c r="J7274" t="s">
        <v>47</v>
      </c>
      <c r="K7274" t="s">
        <v>29</v>
      </c>
      <c r="L7274">
        <f t="shared" si="339"/>
        <v>2022</v>
      </c>
      <c r="M7274" t="str">
        <f t="shared" si="340"/>
        <v>Aug</v>
      </c>
      <c r="N7274" s="2">
        <f t="shared" si="341"/>
        <v>0.21159276590069642</v>
      </c>
    </row>
    <row r="7275" spans="1:14" x14ac:dyDescent="0.45">
      <c r="A7275" t="s">
        <v>12325</v>
      </c>
      <c r="B7275" s="1">
        <v>45040</v>
      </c>
      <c r="C7275" t="s">
        <v>3819</v>
      </c>
      <c r="D7275" t="s">
        <v>56</v>
      </c>
      <c r="E7275" t="s">
        <v>36</v>
      </c>
      <c r="F7275" t="s">
        <v>46</v>
      </c>
      <c r="G7275">
        <v>3</v>
      </c>
      <c r="H7275">
        <v>19376.47</v>
      </c>
      <c r="I7275">
        <v>2599.79</v>
      </c>
      <c r="J7275" t="s">
        <v>71</v>
      </c>
      <c r="K7275" t="s">
        <v>33</v>
      </c>
      <c r="L7275">
        <f t="shared" si="339"/>
        <v>2023</v>
      </c>
      <c r="M7275" t="str">
        <f t="shared" si="340"/>
        <v>Apr</v>
      </c>
      <c r="N7275" s="2">
        <f t="shared" si="341"/>
        <v>0.13417252987773315</v>
      </c>
    </row>
    <row r="7276" spans="1:14" x14ac:dyDescent="0.45">
      <c r="A7276" t="s">
        <v>12326</v>
      </c>
      <c r="B7276" s="1">
        <v>45233</v>
      </c>
      <c r="C7276" t="s">
        <v>10091</v>
      </c>
      <c r="D7276" t="s">
        <v>13</v>
      </c>
      <c r="E7276" t="s">
        <v>20</v>
      </c>
      <c r="F7276" t="s">
        <v>43</v>
      </c>
      <c r="G7276">
        <v>4</v>
      </c>
      <c r="H7276">
        <v>28475.46</v>
      </c>
      <c r="I7276">
        <v>2829.79</v>
      </c>
      <c r="J7276" t="s">
        <v>71</v>
      </c>
      <c r="K7276" t="s">
        <v>33</v>
      </c>
      <c r="L7276">
        <f t="shared" si="339"/>
        <v>2023</v>
      </c>
      <c r="M7276" t="str">
        <f t="shared" si="340"/>
        <v>Nov</v>
      </c>
      <c r="N7276" s="2">
        <f t="shared" si="341"/>
        <v>9.9376445542934164E-2</v>
      </c>
    </row>
    <row r="7277" spans="1:14" x14ac:dyDescent="0.45">
      <c r="A7277" t="s">
        <v>12327</v>
      </c>
      <c r="B7277" s="1">
        <v>44882</v>
      </c>
      <c r="C7277" t="s">
        <v>12328</v>
      </c>
      <c r="D7277" t="s">
        <v>56</v>
      </c>
      <c r="E7277" t="s">
        <v>36</v>
      </c>
      <c r="F7277" t="s">
        <v>53</v>
      </c>
      <c r="G7277">
        <v>2</v>
      </c>
      <c r="H7277">
        <v>43336.76</v>
      </c>
      <c r="I7277">
        <v>9130.51</v>
      </c>
      <c r="J7277" t="s">
        <v>22</v>
      </c>
      <c r="K7277" t="s">
        <v>17</v>
      </c>
      <c r="L7277">
        <f t="shared" si="339"/>
        <v>2022</v>
      </c>
      <c r="M7277" t="str">
        <f t="shared" si="340"/>
        <v>Nov</v>
      </c>
      <c r="N7277" s="2">
        <f t="shared" si="341"/>
        <v>0.21068741641045616</v>
      </c>
    </row>
    <row r="7278" spans="1:14" x14ac:dyDescent="0.45">
      <c r="A7278" t="s">
        <v>12329</v>
      </c>
      <c r="B7278" s="1">
        <v>44811</v>
      </c>
      <c r="C7278" t="s">
        <v>5928</v>
      </c>
      <c r="D7278" t="s">
        <v>13</v>
      </c>
      <c r="E7278" t="s">
        <v>14</v>
      </c>
      <c r="F7278" t="s">
        <v>32</v>
      </c>
      <c r="G7278">
        <v>2</v>
      </c>
      <c r="H7278">
        <v>48100.72</v>
      </c>
      <c r="I7278">
        <v>2438.3200000000002</v>
      </c>
      <c r="J7278" t="s">
        <v>28</v>
      </c>
      <c r="K7278" t="s">
        <v>33</v>
      </c>
      <c r="L7278">
        <f t="shared" si="339"/>
        <v>2022</v>
      </c>
      <c r="M7278" t="str">
        <f t="shared" si="340"/>
        <v>Sep</v>
      </c>
      <c r="N7278" s="2">
        <f t="shared" si="341"/>
        <v>5.0691964694083581E-2</v>
      </c>
    </row>
    <row r="7279" spans="1:14" x14ac:dyDescent="0.45">
      <c r="A7279" t="s">
        <v>12330</v>
      </c>
      <c r="B7279" s="1">
        <v>45018</v>
      </c>
      <c r="C7279" t="s">
        <v>7190</v>
      </c>
      <c r="D7279" t="s">
        <v>26</v>
      </c>
      <c r="E7279" t="s">
        <v>20</v>
      </c>
      <c r="F7279" t="s">
        <v>21</v>
      </c>
      <c r="G7279">
        <v>4</v>
      </c>
      <c r="H7279">
        <v>2599.6799999999998</v>
      </c>
      <c r="I7279">
        <v>477.15</v>
      </c>
      <c r="J7279" t="s">
        <v>16</v>
      </c>
      <c r="K7279" t="s">
        <v>23</v>
      </c>
      <c r="L7279">
        <f t="shared" si="339"/>
        <v>2023</v>
      </c>
      <c r="M7279" t="str">
        <f t="shared" si="340"/>
        <v>Apr</v>
      </c>
      <c r="N7279" s="2">
        <f t="shared" si="341"/>
        <v>0.18354182053175777</v>
      </c>
    </row>
    <row r="7280" spans="1:14" x14ac:dyDescent="0.45">
      <c r="A7280" t="s">
        <v>12331</v>
      </c>
      <c r="B7280" s="1">
        <v>45089</v>
      </c>
      <c r="C7280" t="s">
        <v>12332</v>
      </c>
      <c r="D7280" t="s">
        <v>13</v>
      </c>
      <c r="E7280" t="s">
        <v>20</v>
      </c>
      <c r="F7280" t="s">
        <v>50</v>
      </c>
      <c r="G7280">
        <v>1</v>
      </c>
      <c r="H7280">
        <v>30022.17</v>
      </c>
      <c r="I7280">
        <v>3689.55</v>
      </c>
      <c r="J7280" t="s">
        <v>28</v>
      </c>
      <c r="K7280" t="s">
        <v>23</v>
      </c>
      <c r="L7280">
        <f t="shared" si="339"/>
        <v>2023</v>
      </c>
      <c r="M7280" t="str">
        <f t="shared" si="340"/>
        <v>Jun</v>
      </c>
      <c r="N7280" s="2">
        <f t="shared" si="341"/>
        <v>0.12289418120009314</v>
      </c>
    </row>
    <row r="7281" spans="1:14" x14ac:dyDescent="0.45">
      <c r="A7281" t="s">
        <v>12333</v>
      </c>
      <c r="B7281" s="1">
        <v>45026</v>
      </c>
      <c r="C7281" t="s">
        <v>11758</v>
      </c>
      <c r="D7281" t="s">
        <v>26</v>
      </c>
      <c r="E7281" t="s">
        <v>36</v>
      </c>
      <c r="F7281" t="s">
        <v>37</v>
      </c>
      <c r="G7281">
        <v>3</v>
      </c>
      <c r="H7281">
        <v>11851.15</v>
      </c>
      <c r="I7281">
        <v>1615.61</v>
      </c>
      <c r="J7281" t="s">
        <v>28</v>
      </c>
      <c r="K7281" t="s">
        <v>23</v>
      </c>
      <c r="L7281">
        <f t="shared" si="339"/>
        <v>2023</v>
      </c>
      <c r="M7281" t="str">
        <f t="shared" si="340"/>
        <v>Apr</v>
      </c>
      <c r="N7281" s="2">
        <f t="shared" si="341"/>
        <v>0.13632516675596881</v>
      </c>
    </row>
    <row r="7282" spans="1:14" x14ac:dyDescent="0.45">
      <c r="A7282" t="s">
        <v>12334</v>
      </c>
      <c r="B7282" s="1">
        <v>45091</v>
      </c>
      <c r="C7282" t="s">
        <v>12335</v>
      </c>
      <c r="D7282" t="s">
        <v>26</v>
      </c>
      <c r="E7282" t="s">
        <v>36</v>
      </c>
      <c r="F7282" t="s">
        <v>37</v>
      </c>
      <c r="G7282">
        <v>3</v>
      </c>
      <c r="H7282">
        <v>38522.14</v>
      </c>
      <c r="I7282">
        <v>5467.73</v>
      </c>
      <c r="J7282" t="s">
        <v>28</v>
      </c>
      <c r="K7282" t="s">
        <v>23</v>
      </c>
      <c r="L7282">
        <f t="shared" si="339"/>
        <v>2023</v>
      </c>
      <c r="M7282" t="str">
        <f t="shared" si="340"/>
        <v>Jun</v>
      </c>
      <c r="N7282" s="2">
        <f t="shared" si="341"/>
        <v>0.14193733785298532</v>
      </c>
    </row>
    <row r="7283" spans="1:14" x14ac:dyDescent="0.45">
      <c r="A7283" t="s">
        <v>12336</v>
      </c>
      <c r="B7283" s="1">
        <v>45199</v>
      </c>
      <c r="C7283" t="s">
        <v>12337</v>
      </c>
      <c r="D7283" t="s">
        <v>13</v>
      </c>
      <c r="E7283" t="s">
        <v>14</v>
      </c>
      <c r="F7283" t="s">
        <v>32</v>
      </c>
      <c r="G7283">
        <v>1</v>
      </c>
      <c r="H7283">
        <v>14151.28</v>
      </c>
      <c r="I7283">
        <v>2321.0500000000002</v>
      </c>
      <c r="J7283" t="s">
        <v>47</v>
      </c>
      <c r="K7283" t="s">
        <v>33</v>
      </c>
      <c r="L7283">
        <f t="shared" si="339"/>
        <v>2023</v>
      </c>
      <c r="M7283" t="str">
        <f t="shared" si="340"/>
        <v>Sep</v>
      </c>
      <c r="N7283" s="2">
        <f t="shared" si="341"/>
        <v>0.16401696524978659</v>
      </c>
    </row>
    <row r="7284" spans="1:14" x14ac:dyDescent="0.45">
      <c r="A7284" t="s">
        <v>12338</v>
      </c>
      <c r="B7284" s="1">
        <v>44967</v>
      </c>
      <c r="C7284" t="s">
        <v>4385</v>
      </c>
      <c r="D7284" t="s">
        <v>26</v>
      </c>
      <c r="E7284" t="s">
        <v>36</v>
      </c>
      <c r="F7284" t="s">
        <v>64</v>
      </c>
      <c r="G7284">
        <v>5</v>
      </c>
      <c r="H7284">
        <v>49436.97</v>
      </c>
      <c r="I7284">
        <v>2519.35</v>
      </c>
      <c r="J7284" t="s">
        <v>71</v>
      </c>
      <c r="K7284" t="s">
        <v>23</v>
      </c>
      <c r="L7284">
        <f t="shared" si="339"/>
        <v>2023</v>
      </c>
      <c r="M7284" t="str">
        <f t="shared" si="340"/>
        <v>Feb</v>
      </c>
      <c r="N7284" s="2">
        <f t="shared" si="341"/>
        <v>5.0960849744634426E-2</v>
      </c>
    </row>
    <row r="7285" spans="1:14" x14ac:dyDescent="0.45">
      <c r="A7285" t="s">
        <v>12339</v>
      </c>
      <c r="B7285" s="1">
        <v>45291</v>
      </c>
      <c r="C7285" t="s">
        <v>3884</v>
      </c>
      <c r="D7285" t="s">
        <v>56</v>
      </c>
      <c r="E7285" t="s">
        <v>20</v>
      </c>
      <c r="F7285" t="s">
        <v>50</v>
      </c>
      <c r="G7285">
        <v>5</v>
      </c>
      <c r="H7285">
        <v>36421.64</v>
      </c>
      <c r="I7285">
        <v>4264.88</v>
      </c>
      <c r="J7285" t="s">
        <v>22</v>
      </c>
      <c r="K7285" t="s">
        <v>29</v>
      </c>
      <c r="L7285">
        <f t="shared" si="339"/>
        <v>2023</v>
      </c>
      <c r="M7285" t="str">
        <f t="shared" si="340"/>
        <v>Dec</v>
      </c>
      <c r="N7285" s="2">
        <f t="shared" si="341"/>
        <v>0.11709741790869385</v>
      </c>
    </row>
    <row r="7286" spans="1:14" x14ac:dyDescent="0.45">
      <c r="A7286" t="s">
        <v>12340</v>
      </c>
      <c r="B7286" s="1">
        <v>44976</v>
      </c>
      <c r="C7286" t="s">
        <v>12341</v>
      </c>
      <c r="D7286" t="s">
        <v>13</v>
      </c>
      <c r="E7286" t="s">
        <v>14</v>
      </c>
      <c r="F7286" t="s">
        <v>15</v>
      </c>
      <c r="G7286">
        <v>4</v>
      </c>
      <c r="H7286">
        <v>558.45000000000005</v>
      </c>
      <c r="I7286">
        <v>34.33</v>
      </c>
      <c r="J7286" t="s">
        <v>28</v>
      </c>
      <c r="K7286" t="s">
        <v>33</v>
      </c>
      <c r="L7286">
        <f t="shared" si="339"/>
        <v>2023</v>
      </c>
      <c r="M7286" t="str">
        <f t="shared" si="340"/>
        <v>Feb</v>
      </c>
      <c r="N7286" s="2">
        <f t="shared" si="341"/>
        <v>6.1473721908854861E-2</v>
      </c>
    </row>
    <row r="7287" spans="1:14" x14ac:dyDescent="0.45">
      <c r="A7287" t="s">
        <v>12342</v>
      </c>
      <c r="B7287" s="1">
        <v>44953</v>
      </c>
      <c r="C7287" t="s">
        <v>12343</v>
      </c>
      <c r="D7287" t="s">
        <v>26</v>
      </c>
      <c r="E7287" t="s">
        <v>20</v>
      </c>
      <c r="F7287" t="s">
        <v>50</v>
      </c>
      <c r="G7287">
        <v>5</v>
      </c>
      <c r="H7287">
        <v>19800.330000000002</v>
      </c>
      <c r="I7287">
        <v>3414.81</v>
      </c>
      <c r="J7287" t="s">
        <v>22</v>
      </c>
      <c r="K7287" t="s">
        <v>23</v>
      </c>
      <c r="L7287">
        <f t="shared" si="339"/>
        <v>2023</v>
      </c>
      <c r="M7287" t="str">
        <f t="shared" si="340"/>
        <v>Jan</v>
      </c>
      <c r="N7287" s="2">
        <f t="shared" si="341"/>
        <v>0.17246227714386578</v>
      </c>
    </row>
    <row r="7288" spans="1:14" x14ac:dyDescent="0.45">
      <c r="A7288" t="s">
        <v>12344</v>
      </c>
      <c r="B7288" s="1">
        <v>45262</v>
      </c>
      <c r="C7288" t="s">
        <v>12345</v>
      </c>
      <c r="D7288" t="s">
        <v>26</v>
      </c>
      <c r="E7288" t="s">
        <v>36</v>
      </c>
      <c r="F7288" t="s">
        <v>64</v>
      </c>
      <c r="G7288">
        <v>1</v>
      </c>
      <c r="H7288">
        <v>48787.5</v>
      </c>
      <c r="I7288">
        <v>7375.96</v>
      </c>
      <c r="J7288" t="s">
        <v>71</v>
      </c>
      <c r="K7288" t="s">
        <v>23</v>
      </c>
      <c r="L7288">
        <f t="shared" si="339"/>
        <v>2023</v>
      </c>
      <c r="M7288" t="str">
        <f t="shared" si="340"/>
        <v>Dec</v>
      </c>
      <c r="N7288" s="2">
        <f t="shared" si="341"/>
        <v>0.15118544709198053</v>
      </c>
    </row>
    <row r="7289" spans="1:14" x14ac:dyDescent="0.45">
      <c r="A7289" t="s">
        <v>12346</v>
      </c>
      <c r="B7289" s="1">
        <v>45568</v>
      </c>
      <c r="C7289" t="s">
        <v>12347</v>
      </c>
      <c r="D7289" t="s">
        <v>56</v>
      </c>
      <c r="E7289" t="s">
        <v>20</v>
      </c>
      <c r="F7289" t="s">
        <v>27</v>
      </c>
      <c r="G7289">
        <v>2</v>
      </c>
      <c r="H7289">
        <v>1928.44</v>
      </c>
      <c r="I7289">
        <v>219.39</v>
      </c>
      <c r="J7289" t="s">
        <v>16</v>
      </c>
      <c r="K7289" t="s">
        <v>17</v>
      </c>
      <c r="L7289">
        <f t="shared" si="339"/>
        <v>2024</v>
      </c>
      <c r="M7289" t="str">
        <f t="shared" si="340"/>
        <v>Oct</v>
      </c>
      <c r="N7289" s="2">
        <f t="shared" si="341"/>
        <v>0.11376553068801724</v>
      </c>
    </row>
    <row r="7290" spans="1:14" x14ac:dyDescent="0.45">
      <c r="A7290" t="s">
        <v>12348</v>
      </c>
      <c r="B7290" s="1">
        <v>45175</v>
      </c>
      <c r="C7290" t="s">
        <v>6942</v>
      </c>
      <c r="D7290" t="s">
        <v>13</v>
      </c>
      <c r="E7290" t="s">
        <v>36</v>
      </c>
      <c r="F7290" t="s">
        <v>64</v>
      </c>
      <c r="G7290">
        <v>4</v>
      </c>
      <c r="H7290">
        <v>14607.85</v>
      </c>
      <c r="I7290">
        <v>2194.75</v>
      </c>
      <c r="J7290" t="s">
        <v>28</v>
      </c>
      <c r="K7290" t="s">
        <v>23</v>
      </c>
      <c r="L7290">
        <f t="shared" si="339"/>
        <v>2023</v>
      </c>
      <c r="M7290" t="str">
        <f t="shared" si="340"/>
        <v>Sep</v>
      </c>
      <c r="N7290" s="2">
        <f t="shared" si="341"/>
        <v>0.15024456028779046</v>
      </c>
    </row>
    <row r="7291" spans="1:14" x14ac:dyDescent="0.45">
      <c r="A7291" t="s">
        <v>12349</v>
      </c>
      <c r="B7291" s="1">
        <v>44889</v>
      </c>
      <c r="C7291" t="s">
        <v>8414</v>
      </c>
      <c r="D7291" t="s">
        <v>13</v>
      </c>
      <c r="E7291" t="s">
        <v>20</v>
      </c>
      <c r="F7291" t="s">
        <v>50</v>
      </c>
      <c r="G7291">
        <v>1</v>
      </c>
      <c r="H7291">
        <v>23058.77</v>
      </c>
      <c r="I7291">
        <v>1483.49</v>
      </c>
      <c r="J7291" t="s">
        <v>71</v>
      </c>
      <c r="K7291" t="s">
        <v>33</v>
      </c>
      <c r="L7291">
        <f t="shared" si="339"/>
        <v>2022</v>
      </c>
      <c r="M7291" t="str">
        <f t="shared" si="340"/>
        <v>Nov</v>
      </c>
      <c r="N7291" s="2">
        <f t="shared" si="341"/>
        <v>6.4335174859717154E-2</v>
      </c>
    </row>
    <row r="7292" spans="1:14" x14ac:dyDescent="0.45">
      <c r="A7292" t="s">
        <v>12350</v>
      </c>
      <c r="B7292" s="1">
        <v>44711</v>
      </c>
      <c r="C7292" t="s">
        <v>516</v>
      </c>
      <c r="D7292" t="s">
        <v>26</v>
      </c>
      <c r="E7292" t="s">
        <v>36</v>
      </c>
      <c r="F7292" t="s">
        <v>37</v>
      </c>
      <c r="G7292">
        <v>2</v>
      </c>
      <c r="H7292">
        <v>38451.21</v>
      </c>
      <c r="I7292">
        <v>3666.06</v>
      </c>
      <c r="J7292" t="s">
        <v>16</v>
      </c>
      <c r="K7292" t="s">
        <v>23</v>
      </c>
      <c r="L7292">
        <f t="shared" si="339"/>
        <v>2022</v>
      </c>
      <c r="M7292" t="str">
        <f t="shared" si="340"/>
        <v>May</v>
      </c>
      <c r="N7292" s="2">
        <f t="shared" si="341"/>
        <v>9.5343163453113694E-2</v>
      </c>
    </row>
    <row r="7293" spans="1:14" x14ac:dyDescent="0.45">
      <c r="A7293" t="s">
        <v>12351</v>
      </c>
      <c r="B7293" s="1">
        <v>45254</v>
      </c>
      <c r="C7293" t="s">
        <v>12352</v>
      </c>
      <c r="D7293" t="s">
        <v>56</v>
      </c>
      <c r="E7293" t="s">
        <v>14</v>
      </c>
      <c r="F7293" t="s">
        <v>32</v>
      </c>
      <c r="G7293">
        <v>2</v>
      </c>
      <c r="H7293">
        <v>7859.91</v>
      </c>
      <c r="I7293">
        <v>892.77</v>
      </c>
      <c r="J7293" t="s">
        <v>22</v>
      </c>
      <c r="K7293" t="s">
        <v>17</v>
      </c>
      <c r="L7293">
        <f t="shared" si="339"/>
        <v>2023</v>
      </c>
      <c r="M7293" t="str">
        <f t="shared" si="340"/>
        <v>Nov</v>
      </c>
      <c r="N7293" s="2">
        <f t="shared" si="341"/>
        <v>0.1135852700603442</v>
      </c>
    </row>
    <row r="7294" spans="1:14" x14ac:dyDescent="0.45">
      <c r="A7294" t="s">
        <v>12353</v>
      </c>
      <c r="B7294" s="1">
        <v>44719</v>
      </c>
      <c r="C7294" t="s">
        <v>1194</v>
      </c>
      <c r="D7294" t="s">
        <v>13</v>
      </c>
      <c r="E7294" t="s">
        <v>36</v>
      </c>
      <c r="F7294" t="s">
        <v>53</v>
      </c>
      <c r="G7294">
        <v>5</v>
      </c>
      <c r="H7294">
        <v>14300.28</v>
      </c>
      <c r="I7294">
        <v>1695.22</v>
      </c>
      <c r="J7294" t="s">
        <v>16</v>
      </c>
      <c r="K7294" t="s">
        <v>17</v>
      </c>
      <c r="L7294">
        <f t="shared" si="339"/>
        <v>2022</v>
      </c>
      <c r="M7294" t="str">
        <f t="shared" si="340"/>
        <v>Jun</v>
      </c>
      <c r="N7294" s="2">
        <f t="shared" si="341"/>
        <v>0.11854453199517771</v>
      </c>
    </row>
    <row r="7295" spans="1:14" x14ac:dyDescent="0.45">
      <c r="A7295" t="s">
        <v>12354</v>
      </c>
      <c r="B7295" s="1">
        <v>45008</v>
      </c>
      <c r="C7295" t="s">
        <v>12355</v>
      </c>
      <c r="D7295" t="s">
        <v>13</v>
      </c>
      <c r="E7295" t="s">
        <v>14</v>
      </c>
      <c r="F7295" t="s">
        <v>57</v>
      </c>
      <c r="G7295">
        <v>2</v>
      </c>
      <c r="H7295">
        <v>39378.559999999998</v>
      </c>
      <c r="I7295">
        <v>4513.84</v>
      </c>
      <c r="J7295" t="s">
        <v>71</v>
      </c>
      <c r="K7295" t="s">
        <v>17</v>
      </c>
      <c r="L7295">
        <f t="shared" si="339"/>
        <v>2023</v>
      </c>
      <c r="M7295" t="str">
        <f t="shared" si="340"/>
        <v>Mar</v>
      </c>
      <c r="N7295" s="2">
        <f t="shared" si="341"/>
        <v>0.11462684262705392</v>
      </c>
    </row>
    <row r="7296" spans="1:14" x14ac:dyDescent="0.45">
      <c r="A7296" t="s">
        <v>12356</v>
      </c>
      <c r="B7296" s="1">
        <v>45598</v>
      </c>
      <c r="C7296" t="s">
        <v>154</v>
      </c>
      <c r="D7296" t="s">
        <v>56</v>
      </c>
      <c r="E7296" t="s">
        <v>20</v>
      </c>
      <c r="F7296" t="s">
        <v>27</v>
      </c>
      <c r="G7296">
        <v>1</v>
      </c>
      <c r="H7296">
        <v>49537.02</v>
      </c>
      <c r="I7296">
        <v>6198.95</v>
      </c>
      <c r="J7296" t="s">
        <v>28</v>
      </c>
      <c r="K7296" t="s">
        <v>29</v>
      </c>
      <c r="L7296">
        <f t="shared" si="339"/>
        <v>2024</v>
      </c>
      <c r="M7296" t="str">
        <f t="shared" si="340"/>
        <v>Nov</v>
      </c>
      <c r="N7296" s="2">
        <f t="shared" si="341"/>
        <v>0.12513772528101205</v>
      </c>
    </row>
    <row r="7297" spans="1:14" x14ac:dyDescent="0.45">
      <c r="A7297" t="s">
        <v>12357</v>
      </c>
      <c r="B7297" s="1">
        <v>45472</v>
      </c>
      <c r="C7297" t="s">
        <v>12358</v>
      </c>
      <c r="D7297" t="s">
        <v>56</v>
      </c>
      <c r="E7297" t="s">
        <v>14</v>
      </c>
      <c r="F7297" t="s">
        <v>15</v>
      </c>
      <c r="G7297">
        <v>1</v>
      </c>
      <c r="H7297">
        <v>34447.269999999997</v>
      </c>
      <c r="I7297">
        <v>5552.57</v>
      </c>
      <c r="J7297" t="s">
        <v>28</v>
      </c>
      <c r="K7297" t="s">
        <v>17</v>
      </c>
      <c r="L7297">
        <f t="shared" si="339"/>
        <v>2024</v>
      </c>
      <c r="M7297" t="str">
        <f t="shared" si="340"/>
        <v>Jun</v>
      </c>
      <c r="N7297" s="2">
        <f t="shared" si="341"/>
        <v>0.16119042234696684</v>
      </c>
    </row>
    <row r="7298" spans="1:14" x14ac:dyDescent="0.45">
      <c r="A7298" t="s">
        <v>12359</v>
      </c>
      <c r="B7298" s="1">
        <v>45235</v>
      </c>
      <c r="C7298" t="s">
        <v>5012</v>
      </c>
      <c r="D7298" t="s">
        <v>56</v>
      </c>
      <c r="E7298" t="s">
        <v>20</v>
      </c>
      <c r="F7298" t="s">
        <v>21</v>
      </c>
      <c r="G7298">
        <v>1</v>
      </c>
      <c r="H7298">
        <v>38638.769999999997</v>
      </c>
      <c r="I7298">
        <v>9600.6299999999992</v>
      </c>
      <c r="J7298" t="s">
        <v>16</v>
      </c>
      <c r="K7298" t="s">
        <v>33</v>
      </c>
      <c r="L7298">
        <f t="shared" si="339"/>
        <v>2023</v>
      </c>
      <c r="M7298" t="str">
        <f t="shared" si="340"/>
        <v>Nov</v>
      </c>
      <c r="N7298" s="2">
        <f t="shared" si="341"/>
        <v>0.24847141873304973</v>
      </c>
    </row>
    <row r="7299" spans="1:14" x14ac:dyDescent="0.45">
      <c r="A7299" t="s">
        <v>12360</v>
      </c>
      <c r="B7299" s="1">
        <v>45522</v>
      </c>
      <c r="C7299" t="s">
        <v>12361</v>
      </c>
      <c r="D7299" t="s">
        <v>13</v>
      </c>
      <c r="E7299" t="s">
        <v>36</v>
      </c>
      <c r="F7299" t="s">
        <v>53</v>
      </c>
      <c r="G7299">
        <v>5</v>
      </c>
      <c r="H7299">
        <v>2139.4899999999998</v>
      </c>
      <c r="I7299">
        <v>377.79</v>
      </c>
      <c r="J7299" t="s">
        <v>16</v>
      </c>
      <c r="K7299" t="s">
        <v>23</v>
      </c>
      <c r="L7299">
        <f t="shared" ref="L7299:L7362" si="342">YEAR(B7299 )</f>
        <v>2024</v>
      </c>
      <c r="M7299" t="str">
        <f t="shared" ref="M7299:M7362" si="343">TEXT(B7299,"MMM")</f>
        <v>Aug</v>
      </c>
      <c r="N7299" s="2">
        <f t="shared" ref="N7299:N7362" si="344">I7299 / H7299</f>
        <v>0.1765794651996504</v>
      </c>
    </row>
    <row r="7300" spans="1:14" x14ac:dyDescent="0.45">
      <c r="A7300" t="s">
        <v>12362</v>
      </c>
      <c r="B7300" s="1">
        <v>44610</v>
      </c>
      <c r="C7300" t="s">
        <v>12363</v>
      </c>
      <c r="D7300" t="s">
        <v>13</v>
      </c>
      <c r="E7300" t="s">
        <v>36</v>
      </c>
      <c r="F7300" t="s">
        <v>53</v>
      </c>
      <c r="G7300">
        <v>2</v>
      </c>
      <c r="H7300">
        <v>13502.8</v>
      </c>
      <c r="I7300">
        <v>2408.4299999999998</v>
      </c>
      <c r="J7300" t="s">
        <v>71</v>
      </c>
      <c r="K7300" t="s">
        <v>33</v>
      </c>
      <c r="L7300">
        <f t="shared" si="342"/>
        <v>2022</v>
      </c>
      <c r="M7300" t="str">
        <f t="shared" si="343"/>
        <v>Feb</v>
      </c>
      <c r="N7300" s="2">
        <f t="shared" si="344"/>
        <v>0.17836522795272092</v>
      </c>
    </row>
    <row r="7301" spans="1:14" x14ac:dyDescent="0.45">
      <c r="A7301" t="s">
        <v>12364</v>
      </c>
      <c r="B7301" s="1">
        <v>45246</v>
      </c>
      <c r="C7301" t="s">
        <v>12365</v>
      </c>
      <c r="D7301" t="s">
        <v>13</v>
      </c>
      <c r="E7301" t="s">
        <v>36</v>
      </c>
      <c r="F7301" t="s">
        <v>46</v>
      </c>
      <c r="G7301">
        <v>2</v>
      </c>
      <c r="H7301">
        <v>16138.37</v>
      </c>
      <c r="I7301">
        <v>3334.29</v>
      </c>
      <c r="J7301" t="s">
        <v>28</v>
      </c>
      <c r="K7301" t="s">
        <v>33</v>
      </c>
      <c r="L7301">
        <f t="shared" si="342"/>
        <v>2023</v>
      </c>
      <c r="M7301" t="str">
        <f t="shared" si="343"/>
        <v>Nov</v>
      </c>
      <c r="N7301" s="2">
        <f t="shared" si="344"/>
        <v>0.20660636730970972</v>
      </c>
    </row>
    <row r="7302" spans="1:14" x14ac:dyDescent="0.45">
      <c r="A7302" t="s">
        <v>12366</v>
      </c>
      <c r="B7302" s="1">
        <v>44845</v>
      </c>
      <c r="C7302" t="s">
        <v>11427</v>
      </c>
      <c r="D7302" t="s">
        <v>26</v>
      </c>
      <c r="E7302" t="s">
        <v>20</v>
      </c>
      <c r="F7302" t="s">
        <v>27</v>
      </c>
      <c r="G7302">
        <v>5</v>
      </c>
      <c r="H7302">
        <v>30060.82</v>
      </c>
      <c r="I7302">
        <v>6385.96</v>
      </c>
      <c r="J7302" t="s">
        <v>71</v>
      </c>
      <c r="K7302" t="s">
        <v>29</v>
      </c>
      <c r="L7302">
        <f t="shared" si="342"/>
        <v>2022</v>
      </c>
      <c r="M7302" t="str">
        <f t="shared" si="343"/>
        <v>Oct</v>
      </c>
      <c r="N7302" s="2">
        <f t="shared" si="344"/>
        <v>0.21243465747108695</v>
      </c>
    </row>
    <row r="7303" spans="1:14" x14ac:dyDescent="0.45">
      <c r="A7303" t="s">
        <v>12367</v>
      </c>
      <c r="B7303" s="1">
        <v>45261</v>
      </c>
      <c r="C7303" t="s">
        <v>5757</v>
      </c>
      <c r="D7303" t="s">
        <v>13</v>
      </c>
      <c r="E7303" t="s">
        <v>14</v>
      </c>
      <c r="F7303" t="s">
        <v>32</v>
      </c>
      <c r="G7303">
        <v>5</v>
      </c>
      <c r="H7303">
        <v>14427.69</v>
      </c>
      <c r="I7303">
        <v>2219.73</v>
      </c>
      <c r="J7303" t="s">
        <v>71</v>
      </c>
      <c r="K7303" t="s">
        <v>23</v>
      </c>
      <c r="L7303">
        <f t="shared" si="342"/>
        <v>2023</v>
      </c>
      <c r="M7303" t="str">
        <f t="shared" si="343"/>
        <v>Dec</v>
      </c>
      <c r="N7303" s="2">
        <f t="shared" si="344"/>
        <v>0.15385207195330644</v>
      </c>
    </row>
    <row r="7304" spans="1:14" x14ac:dyDescent="0.45">
      <c r="A7304" t="s">
        <v>12368</v>
      </c>
      <c r="B7304" s="1">
        <v>44985</v>
      </c>
      <c r="C7304" t="s">
        <v>6979</v>
      </c>
      <c r="D7304" t="s">
        <v>56</v>
      </c>
      <c r="E7304" t="s">
        <v>14</v>
      </c>
      <c r="F7304" t="s">
        <v>57</v>
      </c>
      <c r="G7304">
        <v>4</v>
      </c>
      <c r="H7304">
        <v>3343.63</v>
      </c>
      <c r="I7304">
        <v>711.84</v>
      </c>
      <c r="J7304" t="s">
        <v>47</v>
      </c>
      <c r="K7304" t="s">
        <v>23</v>
      </c>
      <c r="L7304">
        <f t="shared" si="342"/>
        <v>2023</v>
      </c>
      <c r="M7304" t="str">
        <f t="shared" si="343"/>
        <v>Feb</v>
      </c>
      <c r="N7304" s="2">
        <f t="shared" si="344"/>
        <v>0.21289436929325314</v>
      </c>
    </row>
    <row r="7305" spans="1:14" x14ac:dyDescent="0.45">
      <c r="A7305" t="s">
        <v>12369</v>
      </c>
      <c r="B7305" s="1">
        <v>44979</v>
      </c>
      <c r="C7305" t="s">
        <v>2246</v>
      </c>
      <c r="D7305" t="s">
        <v>13</v>
      </c>
      <c r="E7305" t="s">
        <v>36</v>
      </c>
      <c r="F7305" t="s">
        <v>53</v>
      </c>
      <c r="G7305">
        <v>3</v>
      </c>
      <c r="H7305">
        <v>28567.29</v>
      </c>
      <c r="I7305">
        <v>3211.75</v>
      </c>
      <c r="J7305" t="s">
        <v>22</v>
      </c>
      <c r="K7305" t="s">
        <v>17</v>
      </c>
      <c r="L7305">
        <f t="shared" si="342"/>
        <v>2023</v>
      </c>
      <c r="M7305" t="str">
        <f t="shared" si="343"/>
        <v>Feb</v>
      </c>
      <c r="N7305" s="2">
        <f t="shared" si="344"/>
        <v>0.11242753512846336</v>
      </c>
    </row>
    <row r="7306" spans="1:14" x14ac:dyDescent="0.45">
      <c r="A7306" t="s">
        <v>12370</v>
      </c>
      <c r="B7306" s="1">
        <v>44904</v>
      </c>
      <c r="C7306" t="s">
        <v>2376</v>
      </c>
      <c r="D7306" t="s">
        <v>56</v>
      </c>
      <c r="E7306" t="s">
        <v>20</v>
      </c>
      <c r="F7306" t="s">
        <v>50</v>
      </c>
      <c r="G7306">
        <v>2</v>
      </c>
      <c r="H7306">
        <v>20379.25</v>
      </c>
      <c r="I7306">
        <v>3554.87</v>
      </c>
      <c r="J7306" t="s">
        <v>22</v>
      </c>
      <c r="K7306" t="s">
        <v>23</v>
      </c>
      <c r="L7306">
        <f t="shared" si="342"/>
        <v>2022</v>
      </c>
      <c r="M7306" t="str">
        <f t="shared" si="343"/>
        <v>Dec</v>
      </c>
      <c r="N7306" s="2">
        <f t="shared" si="344"/>
        <v>0.17443576186562312</v>
      </c>
    </row>
    <row r="7307" spans="1:14" x14ac:dyDescent="0.45">
      <c r="A7307" t="s">
        <v>12371</v>
      </c>
      <c r="B7307" s="1">
        <v>44788</v>
      </c>
      <c r="C7307" t="s">
        <v>12372</v>
      </c>
      <c r="D7307" t="s">
        <v>56</v>
      </c>
      <c r="E7307" t="s">
        <v>14</v>
      </c>
      <c r="F7307" t="s">
        <v>40</v>
      </c>
      <c r="G7307">
        <v>2</v>
      </c>
      <c r="H7307">
        <v>30026.99</v>
      </c>
      <c r="I7307">
        <v>2794.25</v>
      </c>
      <c r="J7307" t="s">
        <v>28</v>
      </c>
      <c r="K7307" t="s">
        <v>33</v>
      </c>
      <c r="L7307">
        <f t="shared" si="342"/>
        <v>2022</v>
      </c>
      <c r="M7307" t="str">
        <f t="shared" si="343"/>
        <v>Aug</v>
      </c>
      <c r="N7307" s="2">
        <f t="shared" si="344"/>
        <v>9.3057945535000339E-2</v>
      </c>
    </row>
    <row r="7308" spans="1:14" x14ac:dyDescent="0.45">
      <c r="A7308" t="s">
        <v>12373</v>
      </c>
      <c r="B7308" s="1">
        <v>44976</v>
      </c>
      <c r="C7308" t="s">
        <v>3168</v>
      </c>
      <c r="D7308" t="s">
        <v>26</v>
      </c>
      <c r="E7308" t="s">
        <v>20</v>
      </c>
      <c r="F7308" t="s">
        <v>50</v>
      </c>
      <c r="G7308">
        <v>5</v>
      </c>
      <c r="H7308">
        <v>40782.31</v>
      </c>
      <c r="I7308">
        <v>9724.94</v>
      </c>
      <c r="J7308" t="s">
        <v>16</v>
      </c>
      <c r="K7308" t="s">
        <v>17</v>
      </c>
      <c r="L7308">
        <f t="shared" si="342"/>
        <v>2023</v>
      </c>
      <c r="M7308" t="str">
        <f t="shared" si="343"/>
        <v>Feb</v>
      </c>
      <c r="N7308" s="2">
        <f t="shared" si="344"/>
        <v>0.23845976355924911</v>
      </c>
    </row>
    <row r="7309" spans="1:14" x14ac:dyDescent="0.45">
      <c r="A7309" t="s">
        <v>12374</v>
      </c>
      <c r="B7309" s="1">
        <v>45081</v>
      </c>
      <c r="C7309" t="s">
        <v>12375</v>
      </c>
      <c r="D7309" t="s">
        <v>56</v>
      </c>
      <c r="E7309" t="s">
        <v>20</v>
      </c>
      <c r="F7309" t="s">
        <v>43</v>
      </c>
      <c r="G7309">
        <v>4</v>
      </c>
      <c r="H7309">
        <v>48182.31</v>
      </c>
      <c r="I7309">
        <v>11063.58</v>
      </c>
      <c r="J7309" t="s">
        <v>71</v>
      </c>
      <c r="K7309" t="s">
        <v>23</v>
      </c>
      <c r="L7309">
        <f t="shared" si="342"/>
        <v>2023</v>
      </c>
      <c r="M7309" t="str">
        <f t="shared" si="343"/>
        <v>Jun</v>
      </c>
      <c r="N7309" s="2">
        <f t="shared" si="344"/>
        <v>0.2296191278500346</v>
      </c>
    </row>
    <row r="7310" spans="1:14" x14ac:dyDescent="0.45">
      <c r="A7310" t="s">
        <v>12376</v>
      </c>
      <c r="B7310" s="1">
        <v>45268</v>
      </c>
      <c r="C7310" t="s">
        <v>12377</v>
      </c>
      <c r="D7310" t="s">
        <v>13</v>
      </c>
      <c r="E7310" t="s">
        <v>20</v>
      </c>
      <c r="F7310" t="s">
        <v>21</v>
      </c>
      <c r="G7310">
        <v>2</v>
      </c>
      <c r="H7310">
        <v>39851.15</v>
      </c>
      <c r="I7310">
        <v>9344.4</v>
      </c>
      <c r="J7310" t="s">
        <v>16</v>
      </c>
      <c r="K7310" t="s">
        <v>23</v>
      </c>
      <c r="L7310">
        <f t="shared" si="342"/>
        <v>2023</v>
      </c>
      <c r="M7310" t="str">
        <f t="shared" si="343"/>
        <v>Dec</v>
      </c>
      <c r="N7310" s="2">
        <f t="shared" si="344"/>
        <v>0.23448256825712682</v>
      </c>
    </row>
    <row r="7311" spans="1:14" x14ac:dyDescent="0.45">
      <c r="A7311" t="s">
        <v>12378</v>
      </c>
      <c r="B7311" s="1">
        <v>45395</v>
      </c>
      <c r="C7311" t="s">
        <v>3745</v>
      </c>
      <c r="D7311" t="s">
        <v>56</v>
      </c>
      <c r="E7311" t="s">
        <v>20</v>
      </c>
      <c r="F7311" t="s">
        <v>27</v>
      </c>
      <c r="G7311">
        <v>3</v>
      </c>
      <c r="H7311">
        <v>35150.839999999997</v>
      </c>
      <c r="I7311">
        <v>5333.76</v>
      </c>
      <c r="J7311" t="s">
        <v>71</v>
      </c>
      <c r="K7311" t="s">
        <v>17</v>
      </c>
      <c r="L7311">
        <f t="shared" si="342"/>
        <v>2024</v>
      </c>
      <c r="M7311" t="str">
        <f t="shared" si="343"/>
        <v>Apr</v>
      </c>
      <c r="N7311" s="2">
        <f t="shared" si="344"/>
        <v>0.15173919030099994</v>
      </c>
    </row>
    <row r="7312" spans="1:14" x14ac:dyDescent="0.45">
      <c r="A7312" t="s">
        <v>12379</v>
      </c>
      <c r="B7312" s="1">
        <v>45402</v>
      </c>
      <c r="C7312" t="s">
        <v>3438</v>
      </c>
      <c r="D7312" t="s">
        <v>56</v>
      </c>
      <c r="E7312" t="s">
        <v>14</v>
      </c>
      <c r="F7312" t="s">
        <v>40</v>
      </c>
      <c r="G7312">
        <v>5</v>
      </c>
      <c r="H7312">
        <v>22822.17</v>
      </c>
      <c r="I7312">
        <v>3347.34</v>
      </c>
      <c r="J7312" t="s">
        <v>16</v>
      </c>
      <c r="K7312" t="s">
        <v>33</v>
      </c>
      <c r="L7312">
        <f t="shared" si="342"/>
        <v>2024</v>
      </c>
      <c r="M7312" t="str">
        <f t="shared" si="343"/>
        <v>Apr</v>
      </c>
      <c r="N7312" s="2">
        <f t="shared" si="344"/>
        <v>0.14667054009325145</v>
      </c>
    </row>
    <row r="7313" spans="1:14" x14ac:dyDescent="0.45">
      <c r="A7313" t="s">
        <v>12380</v>
      </c>
      <c r="B7313" s="1">
        <v>45015</v>
      </c>
      <c r="C7313" t="s">
        <v>12381</v>
      </c>
      <c r="D7313" t="s">
        <v>26</v>
      </c>
      <c r="E7313" t="s">
        <v>14</v>
      </c>
      <c r="F7313" t="s">
        <v>40</v>
      </c>
      <c r="G7313">
        <v>2</v>
      </c>
      <c r="H7313">
        <v>48375.519999999997</v>
      </c>
      <c r="I7313">
        <v>3203.82</v>
      </c>
      <c r="J7313" t="s">
        <v>71</v>
      </c>
      <c r="K7313" t="s">
        <v>23</v>
      </c>
      <c r="L7313">
        <f t="shared" si="342"/>
        <v>2023</v>
      </c>
      <c r="M7313" t="str">
        <f t="shared" si="343"/>
        <v>Mar</v>
      </c>
      <c r="N7313" s="2">
        <f t="shared" si="344"/>
        <v>6.6228125299738386E-2</v>
      </c>
    </row>
    <row r="7314" spans="1:14" x14ac:dyDescent="0.45">
      <c r="A7314" t="s">
        <v>12382</v>
      </c>
      <c r="B7314" s="1">
        <v>45408</v>
      </c>
      <c r="C7314" t="s">
        <v>12383</v>
      </c>
      <c r="D7314" t="s">
        <v>56</v>
      </c>
      <c r="E7314" t="s">
        <v>14</v>
      </c>
      <c r="F7314" t="s">
        <v>40</v>
      </c>
      <c r="G7314">
        <v>5</v>
      </c>
      <c r="H7314">
        <v>41596.449999999997</v>
      </c>
      <c r="I7314">
        <v>8555.35</v>
      </c>
      <c r="J7314" t="s">
        <v>28</v>
      </c>
      <c r="K7314" t="s">
        <v>33</v>
      </c>
      <c r="L7314">
        <f t="shared" si="342"/>
        <v>2024</v>
      </c>
      <c r="M7314" t="str">
        <f t="shared" si="343"/>
        <v>Apr</v>
      </c>
      <c r="N7314" s="2">
        <f t="shared" si="344"/>
        <v>0.20567500351592505</v>
      </c>
    </row>
    <row r="7315" spans="1:14" x14ac:dyDescent="0.45">
      <c r="A7315" t="s">
        <v>12384</v>
      </c>
      <c r="B7315" s="1">
        <v>45389</v>
      </c>
      <c r="C7315" t="s">
        <v>4836</v>
      </c>
      <c r="D7315" t="s">
        <v>26</v>
      </c>
      <c r="E7315" t="s">
        <v>36</v>
      </c>
      <c r="F7315" t="s">
        <v>46</v>
      </c>
      <c r="G7315">
        <v>3</v>
      </c>
      <c r="H7315">
        <v>24389.35</v>
      </c>
      <c r="I7315">
        <v>3393.91</v>
      </c>
      <c r="J7315" t="s">
        <v>28</v>
      </c>
      <c r="K7315" t="s">
        <v>23</v>
      </c>
      <c r="L7315">
        <f t="shared" si="342"/>
        <v>2024</v>
      </c>
      <c r="M7315" t="str">
        <f t="shared" si="343"/>
        <v>Apr</v>
      </c>
      <c r="N7315" s="2">
        <f t="shared" si="344"/>
        <v>0.13915541004577819</v>
      </c>
    </row>
    <row r="7316" spans="1:14" x14ac:dyDescent="0.45">
      <c r="A7316" t="s">
        <v>12385</v>
      </c>
      <c r="B7316" s="1">
        <v>45315</v>
      </c>
      <c r="C7316" t="s">
        <v>3869</v>
      </c>
      <c r="D7316" t="s">
        <v>13</v>
      </c>
      <c r="E7316" t="s">
        <v>20</v>
      </c>
      <c r="F7316" t="s">
        <v>21</v>
      </c>
      <c r="G7316">
        <v>5</v>
      </c>
      <c r="H7316">
        <v>7806.23</v>
      </c>
      <c r="I7316">
        <v>538.44000000000005</v>
      </c>
      <c r="J7316" t="s">
        <v>71</v>
      </c>
      <c r="K7316" t="s">
        <v>23</v>
      </c>
      <c r="L7316">
        <f t="shared" si="342"/>
        <v>2024</v>
      </c>
      <c r="M7316" t="str">
        <f t="shared" si="343"/>
        <v>Jan</v>
      </c>
      <c r="N7316" s="2">
        <f t="shared" si="344"/>
        <v>6.897567711942898E-2</v>
      </c>
    </row>
    <row r="7317" spans="1:14" x14ac:dyDescent="0.45">
      <c r="A7317" t="s">
        <v>12386</v>
      </c>
      <c r="B7317" s="1">
        <v>44669</v>
      </c>
      <c r="C7317" t="s">
        <v>12387</v>
      </c>
      <c r="D7317" t="s">
        <v>26</v>
      </c>
      <c r="E7317" t="s">
        <v>20</v>
      </c>
      <c r="F7317" t="s">
        <v>50</v>
      </c>
      <c r="G7317">
        <v>1</v>
      </c>
      <c r="H7317">
        <v>16055.46</v>
      </c>
      <c r="I7317">
        <v>968.96</v>
      </c>
      <c r="J7317" t="s">
        <v>47</v>
      </c>
      <c r="K7317" t="s">
        <v>17</v>
      </c>
      <c r="L7317">
        <f t="shared" si="342"/>
        <v>2022</v>
      </c>
      <c r="M7317" t="str">
        <f t="shared" si="343"/>
        <v>Apr</v>
      </c>
      <c r="N7317" s="2">
        <f t="shared" si="344"/>
        <v>6.0350809008275073E-2</v>
      </c>
    </row>
    <row r="7318" spans="1:14" x14ac:dyDescent="0.45">
      <c r="A7318" t="s">
        <v>12388</v>
      </c>
      <c r="B7318" s="1">
        <v>44768</v>
      </c>
      <c r="C7318" t="s">
        <v>5729</v>
      </c>
      <c r="D7318" t="s">
        <v>13</v>
      </c>
      <c r="E7318" t="s">
        <v>36</v>
      </c>
      <c r="F7318" t="s">
        <v>37</v>
      </c>
      <c r="G7318">
        <v>5</v>
      </c>
      <c r="H7318">
        <v>10264.89</v>
      </c>
      <c r="I7318">
        <v>2305.65</v>
      </c>
      <c r="J7318" t="s">
        <v>28</v>
      </c>
      <c r="K7318" t="s">
        <v>29</v>
      </c>
      <c r="L7318">
        <f t="shared" si="342"/>
        <v>2022</v>
      </c>
      <c r="M7318" t="str">
        <f t="shared" si="343"/>
        <v>Jul</v>
      </c>
      <c r="N7318" s="2">
        <f t="shared" si="344"/>
        <v>0.22461516879382051</v>
      </c>
    </row>
    <row r="7319" spans="1:14" x14ac:dyDescent="0.45">
      <c r="A7319" t="s">
        <v>12389</v>
      </c>
      <c r="B7319" s="1">
        <v>44567</v>
      </c>
      <c r="C7319" t="s">
        <v>12064</v>
      </c>
      <c r="D7319" t="s">
        <v>13</v>
      </c>
      <c r="E7319" t="s">
        <v>36</v>
      </c>
      <c r="F7319" t="s">
        <v>53</v>
      </c>
      <c r="G7319">
        <v>5</v>
      </c>
      <c r="H7319">
        <v>31647.51</v>
      </c>
      <c r="I7319">
        <v>3901.28</v>
      </c>
      <c r="J7319" t="s">
        <v>16</v>
      </c>
      <c r="K7319" t="s">
        <v>17</v>
      </c>
      <c r="L7319">
        <f t="shared" si="342"/>
        <v>2022</v>
      </c>
      <c r="M7319" t="str">
        <f t="shared" si="343"/>
        <v>Jan</v>
      </c>
      <c r="N7319" s="2">
        <f t="shared" si="344"/>
        <v>0.12327288939951359</v>
      </c>
    </row>
    <row r="7320" spans="1:14" x14ac:dyDescent="0.45">
      <c r="A7320" t="s">
        <v>12390</v>
      </c>
      <c r="B7320" s="1">
        <v>45497</v>
      </c>
      <c r="C7320" t="s">
        <v>12234</v>
      </c>
      <c r="D7320" t="s">
        <v>26</v>
      </c>
      <c r="E7320" t="s">
        <v>14</v>
      </c>
      <c r="F7320" t="s">
        <v>15</v>
      </c>
      <c r="G7320">
        <v>5</v>
      </c>
      <c r="H7320">
        <v>25286.28</v>
      </c>
      <c r="I7320">
        <v>1331.77</v>
      </c>
      <c r="J7320" t="s">
        <v>71</v>
      </c>
      <c r="K7320" t="s">
        <v>17</v>
      </c>
      <c r="L7320">
        <f t="shared" si="342"/>
        <v>2024</v>
      </c>
      <c r="M7320" t="str">
        <f t="shared" si="343"/>
        <v>Jul</v>
      </c>
      <c r="N7320" s="2">
        <f t="shared" si="344"/>
        <v>5.2667691728478842E-2</v>
      </c>
    </row>
    <row r="7321" spans="1:14" x14ac:dyDescent="0.45">
      <c r="A7321" t="s">
        <v>12391</v>
      </c>
      <c r="B7321" s="1">
        <v>44765</v>
      </c>
      <c r="C7321" t="s">
        <v>6736</v>
      </c>
      <c r="D7321" t="s">
        <v>56</v>
      </c>
      <c r="E7321" t="s">
        <v>20</v>
      </c>
      <c r="F7321" t="s">
        <v>21</v>
      </c>
      <c r="G7321">
        <v>4</v>
      </c>
      <c r="H7321">
        <v>4073.33</v>
      </c>
      <c r="I7321">
        <v>767.31</v>
      </c>
      <c r="J7321" t="s">
        <v>28</v>
      </c>
      <c r="K7321" t="s">
        <v>23</v>
      </c>
      <c r="L7321">
        <f t="shared" si="342"/>
        <v>2022</v>
      </c>
      <c r="M7321" t="str">
        <f t="shared" si="343"/>
        <v>Jul</v>
      </c>
      <c r="N7321" s="2">
        <f t="shared" si="344"/>
        <v>0.18837413123905991</v>
      </c>
    </row>
    <row r="7322" spans="1:14" x14ac:dyDescent="0.45">
      <c r="A7322" t="s">
        <v>12392</v>
      </c>
      <c r="B7322" s="1">
        <v>45559</v>
      </c>
      <c r="C7322" t="s">
        <v>4542</v>
      </c>
      <c r="D7322" t="s">
        <v>56</v>
      </c>
      <c r="E7322" t="s">
        <v>36</v>
      </c>
      <c r="F7322" t="s">
        <v>64</v>
      </c>
      <c r="G7322">
        <v>4</v>
      </c>
      <c r="H7322">
        <v>25950.84</v>
      </c>
      <c r="I7322">
        <v>6201.12</v>
      </c>
      <c r="J7322" t="s">
        <v>16</v>
      </c>
      <c r="K7322" t="s">
        <v>29</v>
      </c>
      <c r="L7322">
        <f t="shared" si="342"/>
        <v>2024</v>
      </c>
      <c r="M7322" t="str">
        <f t="shared" si="343"/>
        <v>Sep</v>
      </c>
      <c r="N7322" s="2">
        <f t="shared" si="344"/>
        <v>0.23895642684398655</v>
      </c>
    </row>
    <row r="7323" spans="1:14" x14ac:dyDescent="0.45">
      <c r="A7323" t="s">
        <v>12393</v>
      </c>
      <c r="B7323" s="1">
        <v>44829</v>
      </c>
      <c r="C7323" t="s">
        <v>8617</v>
      </c>
      <c r="D7323" t="s">
        <v>56</v>
      </c>
      <c r="E7323" t="s">
        <v>14</v>
      </c>
      <c r="F7323" t="s">
        <v>57</v>
      </c>
      <c r="G7323">
        <v>2</v>
      </c>
      <c r="H7323">
        <v>45266.17</v>
      </c>
      <c r="I7323">
        <v>4612.84</v>
      </c>
      <c r="J7323" t="s">
        <v>28</v>
      </c>
      <c r="K7323" t="s">
        <v>29</v>
      </c>
      <c r="L7323">
        <f t="shared" si="342"/>
        <v>2022</v>
      </c>
      <c r="M7323" t="str">
        <f t="shared" si="343"/>
        <v>Sep</v>
      </c>
      <c r="N7323" s="2">
        <f t="shared" si="344"/>
        <v>0.10190479998639161</v>
      </c>
    </row>
    <row r="7324" spans="1:14" x14ac:dyDescent="0.45">
      <c r="A7324" t="s">
        <v>12394</v>
      </c>
      <c r="B7324" s="1">
        <v>45300</v>
      </c>
      <c r="C7324" t="s">
        <v>4708</v>
      </c>
      <c r="D7324" t="s">
        <v>13</v>
      </c>
      <c r="E7324" t="s">
        <v>36</v>
      </c>
      <c r="F7324" t="s">
        <v>53</v>
      </c>
      <c r="G7324">
        <v>3</v>
      </c>
      <c r="H7324">
        <v>17857.12</v>
      </c>
      <c r="I7324">
        <v>3722.83</v>
      </c>
      <c r="J7324" t="s">
        <v>47</v>
      </c>
      <c r="K7324" t="s">
        <v>29</v>
      </c>
      <c r="L7324">
        <f t="shared" si="342"/>
        <v>2024</v>
      </c>
      <c r="M7324" t="str">
        <f t="shared" si="343"/>
        <v>Jan</v>
      </c>
      <c r="N7324" s="2">
        <f t="shared" si="344"/>
        <v>0.20847874685279599</v>
      </c>
    </row>
    <row r="7325" spans="1:14" x14ac:dyDescent="0.45">
      <c r="A7325" t="s">
        <v>12395</v>
      </c>
      <c r="B7325" s="1">
        <v>45427</v>
      </c>
      <c r="C7325" t="s">
        <v>5078</v>
      </c>
      <c r="D7325" t="s">
        <v>56</v>
      </c>
      <c r="E7325" t="s">
        <v>20</v>
      </c>
      <c r="F7325" t="s">
        <v>21</v>
      </c>
      <c r="G7325">
        <v>4</v>
      </c>
      <c r="H7325">
        <v>29266.37</v>
      </c>
      <c r="I7325">
        <v>2000.68</v>
      </c>
      <c r="J7325" t="s">
        <v>22</v>
      </c>
      <c r="K7325" t="s">
        <v>23</v>
      </c>
      <c r="L7325">
        <f t="shared" si="342"/>
        <v>2024</v>
      </c>
      <c r="M7325" t="str">
        <f t="shared" si="343"/>
        <v>May</v>
      </c>
      <c r="N7325" s="2">
        <f t="shared" si="344"/>
        <v>6.8361057418463586E-2</v>
      </c>
    </row>
    <row r="7326" spans="1:14" x14ac:dyDescent="0.45">
      <c r="A7326" t="s">
        <v>12396</v>
      </c>
      <c r="B7326" s="1">
        <v>44728</v>
      </c>
      <c r="C7326" t="s">
        <v>1122</v>
      </c>
      <c r="D7326" t="s">
        <v>13</v>
      </c>
      <c r="E7326" t="s">
        <v>14</v>
      </c>
      <c r="F7326" t="s">
        <v>15</v>
      </c>
      <c r="G7326">
        <v>2</v>
      </c>
      <c r="H7326">
        <v>11291.84</v>
      </c>
      <c r="I7326">
        <v>1277.6600000000001</v>
      </c>
      <c r="J7326" t="s">
        <v>71</v>
      </c>
      <c r="K7326" t="s">
        <v>23</v>
      </c>
      <c r="L7326">
        <f t="shared" si="342"/>
        <v>2022</v>
      </c>
      <c r="M7326" t="str">
        <f t="shared" si="343"/>
        <v>Jun</v>
      </c>
      <c r="N7326" s="2">
        <f t="shared" si="344"/>
        <v>0.11314896420778191</v>
      </c>
    </row>
    <row r="7327" spans="1:14" x14ac:dyDescent="0.45">
      <c r="A7327" t="s">
        <v>12397</v>
      </c>
      <c r="B7327" s="1">
        <v>44905</v>
      </c>
      <c r="C7327" t="s">
        <v>1969</v>
      </c>
      <c r="D7327" t="s">
        <v>56</v>
      </c>
      <c r="E7327" t="s">
        <v>36</v>
      </c>
      <c r="F7327" t="s">
        <v>53</v>
      </c>
      <c r="G7327">
        <v>5</v>
      </c>
      <c r="H7327">
        <v>23280.6</v>
      </c>
      <c r="I7327">
        <v>1191.67</v>
      </c>
      <c r="J7327" t="s">
        <v>28</v>
      </c>
      <c r="K7327" t="s">
        <v>29</v>
      </c>
      <c r="L7327">
        <f t="shared" si="342"/>
        <v>2022</v>
      </c>
      <c r="M7327" t="str">
        <f t="shared" si="343"/>
        <v>Dec</v>
      </c>
      <c r="N7327" s="2">
        <f t="shared" si="344"/>
        <v>5.1187254624021725E-2</v>
      </c>
    </row>
    <row r="7328" spans="1:14" x14ac:dyDescent="0.45">
      <c r="A7328" t="s">
        <v>12398</v>
      </c>
      <c r="B7328" s="1">
        <v>44665</v>
      </c>
      <c r="C7328" t="s">
        <v>972</v>
      </c>
      <c r="D7328" t="s">
        <v>56</v>
      </c>
      <c r="E7328" t="s">
        <v>14</v>
      </c>
      <c r="F7328" t="s">
        <v>40</v>
      </c>
      <c r="G7328">
        <v>5</v>
      </c>
      <c r="H7328">
        <v>45571.6</v>
      </c>
      <c r="I7328">
        <v>9557.91</v>
      </c>
      <c r="J7328" t="s">
        <v>16</v>
      </c>
      <c r="K7328" t="s">
        <v>33</v>
      </c>
      <c r="L7328">
        <f t="shared" si="342"/>
        <v>2022</v>
      </c>
      <c r="M7328" t="str">
        <f t="shared" si="343"/>
        <v>Apr</v>
      </c>
      <c r="N7328" s="2">
        <f t="shared" si="344"/>
        <v>0.20973391322665871</v>
      </c>
    </row>
    <row r="7329" spans="1:14" x14ac:dyDescent="0.45">
      <c r="A7329" t="s">
        <v>12399</v>
      </c>
      <c r="B7329" s="1">
        <v>44660</v>
      </c>
      <c r="C7329" t="s">
        <v>12400</v>
      </c>
      <c r="D7329" t="s">
        <v>26</v>
      </c>
      <c r="E7329" t="s">
        <v>20</v>
      </c>
      <c r="F7329" t="s">
        <v>43</v>
      </c>
      <c r="G7329">
        <v>5</v>
      </c>
      <c r="H7329">
        <v>20402.080000000002</v>
      </c>
      <c r="I7329">
        <v>1130.3499999999999</v>
      </c>
      <c r="J7329" t="s">
        <v>28</v>
      </c>
      <c r="K7329" t="s">
        <v>17</v>
      </c>
      <c r="L7329">
        <f t="shared" si="342"/>
        <v>2022</v>
      </c>
      <c r="M7329" t="str">
        <f t="shared" si="343"/>
        <v>Apr</v>
      </c>
      <c r="N7329" s="2">
        <f t="shared" si="344"/>
        <v>5.5403664724381033E-2</v>
      </c>
    </row>
    <row r="7330" spans="1:14" x14ac:dyDescent="0.45">
      <c r="A7330" t="s">
        <v>12401</v>
      </c>
      <c r="B7330" s="1">
        <v>45312</v>
      </c>
      <c r="C7330" t="s">
        <v>12402</v>
      </c>
      <c r="D7330" t="s">
        <v>13</v>
      </c>
      <c r="E7330" t="s">
        <v>14</v>
      </c>
      <c r="F7330" t="s">
        <v>15</v>
      </c>
      <c r="G7330">
        <v>1</v>
      </c>
      <c r="H7330">
        <v>15063.33</v>
      </c>
      <c r="I7330">
        <v>1969.39</v>
      </c>
      <c r="J7330" t="s">
        <v>71</v>
      </c>
      <c r="K7330" t="s">
        <v>29</v>
      </c>
      <c r="L7330">
        <f t="shared" si="342"/>
        <v>2024</v>
      </c>
      <c r="M7330" t="str">
        <f t="shared" si="343"/>
        <v>Jan</v>
      </c>
      <c r="N7330" s="2">
        <f t="shared" si="344"/>
        <v>0.13074067951774276</v>
      </c>
    </row>
    <row r="7331" spans="1:14" x14ac:dyDescent="0.45">
      <c r="A7331" t="s">
        <v>12403</v>
      </c>
      <c r="B7331" s="1">
        <v>45641</v>
      </c>
      <c r="C7331" t="s">
        <v>12404</v>
      </c>
      <c r="D7331" t="s">
        <v>13</v>
      </c>
      <c r="E7331" t="s">
        <v>20</v>
      </c>
      <c r="F7331" t="s">
        <v>27</v>
      </c>
      <c r="G7331">
        <v>2</v>
      </c>
      <c r="H7331">
        <v>31336.39</v>
      </c>
      <c r="I7331">
        <v>4139.63</v>
      </c>
      <c r="J7331" t="s">
        <v>47</v>
      </c>
      <c r="K7331" t="s">
        <v>23</v>
      </c>
      <c r="L7331">
        <f t="shared" si="342"/>
        <v>2024</v>
      </c>
      <c r="M7331" t="str">
        <f t="shared" si="343"/>
        <v>Dec</v>
      </c>
      <c r="N7331" s="2">
        <f t="shared" si="344"/>
        <v>0.13210296399808658</v>
      </c>
    </row>
    <row r="7332" spans="1:14" x14ac:dyDescent="0.45">
      <c r="A7332" t="s">
        <v>12405</v>
      </c>
      <c r="B7332" s="1">
        <v>44828</v>
      </c>
      <c r="C7332" t="s">
        <v>12406</v>
      </c>
      <c r="D7332" t="s">
        <v>13</v>
      </c>
      <c r="E7332" t="s">
        <v>36</v>
      </c>
      <c r="F7332" t="s">
        <v>46</v>
      </c>
      <c r="G7332">
        <v>3</v>
      </c>
      <c r="H7332">
        <v>33032.26</v>
      </c>
      <c r="I7332">
        <v>8134.95</v>
      </c>
      <c r="J7332" t="s">
        <v>47</v>
      </c>
      <c r="K7332" t="s">
        <v>23</v>
      </c>
      <c r="L7332">
        <f t="shared" si="342"/>
        <v>2022</v>
      </c>
      <c r="M7332" t="str">
        <f t="shared" si="343"/>
        <v>Sep</v>
      </c>
      <c r="N7332" s="2">
        <f t="shared" si="344"/>
        <v>0.24627288596057306</v>
      </c>
    </row>
    <row r="7333" spans="1:14" x14ac:dyDescent="0.45">
      <c r="A7333" t="s">
        <v>12407</v>
      </c>
      <c r="B7333" s="1">
        <v>45202</v>
      </c>
      <c r="C7333" t="s">
        <v>12408</v>
      </c>
      <c r="D7333" t="s">
        <v>13</v>
      </c>
      <c r="E7333" t="s">
        <v>36</v>
      </c>
      <c r="F7333" t="s">
        <v>53</v>
      </c>
      <c r="G7333">
        <v>3</v>
      </c>
      <c r="H7333">
        <v>25788.560000000001</v>
      </c>
      <c r="I7333">
        <v>4218.17</v>
      </c>
      <c r="J7333" t="s">
        <v>16</v>
      </c>
      <c r="K7333" t="s">
        <v>29</v>
      </c>
      <c r="L7333">
        <f t="shared" si="342"/>
        <v>2023</v>
      </c>
      <c r="M7333" t="str">
        <f t="shared" si="343"/>
        <v>Oct</v>
      </c>
      <c r="N7333" s="2">
        <f t="shared" si="344"/>
        <v>0.16356748884001276</v>
      </c>
    </row>
    <row r="7334" spans="1:14" x14ac:dyDescent="0.45">
      <c r="A7334" t="s">
        <v>12409</v>
      </c>
      <c r="B7334" s="1">
        <v>44645</v>
      </c>
      <c r="C7334" t="s">
        <v>10263</v>
      </c>
      <c r="D7334" t="s">
        <v>26</v>
      </c>
      <c r="E7334" t="s">
        <v>14</v>
      </c>
      <c r="F7334" t="s">
        <v>32</v>
      </c>
      <c r="G7334">
        <v>5</v>
      </c>
      <c r="H7334">
        <v>44720.160000000003</v>
      </c>
      <c r="I7334">
        <v>5150.82</v>
      </c>
      <c r="J7334" t="s">
        <v>22</v>
      </c>
      <c r="K7334" t="s">
        <v>23</v>
      </c>
      <c r="L7334">
        <f t="shared" si="342"/>
        <v>2022</v>
      </c>
      <c r="M7334" t="str">
        <f t="shared" si="343"/>
        <v>Mar</v>
      </c>
      <c r="N7334" s="2">
        <f t="shared" si="344"/>
        <v>0.11517892601457597</v>
      </c>
    </row>
    <row r="7335" spans="1:14" x14ac:dyDescent="0.45">
      <c r="A7335" t="s">
        <v>12410</v>
      </c>
      <c r="B7335" s="1">
        <v>45373</v>
      </c>
      <c r="C7335" t="s">
        <v>3711</v>
      </c>
      <c r="D7335" t="s">
        <v>56</v>
      </c>
      <c r="E7335" t="s">
        <v>20</v>
      </c>
      <c r="F7335" t="s">
        <v>21</v>
      </c>
      <c r="G7335">
        <v>4</v>
      </c>
      <c r="H7335">
        <v>48067.06</v>
      </c>
      <c r="I7335">
        <v>10914.96</v>
      </c>
      <c r="J7335" t="s">
        <v>22</v>
      </c>
      <c r="K7335" t="s">
        <v>33</v>
      </c>
      <c r="L7335">
        <f t="shared" si="342"/>
        <v>2024</v>
      </c>
      <c r="M7335" t="str">
        <f t="shared" si="343"/>
        <v>Mar</v>
      </c>
      <c r="N7335" s="2">
        <f t="shared" si="344"/>
        <v>0.22707775345527684</v>
      </c>
    </row>
    <row r="7336" spans="1:14" x14ac:dyDescent="0.45">
      <c r="A7336" t="s">
        <v>12411</v>
      </c>
      <c r="B7336" s="1">
        <v>45025</v>
      </c>
      <c r="C7336" t="s">
        <v>12412</v>
      </c>
      <c r="D7336" t="s">
        <v>26</v>
      </c>
      <c r="E7336" t="s">
        <v>20</v>
      </c>
      <c r="F7336" t="s">
        <v>43</v>
      </c>
      <c r="G7336">
        <v>1</v>
      </c>
      <c r="H7336">
        <v>47785.94</v>
      </c>
      <c r="I7336">
        <v>7034.87</v>
      </c>
      <c r="J7336" t="s">
        <v>22</v>
      </c>
      <c r="K7336" t="s">
        <v>33</v>
      </c>
      <c r="L7336">
        <f t="shared" si="342"/>
        <v>2023</v>
      </c>
      <c r="M7336" t="str">
        <f t="shared" si="343"/>
        <v>Apr</v>
      </c>
      <c r="N7336" s="2">
        <f t="shared" si="344"/>
        <v>0.14721631509184499</v>
      </c>
    </row>
    <row r="7337" spans="1:14" x14ac:dyDescent="0.45">
      <c r="A7337" t="s">
        <v>12413</v>
      </c>
      <c r="B7337" s="1">
        <v>45173</v>
      </c>
      <c r="C7337" t="s">
        <v>3432</v>
      </c>
      <c r="D7337" t="s">
        <v>56</v>
      </c>
      <c r="E7337" t="s">
        <v>36</v>
      </c>
      <c r="F7337" t="s">
        <v>46</v>
      </c>
      <c r="G7337">
        <v>2</v>
      </c>
      <c r="H7337">
        <v>17591.7</v>
      </c>
      <c r="I7337">
        <v>3671.05</v>
      </c>
      <c r="J7337" t="s">
        <v>71</v>
      </c>
      <c r="K7337" t="s">
        <v>17</v>
      </c>
      <c r="L7337">
        <f t="shared" si="342"/>
        <v>2023</v>
      </c>
      <c r="M7337" t="str">
        <f t="shared" si="343"/>
        <v>Sep</v>
      </c>
      <c r="N7337" s="2">
        <f t="shared" si="344"/>
        <v>0.20868079833103112</v>
      </c>
    </row>
    <row r="7338" spans="1:14" x14ac:dyDescent="0.45">
      <c r="A7338" t="s">
        <v>12414</v>
      </c>
      <c r="B7338" s="1">
        <v>44938</v>
      </c>
      <c r="C7338" t="s">
        <v>12415</v>
      </c>
      <c r="D7338" t="s">
        <v>13</v>
      </c>
      <c r="E7338" t="s">
        <v>36</v>
      </c>
      <c r="F7338" t="s">
        <v>37</v>
      </c>
      <c r="G7338">
        <v>4</v>
      </c>
      <c r="H7338">
        <v>22709.64</v>
      </c>
      <c r="I7338">
        <v>1616.92</v>
      </c>
      <c r="J7338" t="s">
        <v>47</v>
      </c>
      <c r="K7338" t="s">
        <v>23</v>
      </c>
      <c r="L7338">
        <f t="shared" si="342"/>
        <v>2023</v>
      </c>
      <c r="M7338" t="str">
        <f t="shared" si="343"/>
        <v>Jan</v>
      </c>
      <c r="N7338" s="2">
        <f t="shared" si="344"/>
        <v>7.1199719590447061E-2</v>
      </c>
    </row>
    <row r="7339" spans="1:14" x14ac:dyDescent="0.45">
      <c r="A7339" t="s">
        <v>12416</v>
      </c>
      <c r="B7339" s="1">
        <v>45034</v>
      </c>
      <c r="C7339" t="s">
        <v>6225</v>
      </c>
      <c r="D7339" t="s">
        <v>26</v>
      </c>
      <c r="E7339" t="s">
        <v>20</v>
      </c>
      <c r="F7339" t="s">
        <v>27</v>
      </c>
      <c r="G7339">
        <v>5</v>
      </c>
      <c r="H7339">
        <v>20271.88</v>
      </c>
      <c r="I7339">
        <v>2002.29</v>
      </c>
      <c r="J7339" t="s">
        <v>16</v>
      </c>
      <c r="K7339" t="s">
        <v>23</v>
      </c>
      <c r="L7339">
        <f t="shared" si="342"/>
        <v>2023</v>
      </c>
      <c r="M7339" t="str">
        <f t="shared" si="343"/>
        <v>Apr</v>
      </c>
      <c r="N7339" s="2">
        <f t="shared" si="344"/>
        <v>9.8771796202424239E-2</v>
      </c>
    </row>
    <row r="7340" spans="1:14" x14ac:dyDescent="0.45">
      <c r="A7340" t="s">
        <v>12417</v>
      </c>
      <c r="B7340" s="1">
        <v>45081</v>
      </c>
      <c r="C7340" t="s">
        <v>744</v>
      </c>
      <c r="D7340" t="s">
        <v>13</v>
      </c>
      <c r="E7340" t="s">
        <v>36</v>
      </c>
      <c r="F7340" t="s">
        <v>46</v>
      </c>
      <c r="G7340">
        <v>1</v>
      </c>
      <c r="H7340">
        <v>3065.24</v>
      </c>
      <c r="I7340">
        <v>292.75</v>
      </c>
      <c r="J7340" t="s">
        <v>71</v>
      </c>
      <c r="K7340" t="s">
        <v>23</v>
      </c>
      <c r="L7340">
        <f t="shared" si="342"/>
        <v>2023</v>
      </c>
      <c r="M7340" t="str">
        <f t="shared" si="343"/>
        <v>Jun</v>
      </c>
      <c r="N7340" s="2">
        <f t="shared" si="344"/>
        <v>9.550638775430309E-2</v>
      </c>
    </row>
    <row r="7341" spans="1:14" x14ac:dyDescent="0.45">
      <c r="A7341" t="s">
        <v>12418</v>
      </c>
      <c r="B7341" s="1">
        <v>44676</v>
      </c>
      <c r="C7341" t="s">
        <v>12419</v>
      </c>
      <c r="D7341" t="s">
        <v>26</v>
      </c>
      <c r="E7341" t="s">
        <v>14</v>
      </c>
      <c r="F7341" t="s">
        <v>57</v>
      </c>
      <c r="G7341">
        <v>5</v>
      </c>
      <c r="H7341">
        <v>30246.42</v>
      </c>
      <c r="I7341">
        <v>7482.26</v>
      </c>
      <c r="J7341" t="s">
        <v>22</v>
      </c>
      <c r="K7341" t="s">
        <v>29</v>
      </c>
      <c r="L7341">
        <f t="shared" si="342"/>
        <v>2022</v>
      </c>
      <c r="M7341" t="str">
        <f t="shared" si="343"/>
        <v>Apr</v>
      </c>
      <c r="N7341" s="2">
        <f t="shared" si="344"/>
        <v>0.24737671433511804</v>
      </c>
    </row>
    <row r="7342" spans="1:14" x14ac:dyDescent="0.45">
      <c r="A7342" t="s">
        <v>12420</v>
      </c>
      <c r="B7342" s="1">
        <v>45228</v>
      </c>
      <c r="C7342" t="s">
        <v>12421</v>
      </c>
      <c r="D7342" t="s">
        <v>26</v>
      </c>
      <c r="E7342" t="s">
        <v>14</v>
      </c>
      <c r="F7342" t="s">
        <v>57</v>
      </c>
      <c r="G7342">
        <v>5</v>
      </c>
      <c r="H7342">
        <v>25254.51</v>
      </c>
      <c r="I7342">
        <v>3222.79</v>
      </c>
      <c r="J7342" t="s">
        <v>16</v>
      </c>
      <c r="K7342" t="s">
        <v>23</v>
      </c>
      <c r="L7342">
        <f t="shared" si="342"/>
        <v>2023</v>
      </c>
      <c r="M7342" t="str">
        <f t="shared" si="343"/>
        <v>Oct</v>
      </c>
      <c r="N7342" s="2">
        <f t="shared" si="344"/>
        <v>0.12761245417155193</v>
      </c>
    </row>
    <row r="7343" spans="1:14" x14ac:dyDescent="0.45">
      <c r="A7343" t="s">
        <v>12422</v>
      </c>
      <c r="B7343" s="1">
        <v>45645</v>
      </c>
      <c r="C7343" t="s">
        <v>12423</v>
      </c>
      <c r="D7343" t="s">
        <v>56</v>
      </c>
      <c r="E7343" t="s">
        <v>36</v>
      </c>
      <c r="F7343" t="s">
        <v>46</v>
      </c>
      <c r="G7343">
        <v>4</v>
      </c>
      <c r="H7343">
        <v>26908.79</v>
      </c>
      <c r="I7343">
        <v>6089.88</v>
      </c>
      <c r="J7343" t="s">
        <v>16</v>
      </c>
      <c r="K7343" t="s">
        <v>23</v>
      </c>
      <c r="L7343">
        <f t="shared" si="342"/>
        <v>2024</v>
      </c>
      <c r="M7343" t="str">
        <f t="shared" si="343"/>
        <v>Dec</v>
      </c>
      <c r="N7343" s="2">
        <f t="shared" si="344"/>
        <v>0.22631563886744815</v>
      </c>
    </row>
    <row r="7344" spans="1:14" x14ac:dyDescent="0.45">
      <c r="A7344" t="s">
        <v>12424</v>
      </c>
      <c r="B7344" s="1">
        <v>45577</v>
      </c>
      <c r="C7344" t="s">
        <v>3191</v>
      </c>
      <c r="D7344" t="s">
        <v>26</v>
      </c>
      <c r="E7344" t="s">
        <v>14</v>
      </c>
      <c r="F7344" t="s">
        <v>32</v>
      </c>
      <c r="G7344">
        <v>2</v>
      </c>
      <c r="H7344">
        <v>3078.12</v>
      </c>
      <c r="I7344">
        <v>199.69</v>
      </c>
      <c r="J7344" t="s">
        <v>71</v>
      </c>
      <c r="K7344" t="s">
        <v>17</v>
      </c>
      <c r="L7344">
        <f t="shared" si="342"/>
        <v>2024</v>
      </c>
      <c r="M7344" t="str">
        <f t="shared" si="343"/>
        <v>Oct</v>
      </c>
      <c r="N7344" s="2">
        <f t="shared" si="344"/>
        <v>6.4874014008550682E-2</v>
      </c>
    </row>
    <row r="7345" spans="1:14" x14ac:dyDescent="0.45">
      <c r="A7345" t="s">
        <v>12425</v>
      </c>
      <c r="B7345" s="1">
        <v>45366</v>
      </c>
      <c r="C7345" t="s">
        <v>1300</v>
      </c>
      <c r="D7345" t="s">
        <v>56</v>
      </c>
      <c r="E7345" t="s">
        <v>36</v>
      </c>
      <c r="F7345" t="s">
        <v>64</v>
      </c>
      <c r="G7345">
        <v>2</v>
      </c>
      <c r="H7345">
        <v>8900.2199999999993</v>
      </c>
      <c r="I7345">
        <v>707.45</v>
      </c>
      <c r="J7345" t="s">
        <v>47</v>
      </c>
      <c r="K7345" t="s">
        <v>23</v>
      </c>
      <c r="L7345">
        <f t="shared" si="342"/>
        <v>2024</v>
      </c>
      <c r="M7345" t="str">
        <f t="shared" si="343"/>
        <v>Mar</v>
      </c>
      <c r="N7345" s="2">
        <f t="shared" si="344"/>
        <v>7.9486799202716354E-2</v>
      </c>
    </row>
    <row r="7346" spans="1:14" x14ac:dyDescent="0.45">
      <c r="A7346" t="s">
        <v>12426</v>
      </c>
      <c r="B7346" s="1">
        <v>45208</v>
      </c>
      <c r="C7346" t="s">
        <v>12427</v>
      </c>
      <c r="D7346" t="s">
        <v>26</v>
      </c>
      <c r="E7346" t="s">
        <v>20</v>
      </c>
      <c r="F7346" t="s">
        <v>50</v>
      </c>
      <c r="G7346">
        <v>1</v>
      </c>
      <c r="H7346">
        <v>24867.37</v>
      </c>
      <c r="I7346">
        <v>1560.91</v>
      </c>
      <c r="J7346" t="s">
        <v>28</v>
      </c>
      <c r="K7346" t="s">
        <v>33</v>
      </c>
      <c r="L7346">
        <f t="shared" si="342"/>
        <v>2023</v>
      </c>
      <c r="M7346" t="str">
        <f t="shared" si="343"/>
        <v>Oct</v>
      </c>
      <c r="N7346" s="2">
        <f t="shared" si="344"/>
        <v>6.2769404243392043E-2</v>
      </c>
    </row>
    <row r="7347" spans="1:14" x14ac:dyDescent="0.45">
      <c r="A7347" t="s">
        <v>12428</v>
      </c>
      <c r="B7347" s="1">
        <v>44763</v>
      </c>
      <c r="C7347" t="s">
        <v>5656</v>
      </c>
      <c r="D7347" t="s">
        <v>13</v>
      </c>
      <c r="E7347" t="s">
        <v>20</v>
      </c>
      <c r="F7347" t="s">
        <v>27</v>
      </c>
      <c r="G7347">
        <v>4</v>
      </c>
      <c r="H7347">
        <v>35507.21</v>
      </c>
      <c r="I7347">
        <v>3340.45</v>
      </c>
      <c r="J7347" t="s">
        <v>47</v>
      </c>
      <c r="K7347" t="s">
        <v>33</v>
      </c>
      <c r="L7347">
        <f t="shared" si="342"/>
        <v>2022</v>
      </c>
      <c r="M7347" t="str">
        <f t="shared" si="343"/>
        <v>Jul</v>
      </c>
      <c r="N7347" s="2">
        <f t="shared" si="344"/>
        <v>9.4078075973865583E-2</v>
      </c>
    </row>
    <row r="7348" spans="1:14" x14ac:dyDescent="0.45">
      <c r="A7348" t="s">
        <v>12429</v>
      </c>
      <c r="B7348" s="1">
        <v>45511</v>
      </c>
      <c r="C7348" t="s">
        <v>4374</v>
      </c>
      <c r="D7348" t="s">
        <v>13</v>
      </c>
      <c r="E7348" t="s">
        <v>20</v>
      </c>
      <c r="F7348" t="s">
        <v>50</v>
      </c>
      <c r="G7348">
        <v>1</v>
      </c>
      <c r="H7348">
        <v>30215.13</v>
      </c>
      <c r="I7348">
        <v>3329.5</v>
      </c>
      <c r="J7348" t="s">
        <v>28</v>
      </c>
      <c r="K7348" t="s">
        <v>29</v>
      </c>
      <c r="L7348">
        <f t="shared" si="342"/>
        <v>2024</v>
      </c>
      <c r="M7348" t="str">
        <f t="shared" si="343"/>
        <v>Aug</v>
      </c>
      <c r="N7348" s="2">
        <f t="shared" si="344"/>
        <v>0.11019313833830931</v>
      </c>
    </row>
    <row r="7349" spans="1:14" x14ac:dyDescent="0.45">
      <c r="A7349" t="s">
        <v>12430</v>
      </c>
      <c r="B7349" s="1">
        <v>44984</v>
      </c>
      <c r="C7349" t="s">
        <v>10113</v>
      </c>
      <c r="D7349" t="s">
        <v>56</v>
      </c>
      <c r="E7349" t="s">
        <v>36</v>
      </c>
      <c r="F7349" t="s">
        <v>46</v>
      </c>
      <c r="G7349">
        <v>2</v>
      </c>
      <c r="H7349">
        <v>631.77</v>
      </c>
      <c r="I7349">
        <v>108.3</v>
      </c>
      <c r="J7349" t="s">
        <v>47</v>
      </c>
      <c r="K7349" t="s">
        <v>17</v>
      </c>
      <c r="L7349">
        <f t="shared" si="342"/>
        <v>2023</v>
      </c>
      <c r="M7349" t="str">
        <f t="shared" si="343"/>
        <v>Feb</v>
      </c>
      <c r="N7349" s="2">
        <f t="shared" si="344"/>
        <v>0.17142314449878912</v>
      </c>
    </row>
    <row r="7350" spans="1:14" x14ac:dyDescent="0.45">
      <c r="A7350" t="s">
        <v>12431</v>
      </c>
      <c r="B7350" s="1">
        <v>44648</v>
      </c>
      <c r="C7350" t="s">
        <v>12432</v>
      </c>
      <c r="D7350" t="s">
        <v>56</v>
      </c>
      <c r="E7350" t="s">
        <v>20</v>
      </c>
      <c r="F7350" t="s">
        <v>43</v>
      </c>
      <c r="G7350">
        <v>3</v>
      </c>
      <c r="H7350">
        <v>30742.47</v>
      </c>
      <c r="I7350">
        <v>6686.63</v>
      </c>
      <c r="J7350" t="s">
        <v>71</v>
      </c>
      <c r="K7350" t="s">
        <v>33</v>
      </c>
      <c r="L7350">
        <f t="shared" si="342"/>
        <v>2022</v>
      </c>
      <c r="M7350" t="str">
        <f t="shared" si="343"/>
        <v>Mar</v>
      </c>
      <c r="N7350" s="2">
        <f t="shared" si="344"/>
        <v>0.21750464422670007</v>
      </c>
    </row>
    <row r="7351" spans="1:14" x14ac:dyDescent="0.45">
      <c r="A7351" t="s">
        <v>12433</v>
      </c>
      <c r="B7351" s="1">
        <v>44792</v>
      </c>
      <c r="C7351" t="s">
        <v>9282</v>
      </c>
      <c r="D7351" t="s">
        <v>13</v>
      </c>
      <c r="E7351" t="s">
        <v>20</v>
      </c>
      <c r="F7351" t="s">
        <v>27</v>
      </c>
      <c r="G7351">
        <v>5</v>
      </c>
      <c r="H7351">
        <v>22124.98</v>
      </c>
      <c r="I7351">
        <v>4951.67</v>
      </c>
      <c r="J7351" t="s">
        <v>16</v>
      </c>
      <c r="K7351" t="s">
        <v>33</v>
      </c>
      <c r="L7351">
        <f t="shared" si="342"/>
        <v>2022</v>
      </c>
      <c r="M7351" t="str">
        <f t="shared" si="343"/>
        <v>Aug</v>
      </c>
      <c r="N7351" s="2">
        <f t="shared" si="344"/>
        <v>0.22380449609445976</v>
      </c>
    </row>
    <row r="7352" spans="1:14" x14ac:dyDescent="0.45">
      <c r="A7352" t="s">
        <v>12434</v>
      </c>
      <c r="B7352" s="1">
        <v>44650</v>
      </c>
      <c r="C7352" t="s">
        <v>1930</v>
      </c>
      <c r="D7352" t="s">
        <v>26</v>
      </c>
      <c r="E7352" t="s">
        <v>20</v>
      </c>
      <c r="F7352" t="s">
        <v>21</v>
      </c>
      <c r="G7352">
        <v>3</v>
      </c>
      <c r="H7352">
        <v>44213.38</v>
      </c>
      <c r="I7352">
        <v>3354.65</v>
      </c>
      <c r="J7352" t="s">
        <v>22</v>
      </c>
      <c r="K7352" t="s">
        <v>33</v>
      </c>
      <c r="L7352">
        <f t="shared" si="342"/>
        <v>2022</v>
      </c>
      <c r="M7352" t="str">
        <f t="shared" si="343"/>
        <v>Mar</v>
      </c>
      <c r="N7352" s="2">
        <f t="shared" si="344"/>
        <v>7.5874090603342256E-2</v>
      </c>
    </row>
    <row r="7353" spans="1:14" x14ac:dyDescent="0.45">
      <c r="A7353" t="s">
        <v>12435</v>
      </c>
      <c r="B7353" s="1">
        <v>44964</v>
      </c>
      <c r="C7353" t="s">
        <v>887</v>
      </c>
      <c r="D7353" t="s">
        <v>26</v>
      </c>
      <c r="E7353" t="s">
        <v>36</v>
      </c>
      <c r="F7353" t="s">
        <v>53</v>
      </c>
      <c r="G7353">
        <v>5</v>
      </c>
      <c r="H7353">
        <v>30774.32</v>
      </c>
      <c r="I7353">
        <v>4447.9399999999996</v>
      </c>
      <c r="J7353" t="s">
        <v>16</v>
      </c>
      <c r="K7353" t="s">
        <v>29</v>
      </c>
      <c r="L7353">
        <f t="shared" si="342"/>
        <v>2023</v>
      </c>
      <c r="M7353" t="str">
        <f t="shared" si="343"/>
        <v>Feb</v>
      </c>
      <c r="N7353" s="2">
        <f t="shared" si="344"/>
        <v>0.1445341440525737</v>
      </c>
    </row>
    <row r="7354" spans="1:14" x14ac:dyDescent="0.45">
      <c r="A7354" t="s">
        <v>12436</v>
      </c>
      <c r="B7354" s="1">
        <v>45423</v>
      </c>
      <c r="C7354" t="s">
        <v>12437</v>
      </c>
      <c r="D7354" t="s">
        <v>13</v>
      </c>
      <c r="E7354" t="s">
        <v>14</v>
      </c>
      <c r="F7354" t="s">
        <v>40</v>
      </c>
      <c r="G7354">
        <v>2</v>
      </c>
      <c r="H7354">
        <v>6746.76</v>
      </c>
      <c r="I7354">
        <v>656.99</v>
      </c>
      <c r="J7354" t="s">
        <v>47</v>
      </c>
      <c r="K7354" t="s">
        <v>23</v>
      </c>
      <c r="L7354">
        <f t="shared" si="342"/>
        <v>2024</v>
      </c>
      <c r="M7354" t="str">
        <f t="shared" si="343"/>
        <v>May</v>
      </c>
      <c r="N7354" s="2">
        <f t="shared" si="344"/>
        <v>9.7378593576768702E-2</v>
      </c>
    </row>
    <row r="7355" spans="1:14" x14ac:dyDescent="0.45">
      <c r="A7355" t="s">
        <v>12438</v>
      </c>
      <c r="B7355" s="1">
        <v>44569</v>
      </c>
      <c r="C7355" t="s">
        <v>3649</v>
      </c>
      <c r="D7355" t="s">
        <v>13</v>
      </c>
      <c r="E7355" t="s">
        <v>20</v>
      </c>
      <c r="F7355" t="s">
        <v>43</v>
      </c>
      <c r="G7355">
        <v>3</v>
      </c>
      <c r="H7355">
        <v>41222.21</v>
      </c>
      <c r="I7355">
        <v>6017.98</v>
      </c>
      <c r="J7355" t="s">
        <v>47</v>
      </c>
      <c r="K7355" t="s">
        <v>29</v>
      </c>
      <c r="L7355">
        <f t="shared" si="342"/>
        <v>2022</v>
      </c>
      <c r="M7355" t="str">
        <f t="shared" si="343"/>
        <v>Jan</v>
      </c>
      <c r="N7355" s="2">
        <f t="shared" si="344"/>
        <v>0.14598877643872077</v>
      </c>
    </row>
    <row r="7356" spans="1:14" x14ac:dyDescent="0.45">
      <c r="A7356" t="s">
        <v>12439</v>
      </c>
      <c r="B7356" s="1">
        <v>45369</v>
      </c>
      <c r="C7356" t="s">
        <v>1808</v>
      </c>
      <c r="D7356" t="s">
        <v>13</v>
      </c>
      <c r="E7356" t="s">
        <v>36</v>
      </c>
      <c r="F7356" t="s">
        <v>46</v>
      </c>
      <c r="G7356">
        <v>2</v>
      </c>
      <c r="H7356">
        <v>34433.17</v>
      </c>
      <c r="I7356">
        <v>4700.03</v>
      </c>
      <c r="J7356" t="s">
        <v>47</v>
      </c>
      <c r="K7356" t="s">
        <v>29</v>
      </c>
      <c r="L7356">
        <f t="shared" si="342"/>
        <v>2024</v>
      </c>
      <c r="M7356" t="str">
        <f t="shared" si="343"/>
        <v>Mar</v>
      </c>
      <c r="N7356" s="2">
        <f t="shared" si="344"/>
        <v>0.1364971624744396</v>
      </c>
    </row>
    <row r="7357" spans="1:14" x14ac:dyDescent="0.45">
      <c r="A7357" t="s">
        <v>12440</v>
      </c>
      <c r="B7357" s="1">
        <v>45497</v>
      </c>
      <c r="C7357" t="s">
        <v>12441</v>
      </c>
      <c r="D7357" t="s">
        <v>56</v>
      </c>
      <c r="E7357" t="s">
        <v>20</v>
      </c>
      <c r="F7357" t="s">
        <v>50</v>
      </c>
      <c r="G7357">
        <v>3</v>
      </c>
      <c r="H7357">
        <v>9159.56</v>
      </c>
      <c r="I7357">
        <v>1629.48</v>
      </c>
      <c r="J7357" t="s">
        <v>47</v>
      </c>
      <c r="K7357" t="s">
        <v>29</v>
      </c>
      <c r="L7357">
        <f t="shared" si="342"/>
        <v>2024</v>
      </c>
      <c r="M7357" t="str">
        <f t="shared" si="343"/>
        <v>Jul</v>
      </c>
      <c r="N7357" s="2">
        <f t="shared" si="344"/>
        <v>0.17789937507915229</v>
      </c>
    </row>
    <row r="7358" spans="1:14" x14ac:dyDescent="0.45">
      <c r="A7358" t="s">
        <v>12442</v>
      </c>
      <c r="B7358" s="1">
        <v>45108</v>
      </c>
      <c r="C7358" t="s">
        <v>12443</v>
      </c>
      <c r="D7358" t="s">
        <v>26</v>
      </c>
      <c r="E7358" t="s">
        <v>36</v>
      </c>
      <c r="F7358" t="s">
        <v>46</v>
      </c>
      <c r="G7358">
        <v>2</v>
      </c>
      <c r="H7358">
        <v>10222.700000000001</v>
      </c>
      <c r="I7358">
        <v>1825.28</v>
      </c>
      <c r="J7358" t="s">
        <v>47</v>
      </c>
      <c r="K7358" t="s">
        <v>29</v>
      </c>
      <c r="L7358">
        <f t="shared" si="342"/>
        <v>2023</v>
      </c>
      <c r="M7358" t="str">
        <f t="shared" si="343"/>
        <v>Jul</v>
      </c>
      <c r="N7358" s="2">
        <f t="shared" si="344"/>
        <v>0.1785516546509239</v>
      </c>
    </row>
    <row r="7359" spans="1:14" x14ac:dyDescent="0.45">
      <c r="A7359" t="s">
        <v>12444</v>
      </c>
      <c r="B7359" s="1">
        <v>45168</v>
      </c>
      <c r="C7359" t="s">
        <v>12445</v>
      </c>
      <c r="D7359" t="s">
        <v>13</v>
      </c>
      <c r="E7359" t="s">
        <v>36</v>
      </c>
      <c r="F7359" t="s">
        <v>46</v>
      </c>
      <c r="G7359">
        <v>3</v>
      </c>
      <c r="H7359">
        <v>8250.24</v>
      </c>
      <c r="I7359">
        <v>624.12</v>
      </c>
      <c r="J7359" t="s">
        <v>71</v>
      </c>
      <c r="K7359" t="s">
        <v>17</v>
      </c>
      <c r="L7359">
        <f t="shared" si="342"/>
        <v>2023</v>
      </c>
      <c r="M7359" t="str">
        <f t="shared" si="343"/>
        <v>Aug</v>
      </c>
      <c r="N7359" s="2">
        <f t="shared" si="344"/>
        <v>7.5648708401210144E-2</v>
      </c>
    </row>
    <row r="7360" spans="1:14" x14ac:dyDescent="0.45">
      <c r="A7360" t="s">
        <v>12446</v>
      </c>
      <c r="B7360" s="1">
        <v>44608</v>
      </c>
      <c r="C7360" t="s">
        <v>12447</v>
      </c>
      <c r="D7360" t="s">
        <v>13</v>
      </c>
      <c r="E7360" t="s">
        <v>20</v>
      </c>
      <c r="F7360" t="s">
        <v>50</v>
      </c>
      <c r="G7360">
        <v>1</v>
      </c>
      <c r="H7360">
        <v>16448.169999999998</v>
      </c>
      <c r="I7360">
        <v>1016.17</v>
      </c>
      <c r="J7360" t="s">
        <v>28</v>
      </c>
      <c r="K7360" t="s">
        <v>23</v>
      </c>
      <c r="L7360">
        <f t="shared" si="342"/>
        <v>2022</v>
      </c>
      <c r="M7360" t="str">
        <f t="shared" si="343"/>
        <v>Feb</v>
      </c>
      <c r="N7360" s="2">
        <f t="shared" si="344"/>
        <v>6.1780125083823918E-2</v>
      </c>
    </row>
    <row r="7361" spans="1:14" x14ac:dyDescent="0.45">
      <c r="A7361" t="s">
        <v>12448</v>
      </c>
      <c r="B7361" s="1">
        <v>44916</v>
      </c>
      <c r="C7361" t="s">
        <v>12449</v>
      </c>
      <c r="D7361" t="s">
        <v>13</v>
      </c>
      <c r="E7361" t="s">
        <v>36</v>
      </c>
      <c r="F7361" t="s">
        <v>64</v>
      </c>
      <c r="G7361">
        <v>4</v>
      </c>
      <c r="H7361">
        <v>1865.66</v>
      </c>
      <c r="I7361">
        <v>111.35</v>
      </c>
      <c r="J7361" t="s">
        <v>28</v>
      </c>
      <c r="K7361" t="s">
        <v>23</v>
      </c>
      <c r="L7361">
        <f t="shared" si="342"/>
        <v>2022</v>
      </c>
      <c r="M7361" t="str">
        <f t="shared" si="343"/>
        <v>Dec</v>
      </c>
      <c r="N7361" s="2">
        <f t="shared" si="344"/>
        <v>5.9683972427987945E-2</v>
      </c>
    </row>
    <row r="7362" spans="1:14" x14ac:dyDescent="0.45">
      <c r="A7362" t="s">
        <v>12450</v>
      </c>
      <c r="B7362" s="1">
        <v>45125</v>
      </c>
      <c r="C7362" t="s">
        <v>12451</v>
      </c>
      <c r="D7362" t="s">
        <v>13</v>
      </c>
      <c r="E7362" t="s">
        <v>14</v>
      </c>
      <c r="F7362" t="s">
        <v>57</v>
      </c>
      <c r="G7362">
        <v>5</v>
      </c>
      <c r="H7362">
        <v>43564.18</v>
      </c>
      <c r="I7362">
        <v>9209.76</v>
      </c>
      <c r="J7362" t="s">
        <v>71</v>
      </c>
      <c r="K7362" t="s">
        <v>29</v>
      </c>
      <c r="L7362">
        <f t="shared" si="342"/>
        <v>2023</v>
      </c>
      <c r="M7362" t="str">
        <f t="shared" si="343"/>
        <v>Jul</v>
      </c>
      <c r="N7362" s="2">
        <f t="shared" si="344"/>
        <v>0.21140671074263306</v>
      </c>
    </row>
    <row r="7363" spans="1:14" x14ac:dyDescent="0.45">
      <c r="A7363" t="s">
        <v>12452</v>
      </c>
      <c r="B7363" s="1">
        <v>44960</v>
      </c>
      <c r="C7363" t="s">
        <v>12453</v>
      </c>
      <c r="D7363" t="s">
        <v>26</v>
      </c>
      <c r="E7363" t="s">
        <v>36</v>
      </c>
      <c r="F7363" t="s">
        <v>53</v>
      </c>
      <c r="G7363">
        <v>5</v>
      </c>
      <c r="H7363">
        <v>22861.82</v>
      </c>
      <c r="I7363">
        <v>4960.75</v>
      </c>
      <c r="J7363" t="s">
        <v>71</v>
      </c>
      <c r="K7363" t="s">
        <v>17</v>
      </c>
      <c r="L7363">
        <f t="shared" ref="L7363:L7426" si="345">YEAR(B7363 )</f>
        <v>2023</v>
      </c>
      <c r="M7363" t="str">
        <f t="shared" ref="M7363:M7426" si="346">TEXT(B7363,"MMM")</f>
        <v>Feb</v>
      </c>
      <c r="N7363" s="2">
        <f t="shared" ref="N7363:N7426" si="347">I7363 / H7363</f>
        <v>0.21698841124634871</v>
      </c>
    </row>
    <row r="7364" spans="1:14" x14ac:dyDescent="0.45">
      <c r="A7364" t="s">
        <v>12454</v>
      </c>
      <c r="B7364" s="1">
        <v>44666</v>
      </c>
      <c r="C7364" t="s">
        <v>295</v>
      </c>
      <c r="D7364" t="s">
        <v>26</v>
      </c>
      <c r="E7364" t="s">
        <v>20</v>
      </c>
      <c r="F7364" t="s">
        <v>21</v>
      </c>
      <c r="G7364">
        <v>5</v>
      </c>
      <c r="H7364">
        <v>28043.41</v>
      </c>
      <c r="I7364">
        <v>5387.65</v>
      </c>
      <c r="J7364" t="s">
        <v>22</v>
      </c>
      <c r="K7364" t="s">
        <v>23</v>
      </c>
      <c r="L7364">
        <f t="shared" si="345"/>
        <v>2022</v>
      </c>
      <c r="M7364" t="str">
        <f t="shared" si="346"/>
        <v>Apr</v>
      </c>
      <c r="N7364" s="2">
        <f t="shared" si="347"/>
        <v>0.19211821957458097</v>
      </c>
    </row>
    <row r="7365" spans="1:14" x14ac:dyDescent="0.45">
      <c r="A7365" t="s">
        <v>12455</v>
      </c>
      <c r="B7365" s="1">
        <v>45476</v>
      </c>
      <c r="C7365" t="s">
        <v>12456</v>
      </c>
      <c r="D7365" t="s">
        <v>26</v>
      </c>
      <c r="E7365" t="s">
        <v>14</v>
      </c>
      <c r="F7365" t="s">
        <v>40</v>
      </c>
      <c r="G7365">
        <v>4</v>
      </c>
      <c r="H7365">
        <v>40878.46</v>
      </c>
      <c r="I7365">
        <v>6491.48</v>
      </c>
      <c r="J7365" t="s">
        <v>47</v>
      </c>
      <c r="K7365" t="s">
        <v>33</v>
      </c>
      <c r="L7365">
        <f t="shared" si="345"/>
        <v>2024</v>
      </c>
      <c r="M7365" t="str">
        <f t="shared" si="346"/>
        <v>Jul</v>
      </c>
      <c r="N7365" s="2">
        <f t="shared" si="347"/>
        <v>0.15879952424822266</v>
      </c>
    </row>
    <row r="7366" spans="1:14" x14ac:dyDescent="0.45">
      <c r="A7366" t="s">
        <v>12457</v>
      </c>
      <c r="B7366" s="1">
        <v>45236</v>
      </c>
      <c r="C7366" t="s">
        <v>12458</v>
      </c>
      <c r="D7366" t="s">
        <v>26</v>
      </c>
      <c r="E7366" t="s">
        <v>14</v>
      </c>
      <c r="F7366" t="s">
        <v>57</v>
      </c>
      <c r="G7366">
        <v>3</v>
      </c>
      <c r="H7366">
        <v>49044.56</v>
      </c>
      <c r="I7366">
        <v>7036.43</v>
      </c>
      <c r="J7366" t="s">
        <v>22</v>
      </c>
      <c r="K7366" t="s">
        <v>33</v>
      </c>
      <c r="L7366">
        <f t="shared" si="345"/>
        <v>2023</v>
      </c>
      <c r="M7366" t="str">
        <f t="shared" si="346"/>
        <v>Nov</v>
      </c>
      <c r="N7366" s="2">
        <f t="shared" si="347"/>
        <v>0.14347014225430915</v>
      </c>
    </row>
    <row r="7367" spans="1:14" x14ac:dyDescent="0.45">
      <c r="A7367" t="s">
        <v>12459</v>
      </c>
      <c r="B7367" s="1">
        <v>45398</v>
      </c>
      <c r="C7367" t="s">
        <v>12460</v>
      </c>
      <c r="D7367" t="s">
        <v>56</v>
      </c>
      <c r="E7367" t="s">
        <v>14</v>
      </c>
      <c r="F7367" t="s">
        <v>57</v>
      </c>
      <c r="G7367">
        <v>3</v>
      </c>
      <c r="H7367">
        <v>11268.22</v>
      </c>
      <c r="I7367">
        <v>2335.5700000000002</v>
      </c>
      <c r="J7367" t="s">
        <v>71</v>
      </c>
      <c r="K7367" t="s">
        <v>23</v>
      </c>
      <c r="L7367">
        <f t="shared" si="345"/>
        <v>2024</v>
      </c>
      <c r="M7367" t="str">
        <f t="shared" si="346"/>
        <v>Apr</v>
      </c>
      <c r="N7367" s="2">
        <f t="shared" si="347"/>
        <v>0.2072705360740206</v>
      </c>
    </row>
    <row r="7368" spans="1:14" x14ac:dyDescent="0.45">
      <c r="A7368" t="s">
        <v>12461</v>
      </c>
      <c r="B7368" s="1">
        <v>45310</v>
      </c>
      <c r="C7368" t="s">
        <v>1894</v>
      </c>
      <c r="D7368" t="s">
        <v>26</v>
      </c>
      <c r="E7368" t="s">
        <v>36</v>
      </c>
      <c r="F7368" t="s">
        <v>53</v>
      </c>
      <c r="G7368">
        <v>3</v>
      </c>
      <c r="H7368">
        <v>41685.4</v>
      </c>
      <c r="I7368">
        <v>8243.0300000000007</v>
      </c>
      <c r="J7368" t="s">
        <v>47</v>
      </c>
      <c r="K7368" t="s">
        <v>33</v>
      </c>
      <c r="L7368">
        <f t="shared" si="345"/>
        <v>2024</v>
      </c>
      <c r="M7368" t="str">
        <f t="shared" si="346"/>
        <v>Jan</v>
      </c>
      <c r="N7368" s="2">
        <f t="shared" si="347"/>
        <v>0.19774381438105429</v>
      </c>
    </row>
    <row r="7369" spans="1:14" x14ac:dyDescent="0.45">
      <c r="A7369" t="s">
        <v>12462</v>
      </c>
      <c r="B7369" s="1">
        <v>45005</v>
      </c>
      <c r="C7369" t="s">
        <v>7909</v>
      </c>
      <c r="D7369" t="s">
        <v>13</v>
      </c>
      <c r="E7369" t="s">
        <v>20</v>
      </c>
      <c r="F7369" t="s">
        <v>50</v>
      </c>
      <c r="G7369">
        <v>2</v>
      </c>
      <c r="H7369">
        <v>9448.42</v>
      </c>
      <c r="I7369">
        <v>2063.0700000000002</v>
      </c>
      <c r="J7369" t="s">
        <v>71</v>
      </c>
      <c r="K7369" t="s">
        <v>33</v>
      </c>
      <c r="L7369">
        <f t="shared" si="345"/>
        <v>2023</v>
      </c>
      <c r="M7369" t="str">
        <f t="shared" si="346"/>
        <v>Mar</v>
      </c>
      <c r="N7369" s="2">
        <f t="shared" si="347"/>
        <v>0.21835079304264629</v>
      </c>
    </row>
    <row r="7370" spans="1:14" x14ac:dyDescent="0.45">
      <c r="A7370" t="s">
        <v>12463</v>
      </c>
      <c r="B7370" s="1">
        <v>45598</v>
      </c>
      <c r="C7370" t="s">
        <v>974</v>
      </c>
      <c r="D7370" t="s">
        <v>13</v>
      </c>
      <c r="E7370" t="s">
        <v>14</v>
      </c>
      <c r="F7370" t="s">
        <v>32</v>
      </c>
      <c r="G7370">
        <v>1</v>
      </c>
      <c r="H7370">
        <v>49994.07</v>
      </c>
      <c r="I7370">
        <v>7003.18</v>
      </c>
      <c r="J7370" t="s">
        <v>16</v>
      </c>
      <c r="K7370" t="s">
        <v>17</v>
      </c>
      <c r="L7370">
        <f t="shared" si="345"/>
        <v>2024</v>
      </c>
      <c r="M7370" t="str">
        <f t="shared" si="346"/>
        <v>Nov</v>
      </c>
      <c r="N7370" s="2">
        <f t="shared" si="347"/>
        <v>0.1400802135133227</v>
      </c>
    </row>
    <row r="7371" spans="1:14" x14ac:dyDescent="0.45">
      <c r="A7371" t="s">
        <v>12464</v>
      </c>
      <c r="B7371" s="1">
        <v>45118</v>
      </c>
      <c r="C7371" t="s">
        <v>7986</v>
      </c>
      <c r="D7371" t="s">
        <v>13</v>
      </c>
      <c r="E7371" t="s">
        <v>20</v>
      </c>
      <c r="F7371" t="s">
        <v>43</v>
      </c>
      <c r="G7371">
        <v>3</v>
      </c>
      <c r="H7371">
        <v>26685.759999999998</v>
      </c>
      <c r="I7371">
        <v>4476.2299999999996</v>
      </c>
      <c r="J7371" t="s">
        <v>22</v>
      </c>
      <c r="K7371" t="s">
        <v>17</v>
      </c>
      <c r="L7371">
        <f t="shared" si="345"/>
        <v>2023</v>
      </c>
      <c r="M7371" t="str">
        <f t="shared" si="346"/>
        <v>Jul</v>
      </c>
      <c r="N7371" s="2">
        <f t="shared" si="347"/>
        <v>0.16773852421666086</v>
      </c>
    </row>
    <row r="7372" spans="1:14" x14ac:dyDescent="0.45">
      <c r="A7372" t="s">
        <v>12465</v>
      </c>
      <c r="B7372" s="1">
        <v>44649</v>
      </c>
      <c r="C7372" t="s">
        <v>12466</v>
      </c>
      <c r="D7372" t="s">
        <v>56</v>
      </c>
      <c r="E7372" t="s">
        <v>14</v>
      </c>
      <c r="F7372" t="s">
        <v>15</v>
      </c>
      <c r="G7372">
        <v>3</v>
      </c>
      <c r="H7372">
        <v>29269.54</v>
      </c>
      <c r="I7372">
        <v>3012.4</v>
      </c>
      <c r="J7372" t="s">
        <v>28</v>
      </c>
      <c r="K7372" t="s">
        <v>33</v>
      </c>
      <c r="L7372">
        <f t="shared" si="345"/>
        <v>2022</v>
      </c>
      <c r="M7372" t="str">
        <f t="shared" si="346"/>
        <v>Mar</v>
      </c>
      <c r="N7372" s="2">
        <f t="shared" si="347"/>
        <v>0.1029192805899922</v>
      </c>
    </row>
    <row r="7373" spans="1:14" x14ac:dyDescent="0.45">
      <c r="A7373" t="s">
        <v>12467</v>
      </c>
      <c r="B7373" s="1">
        <v>45036</v>
      </c>
      <c r="C7373" t="s">
        <v>7265</v>
      </c>
      <c r="D7373" t="s">
        <v>56</v>
      </c>
      <c r="E7373" t="s">
        <v>36</v>
      </c>
      <c r="F7373" t="s">
        <v>37</v>
      </c>
      <c r="G7373">
        <v>2</v>
      </c>
      <c r="H7373">
        <v>30420.98</v>
      </c>
      <c r="I7373">
        <v>6514.99</v>
      </c>
      <c r="J7373" t="s">
        <v>22</v>
      </c>
      <c r="K7373" t="s">
        <v>23</v>
      </c>
      <c r="L7373">
        <f t="shared" si="345"/>
        <v>2023</v>
      </c>
      <c r="M7373" t="str">
        <f t="shared" si="346"/>
        <v>Apr</v>
      </c>
      <c r="N7373" s="2">
        <f t="shared" si="347"/>
        <v>0.21416108225310296</v>
      </c>
    </row>
    <row r="7374" spans="1:14" x14ac:dyDescent="0.45">
      <c r="A7374" t="s">
        <v>12468</v>
      </c>
      <c r="B7374" s="1">
        <v>45585</v>
      </c>
      <c r="C7374" t="s">
        <v>12469</v>
      </c>
      <c r="D7374" t="s">
        <v>26</v>
      </c>
      <c r="E7374" t="s">
        <v>36</v>
      </c>
      <c r="F7374" t="s">
        <v>53</v>
      </c>
      <c r="G7374">
        <v>3</v>
      </c>
      <c r="H7374">
        <v>12041.4</v>
      </c>
      <c r="I7374">
        <v>1436.45</v>
      </c>
      <c r="J7374" t="s">
        <v>71</v>
      </c>
      <c r="K7374" t="s">
        <v>23</v>
      </c>
      <c r="L7374">
        <f t="shared" si="345"/>
        <v>2024</v>
      </c>
      <c r="M7374" t="str">
        <f t="shared" si="346"/>
        <v>Oct</v>
      </c>
      <c r="N7374" s="2">
        <f t="shared" si="347"/>
        <v>0.11929260717192354</v>
      </c>
    </row>
    <row r="7375" spans="1:14" x14ac:dyDescent="0.45">
      <c r="A7375" t="s">
        <v>12470</v>
      </c>
      <c r="B7375" s="1">
        <v>45454</v>
      </c>
      <c r="C7375" t="s">
        <v>12471</v>
      </c>
      <c r="D7375" t="s">
        <v>13</v>
      </c>
      <c r="E7375" t="s">
        <v>14</v>
      </c>
      <c r="F7375" t="s">
        <v>57</v>
      </c>
      <c r="G7375">
        <v>1</v>
      </c>
      <c r="H7375">
        <v>42611.67</v>
      </c>
      <c r="I7375">
        <v>7839.03</v>
      </c>
      <c r="J7375" t="s">
        <v>16</v>
      </c>
      <c r="K7375" t="s">
        <v>33</v>
      </c>
      <c r="L7375">
        <f t="shared" si="345"/>
        <v>2024</v>
      </c>
      <c r="M7375" t="str">
        <f t="shared" si="346"/>
        <v>Jun</v>
      </c>
      <c r="N7375" s="2">
        <f t="shared" si="347"/>
        <v>0.1839643928529438</v>
      </c>
    </row>
    <row r="7376" spans="1:14" x14ac:dyDescent="0.45">
      <c r="A7376" t="s">
        <v>12472</v>
      </c>
      <c r="B7376" s="1">
        <v>45405</v>
      </c>
      <c r="C7376" t="s">
        <v>12473</v>
      </c>
      <c r="D7376" t="s">
        <v>26</v>
      </c>
      <c r="E7376" t="s">
        <v>20</v>
      </c>
      <c r="F7376" t="s">
        <v>43</v>
      </c>
      <c r="G7376">
        <v>1</v>
      </c>
      <c r="H7376">
        <v>31808.880000000001</v>
      </c>
      <c r="I7376">
        <v>6389.24</v>
      </c>
      <c r="J7376" t="s">
        <v>28</v>
      </c>
      <c r="K7376" t="s">
        <v>29</v>
      </c>
      <c r="L7376">
        <f t="shared" si="345"/>
        <v>2024</v>
      </c>
      <c r="M7376" t="str">
        <f t="shared" si="346"/>
        <v>Apr</v>
      </c>
      <c r="N7376" s="2">
        <f t="shared" si="347"/>
        <v>0.2008634066964948</v>
      </c>
    </row>
    <row r="7377" spans="1:14" x14ac:dyDescent="0.45">
      <c r="A7377" t="s">
        <v>12474</v>
      </c>
      <c r="B7377" s="1">
        <v>45422</v>
      </c>
      <c r="C7377" t="s">
        <v>12475</v>
      </c>
      <c r="D7377" t="s">
        <v>56</v>
      </c>
      <c r="E7377" t="s">
        <v>36</v>
      </c>
      <c r="F7377" t="s">
        <v>37</v>
      </c>
      <c r="G7377">
        <v>5</v>
      </c>
      <c r="H7377">
        <v>8221.44</v>
      </c>
      <c r="I7377">
        <v>854.44</v>
      </c>
      <c r="J7377" t="s">
        <v>71</v>
      </c>
      <c r="K7377" t="s">
        <v>29</v>
      </c>
      <c r="L7377">
        <f t="shared" si="345"/>
        <v>2024</v>
      </c>
      <c r="M7377" t="str">
        <f t="shared" si="346"/>
        <v>May</v>
      </c>
      <c r="N7377" s="2">
        <f t="shared" si="347"/>
        <v>0.10392826560797136</v>
      </c>
    </row>
    <row r="7378" spans="1:14" x14ac:dyDescent="0.45">
      <c r="A7378" t="s">
        <v>12476</v>
      </c>
      <c r="B7378" s="1">
        <v>45523</v>
      </c>
      <c r="C7378" t="s">
        <v>4303</v>
      </c>
      <c r="D7378" t="s">
        <v>56</v>
      </c>
      <c r="E7378" t="s">
        <v>14</v>
      </c>
      <c r="F7378" t="s">
        <v>32</v>
      </c>
      <c r="G7378">
        <v>5</v>
      </c>
      <c r="H7378">
        <v>36486.54</v>
      </c>
      <c r="I7378">
        <v>8146.36</v>
      </c>
      <c r="J7378" t="s">
        <v>22</v>
      </c>
      <c r="K7378" t="s">
        <v>23</v>
      </c>
      <c r="L7378">
        <f t="shared" si="345"/>
        <v>2024</v>
      </c>
      <c r="M7378" t="str">
        <f t="shared" si="346"/>
        <v>Aug</v>
      </c>
      <c r="N7378" s="2">
        <f t="shared" si="347"/>
        <v>0.22327027994433013</v>
      </c>
    </row>
    <row r="7379" spans="1:14" x14ac:dyDescent="0.45">
      <c r="A7379" t="s">
        <v>12477</v>
      </c>
      <c r="B7379" s="1">
        <v>44632</v>
      </c>
      <c r="C7379" t="s">
        <v>4992</v>
      </c>
      <c r="D7379" t="s">
        <v>13</v>
      </c>
      <c r="E7379" t="s">
        <v>36</v>
      </c>
      <c r="F7379" t="s">
        <v>64</v>
      </c>
      <c r="G7379">
        <v>5</v>
      </c>
      <c r="H7379">
        <v>45340.5</v>
      </c>
      <c r="I7379">
        <v>3016.62</v>
      </c>
      <c r="J7379" t="s">
        <v>16</v>
      </c>
      <c r="K7379" t="s">
        <v>17</v>
      </c>
      <c r="L7379">
        <f t="shared" si="345"/>
        <v>2022</v>
      </c>
      <c r="M7379" t="str">
        <f t="shared" si="346"/>
        <v>Mar</v>
      </c>
      <c r="N7379" s="2">
        <f t="shared" si="347"/>
        <v>6.6532570218678658E-2</v>
      </c>
    </row>
    <row r="7380" spans="1:14" x14ac:dyDescent="0.45">
      <c r="A7380" t="s">
        <v>12478</v>
      </c>
      <c r="B7380" s="1">
        <v>45178</v>
      </c>
      <c r="C7380" t="s">
        <v>12479</v>
      </c>
      <c r="D7380" t="s">
        <v>56</v>
      </c>
      <c r="E7380" t="s">
        <v>20</v>
      </c>
      <c r="F7380" t="s">
        <v>27</v>
      </c>
      <c r="G7380">
        <v>1</v>
      </c>
      <c r="H7380">
        <v>17342.509999999998</v>
      </c>
      <c r="I7380">
        <v>2431.9699999999998</v>
      </c>
      <c r="J7380" t="s">
        <v>47</v>
      </c>
      <c r="K7380" t="s">
        <v>33</v>
      </c>
      <c r="L7380">
        <f t="shared" si="345"/>
        <v>2023</v>
      </c>
      <c r="M7380" t="str">
        <f t="shared" si="346"/>
        <v>Sep</v>
      </c>
      <c r="N7380" s="2">
        <f t="shared" si="347"/>
        <v>0.14023171962997283</v>
      </c>
    </row>
    <row r="7381" spans="1:14" x14ac:dyDescent="0.45">
      <c r="A7381" t="s">
        <v>12480</v>
      </c>
      <c r="B7381" s="1">
        <v>45118</v>
      </c>
      <c r="C7381" t="s">
        <v>12481</v>
      </c>
      <c r="D7381" t="s">
        <v>26</v>
      </c>
      <c r="E7381" t="s">
        <v>36</v>
      </c>
      <c r="F7381" t="s">
        <v>53</v>
      </c>
      <c r="G7381">
        <v>5</v>
      </c>
      <c r="H7381">
        <v>18868.77</v>
      </c>
      <c r="I7381">
        <v>3900.26</v>
      </c>
      <c r="J7381" t="s">
        <v>71</v>
      </c>
      <c r="K7381" t="s">
        <v>29</v>
      </c>
      <c r="L7381">
        <f t="shared" si="345"/>
        <v>2023</v>
      </c>
      <c r="M7381" t="str">
        <f t="shared" si="346"/>
        <v>Jul</v>
      </c>
      <c r="N7381" s="2">
        <f t="shared" si="347"/>
        <v>0.20670451757056768</v>
      </c>
    </row>
    <row r="7382" spans="1:14" x14ac:dyDescent="0.45">
      <c r="A7382" t="s">
        <v>12482</v>
      </c>
      <c r="B7382" s="1">
        <v>44574</v>
      </c>
      <c r="C7382" t="s">
        <v>138</v>
      </c>
      <c r="D7382" t="s">
        <v>13</v>
      </c>
      <c r="E7382" t="s">
        <v>36</v>
      </c>
      <c r="F7382" t="s">
        <v>64</v>
      </c>
      <c r="G7382">
        <v>4</v>
      </c>
      <c r="H7382">
        <v>33817</v>
      </c>
      <c r="I7382">
        <v>1700.97</v>
      </c>
      <c r="J7382" t="s">
        <v>71</v>
      </c>
      <c r="K7382" t="s">
        <v>29</v>
      </c>
      <c r="L7382">
        <f t="shared" si="345"/>
        <v>2022</v>
      </c>
      <c r="M7382" t="str">
        <f t="shared" si="346"/>
        <v>Jan</v>
      </c>
      <c r="N7382" s="2">
        <f t="shared" si="347"/>
        <v>5.0299257769760769E-2</v>
      </c>
    </row>
    <row r="7383" spans="1:14" x14ac:dyDescent="0.45">
      <c r="A7383" t="s">
        <v>12483</v>
      </c>
      <c r="B7383" s="1">
        <v>44766</v>
      </c>
      <c r="C7383" t="s">
        <v>12484</v>
      </c>
      <c r="D7383" t="s">
        <v>56</v>
      </c>
      <c r="E7383" t="s">
        <v>20</v>
      </c>
      <c r="F7383" t="s">
        <v>27</v>
      </c>
      <c r="G7383">
        <v>2</v>
      </c>
      <c r="H7383">
        <v>41579.4</v>
      </c>
      <c r="I7383">
        <v>7854.48</v>
      </c>
      <c r="J7383" t="s">
        <v>22</v>
      </c>
      <c r="K7383" t="s">
        <v>23</v>
      </c>
      <c r="L7383">
        <f t="shared" si="345"/>
        <v>2022</v>
      </c>
      <c r="M7383" t="str">
        <f t="shared" si="346"/>
        <v>Jul</v>
      </c>
      <c r="N7383" s="2">
        <f t="shared" si="347"/>
        <v>0.1889031587757399</v>
      </c>
    </row>
    <row r="7384" spans="1:14" x14ac:dyDescent="0.45">
      <c r="A7384" t="s">
        <v>12485</v>
      </c>
      <c r="B7384" s="1">
        <v>45424</v>
      </c>
      <c r="C7384" t="s">
        <v>3347</v>
      </c>
      <c r="D7384" t="s">
        <v>13</v>
      </c>
      <c r="E7384" t="s">
        <v>14</v>
      </c>
      <c r="F7384" t="s">
        <v>15</v>
      </c>
      <c r="G7384">
        <v>1</v>
      </c>
      <c r="H7384">
        <v>21661.64</v>
      </c>
      <c r="I7384">
        <v>4289.67</v>
      </c>
      <c r="J7384" t="s">
        <v>16</v>
      </c>
      <c r="K7384" t="s">
        <v>29</v>
      </c>
      <c r="L7384">
        <f t="shared" si="345"/>
        <v>2024</v>
      </c>
      <c r="M7384" t="str">
        <f t="shared" si="346"/>
        <v>May</v>
      </c>
      <c r="N7384" s="2">
        <f t="shared" si="347"/>
        <v>0.19803071235603584</v>
      </c>
    </row>
    <row r="7385" spans="1:14" x14ac:dyDescent="0.45">
      <c r="A7385" t="s">
        <v>12486</v>
      </c>
      <c r="B7385" s="1">
        <v>45485</v>
      </c>
      <c r="C7385" t="s">
        <v>12487</v>
      </c>
      <c r="D7385" t="s">
        <v>13</v>
      </c>
      <c r="E7385" t="s">
        <v>14</v>
      </c>
      <c r="F7385" t="s">
        <v>32</v>
      </c>
      <c r="G7385">
        <v>4</v>
      </c>
      <c r="H7385">
        <v>19366.91</v>
      </c>
      <c r="I7385">
        <v>2727.64</v>
      </c>
      <c r="J7385" t="s">
        <v>16</v>
      </c>
      <c r="K7385" t="s">
        <v>33</v>
      </c>
      <c r="L7385">
        <f t="shared" si="345"/>
        <v>2024</v>
      </c>
      <c r="M7385" t="str">
        <f t="shared" si="346"/>
        <v>Jul</v>
      </c>
      <c r="N7385" s="2">
        <f t="shared" si="347"/>
        <v>0.14084022696444606</v>
      </c>
    </row>
    <row r="7386" spans="1:14" x14ac:dyDescent="0.45">
      <c r="A7386" t="s">
        <v>12488</v>
      </c>
      <c r="B7386" s="1">
        <v>44981</v>
      </c>
      <c r="C7386" t="s">
        <v>279</v>
      </c>
      <c r="D7386" t="s">
        <v>56</v>
      </c>
      <c r="E7386" t="s">
        <v>14</v>
      </c>
      <c r="F7386" t="s">
        <v>40</v>
      </c>
      <c r="G7386">
        <v>2</v>
      </c>
      <c r="H7386">
        <v>2594.06</v>
      </c>
      <c r="I7386">
        <v>399.33</v>
      </c>
      <c r="J7386" t="s">
        <v>47</v>
      </c>
      <c r="K7386" t="s">
        <v>29</v>
      </c>
      <c r="L7386">
        <f t="shared" si="345"/>
        <v>2023</v>
      </c>
      <c r="M7386" t="str">
        <f t="shared" si="346"/>
        <v>Feb</v>
      </c>
      <c r="N7386" s="2">
        <f t="shared" si="347"/>
        <v>0.1539401555862239</v>
      </c>
    </row>
    <row r="7387" spans="1:14" x14ac:dyDescent="0.45">
      <c r="A7387" t="s">
        <v>12489</v>
      </c>
      <c r="B7387" s="1">
        <v>44589</v>
      </c>
      <c r="C7387" t="s">
        <v>2785</v>
      </c>
      <c r="D7387" t="s">
        <v>13</v>
      </c>
      <c r="E7387" t="s">
        <v>20</v>
      </c>
      <c r="F7387" t="s">
        <v>43</v>
      </c>
      <c r="G7387">
        <v>4</v>
      </c>
      <c r="H7387">
        <v>30970.34</v>
      </c>
      <c r="I7387">
        <v>5889.24</v>
      </c>
      <c r="J7387" t="s">
        <v>16</v>
      </c>
      <c r="K7387" t="s">
        <v>29</v>
      </c>
      <c r="L7387">
        <f t="shared" si="345"/>
        <v>2022</v>
      </c>
      <c r="M7387" t="str">
        <f t="shared" si="346"/>
        <v>Jan</v>
      </c>
      <c r="N7387" s="2">
        <f t="shared" si="347"/>
        <v>0.19015742158465163</v>
      </c>
    </row>
    <row r="7388" spans="1:14" x14ac:dyDescent="0.45">
      <c r="A7388" t="s">
        <v>12490</v>
      </c>
      <c r="B7388" s="1">
        <v>44886</v>
      </c>
      <c r="C7388" t="s">
        <v>7117</v>
      </c>
      <c r="D7388" t="s">
        <v>56</v>
      </c>
      <c r="E7388" t="s">
        <v>36</v>
      </c>
      <c r="F7388" t="s">
        <v>64</v>
      </c>
      <c r="G7388">
        <v>2</v>
      </c>
      <c r="H7388">
        <v>49559.8</v>
      </c>
      <c r="I7388">
        <v>9039.8799999999992</v>
      </c>
      <c r="J7388" t="s">
        <v>71</v>
      </c>
      <c r="K7388" t="s">
        <v>17</v>
      </c>
      <c r="L7388">
        <f t="shared" si="345"/>
        <v>2022</v>
      </c>
      <c r="M7388" t="str">
        <f t="shared" si="346"/>
        <v>Nov</v>
      </c>
      <c r="N7388" s="2">
        <f t="shared" si="347"/>
        <v>0.18240348024003322</v>
      </c>
    </row>
    <row r="7389" spans="1:14" x14ac:dyDescent="0.45">
      <c r="A7389" t="s">
        <v>12491</v>
      </c>
      <c r="B7389" s="1">
        <v>44640</v>
      </c>
      <c r="C7389" t="s">
        <v>4240</v>
      </c>
      <c r="D7389" t="s">
        <v>13</v>
      </c>
      <c r="E7389" t="s">
        <v>14</v>
      </c>
      <c r="F7389" t="s">
        <v>57</v>
      </c>
      <c r="G7389">
        <v>3</v>
      </c>
      <c r="H7389">
        <v>5437.38</v>
      </c>
      <c r="I7389">
        <v>1011.58</v>
      </c>
      <c r="J7389" t="s">
        <v>22</v>
      </c>
      <c r="K7389" t="s">
        <v>29</v>
      </c>
      <c r="L7389">
        <f t="shared" si="345"/>
        <v>2022</v>
      </c>
      <c r="M7389" t="str">
        <f t="shared" si="346"/>
        <v>Mar</v>
      </c>
      <c r="N7389" s="2">
        <f t="shared" si="347"/>
        <v>0.18604180689964653</v>
      </c>
    </row>
    <row r="7390" spans="1:14" x14ac:dyDescent="0.45">
      <c r="A7390" t="s">
        <v>12492</v>
      </c>
      <c r="B7390" s="1">
        <v>45251</v>
      </c>
      <c r="C7390" t="s">
        <v>11111</v>
      </c>
      <c r="D7390" t="s">
        <v>26</v>
      </c>
      <c r="E7390" t="s">
        <v>20</v>
      </c>
      <c r="F7390" t="s">
        <v>43</v>
      </c>
      <c r="G7390">
        <v>4</v>
      </c>
      <c r="H7390">
        <v>39689.47</v>
      </c>
      <c r="I7390">
        <v>6006.58</v>
      </c>
      <c r="J7390" t="s">
        <v>71</v>
      </c>
      <c r="K7390" t="s">
        <v>29</v>
      </c>
      <c r="L7390">
        <f t="shared" si="345"/>
        <v>2023</v>
      </c>
      <c r="M7390" t="str">
        <f t="shared" si="346"/>
        <v>Nov</v>
      </c>
      <c r="N7390" s="2">
        <f t="shared" si="347"/>
        <v>0.15133938548436146</v>
      </c>
    </row>
    <row r="7391" spans="1:14" x14ac:dyDescent="0.45">
      <c r="A7391" t="s">
        <v>12493</v>
      </c>
      <c r="B7391" s="1">
        <v>45100</v>
      </c>
      <c r="C7391" t="s">
        <v>12494</v>
      </c>
      <c r="D7391" t="s">
        <v>26</v>
      </c>
      <c r="E7391" t="s">
        <v>14</v>
      </c>
      <c r="F7391" t="s">
        <v>40</v>
      </c>
      <c r="G7391">
        <v>4</v>
      </c>
      <c r="H7391">
        <v>12117.64</v>
      </c>
      <c r="I7391">
        <v>2483.88</v>
      </c>
      <c r="J7391" t="s">
        <v>71</v>
      </c>
      <c r="K7391" t="s">
        <v>29</v>
      </c>
      <c r="L7391">
        <f t="shared" si="345"/>
        <v>2023</v>
      </c>
      <c r="M7391" t="str">
        <f t="shared" si="346"/>
        <v>Jun</v>
      </c>
      <c r="N7391" s="2">
        <f t="shared" si="347"/>
        <v>0.20498050775563562</v>
      </c>
    </row>
    <row r="7392" spans="1:14" x14ac:dyDescent="0.45">
      <c r="A7392" t="s">
        <v>12495</v>
      </c>
      <c r="B7392" s="1">
        <v>45365</v>
      </c>
      <c r="C7392" t="s">
        <v>12496</v>
      </c>
      <c r="D7392" t="s">
        <v>13</v>
      </c>
      <c r="E7392" t="s">
        <v>36</v>
      </c>
      <c r="F7392" t="s">
        <v>46</v>
      </c>
      <c r="G7392">
        <v>2</v>
      </c>
      <c r="H7392">
        <v>23771.62</v>
      </c>
      <c r="I7392">
        <v>4902.5600000000004</v>
      </c>
      <c r="J7392" t="s">
        <v>16</v>
      </c>
      <c r="K7392" t="s">
        <v>23</v>
      </c>
      <c r="L7392">
        <f t="shared" si="345"/>
        <v>2024</v>
      </c>
      <c r="M7392" t="str">
        <f t="shared" si="346"/>
        <v>Mar</v>
      </c>
      <c r="N7392" s="2">
        <f t="shared" si="347"/>
        <v>0.20623583920658334</v>
      </c>
    </row>
    <row r="7393" spans="1:14" x14ac:dyDescent="0.45">
      <c r="A7393" t="s">
        <v>12497</v>
      </c>
      <c r="B7393" s="1">
        <v>44725</v>
      </c>
      <c r="C7393" t="s">
        <v>12498</v>
      </c>
      <c r="D7393" t="s">
        <v>26</v>
      </c>
      <c r="E7393" t="s">
        <v>20</v>
      </c>
      <c r="F7393" t="s">
        <v>50</v>
      </c>
      <c r="G7393">
        <v>4</v>
      </c>
      <c r="H7393">
        <v>8364.5400000000009</v>
      </c>
      <c r="I7393">
        <v>1571.88</v>
      </c>
      <c r="J7393" t="s">
        <v>16</v>
      </c>
      <c r="K7393" t="s">
        <v>17</v>
      </c>
      <c r="L7393">
        <f t="shared" si="345"/>
        <v>2022</v>
      </c>
      <c r="M7393" t="str">
        <f t="shared" si="346"/>
        <v>Jun</v>
      </c>
      <c r="N7393" s="2">
        <f t="shared" si="347"/>
        <v>0.18792187018054787</v>
      </c>
    </row>
    <row r="7394" spans="1:14" x14ac:dyDescent="0.45">
      <c r="A7394" t="s">
        <v>12499</v>
      </c>
      <c r="B7394" s="1">
        <v>44911</v>
      </c>
      <c r="C7394" t="s">
        <v>12500</v>
      </c>
      <c r="D7394" t="s">
        <v>56</v>
      </c>
      <c r="E7394" t="s">
        <v>20</v>
      </c>
      <c r="F7394" t="s">
        <v>43</v>
      </c>
      <c r="G7394">
        <v>3</v>
      </c>
      <c r="H7394">
        <v>45185.01</v>
      </c>
      <c r="I7394">
        <v>5307.55</v>
      </c>
      <c r="J7394" t="s">
        <v>22</v>
      </c>
      <c r="K7394" t="s">
        <v>33</v>
      </c>
      <c r="L7394">
        <f t="shared" si="345"/>
        <v>2022</v>
      </c>
      <c r="M7394" t="str">
        <f t="shared" si="346"/>
        <v>Dec</v>
      </c>
      <c r="N7394" s="2">
        <f t="shared" si="347"/>
        <v>0.11746262753953136</v>
      </c>
    </row>
    <row r="7395" spans="1:14" x14ac:dyDescent="0.45">
      <c r="A7395" t="s">
        <v>12501</v>
      </c>
      <c r="B7395" s="1">
        <v>44923</v>
      </c>
      <c r="C7395" t="s">
        <v>6925</v>
      </c>
      <c r="D7395" t="s">
        <v>56</v>
      </c>
      <c r="E7395" t="s">
        <v>20</v>
      </c>
      <c r="F7395" t="s">
        <v>50</v>
      </c>
      <c r="G7395">
        <v>1</v>
      </c>
      <c r="H7395">
        <v>19253.91</v>
      </c>
      <c r="I7395">
        <v>4606.93</v>
      </c>
      <c r="J7395" t="s">
        <v>16</v>
      </c>
      <c r="K7395" t="s">
        <v>23</v>
      </c>
      <c r="L7395">
        <f t="shared" si="345"/>
        <v>2022</v>
      </c>
      <c r="M7395" t="str">
        <f t="shared" si="346"/>
        <v>Dec</v>
      </c>
      <c r="N7395" s="2">
        <f t="shared" si="347"/>
        <v>0.23927243868907669</v>
      </c>
    </row>
    <row r="7396" spans="1:14" x14ac:dyDescent="0.45">
      <c r="A7396" t="s">
        <v>12502</v>
      </c>
      <c r="B7396" s="1">
        <v>45066</v>
      </c>
      <c r="C7396" t="s">
        <v>5965</v>
      </c>
      <c r="D7396" t="s">
        <v>56</v>
      </c>
      <c r="E7396" t="s">
        <v>14</v>
      </c>
      <c r="F7396" t="s">
        <v>15</v>
      </c>
      <c r="G7396">
        <v>1</v>
      </c>
      <c r="H7396">
        <v>14372.02</v>
      </c>
      <c r="I7396">
        <v>1319.51</v>
      </c>
      <c r="J7396" t="s">
        <v>47</v>
      </c>
      <c r="K7396" t="s">
        <v>29</v>
      </c>
      <c r="L7396">
        <f t="shared" si="345"/>
        <v>2023</v>
      </c>
      <c r="M7396" t="str">
        <f t="shared" si="346"/>
        <v>May</v>
      </c>
      <c r="N7396" s="2">
        <f t="shared" si="347"/>
        <v>9.1811032826283293E-2</v>
      </c>
    </row>
    <row r="7397" spans="1:14" x14ac:dyDescent="0.45">
      <c r="A7397" t="s">
        <v>12503</v>
      </c>
      <c r="B7397" s="1">
        <v>45505</v>
      </c>
      <c r="C7397" t="s">
        <v>5808</v>
      </c>
      <c r="D7397" t="s">
        <v>26</v>
      </c>
      <c r="E7397" t="s">
        <v>36</v>
      </c>
      <c r="F7397" t="s">
        <v>64</v>
      </c>
      <c r="G7397">
        <v>3</v>
      </c>
      <c r="H7397">
        <v>10621.11</v>
      </c>
      <c r="I7397">
        <v>633.16</v>
      </c>
      <c r="J7397" t="s">
        <v>71</v>
      </c>
      <c r="K7397" t="s">
        <v>17</v>
      </c>
      <c r="L7397">
        <f t="shared" si="345"/>
        <v>2024</v>
      </c>
      <c r="M7397" t="str">
        <f t="shared" si="346"/>
        <v>Aug</v>
      </c>
      <c r="N7397" s="2">
        <f t="shared" si="347"/>
        <v>5.9613354912998733E-2</v>
      </c>
    </row>
    <row r="7398" spans="1:14" x14ac:dyDescent="0.45">
      <c r="A7398" t="s">
        <v>12504</v>
      </c>
      <c r="B7398" s="1">
        <v>45075</v>
      </c>
      <c r="C7398" t="s">
        <v>12505</v>
      </c>
      <c r="D7398" t="s">
        <v>56</v>
      </c>
      <c r="E7398" t="s">
        <v>36</v>
      </c>
      <c r="F7398" t="s">
        <v>53</v>
      </c>
      <c r="G7398">
        <v>4</v>
      </c>
      <c r="H7398">
        <v>18785.05</v>
      </c>
      <c r="I7398">
        <v>1284.67</v>
      </c>
      <c r="J7398" t="s">
        <v>16</v>
      </c>
      <c r="K7398" t="s">
        <v>29</v>
      </c>
      <c r="L7398">
        <f t="shared" si="345"/>
        <v>2023</v>
      </c>
      <c r="M7398" t="str">
        <f t="shared" si="346"/>
        <v>May</v>
      </c>
      <c r="N7398" s="2">
        <f t="shared" si="347"/>
        <v>6.8387893564297142E-2</v>
      </c>
    </row>
    <row r="7399" spans="1:14" x14ac:dyDescent="0.45">
      <c r="A7399" t="s">
        <v>12506</v>
      </c>
      <c r="B7399" s="1">
        <v>45218</v>
      </c>
      <c r="C7399" t="s">
        <v>9586</v>
      </c>
      <c r="D7399" t="s">
        <v>13</v>
      </c>
      <c r="E7399" t="s">
        <v>36</v>
      </c>
      <c r="F7399" t="s">
        <v>64</v>
      </c>
      <c r="G7399">
        <v>4</v>
      </c>
      <c r="H7399">
        <v>3863.61</v>
      </c>
      <c r="I7399">
        <v>403.43</v>
      </c>
      <c r="J7399" t="s">
        <v>28</v>
      </c>
      <c r="K7399" t="s">
        <v>29</v>
      </c>
      <c r="L7399">
        <f t="shared" si="345"/>
        <v>2023</v>
      </c>
      <c r="M7399" t="str">
        <f t="shared" si="346"/>
        <v>Oct</v>
      </c>
      <c r="N7399" s="2">
        <f t="shared" si="347"/>
        <v>0.10441788896912473</v>
      </c>
    </row>
    <row r="7400" spans="1:14" x14ac:dyDescent="0.45">
      <c r="A7400" t="s">
        <v>12507</v>
      </c>
      <c r="B7400" s="1">
        <v>44967</v>
      </c>
      <c r="C7400" t="s">
        <v>12212</v>
      </c>
      <c r="D7400" t="s">
        <v>56</v>
      </c>
      <c r="E7400" t="s">
        <v>36</v>
      </c>
      <c r="F7400" t="s">
        <v>64</v>
      </c>
      <c r="G7400">
        <v>4</v>
      </c>
      <c r="H7400">
        <v>14803.38</v>
      </c>
      <c r="I7400">
        <v>2796.99</v>
      </c>
      <c r="J7400" t="s">
        <v>22</v>
      </c>
      <c r="K7400" t="s">
        <v>29</v>
      </c>
      <c r="L7400">
        <f t="shared" si="345"/>
        <v>2023</v>
      </c>
      <c r="M7400" t="str">
        <f t="shared" si="346"/>
        <v>Feb</v>
      </c>
      <c r="N7400" s="2">
        <f t="shared" si="347"/>
        <v>0.18894266039242388</v>
      </c>
    </row>
    <row r="7401" spans="1:14" x14ac:dyDescent="0.45">
      <c r="A7401" t="s">
        <v>12508</v>
      </c>
      <c r="B7401" s="1">
        <v>45605</v>
      </c>
      <c r="C7401" t="s">
        <v>12509</v>
      </c>
      <c r="D7401" t="s">
        <v>13</v>
      </c>
      <c r="E7401" t="s">
        <v>20</v>
      </c>
      <c r="F7401" t="s">
        <v>43</v>
      </c>
      <c r="G7401">
        <v>4</v>
      </c>
      <c r="H7401">
        <v>49668.69</v>
      </c>
      <c r="I7401">
        <v>10488.06</v>
      </c>
      <c r="J7401" t="s">
        <v>47</v>
      </c>
      <c r="K7401" t="s">
        <v>17</v>
      </c>
      <c r="L7401">
        <f t="shared" si="345"/>
        <v>2024</v>
      </c>
      <c r="M7401" t="str">
        <f t="shared" si="346"/>
        <v>Nov</v>
      </c>
      <c r="N7401" s="2">
        <f t="shared" si="347"/>
        <v>0.21116039098272973</v>
      </c>
    </row>
    <row r="7402" spans="1:14" x14ac:dyDescent="0.45">
      <c r="A7402" t="s">
        <v>12510</v>
      </c>
      <c r="B7402" s="1">
        <v>45002</v>
      </c>
      <c r="C7402" t="s">
        <v>5794</v>
      </c>
      <c r="D7402" t="s">
        <v>56</v>
      </c>
      <c r="E7402" t="s">
        <v>20</v>
      </c>
      <c r="F7402" t="s">
        <v>27</v>
      </c>
      <c r="G7402">
        <v>3</v>
      </c>
      <c r="H7402">
        <v>49113.32</v>
      </c>
      <c r="I7402">
        <v>10028.06</v>
      </c>
      <c r="J7402" t="s">
        <v>47</v>
      </c>
      <c r="K7402" t="s">
        <v>23</v>
      </c>
      <c r="L7402">
        <f t="shared" si="345"/>
        <v>2023</v>
      </c>
      <c r="M7402" t="str">
        <f t="shared" si="346"/>
        <v>Mar</v>
      </c>
      <c r="N7402" s="2">
        <f t="shared" si="347"/>
        <v>0.2041820833940772</v>
      </c>
    </row>
    <row r="7403" spans="1:14" x14ac:dyDescent="0.45">
      <c r="A7403" t="s">
        <v>12511</v>
      </c>
      <c r="B7403" s="1">
        <v>45394</v>
      </c>
      <c r="C7403" t="s">
        <v>2567</v>
      </c>
      <c r="D7403" t="s">
        <v>26</v>
      </c>
      <c r="E7403" t="s">
        <v>20</v>
      </c>
      <c r="F7403" t="s">
        <v>43</v>
      </c>
      <c r="G7403">
        <v>2</v>
      </c>
      <c r="H7403">
        <v>9316.34</v>
      </c>
      <c r="I7403">
        <v>1427.44</v>
      </c>
      <c r="J7403" t="s">
        <v>22</v>
      </c>
      <c r="K7403" t="s">
        <v>33</v>
      </c>
      <c r="L7403">
        <f t="shared" si="345"/>
        <v>2024</v>
      </c>
      <c r="M7403" t="str">
        <f t="shared" si="346"/>
        <v>Apr</v>
      </c>
      <c r="N7403" s="2">
        <f t="shared" si="347"/>
        <v>0.15321896796381412</v>
      </c>
    </row>
    <row r="7404" spans="1:14" x14ac:dyDescent="0.45">
      <c r="A7404" t="s">
        <v>12512</v>
      </c>
      <c r="B7404" s="1">
        <v>45430</v>
      </c>
      <c r="C7404" t="s">
        <v>5622</v>
      </c>
      <c r="D7404" t="s">
        <v>26</v>
      </c>
      <c r="E7404" t="s">
        <v>20</v>
      </c>
      <c r="F7404" t="s">
        <v>27</v>
      </c>
      <c r="G7404">
        <v>2</v>
      </c>
      <c r="H7404">
        <v>37087.67</v>
      </c>
      <c r="I7404">
        <v>8021.42</v>
      </c>
      <c r="J7404" t="s">
        <v>71</v>
      </c>
      <c r="K7404" t="s">
        <v>29</v>
      </c>
      <c r="L7404">
        <f t="shared" si="345"/>
        <v>2024</v>
      </c>
      <c r="M7404" t="str">
        <f t="shared" si="346"/>
        <v>May</v>
      </c>
      <c r="N7404" s="2">
        <f t="shared" si="347"/>
        <v>0.2162826621354213</v>
      </c>
    </row>
    <row r="7405" spans="1:14" x14ac:dyDescent="0.45">
      <c r="A7405" t="s">
        <v>12513</v>
      </c>
      <c r="B7405" s="1">
        <v>44763</v>
      </c>
      <c r="C7405" t="s">
        <v>7400</v>
      </c>
      <c r="D7405" t="s">
        <v>26</v>
      </c>
      <c r="E7405" t="s">
        <v>14</v>
      </c>
      <c r="F7405" t="s">
        <v>32</v>
      </c>
      <c r="G7405">
        <v>5</v>
      </c>
      <c r="H7405">
        <v>39749.43</v>
      </c>
      <c r="I7405">
        <v>6731.28</v>
      </c>
      <c r="J7405" t="s">
        <v>28</v>
      </c>
      <c r="K7405" t="s">
        <v>17</v>
      </c>
      <c r="L7405">
        <f t="shared" si="345"/>
        <v>2022</v>
      </c>
      <c r="M7405" t="str">
        <f t="shared" si="346"/>
        <v>Jul</v>
      </c>
      <c r="N7405" s="2">
        <f t="shared" si="347"/>
        <v>0.16934280567042093</v>
      </c>
    </row>
    <row r="7406" spans="1:14" x14ac:dyDescent="0.45">
      <c r="A7406" t="s">
        <v>12514</v>
      </c>
      <c r="B7406" s="1">
        <v>45246</v>
      </c>
      <c r="C7406" t="s">
        <v>6361</v>
      </c>
      <c r="D7406" t="s">
        <v>13</v>
      </c>
      <c r="E7406" t="s">
        <v>36</v>
      </c>
      <c r="F7406" t="s">
        <v>46</v>
      </c>
      <c r="G7406">
        <v>5</v>
      </c>
      <c r="H7406">
        <v>45218.01</v>
      </c>
      <c r="I7406">
        <v>7316.39</v>
      </c>
      <c r="J7406" t="s">
        <v>16</v>
      </c>
      <c r="K7406" t="s">
        <v>17</v>
      </c>
      <c r="L7406">
        <f t="shared" si="345"/>
        <v>2023</v>
      </c>
      <c r="M7406" t="str">
        <f t="shared" si="346"/>
        <v>Nov</v>
      </c>
      <c r="N7406" s="2">
        <f t="shared" si="347"/>
        <v>0.16180256495144302</v>
      </c>
    </row>
    <row r="7407" spans="1:14" x14ac:dyDescent="0.45">
      <c r="A7407" t="s">
        <v>12515</v>
      </c>
      <c r="B7407" s="1">
        <v>44891</v>
      </c>
      <c r="C7407" t="s">
        <v>11348</v>
      </c>
      <c r="D7407" t="s">
        <v>26</v>
      </c>
      <c r="E7407" t="s">
        <v>20</v>
      </c>
      <c r="F7407" t="s">
        <v>43</v>
      </c>
      <c r="G7407">
        <v>5</v>
      </c>
      <c r="H7407">
        <v>19001.13</v>
      </c>
      <c r="I7407">
        <v>1999.32</v>
      </c>
      <c r="J7407" t="s">
        <v>71</v>
      </c>
      <c r="K7407" t="s">
        <v>29</v>
      </c>
      <c r="L7407">
        <f t="shared" si="345"/>
        <v>2022</v>
      </c>
      <c r="M7407" t="str">
        <f t="shared" si="346"/>
        <v>Nov</v>
      </c>
      <c r="N7407" s="2">
        <f t="shared" si="347"/>
        <v>0.10522111053395244</v>
      </c>
    </row>
    <row r="7408" spans="1:14" x14ac:dyDescent="0.45">
      <c r="A7408" t="s">
        <v>12516</v>
      </c>
      <c r="B7408" s="1">
        <v>45150</v>
      </c>
      <c r="C7408" t="s">
        <v>12517</v>
      </c>
      <c r="D7408" t="s">
        <v>13</v>
      </c>
      <c r="E7408" t="s">
        <v>36</v>
      </c>
      <c r="F7408" t="s">
        <v>64</v>
      </c>
      <c r="G7408">
        <v>3</v>
      </c>
      <c r="H7408">
        <v>16897.45</v>
      </c>
      <c r="I7408">
        <v>3909.19</v>
      </c>
      <c r="J7408" t="s">
        <v>71</v>
      </c>
      <c r="K7408" t="s">
        <v>17</v>
      </c>
      <c r="L7408">
        <f t="shared" si="345"/>
        <v>2023</v>
      </c>
      <c r="M7408" t="str">
        <f t="shared" si="346"/>
        <v>Aug</v>
      </c>
      <c r="N7408" s="2">
        <f t="shared" si="347"/>
        <v>0.23134792527866629</v>
      </c>
    </row>
    <row r="7409" spans="1:14" x14ac:dyDescent="0.45">
      <c r="A7409" t="s">
        <v>12518</v>
      </c>
      <c r="B7409" s="1">
        <v>44594</v>
      </c>
      <c r="C7409" t="s">
        <v>12248</v>
      </c>
      <c r="D7409" t="s">
        <v>13</v>
      </c>
      <c r="E7409" t="s">
        <v>14</v>
      </c>
      <c r="F7409" t="s">
        <v>32</v>
      </c>
      <c r="G7409">
        <v>5</v>
      </c>
      <c r="H7409">
        <v>25337.03</v>
      </c>
      <c r="I7409">
        <v>3687.37</v>
      </c>
      <c r="J7409" t="s">
        <v>28</v>
      </c>
      <c r="K7409" t="s">
        <v>23</v>
      </c>
      <c r="L7409">
        <f t="shared" si="345"/>
        <v>2022</v>
      </c>
      <c r="M7409" t="str">
        <f t="shared" si="346"/>
        <v>Feb</v>
      </c>
      <c r="N7409" s="2">
        <f t="shared" si="347"/>
        <v>0.14553284264177768</v>
      </c>
    </row>
    <row r="7410" spans="1:14" x14ac:dyDescent="0.45">
      <c r="A7410" t="s">
        <v>12519</v>
      </c>
      <c r="B7410" s="1">
        <v>45606</v>
      </c>
      <c r="C7410" t="s">
        <v>12520</v>
      </c>
      <c r="D7410" t="s">
        <v>13</v>
      </c>
      <c r="E7410" t="s">
        <v>36</v>
      </c>
      <c r="F7410" t="s">
        <v>64</v>
      </c>
      <c r="G7410">
        <v>2</v>
      </c>
      <c r="H7410">
        <v>37639.879999999997</v>
      </c>
      <c r="I7410">
        <v>3598.02</v>
      </c>
      <c r="J7410" t="s">
        <v>71</v>
      </c>
      <c r="K7410" t="s">
        <v>29</v>
      </c>
      <c r="L7410">
        <f t="shared" si="345"/>
        <v>2024</v>
      </c>
      <c r="M7410" t="str">
        <f t="shared" si="346"/>
        <v>Nov</v>
      </c>
      <c r="N7410" s="2">
        <f t="shared" si="347"/>
        <v>9.5590634189056931E-2</v>
      </c>
    </row>
    <row r="7411" spans="1:14" x14ac:dyDescent="0.45">
      <c r="A7411" t="s">
        <v>12521</v>
      </c>
      <c r="B7411" s="1">
        <v>45595</v>
      </c>
      <c r="C7411" t="s">
        <v>12522</v>
      </c>
      <c r="D7411" t="s">
        <v>56</v>
      </c>
      <c r="E7411" t="s">
        <v>36</v>
      </c>
      <c r="F7411" t="s">
        <v>37</v>
      </c>
      <c r="G7411">
        <v>1</v>
      </c>
      <c r="H7411">
        <v>11679.14</v>
      </c>
      <c r="I7411">
        <v>1109.54</v>
      </c>
      <c r="J7411" t="s">
        <v>22</v>
      </c>
      <c r="K7411" t="s">
        <v>23</v>
      </c>
      <c r="L7411">
        <f t="shared" si="345"/>
        <v>2024</v>
      </c>
      <c r="M7411" t="str">
        <f t="shared" si="346"/>
        <v>Oct</v>
      </c>
      <c r="N7411" s="2">
        <f t="shared" si="347"/>
        <v>9.5001858013518126E-2</v>
      </c>
    </row>
    <row r="7412" spans="1:14" x14ac:dyDescent="0.45">
      <c r="A7412" t="s">
        <v>12523</v>
      </c>
      <c r="B7412" s="1">
        <v>44623</v>
      </c>
      <c r="C7412" t="s">
        <v>435</v>
      </c>
      <c r="D7412" t="s">
        <v>13</v>
      </c>
      <c r="E7412" t="s">
        <v>36</v>
      </c>
      <c r="F7412" t="s">
        <v>53</v>
      </c>
      <c r="G7412">
        <v>5</v>
      </c>
      <c r="H7412">
        <v>4330.1099999999997</v>
      </c>
      <c r="I7412">
        <v>338.44</v>
      </c>
      <c r="J7412" t="s">
        <v>16</v>
      </c>
      <c r="K7412" t="s">
        <v>33</v>
      </c>
      <c r="L7412">
        <f t="shared" si="345"/>
        <v>2022</v>
      </c>
      <c r="M7412" t="str">
        <f t="shared" si="346"/>
        <v>Mar</v>
      </c>
      <c r="N7412" s="2">
        <f t="shared" si="347"/>
        <v>7.815967723683695E-2</v>
      </c>
    </row>
    <row r="7413" spans="1:14" x14ac:dyDescent="0.45">
      <c r="A7413" t="s">
        <v>12524</v>
      </c>
      <c r="B7413" s="1">
        <v>45326</v>
      </c>
      <c r="C7413" t="s">
        <v>5924</v>
      </c>
      <c r="D7413" t="s">
        <v>13</v>
      </c>
      <c r="E7413" t="s">
        <v>20</v>
      </c>
      <c r="F7413" t="s">
        <v>21</v>
      </c>
      <c r="G7413">
        <v>3</v>
      </c>
      <c r="H7413">
        <v>19086.68</v>
      </c>
      <c r="I7413">
        <v>4238.33</v>
      </c>
      <c r="J7413" t="s">
        <v>47</v>
      </c>
      <c r="K7413" t="s">
        <v>17</v>
      </c>
      <c r="L7413">
        <f t="shared" si="345"/>
        <v>2024</v>
      </c>
      <c r="M7413" t="str">
        <f t="shared" si="346"/>
        <v>Feb</v>
      </c>
      <c r="N7413" s="2">
        <f t="shared" si="347"/>
        <v>0.22205695280687893</v>
      </c>
    </row>
    <row r="7414" spans="1:14" x14ac:dyDescent="0.45">
      <c r="A7414" t="s">
        <v>12525</v>
      </c>
      <c r="B7414" s="1">
        <v>44973</v>
      </c>
      <c r="C7414" t="s">
        <v>2727</v>
      </c>
      <c r="D7414" t="s">
        <v>56</v>
      </c>
      <c r="E7414" t="s">
        <v>14</v>
      </c>
      <c r="F7414" t="s">
        <v>57</v>
      </c>
      <c r="G7414">
        <v>3</v>
      </c>
      <c r="H7414">
        <v>21024.19</v>
      </c>
      <c r="I7414">
        <v>4381.21</v>
      </c>
      <c r="J7414" t="s">
        <v>71</v>
      </c>
      <c r="K7414" t="s">
        <v>33</v>
      </c>
      <c r="L7414">
        <f t="shared" si="345"/>
        <v>2023</v>
      </c>
      <c r="M7414" t="str">
        <f t="shared" si="346"/>
        <v>Feb</v>
      </c>
      <c r="N7414" s="2">
        <f t="shared" si="347"/>
        <v>0.20838900333377885</v>
      </c>
    </row>
    <row r="7415" spans="1:14" x14ac:dyDescent="0.45">
      <c r="A7415" t="s">
        <v>12526</v>
      </c>
      <c r="B7415" s="1">
        <v>45280</v>
      </c>
      <c r="C7415" t="s">
        <v>8889</v>
      </c>
      <c r="D7415" t="s">
        <v>26</v>
      </c>
      <c r="E7415" t="s">
        <v>36</v>
      </c>
      <c r="F7415" t="s">
        <v>46</v>
      </c>
      <c r="G7415">
        <v>3</v>
      </c>
      <c r="H7415">
        <v>48712.73</v>
      </c>
      <c r="I7415">
        <v>12158.03</v>
      </c>
      <c r="J7415" t="s">
        <v>28</v>
      </c>
      <c r="K7415" t="s">
        <v>23</v>
      </c>
      <c r="L7415">
        <f t="shared" si="345"/>
        <v>2023</v>
      </c>
      <c r="M7415" t="str">
        <f t="shared" si="346"/>
        <v>Dec</v>
      </c>
      <c r="N7415" s="2">
        <f t="shared" si="347"/>
        <v>0.24958629910497729</v>
      </c>
    </row>
    <row r="7416" spans="1:14" x14ac:dyDescent="0.45">
      <c r="A7416" t="s">
        <v>12527</v>
      </c>
      <c r="B7416" s="1">
        <v>45256</v>
      </c>
      <c r="C7416" t="s">
        <v>6772</v>
      </c>
      <c r="D7416" t="s">
        <v>13</v>
      </c>
      <c r="E7416" t="s">
        <v>20</v>
      </c>
      <c r="F7416" t="s">
        <v>50</v>
      </c>
      <c r="G7416">
        <v>5</v>
      </c>
      <c r="H7416">
        <v>26382.31</v>
      </c>
      <c r="I7416">
        <v>6159.08</v>
      </c>
      <c r="J7416" t="s">
        <v>28</v>
      </c>
      <c r="K7416" t="s">
        <v>23</v>
      </c>
      <c r="L7416">
        <f t="shared" si="345"/>
        <v>2023</v>
      </c>
      <c r="M7416" t="str">
        <f t="shared" si="346"/>
        <v>Nov</v>
      </c>
      <c r="N7416" s="2">
        <f t="shared" si="347"/>
        <v>0.23345491732907389</v>
      </c>
    </row>
    <row r="7417" spans="1:14" x14ac:dyDescent="0.45">
      <c r="A7417" t="s">
        <v>12528</v>
      </c>
      <c r="B7417" s="1">
        <v>45327</v>
      </c>
      <c r="C7417" t="s">
        <v>12529</v>
      </c>
      <c r="D7417" t="s">
        <v>13</v>
      </c>
      <c r="E7417" t="s">
        <v>36</v>
      </c>
      <c r="F7417" t="s">
        <v>64</v>
      </c>
      <c r="G7417">
        <v>4</v>
      </c>
      <c r="H7417">
        <v>28931.73</v>
      </c>
      <c r="I7417">
        <v>6104.27</v>
      </c>
      <c r="J7417" t="s">
        <v>22</v>
      </c>
      <c r="K7417" t="s">
        <v>33</v>
      </c>
      <c r="L7417">
        <f t="shared" si="345"/>
        <v>2024</v>
      </c>
      <c r="M7417" t="str">
        <f t="shared" si="346"/>
        <v>Feb</v>
      </c>
      <c r="N7417" s="2">
        <f t="shared" si="347"/>
        <v>0.21098876562168942</v>
      </c>
    </row>
    <row r="7418" spans="1:14" x14ac:dyDescent="0.45">
      <c r="A7418" t="s">
        <v>12530</v>
      </c>
      <c r="B7418" s="1">
        <v>44968</v>
      </c>
      <c r="C7418" t="s">
        <v>12531</v>
      </c>
      <c r="D7418" t="s">
        <v>26</v>
      </c>
      <c r="E7418" t="s">
        <v>14</v>
      </c>
      <c r="F7418" t="s">
        <v>57</v>
      </c>
      <c r="G7418">
        <v>5</v>
      </c>
      <c r="H7418">
        <v>8296.34</v>
      </c>
      <c r="I7418">
        <v>1390.76</v>
      </c>
      <c r="J7418" t="s">
        <v>71</v>
      </c>
      <c r="K7418" t="s">
        <v>17</v>
      </c>
      <c r="L7418">
        <f t="shared" si="345"/>
        <v>2023</v>
      </c>
      <c r="M7418" t="str">
        <f t="shared" si="346"/>
        <v>Feb</v>
      </c>
      <c r="N7418" s="2">
        <f t="shared" si="347"/>
        <v>0.16763536692083497</v>
      </c>
    </row>
    <row r="7419" spans="1:14" x14ac:dyDescent="0.45">
      <c r="A7419" t="s">
        <v>12532</v>
      </c>
      <c r="B7419" s="1">
        <v>44606</v>
      </c>
      <c r="C7419" t="s">
        <v>12533</v>
      </c>
      <c r="D7419" t="s">
        <v>56</v>
      </c>
      <c r="E7419" t="s">
        <v>36</v>
      </c>
      <c r="F7419" t="s">
        <v>53</v>
      </c>
      <c r="G7419">
        <v>2</v>
      </c>
      <c r="H7419">
        <v>20350.759999999998</v>
      </c>
      <c r="I7419">
        <v>3769.22</v>
      </c>
      <c r="J7419" t="s">
        <v>47</v>
      </c>
      <c r="K7419" t="s">
        <v>23</v>
      </c>
      <c r="L7419">
        <f t="shared" si="345"/>
        <v>2022</v>
      </c>
      <c r="M7419" t="str">
        <f t="shared" si="346"/>
        <v>Feb</v>
      </c>
      <c r="N7419" s="2">
        <f t="shared" si="347"/>
        <v>0.1852127389837038</v>
      </c>
    </row>
    <row r="7420" spans="1:14" x14ac:dyDescent="0.45">
      <c r="A7420" t="s">
        <v>12534</v>
      </c>
      <c r="B7420" s="1">
        <v>45013</v>
      </c>
      <c r="C7420" t="s">
        <v>2968</v>
      </c>
      <c r="D7420" t="s">
        <v>26</v>
      </c>
      <c r="E7420" t="s">
        <v>36</v>
      </c>
      <c r="F7420" t="s">
        <v>64</v>
      </c>
      <c r="G7420">
        <v>5</v>
      </c>
      <c r="H7420">
        <v>30372.76</v>
      </c>
      <c r="I7420">
        <v>4233.53</v>
      </c>
      <c r="J7420" t="s">
        <v>22</v>
      </c>
      <c r="K7420" t="s">
        <v>33</v>
      </c>
      <c r="L7420">
        <f t="shared" si="345"/>
        <v>2023</v>
      </c>
      <c r="M7420" t="str">
        <f t="shared" si="346"/>
        <v>Mar</v>
      </c>
      <c r="N7420" s="2">
        <f t="shared" si="347"/>
        <v>0.13938575223325111</v>
      </c>
    </row>
    <row r="7421" spans="1:14" x14ac:dyDescent="0.45">
      <c r="A7421" t="s">
        <v>12535</v>
      </c>
      <c r="B7421" s="1">
        <v>44947</v>
      </c>
      <c r="C7421" t="s">
        <v>11371</v>
      </c>
      <c r="D7421" t="s">
        <v>56</v>
      </c>
      <c r="E7421" t="s">
        <v>20</v>
      </c>
      <c r="F7421" t="s">
        <v>50</v>
      </c>
      <c r="G7421">
        <v>2</v>
      </c>
      <c r="H7421">
        <v>8322.56</v>
      </c>
      <c r="I7421">
        <v>1062.7</v>
      </c>
      <c r="J7421" t="s">
        <v>22</v>
      </c>
      <c r="K7421" t="s">
        <v>17</v>
      </c>
      <c r="L7421">
        <f t="shared" si="345"/>
        <v>2023</v>
      </c>
      <c r="M7421" t="str">
        <f t="shared" si="346"/>
        <v>Jan</v>
      </c>
      <c r="N7421" s="2">
        <f t="shared" si="347"/>
        <v>0.12768907643801908</v>
      </c>
    </row>
    <row r="7422" spans="1:14" x14ac:dyDescent="0.45">
      <c r="A7422" t="s">
        <v>12536</v>
      </c>
      <c r="B7422" s="1">
        <v>45459</v>
      </c>
      <c r="C7422" t="s">
        <v>12537</v>
      </c>
      <c r="D7422" t="s">
        <v>26</v>
      </c>
      <c r="E7422" t="s">
        <v>20</v>
      </c>
      <c r="F7422" t="s">
        <v>43</v>
      </c>
      <c r="G7422">
        <v>2</v>
      </c>
      <c r="H7422">
        <v>897.6</v>
      </c>
      <c r="I7422">
        <v>204.48</v>
      </c>
      <c r="J7422" t="s">
        <v>71</v>
      </c>
      <c r="K7422" t="s">
        <v>29</v>
      </c>
      <c r="L7422">
        <f t="shared" si="345"/>
        <v>2024</v>
      </c>
      <c r="M7422" t="str">
        <f t="shared" si="346"/>
        <v>Jun</v>
      </c>
      <c r="N7422" s="2">
        <f t="shared" si="347"/>
        <v>0.22780748663101602</v>
      </c>
    </row>
    <row r="7423" spans="1:14" x14ac:dyDescent="0.45">
      <c r="A7423" t="s">
        <v>12538</v>
      </c>
      <c r="B7423" s="1">
        <v>45557</v>
      </c>
      <c r="C7423" t="s">
        <v>12539</v>
      </c>
      <c r="D7423" t="s">
        <v>13</v>
      </c>
      <c r="E7423" t="s">
        <v>14</v>
      </c>
      <c r="F7423" t="s">
        <v>32</v>
      </c>
      <c r="G7423">
        <v>1</v>
      </c>
      <c r="H7423">
        <v>11924.61</v>
      </c>
      <c r="I7423">
        <v>2482.31</v>
      </c>
      <c r="J7423" t="s">
        <v>22</v>
      </c>
      <c r="K7423" t="s">
        <v>33</v>
      </c>
      <c r="L7423">
        <f t="shared" si="345"/>
        <v>2024</v>
      </c>
      <c r="M7423" t="str">
        <f t="shared" si="346"/>
        <v>Sep</v>
      </c>
      <c r="N7423" s="2">
        <f t="shared" si="347"/>
        <v>0.20816697569144818</v>
      </c>
    </row>
    <row r="7424" spans="1:14" x14ac:dyDescent="0.45">
      <c r="A7424" t="s">
        <v>12540</v>
      </c>
      <c r="B7424" s="1">
        <v>45007</v>
      </c>
      <c r="C7424" t="s">
        <v>12541</v>
      </c>
      <c r="D7424" t="s">
        <v>56</v>
      </c>
      <c r="E7424" t="s">
        <v>14</v>
      </c>
      <c r="F7424" t="s">
        <v>57</v>
      </c>
      <c r="G7424">
        <v>2</v>
      </c>
      <c r="H7424">
        <v>10517.12</v>
      </c>
      <c r="I7424">
        <v>1635.5</v>
      </c>
      <c r="J7424" t="s">
        <v>47</v>
      </c>
      <c r="K7424" t="s">
        <v>17</v>
      </c>
      <c r="L7424">
        <f t="shared" si="345"/>
        <v>2023</v>
      </c>
      <c r="M7424" t="str">
        <f t="shared" si="346"/>
        <v>Mar</v>
      </c>
      <c r="N7424" s="2">
        <f t="shared" si="347"/>
        <v>0.15550835209639138</v>
      </c>
    </row>
    <row r="7425" spans="1:14" x14ac:dyDescent="0.45">
      <c r="A7425" t="s">
        <v>12542</v>
      </c>
      <c r="B7425" s="1">
        <v>45355</v>
      </c>
      <c r="C7425" t="s">
        <v>12543</v>
      </c>
      <c r="D7425" t="s">
        <v>13</v>
      </c>
      <c r="E7425" t="s">
        <v>36</v>
      </c>
      <c r="F7425" t="s">
        <v>46</v>
      </c>
      <c r="G7425">
        <v>4</v>
      </c>
      <c r="H7425">
        <v>29199.06</v>
      </c>
      <c r="I7425">
        <v>1921.82</v>
      </c>
      <c r="J7425" t="s">
        <v>16</v>
      </c>
      <c r="K7425" t="s">
        <v>29</v>
      </c>
      <c r="L7425">
        <f t="shared" si="345"/>
        <v>2024</v>
      </c>
      <c r="M7425" t="str">
        <f t="shared" si="346"/>
        <v>Mar</v>
      </c>
      <c r="N7425" s="2">
        <f t="shared" si="347"/>
        <v>6.5817872219174178E-2</v>
      </c>
    </row>
    <row r="7426" spans="1:14" x14ac:dyDescent="0.45">
      <c r="A7426" t="s">
        <v>12544</v>
      </c>
      <c r="B7426" s="1">
        <v>44596</v>
      </c>
      <c r="C7426" t="s">
        <v>12545</v>
      </c>
      <c r="D7426" t="s">
        <v>26</v>
      </c>
      <c r="E7426" t="s">
        <v>36</v>
      </c>
      <c r="F7426" t="s">
        <v>46</v>
      </c>
      <c r="G7426">
        <v>4</v>
      </c>
      <c r="H7426">
        <v>7714.82</v>
      </c>
      <c r="I7426">
        <v>1810.52</v>
      </c>
      <c r="J7426" t="s">
        <v>16</v>
      </c>
      <c r="K7426" t="s">
        <v>23</v>
      </c>
      <c r="L7426">
        <f t="shared" si="345"/>
        <v>2022</v>
      </c>
      <c r="M7426" t="str">
        <f t="shared" si="346"/>
        <v>Feb</v>
      </c>
      <c r="N7426" s="2">
        <f t="shared" si="347"/>
        <v>0.23468078321982885</v>
      </c>
    </row>
    <row r="7427" spans="1:14" x14ac:dyDescent="0.45">
      <c r="A7427" t="s">
        <v>12546</v>
      </c>
      <c r="B7427" s="1">
        <v>44741</v>
      </c>
      <c r="C7427" t="s">
        <v>12547</v>
      </c>
      <c r="D7427" t="s">
        <v>56</v>
      </c>
      <c r="E7427" t="s">
        <v>14</v>
      </c>
      <c r="F7427" t="s">
        <v>15</v>
      </c>
      <c r="G7427">
        <v>1</v>
      </c>
      <c r="H7427">
        <v>29976.44</v>
      </c>
      <c r="I7427">
        <v>3850.58</v>
      </c>
      <c r="J7427" t="s">
        <v>28</v>
      </c>
      <c r="K7427" t="s">
        <v>33</v>
      </c>
      <c r="L7427">
        <f t="shared" ref="L7427:L7490" si="348">YEAR(B7427 )</f>
        <v>2022</v>
      </c>
      <c r="M7427" t="str">
        <f t="shared" ref="M7427:M7490" si="349">TEXT(B7427,"MMM")</f>
        <v>Jun</v>
      </c>
      <c r="N7427" s="2">
        <f t="shared" ref="N7427:N7490" si="350">I7427 / H7427</f>
        <v>0.1284535455177466</v>
      </c>
    </row>
    <row r="7428" spans="1:14" x14ac:dyDescent="0.45">
      <c r="A7428" t="s">
        <v>12548</v>
      </c>
      <c r="B7428" s="1">
        <v>45032</v>
      </c>
      <c r="C7428" t="s">
        <v>9080</v>
      </c>
      <c r="D7428" t="s">
        <v>56</v>
      </c>
      <c r="E7428" t="s">
        <v>14</v>
      </c>
      <c r="F7428" t="s">
        <v>40</v>
      </c>
      <c r="G7428">
        <v>1</v>
      </c>
      <c r="H7428">
        <v>22006.93</v>
      </c>
      <c r="I7428">
        <v>2566.8000000000002</v>
      </c>
      <c r="J7428" t="s">
        <v>71</v>
      </c>
      <c r="K7428" t="s">
        <v>23</v>
      </c>
      <c r="L7428">
        <f t="shared" si="348"/>
        <v>2023</v>
      </c>
      <c r="M7428" t="str">
        <f t="shared" si="349"/>
        <v>Apr</v>
      </c>
      <c r="N7428" s="2">
        <f t="shared" si="350"/>
        <v>0.11663598693684217</v>
      </c>
    </row>
    <row r="7429" spans="1:14" x14ac:dyDescent="0.45">
      <c r="A7429" t="s">
        <v>12549</v>
      </c>
      <c r="B7429" s="1">
        <v>45603</v>
      </c>
      <c r="C7429" t="s">
        <v>12550</v>
      </c>
      <c r="D7429" t="s">
        <v>26</v>
      </c>
      <c r="E7429" t="s">
        <v>36</v>
      </c>
      <c r="F7429" t="s">
        <v>37</v>
      </c>
      <c r="G7429">
        <v>4</v>
      </c>
      <c r="H7429">
        <v>16398.62</v>
      </c>
      <c r="I7429">
        <v>3340.84</v>
      </c>
      <c r="J7429" t="s">
        <v>22</v>
      </c>
      <c r="K7429" t="s">
        <v>29</v>
      </c>
      <c r="L7429">
        <f t="shared" si="348"/>
        <v>2024</v>
      </c>
      <c r="M7429" t="str">
        <f t="shared" si="349"/>
        <v>Nov</v>
      </c>
      <c r="N7429" s="2">
        <f t="shared" si="350"/>
        <v>0.20372689897076707</v>
      </c>
    </row>
    <row r="7430" spans="1:14" x14ac:dyDescent="0.45">
      <c r="A7430" t="s">
        <v>12551</v>
      </c>
      <c r="B7430" s="1">
        <v>44899</v>
      </c>
      <c r="C7430" t="s">
        <v>9401</v>
      </c>
      <c r="D7430" t="s">
        <v>13</v>
      </c>
      <c r="E7430" t="s">
        <v>20</v>
      </c>
      <c r="F7430" t="s">
        <v>21</v>
      </c>
      <c r="G7430">
        <v>5</v>
      </c>
      <c r="H7430">
        <v>19294.38</v>
      </c>
      <c r="I7430">
        <v>1642.84</v>
      </c>
      <c r="J7430" t="s">
        <v>71</v>
      </c>
      <c r="K7430" t="s">
        <v>23</v>
      </c>
      <c r="L7430">
        <f t="shared" si="348"/>
        <v>2022</v>
      </c>
      <c r="M7430" t="str">
        <f t="shared" si="349"/>
        <v>Dec</v>
      </c>
      <c r="N7430" s="2">
        <f t="shared" si="350"/>
        <v>8.5146037343516598E-2</v>
      </c>
    </row>
    <row r="7431" spans="1:14" x14ac:dyDescent="0.45">
      <c r="A7431" t="s">
        <v>12552</v>
      </c>
      <c r="B7431" s="1">
        <v>44702</v>
      </c>
      <c r="C7431" t="s">
        <v>12553</v>
      </c>
      <c r="D7431" t="s">
        <v>13</v>
      </c>
      <c r="E7431" t="s">
        <v>20</v>
      </c>
      <c r="F7431" t="s">
        <v>50</v>
      </c>
      <c r="G7431">
        <v>1</v>
      </c>
      <c r="H7431">
        <v>37290.32</v>
      </c>
      <c r="I7431">
        <v>7590.16</v>
      </c>
      <c r="J7431" t="s">
        <v>22</v>
      </c>
      <c r="K7431" t="s">
        <v>33</v>
      </c>
      <c r="L7431">
        <f t="shared" si="348"/>
        <v>2022</v>
      </c>
      <c r="M7431" t="str">
        <f t="shared" si="349"/>
        <v>May</v>
      </c>
      <c r="N7431" s="2">
        <f t="shared" si="350"/>
        <v>0.20354236702715342</v>
      </c>
    </row>
    <row r="7432" spans="1:14" x14ac:dyDescent="0.45">
      <c r="A7432" t="s">
        <v>12554</v>
      </c>
      <c r="B7432" s="1">
        <v>44858</v>
      </c>
      <c r="C7432" t="s">
        <v>7938</v>
      </c>
      <c r="D7432" t="s">
        <v>13</v>
      </c>
      <c r="E7432" t="s">
        <v>20</v>
      </c>
      <c r="F7432" t="s">
        <v>27</v>
      </c>
      <c r="G7432">
        <v>4</v>
      </c>
      <c r="H7432">
        <v>42446.78</v>
      </c>
      <c r="I7432">
        <v>3803.64</v>
      </c>
      <c r="J7432" t="s">
        <v>47</v>
      </c>
      <c r="K7432" t="s">
        <v>29</v>
      </c>
      <c r="L7432">
        <f t="shared" si="348"/>
        <v>2022</v>
      </c>
      <c r="M7432" t="str">
        <f t="shared" si="349"/>
        <v>Oct</v>
      </c>
      <c r="N7432" s="2">
        <f t="shared" si="350"/>
        <v>8.9609624098694884E-2</v>
      </c>
    </row>
    <row r="7433" spans="1:14" x14ac:dyDescent="0.45">
      <c r="A7433" t="s">
        <v>12555</v>
      </c>
      <c r="B7433" s="1">
        <v>45039</v>
      </c>
      <c r="C7433" t="s">
        <v>10386</v>
      </c>
      <c r="D7433" t="s">
        <v>56</v>
      </c>
      <c r="E7433" t="s">
        <v>14</v>
      </c>
      <c r="F7433" t="s">
        <v>32</v>
      </c>
      <c r="G7433">
        <v>5</v>
      </c>
      <c r="H7433">
        <v>8945.77</v>
      </c>
      <c r="I7433">
        <v>1202.1500000000001</v>
      </c>
      <c r="J7433" t="s">
        <v>71</v>
      </c>
      <c r="K7433" t="s">
        <v>23</v>
      </c>
      <c r="L7433">
        <f t="shared" si="348"/>
        <v>2023</v>
      </c>
      <c r="M7433" t="str">
        <f t="shared" si="349"/>
        <v>Apr</v>
      </c>
      <c r="N7433" s="2">
        <f t="shared" si="350"/>
        <v>0.13438194811626053</v>
      </c>
    </row>
    <row r="7434" spans="1:14" x14ac:dyDescent="0.45">
      <c r="A7434" t="s">
        <v>12556</v>
      </c>
      <c r="B7434" s="1">
        <v>45113</v>
      </c>
      <c r="C7434" t="s">
        <v>10246</v>
      </c>
      <c r="D7434" t="s">
        <v>13</v>
      </c>
      <c r="E7434" t="s">
        <v>20</v>
      </c>
      <c r="F7434" t="s">
        <v>21</v>
      </c>
      <c r="G7434">
        <v>5</v>
      </c>
      <c r="H7434">
        <v>29302.39</v>
      </c>
      <c r="I7434">
        <v>3537.97</v>
      </c>
      <c r="J7434" t="s">
        <v>16</v>
      </c>
      <c r="K7434" t="s">
        <v>17</v>
      </c>
      <c r="L7434">
        <f t="shared" si="348"/>
        <v>2023</v>
      </c>
      <c r="M7434" t="str">
        <f t="shared" si="349"/>
        <v>Jul</v>
      </c>
      <c r="N7434" s="2">
        <f t="shared" si="350"/>
        <v>0.12073998059543949</v>
      </c>
    </row>
    <row r="7435" spans="1:14" x14ac:dyDescent="0.45">
      <c r="A7435" t="s">
        <v>12557</v>
      </c>
      <c r="B7435" s="1">
        <v>45195</v>
      </c>
      <c r="C7435" t="s">
        <v>12558</v>
      </c>
      <c r="D7435" t="s">
        <v>13</v>
      </c>
      <c r="E7435" t="s">
        <v>14</v>
      </c>
      <c r="F7435" t="s">
        <v>15</v>
      </c>
      <c r="G7435">
        <v>3</v>
      </c>
      <c r="H7435">
        <v>41608.6</v>
      </c>
      <c r="I7435">
        <v>7271.65</v>
      </c>
      <c r="J7435" t="s">
        <v>71</v>
      </c>
      <c r="K7435" t="s">
        <v>17</v>
      </c>
      <c r="L7435">
        <f t="shared" si="348"/>
        <v>2023</v>
      </c>
      <c r="M7435" t="str">
        <f t="shared" si="349"/>
        <v>Sep</v>
      </c>
      <c r="N7435" s="2">
        <f t="shared" si="350"/>
        <v>0.17476314992573649</v>
      </c>
    </row>
    <row r="7436" spans="1:14" x14ac:dyDescent="0.45">
      <c r="A7436" t="s">
        <v>12559</v>
      </c>
      <c r="B7436" s="1">
        <v>44732</v>
      </c>
      <c r="C7436" t="s">
        <v>5062</v>
      </c>
      <c r="D7436" t="s">
        <v>56</v>
      </c>
      <c r="E7436" t="s">
        <v>20</v>
      </c>
      <c r="F7436" t="s">
        <v>50</v>
      </c>
      <c r="G7436">
        <v>3</v>
      </c>
      <c r="H7436">
        <v>41501.089999999997</v>
      </c>
      <c r="I7436">
        <v>2543.5500000000002</v>
      </c>
      <c r="J7436" t="s">
        <v>47</v>
      </c>
      <c r="K7436" t="s">
        <v>29</v>
      </c>
      <c r="L7436">
        <f t="shared" si="348"/>
        <v>2022</v>
      </c>
      <c r="M7436" t="str">
        <f t="shared" si="349"/>
        <v>Jun</v>
      </c>
      <c r="N7436" s="2">
        <f t="shared" si="350"/>
        <v>6.1288751693027832E-2</v>
      </c>
    </row>
    <row r="7437" spans="1:14" x14ac:dyDescent="0.45">
      <c r="A7437" t="s">
        <v>12560</v>
      </c>
      <c r="B7437" s="1">
        <v>45087</v>
      </c>
      <c r="C7437" t="s">
        <v>12561</v>
      </c>
      <c r="D7437" t="s">
        <v>13</v>
      </c>
      <c r="E7437" t="s">
        <v>36</v>
      </c>
      <c r="F7437" t="s">
        <v>53</v>
      </c>
      <c r="G7437">
        <v>3</v>
      </c>
      <c r="H7437">
        <v>13667.04</v>
      </c>
      <c r="I7437">
        <v>2529.4499999999998</v>
      </c>
      <c r="J7437" t="s">
        <v>47</v>
      </c>
      <c r="K7437" t="s">
        <v>17</v>
      </c>
      <c r="L7437">
        <f t="shared" si="348"/>
        <v>2023</v>
      </c>
      <c r="M7437" t="str">
        <f t="shared" si="349"/>
        <v>Jun</v>
      </c>
      <c r="N7437" s="2">
        <f t="shared" si="350"/>
        <v>0.18507665156464015</v>
      </c>
    </row>
    <row r="7438" spans="1:14" x14ac:dyDescent="0.45">
      <c r="A7438" t="s">
        <v>12562</v>
      </c>
      <c r="B7438" s="1">
        <v>45001</v>
      </c>
      <c r="C7438" t="s">
        <v>12563</v>
      </c>
      <c r="D7438" t="s">
        <v>13</v>
      </c>
      <c r="E7438" t="s">
        <v>20</v>
      </c>
      <c r="F7438" t="s">
        <v>50</v>
      </c>
      <c r="G7438">
        <v>5</v>
      </c>
      <c r="H7438">
        <v>30459.66</v>
      </c>
      <c r="I7438">
        <v>6502.21</v>
      </c>
      <c r="J7438" t="s">
        <v>47</v>
      </c>
      <c r="K7438" t="s">
        <v>29</v>
      </c>
      <c r="L7438">
        <f t="shared" si="348"/>
        <v>2023</v>
      </c>
      <c r="M7438" t="str">
        <f t="shared" si="349"/>
        <v>Mar</v>
      </c>
      <c r="N7438" s="2">
        <f t="shared" si="350"/>
        <v>0.21346955284464764</v>
      </c>
    </row>
    <row r="7439" spans="1:14" x14ac:dyDescent="0.45">
      <c r="A7439" t="s">
        <v>12564</v>
      </c>
      <c r="B7439" s="1">
        <v>44759</v>
      </c>
      <c r="C7439" t="s">
        <v>7195</v>
      </c>
      <c r="D7439" t="s">
        <v>13</v>
      </c>
      <c r="E7439" t="s">
        <v>20</v>
      </c>
      <c r="F7439" t="s">
        <v>50</v>
      </c>
      <c r="G7439">
        <v>3</v>
      </c>
      <c r="H7439">
        <v>32641.18</v>
      </c>
      <c r="I7439">
        <v>5098.74</v>
      </c>
      <c r="J7439" t="s">
        <v>47</v>
      </c>
      <c r="K7439" t="s">
        <v>17</v>
      </c>
      <c r="L7439">
        <f t="shared" si="348"/>
        <v>2022</v>
      </c>
      <c r="M7439" t="str">
        <f t="shared" si="349"/>
        <v>Jul</v>
      </c>
      <c r="N7439" s="2">
        <f t="shared" si="350"/>
        <v>0.15620574991467831</v>
      </c>
    </row>
    <row r="7440" spans="1:14" x14ac:dyDescent="0.45">
      <c r="A7440" t="s">
        <v>12565</v>
      </c>
      <c r="B7440" s="1">
        <v>45149</v>
      </c>
      <c r="C7440" t="s">
        <v>271</v>
      </c>
      <c r="D7440" t="s">
        <v>56</v>
      </c>
      <c r="E7440" t="s">
        <v>20</v>
      </c>
      <c r="F7440" t="s">
        <v>27</v>
      </c>
      <c r="G7440">
        <v>4</v>
      </c>
      <c r="H7440">
        <v>3553.74</v>
      </c>
      <c r="I7440">
        <v>215.11</v>
      </c>
      <c r="J7440" t="s">
        <v>28</v>
      </c>
      <c r="K7440" t="s">
        <v>29</v>
      </c>
      <c r="L7440">
        <f t="shared" si="348"/>
        <v>2023</v>
      </c>
      <c r="M7440" t="str">
        <f t="shared" si="349"/>
        <v>Aug</v>
      </c>
      <c r="N7440" s="2">
        <f t="shared" si="350"/>
        <v>6.0530595935549596E-2</v>
      </c>
    </row>
    <row r="7441" spans="1:14" x14ac:dyDescent="0.45">
      <c r="A7441" t="s">
        <v>12566</v>
      </c>
      <c r="B7441" s="1">
        <v>45548</v>
      </c>
      <c r="C7441" t="s">
        <v>379</v>
      </c>
      <c r="D7441" t="s">
        <v>13</v>
      </c>
      <c r="E7441" t="s">
        <v>36</v>
      </c>
      <c r="F7441" t="s">
        <v>53</v>
      </c>
      <c r="G7441">
        <v>1</v>
      </c>
      <c r="H7441">
        <v>22107.16</v>
      </c>
      <c r="I7441">
        <v>4422.18</v>
      </c>
      <c r="J7441" t="s">
        <v>47</v>
      </c>
      <c r="K7441" t="s">
        <v>29</v>
      </c>
      <c r="L7441">
        <f t="shared" si="348"/>
        <v>2024</v>
      </c>
      <c r="M7441" t="str">
        <f t="shared" si="349"/>
        <v>Sep</v>
      </c>
      <c r="N7441" s="2">
        <f t="shared" si="350"/>
        <v>0.20003383519185641</v>
      </c>
    </row>
    <row r="7442" spans="1:14" x14ac:dyDescent="0.45">
      <c r="A7442" t="s">
        <v>12567</v>
      </c>
      <c r="B7442" s="1">
        <v>44830</v>
      </c>
      <c r="C7442" t="s">
        <v>9339</v>
      </c>
      <c r="D7442" t="s">
        <v>26</v>
      </c>
      <c r="E7442" t="s">
        <v>14</v>
      </c>
      <c r="F7442" t="s">
        <v>57</v>
      </c>
      <c r="G7442">
        <v>5</v>
      </c>
      <c r="H7442">
        <v>49754.5</v>
      </c>
      <c r="I7442">
        <v>9920.2999999999993</v>
      </c>
      <c r="J7442" t="s">
        <v>22</v>
      </c>
      <c r="K7442" t="s">
        <v>23</v>
      </c>
      <c r="L7442">
        <f t="shared" si="348"/>
        <v>2022</v>
      </c>
      <c r="M7442" t="str">
        <f t="shared" si="349"/>
        <v>Sep</v>
      </c>
      <c r="N7442" s="2">
        <f t="shared" si="350"/>
        <v>0.19938498025304244</v>
      </c>
    </row>
    <row r="7443" spans="1:14" x14ac:dyDescent="0.45">
      <c r="A7443" t="s">
        <v>12568</v>
      </c>
      <c r="B7443" s="1">
        <v>44970</v>
      </c>
      <c r="C7443" t="s">
        <v>12569</v>
      </c>
      <c r="D7443" t="s">
        <v>26</v>
      </c>
      <c r="E7443" t="s">
        <v>36</v>
      </c>
      <c r="F7443" t="s">
        <v>53</v>
      </c>
      <c r="G7443">
        <v>4</v>
      </c>
      <c r="H7443">
        <v>24045.37</v>
      </c>
      <c r="I7443">
        <v>5831.56</v>
      </c>
      <c r="J7443" t="s">
        <v>47</v>
      </c>
      <c r="K7443" t="s">
        <v>33</v>
      </c>
      <c r="L7443">
        <f t="shared" si="348"/>
        <v>2023</v>
      </c>
      <c r="M7443" t="str">
        <f t="shared" si="349"/>
        <v>Feb</v>
      </c>
      <c r="N7443" s="2">
        <f t="shared" si="350"/>
        <v>0.24252319677343293</v>
      </c>
    </row>
    <row r="7444" spans="1:14" x14ac:dyDescent="0.45">
      <c r="A7444" t="s">
        <v>12570</v>
      </c>
      <c r="B7444" s="1">
        <v>44840</v>
      </c>
      <c r="C7444" t="s">
        <v>1814</v>
      </c>
      <c r="D7444" t="s">
        <v>13</v>
      </c>
      <c r="E7444" t="s">
        <v>36</v>
      </c>
      <c r="F7444" t="s">
        <v>53</v>
      </c>
      <c r="G7444">
        <v>4</v>
      </c>
      <c r="H7444">
        <v>12793.7</v>
      </c>
      <c r="I7444">
        <v>1677.54</v>
      </c>
      <c r="J7444" t="s">
        <v>16</v>
      </c>
      <c r="K7444" t="s">
        <v>17</v>
      </c>
      <c r="L7444">
        <f t="shared" si="348"/>
        <v>2022</v>
      </c>
      <c r="M7444" t="str">
        <f t="shared" si="349"/>
        <v>Oct</v>
      </c>
      <c r="N7444" s="2">
        <f t="shared" si="350"/>
        <v>0.13112234928128688</v>
      </c>
    </row>
    <row r="7445" spans="1:14" x14ac:dyDescent="0.45">
      <c r="A7445" t="s">
        <v>12571</v>
      </c>
      <c r="B7445" s="1">
        <v>45249</v>
      </c>
      <c r="C7445" t="s">
        <v>12572</v>
      </c>
      <c r="D7445" t="s">
        <v>26</v>
      </c>
      <c r="E7445" t="s">
        <v>14</v>
      </c>
      <c r="F7445" t="s">
        <v>57</v>
      </c>
      <c r="G7445">
        <v>2</v>
      </c>
      <c r="H7445">
        <v>9948.56</v>
      </c>
      <c r="I7445">
        <v>1183.4100000000001</v>
      </c>
      <c r="J7445" t="s">
        <v>16</v>
      </c>
      <c r="K7445" t="s">
        <v>29</v>
      </c>
      <c r="L7445">
        <f t="shared" si="348"/>
        <v>2023</v>
      </c>
      <c r="M7445" t="str">
        <f t="shared" si="349"/>
        <v>Nov</v>
      </c>
      <c r="N7445" s="2">
        <f t="shared" si="350"/>
        <v>0.11895289368511625</v>
      </c>
    </row>
    <row r="7446" spans="1:14" x14ac:dyDescent="0.45">
      <c r="A7446" t="s">
        <v>12573</v>
      </c>
      <c r="B7446" s="1">
        <v>45263</v>
      </c>
      <c r="C7446" t="s">
        <v>12574</v>
      </c>
      <c r="D7446" t="s">
        <v>13</v>
      </c>
      <c r="E7446" t="s">
        <v>20</v>
      </c>
      <c r="F7446" t="s">
        <v>27</v>
      </c>
      <c r="G7446">
        <v>2</v>
      </c>
      <c r="H7446">
        <v>11444.08</v>
      </c>
      <c r="I7446">
        <v>2820.68</v>
      </c>
      <c r="J7446" t="s">
        <v>28</v>
      </c>
      <c r="K7446" t="s">
        <v>23</v>
      </c>
      <c r="L7446">
        <f t="shared" si="348"/>
        <v>2023</v>
      </c>
      <c r="M7446" t="str">
        <f t="shared" si="349"/>
        <v>Dec</v>
      </c>
      <c r="N7446" s="2">
        <f t="shared" si="350"/>
        <v>0.24647503337970372</v>
      </c>
    </row>
    <row r="7447" spans="1:14" x14ac:dyDescent="0.45">
      <c r="A7447" t="s">
        <v>12575</v>
      </c>
      <c r="B7447" s="1">
        <v>45481</v>
      </c>
      <c r="C7447" t="s">
        <v>3711</v>
      </c>
      <c r="D7447" t="s">
        <v>56</v>
      </c>
      <c r="E7447" t="s">
        <v>36</v>
      </c>
      <c r="F7447" t="s">
        <v>46</v>
      </c>
      <c r="G7447">
        <v>2</v>
      </c>
      <c r="H7447">
        <v>27990.959999999999</v>
      </c>
      <c r="I7447">
        <v>5398.95</v>
      </c>
      <c r="J7447" t="s">
        <v>22</v>
      </c>
      <c r="K7447" t="s">
        <v>33</v>
      </c>
      <c r="L7447">
        <f t="shared" si="348"/>
        <v>2024</v>
      </c>
      <c r="M7447" t="str">
        <f t="shared" si="349"/>
        <v>Jul</v>
      </c>
      <c r="N7447" s="2">
        <f t="shared" si="350"/>
        <v>0.19288191616150357</v>
      </c>
    </row>
    <row r="7448" spans="1:14" x14ac:dyDescent="0.45">
      <c r="A7448" t="s">
        <v>12576</v>
      </c>
      <c r="B7448" s="1">
        <v>45015</v>
      </c>
      <c r="C7448" t="s">
        <v>10091</v>
      </c>
      <c r="D7448" t="s">
        <v>13</v>
      </c>
      <c r="E7448" t="s">
        <v>14</v>
      </c>
      <c r="F7448" t="s">
        <v>57</v>
      </c>
      <c r="G7448">
        <v>1</v>
      </c>
      <c r="H7448">
        <v>44193.37</v>
      </c>
      <c r="I7448">
        <v>2972.08</v>
      </c>
      <c r="J7448" t="s">
        <v>71</v>
      </c>
      <c r="K7448" t="s">
        <v>23</v>
      </c>
      <c r="L7448">
        <f t="shared" si="348"/>
        <v>2023</v>
      </c>
      <c r="M7448" t="str">
        <f t="shared" si="349"/>
        <v>Mar</v>
      </c>
      <c r="N7448" s="2">
        <f t="shared" si="350"/>
        <v>6.7251716716783524E-2</v>
      </c>
    </row>
    <row r="7449" spans="1:14" x14ac:dyDescent="0.45">
      <c r="A7449" t="s">
        <v>12577</v>
      </c>
      <c r="B7449" s="1">
        <v>44782</v>
      </c>
      <c r="C7449" t="s">
        <v>4822</v>
      </c>
      <c r="D7449" t="s">
        <v>13</v>
      </c>
      <c r="E7449" t="s">
        <v>20</v>
      </c>
      <c r="F7449" t="s">
        <v>50</v>
      </c>
      <c r="G7449">
        <v>2</v>
      </c>
      <c r="H7449">
        <v>3458</v>
      </c>
      <c r="I7449">
        <v>706</v>
      </c>
      <c r="J7449" t="s">
        <v>47</v>
      </c>
      <c r="K7449" t="s">
        <v>33</v>
      </c>
      <c r="L7449">
        <f t="shared" si="348"/>
        <v>2022</v>
      </c>
      <c r="M7449" t="str">
        <f t="shared" si="349"/>
        <v>Aug</v>
      </c>
      <c r="N7449" s="2">
        <f t="shared" si="350"/>
        <v>0.20416425679583575</v>
      </c>
    </row>
    <row r="7450" spans="1:14" x14ac:dyDescent="0.45">
      <c r="A7450" t="s">
        <v>12578</v>
      </c>
      <c r="B7450" s="1">
        <v>45420</v>
      </c>
      <c r="C7450" t="s">
        <v>8626</v>
      </c>
      <c r="D7450" t="s">
        <v>26</v>
      </c>
      <c r="E7450" t="s">
        <v>14</v>
      </c>
      <c r="F7450" t="s">
        <v>57</v>
      </c>
      <c r="G7450">
        <v>1</v>
      </c>
      <c r="H7450">
        <v>27034.62</v>
      </c>
      <c r="I7450">
        <v>6203.4</v>
      </c>
      <c r="J7450" t="s">
        <v>28</v>
      </c>
      <c r="K7450" t="s">
        <v>17</v>
      </c>
      <c r="L7450">
        <f t="shared" si="348"/>
        <v>2024</v>
      </c>
      <c r="M7450" t="str">
        <f t="shared" si="349"/>
        <v>May</v>
      </c>
      <c r="N7450" s="2">
        <f t="shared" si="350"/>
        <v>0.22946133513250788</v>
      </c>
    </row>
    <row r="7451" spans="1:14" x14ac:dyDescent="0.45">
      <c r="A7451" t="s">
        <v>12579</v>
      </c>
      <c r="B7451" s="1">
        <v>44966</v>
      </c>
      <c r="C7451" t="s">
        <v>12580</v>
      </c>
      <c r="D7451" t="s">
        <v>56</v>
      </c>
      <c r="E7451" t="s">
        <v>14</v>
      </c>
      <c r="F7451" t="s">
        <v>40</v>
      </c>
      <c r="G7451">
        <v>2</v>
      </c>
      <c r="H7451">
        <v>23745.200000000001</v>
      </c>
      <c r="I7451">
        <v>5851.44</v>
      </c>
      <c r="J7451" t="s">
        <v>47</v>
      </c>
      <c r="K7451" t="s">
        <v>23</v>
      </c>
      <c r="L7451">
        <f t="shared" si="348"/>
        <v>2023</v>
      </c>
      <c r="M7451" t="str">
        <f t="shared" si="349"/>
        <v>Feb</v>
      </c>
      <c r="N7451" s="2">
        <f t="shared" si="350"/>
        <v>0.24642622508970233</v>
      </c>
    </row>
    <row r="7452" spans="1:14" x14ac:dyDescent="0.45">
      <c r="A7452" t="s">
        <v>12581</v>
      </c>
      <c r="B7452" s="1">
        <v>45157</v>
      </c>
      <c r="C7452" t="s">
        <v>7307</v>
      </c>
      <c r="D7452" t="s">
        <v>26</v>
      </c>
      <c r="E7452" t="s">
        <v>20</v>
      </c>
      <c r="F7452" t="s">
        <v>21</v>
      </c>
      <c r="G7452">
        <v>4</v>
      </c>
      <c r="H7452">
        <v>8124.37</v>
      </c>
      <c r="I7452">
        <v>1247.03</v>
      </c>
      <c r="J7452" t="s">
        <v>71</v>
      </c>
      <c r="K7452" t="s">
        <v>33</v>
      </c>
      <c r="L7452">
        <f t="shared" si="348"/>
        <v>2023</v>
      </c>
      <c r="M7452" t="str">
        <f t="shared" si="349"/>
        <v>Aug</v>
      </c>
      <c r="N7452" s="2">
        <f t="shared" si="350"/>
        <v>0.15349251695823798</v>
      </c>
    </row>
    <row r="7453" spans="1:14" x14ac:dyDescent="0.45">
      <c r="A7453" t="s">
        <v>12582</v>
      </c>
      <c r="B7453" s="1">
        <v>45370</v>
      </c>
      <c r="C7453" t="s">
        <v>5466</v>
      </c>
      <c r="D7453" t="s">
        <v>26</v>
      </c>
      <c r="E7453" t="s">
        <v>14</v>
      </c>
      <c r="F7453" t="s">
        <v>32</v>
      </c>
      <c r="G7453">
        <v>4</v>
      </c>
      <c r="H7453">
        <v>11730.83</v>
      </c>
      <c r="I7453">
        <v>2443.81</v>
      </c>
      <c r="J7453" t="s">
        <v>16</v>
      </c>
      <c r="K7453" t="s">
        <v>33</v>
      </c>
      <c r="L7453">
        <f t="shared" si="348"/>
        <v>2024</v>
      </c>
      <c r="M7453" t="str">
        <f t="shared" si="349"/>
        <v>Mar</v>
      </c>
      <c r="N7453" s="2">
        <f t="shared" si="350"/>
        <v>0.20832370770013717</v>
      </c>
    </row>
    <row r="7454" spans="1:14" x14ac:dyDescent="0.45">
      <c r="A7454" t="s">
        <v>12583</v>
      </c>
      <c r="B7454" s="1">
        <v>44830</v>
      </c>
      <c r="C7454" t="s">
        <v>3838</v>
      </c>
      <c r="D7454" t="s">
        <v>56</v>
      </c>
      <c r="E7454" t="s">
        <v>36</v>
      </c>
      <c r="F7454" t="s">
        <v>64</v>
      </c>
      <c r="G7454">
        <v>1</v>
      </c>
      <c r="H7454">
        <v>6683.18</v>
      </c>
      <c r="I7454">
        <v>1546.74</v>
      </c>
      <c r="J7454" t="s">
        <v>22</v>
      </c>
      <c r="K7454" t="s">
        <v>29</v>
      </c>
      <c r="L7454">
        <f t="shared" si="348"/>
        <v>2022</v>
      </c>
      <c r="M7454" t="str">
        <f t="shared" si="349"/>
        <v>Sep</v>
      </c>
      <c r="N7454" s="2">
        <f t="shared" si="350"/>
        <v>0.23143772874589641</v>
      </c>
    </row>
    <row r="7455" spans="1:14" x14ac:dyDescent="0.45">
      <c r="A7455" t="s">
        <v>12584</v>
      </c>
      <c r="B7455" s="1">
        <v>45153</v>
      </c>
      <c r="C7455" t="s">
        <v>12585</v>
      </c>
      <c r="D7455" t="s">
        <v>26</v>
      </c>
      <c r="E7455" t="s">
        <v>36</v>
      </c>
      <c r="F7455" t="s">
        <v>37</v>
      </c>
      <c r="G7455">
        <v>3</v>
      </c>
      <c r="H7455">
        <v>42570.41</v>
      </c>
      <c r="I7455">
        <v>4680</v>
      </c>
      <c r="J7455" t="s">
        <v>47</v>
      </c>
      <c r="K7455" t="s">
        <v>17</v>
      </c>
      <c r="L7455">
        <f t="shared" si="348"/>
        <v>2023</v>
      </c>
      <c r="M7455" t="str">
        <f t="shared" si="349"/>
        <v>Aug</v>
      </c>
      <c r="N7455" s="2">
        <f t="shared" si="350"/>
        <v>0.10993551624238525</v>
      </c>
    </row>
    <row r="7456" spans="1:14" x14ac:dyDescent="0.45">
      <c r="A7456" t="s">
        <v>12586</v>
      </c>
      <c r="B7456" s="1">
        <v>44713</v>
      </c>
      <c r="C7456" t="s">
        <v>12587</v>
      </c>
      <c r="D7456" t="s">
        <v>26</v>
      </c>
      <c r="E7456" t="s">
        <v>20</v>
      </c>
      <c r="F7456" t="s">
        <v>21</v>
      </c>
      <c r="G7456">
        <v>4</v>
      </c>
      <c r="H7456">
        <v>7165.4</v>
      </c>
      <c r="I7456">
        <v>897.82</v>
      </c>
      <c r="J7456" t="s">
        <v>16</v>
      </c>
      <c r="K7456" t="s">
        <v>29</v>
      </c>
      <c r="L7456">
        <f t="shared" si="348"/>
        <v>2022</v>
      </c>
      <c r="M7456" t="str">
        <f t="shared" si="349"/>
        <v>Jun</v>
      </c>
      <c r="N7456" s="2">
        <f t="shared" si="350"/>
        <v>0.12529935523487873</v>
      </c>
    </row>
    <row r="7457" spans="1:14" x14ac:dyDescent="0.45">
      <c r="A7457" t="s">
        <v>12588</v>
      </c>
      <c r="B7457" s="1">
        <v>45231</v>
      </c>
      <c r="C7457" t="s">
        <v>3503</v>
      </c>
      <c r="D7457" t="s">
        <v>26</v>
      </c>
      <c r="E7457" t="s">
        <v>20</v>
      </c>
      <c r="F7457" t="s">
        <v>50</v>
      </c>
      <c r="G7457">
        <v>4</v>
      </c>
      <c r="H7457">
        <v>47536.93</v>
      </c>
      <c r="I7457">
        <v>9951.27</v>
      </c>
      <c r="J7457" t="s">
        <v>28</v>
      </c>
      <c r="K7457" t="s">
        <v>17</v>
      </c>
      <c r="L7457">
        <f t="shared" si="348"/>
        <v>2023</v>
      </c>
      <c r="M7457" t="str">
        <f t="shared" si="349"/>
        <v>Nov</v>
      </c>
      <c r="N7457" s="2">
        <f t="shared" si="350"/>
        <v>0.20933766652579375</v>
      </c>
    </row>
    <row r="7458" spans="1:14" x14ac:dyDescent="0.45">
      <c r="A7458" t="s">
        <v>12589</v>
      </c>
      <c r="B7458" s="1">
        <v>45067</v>
      </c>
      <c r="C7458" t="s">
        <v>6531</v>
      </c>
      <c r="D7458" t="s">
        <v>13</v>
      </c>
      <c r="E7458" t="s">
        <v>20</v>
      </c>
      <c r="F7458" t="s">
        <v>27</v>
      </c>
      <c r="G7458">
        <v>1</v>
      </c>
      <c r="H7458">
        <v>33393.93</v>
      </c>
      <c r="I7458">
        <v>8124.12</v>
      </c>
      <c r="J7458" t="s">
        <v>16</v>
      </c>
      <c r="K7458" t="s">
        <v>23</v>
      </c>
      <c r="L7458">
        <f t="shared" si="348"/>
        <v>2023</v>
      </c>
      <c r="M7458" t="str">
        <f t="shared" si="349"/>
        <v>May</v>
      </c>
      <c r="N7458" s="2">
        <f t="shared" si="350"/>
        <v>0.24328133885409714</v>
      </c>
    </row>
    <row r="7459" spans="1:14" x14ac:dyDescent="0.45">
      <c r="A7459" t="s">
        <v>12590</v>
      </c>
      <c r="B7459" s="1">
        <v>45189</v>
      </c>
      <c r="C7459" t="s">
        <v>12591</v>
      </c>
      <c r="D7459" t="s">
        <v>56</v>
      </c>
      <c r="E7459" t="s">
        <v>36</v>
      </c>
      <c r="F7459" t="s">
        <v>64</v>
      </c>
      <c r="G7459">
        <v>5</v>
      </c>
      <c r="H7459">
        <v>49948.31</v>
      </c>
      <c r="I7459">
        <v>8013.84</v>
      </c>
      <c r="J7459" t="s">
        <v>71</v>
      </c>
      <c r="K7459" t="s">
        <v>23</v>
      </c>
      <c r="L7459">
        <f t="shared" si="348"/>
        <v>2023</v>
      </c>
      <c r="M7459" t="str">
        <f t="shared" si="349"/>
        <v>Sep</v>
      </c>
      <c r="N7459" s="2">
        <f t="shared" si="350"/>
        <v>0.16044266562772597</v>
      </c>
    </row>
    <row r="7460" spans="1:14" x14ac:dyDescent="0.45">
      <c r="A7460" t="s">
        <v>12592</v>
      </c>
      <c r="B7460" s="1">
        <v>44816</v>
      </c>
      <c r="C7460" t="s">
        <v>12593</v>
      </c>
      <c r="D7460" t="s">
        <v>13</v>
      </c>
      <c r="E7460" t="s">
        <v>36</v>
      </c>
      <c r="F7460" t="s">
        <v>64</v>
      </c>
      <c r="G7460">
        <v>4</v>
      </c>
      <c r="H7460">
        <v>21343.75</v>
      </c>
      <c r="I7460">
        <v>2789.72</v>
      </c>
      <c r="J7460" t="s">
        <v>22</v>
      </c>
      <c r="K7460" t="s">
        <v>33</v>
      </c>
      <c r="L7460">
        <f t="shared" si="348"/>
        <v>2022</v>
      </c>
      <c r="M7460" t="str">
        <f t="shared" si="349"/>
        <v>Sep</v>
      </c>
      <c r="N7460" s="2">
        <f t="shared" si="350"/>
        <v>0.13070430453879942</v>
      </c>
    </row>
    <row r="7461" spans="1:14" x14ac:dyDescent="0.45">
      <c r="A7461" t="s">
        <v>12594</v>
      </c>
      <c r="B7461" s="1">
        <v>45213</v>
      </c>
      <c r="C7461" t="s">
        <v>12595</v>
      </c>
      <c r="D7461" t="s">
        <v>26</v>
      </c>
      <c r="E7461" t="s">
        <v>36</v>
      </c>
      <c r="F7461" t="s">
        <v>37</v>
      </c>
      <c r="G7461">
        <v>3</v>
      </c>
      <c r="H7461">
        <v>27405.84</v>
      </c>
      <c r="I7461">
        <v>2980.92</v>
      </c>
      <c r="J7461" t="s">
        <v>16</v>
      </c>
      <c r="K7461" t="s">
        <v>33</v>
      </c>
      <c r="L7461">
        <f t="shared" si="348"/>
        <v>2023</v>
      </c>
      <c r="M7461" t="str">
        <f t="shared" si="349"/>
        <v>Oct</v>
      </c>
      <c r="N7461" s="2">
        <f t="shared" si="350"/>
        <v>0.10876951773782523</v>
      </c>
    </row>
    <row r="7462" spans="1:14" x14ac:dyDescent="0.45">
      <c r="A7462" t="s">
        <v>12596</v>
      </c>
      <c r="B7462" s="1">
        <v>44572</v>
      </c>
      <c r="C7462" t="s">
        <v>11844</v>
      </c>
      <c r="D7462" t="s">
        <v>26</v>
      </c>
      <c r="E7462" t="s">
        <v>14</v>
      </c>
      <c r="F7462" t="s">
        <v>32</v>
      </c>
      <c r="G7462">
        <v>1</v>
      </c>
      <c r="H7462">
        <v>7069.58</v>
      </c>
      <c r="I7462">
        <v>1392.18</v>
      </c>
      <c r="J7462" t="s">
        <v>47</v>
      </c>
      <c r="K7462" t="s">
        <v>17</v>
      </c>
      <c r="L7462">
        <f t="shared" si="348"/>
        <v>2022</v>
      </c>
      <c r="M7462" t="str">
        <f t="shared" si="349"/>
        <v>Jan</v>
      </c>
      <c r="N7462" s="2">
        <f t="shared" si="350"/>
        <v>0.1969254184831348</v>
      </c>
    </row>
    <row r="7463" spans="1:14" x14ac:dyDescent="0.45">
      <c r="A7463" t="s">
        <v>12597</v>
      </c>
      <c r="B7463" s="1">
        <v>44821</v>
      </c>
      <c r="C7463" t="s">
        <v>12598</v>
      </c>
      <c r="D7463" t="s">
        <v>26</v>
      </c>
      <c r="E7463" t="s">
        <v>14</v>
      </c>
      <c r="F7463" t="s">
        <v>57</v>
      </c>
      <c r="G7463">
        <v>2</v>
      </c>
      <c r="H7463">
        <v>12609.84</v>
      </c>
      <c r="I7463">
        <v>2064.7199999999998</v>
      </c>
      <c r="J7463" t="s">
        <v>28</v>
      </c>
      <c r="K7463" t="s">
        <v>33</v>
      </c>
      <c r="L7463">
        <f t="shared" si="348"/>
        <v>2022</v>
      </c>
      <c r="M7463" t="str">
        <f t="shared" si="349"/>
        <v>Sep</v>
      </c>
      <c r="N7463" s="2">
        <f t="shared" si="350"/>
        <v>0.16373879446527473</v>
      </c>
    </row>
    <row r="7464" spans="1:14" x14ac:dyDescent="0.45">
      <c r="A7464" t="s">
        <v>12599</v>
      </c>
      <c r="B7464" s="1">
        <v>45287</v>
      </c>
      <c r="C7464" t="s">
        <v>9737</v>
      </c>
      <c r="D7464" t="s">
        <v>56</v>
      </c>
      <c r="E7464" t="s">
        <v>14</v>
      </c>
      <c r="F7464" t="s">
        <v>15</v>
      </c>
      <c r="G7464">
        <v>2</v>
      </c>
      <c r="H7464">
        <v>19256.54</v>
      </c>
      <c r="I7464">
        <v>1523.05</v>
      </c>
      <c r="J7464" t="s">
        <v>16</v>
      </c>
      <c r="K7464" t="s">
        <v>29</v>
      </c>
      <c r="L7464">
        <f t="shared" si="348"/>
        <v>2023</v>
      </c>
      <c r="M7464" t="str">
        <f t="shared" si="349"/>
        <v>Dec</v>
      </c>
      <c r="N7464" s="2">
        <f t="shared" si="350"/>
        <v>7.9092609575759712E-2</v>
      </c>
    </row>
    <row r="7465" spans="1:14" x14ac:dyDescent="0.45">
      <c r="A7465" t="s">
        <v>12600</v>
      </c>
      <c r="B7465" s="1">
        <v>44633</v>
      </c>
      <c r="C7465" t="s">
        <v>7636</v>
      </c>
      <c r="D7465" t="s">
        <v>13</v>
      </c>
      <c r="E7465" t="s">
        <v>36</v>
      </c>
      <c r="F7465" t="s">
        <v>46</v>
      </c>
      <c r="G7465">
        <v>1</v>
      </c>
      <c r="H7465">
        <v>33623.269999999997</v>
      </c>
      <c r="I7465">
        <v>5209.5</v>
      </c>
      <c r="J7465" t="s">
        <v>47</v>
      </c>
      <c r="K7465" t="s">
        <v>23</v>
      </c>
      <c r="L7465">
        <f t="shared" si="348"/>
        <v>2022</v>
      </c>
      <c r="M7465" t="str">
        <f t="shared" si="349"/>
        <v>Mar</v>
      </c>
      <c r="N7465" s="2">
        <f t="shared" si="350"/>
        <v>0.15493733952705971</v>
      </c>
    </row>
    <row r="7466" spans="1:14" x14ac:dyDescent="0.45">
      <c r="A7466" t="s">
        <v>12601</v>
      </c>
      <c r="B7466" s="1">
        <v>45122</v>
      </c>
      <c r="C7466" t="s">
        <v>10983</v>
      </c>
      <c r="D7466" t="s">
        <v>13</v>
      </c>
      <c r="E7466" t="s">
        <v>20</v>
      </c>
      <c r="F7466" t="s">
        <v>27</v>
      </c>
      <c r="G7466">
        <v>4</v>
      </c>
      <c r="H7466">
        <v>21243.06</v>
      </c>
      <c r="I7466">
        <v>1650.97</v>
      </c>
      <c r="J7466" t="s">
        <v>16</v>
      </c>
      <c r="K7466" t="s">
        <v>17</v>
      </c>
      <c r="L7466">
        <f t="shared" si="348"/>
        <v>2023</v>
      </c>
      <c r="M7466" t="str">
        <f t="shared" si="349"/>
        <v>Jul</v>
      </c>
      <c r="N7466" s="2">
        <f t="shared" si="350"/>
        <v>7.7718087695463831E-2</v>
      </c>
    </row>
    <row r="7467" spans="1:14" x14ac:dyDescent="0.45">
      <c r="A7467" t="s">
        <v>12602</v>
      </c>
      <c r="B7467" s="1">
        <v>44905</v>
      </c>
      <c r="C7467" t="s">
        <v>12603</v>
      </c>
      <c r="D7467" t="s">
        <v>56</v>
      </c>
      <c r="E7467" t="s">
        <v>14</v>
      </c>
      <c r="F7467" t="s">
        <v>57</v>
      </c>
      <c r="G7467">
        <v>1</v>
      </c>
      <c r="H7467">
        <v>45754.01</v>
      </c>
      <c r="I7467">
        <v>6289.69</v>
      </c>
      <c r="J7467" t="s">
        <v>47</v>
      </c>
      <c r="K7467" t="s">
        <v>29</v>
      </c>
      <c r="L7467">
        <f t="shared" si="348"/>
        <v>2022</v>
      </c>
      <c r="M7467" t="str">
        <f t="shared" si="349"/>
        <v>Dec</v>
      </c>
      <c r="N7467" s="2">
        <f t="shared" si="350"/>
        <v>0.13746751377638811</v>
      </c>
    </row>
    <row r="7468" spans="1:14" x14ac:dyDescent="0.45">
      <c r="A7468" t="s">
        <v>12604</v>
      </c>
      <c r="B7468" s="1">
        <v>45592</v>
      </c>
      <c r="C7468" t="s">
        <v>12605</v>
      </c>
      <c r="D7468" t="s">
        <v>26</v>
      </c>
      <c r="E7468" t="s">
        <v>20</v>
      </c>
      <c r="F7468" t="s">
        <v>27</v>
      </c>
      <c r="G7468">
        <v>2</v>
      </c>
      <c r="H7468">
        <v>10474.6</v>
      </c>
      <c r="I7468">
        <v>1978.78</v>
      </c>
      <c r="J7468" t="s">
        <v>47</v>
      </c>
      <c r="K7468" t="s">
        <v>29</v>
      </c>
      <c r="L7468">
        <f t="shared" si="348"/>
        <v>2024</v>
      </c>
      <c r="M7468" t="str">
        <f t="shared" si="349"/>
        <v>Oct</v>
      </c>
      <c r="N7468" s="2">
        <f t="shared" si="350"/>
        <v>0.18891222576518435</v>
      </c>
    </row>
    <row r="7469" spans="1:14" x14ac:dyDescent="0.45">
      <c r="A7469" t="s">
        <v>12606</v>
      </c>
      <c r="B7469" s="1">
        <v>45618</v>
      </c>
      <c r="C7469" t="s">
        <v>10777</v>
      </c>
      <c r="D7469" t="s">
        <v>56</v>
      </c>
      <c r="E7469" t="s">
        <v>36</v>
      </c>
      <c r="F7469" t="s">
        <v>64</v>
      </c>
      <c r="G7469">
        <v>3</v>
      </c>
      <c r="H7469">
        <v>36497.160000000003</v>
      </c>
      <c r="I7469">
        <v>9051.9</v>
      </c>
      <c r="J7469" t="s">
        <v>22</v>
      </c>
      <c r="K7469" t="s">
        <v>17</v>
      </c>
      <c r="L7469">
        <f t="shared" si="348"/>
        <v>2024</v>
      </c>
      <c r="M7469" t="str">
        <f t="shared" si="349"/>
        <v>Nov</v>
      </c>
      <c r="N7469" s="2">
        <f t="shared" si="350"/>
        <v>0.24801655800067729</v>
      </c>
    </row>
    <row r="7470" spans="1:14" x14ac:dyDescent="0.45">
      <c r="A7470" t="s">
        <v>12607</v>
      </c>
      <c r="B7470" s="1">
        <v>44758</v>
      </c>
      <c r="C7470" t="s">
        <v>464</v>
      </c>
      <c r="D7470" t="s">
        <v>56</v>
      </c>
      <c r="E7470" t="s">
        <v>20</v>
      </c>
      <c r="F7470" t="s">
        <v>50</v>
      </c>
      <c r="G7470">
        <v>5</v>
      </c>
      <c r="H7470">
        <v>13742.6</v>
      </c>
      <c r="I7470">
        <v>1046</v>
      </c>
      <c r="J7470" t="s">
        <v>47</v>
      </c>
      <c r="K7470" t="s">
        <v>33</v>
      </c>
      <c r="L7470">
        <f t="shared" si="348"/>
        <v>2022</v>
      </c>
      <c r="M7470" t="str">
        <f t="shared" si="349"/>
        <v>Jul</v>
      </c>
      <c r="N7470" s="2">
        <f t="shared" si="350"/>
        <v>7.6113690276949045E-2</v>
      </c>
    </row>
    <row r="7471" spans="1:14" x14ac:dyDescent="0.45">
      <c r="A7471" t="s">
        <v>12608</v>
      </c>
      <c r="B7471" s="1">
        <v>44870</v>
      </c>
      <c r="C7471" t="s">
        <v>9085</v>
      </c>
      <c r="D7471" t="s">
        <v>26</v>
      </c>
      <c r="E7471" t="s">
        <v>14</v>
      </c>
      <c r="F7471" t="s">
        <v>57</v>
      </c>
      <c r="G7471">
        <v>4</v>
      </c>
      <c r="H7471">
        <v>35886.559999999998</v>
      </c>
      <c r="I7471">
        <v>7566.88</v>
      </c>
      <c r="J7471" t="s">
        <v>28</v>
      </c>
      <c r="K7471" t="s">
        <v>33</v>
      </c>
      <c r="L7471">
        <f t="shared" si="348"/>
        <v>2022</v>
      </c>
      <c r="M7471" t="str">
        <f t="shared" si="349"/>
        <v>Nov</v>
      </c>
      <c r="N7471" s="2">
        <f t="shared" si="350"/>
        <v>0.21085554034713833</v>
      </c>
    </row>
    <row r="7472" spans="1:14" x14ac:dyDescent="0.45">
      <c r="A7472" t="s">
        <v>12609</v>
      </c>
      <c r="B7472" s="1">
        <v>44914</v>
      </c>
      <c r="C7472" t="s">
        <v>10842</v>
      </c>
      <c r="D7472" t="s">
        <v>13</v>
      </c>
      <c r="E7472" t="s">
        <v>36</v>
      </c>
      <c r="F7472" t="s">
        <v>53</v>
      </c>
      <c r="G7472">
        <v>3</v>
      </c>
      <c r="H7472">
        <v>38895.550000000003</v>
      </c>
      <c r="I7472">
        <v>4585.84</v>
      </c>
      <c r="J7472" t="s">
        <v>22</v>
      </c>
      <c r="K7472" t="s">
        <v>17</v>
      </c>
      <c r="L7472">
        <f t="shared" si="348"/>
        <v>2022</v>
      </c>
      <c r="M7472" t="str">
        <f t="shared" si="349"/>
        <v>Dec</v>
      </c>
      <c r="N7472" s="2">
        <f t="shared" si="350"/>
        <v>0.11790140517359955</v>
      </c>
    </row>
    <row r="7473" spans="1:14" x14ac:dyDescent="0.45">
      <c r="A7473" t="s">
        <v>12610</v>
      </c>
      <c r="B7473" s="1">
        <v>44873</v>
      </c>
      <c r="C7473" t="s">
        <v>458</v>
      </c>
      <c r="D7473" t="s">
        <v>56</v>
      </c>
      <c r="E7473" t="s">
        <v>36</v>
      </c>
      <c r="F7473" t="s">
        <v>46</v>
      </c>
      <c r="G7473">
        <v>5</v>
      </c>
      <c r="H7473">
        <v>23851.68</v>
      </c>
      <c r="I7473">
        <v>2994.67</v>
      </c>
      <c r="J7473" t="s">
        <v>71</v>
      </c>
      <c r="K7473" t="s">
        <v>33</v>
      </c>
      <c r="L7473">
        <f t="shared" si="348"/>
        <v>2022</v>
      </c>
      <c r="M7473" t="str">
        <f t="shared" si="349"/>
        <v>Nov</v>
      </c>
      <c r="N7473" s="2">
        <f t="shared" si="350"/>
        <v>0.12555383939412235</v>
      </c>
    </row>
    <row r="7474" spans="1:14" x14ac:dyDescent="0.45">
      <c r="A7474" t="s">
        <v>12611</v>
      </c>
      <c r="B7474" s="1">
        <v>44701</v>
      </c>
      <c r="C7474" t="s">
        <v>1860</v>
      </c>
      <c r="D7474" t="s">
        <v>13</v>
      </c>
      <c r="E7474" t="s">
        <v>36</v>
      </c>
      <c r="F7474" t="s">
        <v>64</v>
      </c>
      <c r="G7474">
        <v>5</v>
      </c>
      <c r="H7474">
        <v>4545.04</v>
      </c>
      <c r="I7474">
        <v>367.35</v>
      </c>
      <c r="J7474" t="s">
        <v>28</v>
      </c>
      <c r="K7474" t="s">
        <v>29</v>
      </c>
      <c r="L7474">
        <f t="shared" si="348"/>
        <v>2022</v>
      </c>
      <c r="M7474" t="str">
        <f t="shared" si="349"/>
        <v>May</v>
      </c>
      <c r="N7474" s="2">
        <f t="shared" si="350"/>
        <v>8.0824371182651858E-2</v>
      </c>
    </row>
    <row r="7475" spans="1:14" x14ac:dyDescent="0.45">
      <c r="A7475" t="s">
        <v>12612</v>
      </c>
      <c r="B7475" s="1">
        <v>45541</v>
      </c>
      <c r="C7475" t="s">
        <v>12613</v>
      </c>
      <c r="D7475" t="s">
        <v>56</v>
      </c>
      <c r="E7475" t="s">
        <v>20</v>
      </c>
      <c r="F7475" t="s">
        <v>50</v>
      </c>
      <c r="G7475">
        <v>4</v>
      </c>
      <c r="H7475">
        <v>36925.379999999997</v>
      </c>
      <c r="I7475">
        <v>5132.4399999999996</v>
      </c>
      <c r="J7475" t="s">
        <v>22</v>
      </c>
      <c r="K7475" t="s">
        <v>17</v>
      </c>
      <c r="L7475">
        <f t="shared" si="348"/>
        <v>2024</v>
      </c>
      <c r="M7475" t="str">
        <f t="shared" si="349"/>
        <v>Sep</v>
      </c>
      <c r="N7475" s="2">
        <f t="shared" si="350"/>
        <v>0.13899491352560217</v>
      </c>
    </row>
    <row r="7476" spans="1:14" x14ac:dyDescent="0.45">
      <c r="A7476" t="s">
        <v>12614</v>
      </c>
      <c r="B7476" s="1">
        <v>45075</v>
      </c>
      <c r="C7476" t="s">
        <v>9831</v>
      </c>
      <c r="D7476" t="s">
        <v>26</v>
      </c>
      <c r="E7476" t="s">
        <v>36</v>
      </c>
      <c r="F7476" t="s">
        <v>53</v>
      </c>
      <c r="G7476">
        <v>4</v>
      </c>
      <c r="H7476">
        <v>35736.31</v>
      </c>
      <c r="I7476">
        <v>3591.37</v>
      </c>
      <c r="J7476" t="s">
        <v>47</v>
      </c>
      <c r="K7476" t="s">
        <v>29</v>
      </c>
      <c r="L7476">
        <f t="shared" si="348"/>
        <v>2023</v>
      </c>
      <c r="M7476" t="str">
        <f t="shared" si="349"/>
        <v>May</v>
      </c>
      <c r="N7476" s="2">
        <f t="shared" si="350"/>
        <v>0.10049638588875012</v>
      </c>
    </row>
    <row r="7477" spans="1:14" x14ac:dyDescent="0.45">
      <c r="A7477" t="s">
        <v>12615</v>
      </c>
      <c r="B7477" s="1">
        <v>45428</v>
      </c>
      <c r="C7477" t="s">
        <v>7222</v>
      </c>
      <c r="D7477" t="s">
        <v>56</v>
      </c>
      <c r="E7477" t="s">
        <v>14</v>
      </c>
      <c r="F7477" t="s">
        <v>15</v>
      </c>
      <c r="G7477">
        <v>1</v>
      </c>
      <c r="H7477">
        <v>49901.2</v>
      </c>
      <c r="I7477">
        <v>4306.54</v>
      </c>
      <c r="J7477" t="s">
        <v>16</v>
      </c>
      <c r="K7477" t="s">
        <v>23</v>
      </c>
      <c r="L7477">
        <f t="shared" si="348"/>
        <v>2024</v>
      </c>
      <c r="M7477" t="str">
        <f t="shared" si="349"/>
        <v>May</v>
      </c>
      <c r="N7477" s="2">
        <f t="shared" si="350"/>
        <v>8.6301331430907471E-2</v>
      </c>
    </row>
    <row r="7478" spans="1:14" x14ac:dyDescent="0.45">
      <c r="A7478" t="s">
        <v>12616</v>
      </c>
      <c r="B7478" s="1">
        <v>44586</v>
      </c>
      <c r="C7478" t="s">
        <v>12617</v>
      </c>
      <c r="D7478" t="s">
        <v>13</v>
      </c>
      <c r="E7478" t="s">
        <v>36</v>
      </c>
      <c r="F7478" t="s">
        <v>46</v>
      </c>
      <c r="G7478">
        <v>2</v>
      </c>
      <c r="H7478">
        <v>40857.279999999999</v>
      </c>
      <c r="I7478">
        <v>8474.2900000000009</v>
      </c>
      <c r="J7478" t="s">
        <v>16</v>
      </c>
      <c r="K7478" t="s">
        <v>17</v>
      </c>
      <c r="L7478">
        <f t="shared" si="348"/>
        <v>2022</v>
      </c>
      <c r="M7478" t="str">
        <f t="shared" si="349"/>
        <v>Jan</v>
      </c>
      <c r="N7478" s="2">
        <f t="shared" si="350"/>
        <v>0.20741199609959354</v>
      </c>
    </row>
    <row r="7479" spans="1:14" x14ac:dyDescent="0.45">
      <c r="A7479" t="s">
        <v>12618</v>
      </c>
      <c r="B7479" s="1">
        <v>45166</v>
      </c>
      <c r="C7479" t="s">
        <v>4078</v>
      </c>
      <c r="D7479" t="s">
        <v>56</v>
      </c>
      <c r="E7479" t="s">
        <v>20</v>
      </c>
      <c r="F7479" t="s">
        <v>50</v>
      </c>
      <c r="G7479">
        <v>5</v>
      </c>
      <c r="H7479">
        <v>49707.23</v>
      </c>
      <c r="I7479">
        <v>12409.33</v>
      </c>
      <c r="J7479" t="s">
        <v>22</v>
      </c>
      <c r="K7479" t="s">
        <v>29</v>
      </c>
      <c r="L7479">
        <f t="shared" si="348"/>
        <v>2023</v>
      </c>
      <c r="M7479" t="str">
        <f t="shared" si="349"/>
        <v>Aug</v>
      </c>
      <c r="N7479" s="2">
        <f t="shared" si="350"/>
        <v>0.24964839118977258</v>
      </c>
    </row>
    <row r="7480" spans="1:14" x14ac:dyDescent="0.45">
      <c r="A7480" t="s">
        <v>12619</v>
      </c>
      <c r="B7480" s="1">
        <v>44728</v>
      </c>
      <c r="C7480" t="s">
        <v>8002</v>
      </c>
      <c r="D7480" t="s">
        <v>56</v>
      </c>
      <c r="E7480" t="s">
        <v>14</v>
      </c>
      <c r="F7480" t="s">
        <v>15</v>
      </c>
      <c r="G7480">
        <v>5</v>
      </c>
      <c r="H7480">
        <v>12682.72</v>
      </c>
      <c r="I7480">
        <v>1533.5</v>
      </c>
      <c r="J7480" t="s">
        <v>47</v>
      </c>
      <c r="K7480" t="s">
        <v>23</v>
      </c>
      <c r="L7480">
        <f t="shared" si="348"/>
        <v>2022</v>
      </c>
      <c r="M7480" t="str">
        <f t="shared" si="349"/>
        <v>Jun</v>
      </c>
      <c r="N7480" s="2">
        <f t="shared" si="350"/>
        <v>0.12091254872771771</v>
      </c>
    </row>
    <row r="7481" spans="1:14" x14ac:dyDescent="0.45">
      <c r="A7481" t="s">
        <v>12620</v>
      </c>
      <c r="B7481" s="1">
        <v>45267</v>
      </c>
      <c r="C7481" t="s">
        <v>12093</v>
      </c>
      <c r="D7481" t="s">
        <v>13</v>
      </c>
      <c r="E7481" t="s">
        <v>20</v>
      </c>
      <c r="F7481" t="s">
        <v>43</v>
      </c>
      <c r="G7481">
        <v>5</v>
      </c>
      <c r="H7481">
        <v>966.01</v>
      </c>
      <c r="I7481">
        <v>87.25</v>
      </c>
      <c r="J7481" t="s">
        <v>47</v>
      </c>
      <c r="K7481" t="s">
        <v>33</v>
      </c>
      <c r="L7481">
        <f t="shared" si="348"/>
        <v>2023</v>
      </c>
      <c r="M7481" t="str">
        <f t="shared" si="349"/>
        <v>Dec</v>
      </c>
      <c r="N7481" s="2">
        <f t="shared" si="350"/>
        <v>9.0319975983685463E-2</v>
      </c>
    </row>
    <row r="7482" spans="1:14" x14ac:dyDescent="0.45">
      <c r="A7482" t="s">
        <v>12621</v>
      </c>
      <c r="B7482" s="1">
        <v>44907</v>
      </c>
      <c r="C7482" t="s">
        <v>2457</v>
      </c>
      <c r="D7482" t="s">
        <v>56</v>
      </c>
      <c r="E7482" t="s">
        <v>14</v>
      </c>
      <c r="F7482" t="s">
        <v>40</v>
      </c>
      <c r="G7482">
        <v>1</v>
      </c>
      <c r="H7482">
        <v>4699.92</v>
      </c>
      <c r="I7482">
        <v>582.04</v>
      </c>
      <c r="J7482" t="s">
        <v>28</v>
      </c>
      <c r="K7482" t="s">
        <v>23</v>
      </c>
      <c r="L7482">
        <f t="shared" si="348"/>
        <v>2022</v>
      </c>
      <c r="M7482" t="str">
        <f t="shared" si="349"/>
        <v>Dec</v>
      </c>
      <c r="N7482" s="2">
        <f t="shared" si="350"/>
        <v>0.12384040579414117</v>
      </c>
    </row>
    <row r="7483" spans="1:14" x14ac:dyDescent="0.45">
      <c r="A7483" t="s">
        <v>12622</v>
      </c>
      <c r="B7483" s="1">
        <v>45232</v>
      </c>
      <c r="C7483" t="s">
        <v>1214</v>
      </c>
      <c r="D7483" t="s">
        <v>26</v>
      </c>
      <c r="E7483" t="s">
        <v>20</v>
      </c>
      <c r="F7483" t="s">
        <v>50</v>
      </c>
      <c r="G7483">
        <v>4</v>
      </c>
      <c r="H7483">
        <v>22788.6</v>
      </c>
      <c r="I7483">
        <v>1229.5</v>
      </c>
      <c r="J7483" t="s">
        <v>71</v>
      </c>
      <c r="K7483" t="s">
        <v>29</v>
      </c>
      <c r="L7483">
        <f t="shared" si="348"/>
        <v>2023</v>
      </c>
      <c r="M7483" t="str">
        <f t="shared" si="349"/>
        <v>Nov</v>
      </c>
      <c r="N7483" s="2">
        <f t="shared" si="350"/>
        <v>5.3952414803893178E-2</v>
      </c>
    </row>
    <row r="7484" spans="1:14" x14ac:dyDescent="0.45">
      <c r="A7484" t="s">
        <v>12623</v>
      </c>
      <c r="B7484" s="1">
        <v>44858</v>
      </c>
      <c r="C7484" t="s">
        <v>6533</v>
      </c>
      <c r="D7484" t="s">
        <v>13</v>
      </c>
      <c r="E7484" t="s">
        <v>20</v>
      </c>
      <c r="F7484" t="s">
        <v>43</v>
      </c>
      <c r="G7484">
        <v>3</v>
      </c>
      <c r="H7484">
        <v>45402.39</v>
      </c>
      <c r="I7484">
        <v>6491.16</v>
      </c>
      <c r="J7484" t="s">
        <v>71</v>
      </c>
      <c r="K7484" t="s">
        <v>17</v>
      </c>
      <c r="L7484">
        <f t="shared" si="348"/>
        <v>2022</v>
      </c>
      <c r="M7484" t="str">
        <f t="shared" si="349"/>
        <v>Oct</v>
      </c>
      <c r="N7484" s="2">
        <f t="shared" si="350"/>
        <v>0.14296956613957987</v>
      </c>
    </row>
    <row r="7485" spans="1:14" x14ac:dyDescent="0.45">
      <c r="A7485" t="s">
        <v>12624</v>
      </c>
      <c r="B7485" s="1">
        <v>44961</v>
      </c>
      <c r="C7485" t="s">
        <v>901</v>
      </c>
      <c r="D7485" t="s">
        <v>13</v>
      </c>
      <c r="E7485" t="s">
        <v>20</v>
      </c>
      <c r="F7485" t="s">
        <v>50</v>
      </c>
      <c r="G7485">
        <v>4</v>
      </c>
      <c r="H7485">
        <v>40338.19</v>
      </c>
      <c r="I7485">
        <v>3428.56</v>
      </c>
      <c r="J7485" t="s">
        <v>16</v>
      </c>
      <c r="K7485" t="s">
        <v>17</v>
      </c>
      <c r="L7485">
        <f t="shared" si="348"/>
        <v>2023</v>
      </c>
      <c r="M7485" t="str">
        <f t="shared" si="349"/>
        <v>Feb</v>
      </c>
      <c r="N7485" s="2">
        <f t="shared" si="350"/>
        <v>8.4995385266418741E-2</v>
      </c>
    </row>
    <row r="7486" spans="1:14" x14ac:dyDescent="0.45">
      <c r="A7486" t="s">
        <v>12625</v>
      </c>
      <c r="B7486" s="1">
        <v>45155</v>
      </c>
      <c r="C7486" t="s">
        <v>12626</v>
      </c>
      <c r="D7486" t="s">
        <v>13</v>
      </c>
      <c r="E7486" t="s">
        <v>36</v>
      </c>
      <c r="F7486" t="s">
        <v>64</v>
      </c>
      <c r="G7486">
        <v>2</v>
      </c>
      <c r="H7486">
        <v>45421.48</v>
      </c>
      <c r="I7486">
        <v>4339.8500000000004</v>
      </c>
      <c r="J7486" t="s">
        <v>22</v>
      </c>
      <c r="K7486" t="s">
        <v>29</v>
      </c>
      <c r="L7486">
        <f t="shared" si="348"/>
        <v>2023</v>
      </c>
      <c r="M7486" t="str">
        <f t="shared" si="349"/>
        <v>Aug</v>
      </c>
      <c r="N7486" s="2">
        <f t="shared" si="350"/>
        <v>9.5546204130732865E-2</v>
      </c>
    </row>
    <row r="7487" spans="1:14" x14ac:dyDescent="0.45">
      <c r="A7487" t="s">
        <v>12627</v>
      </c>
      <c r="B7487" s="1">
        <v>45099</v>
      </c>
      <c r="C7487" t="s">
        <v>12628</v>
      </c>
      <c r="D7487" t="s">
        <v>26</v>
      </c>
      <c r="E7487" t="s">
        <v>14</v>
      </c>
      <c r="F7487" t="s">
        <v>15</v>
      </c>
      <c r="G7487">
        <v>3</v>
      </c>
      <c r="H7487">
        <v>14357.78</v>
      </c>
      <c r="I7487">
        <v>2379.9299999999998</v>
      </c>
      <c r="J7487" t="s">
        <v>71</v>
      </c>
      <c r="K7487" t="s">
        <v>33</v>
      </c>
      <c r="L7487">
        <f t="shared" si="348"/>
        <v>2023</v>
      </c>
      <c r="M7487" t="str">
        <f t="shared" si="349"/>
        <v>Jun</v>
      </c>
      <c r="N7487" s="2">
        <f t="shared" si="350"/>
        <v>0.16575891258955072</v>
      </c>
    </row>
    <row r="7488" spans="1:14" x14ac:dyDescent="0.45">
      <c r="A7488" t="s">
        <v>12629</v>
      </c>
      <c r="B7488" s="1">
        <v>45106</v>
      </c>
      <c r="C7488" t="s">
        <v>587</v>
      </c>
      <c r="D7488" t="s">
        <v>26</v>
      </c>
      <c r="E7488" t="s">
        <v>36</v>
      </c>
      <c r="F7488" t="s">
        <v>46</v>
      </c>
      <c r="G7488">
        <v>2</v>
      </c>
      <c r="H7488">
        <v>26831.11</v>
      </c>
      <c r="I7488">
        <v>6125.03</v>
      </c>
      <c r="J7488" t="s">
        <v>71</v>
      </c>
      <c r="K7488" t="s">
        <v>29</v>
      </c>
      <c r="L7488">
        <f t="shared" si="348"/>
        <v>2023</v>
      </c>
      <c r="M7488" t="str">
        <f t="shared" si="349"/>
        <v>Jun</v>
      </c>
      <c r="N7488" s="2">
        <f t="shared" si="350"/>
        <v>0.22828090228097159</v>
      </c>
    </row>
    <row r="7489" spans="1:14" x14ac:dyDescent="0.45">
      <c r="A7489" t="s">
        <v>12630</v>
      </c>
      <c r="B7489" s="1">
        <v>45058</v>
      </c>
      <c r="C7489" t="s">
        <v>12631</v>
      </c>
      <c r="D7489" t="s">
        <v>26</v>
      </c>
      <c r="E7489" t="s">
        <v>36</v>
      </c>
      <c r="F7489" t="s">
        <v>46</v>
      </c>
      <c r="G7489">
        <v>1</v>
      </c>
      <c r="H7489">
        <v>37464.89</v>
      </c>
      <c r="I7489">
        <v>2864.87</v>
      </c>
      <c r="J7489" t="s">
        <v>47</v>
      </c>
      <c r="K7489" t="s">
        <v>23</v>
      </c>
      <c r="L7489">
        <f t="shared" si="348"/>
        <v>2023</v>
      </c>
      <c r="M7489" t="str">
        <f t="shared" si="349"/>
        <v>May</v>
      </c>
      <c r="N7489" s="2">
        <f t="shared" si="350"/>
        <v>7.6468127892541524E-2</v>
      </c>
    </row>
    <row r="7490" spans="1:14" x14ac:dyDescent="0.45">
      <c r="A7490" t="s">
        <v>12632</v>
      </c>
      <c r="B7490" s="1">
        <v>45359</v>
      </c>
      <c r="C7490" t="s">
        <v>12633</v>
      </c>
      <c r="D7490" t="s">
        <v>26</v>
      </c>
      <c r="E7490" t="s">
        <v>36</v>
      </c>
      <c r="F7490" t="s">
        <v>46</v>
      </c>
      <c r="G7490">
        <v>1</v>
      </c>
      <c r="H7490">
        <v>20692.8</v>
      </c>
      <c r="I7490">
        <v>3009.26</v>
      </c>
      <c r="J7490" t="s">
        <v>22</v>
      </c>
      <c r="K7490" t="s">
        <v>23</v>
      </c>
      <c r="L7490">
        <f t="shared" si="348"/>
        <v>2024</v>
      </c>
      <c r="M7490" t="str">
        <f t="shared" si="349"/>
        <v>Mar</v>
      </c>
      <c r="N7490" s="2">
        <f t="shared" si="350"/>
        <v>0.14542546199644321</v>
      </c>
    </row>
    <row r="7491" spans="1:14" x14ac:dyDescent="0.45">
      <c r="A7491" t="s">
        <v>12634</v>
      </c>
      <c r="B7491" s="1">
        <v>44851</v>
      </c>
      <c r="C7491" t="s">
        <v>12635</v>
      </c>
      <c r="D7491" t="s">
        <v>13</v>
      </c>
      <c r="E7491" t="s">
        <v>20</v>
      </c>
      <c r="F7491" t="s">
        <v>43</v>
      </c>
      <c r="G7491">
        <v>2</v>
      </c>
      <c r="H7491">
        <v>43415.47</v>
      </c>
      <c r="I7491">
        <v>8338.02</v>
      </c>
      <c r="J7491" t="s">
        <v>71</v>
      </c>
      <c r="K7491" t="s">
        <v>17</v>
      </c>
      <c r="L7491">
        <f t="shared" ref="L7491:L7554" si="351">YEAR(B7491 )</f>
        <v>2022</v>
      </c>
      <c r="M7491" t="str">
        <f t="shared" ref="M7491:M7554" si="352">TEXT(B7491,"MMM")</f>
        <v>Oct</v>
      </c>
      <c r="N7491" s="2">
        <f t="shared" ref="N7491:N7554" si="353">I7491 / H7491</f>
        <v>0.19205181931693935</v>
      </c>
    </row>
    <row r="7492" spans="1:14" x14ac:dyDescent="0.45">
      <c r="A7492" t="s">
        <v>12636</v>
      </c>
      <c r="B7492" s="1">
        <v>44956</v>
      </c>
      <c r="C7492" t="s">
        <v>12637</v>
      </c>
      <c r="D7492" t="s">
        <v>13</v>
      </c>
      <c r="E7492" t="s">
        <v>14</v>
      </c>
      <c r="F7492" t="s">
        <v>57</v>
      </c>
      <c r="G7492">
        <v>4</v>
      </c>
      <c r="H7492">
        <v>13524.89</v>
      </c>
      <c r="I7492">
        <v>2455.4699999999998</v>
      </c>
      <c r="J7492" t="s">
        <v>28</v>
      </c>
      <c r="K7492" t="s">
        <v>17</v>
      </c>
      <c r="L7492">
        <f t="shared" si="351"/>
        <v>2023</v>
      </c>
      <c r="M7492" t="str">
        <f t="shared" si="352"/>
        <v>Jan</v>
      </c>
      <c r="N7492" s="2">
        <f t="shared" si="353"/>
        <v>0.18155193868489872</v>
      </c>
    </row>
    <row r="7493" spans="1:14" x14ac:dyDescent="0.45">
      <c r="A7493" t="s">
        <v>12638</v>
      </c>
      <c r="B7493" s="1">
        <v>44679</v>
      </c>
      <c r="C7493" t="s">
        <v>5684</v>
      </c>
      <c r="D7493" t="s">
        <v>13</v>
      </c>
      <c r="E7493" t="s">
        <v>36</v>
      </c>
      <c r="F7493" t="s">
        <v>46</v>
      </c>
      <c r="G7493">
        <v>1</v>
      </c>
      <c r="H7493">
        <v>29602.7</v>
      </c>
      <c r="I7493">
        <v>6717.47</v>
      </c>
      <c r="J7493" t="s">
        <v>28</v>
      </c>
      <c r="K7493" t="s">
        <v>29</v>
      </c>
      <c r="L7493">
        <f t="shared" si="351"/>
        <v>2022</v>
      </c>
      <c r="M7493" t="str">
        <f t="shared" si="352"/>
        <v>Apr</v>
      </c>
      <c r="N7493" s="2">
        <f t="shared" si="353"/>
        <v>0.22692085519226288</v>
      </c>
    </row>
    <row r="7494" spans="1:14" x14ac:dyDescent="0.45">
      <c r="A7494" t="s">
        <v>12639</v>
      </c>
      <c r="B7494" s="1">
        <v>44819</v>
      </c>
      <c r="C7494" t="s">
        <v>11395</v>
      </c>
      <c r="D7494" t="s">
        <v>26</v>
      </c>
      <c r="E7494" t="s">
        <v>36</v>
      </c>
      <c r="F7494" t="s">
        <v>37</v>
      </c>
      <c r="G7494">
        <v>4</v>
      </c>
      <c r="H7494">
        <v>27964.38</v>
      </c>
      <c r="I7494">
        <v>3551.25</v>
      </c>
      <c r="J7494" t="s">
        <v>22</v>
      </c>
      <c r="K7494" t="s">
        <v>29</v>
      </c>
      <c r="L7494">
        <f t="shared" si="351"/>
        <v>2022</v>
      </c>
      <c r="M7494" t="str">
        <f t="shared" si="352"/>
        <v>Sep</v>
      </c>
      <c r="N7494" s="2">
        <f t="shared" si="353"/>
        <v>0.12699190899279725</v>
      </c>
    </row>
    <row r="7495" spans="1:14" x14ac:dyDescent="0.45">
      <c r="A7495" t="s">
        <v>12640</v>
      </c>
      <c r="B7495" s="1">
        <v>45029</v>
      </c>
      <c r="C7495" t="s">
        <v>2203</v>
      </c>
      <c r="D7495" t="s">
        <v>56</v>
      </c>
      <c r="E7495" t="s">
        <v>20</v>
      </c>
      <c r="F7495" t="s">
        <v>43</v>
      </c>
      <c r="G7495">
        <v>2</v>
      </c>
      <c r="H7495">
        <v>10994.3</v>
      </c>
      <c r="I7495">
        <v>2108.63</v>
      </c>
      <c r="J7495" t="s">
        <v>16</v>
      </c>
      <c r="K7495" t="s">
        <v>17</v>
      </c>
      <c r="L7495">
        <f t="shared" si="351"/>
        <v>2023</v>
      </c>
      <c r="M7495" t="str">
        <f t="shared" si="352"/>
        <v>Apr</v>
      </c>
      <c r="N7495" s="2">
        <f t="shared" si="353"/>
        <v>0.19179302001946466</v>
      </c>
    </row>
    <row r="7496" spans="1:14" x14ac:dyDescent="0.45">
      <c r="A7496" t="s">
        <v>12641</v>
      </c>
      <c r="B7496" s="1">
        <v>45035</v>
      </c>
      <c r="C7496" t="s">
        <v>1327</v>
      </c>
      <c r="D7496" t="s">
        <v>26</v>
      </c>
      <c r="E7496" t="s">
        <v>36</v>
      </c>
      <c r="F7496" t="s">
        <v>46</v>
      </c>
      <c r="G7496">
        <v>1</v>
      </c>
      <c r="H7496">
        <v>37568.31</v>
      </c>
      <c r="I7496">
        <v>2081.25</v>
      </c>
      <c r="J7496" t="s">
        <v>16</v>
      </c>
      <c r="K7496" t="s">
        <v>23</v>
      </c>
      <c r="L7496">
        <f t="shared" si="351"/>
        <v>2023</v>
      </c>
      <c r="M7496" t="str">
        <f t="shared" si="352"/>
        <v>Apr</v>
      </c>
      <c r="N7496" s="2">
        <f t="shared" si="353"/>
        <v>5.5399085026715339E-2</v>
      </c>
    </row>
    <row r="7497" spans="1:14" x14ac:dyDescent="0.45">
      <c r="A7497" t="s">
        <v>12642</v>
      </c>
      <c r="B7497" s="1">
        <v>45316</v>
      </c>
      <c r="C7497" t="s">
        <v>12643</v>
      </c>
      <c r="D7497" t="s">
        <v>56</v>
      </c>
      <c r="E7497" t="s">
        <v>36</v>
      </c>
      <c r="F7497" t="s">
        <v>64</v>
      </c>
      <c r="G7497">
        <v>1</v>
      </c>
      <c r="H7497">
        <v>44589.64</v>
      </c>
      <c r="I7497">
        <v>6436.81</v>
      </c>
      <c r="J7497" t="s">
        <v>22</v>
      </c>
      <c r="K7497" t="s">
        <v>33</v>
      </c>
      <c r="L7497">
        <f t="shared" si="351"/>
        <v>2024</v>
      </c>
      <c r="M7497" t="str">
        <f t="shared" si="352"/>
        <v>Jan</v>
      </c>
      <c r="N7497" s="2">
        <f t="shared" si="353"/>
        <v>0.1443566263374183</v>
      </c>
    </row>
    <row r="7498" spans="1:14" x14ac:dyDescent="0.45">
      <c r="A7498" t="s">
        <v>12644</v>
      </c>
      <c r="B7498" s="1">
        <v>44565</v>
      </c>
      <c r="C7498" t="s">
        <v>12645</v>
      </c>
      <c r="D7498" t="s">
        <v>56</v>
      </c>
      <c r="E7498" t="s">
        <v>14</v>
      </c>
      <c r="F7498" t="s">
        <v>40</v>
      </c>
      <c r="G7498">
        <v>1</v>
      </c>
      <c r="H7498">
        <v>23874.5</v>
      </c>
      <c r="I7498">
        <v>5929.43</v>
      </c>
      <c r="J7498" t="s">
        <v>22</v>
      </c>
      <c r="K7498" t="s">
        <v>33</v>
      </c>
      <c r="L7498">
        <f t="shared" si="351"/>
        <v>2022</v>
      </c>
      <c r="M7498" t="str">
        <f t="shared" si="352"/>
        <v>Jan</v>
      </c>
      <c r="N7498" s="2">
        <f t="shared" si="353"/>
        <v>0.24835829022597333</v>
      </c>
    </row>
    <row r="7499" spans="1:14" x14ac:dyDescent="0.45">
      <c r="A7499" t="s">
        <v>12646</v>
      </c>
      <c r="B7499" s="1">
        <v>45485</v>
      </c>
      <c r="C7499" t="s">
        <v>11167</v>
      </c>
      <c r="D7499" t="s">
        <v>56</v>
      </c>
      <c r="E7499" t="s">
        <v>14</v>
      </c>
      <c r="F7499" t="s">
        <v>40</v>
      </c>
      <c r="G7499">
        <v>4</v>
      </c>
      <c r="H7499">
        <v>12605.74</v>
      </c>
      <c r="I7499">
        <v>2731.1</v>
      </c>
      <c r="J7499" t="s">
        <v>16</v>
      </c>
      <c r="K7499" t="s">
        <v>33</v>
      </c>
      <c r="L7499">
        <f t="shared" si="351"/>
        <v>2024</v>
      </c>
      <c r="M7499" t="str">
        <f t="shared" si="352"/>
        <v>Jul</v>
      </c>
      <c r="N7499" s="2">
        <f t="shared" si="353"/>
        <v>0.21665526974219682</v>
      </c>
    </row>
    <row r="7500" spans="1:14" x14ac:dyDescent="0.45">
      <c r="A7500" t="s">
        <v>12647</v>
      </c>
      <c r="B7500" s="1">
        <v>45252</v>
      </c>
      <c r="C7500" t="s">
        <v>6685</v>
      </c>
      <c r="D7500" t="s">
        <v>26</v>
      </c>
      <c r="E7500" t="s">
        <v>20</v>
      </c>
      <c r="F7500" t="s">
        <v>43</v>
      </c>
      <c r="G7500">
        <v>3</v>
      </c>
      <c r="H7500">
        <v>40527.78</v>
      </c>
      <c r="I7500">
        <v>3282.71</v>
      </c>
      <c r="J7500" t="s">
        <v>28</v>
      </c>
      <c r="K7500" t="s">
        <v>29</v>
      </c>
      <c r="L7500">
        <f t="shared" si="351"/>
        <v>2023</v>
      </c>
      <c r="M7500" t="str">
        <f t="shared" si="352"/>
        <v>Nov</v>
      </c>
      <c r="N7500" s="2">
        <f t="shared" si="353"/>
        <v>8.0999008581274373E-2</v>
      </c>
    </row>
    <row r="7501" spans="1:14" x14ac:dyDescent="0.45">
      <c r="A7501" t="s">
        <v>12648</v>
      </c>
      <c r="B7501" s="1">
        <v>44632</v>
      </c>
      <c r="C7501" t="s">
        <v>10062</v>
      </c>
      <c r="D7501" t="s">
        <v>13</v>
      </c>
      <c r="E7501" t="s">
        <v>36</v>
      </c>
      <c r="F7501" t="s">
        <v>64</v>
      </c>
      <c r="G7501">
        <v>3</v>
      </c>
      <c r="H7501">
        <v>24048.73</v>
      </c>
      <c r="I7501">
        <v>2311.4899999999998</v>
      </c>
      <c r="J7501" t="s">
        <v>47</v>
      </c>
      <c r="K7501" t="s">
        <v>29</v>
      </c>
      <c r="L7501">
        <f t="shared" si="351"/>
        <v>2022</v>
      </c>
      <c r="M7501" t="str">
        <f t="shared" si="352"/>
        <v>Mar</v>
      </c>
      <c r="N7501" s="2">
        <f t="shared" si="353"/>
        <v>9.6116925924986468E-2</v>
      </c>
    </row>
    <row r="7502" spans="1:14" x14ac:dyDescent="0.45">
      <c r="A7502" t="s">
        <v>12649</v>
      </c>
      <c r="B7502" s="1">
        <v>44622</v>
      </c>
      <c r="C7502" t="s">
        <v>2873</v>
      </c>
      <c r="D7502" t="s">
        <v>26</v>
      </c>
      <c r="E7502" t="s">
        <v>20</v>
      </c>
      <c r="F7502" t="s">
        <v>21</v>
      </c>
      <c r="G7502">
        <v>1</v>
      </c>
      <c r="H7502">
        <v>48448.01</v>
      </c>
      <c r="I7502">
        <v>4973.33</v>
      </c>
      <c r="J7502" t="s">
        <v>28</v>
      </c>
      <c r="K7502" t="s">
        <v>33</v>
      </c>
      <c r="L7502">
        <f t="shared" si="351"/>
        <v>2022</v>
      </c>
      <c r="M7502" t="str">
        <f t="shared" si="352"/>
        <v>Mar</v>
      </c>
      <c r="N7502" s="2">
        <f t="shared" si="353"/>
        <v>0.10265292630182334</v>
      </c>
    </row>
    <row r="7503" spans="1:14" x14ac:dyDescent="0.45">
      <c r="A7503" t="s">
        <v>12650</v>
      </c>
      <c r="B7503" s="1">
        <v>44657</v>
      </c>
      <c r="C7503" t="s">
        <v>9678</v>
      </c>
      <c r="D7503" t="s">
        <v>56</v>
      </c>
      <c r="E7503" t="s">
        <v>36</v>
      </c>
      <c r="F7503" t="s">
        <v>64</v>
      </c>
      <c r="G7503">
        <v>4</v>
      </c>
      <c r="H7503">
        <v>9673.26</v>
      </c>
      <c r="I7503">
        <v>2017.1</v>
      </c>
      <c r="J7503" t="s">
        <v>47</v>
      </c>
      <c r="K7503" t="s">
        <v>23</v>
      </c>
      <c r="L7503">
        <f t="shared" si="351"/>
        <v>2022</v>
      </c>
      <c r="M7503" t="str">
        <f t="shared" si="352"/>
        <v>Apr</v>
      </c>
      <c r="N7503" s="2">
        <f t="shared" si="353"/>
        <v>0.20852328997669864</v>
      </c>
    </row>
    <row r="7504" spans="1:14" x14ac:dyDescent="0.45">
      <c r="A7504" t="s">
        <v>12651</v>
      </c>
      <c r="B7504" s="1">
        <v>45255</v>
      </c>
      <c r="C7504" t="s">
        <v>9880</v>
      </c>
      <c r="D7504" t="s">
        <v>56</v>
      </c>
      <c r="E7504" t="s">
        <v>14</v>
      </c>
      <c r="F7504" t="s">
        <v>40</v>
      </c>
      <c r="G7504">
        <v>2</v>
      </c>
      <c r="H7504">
        <v>1983.11</v>
      </c>
      <c r="I7504">
        <v>235.02</v>
      </c>
      <c r="J7504" t="s">
        <v>28</v>
      </c>
      <c r="K7504" t="s">
        <v>17</v>
      </c>
      <c r="L7504">
        <f t="shared" si="351"/>
        <v>2023</v>
      </c>
      <c r="M7504" t="str">
        <f t="shared" si="352"/>
        <v>Nov</v>
      </c>
      <c r="N7504" s="2">
        <f t="shared" si="353"/>
        <v>0.11851082390790224</v>
      </c>
    </row>
    <row r="7505" spans="1:14" x14ac:dyDescent="0.45">
      <c r="A7505" t="s">
        <v>12652</v>
      </c>
      <c r="B7505" s="1">
        <v>44895</v>
      </c>
      <c r="C7505" t="s">
        <v>12653</v>
      </c>
      <c r="D7505" t="s">
        <v>13</v>
      </c>
      <c r="E7505" t="s">
        <v>14</v>
      </c>
      <c r="F7505" t="s">
        <v>15</v>
      </c>
      <c r="G7505">
        <v>2</v>
      </c>
      <c r="H7505">
        <v>10219.709999999999</v>
      </c>
      <c r="I7505">
        <v>639.03</v>
      </c>
      <c r="J7505" t="s">
        <v>16</v>
      </c>
      <c r="K7505" t="s">
        <v>17</v>
      </c>
      <c r="L7505">
        <f t="shared" si="351"/>
        <v>2022</v>
      </c>
      <c r="M7505" t="str">
        <f t="shared" si="352"/>
        <v>Nov</v>
      </c>
      <c r="N7505" s="2">
        <f t="shared" si="353"/>
        <v>6.2529171571404668E-2</v>
      </c>
    </row>
    <row r="7506" spans="1:14" x14ac:dyDescent="0.45">
      <c r="A7506" t="s">
        <v>12654</v>
      </c>
      <c r="B7506" s="1">
        <v>44653</v>
      </c>
      <c r="C7506" t="s">
        <v>3172</v>
      </c>
      <c r="D7506" t="s">
        <v>26</v>
      </c>
      <c r="E7506" t="s">
        <v>20</v>
      </c>
      <c r="F7506" t="s">
        <v>21</v>
      </c>
      <c r="G7506">
        <v>4</v>
      </c>
      <c r="H7506">
        <v>18106.71</v>
      </c>
      <c r="I7506">
        <v>1097.9000000000001</v>
      </c>
      <c r="J7506" t="s">
        <v>22</v>
      </c>
      <c r="K7506" t="s">
        <v>17</v>
      </c>
      <c r="L7506">
        <f t="shared" si="351"/>
        <v>2022</v>
      </c>
      <c r="M7506" t="str">
        <f t="shared" si="352"/>
        <v>Apr</v>
      </c>
      <c r="N7506" s="2">
        <f t="shared" si="353"/>
        <v>6.0634980070923994E-2</v>
      </c>
    </row>
    <row r="7507" spans="1:14" x14ac:dyDescent="0.45">
      <c r="A7507" t="s">
        <v>12655</v>
      </c>
      <c r="B7507" s="1">
        <v>45580</v>
      </c>
      <c r="C7507" t="s">
        <v>12656</v>
      </c>
      <c r="D7507" t="s">
        <v>56</v>
      </c>
      <c r="E7507" t="s">
        <v>20</v>
      </c>
      <c r="F7507" t="s">
        <v>43</v>
      </c>
      <c r="G7507">
        <v>2</v>
      </c>
      <c r="H7507">
        <v>34612.839999999997</v>
      </c>
      <c r="I7507">
        <v>8460.5300000000007</v>
      </c>
      <c r="J7507" t="s">
        <v>28</v>
      </c>
      <c r="K7507" t="s">
        <v>17</v>
      </c>
      <c r="L7507">
        <f t="shared" si="351"/>
        <v>2024</v>
      </c>
      <c r="M7507" t="str">
        <f t="shared" si="352"/>
        <v>Oct</v>
      </c>
      <c r="N7507" s="2">
        <f t="shared" si="353"/>
        <v>0.24443327967309245</v>
      </c>
    </row>
    <row r="7508" spans="1:14" x14ac:dyDescent="0.45">
      <c r="A7508" t="s">
        <v>12657</v>
      </c>
      <c r="B7508" s="1">
        <v>45032</v>
      </c>
      <c r="C7508" t="s">
        <v>12658</v>
      </c>
      <c r="D7508" t="s">
        <v>26</v>
      </c>
      <c r="E7508" t="s">
        <v>14</v>
      </c>
      <c r="F7508" t="s">
        <v>57</v>
      </c>
      <c r="G7508">
        <v>4</v>
      </c>
      <c r="H7508">
        <v>41476.339999999997</v>
      </c>
      <c r="I7508">
        <v>10182.799999999999</v>
      </c>
      <c r="J7508" t="s">
        <v>16</v>
      </c>
      <c r="K7508" t="s">
        <v>17</v>
      </c>
      <c r="L7508">
        <f t="shared" si="351"/>
        <v>2023</v>
      </c>
      <c r="M7508" t="str">
        <f t="shared" si="352"/>
        <v>Apr</v>
      </c>
      <c r="N7508" s="2">
        <f t="shared" si="353"/>
        <v>0.24550864420534696</v>
      </c>
    </row>
    <row r="7509" spans="1:14" x14ac:dyDescent="0.45">
      <c r="A7509" t="s">
        <v>12659</v>
      </c>
      <c r="B7509" s="1">
        <v>45428</v>
      </c>
      <c r="C7509" t="s">
        <v>630</v>
      </c>
      <c r="D7509" t="s">
        <v>26</v>
      </c>
      <c r="E7509" t="s">
        <v>36</v>
      </c>
      <c r="F7509" t="s">
        <v>53</v>
      </c>
      <c r="G7509">
        <v>4</v>
      </c>
      <c r="H7509">
        <v>31995.64</v>
      </c>
      <c r="I7509">
        <v>6464.75</v>
      </c>
      <c r="J7509" t="s">
        <v>71</v>
      </c>
      <c r="K7509" t="s">
        <v>29</v>
      </c>
      <c r="L7509">
        <f t="shared" si="351"/>
        <v>2024</v>
      </c>
      <c r="M7509" t="str">
        <f t="shared" si="352"/>
        <v>May</v>
      </c>
      <c r="N7509" s="2">
        <f t="shared" si="353"/>
        <v>0.20205096694424615</v>
      </c>
    </row>
    <row r="7510" spans="1:14" x14ac:dyDescent="0.45">
      <c r="A7510" t="s">
        <v>12660</v>
      </c>
      <c r="B7510" s="1">
        <v>44789</v>
      </c>
      <c r="C7510" t="s">
        <v>12199</v>
      </c>
      <c r="D7510" t="s">
        <v>13</v>
      </c>
      <c r="E7510" t="s">
        <v>14</v>
      </c>
      <c r="F7510" t="s">
        <v>57</v>
      </c>
      <c r="G7510">
        <v>4</v>
      </c>
      <c r="H7510">
        <v>34514.269999999997</v>
      </c>
      <c r="I7510">
        <v>3547.66</v>
      </c>
      <c r="J7510" t="s">
        <v>47</v>
      </c>
      <c r="K7510" t="s">
        <v>33</v>
      </c>
      <c r="L7510">
        <f t="shared" si="351"/>
        <v>2022</v>
      </c>
      <c r="M7510" t="str">
        <f t="shared" si="352"/>
        <v>Aug</v>
      </c>
      <c r="N7510" s="2">
        <f t="shared" si="353"/>
        <v>0.10278820905092299</v>
      </c>
    </row>
    <row r="7511" spans="1:14" x14ac:dyDescent="0.45">
      <c r="A7511" t="s">
        <v>12661</v>
      </c>
      <c r="B7511" s="1">
        <v>45511</v>
      </c>
      <c r="C7511" t="s">
        <v>10727</v>
      </c>
      <c r="D7511" t="s">
        <v>26</v>
      </c>
      <c r="E7511" t="s">
        <v>36</v>
      </c>
      <c r="F7511" t="s">
        <v>37</v>
      </c>
      <c r="G7511">
        <v>2</v>
      </c>
      <c r="H7511">
        <v>38840.1</v>
      </c>
      <c r="I7511">
        <v>8499.27</v>
      </c>
      <c r="J7511" t="s">
        <v>22</v>
      </c>
      <c r="K7511" t="s">
        <v>17</v>
      </c>
      <c r="L7511">
        <f t="shared" si="351"/>
        <v>2024</v>
      </c>
      <c r="M7511" t="str">
        <f t="shared" si="352"/>
        <v>Aug</v>
      </c>
      <c r="N7511" s="2">
        <f t="shared" si="353"/>
        <v>0.21882719148508889</v>
      </c>
    </row>
    <row r="7512" spans="1:14" x14ac:dyDescent="0.45">
      <c r="A7512" t="s">
        <v>12662</v>
      </c>
      <c r="B7512" s="1">
        <v>44678</v>
      </c>
      <c r="C7512" t="s">
        <v>12663</v>
      </c>
      <c r="D7512" t="s">
        <v>26</v>
      </c>
      <c r="E7512" t="s">
        <v>14</v>
      </c>
      <c r="F7512" t="s">
        <v>15</v>
      </c>
      <c r="G7512">
        <v>1</v>
      </c>
      <c r="H7512">
        <v>10356.65</v>
      </c>
      <c r="I7512">
        <v>2030.5</v>
      </c>
      <c r="J7512" t="s">
        <v>28</v>
      </c>
      <c r="K7512" t="s">
        <v>17</v>
      </c>
      <c r="L7512">
        <f t="shared" si="351"/>
        <v>2022</v>
      </c>
      <c r="M7512" t="str">
        <f t="shared" si="352"/>
        <v>Apr</v>
      </c>
      <c r="N7512" s="2">
        <f t="shared" si="353"/>
        <v>0.19605760549984794</v>
      </c>
    </row>
    <row r="7513" spans="1:14" x14ac:dyDescent="0.45">
      <c r="A7513" t="s">
        <v>12664</v>
      </c>
      <c r="B7513" s="1">
        <v>45127</v>
      </c>
      <c r="C7513" t="s">
        <v>12665</v>
      </c>
      <c r="D7513" t="s">
        <v>56</v>
      </c>
      <c r="E7513" t="s">
        <v>14</v>
      </c>
      <c r="F7513" t="s">
        <v>57</v>
      </c>
      <c r="G7513">
        <v>3</v>
      </c>
      <c r="H7513">
        <v>32499.919999999998</v>
      </c>
      <c r="I7513">
        <v>3412.09</v>
      </c>
      <c r="J7513" t="s">
        <v>16</v>
      </c>
      <c r="K7513" t="s">
        <v>23</v>
      </c>
      <c r="L7513">
        <f t="shared" si="351"/>
        <v>2023</v>
      </c>
      <c r="M7513" t="str">
        <f t="shared" si="352"/>
        <v>Jul</v>
      </c>
      <c r="N7513" s="2">
        <f t="shared" si="353"/>
        <v>0.10498764304650597</v>
      </c>
    </row>
    <row r="7514" spans="1:14" x14ac:dyDescent="0.45">
      <c r="A7514" t="s">
        <v>12666</v>
      </c>
      <c r="B7514" s="1">
        <v>44989</v>
      </c>
      <c r="C7514" t="s">
        <v>12667</v>
      </c>
      <c r="D7514" t="s">
        <v>26</v>
      </c>
      <c r="E7514" t="s">
        <v>20</v>
      </c>
      <c r="F7514" t="s">
        <v>27</v>
      </c>
      <c r="G7514">
        <v>1</v>
      </c>
      <c r="H7514">
        <v>41422.49</v>
      </c>
      <c r="I7514">
        <v>6746.26</v>
      </c>
      <c r="J7514" t="s">
        <v>16</v>
      </c>
      <c r="K7514" t="s">
        <v>29</v>
      </c>
      <c r="L7514">
        <f t="shared" si="351"/>
        <v>2023</v>
      </c>
      <c r="M7514" t="str">
        <f t="shared" si="352"/>
        <v>Mar</v>
      </c>
      <c r="N7514" s="2">
        <f t="shared" si="353"/>
        <v>0.16286466603045835</v>
      </c>
    </row>
    <row r="7515" spans="1:14" x14ac:dyDescent="0.45">
      <c r="A7515" t="s">
        <v>12668</v>
      </c>
      <c r="B7515" s="1">
        <v>44682</v>
      </c>
      <c r="C7515" t="s">
        <v>2695</v>
      </c>
      <c r="D7515" t="s">
        <v>26</v>
      </c>
      <c r="E7515" t="s">
        <v>14</v>
      </c>
      <c r="F7515" t="s">
        <v>15</v>
      </c>
      <c r="G7515">
        <v>5</v>
      </c>
      <c r="H7515">
        <v>12911.17</v>
      </c>
      <c r="I7515">
        <v>1061.8900000000001</v>
      </c>
      <c r="J7515" t="s">
        <v>22</v>
      </c>
      <c r="K7515" t="s">
        <v>17</v>
      </c>
      <c r="L7515">
        <f t="shared" si="351"/>
        <v>2022</v>
      </c>
      <c r="M7515" t="str">
        <f t="shared" si="352"/>
        <v>May</v>
      </c>
      <c r="N7515" s="2">
        <f t="shared" si="353"/>
        <v>8.224583829350865E-2</v>
      </c>
    </row>
    <row r="7516" spans="1:14" x14ac:dyDescent="0.45">
      <c r="A7516" t="s">
        <v>12669</v>
      </c>
      <c r="B7516" s="1">
        <v>45428</v>
      </c>
      <c r="C7516" t="s">
        <v>2695</v>
      </c>
      <c r="D7516" t="s">
        <v>13</v>
      </c>
      <c r="E7516" t="s">
        <v>36</v>
      </c>
      <c r="F7516" t="s">
        <v>46</v>
      </c>
      <c r="G7516">
        <v>5</v>
      </c>
      <c r="H7516">
        <v>35752.53</v>
      </c>
      <c r="I7516">
        <v>4548.84</v>
      </c>
      <c r="J7516" t="s">
        <v>47</v>
      </c>
      <c r="K7516" t="s">
        <v>29</v>
      </c>
      <c r="L7516">
        <f t="shared" si="351"/>
        <v>2024</v>
      </c>
      <c r="M7516" t="str">
        <f t="shared" si="352"/>
        <v>May</v>
      </c>
      <c r="N7516" s="2">
        <f t="shared" si="353"/>
        <v>0.12723127566077141</v>
      </c>
    </row>
    <row r="7517" spans="1:14" x14ac:dyDescent="0.45">
      <c r="A7517" t="s">
        <v>12670</v>
      </c>
      <c r="B7517" s="1">
        <v>44787</v>
      </c>
      <c r="C7517" t="s">
        <v>12671</v>
      </c>
      <c r="D7517" t="s">
        <v>26</v>
      </c>
      <c r="E7517" t="s">
        <v>36</v>
      </c>
      <c r="F7517" t="s">
        <v>37</v>
      </c>
      <c r="G7517">
        <v>5</v>
      </c>
      <c r="H7517">
        <v>32351.01</v>
      </c>
      <c r="I7517">
        <v>3653.28</v>
      </c>
      <c r="J7517" t="s">
        <v>47</v>
      </c>
      <c r="K7517" t="s">
        <v>29</v>
      </c>
      <c r="L7517">
        <f t="shared" si="351"/>
        <v>2022</v>
      </c>
      <c r="M7517" t="str">
        <f t="shared" si="352"/>
        <v>Aug</v>
      </c>
      <c r="N7517" s="2">
        <f t="shared" si="353"/>
        <v>0.11292630431012819</v>
      </c>
    </row>
    <row r="7518" spans="1:14" x14ac:dyDescent="0.45">
      <c r="A7518" t="s">
        <v>12672</v>
      </c>
      <c r="B7518" s="1">
        <v>45516</v>
      </c>
      <c r="C7518" t="s">
        <v>6754</v>
      </c>
      <c r="D7518" t="s">
        <v>26</v>
      </c>
      <c r="E7518" t="s">
        <v>14</v>
      </c>
      <c r="F7518" t="s">
        <v>40</v>
      </c>
      <c r="G7518">
        <v>4</v>
      </c>
      <c r="H7518">
        <v>34440.120000000003</v>
      </c>
      <c r="I7518">
        <v>4167.26</v>
      </c>
      <c r="J7518" t="s">
        <v>28</v>
      </c>
      <c r="K7518" t="s">
        <v>17</v>
      </c>
      <c r="L7518">
        <f t="shared" si="351"/>
        <v>2024</v>
      </c>
      <c r="M7518" t="str">
        <f t="shared" si="352"/>
        <v>Aug</v>
      </c>
      <c r="N7518" s="2">
        <f t="shared" si="353"/>
        <v>0.12100015911675104</v>
      </c>
    </row>
    <row r="7519" spans="1:14" x14ac:dyDescent="0.45">
      <c r="A7519" t="s">
        <v>12673</v>
      </c>
      <c r="B7519" s="1">
        <v>45344</v>
      </c>
      <c r="C7519" t="s">
        <v>3540</v>
      </c>
      <c r="D7519" t="s">
        <v>13</v>
      </c>
      <c r="E7519" t="s">
        <v>36</v>
      </c>
      <c r="F7519" t="s">
        <v>53</v>
      </c>
      <c r="G7519">
        <v>3</v>
      </c>
      <c r="H7519">
        <v>27912.65</v>
      </c>
      <c r="I7519">
        <v>6618.48</v>
      </c>
      <c r="J7519" t="s">
        <v>22</v>
      </c>
      <c r="K7519" t="s">
        <v>23</v>
      </c>
      <c r="L7519">
        <f t="shared" si="351"/>
        <v>2024</v>
      </c>
      <c r="M7519" t="str">
        <f t="shared" si="352"/>
        <v>Feb</v>
      </c>
      <c r="N7519" s="2">
        <f t="shared" si="353"/>
        <v>0.23711399670042074</v>
      </c>
    </row>
    <row r="7520" spans="1:14" x14ac:dyDescent="0.45">
      <c r="A7520" t="s">
        <v>12674</v>
      </c>
      <c r="B7520" s="1">
        <v>45652</v>
      </c>
      <c r="C7520" t="s">
        <v>7706</v>
      </c>
      <c r="D7520" t="s">
        <v>13</v>
      </c>
      <c r="E7520" t="s">
        <v>14</v>
      </c>
      <c r="F7520" t="s">
        <v>40</v>
      </c>
      <c r="G7520">
        <v>5</v>
      </c>
      <c r="H7520">
        <v>16064.4</v>
      </c>
      <c r="I7520">
        <v>1028.02</v>
      </c>
      <c r="J7520" t="s">
        <v>47</v>
      </c>
      <c r="K7520" t="s">
        <v>29</v>
      </c>
      <c r="L7520">
        <f t="shared" si="351"/>
        <v>2024</v>
      </c>
      <c r="M7520" t="str">
        <f t="shared" si="352"/>
        <v>Dec</v>
      </c>
      <c r="N7520" s="2">
        <f t="shared" si="353"/>
        <v>6.3993675456288437E-2</v>
      </c>
    </row>
    <row r="7521" spans="1:14" x14ac:dyDescent="0.45">
      <c r="A7521" t="s">
        <v>12675</v>
      </c>
      <c r="B7521" s="1">
        <v>45310</v>
      </c>
      <c r="C7521" t="s">
        <v>883</v>
      </c>
      <c r="D7521" t="s">
        <v>56</v>
      </c>
      <c r="E7521" t="s">
        <v>20</v>
      </c>
      <c r="F7521" t="s">
        <v>43</v>
      </c>
      <c r="G7521">
        <v>2</v>
      </c>
      <c r="H7521">
        <v>9405.7000000000007</v>
      </c>
      <c r="I7521">
        <v>1419.27</v>
      </c>
      <c r="J7521" t="s">
        <v>71</v>
      </c>
      <c r="K7521" t="s">
        <v>17</v>
      </c>
      <c r="L7521">
        <f t="shared" si="351"/>
        <v>2024</v>
      </c>
      <c r="M7521" t="str">
        <f t="shared" si="352"/>
        <v>Jan</v>
      </c>
      <c r="N7521" s="2">
        <f t="shared" si="353"/>
        <v>0.15089467025314435</v>
      </c>
    </row>
    <row r="7522" spans="1:14" x14ac:dyDescent="0.45">
      <c r="A7522" t="s">
        <v>12676</v>
      </c>
      <c r="B7522" s="1">
        <v>44627</v>
      </c>
      <c r="C7522" t="s">
        <v>4385</v>
      </c>
      <c r="D7522" t="s">
        <v>26</v>
      </c>
      <c r="E7522" t="s">
        <v>36</v>
      </c>
      <c r="F7522" t="s">
        <v>37</v>
      </c>
      <c r="G7522">
        <v>4</v>
      </c>
      <c r="H7522">
        <v>12679.96</v>
      </c>
      <c r="I7522">
        <v>2886.93</v>
      </c>
      <c r="J7522" t="s">
        <v>71</v>
      </c>
      <c r="K7522" t="s">
        <v>17</v>
      </c>
      <c r="L7522">
        <f t="shared" si="351"/>
        <v>2022</v>
      </c>
      <c r="M7522" t="str">
        <f t="shared" si="352"/>
        <v>Mar</v>
      </c>
      <c r="N7522" s="2">
        <f t="shared" si="353"/>
        <v>0.22767658573055435</v>
      </c>
    </row>
    <row r="7523" spans="1:14" x14ac:dyDescent="0.45">
      <c r="A7523" t="s">
        <v>12677</v>
      </c>
      <c r="B7523" s="1">
        <v>45252</v>
      </c>
      <c r="C7523" t="s">
        <v>7053</v>
      </c>
      <c r="D7523" t="s">
        <v>26</v>
      </c>
      <c r="E7523" t="s">
        <v>36</v>
      </c>
      <c r="F7523" t="s">
        <v>64</v>
      </c>
      <c r="G7523">
        <v>4</v>
      </c>
      <c r="H7523">
        <v>42119.59</v>
      </c>
      <c r="I7523">
        <v>2268.89</v>
      </c>
      <c r="J7523" t="s">
        <v>28</v>
      </c>
      <c r="K7523" t="s">
        <v>33</v>
      </c>
      <c r="L7523">
        <f t="shared" si="351"/>
        <v>2023</v>
      </c>
      <c r="M7523" t="str">
        <f t="shared" si="352"/>
        <v>Nov</v>
      </c>
      <c r="N7523" s="2">
        <f t="shared" si="353"/>
        <v>5.3867808304876662E-2</v>
      </c>
    </row>
    <row r="7524" spans="1:14" x14ac:dyDescent="0.45">
      <c r="A7524" t="s">
        <v>12678</v>
      </c>
      <c r="B7524" s="1">
        <v>44615</v>
      </c>
      <c r="C7524" t="s">
        <v>4688</v>
      </c>
      <c r="D7524" t="s">
        <v>26</v>
      </c>
      <c r="E7524" t="s">
        <v>14</v>
      </c>
      <c r="F7524" t="s">
        <v>15</v>
      </c>
      <c r="G7524">
        <v>1</v>
      </c>
      <c r="H7524">
        <v>34696.79</v>
      </c>
      <c r="I7524">
        <v>3239.13</v>
      </c>
      <c r="J7524" t="s">
        <v>22</v>
      </c>
      <c r="K7524" t="s">
        <v>17</v>
      </c>
      <c r="L7524">
        <f t="shared" si="351"/>
        <v>2022</v>
      </c>
      <c r="M7524" t="str">
        <f t="shared" si="352"/>
        <v>Feb</v>
      </c>
      <c r="N7524" s="2">
        <f t="shared" si="353"/>
        <v>9.335532191882881E-2</v>
      </c>
    </row>
    <row r="7525" spans="1:14" x14ac:dyDescent="0.45">
      <c r="A7525" t="s">
        <v>12679</v>
      </c>
      <c r="B7525" s="1">
        <v>44641</v>
      </c>
      <c r="C7525" t="s">
        <v>1244</v>
      </c>
      <c r="D7525" t="s">
        <v>26</v>
      </c>
      <c r="E7525" t="s">
        <v>36</v>
      </c>
      <c r="F7525" t="s">
        <v>64</v>
      </c>
      <c r="G7525">
        <v>4</v>
      </c>
      <c r="H7525">
        <v>36989.46</v>
      </c>
      <c r="I7525">
        <v>5567.2</v>
      </c>
      <c r="J7525" t="s">
        <v>28</v>
      </c>
      <c r="K7525" t="s">
        <v>17</v>
      </c>
      <c r="L7525">
        <f t="shared" si="351"/>
        <v>2022</v>
      </c>
      <c r="M7525" t="str">
        <f t="shared" si="352"/>
        <v>Mar</v>
      </c>
      <c r="N7525" s="2">
        <f t="shared" si="353"/>
        <v>0.15050773923166222</v>
      </c>
    </row>
    <row r="7526" spans="1:14" x14ac:dyDescent="0.45">
      <c r="A7526" t="s">
        <v>12680</v>
      </c>
      <c r="B7526" s="1">
        <v>44599</v>
      </c>
      <c r="C7526" t="s">
        <v>12681</v>
      </c>
      <c r="D7526" t="s">
        <v>13</v>
      </c>
      <c r="E7526" t="s">
        <v>14</v>
      </c>
      <c r="F7526" t="s">
        <v>15</v>
      </c>
      <c r="G7526">
        <v>3</v>
      </c>
      <c r="H7526">
        <v>13336.93</v>
      </c>
      <c r="I7526">
        <v>1372.72</v>
      </c>
      <c r="J7526" t="s">
        <v>16</v>
      </c>
      <c r="K7526" t="s">
        <v>29</v>
      </c>
      <c r="L7526">
        <f t="shared" si="351"/>
        <v>2022</v>
      </c>
      <c r="M7526" t="str">
        <f t="shared" si="352"/>
        <v>Feb</v>
      </c>
      <c r="N7526" s="2">
        <f t="shared" si="353"/>
        <v>0.10292623564793398</v>
      </c>
    </row>
    <row r="7527" spans="1:14" x14ac:dyDescent="0.45">
      <c r="A7527" t="s">
        <v>12682</v>
      </c>
      <c r="B7527" s="1">
        <v>45013</v>
      </c>
      <c r="C7527" t="s">
        <v>1504</v>
      </c>
      <c r="D7527" t="s">
        <v>56</v>
      </c>
      <c r="E7527" t="s">
        <v>14</v>
      </c>
      <c r="F7527" t="s">
        <v>32</v>
      </c>
      <c r="G7527">
        <v>2</v>
      </c>
      <c r="H7527">
        <v>12558.54</v>
      </c>
      <c r="I7527">
        <v>1114.49</v>
      </c>
      <c r="J7527" t="s">
        <v>47</v>
      </c>
      <c r="K7527" t="s">
        <v>33</v>
      </c>
      <c r="L7527">
        <f t="shared" si="351"/>
        <v>2023</v>
      </c>
      <c r="M7527" t="str">
        <f t="shared" si="352"/>
        <v>Mar</v>
      </c>
      <c r="N7527" s="2">
        <f t="shared" si="353"/>
        <v>8.8743595991253754E-2</v>
      </c>
    </row>
    <row r="7528" spans="1:14" x14ac:dyDescent="0.45">
      <c r="A7528" t="s">
        <v>12683</v>
      </c>
      <c r="B7528" s="1">
        <v>45010</v>
      </c>
      <c r="C7528" t="s">
        <v>3228</v>
      </c>
      <c r="D7528" t="s">
        <v>13</v>
      </c>
      <c r="E7528" t="s">
        <v>20</v>
      </c>
      <c r="F7528" t="s">
        <v>43</v>
      </c>
      <c r="G7528">
        <v>4</v>
      </c>
      <c r="H7528">
        <v>35020</v>
      </c>
      <c r="I7528">
        <v>5417.43</v>
      </c>
      <c r="J7528" t="s">
        <v>71</v>
      </c>
      <c r="K7528" t="s">
        <v>17</v>
      </c>
      <c r="L7528">
        <f t="shared" si="351"/>
        <v>2023</v>
      </c>
      <c r="M7528" t="str">
        <f t="shared" si="352"/>
        <v>Mar</v>
      </c>
      <c r="N7528" s="2">
        <f t="shared" si="353"/>
        <v>0.15469531696173616</v>
      </c>
    </row>
    <row r="7529" spans="1:14" x14ac:dyDescent="0.45">
      <c r="A7529" t="s">
        <v>12684</v>
      </c>
      <c r="B7529" s="1">
        <v>44601</v>
      </c>
      <c r="C7529" t="s">
        <v>7469</v>
      </c>
      <c r="D7529" t="s">
        <v>26</v>
      </c>
      <c r="E7529" t="s">
        <v>14</v>
      </c>
      <c r="F7529" t="s">
        <v>32</v>
      </c>
      <c r="G7529">
        <v>1</v>
      </c>
      <c r="H7529">
        <v>47842.67</v>
      </c>
      <c r="I7529">
        <v>11023.59</v>
      </c>
      <c r="J7529" t="s">
        <v>28</v>
      </c>
      <c r="K7529" t="s">
        <v>33</v>
      </c>
      <c r="L7529">
        <f t="shared" si="351"/>
        <v>2022</v>
      </c>
      <c r="M7529" t="str">
        <f t="shared" si="352"/>
        <v>Feb</v>
      </c>
      <c r="N7529" s="2">
        <f t="shared" si="353"/>
        <v>0.23041335276647396</v>
      </c>
    </row>
    <row r="7530" spans="1:14" x14ac:dyDescent="0.45">
      <c r="A7530" t="s">
        <v>12685</v>
      </c>
      <c r="B7530" s="1">
        <v>45279</v>
      </c>
      <c r="C7530" t="s">
        <v>12686</v>
      </c>
      <c r="D7530" t="s">
        <v>13</v>
      </c>
      <c r="E7530" t="s">
        <v>20</v>
      </c>
      <c r="F7530" t="s">
        <v>27</v>
      </c>
      <c r="G7530">
        <v>1</v>
      </c>
      <c r="H7530">
        <v>11172.44</v>
      </c>
      <c r="I7530">
        <v>725.38</v>
      </c>
      <c r="J7530" t="s">
        <v>28</v>
      </c>
      <c r="K7530" t="s">
        <v>17</v>
      </c>
      <c r="L7530">
        <f t="shared" si="351"/>
        <v>2023</v>
      </c>
      <c r="M7530" t="str">
        <f t="shared" si="352"/>
        <v>Dec</v>
      </c>
      <c r="N7530" s="2">
        <f t="shared" si="353"/>
        <v>6.4925835359151626E-2</v>
      </c>
    </row>
    <row r="7531" spans="1:14" x14ac:dyDescent="0.45">
      <c r="A7531" t="s">
        <v>12687</v>
      </c>
      <c r="B7531" s="1">
        <v>45186</v>
      </c>
      <c r="C7531" t="s">
        <v>7421</v>
      </c>
      <c r="D7531" t="s">
        <v>26</v>
      </c>
      <c r="E7531" t="s">
        <v>14</v>
      </c>
      <c r="F7531" t="s">
        <v>15</v>
      </c>
      <c r="G7531">
        <v>3</v>
      </c>
      <c r="H7531">
        <v>27924.57</v>
      </c>
      <c r="I7531">
        <v>2254.34</v>
      </c>
      <c r="J7531" t="s">
        <v>47</v>
      </c>
      <c r="K7531" t="s">
        <v>33</v>
      </c>
      <c r="L7531">
        <f t="shared" si="351"/>
        <v>2023</v>
      </c>
      <c r="M7531" t="str">
        <f t="shared" si="352"/>
        <v>Sep</v>
      </c>
      <c r="N7531" s="2">
        <f t="shared" si="353"/>
        <v>8.0729622694279635E-2</v>
      </c>
    </row>
    <row r="7532" spans="1:14" x14ac:dyDescent="0.45">
      <c r="A7532" t="s">
        <v>12688</v>
      </c>
      <c r="B7532" s="1">
        <v>45357</v>
      </c>
      <c r="C7532" t="s">
        <v>12689</v>
      </c>
      <c r="D7532" t="s">
        <v>13</v>
      </c>
      <c r="E7532" t="s">
        <v>14</v>
      </c>
      <c r="F7532" t="s">
        <v>57</v>
      </c>
      <c r="G7532">
        <v>3</v>
      </c>
      <c r="H7532">
        <v>39072.79</v>
      </c>
      <c r="I7532">
        <v>6266.25</v>
      </c>
      <c r="J7532" t="s">
        <v>47</v>
      </c>
      <c r="K7532" t="s">
        <v>17</v>
      </c>
      <c r="L7532">
        <f t="shared" si="351"/>
        <v>2024</v>
      </c>
      <c r="M7532" t="str">
        <f t="shared" si="352"/>
        <v>Mar</v>
      </c>
      <c r="N7532" s="2">
        <f t="shared" si="353"/>
        <v>0.16037375370430421</v>
      </c>
    </row>
    <row r="7533" spans="1:14" x14ac:dyDescent="0.45">
      <c r="A7533" t="s">
        <v>12690</v>
      </c>
      <c r="B7533" s="1">
        <v>45343</v>
      </c>
      <c r="C7533" t="s">
        <v>5824</v>
      </c>
      <c r="D7533" t="s">
        <v>26</v>
      </c>
      <c r="E7533" t="s">
        <v>20</v>
      </c>
      <c r="F7533" t="s">
        <v>27</v>
      </c>
      <c r="G7533">
        <v>4</v>
      </c>
      <c r="H7533">
        <v>38576.620000000003</v>
      </c>
      <c r="I7533">
        <v>7309.71</v>
      </c>
      <c r="J7533" t="s">
        <v>22</v>
      </c>
      <c r="K7533" t="s">
        <v>17</v>
      </c>
      <c r="L7533">
        <f t="shared" si="351"/>
        <v>2024</v>
      </c>
      <c r="M7533" t="str">
        <f t="shared" si="352"/>
        <v>Feb</v>
      </c>
      <c r="N7533" s="2">
        <f t="shared" si="353"/>
        <v>0.1894854966557464</v>
      </c>
    </row>
    <row r="7534" spans="1:14" x14ac:dyDescent="0.45">
      <c r="A7534" t="s">
        <v>12691</v>
      </c>
      <c r="B7534" s="1">
        <v>45013</v>
      </c>
      <c r="C7534" t="s">
        <v>1876</v>
      </c>
      <c r="D7534" t="s">
        <v>13</v>
      </c>
      <c r="E7534" t="s">
        <v>36</v>
      </c>
      <c r="F7534" t="s">
        <v>53</v>
      </c>
      <c r="G7534">
        <v>4</v>
      </c>
      <c r="H7534">
        <v>8814.42</v>
      </c>
      <c r="I7534">
        <v>968.47</v>
      </c>
      <c r="J7534" t="s">
        <v>22</v>
      </c>
      <c r="K7534" t="s">
        <v>17</v>
      </c>
      <c r="L7534">
        <f t="shared" si="351"/>
        <v>2023</v>
      </c>
      <c r="M7534" t="str">
        <f t="shared" si="352"/>
        <v>Mar</v>
      </c>
      <c r="N7534" s="2">
        <f t="shared" si="353"/>
        <v>0.10987336659700808</v>
      </c>
    </row>
    <row r="7535" spans="1:14" x14ac:dyDescent="0.45">
      <c r="A7535" t="s">
        <v>12692</v>
      </c>
      <c r="B7535" s="1">
        <v>44935</v>
      </c>
      <c r="C7535" t="s">
        <v>12693</v>
      </c>
      <c r="D7535" t="s">
        <v>56</v>
      </c>
      <c r="E7535" t="s">
        <v>20</v>
      </c>
      <c r="F7535" t="s">
        <v>27</v>
      </c>
      <c r="G7535">
        <v>2</v>
      </c>
      <c r="H7535">
        <v>27475.64</v>
      </c>
      <c r="I7535">
        <v>4925.5200000000004</v>
      </c>
      <c r="J7535" t="s">
        <v>47</v>
      </c>
      <c r="K7535" t="s">
        <v>29</v>
      </c>
      <c r="L7535">
        <f t="shared" si="351"/>
        <v>2023</v>
      </c>
      <c r="M7535" t="str">
        <f t="shared" si="352"/>
        <v>Jan</v>
      </c>
      <c r="N7535" s="2">
        <f t="shared" si="353"/>
        <v>0.17926861758270238</v>
      </c>
    </row>
    <row r="7536" spans="1:14" x14ac:dyDescent="0.45">
      <c r="A7536" t="s">
        <v>12694</v>
      </c>
      <c r="B7536" s="1">
        <v>44850</v>
      </c>
      <c r="C7536" t="s">
        <v>12695</v>
      </c>
      <c r="D7536" t="s">
        <v>13</v>
      </c>
      <c r="E7536" t="s">
        <v>20</v>
      </c>
      <c r="F7536" t="s">
        <v>50</v>
      </c>
      <c r="G7536">
        <v>5</v>
      </c>
      <c r="H7536">
        <v>9179.42</v>
      </c>
      <c r="I7536">
        <v>1444.96</v>
      </c>
      <c r="J7536" t="s">
        <v>22</v>
      </c>
      <c r="K7536" t="s">
        <v>17</v>
      </c>
      <c r="L7536">
        <f t="shared" si="351"/>
        <v>2022</v>
      </c>
      <c r="M7536" t="str">
        <f t="shared" si="352"/>
        <v>Oct</v>
      </c>
      <c r="N7536" s="2">
        <f t="shared" si="353"/>
        <v>0.15741299559231411</v>
      </c>
    </row>
    <row r="7537" spans="1:14" x14ac:dyDescent="0.45">
      <c r="A7537" t="s">
        <v>12696</v>
      </c>
      <c r="B7537" s="1">
        <v>44904</v>
      </c>
      <c r="C7537" t="s">
        <v>12697</v>
      </c>
      <c r="D7537" t="s">
        <v>26</v>
      </c>
      <c r="E7537" t="s">
        <v>14</v>
      </c>
      <c r="F7537" t="s">
        <v>57</v>
      </c>
      <c r="G7537">
        <v>4</v>
      </c>
      <c r="H7537">
        <v>24873.35</v>
      </c>
      <c r="I7537">
        <v>6165.38</v>
      </c>
      <c r="J7537" t="s">
        <v>47</v>
      </c>
      <c r="K7537" t="s">
        <v>33</v>
      </c>
      <c r="L7537">
        <f t="shared" si="351"/>
        <v>2022</v>
      </c>
      <c r="M7537" t="str">
        <f t="shared" si="352"/>
        <v>Dec</v>
      </c>
      <c r="N7537" s="2">
        <f t="shared" si="353"/>
        <v>0.24787091405058026</v>
      </c>
    </row>
    <row r="7538" spans="1:14" x14ac:dyDescent="0.45">
      <c r="A7538" t="s">
        <v>12698</v>
      </c>
      <c r="B7538" s="1">
        <v>45050</v>
      </c>
      <c r="C7538" t="s">
        <v>10475</v>
      </c>
      <c r="D7538" t="s">
        <v>13</v>
      </c>
      <c r="E7538" t="s">
        <v>14</v>
      </c>
      <c r="F7538" t="s">
        <v>32</v>
      </c>
      <c r="G7538">
        <v>2</v>
      </c>
      <c r="H7538">
        <v>13613.55</v>
      </c>
      <c r="I7538">
        <v>3317.82</v>
      </c>
      <c r="J7538" t="s">
        <v>47</v>
      </c>
      <c r="K7538" t="s">
        <v>33</v>
      </c>
      <c r="L7538">
        <f t="shared" si="351"/>
        <v>2023</v>
      </c>
      <c r="M7538" t="str">
        <f t="shared" si="352"/>
        <v>May</v>
      </c>
      <c r="N7538" s="2">
        <f t="shared" si="353"/>
        <v>0.24371453441607813</v>
      </c>
    </row>
    <row r="7539" spans="1:14" x14ac:dyDescent="0.45">
      <c r="A7539" t="s">
        <v>12699</v>
      </c>
      <c r="B7539" s="1">
        <v>45269</v>
      </c>
      <c r="C7539" t="s">
        <v>12700</v>
      </c>
      <c r="D7539" t="s">
        <v>26</v>
      </c>
      <c r="E7539" t="s">
        <v>20</v>
      </c>
      <c r="F7539" t="s">
        <v>50</v>
      </c>
      <c r="G7539">
        <v>2</v>
      </c>
      <c r="H7539">
        <v>16131.24</v>
      </c>
      <c r="I7539">
        <v>3215.61</v>
      </c>
      <c r="J7539" t="s">
        <v>47</v>
      </c>
      <c r="K7539" t="s">
        <v>17</v>
      </c>
      <c r="L7539">
        <f t="shared" si="351"/>
        <v>2023</v>
      </c>
      <c r="M7539" t="str">
        <f t="shared" si="352"/>
        <v>Dec</v>
      </c>
      <c r="N7539" s="2">
        <f t="shared" si="353"/>
        <v>0.19934053426766946</v>
      </c>
    </row>
    <row r="7540" spans="1:14" x14ac:dyDescent="0.45">
      <c r="A7540" t="s">
        <v>12701</v>
      </c>
      <c r="B7540" s="1">
        <v>44996</v>
      </c>
      <c r="C7540" t="s">
        <v>12702</v>
      </c>
      <c r="D7540" t="s">
        <v>56</v>
      </c>
      <c r="E7540" t="s">
        <v>14</v>
      </c>
      <c r="F7540" t="s">
        <v>15</v>
      </c>
      <c r="G7540">
        <v>2</v>
      </c>
      <c r="H7540">
        <v>28750.03</v>
      </c>
      <c r="I7540">
        <v>3219.24</v>
      </c>
      <c r="J7540" t="s">
        <v>16</v>
      </c>
      <c r="K7540" t="s">
        <v>33</v>
      </c>
      <c r="L7540">
        <f t="shared" si="351"/>
        <v>2023</v>
      </c>
      <c r="M7540" t="str">
        <f t="shared" si="352"/>
        <v>Mar</v>
      </c>
      <c r="N7540" s="2">
        <f t="shared" si="353"/>
        <v>0.11197344837553212</v>
      </c>
    </row>
    <row r="7541" spans="1:14" x14ac:dyDescent="0.45">
      <c r="A7541" t="s">
        <v>12703</v>
      </c>
      <c r="B7541" s="1">
        <v>45316</v>
      </c>
      <c r="C7541" t="s">
        <v>3561</v>
      </c>
      <c r="D7541" t="s">
        <v>26</v>
      </c>
      <c r="E7541" t="s">
        <v>36</v>
      </c>
      <c r="F7541" t="s">
        <v>37</v>
      </c>
      <c r="G7541">
        <v>4</v>
      </c>
      <c r="H7541">
        <v>41140.28</v>
      </c>
      <c r="I7541">
        <v>5943.58</v>
      </c>
      <c r="J7541" t="s">
        <v>16</v>
      </c>
      <c r="K7541" t="s">
        <v>17</v>
      </c>
      <c r="L7541">
        <f t="shared" si="351"/>
        <v>2024</v>
      </c>
      <c r="M7541" t="str">
        <f t="shared" si="352"/>
        <v>Jan</v>
      </c>
      <c r="N7541" s="2">
        <f t="shared" si="353"/>
        <v>0.14447106339577659</v>
      </c>
    </row>
    <row r="7542" spans="1:14" x14ac:dyDescent="0.45">
      <c r="A7542" t="s">
        <v>12704</v>
      </c>
      <c r="B7542" s="1">
        <v>44585</v>
      </c>
      <c r="C7542" t="s">
        <v>7483</v>
      </c>
      <c r="D7542" t="s">
        <v>26</v>
      </c>
      <c r="E7542" t="s">
        <v>14</v>
      </c>
      <c r="F7542" t="s">
        <v>15</v>
      </c>
      <c r="G7542">
        <v>1</v>
      </c>
      <c r="H7542">
        <v>31184.19</v>
      </c>
      <c r="I7542">
        <v>5282.15</v>
      </c>
      <c r="J7542" t="s">
        <v>71</v>
      </c>
      <c r="K7542" t="s">
        <v>29</v>
      </c>
      <c r="L7542">
        <f t="shared" si="351"/>
        <v>2022</v>
      </c>
      <c r="M7542" t="str">
        <f t="shared" si="352"/>
        <v>Jan</v>
      </c>
      <c r="N7542" s="2">
        <f t="shared" si="353"/>
        <v>0.16938551233814314</v>
      </c>
    </row>
    <row r="7543" spans="1:14" x14ac:dyDescent="0.45">
      <c r="A7543" t="s">
        <v>12705</v>
      </c>
      <c r="B7543" s="1">
        <v>44899</v>
      </c>
      <c r="C7543" t="s">
        <v>1188</v>
      </c>
      <c r="D7543" t="s">
        <v>26</v>
      </c>
      <c r="E7543" t="s">
        <v>36</v>
      </c>
      <c r="F7543" t="s">
        <v>46</v>
      </c>
      <c r="G7543">
        <v>3</v>
      </c>
      <c r="H7543">
        <v>23323.73</v>
      </c>
      <c r="I7543">
        <v>3133.06</v>
      </c>
      <c r="J7543" t="s">
        <v>71</v>
      </c>
      <c r="K7543" t="s">
        <v>29</v>
      </c>
      <c r="L7543">
        <f t="shared" si="351"/>
        <v>2022</v>
      </c>
      <c r="M7543" t="str">
        <f t="shared" si="352"/>
        <v>Dec</v>
      </c>
      <c r="N7543" s="2">
        <f t="shared" si="353"/>
        <v>0.13432928609617759</v>
      </c>
    </row>
    <row r="7544" spans="1:14" x14ac:dyDescent="0.45">
      <c r="A7544" t="s">
        <v>12706</v>
      </c>
      <c r="B7544" s="1">
        <v>44835</v>
      </c>
      <c r="C7544" t="s">
        <v>12707</v>
      </c>
      <c r="D7544" t="s">
        <v>56</v>
      </c>
      <c r="E7544" t="s">
        <v>20</v>
      </c>
      <c r="F7544" t="s">
        <v>50</v>
      </c>
      <c r="G7544">
        <v>3</v>
      </c>
      <c r="H7544">
        <v>34883.08</v>
      </c>
      <c r="I7544">
        <v>7730.15</v>
      </c>
      <c r="J7544" t="s">
        <v>71</v>
      </c>
      <c r="K7544" t="s">
        <v>29</v>
      </c>
      <c r="L7544">
        <f t="shared" si="351"/>
        <v>2022</v>
      </c>
      <c r="M7544" t="str">
        <f t="shared" si="352"/>
        <v>Oct</v>
      </c>
      <c r="N7544" s="2">
        <f t="shared" si="353"/>
        <v>0.22160170489532457</v>
      </c>
    </row>
    <row r="7545" spans="1:14" x14ac:dyDescent="0.45">
      <c r="A7545" t="s">
        <v>12708</v>
      </c>
      <c r="B7545" s="1">
        <v>44741</v>
      </c>
      <c r="C7545" t="s">
        <v>4468</v>
      </c>
      <c r="D7545" t="s">
        <v>56</v>
      </c>
      <c r="E7545" t="s">
        <v>20</v>
      </c>
      <c r="F7545" t="s">
        <v>50</v>
      </c>
      <c r="G7545">
        <v>2</v>
      </c>
      <c r="H7545">
        <v>6198.32</v>
      </c>
      <c r="I7545">
        <v>993.79</v>
      </c>
      <c r="J7545" t="s">
        <v>28</v>
      </c>
      <c r="K7545" t="s">
        <v>23</v>
      </c>
      <c r="L7545">
        <f t="shared" si="351"/>
        <v>2022</v>
      </c>
      <c r="M7545" t="str">
        <f t="shared" si="352"/>
        <v>Jun</v>
      </c>
      <c r="N7545" s="2">
        <f t="shared" si="353"/>
        <v>0.16033215451928909</v>
      </c>
    </row>
    <row r="7546" spans="1:14" x14ac:dyDescent="0.45">
      <c r="A7546" t="s">
        <v>12709</v>
      </c>
      <c r="B7546" s="1">
        <v>45517</v>
      </c>
      <c r="C7546" t="s">
        <v>4105</v>
      </c>
      <c r="D7546" t="s">
        <v>56</v>
      </c>
      <c r="E7546" t="s">
        <v>14</v>
      </c>
      <c r="F7546" t="s">
        <v>40</v>
      </c>
      <c r="G7546">
        <v>2</v>
      </c>
      <c r="H7546">
        <v>35455.050000000003</v>
      </c>
      <c r="I7546">
        <v>4024.08</v>
      </c>
      <c r="J7546" t="s">
        <v>16</v>
      </c>
      <c r="K7546" t="s">
        <v>23</v>
      </c>
      <c r="L7546">
        <f t="shared" si="351"/>
        <v>2024</v>
      </c>
      <c r="M7546" t="str">
        <f t="shared" si="352"/>
        <v>Aug</v>
      </c>
      <c r="N7546" s="2">
        <f t="shared" si="353"/>
        <v>0.11349807714274834</v>
      </c>
    </row>
    <row r="7547" spans="1:14" x14ac:dyDescent="0.45">
      <c r="A7547" t="s">
        <v>12710</v>
      </c>
      <c r="B7547" s="1">
        <v>44596</v>
      </c>
      <c r="C7547" t="s">
        <v>12711</v>
      </c>
      <c r="D7547" t="s">
        <v>26</v>
      </c>
      <c r="E7547" t="s">
        <v>14</v>
      </c>
      <c r="F7547" t="s">
        <v>15</v>
      </c>
      <c r="G7547">
        <v>5</v>
      </c>
      <c r="H7547">
        <v>41035.019999999997</v>
      </c>
      <c r="I7547">
        <v>8582.24</v>
      </c>
      <c r="J7547" t="s">
        <v>28</v>
      </c>
      <c r="K7547" t="s">
        <v>17</v>
      </c>
      <c r="L7547">
        <f t="shared" si="351"/>
        <v>2022</v>
      </c>
      <c r="M7547" t="str">
        <f t="shared" si="352"/>
        <v>Feb</v>
      </c>
      <c r="N7547" s="2">
        <f t="shared" si="353"/>
        <v>0.20914428700168783</v>
      </c>
    </row>
    <row r="7548" spans="1:14" x14ac:dyDescent="0.45">
      <c r="A7548" t="s">
        <v>12712</v>
      </c>
      <c r="B7548" s="1">
        <v>45020</v>
      </c>
      <c r="C7548" t="s">
        <v>1234</v>
      </c>
      <c r="D7548" t="s">
        <v>26</v>
      </c>
      <c r="E7548" t="s">
        <v>14</v>
      </c>
      <c r="F7548" t="s">
        <v>15</v>
      </c>
      <c r="G7548">
        <v>2</v>
      </c>
      <c r="H7548">
        <v>27133.68</v>
      </c>
      <c r="I7548">
        <v>4367.41</v>
      </c>
      <c r="J7548" t="s">
        <v>47</v>
      </c>
      <c r="K7548" t="s">
        <v>33</v>
      </c>
      <c r="L7548">
        <f t="shared" si="351"/>
        <v>2023</v>
      </c>
      <c r="M7548" t="str">
        <f t="shared" si="352"/>
        <v>Apr</v>
      </c>
      <c r="N7548" s="2">
        <f t="shared" si="353"/>
        <v>0.16095900003243202</v>
      </c>
    </row>
    <row r="7549" spans="1:14" x14ac:dyDescent="0.45">
      <c r="A7549" t="s">
        <v>12713</v>
      </c>
      <c r="B7549" s="1">
        <v>45009</v>
      </c>
      <c r="C7549" t="s">
        <v>806</v>
      </c>
      <c r="D7549" t="s">
        <v>13</v>
      </c>
      <c r="E7549" t="s">
        <v>36</v>
      </c>
      <c r="F7549" t="s">
        <v>37</v>
      </c>
      <c r="G7549">
        <v>3</v>
      </c>
      <c r="H7549">
        <v>15598.96</v>
      </c>
      <c r="I7549">
        <v>2599.42</v>
      </c>
      <c r="J7549" t="s">
        <v>22</v>
      </c>
      <c r="K7549" t="s">
        <v>17</v>
      </c>
      <c r="L7549">
        <f t="shared" si="351"/>
        <v>2023</v>
      </c>
      <c r="M7549" t="str">
        <f t="shared" si="352"/>
        <v>Mar</v>
      </c>
      <c r="N7549" s="2">
        <f t="shared" si="353"/>
        <v>0.1666405965525907</v>
      </c>
    </row>
    <row r="7550" spans="1:14" x14ac:dyDescent="0.45">
      <c r="A7550" t="s">
        <v>12714</v>
      </c>
      <c r="B7550" s="1">
        <v>44974</v>
      </c>
      <c r="C7550" t="s">
        <v>909</v>
      </c>
      <c r="D7550" t="s">
        <v>26</v>
      </c>
      <c r="E7550" t="s">
        <v>14</v>
      </c>
      <c r="F7550" t="s">
        <v>40</v>
      </c>
      <c r="G7550">
        <v>3</v>
      </c>
      <c r="H7550">
        <v>33580.74</v>
      </c>
      <c r="I7550">
        <v>7975.84</v>
      </c>
      <c r="J7550" t="s">
        <v>28</v>
      </c>
      <c r="K7550" t="s">
        <v>29</v>
      </c>
      <c r="L7550">
        <f t="shared" si="351"/>
        <v>2023</v>
      </c>
      <c r="M7550" t="str">
        <f t="shared" si="352"/>
        <v>Feb</v>
      </c>
      <c r="N7550" s="2">
        <f t="shared" si="353"/>
        <v>0.23751233594018478</v>
      </c>
    </row>
    <row r="7551" spans="1:14" x14ac:dyDescent="0.45">
      <c r="A7551" t="s">
        <v>12715</v>
      </c>
      <c r="B7551" s="1">
        <v>44837</v>
      </c>
      <c r="C7551" t="s">
        <v>9775</v>
      </c>
      <c r="D7551" t="s">
        <v>56</v>
      </c>
      <c r="E7551" t="s">
        <v>20</v>
      </c>
      <c r="F7551" t="s">
        <v>21</v>
      </c>
      <c r="G7551">
        <v>2</v>
      </c>
      <c r="H7551">
        <v>8596.68</v>
      </c>
      <c r="I7551">
        <v>480.02</v>
      </c>
      <c r="J7551" t="s">
        <v>28</v>
      </c>
      <c r="K7551" t="s">
        <v>23</v>
      </c>
      <c r="L7551">
        <f t="shared" si="351"/>
        <v>2022</v>
      </c>
      <c r="M7551" t="str">
        <f t="shared" si="352"/>
        <v>Oct</v>
      </c>
      <c r="N7551" s="2">
        <f t="shared" si="353"/>
        <v>5.5837835071213537E-2</v>
      </c>
    </row>
    <row r="7552" spans="1:14" x14ac:dyDescent="0.45">
      <c r="A7552" t="s">
        <v>12716</v>
      </c>
      <c r="B7552" s="1">
        <v>45049</v>
      </c>
      <c r="C7552" t="s">
        <v>9182</v>
      </c>
      <c r="D7552" t="s">
        <v>13</v>
      </c>
      <c r="E7552" t="s">
        <v>36</v>
      </c>
      <c r="F7552" t="s">
        <v>46</v>
      </c>
      <c r="G7552">
        <v>1</v>
      </c>
      <c r="H7552">
        <v>49907.19</v>
      </c>
      <c r="I7552">
        <v>4262.41</v>
      </c>
      <c r="J7552" t="s">
        <v>47</v>
      </c>
      <c r="K7552" t="s">
        <v>29</v>
      </c>
      <c r="L7552">
        <f t="shared" si="351"/>
        <v>2023</v>
      </c>
      <c r="M7552" t="str">
        <f t="shared" si="352"/>
        <v>May</v>
      </c>
      <c r="N7552" s="2">
        <f t="shared" si="353"/>
        <v>8.5406731975893643E-2</v>
      </c>
    </row>
    <row r="7553" spans="1:14" x14ac:dyDescent="0.45">
      <c r="A7553" t="s">
        <v>12717</v>
      </c>
      <c r="B7553" s="1">
        <v>44608</v>
      </c>
      <c r="C7553" t="s">
        <v>12718</v>
      </c>
      <c r="D7553" t="s">
        <v>56</v>
      </c>
      <c r="E7553" t="s">
        <v>14</v>
      </c>
      <c r="F7553" t="s">
        <v>40</v>
      </c>
      <c r="G7553">
        <v>5</v>
      </c>
      <c r="H7553">
        <v>28110.07</v>
      </c>
      <c r="I7553">
        <v>6425.42</v>
      </c>
      <c r="J7553" t="s">
        <v>28</v>
      </c>
      <c r="K7553" t="s">
        <v>33</v>
      </c>
      <c r="L7553">
        <f t="shared" si="351"/>
        <v>2022</v>
      </c>
      <c r="M7553" t="str">
        <f t="shared" si="352"/>
        <v>Feb</v>
      </c>
      <c r="N7553" s="2">
        <f t="shared" si="353"/>
        <v>0.22858071858234433</v>
      </c>
    </row>
    <row r="7554" spans="1:14" x14ac:dyDescent="0.45">
      <c r="A7554" t="s">
        <v>12719</v>
      </c>
      <c r="B7554" s="1">
        <v>44742</v>
      </c>
      <c r="C7554" t="s">
        <v>12720</v>
      </c>
      <c r="D7554" t="s">
        <v>13</v>
      </c>
      <c r="E7554" t="s">
        <v>20</v>
      </c>
      <c r="F7554" t="s">
        <v>21</v>
      </c>
      <c r="G7554">
        <v>2</v>
      </c>
      <c r="H7554">
        <v>31501.57</v>
      </c>
      <c r="I7554">
        <v>1824.86</v>
      </c>
      <c r="J7554" t="s">
        <v>28</v>
      </c>
      <c r="K7554" t="s">
        <v>23</v>
      </c>
      <c r="L7554">
        <f t="shared" si="351"/>
        <v>2022</v>
      </c>
      <c r="M7554" t="str">
        <f t="shared" si="352"/>
        <v>Jun</v>
      </c>
      <c r="N7554" s="2">
        <f t="shared" si="353"/>
        <v>5.7929176228359407E-2</v>
      </c>
    </row>
    <row r="7555" spans="1:14" x14ac:dyDescent="0.45">
      <c r="A7555" t="s">
        <v>12721</v>
      </c>
      <c r="B7555" s="1">
        <v>44811</v>
      </c>
      <c r="C7555" t="s">
        <v>5594</v>
      </c>
      <c r="D7555" t="s">
        <v>26</v>
      </c>
      <c r="E7555" t="s">
        <v>20</v>
      </c>
      <c r="F7555" t="s">
        <v>50</v>
      </c>
      <c r="G7555">
        <v>1</v>
      </c>
      <c r="H7555">
        <v>42780.52</v>
      </c>
      <c r="I7555">
        <v>8689.61</v>
      </c>
      <c r="J7555" t="s">
        <v>16</v>
      </c>
      <c r="K7555" t="s">
        <v>23</v>
      </c>
      <c r="L7555">
        <f t="shared" ref="L7555:L7618" si="354">YEAR(B7555 )</f>
        <v>2022</v>
      </c>
      <c r="M7555" t="str">
        <f t="shared" ref="M7555:M7618" si="355">TEXT(B7555,"MMM")</f>
        <v>Sep</v>
      </c>
      <c r="N7555" s="2">
        <f t="shared" ref="N7555:N7618" si="356">I7555 / H7555</f>
        <v>0.20312071943024537</v>
      </c>
    </row>
    <row r="7556" spans="1:14" x14ac:dyDescent="0.45">
      <c r="A7556" t="s">
        <v>12722</v>
      </c>
      <c r="B7556" s="1">
        <v>44830</v>
      </c>
      <c r="C7556" t="s">
        <v>12723</v>
      </c>
      <c r="D7556" t="s">
        <v>13</v>
      </c>
      <c r="E7556" t="s">
        <v>14</v>
      </c>
      <c r="F7556" t="s">
        <v>57</v>
      </c>
      <c r="G7556">
        <v>3</v>
      </c>
      <c r="H7556">
        <v>4296.71</v>
      </c>
      <c r="I7556">
        <v>582.79999999999995</v>
      </c>
      <c r="J7556" t="s">
        <v>71</v>
      </c>
      <c r="K7556" t="s">
        <v>33</v>
      </c>
      <c r="L7556">
        <f t="shared" si="354"/>
        <v>2022</v>
      </c>
      <c r="M7556" t="str">
        <f t="shared" si="355"/>
        <v>Sep</v>
      </c>
      <c r="N7556" s="2">
        <f t="shared" si="356"/>
        <v>0.13563866307011643</v>
      </c>
    </row>
    <row r="7557" spans="1:14" x14ac:dyDescent="0.45">
      <c r="A7557" t="s">
        <v>12724</v>
      </c>
      <c r="B7557" s="1">
        <v>44563</v>
      </c>
      <c r="C7557" t="s">
        <v>5087</v>
      </c>
      <c r="D7557" t="s">
        <v>56</v>
      </c>
      <c r="E7557" t="s">
        <v>20</v>
      </c>
      <c r="F7557" t="s">
        <v>27</v>
      </c>
      <c r="G7557">
        <v>4</v>
      </c>
      <c r="H7557">
        <v>10266.219999999999</v>
      </c>
      <c r="I7557">
        <v>1245.46</v>
      </c>
      <c r="J7557" t="s">
        <v>16</v>
      </c>
      <c r="K7557" t="s">
        <v>33</v>
      </c>
      <c r="L7557">
        <f t="shared" si="354"/>
        <v>2022</v>
      </c>
      <c r="M7557" t="str">
        <f t="shared" si="355"/>
        <v>Jan</v>
      </c>
      <c r="N7557" s="2">
        <f t="shared" si="356"/>
        <v>0.12131631700859714</v>
      </c>
    </row>
    <row r="7558" spans="1:14" x14ac:dyDescent="0.45">
      <c r="A7558" t="s">
        <v>12725</v>
      </c>
      <c r="B7558" s="1">
        <v>45435</v>
      </c>
      <c r="C7558" t="s">
        <v>2081</v>
      </c>
      <c r="D7558" t="s">
        <v>56</v>
      </c>
      <c r="E7558" t="s">
        <v>14</v>
      </c>
      <c r="F7558" t="s">
        <v>57</v>
      </c>
      <c r="G7558">
        <v>2</v>
      </c>
      <c r="H7558">
        <v>34786.68</v>
      </c>
      <c r="I7558">
        <v>2989.24</v>
      </c>
      <c r="J7558" t="s">
        <v>47</v>
      </c>
      <c r="K7558" t="s">
        <v>17</v>
      </c>
      <c r="L7558">
        <f t="shared" si="354"/>
        <v>2024</v>
      </c>
      <c r="M7558" t="str">
        <f t="shared" si="355"/>
        <v>May</v>
      </c>
      <c r="N7558" s="2">
        <f t="shared" si="356"/>
        <v>8.5930591824226965E-2</v>
      </c>
    </row>
    <row r="7559" spans="1:14" x14ac:dyDescent="0.45">
      <c r="A7559" t="s">
        <v>12726</v>
      </c>
      <c r="B7559" s="1">
        <v>44994</v>
      </c>
      <c r="C7559" t="s">
        <v>7971</v>
      </c>
      <c r="D7559" t="s">
        <v>13</v>
      </c>
      <c r="E7559" t="s">
        <v>14</v>
      </c>
      <c r="F7559" t="s">
        <v>15</v>
      </c>
      <c r="G7559">
        <v>5</v>
      </c>
      <c r="H7559">
        <v>47272.91</v>
      </c>
      <c r="I7559">
        <v>4927.5600000000004</v>
      </c>
      <c r="J7559" t="s">
        <v>71</v>
      </c>
      <c r="K7559" t="s">
        <v>29</v>
      </c>
      <c r="L7559">
        <f t="shared" si="354"/>
        <v>2023</v>
      </c>
      <c r="M7559" t="str">
        <f t="shared" si="355"/>
        <v>Mar</v>
      </c>
      <c r="N7559" s="2">
        <f t="shared" si="356"/>
        <v>0.1042364432399021</v>
      </c>
    </row>
    <row r="7560" spans="1:14" x14ac:dyDescent="0.45">
      <c r="A7560" t="s">
        <v>12727</v>
      </c>
      <c r="B7560" s="1">
        <v>44799</v>
      </c>
      <c r="C7560" t="s">
        <v>361</v>
      </c>
      <c r="D7560" t="s">
        <v>26</v>
      </c>
      <c r="E7560" t="s">
        <v>14</v>
      </c>
      <c r="F7560" t="s">
        <v>15</v>
      </c>
      <c r="G7560">
        <v>5</v>
      </c>
      <c r="H7560">
        <v>47341.42</v>
      </c>
      <c r="I7560">
        <v>4116.32</v>
      </c>
      <c r="J7560" t="s">
        <v>28</v>
      </c>
      <c r="K7560" t="s">
        <v>33</v>
      </c>
      <c r="L7560">
        <f t="shared" si="354"/>
        <v>2022</v>
      </c>
      <c r="M7560" t="str">
        <f t="shared" si="355"/>
        <v>Aug</v>
      </c>
      <c r="N7560" s="2">
        <f t="shared" si="356"/>
        <v>8.6949652122813387E-2</v>
      </c>
    </row>
    <row r="7561" spans="1:14" x14ac:dyDescent="0.45">
      <c r="A7561" t="s">
        <v>12728</v>
      </c>
      <c r="B7561" s="1">
        <v>45534</v>
      </c>
      <c r="C7561" t="s">
        <v>5439</v>
      </c>
      <c r="D7561" t="s">
        <v>13</v>
      </c>
      <c r="E7561" t="s">
        <v>20</v>
      </c>
      <c r="F7561" t="s">
        <v>43</v>
      </c>
      <c r="G7561">
        <v>1</v>
      </c>
      <c r="H7561">
        <v>48441.07</v>
      </c>
      <c r="I7561">
        <v>11149.35</v>
      </c>
      <c r="J7561" t="s">
        <v>22</v>
      </c>
      <c r="K7561" t="s">
        <v>33</v>
      </c>
      <c r="L7561">
        <f t="shared" si="354"/>
        <v>2024</v>
      </c>
      <c r="M7561" t="str">
        <f t="shared" si="355"/>
        <v>Aug</v>
      </c>
      <c r="N7561" s="2">
        <f t="shared" si="356"/>
        <v>0.23016316526451625</v>
      </c>
    </row>
    <row r="7562" spans="1:14" x14ac:dyDescent="0.45">
      <c r="A7562" t="s">
        <v>12729</v>
      </c>
      <c r="B7562" s="1">
        <v>44971</v>
      </c>
      <c r="C7562" t="s">
        <v>369</v>
      </c>
      <c r="D7562" t="s">
        <v>13</v>
      </c>
      <c r="E7562" t="s">
        <v>20</v>
      </c>
      <c r="F7562" t="s">
        <v>43</v>
      </c>
      <c r="G7562">
        <v>5</v>
      </c>
      <c r="H7562">
        <v>35172.99</v>
      </c>
      <c r="I7562">
        <v>6996.66</v>
      </c>
      <c r="J7562" t="s">
        <v>16</v>
      </c>
      <c r="K7562" t="s">
        <v>29</v>
      </c>
      <c r="L7562">
        <f t="shared" si="354"/>
        <v>2023</v>
      </c>
      <c r="M7562" t="str">
        <f t="shared" si="355"/>
        <v>Feb</v>
      </c>
      <c r="N7562" s="2">
        <f t="shared" si="356"/>
        <v>0.19892138825843353</v>
      </c>
    </row>
    <row r="7563" spans="1:14" x14ac:dyDescent="0.45">
      <c r="A7563" t="s">
        <v>12730</v>
      </c>
      <c r="B7563" s="1">
        <v>45352</v>
      </c>
      <c r="C7563" t="s">
        <v>4173</v>
      </c>
      <c r="D7563" t="s">
        <v>56</v>
      </c>
      <c r="E7563" t="s">
        <v>20</v>
      </c>
      <c r="F7563" t="s">
        <v>21</v>
      </c>
      <c r="G7563">
        <v>2</v>
      </c>
      <c r="H7563">
        <v>40912.339999999997</v>
      </c>
      <c r="I7563">
        <v>3047.07</v>
      </c>
      <c r="J7563" t="s">
        <v>47</v>
      </c>
      <c r="K7563" t="s">
        <v>29</v>
      </c>
      <c r="L7563">
        <f t="shared" si="354"/>
        <v>2024</v>
      </c>
      <c r="M7563" t="str">
        <f t="shared" si="355"/>
        <v>Mar</v>
      </c>
      <c r="N7563" s="2">
        <f t="shared" si="356"/>
        <v>7.4478018123627254E-2</v>
      </c>
    </row>
    <row r="7564" spans="1:14" x14ac:dyDescent="0.45">
      <c r="A7564" t="s">
        <v>12731</v>
      </c>
      <c r="B7564" s="1">
        <v>45003</v>
      </c>
      <c r="C7564" t="s">
        <v>12732</v>
      </c>
      <c r="D7564" t="s">
        <v>13</v>
      </c>
      <c r="E7564" t="s">
        <v>20</v>
      </c>
      <c r="F7564" t="s">
        <v>50</v>
      </c>
      <c r="G7564">
        <v>1</v>
      </c>
      <c r="H7564">
        <v>11125.34</v>
      </c>
      <c r="I7564">
        <v>608.53</v>
      </c>
      <c r="J7564" t="s">
        <v>47</v>
      </c>
      <c r="K7564" t="s">
        <v>17</v>
      </c>
      <c r="L7564">
        <f t="shared" si="354"/>
        <v>2023</v>
      </c>
      <c r="M7564" t="str">
        <f t="shared" si="355"/>
        <v>Mar</v>
      </c>
      <c r="N7564" s="2">
        <f t="shared" si="356"/>
        <v>5.4697654184051897E-2</v>
      </c>
    </row>
    <row r="7565" spans="1:14" x14ac:dyDescent="0.45">
      <c r="A7565" t="s">
        <v>12733</v>
      </c>
      <c r="B7565" s="1">
        <v>44599</v>
      </c>
      <c r="C7565" t="s">
        <v>12734</v>
      </c>
      <c r="D7565" t="s">
        <v>56</v>
      </c>
      <c r="E7565" t="s">
        <v>36</v>
      </c>
      <c r="F7565" t="s">
        <v>37</v>
      </c>
      <c r="G7565">
        <v>5</v>
      </c>
      <c r="H7565">
        <v>42807.38</v>
      </c>
      <c r="I7565">
        <v>5212.9399999999996</v>
      </c>
      <c r="J7565" t="s">
        <v>22</v>
      </c>
      <c r="K7565" t="s">
        <v>17</v>
      </c>
      <c r="L7565">
        <f t="shared" si="354"/>
        <v>2022</v>
      </c>
      <c r="M7565" t="str">
        <f t="shared" si="355"/>
        <v>Feb</v>
      </c>
      <c r="N7565" s="2">
        <f t="shared" si="356"/>
        <v>0.12177666561233133</v>
      </c>
    </row>
    <row r="7566" spans="1:14" x14ac:dyDescent="0.45">
      <c r="A7566" t="s">
        <v>12735</v>
      </c>
      <c r="B7566" s="1">
        <v>45158</v>
      </c>
      <c r="C7566" t="s">
        <v>12736</v>
      </c>
      <c r="D7566" t="s">
        <v>26</v>
      </c>
      <c r="E7566" t="s">
        <v>14</v>
      </c>
      <c r="F7566" t="s">
        <v>40</v>
      </c>
      <c r="G7566">
        <v>2</v>
      </c>
      <c r="H7566">
        <v>38707.85</v>
      </c>
      <c r="I7566">
        <v>2338.56</v>
      </c>
      <c r="J7566" t="s">
        <v>16</v>
      </c>
      <c r="K7566" t="s">
        <v>17</v>
      </c>
      <c r="L7566">
        <f t="shared" si="354"/>
        <v>2023</v>
      </c>
      <c r="M7566" t="str">
        <f t="shared" si="355"/>
        <v>Aug</v>
      </c>
      <c r="N7566" s="2">
        <f t="shared" si="356"/>
        <v>6.0415652122243937E-2</v>
      </c>
    </row>
    <row r="7567" spans="1:14" x14ac:dyDescent="0.45">
      <c r="A7567" t="s">
        <v>12737</v>
      </c>
      <c r="B7567" s="1">
        <v>45101</v>
      </c>
      <c r="C7567" t="s">
        <v>12738</v>
      </c>
      <c r="D7567" t="s">
        <v>13</v>
      </c>
      <c r="E7567" t="s">
        <v>14</v>
      </c>
      <c r="F7567" t="s">
        <v>40</v>
      </c>
      <c r="G7567">
        <v>1</v>
      </c>
      <c r="H7567">
        <v>30347.7</v>
      </c>
      <c r="I7567">
        <v>2308.11</v>
      </c>
      <c r="J7567" t="s">
        <v>28</v>
      </c>
      <c r="K7567" t="s">
        <v>29</v>
      </c>
      <c r="L7567">
        <f t="shared" si="354"/>
        <v>2023</v>
      </c>
      <c r="M7567" t="str">
        <f t="shared" si="355"/>
        <v>Jun</v>
      </c>
      <c r="N7567" s="2">
        <f t="shared" si="356"/>
        <v>7.6055516563034428E-2</v>
      </c>
    </row>
    <row r="7568" spans="1:14" x14ac:dyDescent="0.45">
      <c r="A7568" t="s">
        <v>12739</v>
      </c>
      <c r="B7568" s="1">
        <v>44606</v>
      </c>
      <c r="C7568" t="s">
        <v>12740</v>
      </c>
      <c r="D7568" t="s">
        <v>26</v>
      </c>
      <c r="E7568" t="s">
        <v>14</v>
      </c>
      <c r="F7568" t="s">
        <v>40</v>
      </c>
      <c r="G7568">
        <v>3</v>
      </c>
      <c r="H7568">
        <v>46756.26</v>
      </c>
      <c r="I7568">
        <v>4079.42</v>
      </c>
      <c r="J7568" t="s">
        <v>47</v>
      </c>
      <c r="K7568" t="s">
        <v>29</v>
      </c>
      <c r="L7568">
        <f t="shared" si="354"/>
        <v>2022</v>
      </c>
      <c r="M7568" t="str">
        <f t="shared" si="355"/>
        <v>Feb</v>
      </c>
      <c r="N7568" s="2">
        <f t="shared" si="356"/>
        <v>8.7248637936396103E-2</v>
      </c>
    </row>
    <row r="7569" spans="1:14" x14ac:dyDescent="0.45">
      <c r="A7569" t="s">
        <v>12741</v>
      </c>
      <c r="B7569" s="1">
        <v>45188</v>
      </c>
      <c r="C7569" t="s">
        <v>11274</v>
      </c>
      <c r="D7569" t="s">
        <v>56</v>
      </c>
      <c r="E7569" t="s">
        <v>14</v>
      </c>
      <c r="F7569" t="s">
        <v>40</v>
      </c>
      <c r="G7569">
        <v>2</v>
      </c>
      <c r="H7569">
        <v>26178.61</v>
      </c>
      <c r="I7569">
        <v>5329.74</v>
      </c>
      <c r="J7569" t="s">
        <v>47</v>
      </c>
      <c r="K7569" t="s">
        <v>33</v>
      </c>
      <c r="L7569">
        <f t="shared" si="354"/>
        <v>2023</v>
      </c>
      <c r="M7569" t="str">
        <f t="shared" si="355"/>
        <v>Sep</v>
      </c>
      <c r="N7569" s="2">
        <f t="shared" si="356"/>
        <v>0.20359140534963466</v>
      </c>
    </row>
    <row r="7570" spans="1:14" x14ac:dyDescent="0.45">
      <c r="A7570" t="s">
        <v>12742</v>
      </c>
      <c r="B7570" s="1">
        <v>45502</v>
      </c>
      <c r="C7570" t="s">
        <v>12743</v>
      </c>
      <c r="D7570" t="s">
        <v>26</v>
      </c>
      <c r="E7570" t="s">
        <v>14</v>
      </c>
      <c r="F7570" t="s">
        <v>57</v>
      </c>
      <c r="G7570">
        <v>5</v>
      </c>
      <c r="H7570">
        <v>33329.1</v>
      </c>
      <c r="I7570">
        <v>5166.0200000000004</v>
      </c>
      <c r="J7570" t="s">
        <v>22</v>
      </c>
      <c r="K7570" t="s">
        <v>33</v>
      </c>
      <c r="L7570">
        <f t="shared" si="354"/>
        <v>2024</v>
      </c>
      <c r="M7570" t="str">
        <f t="shared" si="355"/>
        <v>Jul</v>
      </c>
      <c r="N7570" s="2">
        <f t="shared" si="356"/>
        <v>0.15500028503619961</v>
      </c>
    </row>
    <row r="7571" spans="1:14" x14ac:dyDescent="0.45">
      <c r="A7571" t="s">
        <v>12744</v>
      </c>
      <c r="B7571" s="1">
        <v>45354</v>
      </c>
      <c r="C7571" t="s">
        <v>2101</v>
      </c>
      <c r="D7571" t="s">
        <v>13</v>
      </c>
      <c r="E7571" t="s">
        <v>20</v>
      </c>
      <c r="F7571" t="s">
        <v>21</v>
      </c>
      <c r="G7571">
        <v>3</v>
      </c>
      <c r="H7571">
        <v>14889.02</v>
      </c>
      <c r="I7571">
        <v>1278.6199999999999</v>
      </c>
      <c r="J7571" t="s">
        <v>47</v>
      </c>
      <c r="K7571" t="s">
        <v>33</v>
      </c>
      <c r="L7571">
        <f t="shared" si="354"/>
        <v>2024</v>
      </c>
      <c r="M7571" t="str">
        <f t="shared" si="355"/>
        <v>Mar</v>
      </c>
      <c r="N7571" s="2">
        <f t="shared" si="356"/>
        <v>8.5876706458853563E-2</v>
      </c>
    </row>
    <row r="7572" spans="1:14" x14ac:dyDescent="0.45">
      <c r="A7572" t="s">
        <v>12745</v>
      </c>
      <c r="B7572" s="1">
        <v>45016</v>
      </c>
      <c r="C7572" t="s">
        <v>7866</v>
      </c>
      <c r="D7572" t="s">
        <v>13</v>
      </c>
      <c r="E7572" t="s">
        <v>14</v>
      </c>
      <c r="F7572" t="s">
        <v>40</v>
      </c>
      <c r="G7572">
        <v>4</v>
      </c>
      <c r="H7572">
        <v>41640.03</v>
      </c>
      <c r="I7572">
        <v>5614.08</v>
      </c>
      <c r="J7572" t="s">
        <v>22</v>
      </c>
      <c r="K7572" t="s">
        <v>23</v>
      </c>
      <c r="L7572">
        <f t="shared" si="354"/>
        <v>2023</v>
      </c>
      <c r="M7572" t="str">
        <f t="shared" si="355"/>
        <v>Mar</v>
      </c>
      <c r="N7572" s="2">
        <f t="shared" si="356"/>
        <v>0.13482411035726918</v>
      </c>
    </row>
    <row r="7573" spans="1:14" x14ac:dyDescent="0.45">
      <c r="A7573" t="s">
        <v>12746</v>
      </c>
      <c r="B7573" s="1">
        <v>45039</v>
      </c>
      <c r="C7573" t="s">
        <v>12747</v>
      </c>
      <c r="D7573" t="s">
        <v>56</v>
      </c>
      <c r="E7573" t="s">
        <v>20</v>
      </c>
      <c r="F7573" t="s">
        <v>21</v>
      </c>
      <c r="G7573">
        <v>1</v>
      </c>
      <c r="H7573">
        <v>12733.92</v>
      </c>
      <c r="I7573">
        <v>1557.68</v>
      </c>
      <c r="J7573" t="s">
        <v>71</v>
      </c>
      <c r="K7573" t="s">
        <v>17</v>
      </c>
      <c r="L7573">
        <f t="shared" si="354"/>
        <v>2023</v>
      </c>
      <c r="M7573" t="str">
        <f t="shared" si="355"/>
        <v>Apr</v>
      </c>
      <c r="N7573" s="2">
        <f t="shared" si="356"/>
        <v>0.1223252541244173</v>
      </c>
    </row>
    <row r="7574" spans="1:14" x14ac:dyDescent="0.45">
      <c r="A7574" t="s">
        <v>12748</v>
      </c>
      <c r="B7574" s="1">
        <v>45544</v>
      </c>
      <c r="C7574" t="s">
        <v>8259</v>
      </c>
      <c r="D7574" t="s">
        <v>13</v>
      </c>
      <c r="E7574" t="s">
        <v>36</v>
      </c>
      <c r="F7574" t="s">
        <v>37</v>
      </c>
      <c r="G7574">
        <v>1</v>
      </c>
      <c r="H7574">
        <v>26349.46</v>
      </c>
      <c r="I7574">
        <v>3529.96</v>
      </c>
      <c r="J7574" t="s">
        <v>16</v>
      </c>
      <c r="K7574" t="s">
        <v>23</v>
      </c>
      <c r="L7574">
        <f t="shared" si="354"/>
        <v>2024</v>
      </c>
      <c r="M7574" t="str">
        <f t="shared" si="355"/>
        <v>Sep</v>
      </c>
      <c r="N7574" s="2">
        <f t="shared" si="356"/>
        <v>0.13396707181095932</v>
      </c>
    </row>
    <row r="7575" spans="1:14" x14ac:dyDescent="0.45">
      <c r="A7575" t="s">
        <v>12749</v>
      </c>
      <c r="B7575" s="1">
        <v>45501</v>
      </c>
      <c r="C7575" t="s">
        <v>12750</v>
      </c>
      <c r="D7575" t="s">
        <v>56</v>
      </c>
      <c r="E7575" t="s">
        <v>36</v>
      </c>
      <c r="F7575" t="s">
        <v>64</v>
      </c>
      <c r="G7575">
        <v>2</v>
      </c>
      <c r="H7575">
        <v>22540.59</v>
      </c>
      <c r="I7575">
        <v>1852.79</v>
      </c>
      <c r="J7575" t="s">
        <v>28</v>
      </c>
      <c r="K7575" t="s">
        <v>17</v>
      </c>
      <c r="L7575">
        <f t="shared" si="354"/>
        <v>2024</v>
      </c>
      <c r="M7575" t="str">
        <f t="shared" si="355"/>
        <v>Jul</v>
      </c>
      <c r="N7575" s="2">
        <f t="shared" si="356"/>
        <v>8.2197937143615132E-2</v>
      </c>
    </row>
    <row r="7576" spans="1:14" x14ac:dyDescent="0.45">
      <c r="A7576" t="s">
        <v>12751</v>
      </c>
      <c r="B7576" s="1">
        <v>45042</v>
      </c>
      <c r="C7576" t="s">
        <v>12505</v>
      </c>
      <c r="D7576" t="s">
        <v>56</v>
      </c>
      <c r="E7576" t="s">
        <v>36</v>
      </c>
      <c r="F7576" t="s">
        <v>53</v>
      </c>
      <c r="G7576">
        <v>2</v>
      </c>
      <c r="H7576">
        <v>37970.870000000003</v>
      </c>
      <c r="I7576">
        <v>2126.62</v>
      </c>
      <c r="J7576" t="s">
        <v>47</v>
      </c>
      <c r="K7576" t="s">
        <v>29</v>
      </c>
      <c r="L7576">
        <f t="shared" si="354"/>
        <v>2023</v>
      </c>
      <c r="M7576" t="str">
        <f t="shared" si="355"/>
        <v>Apr</v>
      </c>
      <c r="N7576" s="2">
        <f t="shared" si="356"/>
        <v>5.6006617704571944E-2</v>
      </c>
    </row>
    <row r="7577" spans="1:14" x14ac:dyDescent="0.45">
      <c r="A7577" t="s">
        <v>12752</v>
      </c>
      <c r="B7577" s="1">
        <v>44923</v>
      </c>
      <c r="C7577" t="s">
        <v>5899</v>
      </c>
      <c r="D7577" t="s">
        <v>26</v>
      </c>
      <c r="E7577" t="s">
        <v>20</v>
      </c>
      <c r="F7577" t="s">
        <v>43</v>
      </c>
      <c r="G7577">
        <v>2</v>
      </c>
      <c r="H7577">
        <v>30436.55</v>
      </c>
      <c r="I7577">
        <v>5853.86</v>
      </c>
      <c r="J7577" t="s">
        <v>22</v>
      </c>
      <c r="K7577" t="s">
        <v>33</v>
      </c>
      <c r="L7577">
        <f t="shared" si="354"/>
        <v>2022</v>
      </c>
      <c r="M7577" t="str">
        <f t="shared" si="355"/>
        <v>Dec</v>
      </c>
      <c r="N7577" s="2">
        <f t="shared" si="356"/>
        <v>0.19232994541102719</v>
      </c>
    </row>
    <row r="7578" spans="1:14" x14ac:dyDescent="0.45">
      <c r="A7578" t="s">
        <v>12753</v>
      </c>
      <c r="B7578" s="1">
        <v>45424</v>
      </c>
      <c r="C7578" t="s">
        <v>1430</v>
      </c>
      <c r="D7578" t="s">
        <v>26</v>
      </c>
      <c r="E7578" t="s">
        <v>14</v>
      </c>
      <c r="F7578" t="s">
        <v>32</v>
      </c>
      <c r="G7578">
        <v>5</v>
      </c>
      <c r="H7578">
        <v>26413.85</v>
      </c>
      <c r="I7578">
        <v>5256.73</v>
      </c>
      <c r="J7578" t="s">
        <v>22</v>
      </c>
      <c r="K7578" t="s">
        <v>23</v>
      </c>
      <c r="L7578">
        <f t="shared" si="354"/>
        <v>2024</v>
      </c>
      <c r="M7578" t="str">
        <f t="shared" si="355"/>
        <v>May</v>
      </c>
      <c r="N7578" s="2">
        <f t="shared" si="356"/>
        <v>0.1990141535595909</v>
      </c>
    </row>
    <row r="7579" spans="1:14" x14ac:dyDescent="0.45">
      <c r="A7579" t="s">
        <v>12754</v>
      </c>
      <c r="B7579" s="1">
        <v>45260</v>
      </c>
      <c r="C7579" t="s">
        <v>6561</v>
      </c>
      <c r="D7579" t="s">
        <v>56</v>
      </c>
      <c r="E7579" t="s">
        <v>36</v>
      </c>
      <c r="F7579" t="s">
        <v>46</v>
      </c>
      <c r="G7579">
        <v>2</v>
      </c>
      <c r="H7579">
        <v>48400.59</v>
      </c>
      <c r="I7579">
        <v>9903.2900000000009</v>
      </c>
      <c r="J7579" t="s">
        <v>22</v>
      </c>
      <c r="K7579" t="s">
        <v>33</v>
      </c>
      <c r="L7579">
        <f t="shared" si="354"/>
        <v>2023</v>
      </c>
      <c r="M7579" t="str">
        <f t="shared" si="355"/>
        <v>Nov</v>
      </c>
      <c r="N7579" s="2">
        <f t="shared" si="356"/>
        <v>0.20461093552785206</v>
      </c>
    </row>
    <row r="7580" spans="1:14" x14ac:dyDescent="0.45">
      <c r="A7580" t="s">
        <v>12755</v>
      </c>
      <c r="B7580" s="1">
        <v>45038</v>
      </c>
      <c r="C7580" t="s">
        <v>9369</v>
      </c>
      <c r="D7580" t="s">
        <v>13</v>
      </c>
      <c r="E7580" t="s">
        <v>36</v>
      </c>
      <c r="F7580" t="s">
        <v>37</v>
      </c>
      <c r="G7580">
        <v>1</v>
      </c>
      <c r="H7580">
        <v>7521.76</v>
      </c>
      <c r="I7580">
        <v>1708.35</v>
      </c>
      <c r="J7580" t="s">
        <v>47</v>
      </c>
      <c r="K7580" t="s">
        <v>33</v>
      </c>
      <c r="L7580">
        <f t="shared" si="354"/>
        <v>2023</v>
      </c>
      <c r="M7580" t="str">
        <f t="shared" si="355"/>
        <v>Apr</v>
      </c>
      <c r="N7580" s="2">
        <f t="shared" si="356"/>
        <v>0.22712104613813786</v>
      </c>
    </row>
    <row r="7581" spans="1:14" x14ac:dyDescent="0.45">
      <c r="A7581" t="s">
        <v>12756</v>
      </c>
      <c r="B7581" s="1">
        <v>45123</v>
      </c>
      <c r="C7581" t="s">
        <v>12757</v>
      </c>
      <c r="D7581" t="s">
        <v>26</v>
      </c>
      <c r="E7581" t="s">
        <v>36</v>
      </c>
      <c r="F7581" t="s">
        <v>64</v>
      </c>
      <c r="G7581">
        <v>3</v>
      </c>
      <c r="H7581">
        <v>34180.129999999997</v>
      </c>
      <c r="I7581">
        <v>5047.47</v>
      </c>
      <c r="J7581" t="s">
        <v>22</v>
      </c>
      <c r="K7581" t="s">
        <v>17</v>
      </c>
      <c r="L7581">
        <f t="shared" si="354"/>
        <v>2023</v>
      </c>
      <c r="M7581" t="str">
        <f t="shared" si="355"/>
        <v>Jul</v>
      </c>
      <c r="N7581" s="2">
        <f t="shared" si="356"/>
        <v>0.14767263904496561</v>
      </c>
    </row>
    <row r="7582" spans="1:14" x14ac:dyDescent="0.45">
      <c r="A7582" t="s">
        <v>12758</v>
      </c>
      <c r="B7582" s="1">
        <v>45041</v>
      </c>
      <c r="C7582" t="s">
        <v>3794</v>
      </c>
      <c r="D7582" t="s">
        <v>56</v>
      </c>
      <c r="E7582" t="s">
        <v>14</v>
      </c>
      <c r="F7582" t="s">
        <v>32</v>
      </c>
      <c r="G7582">
        <v>2</v>
      </c>
      <c r="H7582">
        <v>35942.76</v>
      </c>
      <c r="I7582">
        <v>7967.18</v>
      </c>
      <c r="J7582" t="s">
        <v>16</v>
      </c>
      <c r="K7582" t="s">
        <v>33</v>
      </c>
      <c r="L7582">
        <f t="shared" si="354"/>
        <v>2023</v>
      </c>
      <c r="M7582" t="str">
        <f t="shared" si="355"/>
        <v>Apr</v>
      </c>
      <c r="N7582" s="2">
        <f t="shared" si="356"/>
        <v>0.22166299972511849</v>
      </c>
    </row>
    <row r="7583" spans="1:14" x14ac:dyDescent="0.45">
      <c r="A7583" t="s">
        <v>12759</v>
      </c>
      <c r="B7583" s="1">
        <v>45299</v>
      </c>
      <c r="C7583" t="s">
        <v>12760</v>
      </c>
      <c r="D7583" t="s">
        <v>26</v>
      </c>
      <c r="E7583" t="s">
        <v>14</v>
      </c>
      <c r="F7583" t="s">
        <v>57</v>
      </c>
      <c r="G7583">
        <v>4</v>
      </c>
      <c r="H7583">
        <v>15211.71</v>
      </c>
      <c r="I7583">
        <v>2349.8000000000002</v>
      </c>
      <c r="J7583" t="s">
        <v>16</v>
      </c>
      <c r="K7583" t="s">
        <v>33</v>
      </c>
      <c r="L7583">
        <f t="shared" si="354"/>
        <v>2024</v>
      </c>
      <c r="M7583" t="str">
        <f t="shared" si="355"/>
        <v>Jan</v>
      </c>
      <c r="N7583" s="2">
        <f t="shared" si="356"/>
        <v>0.15447309999993428</v>
      </c>
    </row>
    <row r="7584" spans="1:14" x14ac:dyDescent="0.45">
      <c r="A7584" t="s">
        <v>12761</v>
      </c>
      <c r="B7584" s="1">
        <v>45250</v>
      </c>
      <c r="C7584" t="s">
        <v>12762</v>
      </c>
      <c r="D7584" t="s">
        <v>56</v>
      </c>
      <c r="E7584" t="s">
        <v>36</v>
      </c>
      <c r="F7584" t="s">
        <v>53</v>
      </c>
      <c r="G7584">
        <v>3</v>
      </c>
      <c r="H7584">
        <v>47446.42</v>
      </c>
      <c r="I7584">
        <v>5155.63</v>
      </c>
      <c r="J7584" t="s">
        <v>47</v>
      </c>
      <c r="K7584" t="s">
        <v>33</v>
      </c>
      <c r="L7584">
        <f t="shared" si="354"/>
        <v>2023</v>
      </c>
      <c r="M7584" t="str">
        <f t="shared" si="355"/>
        <v>Nov</v>
      </c>
      <c r="N7584" s="2">
        <f t="shared" si="356"/>
        <v>0.10866214985240194</v>
      </c>
    </row>
    <row r="7585" spans="1:14" x14ac:dyDescent="0.45">
      <c r="A7585" t="s">
        <v>12763</v>
      </c>
      <c r="B7585" s="1">
        <v>45240</v>
      </c>
      <c r="C7585" t="s">
        <v>12764</v>
      </c>
      <c r="D7585" t="s">
        <v>13</v>
      </c>
      <c r="E7585" t="s">
        <v>20</v>
      </c>
      <c r="F7585" t="s">
        <v>27</v>
      </c>
      <c r="G7585">
        <v>1</v>
      </c>
      <c r="H7585">
        <v>33978.620000000003</v>
      </c>
      <c r="I7585">
        <v>4298.91</v>
      </c>
      <c r="J7585" t="s">
        <v>16</v>
      </c>
      <c r="K7585" t="s">
        <v>17</v>
      </c>
      <c r="L7585">
        <f t="shared" si="354"/>
        <v>2023</v>
      </c>
      <c r="M7585" t="str">
        <f t="shared" si="355"/>
        <v>Nov</v>
      </c>
      <c r="N7585" s="2">
        <f t="shared" si="356"/>
        <v>0.12651808696174241</v>
      </c>
    </row>
    <row r="7586" spans="1:14" x14ac:dyDescent="0.45">
      <c r="A7586" t="s">
        <v>12765</v>
      </c>
      <c r="B7586" s="1">
        <v>44790</v>
      </c>
      <c r="C7586" t="s">
        <v>4638</v>
      </c>
      <c r="D7586" t="s">
        <v>56</v>
      </c>
      <c r="E7586" t="s">
        <v>36</v>
      </c>
      <c r="F7586" t="s">
        <v>46</v>
      </c>
      <c r="G7586">
        <v>2</v>
      </c>
      <c r="H7586">
        <v>32898.769999999997</v>
      </c>
      <c r="I7586">
        <v>2541.1799999999998</v>
      </c>
      <c r="J7586" t="s">
        <v>16</v>
      </c>
      <c r="K7586" t="s">
        <v>29</v>
      </c>
      <c r="L7586">
        <f t="shared" si="354"/>
        <v>2022</v>
      </c>
      <c r="M7586" t="str">
        <f t="shared" si="355"/>
        <v>Aug</v>
      </c>
      <c r="N7586" s="2">
        <f t="shared" si="356"/>
        <v>7.724240146364135E-2</v>
      </c>
    </row>
    <row r="7587" spans="1:14" x14ac:dyDescent="0.45">
      <c r="A7587" t="s">
        <v>12766</v>
      </c>
      <c r="B7587" s="1">
        <v>45583</v>
      </c>
      <c r="C7587" t="s">
        <v>12767</v>
      </c>
      <c r="D7587" t="s">
        <v>13</v>
      </c>
      <c r="E7587" t="s">
        <v>14</v>
      </c>
      <c r="F7587" t="s">
        <v>40</v>
      </c>
      <c r="G7587">
        <v>1</v>
      </c>
      <c r="H7587">
        <v>22058.41</v>
      </c>
      <c r="I7587">
        <v>1827.88</v>
      </c>
      <c r="J7587" t="s">
        <v>47</v>
      </c>
      <c r="K7587" t="s">
        <v>23</v>
      </c>
      <c r="L7587">
        <f t="shared" si="354"/>
        <v>2024</v>
      </c>
      <c r="M7587" t="str">
        <f t="shared" si="355"/>
        <v>Oct</v>
      </c>
      <c r="N7587" s="2">
        <f t="shared" si="356"/>
        <v>8.2865446784242389E-2</v>
      </c>
    </row>
    <row r="7588" spans="1:14" x14ac:dyDescent="0.45">
      <c r="A7588" t="s">
        <v>12768</v>
      </c>
      <c r="B7588" s="1">
        <v>44673</v>
      </c>
      <c r="C7588" t="s">
        <v>11762</v>
      </c>
      <c r="D7588" t="s">
        <v>26</v>
      </c>
      <c r="E7588" t="s">
        <v>36</v>
      </c>
      <c r="F7588" t="s">
        <v>46</v>
      </c>
      <c r="G7588">
        <v>1</v>
      </c>
      <c r="H7588">
        <v>9566.16</v>
      </c>
      <c r="I7588">
        <v>1022.99</v>
      </c>
      <c r="J7588" t="s">
        <v>47</v>
      </c>
      <c r="K7588" t="s">
        <v>29</v>
      </c>
      <c r="L7588">
        <f t="shared" si="354"/>
        <v>2022</v>
      </c>
      <c r="M7588" t="str">
        <f t="shared" si="355"/>
        <v>Apr</v>
      </c>
      <c r="N7588" s="2">
        <f t="shared" si="356"/>
        <v>0.10693841625061676</v>
      </c>
    </row>
    <row r="7589" spans="1:14" x14ac:dyDescent="0.45">
      <c r="A7589" t="s">
        <v>12769</v>
      </c>
      <c r="B7589" s="1">
        <v>44563</v>
      </c>
      <c r="C7589" t="s">
        <v>5284</v>
      </c>
      <c r="D7589" t="s">
        <v>56</v>
      </c>
      <c r="E7589" t="s">
        <v>36</v>
      </c>
      <c r="F7589" t="s">
        <v>64</v>
      </c>
      <c r="G7589">
        <v>3</v>
      </c>
      <c r="H7589">
        <v>23296.43</v>
      </c>
      <c r="I7589">
        <v>1714.85</v>
      </c>
      <c r="J7589" t="s">
        <v>28</v>
      </c>
      <c r="K7589" t="s">
        <v>33</v>
      </c>
      <c r="L7589">
        <f t="shared" si="354"/>
        <v>2022</v>
      </c>
      <c r="M7589" t="str">
        <f t="shared" si="355"/>
        <v>Jan</v>
      </c>
      <c r="N7589" s="2">
        <f t="shared" si="356"/>
        <v>7.3609990887015725E-2</v>
      </c>
    </row>
    <row r="7590" spans="1:14" x14ac:dyDescent="0.45">
      <c r="A7590" t="s">
        <v>12770</v>
      </c>
      <c r="B7590" s="1">
        <v>45471</v>
      </c>
      <c r="C7590" t="s">
        <v>1000</v>
      </c>
      <c r="D7590" t="s">
        <v>13</v>
      </c>
      <c r="E7590" t="s">
        <v>20</v>
      </c>
      <c r="F7590" t="s">
        <v>43</v>
      </c>
      <c r="G7590">
        <v>1</v>
      </c>
      <c r="H7590">
        <v>45933.13</v>
      </c>
      <c r="I7590">
        <v>10636.66</v>
      </c>
      <c r="J7590" t="s">
        <v>16</v>
      </c>
      <c r="K7590" t="s">
        <v>23</v>
      </c>
      <c r="L7590">
        <f t="shared" si="354"/>
        <v>2024</v>
      </c>
      <c r="M7590" t="str">
        <f t="shared" si="355"/>
        <v>Jun</v>
      </c>
      <c r="N7590" s="2">
        <f t="shared" si="356"/>
        <v>0.23156836906172082</v>
      </c>
    </row>
    <row r="7591" spans="1:14" x14ac:dyDescent="0.45">
      <c r="A7591" t="s">
        <v>12771</v>
      </c>
      <c r="B7591" s="1">
        <v>45526</v>
      </c>
      <c r="C7591" t="s">
        <v>11409</v>
      </c>
      <c r="D7591" t="s">
        <v>26</v>
      </c>
      <c r="E7591" t="s">
        <v>20</v>
      </c>
      <c r="F7591" t="s">
        <v>43</v>
      </c>
      <c r="G7591">
        <v>4</v>
      </c>
      <c r="H7591">
        <v>28666.62</v>
      </c>
      <c r="I7591">
        <v>3014.72</v>
      </c>
      <c r="J7591" t="s">
        <v>47</v>
      </c>
      <c r="K7591" t="s">
        <v>33</v>
      </c>
      <c r="L7591">
        <f t="shared" si="354"/>
        <v>2024</v>
      </c>
      <c r="M7591" t="str">
        <f t="shared" si="355"/>
        <v>Aug</v>
      </c>
      <c r="N7591" s="2">
        <f t="shared" si="356"/>
        <v>0.10516482236133873</v>
      </c>
    </row>
    <row r="7592" spans="1:14" x14ac:dyDescent="0.45">
      <c r="A7592" t="s">
        <v>12772</v>
      </c>
      <c r="B7592" s="1">
        <v>44573</v>
      </c>
      <c r="C7592" t="s">
        <v>6522</v>
      </c>
      <c r="D7592" t="s">
        <v>13</v>
      </c>
      <c r="E7592" t="s">
        <v>14</v>
      </c>
      <c r="F7592" t="s">
        <v>40</v>
      </c>
      <c r="G7592">
        <v>1</v>
      </c>
      <c r="H7592">
        <v>26930.67</v>
      </c>
      <c r="I7592">
        <v>3652.34</v>
      </c>
      <c r="J7592" t="s">
        <v>28</v>
      </c>
      <c r="K7592" t="s">
        <v>33</v>
      </c>
      <c r="L7592">
        <f t="shared" si="354"/>
        <v>2022</v>
      </c>
      <c r="M7592" t="str">
        <f t="shared" si="355"/>
        <v>Jan</v>
      </c>
      <c r="N7592" s="2">
        <f t="shared" si="356"/>
        <v>0.13562009411574241</v>
      </c>
    </row>
    <row r="7593" spans="1:14" x14ac:dyDescent="0.45">
      <c r="A7593" t="s">
        <v>12773</v>
      </c>
      <c r="B7593" s="1">
        <v>45102</v>
      </c>
      <c r="C7593" t="s">
        <v>4158</v>
      </c>
      <c r="D7593" t="s">
        <v>56</v>
      </c>
      <c r="E7593" t="s">
        <v>20</v>
      </c>
      <c r="F7593" t="s">
        <v>27</v>
      </c>
      <c r="G7593">
        <v>5</v>
      </c>
      <c r="H7593">
        <v>40261.14</v>
      </c>
      <c r="I7593">
        <v>6784.26</v>
      </c>
      <c r="J7593" t="s">
        <v>22</v>
      </c>
      <c r="K7593" t="s">
        <v>29</v>
      </c>
      <c r="L7593">
        <f t="shared" si="354"/>
        <v>2023</v>
      </c>
      <c r="M7593" t="str">
        <f t="shared" si="355"/>
        <v>Jun</v>
      </c>
      <c r="N7593" s="2">
        <f t="shared" si="356"/>
        <v>0.16850640592889324</v>
      </c>
    </row>
    <row r="7594" spans="1:14" x14ac:dyDescent="0.45">
      <c r="A7594" t="s">
        <v>12774</v>
      </c>
      <c r="B7594" s="1">
        <v>45401</v>
      </c>
      <c r="C7594" t="s">
        <v>9765</v>
      </c>
      <c r="D7594" t="s">
        <v>56</v>
      </c>
      <c r="E7594" t="s">
        <v>20</v>
      </c>
      <c r="F7594" t="s">
        <v>50</v>
      </c>
      <c r="G7594">
        <v>2</v>
      </c>
      <c r="H7594">
        <v>44893.47</v>
      </c>
      <c r="I7594">
        <v>3271.64</v>
      </c>
      <c r="J7594" t="s">
        <v>28</v>
      </c>
      <c r="K7594" t="s">
        <v>29</v>
      </c>
      <c r="L7594">
        <f t="shared" si="354"/>
        <v>2024</v>
      </c>
      <c r="M7594" t="str">
        <f t="shared" si="355"/>
        <v>Apr</v>
      </c>
      <c r="N7594" s="2">
        <f t="shared" si="356"/>
        <v>7.2875632023989237E-2</v>
      </c>
    </row>
    <row r="7595" spans="1:14" x14ac:dyDescent="0.45">
      <c r="A7595" t="s">
        <v>12775</v>
      </c>
      <c r="B7595" s="1">
        <v>45639</v>
      </c>
      <c r="C7595" t="s">
        <v>12776</v>
      </c>
      <c r="D7595" t="s">
        <v>26</v>
      </c>
      <c r="E7595" t="s">
        <v>20</v>
      </c>
      <c r="F7595" t="s">
        <v>27</v>
      </c>
      <c r="G7595">
        <v>3</v>
      </c>
      <c r="H7595">
        <v>24216.83</v>
      </c>
      <c r="I7595">
        <v>2291.3200000000002</v>
      </c>
      <c r="J7595" t="s">
        <v>28</v>
      </c>
      <c r="K7595" t="s">
        <v>29</v>
      </c>
      <c r="L7595">
        <f t="shared" si="354"/>
        <v>2024</v>
      </c>
      <c r="M7595" t="str">
        <f t="shared" si="355"/>
        <v>Dec</v>
      </c>
      <c r="N7595" s="2">
        <f t="shared" si="356"/>
        <v>9.4616842914617638E-2</v>
      </c>
    </row>
    <row r="7596" spans="1:14" x14ac:dyDescent="0.45">
      <c r="A7596" t="s">
        <v>12777</v>
      </c>
      <c r="B7596" s="1">
        <v>45215</v>
      </c>
      <c r="C7596" t="s">
        <v>11468</v>
      </c>
      <c r="D7596" t="s">
        <v>13</v>
      </c>
      <c r="E7596" t="s">
        <v>36</v>
      </c>
      <c r="F7596" t="s">
        <v>64</v>
      </c>
      <c r="G7596">
        <v>5</v>
      </c>
      <c r="H7596">
        <v>47655.9</v>
      </c>
      <c r="I7596">
        <v>10470.959999999999</v>
      </c>
      <c r="J7596" t="s">
        <v>71</v>
      </c>
      <c r="K7596" t="s">
        <v>17</v>
      </c>
      <c r="L7596">
        <f t="shared" si="354"/>
        <v>2023</v>
      </c>
      <c r="M7596" t="str">
        <f t="shared" si="355"/>
        <v>Oct</v>
      </c>
      <c r="N7596" s="2">
        <f t="shared" si="356"/>
        <v>0.21972011860021526</v>
      </c>
    </row>
    <row r="7597" spans="1:14" x14ac:dyDescent="0.45">
      <c r="A7597" t="s">
        <v>12778</v>
      </c>
      <c r="B7597" s="1">
        <v>45159</v>
      </c>
      <c r="C7597" t="s">
        <v>2441</v>
      </c>
      <c r="D7597" t="s">
        <v>56</v>
      </c>
      <c r="E7597" t="s">
        <v>36</v>
      </c>
      <c r="F7597" t="s">
        <v>46</v>
      </c>
      <c r="G7597">
        <v>4</v>
      </c>
      <c r="H7597">
        <v>4321.7</v>
      </c>
      <c r="I7597">
        <v>700.11</v>
      </c>
      <c r="J7597" t="s">
        <v>28</v>
      </c>
      <c r="K7597" t="s">
        <v>29</v>
      </c>
      <c r="L7597">
        <f t="shared" si="354"/>
        <v>2023</v>
      </c>
      <c r="M7597" t="str">
        <f t="shared" si="355"/>
        <v>Aug</v>
      </c>
      <c r="N7597" s="2">
        <f t="shared" si="356"/>
        <v>0.16199875049170467</v>
      </c>
    </row>
    <row r="7598" spans="1:14" x14ac:dyDescent="0.45">
      <c r="A7598" t="s">
        <v>12779</v>
      </c>
      <c r="B7598" s="1">
        <v>45503</v>
      </c>
      <c r="C7598" t="s">
        <v>12780</v>
      </c>
      <c r="D7598" t="s">
        <v>56</v>
      </c>
      <c r="E7598" t="s">
        <v>20</v>
      </c>
      <c r="F7598" t="s">
        <v>27</v>
      </c>
      <c r="G7598">
        <v>1</v>
      </c>
      <c r="H7598">
        <v>12039.73</v>
      </c>
      <c r="I7598">
        <v>1919.55</v>
      </c>
      <c r="J7598" t="s">
        <v>28</v>
      </c>
      <c r="K7598" t="s">
        <v>33</v>
      </c>
      <c r="L7598">
        <f t="shared" si="354"/>
        <v>2024</v>
      </c>
      <c r="M7598" t="str">
        <f t="shared" si="355"/>
        <v>Jul</v>
      </c>
      <c r="N7598" s="2">
        <f t="shared" si="356"/>
        <v>0.15943463848441783</v>
      </c>
    </row>
    <row r="7599" spans="1:14" x14ac:dyDescent="0.45">
      <c r="A7599" t="s">
        <v>12781</v>
      </c>
      <c r="B7599" s="1">
        <v>45420</v>
      </c>
      <c r="C7599" t="s">
        <v>3912</v>
      </c>
      <c r="D7599" t="s">
        <v>13</v>
      </c>
      <c r="E7599" t="s">
        <v>36</v>
      </c>
      <c r="F7599" t="s">
        <v>37</v>
      </c>
      <c r="G7599">
        <v>3</v>
      </c>
      <c r="H7599">
        <v>15456.95</v>
      </c>
      <c r="I7599">
        <v>2654.6</v>
      </c>
      <c r="J7599" t="s">
        <v>71</v>
      </c>
      <c r="K7599" t="s">
        <v>17</v>
      </c>
      <c r="L7599">
        <f t="shared" si="354"/>
        <v>2024</v>
      </c>
      <c r="M7599" t="str">
        <f t="shared" si="355"/>
        <v>May</v>
      </c>
      <c r="N7599" s="2">
        <f t="shared" si="356"/>
        <v>0.1717415143349755</v>
      </c>
    </row>
    <row r="7600" spans="1:14" x14ac:dyDescent="0.45">
      <c r="A7600" t="s">
        <v>12782</v>
      </c>
      <c r="B7600" s="1">
        <v>45235</v>
      </c>
      <c r="C7600" t="s">
        <v>2378</v>
      </c>
      <c r="D7600" t="s">
        <v>13</v>
      </c>
      <c r="E7600" t="s">
        <v>14</v>
      </c>
      <c r="F7600" t="s">
        <v>15</v>
      </c>
      <c r="G7600">
        <v>5</v>
      </c>
      <c r="H7600">
        <v>24386.97</v>
      </c>
      <c r="I7600">
        <v>3305.62</v>
      </c>
      <c r="J7600" t="s">
        <v>28</v>
      </c>
      <c r="K7600" t="s">
        <v>23</v>
      </c>
      <c r="L7600">
        <f t="shared" si="354"/>
        <v>2023</v>
      </c>
      <c r="M7600" t="str">
        <f t="shared" si="355"/>
        <v>Nov</v>
      </c>
      <c r="N7600" s="2">
        <f t="shared" si="356"/>
        <v>0.13554861469054991</v>
      </c>
    </row>
    <row r="7601" spans="1:14" x14ac:dyDescent="0.45">
      <c r="A7601" t="s">
        <v>12783</v>
      </c>
      <c r="B7601" s="1">
        <v>45529</v>
      </c>
      <c r="C7601" t="s">
        <v>12784</v>
      </c>
      <c r="D7601" t="s">
        <v>56</v>
      </c>
      <c r="E7601" t="s">
        <v>14</v>
      </c>
      <c r="F7601" t="s">
        <v>57</v>
      </c>
      <c r="G7601">
        <v>4</v>
      </c>
      <c r="H7601">
        <v>17249.169999999998</v>
      </c>
      <c r="I7601">
        <v>3613.33</v>
      </c>
      <c r="J7601" t="s">
        <v>16</v>
      </c>
      <c r="K7601" t="s">
        <v>29</v>
      </c>
      <c r="L7601">
        <f t="shared" si="354"/>
        <v>2024</v>
      </c>
      <c r="M7601" t="str">
        <f t="shared" si="355"/>
        <v>Aug</v>
      </c>
      <c r="N7601" s="2">
        <f t="shared" si="356"/>
        <v>0.20947848505174455</v>
      </c>
    </row>
    <row r="7602" spans="1:14" x14ac:dyDescent="0.45">
      <c r="A7602" t="s">
        <v>12785</v>
      </c>
      <c r="B7602" s="1">
        <v>45118</v>
      </c>
      <c r="C7602" t="s">
        <v>4552</v>
      </c>
      <c r="D7602" t="s">
        <v>56</v>
      </c>
      <c r="E7602" t="s">
        <v>14</v>
      </c>
      <c r="F7602" t="s">
        <v>57</v>
      </c>
      <c r="G7602">
        <v>4</v>
      </c>
      <c r="H7602">
        <v>17513.439999999999</v>
      </c>
      <c r="I7602">
        <v>3148.83</v>
      </c>
      <c r="J7602" t="s">
        <v>22</v>
      </c>
      <c r="K7602" t="s">
        <v>23</v>
      </c>
      <c r="L7602">
        <f t="shared" si="354"/>
        <v>2023</v>
      </c>
      <c r="M7602" t="str">
        <f t="shared" si="355"/>
        <v>Jul</v>
      </c>
      <c r="N7602" s="2">
        <f t="shared" si="356"/>
        <v>0.17979506025087019</v>
      </c>
    </row>
    <row r="7603" spans="1:14" x14ac:dyDescent="0.45">
      <c r="A7603" t="s">
        <v>12786</v>
      </c>
      <c r="B7603" s="1">
        <v>45118</v>
      </c>
      <c r="C7603" t="s">
        <v>12787</v>
      </c>
      <c r="D7603" t="s">
        <v>56</v>
      </c>
      <c r="E7603" t="s">
        <v>14</v>
      </c>
      <c r="F7603" t="s">
        <v>32</v>
      </c>
      <c r="G7603">
        <v>1</v>
      </c>
      <c r="H7603">
        <v>7367.68</v>
      </c>
      <c r="I7603">
        <v>1629.17</v>
      </c>
      <c r="J7603" t="s">
        <v>16</v>
      </c>
      <c r="K7603" t="s">
        <v>29</v>
      </c>
      <c r="L7603">
        <f t="shared" si="354"/>
        <v>2023</v>
      </c>
      <c r="M7603" t="str">
        <f t="shared" si="355"/>
        <v>Jul</v>
      </c>
      <c r="N7603" s="2">
        <f t="shared" si="356"/>
        <v>0.22112388160180682</v>
      </c>
    </row>
    <row r="7604" spans="1:14" x14ac:dyDescent="0.45">
      <c r="A7604" t="s">
        <v>12788</v>
      </c>
      <c r="B7604" s="1">
        <v>44583</v>
      </c>
      <c r="C7604" t="s">
        <v>9299</v>
      </c>
      <c r="D7604" t="s">
        <v>56</v>
      </c>
      <c r="E7604" t="s">
        <v>36</v>
      </c>
      <c r="F7604" t="s">
        <v>64</v>
      </c>
      <c r="G7604">
        <v>2</v>
      </c>
      <c r="H7604">
        <v>26634.59</v>
      </c>
      <c r="I7604">
        <v>2674.44</v>
      </c>
      <c r="J7604" t="s">
        <v>28</v>
      </c>
      <c r="K7604" t="s">
        <v>29</v>
      </c>
      <c r="L7604">
        <f t="shared" si="354"/>
        <v>2022</v>
      </c>
      <c r="M7604" t="str">
        <f t="shared" si="355"/>
        <v>Jan</v>
      </c>
      <c r="N7604" s="2">
        <f t="shared" si="356"/>
        <v>0.10041228342542537</v>
      </c>
    </row>
    <row r="7605" spans="1:14" x14ac:dyDescent="0.45">
      <c r="A7605" t="s">
        <v>12789</v>
      </c>
      <c r="B7605" s="1">
        <v>45558</v>
      </c>
      <c r="C7605" t="s">
        <v>12790</v>
      </c>
      <c r="D7605" t="s">
        <v>56</v>
      </c>
      <c r="E7605" t="s">
        <v>14</v>
      </c>
      <c r="F7605" t="s">
        <v>15</v>
      </c>
      <c r="G7605">
        <v>2</v>
      </c>
      <c r="H7605">
        <v>22978.49</v>
      </c>
      <c r="I7605">
        <v>4005.97</v>
      </c>
      <c r="J7605" t="s">
        <v>16</v>
      </c>
      <c r="K7605" t="s">
        <v>17</v>
      </c>
      <c r="L7605">
        <f t="shared" si="354"/>
        <v>2024</v>
      </c>
      <c r="M7605" t="str">
        <f t="shared" si="355"/>
        <v>Sep</v>
      </c>
      <c r="N7605" s="2">
        <f t="shared" si="356"/>
        <v>0.17433565042785665</v>
      </c>
    </row>
    <row r="7606" spans="1:14" x14ac:dyDescent="0.45">
      <c r="A7606" t="s">
        <v>12791</v>
      </c>
      <c r="B7606" s="1">
        <v>44777</v>
      </c>
      <c r="C7606" t="s">
        <v>12792</v>
      </c>
      <c r="D7606" t="s">
        <v>56</v>
      </c>
      <c r="E7606" t="s">
        <v>36</v>
      </c>
      <c r="F7606" t="s">
        <v>46</v>
      </c>
      <c r="G7606">
        <v>3</v>
      </c>
      <c r="H7606">
        <v>36724.5</v>
      </c>
      <c r="I7606">
        <v>7583.96</v>
      </c>
      <c r="J7606" t="s">
        <v>71</v>
      </c>
      <c r="K7606" t="s">
        <v>17</v>
      </c>
      <c r="L7606">
        <f t="shared" si="354"/>
        <v>2022</v>
      </c>
      <c r="M7606" t="str">
        <f t="shared" si="355"/>
        <v>Aug</v>
      </c>
      <c r="N7606" s="2">
        <f t="shared" si="356"/>
        <v>0.20650955084480388</v>
      </c>
    </row>
    <row r="7607" spans="1:14" x14ac:dyDescent="0.45">
      <c r="A7607" t="s">
        <v>12793</v>
      </c>
      <c r="B7607" s="1">
        <v>45261</v>
      </c>
      <c r="C7607" t="s">
        <v>12794</v>
      </c>
      <c r="D7607" t="s">
        <v>26</v>
      </c>
      <c r="E7607" t="s">
        <v>20</v>
      </c>
      <c r="F7607" t="s">
        <v>43</v>
      </c>
      <c r="G7607">
        <v>2</v>
      </c>
      <c r="H7607">
        <v>44983.75</v>
      </c>
      <c r="I7607">
        <v>9624.2199999999993</v>
      </c>
      <c r="J7607" t="s">
        <v>71</v>
      </c>
      <c r="K7607" t="s">
        <v>17</v>
      </c>
      <c r="L7607">
        <f t="shared" si="354"/>
        <v>2023</v>
      </c>
      <c r="M7607" t="str">
        <f t="shared" si="355"/>
        <v>Dec</v>
      </c>
      <c r="N7607" s="2">
        <f t="shared" si="356"/>
        <v>0.21394881484980685</v>
      </c>
    </row>
    <row r="7608" spans="1:14" x14ac:dyDescent="0.45">
      <c r="A7608" t="s">
        <v>12795</v>
      </c>
      <c r="B7608" s="1">
        <v>44603</v>
      </c>
      <c r="C7608" t="s">
        <v>12796</v>
      </c>
      <c r="D7608" t="s">
        <v>26</v>
      </c>
      <c r="E7608" t="s">
        <v>14</v>
      </c>
      <c r="F7608" t="s">
        <v>32</v>
      </c>
      <c r="G7608">
        <v>2</v>
      </c>
      <c r="H7608">
        <v>26079.119999999999</v>
      </c>
      <c r="I7608">
        <v>3077.76</v>
      </c>
      <c r="J7608" t="s">
        <v>71</v>
      </c>
      <c r="K7608" t="s">
        <v>29</v>
      </c>
      <c r="L7608">
        <f t="shared" si="354"/>
        <v>2022</v>
      </c>
      <c r="M7608" t="str">
        <f t="shared" si="355"/>
        <v>Feb</v>
      </c>
      <c r="N7608" s="2">
        <f t="shared" si="356"/>
        <v>0.11801625208212549</v>
      </c>
    </row>
    <row r="7609" spans="1:14" x14ac:dyDescent="0.45">
      <c r="A7609" t="s">
        <v>12797</v>
      </c>
      <c r="B7609" s="1">
        <v>45625</v>
      </c>
      <c r="C7609" t="s">
        <v>12798</v>
      </c>
      <c r="D7609" t="s">
        <v>13</v>
      </c>
      <c r="E7609" t="s">
        <v>36</v>
      </c>
      <c r="F7609" t="s">
        <v>64</v>
      </c>
      <c r="G7609">
        <v>2</v>
      </c>
      <c r="H7609">
        <v>8454.33</v>
      </c>
      <c r="I7609">
        <v>779.19</v>
      </c>
      <c r="J7609" t="s">
        <v>28</v>
      </c>
      <c r="K7609" t="s">
        <v>23</v>
      </c>
      <c r="L7609">
        <f t="shared" si="354"/>
        <v>2024</v>
      </c>
      <c r="M7609" t="str">
        <f t="shared" si="355"/>
        <v>Nov</v>
      </c>
      <c r="N7609" s="2">
        <f t="shared" si="356"/>
        <v>9.2164606775462996E-2</v>
      </c>
    </row>
    <row r="7610" spans="1:14" x14ac:dyDescent="0.45">
      <c r="A7610" t="s">
        <v>12799</v>
      </c>
      <c r="B7610" s="1">
        <v>45645</v>
      </c>
      <c r="C7610" t="s">
        <v>12800</v>
      </c>
      <c r="D7610" t="s">
        <v>56</v>
      </c>
      <c r="E7610" t="s">
        <v>36</v>
      </c>
      <c r="F7610" t="s">
        <v>64</v>
      </c>
      <c r="G7610">
        <v>4</v>
      </c>
      <c r="H7610">
        <v>10619.79</v>
      </c>
      <c r="I7610">
        <v>1345.58</v>
      </c>
      <c r="J7610" t="s">
        <v>16</v>
      </c>
      <c r="K7610" t="s">
        <v>29</v>
      </c>
      <c r="L7610">
        <f t="shared" si="354"/>
        <v>2024</v>
      </c>
      <c r="M7610" t="str">
        <f t="shared" si="355"/>
        <v>Dec</v>
      </c>
      <c r="N7610" s="2">
        <f t="shared" si="356"/>
        <v>0.12670495367610846</v>
      </c>
    </row>
    <row r="7611" spans="1:14" x14ac:dyDescent="0.45">
      <c r="A7611" t="s">
        <v>12801</v>
      </c>
      <c r="B7611" s="1">
        <v>45466</v>
      </c>
      <c r="C7611" t="s">
        <v>2359</v>
      </c>
      <c r="D7611" t="s">
        <v>56</v>
      </c>
      <c r="E7611" t="s">
        <v>36</v>
      </c>
      <c r="F7611" t="s">
        <v>46</v>
      </c>
      <c r="G7611">
        <v>3</v>
      </c>
      <c r="H7611">
        <v>19536.07</v>
      </c>
      <c r="I7611">
        <v>4103.75</v>
      </c>
      <c r="J7611" t="s">
        <v>16</v>
      </c>
      <c r="K7611" t="s">
        <v>23</v>
      </c>
      <c r="L7611">
        <f t="shared" si="354"/>
        <v>2024</v>
      </c>
      <c r="M7611" t="str">
        <f t="shared" si="355"/>
        <v>Jun</v>
      </c>
      <c r="N7611" s="2">
        <f t="shared" si="356"/>
        <v>0.21006016051334789</v>
      </c>
    </row>
    <row r="7612" spans="1:14" x14ac:dyDescent="0.45">
      <c r="A7612" t="s">
        <v>12802</v>
      </c>
      <c r="B7612" s="1">
        <v>45608</v>
      </c>
      <c r="C7612" t="s">
        <v>12803</v>
      </c>
      <c r="D7612" t="s">
        <v>56</v>
      </c>
      <c r="E7612" t="s">
        <v>20</v>
      </c>
      <c r="F7612" t="s">
        <v>21</v>
      </c>
      <c r="G7612">
        <v>1</v>
      </c>
      <c r="H7612">
        <v>47792.09</v>
      </c>
      <c r="I7612">
        <v>11225.98</v>
      </c>
      <c r="J7612" t="s">
        <v>28</v>
      </c>
      <c r="K7612" t="s">
        <v>29</v>
      </c>
      <c r="L7612">
        <f t="shared" si="354"/>
        <v>2024</v>
      </c>
      <c r="M7612" t="str">
        <f t="shared" si="355"/>
        <v>Nov</v>
      </c>
      <c r="N7612" s="2">
        <f t="shared" si="356"/>
        <v>0.23489200828003129</v>
      </c>
    </row>
    <row r="7613" spans="1:14" x14ac:dyDescent="0.45">
      <c r="A7613" t="s">
        <v>12804</v>
      </c>
      <c r="B7613" s="1">
        <v>44690</v>
      </c>
      <c r="C7613" t="s">
        <v>3367</v>
      </c>
      <c r="D7613" t="s">
        <v>56</v>
      </c>
      <c r="E7613" t="s">
        <v>36</v>
      </c>
      <c r="F7613" t="s">
        <v>46</v>
      </c>
      <c r="G7613">
        <v>4</v>
      </c>
      <c r="H7613">
        <v>9146.42</v>
      </c>
      <c r="I7613">
        <v>1421.25</v>
      </c>
      <c r="J7613" t="s">
        <v>16</v>
      </c>
      <c r="K7613" t="s">
        <v>17</v>
      </c>
      <c r="L7613">
        <f t="shared" si="354"/>
        <v>2022</v>
      </c>
      <c r="M7613" t="str">
        <f t="shared" si="355"/>
        <v>May</v>
      </c>
      <c r="N7613" s="2">
        <f t="shared" si="356"/>
        <v>0.15538866572932361</v>
      </c>
    </row>
    <row r="7614" spans="1:14" x14ac:dyDescent="0.45">
      <c r="A7614" t="s">
        <v>12805</v>
      </c>
      <c r="B7614" s="1">
        <v>45123</v>
      </c>
      <c r="C7614" t="s">
        <v>12806</v>
      </c>
      <c r="D7614" t="s">
        <v>13</v>
      </c>
      <c r="E7614" t="s">
        <v>36</v>
      </c>
      <c r="F7614" t="s">
        <v>37</v>
      </c>
      <c r="G7614">
        <v>3</v>
      </c>
      <c r="H7614">
        <v>41572.43</v>
      </c>
      <c r="I7614">
        <v>9566.7000000000007</v>
      </c>
      <c r="J7614" t="s">
        <v>47</v>
      </c>
      <c r="K7614" t="s">
        <v>17</v>
      </c>
      <c r="L7614">
        <f t="shared" si="354"/>
        <v>2023</v>
      </c>
      <c r="M7614" t="str">
        <f t="shared" si="355"/>
        <v>Jul</v>
      </c>
      <c r="N7614" s="2">
        <f t="shared" si="356"/>
        <v>0.23012126065279323</v>
      </c>
    </row>
    <row r="7615" spans="1:14" x14ac:dyDescent="0.45">
      <c r="A7615" t="s">
        <v>12807</v>
      </c>
      <c r="B7615" s="1">
        <v>45401</v>
      </c>
      <c r="C7615" t="s">
        <v>12808</v>
      </c>
      <c r="D7615" t="s">
        <v>26</v>
      </c>
      <c r="E7615" t="s">
        <v>14</v>
      </c>
      <c r="F7615" t="s">
        <v>15</v>
      </c>
      <c r="G7615">
        <v>1</v>
      </c>
      <c r="H7615">
        <v>42353.3</v>
      </c>
      <c r="I7615">
        <v>5895.86</v>
      </c>
      <c r="J7615" t="s">
        <v>47</v>
      </c>
      <c r="K7615" t="s">
        <v>29</v>
      </c>
      <c r="L7615">
        <f t="shared" si="354"/>
        <v>2024</v>
      </c>
      <c r="M7615" t="str">
        <f t="shared" si="355"/>
        <v>Apr</v>
      </c>
      <c r="N7615" s="2">
        <f t="shared" si="356"/>
        <v>0.13920662616608384</v>
      </c>
    </row>
    <row r="7616" spans="1:14" x14ac:dyDescent="0.45">
      <c r="A7616" t="s">
        <v>12809</v>
      </c>
      <c r="B7616" s="1">
        <v>44677</v>
      </c>
      <c r="C7616" t="s">
        <v>12318</v>
      </c>
      <c r="D7616" t="s">
        <v>56</v>
      </c>
      <c r="E7616" t="s">
        <v>20</v>
      </c>
      <c r="F7616" t="s">
        <v>27</v>
      </c>
      <c r="G7616">
        <v>3</v>
      </c>
      <c r="H7616">
        <v>7718.7</v>
      </c>
      <c r="I7616">
        <v>1164.78</v>
      </c>
      <c r="J7616" t="s">
        <v>16</v>
      </c>
      <c r="K7616" t="s">
        <v>23</v>
      </c>
      <c r="L7616">
        <f t="shared" si="354"/>
        <v>2022</v>
      </c>
      <c r="M7616" t="str">
        <f t="shared" si="355"/>
        <v>Apr</v>
      </c>
      <c r="N7616" s="2">
        <f t="shared" si="356"/>
        <v>0.15090364957829686</v>
      </c>
    </row>
    <row r="7617" spans="1:14" x14ac:dyDescent="0.45">
      <c r="A7617" t="s">
        <v>12810</v>
      </c>
      <c r="B7617" s="1">
        <v>44773</v>
      </c>
      <c r="C7617" t="s">
        <v>4542</v>
      </c>
      <c r="D7617" t="s">
        <v>13</v>
      </c>
      <c r="E7617" t="s">
        <v>14</v>
      </c>
      <c r="F7617" t="s">
        <v>40</v>
      </c>
      <c r="G7617">
        <v>3</v>
      </c>
      <c r="H7617">
        <v>14789.55</v>
      </c>
      <c r="I7617">
        <v>1399.12</v>
      </c>
      <c r="J7617" t="s">
        <v>47</v>
      </c>
      <c r="K7617" t="s">
        <v>33</v>
      </c>
      <c r="L7617">
        <f t="shared" si="354"/>
        <v>2022</v>
      </c>
      <c r="M7617" t="str">
        <f t="shared" si="355"/>
        <v>Jul</v>
      </c>
      <c r="N7617" s="2">
        <f t="shared" si="356"/>
        <v>9.4601931769391218E-2</v>
      </c>
    </row>
    <row r="7618" spans="1:14" x14ac:dyDescent="0.45">
      <c r="A7618" t="s">
        <v>12811</v>
      </c>
      <c r="B7618" s="1">
        <v>45081</v>
      </c>
      <c r="C7618" t="s">
        <v>9665</v>
      </c>
      <c r="D7618" t="s">
        <v>56</v>
      </c>
      <c r="E7618" t="s">
        <v>20</v>
      </c>
      <c r="F7618" t="s">
        <v>50</v>
      </c>
      <c r="G7618">
        <v>2</v>
      </c>
      <c r="H7618">
        <v>39178.68</v>
      </c>
      <c r="I7618">
        <v>6067.09</v>
      </c>
      <c r="J7618" t="s">
        <v>28</v>
      </c>
      <c r="K7618" t="s">
        <v>29</v>
      </c>
      <c r="L7618">
        <f t="shared" si="354"/>
        <v>2023</v>
      </c>
      <c r="M7618" t="str">
        <f t="shared" si="355"/>
        <v>Jun</v>
      </c>
      <c r="N7618" s="2">
        <f t="shared" si="356"/>
        <v>0.1548569272880046</v>
      </c>
    </row>
    <row r="7619" spans="1:14" x14ac:dyDescent="0.45">
      <c r="A7619" t="s">
        <v>12812</v>
      </c>
      <c r="B7619" s="1">
        <v>45431</v>
      </c>
      <c r="C7619" t="s">
        <v>2457</v>
      </c>
      <c r="D7619" t="s">
        <v>26</v>
      </c>
      <c r="E7619" t="s">
        <v>14</v>
      </c>
      <c r="F7619" t="s">
        <v>32</v>
      </c>
      <c r="G7619">
        <v>2</v>
      </c>
      <c r="H7619">
        <v>28509.32</v>
      </c>
      <c r="I7619">
        <v>5272.76</v>
      </c>
      <c r="J7619" t="s">
        <v>22</v>
      </c>
      <c r="K7619" t="s">
        <v>17</v>
      </c>
      <c r="L7619">
        <f t="shared" ref="L7619:L7682" si="357">YEAR(B7619 )</f>
        <v>2024</v>
      </c>
      <c r="M7619" t="str">
        <f t="shared" ref="M7619:M7682" si="358">TEXT(B7619,"MMM")</f>
        <v>May</v>
      </c>
      <c r="N7619" s="2">
        <f t="shared" ref="N7619:N7682" si="359">I7619 / H7619</f>
        <v>0.18494864135658096</v>
      </c>
    </row>
    <row r="7620" spans="1:14" x14ac:dyDescent="0.45">
      <c r="A7620" t="s">
        <v>12813</v>
      </c>
      <c r="B7620" s="1">
        <v>44673</v>
      </c>
      <c r="C7620" t="s">
        <v>12814</v>
      </c>
      <c r="D7620" t="s">
        <v>26</v>
      </c>
      <c r="E7620" t="s">
        <v>20</v>
      </c>
      <c r="F7620" t="s">
        <v>27</v>
      </c>
      <c r="G7620">
        <v>1</v>
      </c>
      <c r="H7620">
        <v>35503.599999999999</v>
      </c>
      <c r="I7620">
        <v>4845.32</v>
      </c>
      <c r="J7620" t="s">
        <v>47</v>
      </c>
      <c r="K7620" t="s">
        <v>29</v>
      </c>
      <c r="L7620">
        <f t="shared" si="357"/>
        <v>2022</v>
      </c>
      <c r="M7620" t="str">
        <f t="shared" si="358"/>
        <v>Apr</v>
      </c>
      <c r="N7620" s="2">
        <f t="shared" si="359"/>
        <v>0.13647404770220484</v>
      </c>
    </row>
    <row r="7621" spans="1:14" x14ac:dyDescent="0.45">
      <c r="A7621" t="s">
        <v>12815</v>
      </c>
      <c r="B7621" s="1">
        <v>44790</v>
      </c>
      <c r="C7621" t="s">
        <v>12816</v>
      </c>
      <c r="D7621" t="s">
        <v>26</v>
      </c>
      <c r="E7621" t="s">
        <v>36</v>
      </c>
      <c r="F7621" t="s">
        <v>53</v>
      </c>
      <c r="G7621">
        <v>3</v>
      </c>
      <c r="H7621">
        <v>21422.19</v>
      </c>
      <c r="I7621">
        <v>4634.67</v>
      </c>
      <c r="J7621" t="s">
        <v>71</v>
      </c>
      <c r="K7621" t="s">
        <v>29</v>
      </c>
      <c r="L7621">
        <f t="shared" si="357"/>
        <v>2022</v>
      </c>
      <c r="M7621" t="str">
        <f t="shared" si="358"/>
        <v>Aug</v>
      </c>
      <c r="N7621" s="2">
        <f t="shared" si="359"/>
        <v>0.21634902874075901</v>
      </c>
    </row>
    <row r="7622" spans="1:14" x14ac:dyDescent="0.45">
      <c r="A7622" t="s">
        <v>12817</v>
      </c>
      <c r="B7622" s="1">
        <v>45166</v>
      </c>
      <c r="C7622" t="s">
        <v>7852</v>
      </c>
      <c r="D7622" t="s">
        <v>56</v>
      </c>
      <c r="E7622" t="s">
        <v>36</v>
      </c>
      <c r="F7622" t="s">
        <v>46</v>
      </c>
      <c r="G7622">
        <v>4</v>
      </c>
      <c r="H7622">
        <v>19255.12</v>
      </c>
      <c r="I7622">
        <v>2160.1</v>
      </c>
      <c r="J7622" t="s">
        <v>22</v>
      </c>
      <c r="K7622" t="s">
        <v>23</v>
      </c>
      <c r="L7622">
        <f t="shared" si="357"/>
        <v>2023</v>
      </c>
      <c r="M7622" t="str">
        <f t="shared" si="358"/>
        <v>Aug</v>
      </c>
      <c r="N7622" s="2">
        <f t="shared" si="359"/>
        <v>0.11218314920914542</v>
      </c>
    </row>
    <row r="7623" spans="1:14" x14ac:dyDescent="0.45">
      <c r="A7623" t="s">
        <v>12818</v>
      </c>
      <c r="B7623" s="1">
        <v>45347</v>
      </c>
      <c r="C7623" t="s">
        <v>5879</v>
      </c>
      <c r="D7623" t="s">
        <v>56</v>
      </c>
      <c r="E7623" t="s">
        <v>14</v>
      </c>
      <c r="F7623" t="s">
        <v>40</v>
      </c>
      <c r="G7623">
        <v>3</v>
      </c>
      <c r="H7623">
        <v>32530.44</v>
      </c>
      <c r="I7623">
        <v>5995.46</v>
      </c>
      <c r="J7623" t="s">
        <v>47</v>
      </c>
      <c r="K7623" t="s">
        <v>29</v>
      </c>
      <c r="L7623">
        <f t="shared" si="357"/>
        <v>2024</v>
      </c>
      <c r="M7623" t="str">
        <f t="shared" si="358"/>
        <v>Feb</v>
      </c>
      <c r="N7623" s="2">
        <f t="shared" si="359"/>
        <v>0.18430307121575978</v>
      </c>
    </row>
    <row r="7624" spans="1:14" x14ac:dyDescent="0.45">
      <c r="A7624" t="s">
        <v>12819</v>
      </c>
      <c r="B7624" s="1">
        <v>44655</v>
      </c>
      <c r="C7624" t="s">
        <v>12820</v>
      </c>
      <c r="D7624" t="s">
        <v>13</v>
      </c>
      <c r="E7624" t="s">
        <v>20</v>
      </c>
      <c r="F7624" t="s">
        <v>43</v>
      </c>
      <c r="G7624">
        <v>1</v>
      </c>
      <c r="H7624">
        <v>22259.11</v>
      </c>
      <c r="I7624">
        <v>4896.8999999999996</v>
      </c>
      <c r="J7624" t="s">
        <v>47</v>
      </c>
      <c r="K7624" t="s">
        <v>29</v>
      </c>
      <c r="L7624">
        <f t="shared" si="357"/>
        <v>2022</v>
      </c>
      <c r="M7624" t="str">
        <f t="shared" si="358"/>
        <v>Apr</v>
      </c>
      <c r="N7624" s="2">
        <f t="shared" si="359"/>
        <v>0.21999531877060671</v>
      </c>
    </row>
    <row r="7625" spans="1:14" x14ac:dyDescent="0.45">
      <c r="A7625" t="s">
        <v>12821</v>
      </c>
      <c r="B7625" s="1">
        <v>45242</v>
      </c>
      <c r="C7625" t="s">
        <v>6675</v>
      </c>
      <c r="D7625" t="s">
        <v>13</v>
      </c>
      <c r="E7625" t="s">
        <v>20</v>
      </c>
      <c r="F7625" t="s">
        <v>21</v>
      </c>
      <c r="G7625">
        <v>4</v>
      </c>
      <c r="H7625">
        <v>40649.480000000003</v>
      </c>
      <c r="I7625">
        <v>7459.89</v>
      </c>
      <c r="J7625" t="s">
        <v>28</v>
      </c>
      <c r="K7625" t="s">
        <v>17</v>
      </c>
      <c r="L7625">
        <f t="shared" si="357"/>
        <v>2023</v>
      </c>
      <c r="M7625" t="str">
        <f t="shared" si="358"/>
        <v>Nov</v>
      </c>
      <c r="N7625" s="2">
        <f t="shared" si="359"/>
        <v>0.18351747673032964</v>
      </c>
    </row>
    <row r="7626" spans="1:14" x14ac:dyDescent="0.45">
      <c r="A7626" t="s">
        <v>12822</v>
      </c>
      <c r="B7626" s="1">
        <v>45403</v>
      </c>
      <c r="C7626" t="s">
        <v>12823</v>
      </c>
      <c r="D7626" t="s">
        <v>56</v>
      </c>
      <c r="E7626" t="s">
        <v>36</v>
      </c>
      <c r="F7626" t="s">
        <v>37</v>
      </c>
      <c r="G7626">
        <v>1</v>
      </c>
      <c r="H7626">
        <v>28365.32</v>
      </c>
      <c r="I7626">
        <v>2933.11</v>
      </c>
      <c r="J7626" t="s">
        <v>47</v>
      </c>
      <c r="K7626" t="s">
        <v>29</v>
      </c>
      <c r="L7626">
        <f t="shared" si="357"/>
        <v>2024</v>
      </c>
      <c r="M7626" t="str">
        <f t="shared" si="358"/>
        <v>Apr</v>
      </c>
      <c r="N7626" s="2">
        <f t="shared" si="359"/>
        <v>0.10340479148481314</v>
      </c>
    </row>
    <row r="7627" spans="1:14" x14ac:dyDescent="0.45">
      <c r="A7627" t="s">
        <v>12824</v>
      </c>
      <c r="B7627" s="1">
        <v>45536</v>
      </c>
      <c r="C7627" t="s">
        <v>12825</v>
      </c>
      <c r="D7627" t="s">
        <v>26</v>
      </c>
      <c r="E7627" t="s">
        <v>36</v>
      </c>
      <c r="F7627" t="s">
        <v>53</v>
      </c>
      <c r="G7627">
        <v>4</v>
      </c>
      <c r="H7627">
        <v>13866.58</v>
      </c>
      <c r="I7627">
        <v>1915.88</v>
      </c>
      <c r="J7627" t="s">
        <v>22</v>
      </c>
      <c r="K7627" t="s">
        <v>29</v>
      </c>
      <c r="L7627">
        <f t="shared" si="357"/>
        <v>2024</v>
      </c>
      <c r="M7627" t="str">
        <f t="shared" si="358"/>
        <v>Sep</v>
      </c>
      <c r="N7627" s="2">
        <f t="shared" si="359"/>
        <v>0.13816528660996441</v>
      </c>
    </row>
    <row r="7628" spans="1:14" x14ac:dyDescent="0.45">
      <c r="A7628" t="s">
        <v>12826</v>
      </c>
      <c r="B7628" s="1">
        <v>45162</v>
      </c>
      <c r="C7628" t="s">
        <v>11369</v>
      </c>
      <c r="D7628" t="s">
        <v>56</v>
      </c>
      <c r="E7628" t="s">
        <v>20</v>
      </c>
      <c r="F7628" t="s">
        <v>50</v>
      </c>
      <c r="G7628">
        <v>2</v>
      </c>
      <c r="H7628">
        <v>6229.84</v>
      </c>
      <c r="I7628">
        <v>988.83</v>
      </c>
      <c r="J7628" t="s">
        <v>71</v>
      </c>
      <c r="K7628" t="s">
        <v>29</v>
      </c>
      <c r="L7628">
        <f t="shared" si="357"/>
        <v>2023</v>
      </c>
      <c r="M7628" t="str">
        <f t="shared" si="358"/>
        <v>Aug</v>
      </c>
      <c r="N7628" s="2">
        <f t="shared" si="359"/>
        <v>0.15872478265894469</v>
      </c>
    </row>
    <row r="7629" spans="1:14" x14ac:dyDescent="0.45">
      <c r="A7629" t="s">
        <v>12827</v>
      </c>
      <c r="B7629" s="1">
        <v>44639</v>
      </c>
      <c r="C7629" t="s">
        <v>12828</v>
      </c>
      <c r="D7629" t="s">
        <v>26</v>
      </c>
      <c r="E7629" t="s">
        <v>14</v>
      </c>
      <c r="F7629" t="s">
        <v>57</v>
      </c>
      <c r="G7629">
        <v>2</v>
      </c>
      <c r="H7629">
        <v>38764.730000000003</v>
      </c>
      <c r="I7629">
        <v>4401.08</v>
      </c>
      <c r="J7629" t="s">
        <v>22</v>
      </c>
      <c r="K7629" t="s">
        <v>33</v>
      </c>
      <c r="L7629">
        <f t="shared" si="357"/>
        <v>2022</v>
      </c>
      <c r="M7629" t="str">
        <f t="shared" si="358"/>
        <v>Mar</v>
      </c>
      <c r="N7629" s="2">
        <f t="shared" si="359"/>
        <v>0.11353310083676578</v>
      </c>
    </row>
    <row r="7630" spans="1:14" x14ac:dyDescent="0.45">
      <c r="A7630" t="s">
        <v>12829</v>
      </c>
      <c r="B7630" s="1">
        <v>45313</v>
      </c>
      <c r="C7630" t="s">
        <v>7110</v>
      </c>
      <c r="D7630" t="s">
        <v>26</v>
      </c>
      <c r="E7630" t="s">
        <v>36</v>
      </c>
      <c r="F7630" t="s">
        <v>64</v>
      </c>
      <c r="G7630">
        <v>1</v>
      </c>
      <c r="H7630">
        <v>41660.959999999999</v>
      </c>
      <c r="I7630">
        <v>2613.6</v>
      </c>
      <c r="J7630" t="s">
        <v>22</v>
      </c>
      <c r="K7630" t="s">
        <v>29</v>
      </c>
      <c r="L7630">
        <f t="shared" si="357"/>
        <v>2024</v>
      </c>
      <c r="M7630" t="str">
        <f t="shared" si="358"/>
        <v>Jan</v>
      </c>
      <c r="N7630" s="2">
        <f t="shared" si="359"/>
        <v>6.2734992184529589E-2</v>
      </c>
    </row>
    <row r="7631" spans="1:14" x14ac:dyDescent="0.45">
      <c r="A7631" t="s">
        <v>12830</v>
      </c>
      <c r="B7631" s="1">
        <v>45018</v>
      </c>
      <c r="C7631" t="s">
        <v>12831</v>
      </c>
      <c r="D7631" t="s">
        <v>56</v>
      </c>
      <c r="E7631" t="s">
        <v>14</v>
      </c>
      <c r="F7631" t="s">
        <v>15</v>
      </c>
      <c r="G7631">
        <v>5</v>
      </c>
      <c r="H7631">
        <v>46726.49</v>
      </c>
      <c r="I7631">
        <v>3489.95</v>
      </c>
      <c r="J7631" t="s">
        <v>47</v>
      </c>
      <c r="K7631" t="s">
        <v>33</v>
      </c>
      <c r="L7631">
        <f t="shared" si="357"/>
        <v>2023</v>
      </c>
      <c r="M7631" t="str">
        <f t="shared" si="358"/>
        <v>Apr</v>
      </c>
      <c r="N7631" s="2">
        <f t="shared" si="359"/>
        <v>7.4688897026076645E-2</v>
      </c>
    </row>
    <row r="7632" spans="1:14" x14ac:dyDescent="0.45">
      <c r="A7632" t="s">
        <v>12832</v>
      </c>
      <c r="B7632" s="1">
        <v>45337</v>
      </c>
      <c r="C7632" t="s">
        <v>12833</v>
      </c>
      <c r="D7632" t="s">
        <v>13</v>
      </c>
      <c r="E7632" t="s">
        <v>20</v>
      </c>
      <c r="F7632" t="s">
        <v>50</v>
      </c>
      <c r="G7632">
        <v>3</v>
      </c>
      <c r="H7632">
        <v>37370.83</v>
      </c>
      <c r="I7632">
        <v>3687.31</v>
      </c>
      <c r="J7632" t="s">
        <v>71</v>
      </c>
      <c r="K7632" t="s">
        <v>33</v>
      </c>
      <c r="L7632">
        <f t="shared" si="357"/>
        <v>2024</v>
      </c>
      <c r="M7632" t="str">
        <f t="shared" si="358"/>
        <v>Feb</v>
      </c>
      <c r="N7632" s="2">
        <f t="shared" si="359"/>
        <v>9.866813233744072E-2</v>
      </c>
    </row>
    <row r="7633" spans="1:14" x14ac:dyDescent="0.45">
      <c r="A7633" t="s">
        <v>12834</v>
      </c>
      <c r="B7633" s="1">
        <v>45477</v>
      </c>
      <c r="C7633" t="s">
        <v>12835</v>
      </c>
      <c r="D7633" t="s">
        <v>56</v>
      </c>
      <c r="E7633" t="s">
        <v>36</v>
      </c>
      <c r="F7633" t="s">
        <v>37</v>
      </c>
      <c r="G7633">
        <v>5</v>
      </c>
      <c r="H7633">
        <v>7522.73</v>
      </c>
      <c r="I7633">
        <v>1472.41</v>
      </c>
      <c r="J7633" t="s">
        <v>28</v>
      </c>
      <c r="K7633" t="s">
        <v>23</v>
      </c>
      <c r="L7633">
        <f t="shared" si="357"/>
        <v>2024</v>
      </c>
      <c r="M7633" t="str">
        <f t="shared" si="358"/>
        <v>Jul</v>
      </c>
      <c r="N7633" s="2">
        <f t="shared" si="359"/>
        <v>0.19572814656381396</v>
      </c>
    </row>
    <row r="7634" spans="1:14" x14ac:dyDescent="0.45">
      <c r="A7634" t="s">
        <v>12836</v>
      </c>
      <c r="B7634" s="1">
        <v>44821</v>
      </c>
      <c r="C7634" t="s">
        <v>12104</v>
      </c>
      <c r="D7634" t="s">
        <v>26</v>
      </c>
      <c r="E7634" t="s">
        <v>20</v>
      </c>
      <c r="F7634" t="s">
        <v>50</v>
      </c>
      <c r="G7634">
        <v>5</v>
      </c>
      <c r="H7634">
        <v>3868.18</v>
      </c>
      <c r="I7634">
        <v>869.34</v>
      </c>
      <c r="J7634" t="s">
        <v>71</v>
      </c>
      <c r="K7634" t="s">
        <v>17</v>
      </c>
      <c r="L7634">
        <f t="shared" si="357"/>
        <v>2022</v>
      </c>
      <c r="M7634" t="str">
        <f t="shared" si="358"/>
        <v>Sep</v>
      </c>
      <c r="N7634" s="2">
        <f t="shared" si="359"/>
        <v>0.22474135122977734</v>
      </c>
    </row>
    <row r="7635" spans="1:14" x14ac:dyDescent="0.45">
      <c r="A7635" t="s">
        <v>12837</v>
      </c>
      <c r="B7635" s="1">
        <v>45334</v>
      </c>
      <c r="C7635" t="s">
        <v>3970</v>
      </c>
      <c r="D7635" t="s">
        <v>56</v>
      </c>
      <c r="E7635" t="s">
        <v>20</v>
      </c>
      <c r="F7635" t="s">
        <v>43</v>
      </c>
      <c r="G7635">
        <v>5</v>
      </c>
      <c r="H7635">
        <v>34626.92</v>
      </c>
      <c r="I7635">
        <v>5435.88</v>
      </c>
      <c r="J7635" t="s">
        <v>22</v>
      </c>
      <c r="K7635" t="s">
        <v>23</v>
      </c>
      <c r="L7635">
        <f t="shared" si="357"/>
        <v>2024</v>
      </c>
      <c r="M7635" t="str">
        <f t="shared" si="358"/>
        <v>Feb</v>
      </c>
      <c r="N7635" s="2">
        <f t="shared" si="359"/>
        <v>0.15698421921441469</v>
      </c>
    </row>
    <row r="7636" spans="1:14" x14ac:dyDescent="0.45">
      <c r="A7636" t="s">
        <v>12838</v>
      </c>
      <c r="B7636" s="1">
        <v>44966</v>
      </c>
      <c r="C7636" t="s">
        <v>3926</v>
      </c>
      <c r="D7636" t="s">
        <v>56</v>
      </c>
      <c r="E7636" t="s">
        <v>36</v>
      </c>
      <c r="F7636" t="s">
        <v>53</v>
      </c>
      <c r="G7636">
        <v>5</v>
      </c>
      <c r="H7636">
        <v>42255.47</v>
      </c>
      <c r="I7636">
        <v>9866.06</v>
      </c>
      <c r="J7636" t="s">
        <v>28</v>
      </c>
      <c r="K7636" t="s">
        <v>29</v>
      </c>
      <c r="L7636">
        <f t="shared" si="357"/>
        <v>2023</v>
      </c>
      <c r="M7636" t="str">
        <f t="shared" si="358"/>
        <v>Feb</v>
      </c>
      <c r="N7636" s="2">
        <f t="shared" si="359"/>
        <v>0.23348598418145625</v>
      </c>
    </row>
    <row r="7637" spans="1:14" x14ac:dyDescent="0.45">
      <c r="A7637" t="s">
        <v>12839</v>
      </c>
      <c r="B7637" s="1">
        <v>45514</v>
      </c>
      <c r="C7637" t="s">
        <v>5367</v>
      </c>
      <c r="D7637" t="s">
        <v>56</v>
      </c>
      <c r="E7637" t="s">
        <v>20</v>
      </c>
      <c r="F7637" t="s">
        <v>21</v>
      </c>
      <c r="G7637">
        <v>2</v>
      </c>
      <c r="H7637">
        <v>33507.29</v>
      </c>
      <c r="I7637">
        <v>3419.66</v>
      </c>
      <c r="J7637" t="s">
        <v>16</v>
      </c>
      <c r="K7637" t="s">
        <v>23</v>
      </c>
      <c r="L7637">
        <f t="shared" si="357"/>
        <v>2024</v>
      </c>
      <c r="M7637" t="str">
        <f t="shared" si="358"/>
        <v>Aug</v>
      </c>
      <c r="N7637" s="2">
        <f t="shared" si="359"/>
        <v>0.10205719412104051</v>
      </c>
    </row>
    <row r="7638" spans="1:14" x14ac:dyDescent="0.45">
      <c r="A7638" t="s">
        <v>12840</v>
      </c>
      <c r="B7638" s="1">
        <v>44830</v>
      </c>
      <c r="C7638" t="s">
        <v>12841</v>
      </c>
      <c r="D7638" t="s">
        <v>13</v>
      </c>
      <c r="E7638" t="s">
        <v>14</v>
      </c>
      <c r="F7638" t="s">
        <v>15</v>
      </c>
      <c r="G7638">
        <v>4</v>
      </c>
      <c r="H7638">
        <v>15362.94</v>
      </c>
      <c r="I7638">
        <v>3382.05</v>
      </c>
      <c r="J7638" t="s">
        <v>47</v>
      </c>
      <c r="K7638" t="s">
        <v>23</v>
      </c>
      <c r="L7638">
        <f t="shared" si="357"/>
        <v>2022</v>
      </c>
      <c r="M7638" t="str">
        <f t="shared" si="358"/>
        <v>Sep</v>
      </c>
      <c r="N7638" s="2">
        <f t="shared" si="359"/>
        <v>0.22014341005042004</v>
      </c>
    </row>
    <row r="7639" spans="1:14" x14ac:dyDescent="0.45">
      <c r="A7639" t="s">
        <v>12842</v>
      </c>
      <c r="B7639" s="1">
        <v>44910</v>
      </c>
      <c r="C7639" t="s">
        <v>12843</v>
      </c>
      <c r="D7639" t="s">
        <v>56</v>
      </c>
      <c r="E7639" t="s">
        <v>20</v>
      </c>
      <c r="F7639" t="s">
        <v>43</v>
      </c>
      <c r="G7639">
        <v>2</v>
      </c>
      <c r="H7639">
        <v>40630.1</v>
      </c>
      <c r="I7639">
        <v>7465.24</v>
      </c>
      <c r="J7639" t="s">
        <v>47</v>
      </c>
      <c r="K7639" t="s">
        <v>29</v>
      </c>
      <c r="L7639">
        <f t="shared" si="357"/>
        <v>2022</v>
      </c>
      <c r="M7639" t="str">
        <f t="shared" si="358"/>
        <v>Dec</v>
      </c>
      <c r="N7639" s="2">
        <f t="shared" si="359"/>
        <v>0.18373668782503613</v>
      </c>
    </row>
    <row r="7640" spans="1:14" x14ac:dyDescent="0.45">
      <c r="A7640" t="s">
        <v>12844</v>
      </c>
      <c r="B7640" s="1">
        <v>45447</v>
      </c>
      <c r="C7640" t="s">
        <v>12845</v>
      </c>
      <c r="D7640" t="s">
        <v>56</v>
      </c>
      <c r="E7640" t="s">
        <v>36</v>
      </c>
      <c r="F7640" t="s">
        <v>46</v>
      </c>
      <c r="G7640">
        <v>4</v>
      </c>
      <c r="H7640">
        <v>27869.27</v>
      </c>
      <c r="I7640">
        <v>1892.7</v>
      </c>
      <c r="J7640" t="s">
        <v>47</v>
      </c>
      <c r="K7640" t="s">
        <v>17</v>
      </c>
      <c r="L7640">
        <f t="shared" si="357"/>
        <v>2024</v>
      </c>
      <c r="M7640" t="str">
        <f t="shared" si="358"/>
        <v>Jun</v>
      </c>
      <c r="N7640" s="2">
        <f t="shared" si="359"/>
        <v>6.7913511907559829E-2</v>
      </c>
    </row>
    <row r="7641" spans="1:14" x14ac:dyDescent="0.45">
      <c r="A7641" t="s">
        <v>12846</v>
      </c>
      <c r="B7641" s="1">
        <v>45276</v>
      </c>
      <c r="C7641" t="s">
        <v>12847</v>
      </c>
      <c r="D7641" t="s">
        <v>26</v>
      </c>
      <c r="E7641" t="s">
        <v>20</v>
      </c>
      <c r="F7641" t="s">
        <v>27</v>
      </c>
      <c r="G7641">
        <v>1</v>
      </c>
      <c r="H7641">
        <v>29071.95</v>
      </c>
      <c r="I7641">
        <v>2815.22</v>
      </c>
      <c r="J7641" t="s">
        <v>22</v>
      </c>
      <c r="K7641" t="s">
        <v>29</v>
      </c>
      <c r="L7641">
        <f t="shared" si="357"/>
        <v>2023</v>
      </c>
      <c r="M7641" t="str">
        <f t="shared" si="358"/>
        <v>Dec</v>
      </c>
      <c r="N7641" s="2">
        <f t="shared" si="359"/>
        <v>9.6836297530781379E-2</v>
      </c>
    </row>
    <row r="7642" spans="1:14" x14ac:dyDescent="0.45">
      <c r="A7642" t="s">
        <v>12848</v>
      </c>
      <c r="B7642" s="1">
        <v>44568</v>
      </c>
      <c r="C7642" t="s">
        <v>5844</v>
      </c>
      <c r="D7642" t="s">
        <v>56</v>
      </c>
      <c r="E7642" t="s">
        <v>14</v>
      </c>
      <c r="F7642" t="s">
        <v>32</v>
      </c>
      <c r="G7642">
        <v>4</v>
      </c>
      <c r="H7642">
        <v>33743.71</v>
      </c>
      <c r="I7642">
        <v>2794.26</v>
      </c>
      <c r="J7642" t="s">
        <v>47</v>
      </c>
      <c r="K7642" t="s">
        <v>33</v>
      </c>
      <c r="L7642">
        <f t="shared" si="357"/>
        <v>2022</v>
      </c>
      <c r="M7642" t="str">
        <f t="shared" si="358"/>
        <v>Jan</v>
      </c>
      <c r="N7642" s="2">
        <f t="shared" si="359"/>
        <v>8.2808321906512369E-2</v>
      </c>
    </row>
    <row r="7643" spans="1:14" x14ac:dyDescent="0.45">
      <c r="A7643" t="s">
        <v>12849</v>
      </c>
      <c r="B7643" s="1">
        <v>44563</v>
      </c>
      <c r="C7643" t="s">
        <v>12850</v>
      </c>
      <c r="D7643" t="s">
        <v>26</v>
      </c>
      <c r="E7643" t="s">
        <v>14</v>
      </c>
      <c r="F7643" t="s">
        <v>57</v>
      </c>
      <c r="G7643">
        <v>4</v>
      </c>
      <c r="H7643">
        <v>28863.99</v>
      </c>
      <c r="I7643">
        <v>3714.62</v>
      </c>
      <c r="J7643" t="s">
        <v>71</v>
      </c>
      <c r="K7643" t="s">
        <v>29</v>
      </c>
      <c r="L7643">
        <f t="shared" si="357"/>
        <v>2022</v>
      </c>
      <c r="M7643" t="str">
        <f t="shared" si="358"/>
        <v>Jan</v>
      </c>
      <c r="N7643" s="2">
        <f t="shared" si="359"/>
        <v>0.12869391930914609</v>
      </c>
    </row>
    <row r="7644" spans="1:14" x14ac:dyDescent="0.45">
      <c r="A7644" t="s">
        <v>12851</v>
      </c>
      <c r="B7644" s="1">
        <v>44879</v>
      </c>
      <c r="C7644" t="s">
        <v>10975</v>
      </c>
      <c r="D7644" t="s">
        <v>56</v>
      </c>
      <c r="E7644" t="s">
        <v>36</v>
      </c>
      <c r="F7644" t="s">
        <v>37</v>
      </c>
      <c r="G7644">
        <v>2</v>
      </c>
      <c r="H7644">
        <v>19785.66</v>
      </c>
      <c r="I7644">
        <v>3932.87</v>
      </c>
      <c r="J7644" t="s">
        <v>47</v>
      </c>
      <c r="K7644" t="s">
        <v>33</v>
      </c>
      <c r="L7644">
        <f t="shared" si="357"/>
        <v>2022</v>
      </c>
      <c r="M7644" t="str">
        <f t="shared" si="358"/>
        <v>Nov</v>
      </c>
      <c r="N7644" s="2">
        <f t="shared" si="359"/>
        <v>0.1987737583684345</v>
      </c>
    </row>
    <row r="7645" spans="1:14" x14ac:dyDescent="0.45">
      <c r="A7645" t="s">
        <v>12852</v>
      </c>
      <c r="B7645" s="1">
        <v>45350</v>
      </c>
      <c r="C7645" t="s">
        <v>11187</v>
      </c>
      <c r="D7645" t="s">
        <v>13</v>
      </c>
      <c r="E7645" t="s">
        <v>20</v>
      </c>
      <c r="F7645" t="s">
        <v>21</v>
      </c>
      <c r="G7645">
        <v>4</v>
      </c>
      <c r="H7645">
        <v>45820.88</v>
      </c>
      <c r="I7645">
        <v>7590.31</v>
      </c>
      <c r="J7645" t="s">
        <v>22</v>
      </c>
      <c r="K7645" t="s">
        <v>33</v>
      </c>
      <c r="L7645">
        <f t="shared" si="357"/>
        <v>2024</v>
      </c>
      <c r="M7645" t="str">
        <f t="shared" si="358"/>
        <v>Feb</v>
      </c>
      <c r="N7645" s="2">
        <f t="shared" si="359"/>
        <v>0.1656517727289393</v>
      </c>
    </row>
    <row r="7646" spans="1:14" x14ac:dyDescent="0.45">
      <c r="A7646" t="s">
        <v>12853</v>
      </c>
      <c r="B7646" s="1">
        <v>44984</v>
      </c>
      <c r="C7646" t="s">
        <v>12854</v>
      </c>
      <c r="D7646" t="s">
        <v>13</v>
      </c>
      <c r="E7646" t="s">
        <v>36</v>
      </c>
      <c r="F7646" t="s">
        <v>53</v>
      </c>
      <c r="G7646">
        <v>3</v>
      </c>
      <c r="H7646">
        <v>41481.29</v>
      </c>
      <c r="I7646">
        <v>10262.950000000001</v>
      </c>
      <c r="J7646" t="s">
        <v>22</v>
      </c>
      <c r="K7646" t="s">
        <v>17</v>
      </c>
      <c r="L7646">
        <f t="shared" si="357"/>
        <v>2023</v>
      </c>
      <c r="M7646" t="str">
        <f t="shared" si="358"/>
        <v>Feb</v>
      </c>
      <c r="N7646" s="2">
        <f t="shared" si="359"/>
        <v>0.247411543855073</v>
      </c>
    </row>
    <row r="7647" spans="1:14" x14ac:dyDescent="0.45">
      <c r="A7647" t="s">
        <v>12855</v>
      </c>
      <c r="B7647" s="1">
        <v>45018</v>
      </c>
      <c r="C7647" t="s">
        <v>12856</v>
      </c>
      <c r="D7647" t="s">
        <v>56</v>
      </c>
      <c r="E7647" t="s">
        <v>36</v>
      </c>
      <c r="F7647" t="s">
        <v>53</v>
      </c>
      <c r="G7647">
        <v>1</v>
      </c>
      <c r="H7647">
        <v>45754.400000000001</v>
      </c>
      <c r="I7647">
        <v>7541.38</v>
      </c>
      <c r="J7647" t="s">
        <v>16</v>
      </c>
      <c r="K7647" t="s">
        <v>17</v>
      </c>
      <c r="L7647">
        <f t="shared" si="357"/>
        <v>2023</v>
      </c>
      <c r="M7647" t="str">
        <f t="shared" si="358"/>
        <v>Apr</v>
      </c>
      <c r="N7647" s="2">
        <f t="shared" si="359"/>
        <v>0.16482305526900146</v>
      </c>
    </row>
    <row r="7648" spans="1:14" x14ac:dyDescent="0.45">
      <c r="A7648" t="s">
        <v>12857</v>
      </c>
      <c r="B7648" s="1">
        <v>45264</v>
      </c>
      <c r="C7648" t="s">
        <v>10102</v>
      </c>
      <c r="D7648" t="s">
        <v>13</v>
      </c>
      <c r="E7648" t="s">
        <v>36</v>
      </c>
      <c r="F7648" t="s">
        <v>53</v>
      </c>
      <c r="G7648">
        <v>1</v>
      </c>
      <c r="H7648">
        <v>17595.59</v>
      </c>
      <c r="I7648">
        <v>3368.33</v>
      </c>
      <c r="J7648" t="s">
        <v>28</v>
      </c>
      <c r="K7648" t="s">
        <v>17</v>
      </c>
      <c r="L7648">
        <f t="shared" si="357"/>
        <v>2023</v>
      </c>
      <c r="M7648" t="str">
        <f t="shared" si="358"/>
        <v>Dec</v>
      </c>
      <c r="N7648" s="2">
        <f t="shared" si="359"/>
        <v>0.19143035271906197</v>
      </c>
    </row>
    <row r="7649" spans="1:14" x14ac:dyDescent="0.45">
      <c r="A7649" t="s">
        <v>12858</v>
      </c>
      <c r="B7649" s="1">
        <v>44953</v>
      </c>
      <c r="C7649" t="s">
        <v>2934</v>
      </c>
      <c r="D7649" t="s">
        <v>13</v>
      </c>
      <c r="E7649" t="s">
        <v>20</v>
      </c>
      <c r="F7649" t="s">
        <v>21</v>
      </c>
      <c r="G7649">
        <v>4</v>
      </c>
      <c r="H7649">
        <v>48607.519999999997</v>
      </c>
      <c r="I7649">
        <v>5450.26</v>
      </c>
      <c r="J7649" t="s">
        <v>16</v>
      </c>
      <c r="K7649" t="s">
        <v>33</v>
      </c>
      <c r="L7649">
        <f t="shared" si="357"/>
        <v>2023</v>
      </c>
      <c r="M7649" t="str">
        <f t="shared" si="358"/>
        <v>Jan</v>
      </c>
      <c r="N7649" s="2">
        <f t="shared" si="359"/>
        <v>0.11212791765553973</v>
      </c>
    </row>
    <row r="7650" spans="1:14" x14ac:dyDescent="0.45">
      <c r="A7650" t="s">
        <v>12859</v>
      </c>
      <c r="B7650" s="1">
        <v>45044</v>
      </c>
      <c r="C7650" t="s">
        <v>12860</v>
      </c>
      <c r="D7650" t="s">
        <v>13</v>
      </c>
      <c r="E7650" t="s">
        <v>14</v>
      </c>
      <c r="F7650" t="s">
        <v>40</v>
      </c>
      <c r="G7650">
        <v>3</v>
      </c>
      <c r="H7650">
        <v>15692.16</v>
      </c>
      <c r="I7650">
        <v>973.74</v>
      </c>
      <c r="J7650" t="s">
        <v>47</v>
      </c>
      <c r="K7650" t="s">
        <v>29</v>
      </c>
      <c r="L7650">
        <f t="shared" si="357"/>
        <v>2023</v>
      </c>
      <c r="M7650" t="str">
        <f t="shared" si="358"/>
        <v>Apr</v>
      </c>
      <c r="N7650" s="2">
        <f t="shared" si="359"/>
        <v>6.2052642848403283E-2</v>
      </c>
    </row>
    <row r="7651" spans="1:14" x14ac:dyDescent="0.45">
      <c r="A7651" t="s">
        <v>12861</v>
      </c>
      <c r="B7651" s="1">
        <v>45032</v>
      </c>
      <c r="C7651" t="s">
        <v>10495</v>
      </c>
      <c r="D7651" t="s">
        <v>26</v>
      </c>
      <c r="E7651" t="s">
        <v>20</v>
      </c>
      <c r="F7651" t="s">
        <v>21</v>
      </c>
      <c r="G7651">
        <v>2</v>
      </c>
      <c r="H7651">
        <v>45934.61</v>
      </c>
      <c r="I7651">
        <v>11357.51</v>
      </c>
      <c r="J7651" t="s">
        <v>22</v>
      </c>
      <c r="K7651" t="s">
        <v>23</v>
      </c>
      <c r="L7651">
        <f t="shared" si="357"/>
        <v>2023</v>
      </c>
      <c r="M7651" t="str">
        <f t="shared" si="358"/>
        <v>Apr</v>
      </c>
      <c r="N7651" s="2">
        <f t="shared" si="359"/>
        <v>0.24725386805286906</v>
      </c>
    </row>
    <row r="7652" spans="1:14" x14ac:dyDescent="0.45">
      <c r="A7652" t="s">
        <v>12862</v>
      </c>
      <c r="B7652" s="1">
        <v>44758</v>
      </c>
      <c r="C7652" t="s">
        <v>1077</v>
      </c>
      <c r="D7652" t="s">
        <v>56</v>
      </c>
      <c r="E7652" t="s">
        <v>14</v>
      </c>
      <c r="F7652" t="s">
        <v>40</v>
      </c>
      <c r="G7652">
        <v>1</v>
      </c>
      <c r="H7652">
        <v>13419.62</v>
      </c>
      <c r="I7652">
        <v>1054.77</v>
      </c>
      <c r="J7652" t="s">
        <v>47</v>
      </c>
      <c r="K7652" t="s">
        <v>33</v>
      </c>
      <c r="L7652">
        <f t="shared" si="357"/>
        <v>2022</v>
      </c>
      <c r="M7652" t="str">
        <f t="shared" si="358"/>
        <v>Jul</v>
      </c>
      <c r="N7652" s="2">
        <f t="shared" si="359"/>
        <v>7.8599095950555975E-2</v>
      </c>
    </row>
    <row r="7653" spans="1:14" x14ac:dyDescent="0.45">
      <c r="A7653" t="s">
        <v>12863</v>
      </c>
      <c r="B7653" s="1">
        <v>45582</v>
      </c>
      <c r="C7653" t="s">
        <v>712</v>
      </c>
      <c r="D7653" t="s">
        <v>13</v>
      </c>
      <c r="E7653" t="s">
        <v>20</v>
      </c>
      <c r="F7653" t="s">
        <v>27</v>
      </c>
      <c r="G7653">
        <v>5</v>
      </c>
      <c r="H7653">
        <v>42776.65</v>
      </c>
      <c r="I7653">
        <v>4127.76</v>
      </c>
      <c r="J7653" t="s">
        <v>71</v>
      </c>
      <c r="K7653" t="s">
        <v>29</v>
      </c>
      <c r="L7653">
        <f t="shared" si="357"/>
        <v>2024</v>
      </c>
      <c r="M7653" t="str">
        <f t="shared" si="358"/>
        <v>Oct</v>
      </c>
      <c r="N7653" s="2">
        <f t="shared" si="359"/>
        <v>9.649563488491969E-2</v>
      </c>
    </row>
    <row r="7654" spans="1:14" x14ac:dyDescent="0.45">
      <c r="A7654" t="s">
        <v>12864</v>
      </c>
      <c r="B7654" s="1">
        <v>44698</v>
      </c>
      <c r="C7654" t="s">
        <v>12865</v>
      </c>
      <c r="D7654" t="s">
        <v>56</v>
      </c>
      <c r="E7654" t="s">
        <v>36</v>
      </c>
      <c r="F7654" t="s">
        <v>64</v>
      </c>
      <c r="G7654">
        <v>2</v>
      </c>
      <c r="H7654">
        <v>2427.2600000000002</v>
      </c>
      <c r="I7654">
        <v>478.35</v>
      </c>
      <c r="J7654" t="s">
        <v>71</v>
      </c>
      <c r="K7654" t="s">
        <v>29</v>
      </c>
      <c r="L7654">
        <f t="shared" si="357"/>
        <v>2022</v>
      </c>
      <c r="M7654" t="str">
        <f t="shared" si="358"/>
        <v>May</v>
      </c>
      <c r="N7654" s="2">
        <f t="shared" si="359"/>
        <v>0.19707406705503325</v>
      </c>
    </row>
    <row r="7655" spans="1:14" x14ac:dyDescent="0.45">
      <c r="A7655" t="s">
        <v>12866</v>
      </c>
      <c r="B7655" s="1">
        <v>45465</v>
      </c>
      <c r="C7655" t="s">
        <v>3222</v>
      </c>
      <c r="D7655" t="s">
        <v>13</v>
      </c>
      <c r="E7655" t="s">
        <v>36</v>
      </c>
      <c r="F7655" t="s">
        <v>46</v>
      </c>
      <c r="G7655">
        <v>2</v>
      </c>
      <c r="H7655">
        <v>27493.23</v>
      </c>
      <c r="I7655">
        <v>6716.52</v>
      </c>
      <c r="J7655" t="s">
        <v>16</v>
      </c>
      <c r="K7655" t="s">
        <v>29</v>
      </c>
      <c r="L7655">
        <f t="shared" si="357"/>
        <v>2024</v>
      </c>
      <c r="M7655" t="str">
        <f t="shared" si="358"/>
        <v>Jun</v>
      </c>
      <c r="N7655" s="2">
        <f t="shared" si="359"/>
        <v>0.24429723244595125</v>
      </c>
    </row>
    <row r="7656" spans="1:14" x14ac:dyDescent="0.45">
      <c r="A7656" t="s">
        <v>12867</v>
      </c>
      <c r="B7656" s="1">
        <v>45595</v>
      </c>
      <c r="C7656" t="s">
        <v>11814</v>
      </c>
      <c r="D7656" t="s">
        <v>13</v>
      </c>
      <c r="E7656" t="s">
        <v>14</v>
      </c>
      <c r="F7656" t="s">
        <v>15</v>
      </c>
      <c r="G7656">
        <v>3</v>
      </c>
      <c r="H7656">
        <v>2866.27</v>
      </c>
      <c r="I7656">
        <v>295.42</v>
      </c>
      <c r="J7656" t="s">
        <v>71</v>
      </c>
      <c r="K7656" t="s">
        <v>29</v>
      </c>
      <c r="L7656">
        <f t="shared" si="357"/>
        <v>2024</v>
      </c>
      <c r="M7656" t="str">
        <f t="shared" si="358"/>
        <v>Oct</v>
      </c>
      <c r="N7656" s="2">
        <f t="shared" si="359"/>
        <v>0.10306775007239374</v>
      </c>
    </row>
    <row r="7657" spans="1:14" x14ac:dyDescent="0.45">
      <c r="A7657" t="s">
        <v>12868</v>
      </c>
      <c r="B7657" s="1">
        <v>45411</v>
      </c>
      <c r="C7657" t="s">
        <v>6572</v>
      </c>
      <c r="D7657" t="s">
        <v>13</v>
      </c>
      <c r="E7657" t="s">
        <v>20</v>
      </c>
      <c r="F7657" t="s">
        <v>21</v>
      </c>
      <c r="G7657">
        <v>1</v>
      </c>
      <c r="H7657">
        <v>12551.23</v>
      </c>
      <c r="I7657">
        <v>2735.96</v>
      </c>
      <c r="J7657" t="s">
        <v>71</v>
      </c>
      <c r="K7657" t="s">
        <v>17</v>
      </c>
      <c r="L7657">
        <f t="shared" si="357"/>
        <v>2024</v>
      </c>
      <c r="M7657" t="str">
        <f t="shared" si="358"/>
        <v>Apr</v>
      </c>
      <c r="N7657" s="2">
        <f t="shared" si="359"/>
        <v>0.21798341676473143</v>
      </c>
    </row>
    <row r="7658" spans="1:14" x14ac:dyDescent="0.45">
      <c r="A7658" t="s">
        <v>12869</v>
      </c>
      <c r="B7658" s="1">
        <v>45365</v>
      </c>
      <c r="C7658" t="s">
        <v>12870</v>
      </c>
      <c r="D7658" t="s">
        <v>56</v>
      </c>
      <c r="E7658" t="s">
        <v>14</v>
      </c>
      <c r="F7658" t="s">
        <v>15</v>
      </c>
      <c r="G7658">
        <v>2</v>
      </c>
      <c r="H7658">
        <v>45495.51</v>
      </c>
      <c r="I7658">
        <v>3004.77</v>
      </c>
      <c r="J7658" t="s">
        <v>47</v>
      </c>
      <c r="K7658" t="s">
        <v>29</v>
      </c>
      <c r="L7658">
        <f t="shared" si="357"/>
        <v>2024</v>
      </c>
      <c r="M7658" t="str">
        <f t="shared" si="358"/>
        <v>Mar</v>
      </c>
      <c r="N7658" s="2">
        <f t="shared" si="359"/>
        <v>6.6045418547896265E-2</v>
      </c>
    </row>
    <row r="7659" spans="1:14" x14ac:dyDescent="0.45">
      <c r="A7659" t="s">
        <v>12871</v>
      </c>
      <c r="B7659" s="1">
        <v>44587</v>
      </c>
      <c r="C7659" t="s">
        <v>1840</v>
      </c>
      <c r="D7659" t="s">
        <v>13</v>
      </c>
      <c r="E7659" t="s">
        <v>36</v>
      </c>
      <c r="F7659" t="s">
        <v>64</v>
      </c>
      <c r="G7659">
        <v>4</v>
      </c>
      <c r="H7659">
        <v>30262.74</v>
      </c>
      <c r="I7659">
        <v>2349.58</v>
      </c>
      <c r="J7659" t="s">
        <v>47</v>
      </c>
      <c r="K7659" t="s">
        <v>17</v>
      </c>
      <c r="L7659">
        <f t="shared" si="357"/>
        <v>2022</v>
      </c>
      <c r="M7659" t="str">
        <f t="shared" si="358"/>
        <v>Jan</v>
      </c>
      <c r="N7659" s="2">
        <f t="shared" si="359"/>
        <v>7.7639367750573798E-2</v>
      </c>
    </row>
    <row r="7660" spans="1:14" x14ac:dyDescent="0.45">
      <c r="A7660" t="s">
        <v>12872</v>
      </c>
      <c r="B7660" s="1">
        <v>45153</v>
      </c>
      <c r="C7660" t="s">
        <v>3903</v>
      </c>
      <c r="D7660" t="s">
        <v>26</v>
      </c>
      <c r="E7660" t="s">
        <v>20</v>
      </c>
      <c r="F7660" t="s">
        <v>21</v>
      </c>
      <c r="G7660">
        <v>2</v>
      </c>
      <c r="H7660">
        <v>16019.76</v>
      </c>
      <c r="I7660">
        <v>3362.32</v>
      </c>
      <c r="J7660" t="s">
        <v>47</v>
      </c>
      <c r="K7660" t="s">
        <v>33</v>
      </c>
      <c r="L7660">
        <f t="shared" si="357"/>
        <v>2023</v>
      </c>
      <c r="M7660" t="str">
        <f t="shared" si="358"/>
        <v>Aug</v>
      </c>
      <c r="N7660" s="2">
        <f t="shared" si="359"/>
        <v>0.20988579104805566</v>
      </c>
    </row>
    <row r="7661" spans="1:14" x14ac:dyDescent="0.45">
      <c r="A7661" t="s">
        <v>12873</v>
      </c>
      <c r="B7661" s="1">
        <v>45444</v>
      </c>
      <c r="C7661" t="s">
        <v>12874</v>
      </c>
      <c r="D7661" t="s">
        <v>26</v>
      </c>
      <c r="E7661" t="s">
        <v>14</v>
      </c>
      <c r="F7661" t="s">
        <v>15</v>
      </c>
      <c r="G7661">
        <v>2</v>
      </c>
      <c r="H7661">
        <v>31111.15</v>
      </c>
      <c r="I7661">
        <v>3548.51</v>
      </c>
      <c r="J7661" t="s">
        <v>71</v>
      </c>
      <c r="K7661" t="s">
        <v>29</v>
      </c>
      <c r="L7661">
        <f t="shared" si="357"/>
        <v>2024</v>
      </c>
      <c r="M7661" t="str">
        <f t="shared" si="358"/>
        <v>Jun</v>
      </c>
      <c r="N7661" s="2">
        <f t="shared" si="359"/>
        <v>0.11405910742611572</v>
      </c>
    </row>
    <row r="7662" spans="1:14" x14ac:dyDescent="0.45">
      <c r="A7662" t="s">
        <v>12875</v>
      </c>
      <c r="B7662" s="1">
        <v>44835</v>
      </c>
      <c r="C7662" t="s">
        <v>4572</v>
      </c>
      <c r="D7662" t="s">
        <v>13</v>
      </c>
      <c r="E7662" t="s">
        <v>14</v>
      </c>
      <c r="F7662" t="s">
        <v>40</v>
      </c>
      <c r="G7662">
        <v>5</v>
      </c>
      <c r="H7662">
        <v>10797.11</v>
      </c>
      <c r="I7662">
        <v>2435.08</v>
      </c>
      <c r="J7662" t="s">
        <v>28</v>
      </c>
      <c r="K7662" t="s">
        <v>17</v>
      </c>
      <c r="L7662">
        <f t="shared" si="357"/>
        <v>2022</v>
      </c>
      <c r="M7662" t="str">
        <f t="shared" si="358"/>
        <v>Oct</v>
      </c>
      <c r="N7662" s="2">
        <f t="shared" si="359"/>
        <v>0.22553072072063726</v>
      </c>
    </row>
    <row r="7663" spans="1:14" x14ac:dyDescent="0.45">
      <c r="A7663" t="s">
        <v>12876</v>
      </c>
      <c r="B7663" s="1">
        <v>44611</v>
      </c>
      <c r="C7663" t="s">
        <v>5282</v>
      </c>
      <c r="D7663" t="s">
        <v>13</v>
      </c>
      <c r="E7663" t="s">
        <v>20</v>
      </c>
      <c r="F7663" t="s">
        <v>50</v>
      </c>
      <c r="G7663">
        <v>5</v>
      </c>
      <c r="H7663">
        <v>46164.25</v>
      </c>
      <c r="I7663">
        <v>7116.2</v>
      </c>
      <c r="J7663" t="s">
        <v>16</v>
      </c>
      <c r="K7663" t="s">
        <v>29</v>
      </c>
      <c r="L7663">
        <f t="shared" si="357"/>
        <v>2022</v>
      </c>
      <c r="M7663" t="str">
        <f t="shared" si="358"/>
        <v>Feb</v>
      </c>
      <c r="N7663" s="2">
        <f t="shared" si="359"/>
        <v>0.15414958544761367</v>
      </c>
    </row>
    <row r="7664" spans="1:14" x14ac:dyDescent="0.45">
      <c r="A7664" t="s">
        <v>12877</v>
      </c>
      <c r="B7664" s="1">
        <v>45176</v>
      </c>
      <c r="C7664" t="s">
        <v>12878</v>
      </c>
      <c r="D7664" t="s">
        <v>26</v>
      </c>
      <c r="E7664" t="s">
        <v>14</v>
      </c>
      <c r="F7664" t="s">
        <v>15</v>
      </c>
      <c r="G7664">
        <v>1</v>
      </c>
      <c r="H7664">
        <v>47882.91</v>
      </c>
      <c r="I7664">
        <v>10190.77</v>
      </c>
      <c r="J7664" t="s">
        <v>28</v>
      </c>
      <c r="K7664" t="s">
        <v>29</v>
      </c>
      <c r="L7664">
        <f t="shared" si="357"/>
        <v>2023</v>
      </c>
      <c r="M7664" t="str">
        <f t="shared" si="358"/>
        <v>Sep</v>
      </c>
      <c r="N7664" s="2">
        <f t="shared" si="359"/>
        <v>0.21282687288638055</v>
      </c>
    </row>
    <row r="7665" spans="1:14" x14ac:dyDescent="0.45">
      <c r="A7665" t="s">
        <v>12879</v>
      </c>
      <c r="B7665" s="1">
        <v>45393</v>
      </c>
      <c r="C7665" t="s">
        <v>11232</v>
      </c>
      <c r="D7665" t="s">
        <v>13</v>
      </c>
      <c r="E7665" t="s">
        <v>14</v>
      </c>
      <c r="F7665" t="s">
        <v>40</v>
      </c>
      <c r="G7665">
        <v>5</v>
      </c>
      <c r="H7665">
        <v>13045.89</v>
      </c>
      <c r="I7665">
        <v>2759.47</v>
      </c>
      <c r="J7665" t="s">
        <v>47</v>
      </c>
      <c r="K7665" t="s">
        <v>23</v>
      </c>
      <c r="L7665">
        <f t="shared" si="357"/>
        <v>2024</v>
      </c>
      <c r="M7665" t="str">
        <f t="shared" si="358"/>
        <v>Apr</v>
      </c>
      <c r="N7665" s="2">
        <f t="shared" si="359"/>
        <v>0.21152025657122664</v>
      </c>
    </row>
    <row r="7666" spans="1:14" x14ac:dyDescent="0.45">
      <c r="A7666" t="s">
        <v>12880</v>
      </c>
      <c r="B7666" s="1">
        <v>45557</v>
      </c>
      <c r="C7666" t="s">
        <v>12881</v>
      </c>
      <c r="D7666" t="s">
        <v>26</v>
      </c>
      <c r="E7666" t="s">
        <v>14</v>
      </c>
      <c r="F7666" t="s">
        <v>32</v>
      </c>
      <c r="G7666">
        <v>5</v>
      </c>
      <c r="H7666">
        <v>42930.27</v>
      </c>
      <c r="I7666">
        <v>8677.33</v>
      </c>
      <c r="J7666" t="s">
        <v>22</v>
      </c>
      <c r="K7666" t="s">
        <v>33</v>
      </c>
      <c r="L7666">
        <f t="shared" si="357"/>
        <v>2024</v>
      </c>
      <c r="M7666" t="str">
        <f t="shared" si="358"/>
        <v>Sep</v>
      </c>
      <c r="N7666" s="2">
        <f t="shared" si="359"/>
        <v>0.20212614549128158</v>
      </c>
    </row>
    <row r="7667" spans="1:14" x14ac:dyDescent="0.45">
      <c r="A7667" t="s">
        <v>12882</v>
      </c>
      <c r="B7667" s="1">
        <v>44730</v>
      </c>
      <c r="C7667" t="s">
        <v>5045</v>
      </c>
      <c r="D7667" t="s">
        <v>26</v>
      </c>
      <c r="E7667" t="s">
        <v>36</v>
      </c>
      <c r="F7667" t="s">
        <v>46</v>
      </c>
      <c r="G7667">
        <v>1</v>
      </c>
      <c r="H7667">
        <v>21313.53</v>
      </c>
      <c r="I7667">
        <v>3251.9</v>
      </c>
      <c r="J7667" t="s">
        <v>71</v>
      </c>
      <c r="K7667" t="s">
        <v>17</v>
      </c>
      <c r="L7667">
        <f t="shared" si="357"/>
        <v>2022</v>
      </c>
      <c r="M7667" t="str">
        <f t="shared" si="358"/>
        <v>Jun</v>
      </c>
      <c r="N7667" s="2">
        <f t="shared" si="359"/>
        <v>0.15257444449605487</v>
      </c>
    </row>
    <row r="7668" spans="1:14" x14ac:dyDescent="0.45">
      <c r="A7668" t="s">
        <v>12883</v>
      </c>
      <c r="B7668" s="1">
        <v>45310</v>
      </c>
      <c r="C7668" t="s">
        <v>12884</v>
      </c>
      <c r="D7668" t="s">
        <v>56</v>
      </c>
      <c r="E7668" t="s">
        <v>36</v>
      </c>
      <c r="F7668" t="s">
        <v>46</v>
      </c>
      <c r="G7668">
        <v>4</v>
      </c>
      <c r="H7668">
        <v>14463.31</v>
      </c>
      <c r="I7668">
        <v>3568.89</v>
      </c>
      <c r="J7668" t="s">
        <v>28</v>
      </c>
      <c r="K7668" t="s">
        <v>29</v>
      </c>
      <c r="L7668">
        <f t="shared" si="357"/>
        <v>2024</v>
      </c>
      <c r="M7668" t="str">
        <f t="shared" si="358"/>
        <v>Jan</v>
      </c>
      <c r="N7668" s="2">
        <f t="shared" si="359"/>
        <v>0.24675471935538959</v>
      </c>
    </row>
    <row r="7669" spans="1:14" x14ac:dyDescent="0.45">
      <c r="A7669" t="s">
        <v>12885</v>
      </c>
      <c r="B7669" s="1">
        <v>44569</v>
      </c>
      <c r="C7669" t="s">
        <v>12886</v>
      </c>
      <c r="D7669" t="s">
        <v>13</v>
      </c>
      <c r="E7669" t="s">
        <v>14</v>
      </c>
      <c r="F7669" t="s">
        <v>40</v>
      </c>
      <c r="G7669">
        <v>1</v>
      </c>
      <c r="H7669">
        <v>33925.1</v>
      </c>
      <c r="I7669">
        <v>4803.1499999999996</v>
      </c>
      <c r="J7669" t="s">
        <v>47</v>
      </c>
      <c r="K7669" t="s">
        <v>29</v>
      </c>
      <c r="L7669">
        <f t="shared" si="357"/>
        <v>2022</v>
      </c>
      <c r="M7669" t="str">
        <f t="shared" si="358"/>
        <v>Jan</v>
      </c>
      <c r="N7669" s="2">
        <f t="shared" si="359"/>
        <v>0.14158101228883629</v>
      </c>
    </row>
    <row r="7670" spans="1:14" x14ac:dyDescent="0.45">
      <c r="A7670" t="s">
        <v>12887</v>
      </c>
      <c r="B7670" s="1">
        <v>45537</v>
      </c>
      <c r="C7670" t="s">
        <v>10399</v>
      </c>
      <c r="D7670" t="s">
        <v>56</v>
      </c>
      <c r="E7670" t="s">
        <v>20</v>
      </c>
      <c r="F7670" t="s">
        <v>43</v>
      </c>
      <c r="G7670">
        <v>4</v>
      </c>
      <c r="H7670">
        <v>31329.84</v>
      </c>
      <c r="I7670">
        <v>3890.28</v>
      </c>
      <c r="J7670" t="s">
        <v>47</v>
      </c>
      <c r="K7670" t="s">
        <v>23</v>
      </c>
      <c r="L7670">
        <f t="shared" si="357"/>
        <v>2024</v>
      </c>
      <c r="M7670" t="str">
        <f t="shared" si="358"/>
        <v>Sep</v>
      </c>
      <c r="N7670" s="2">
        <f t="shared" si="359"/>
        <v>0.12417171616580232</v>
      </c>
    </row>
    <row r="7671" spans="1:14" x14ac:dyDescent="0.45">
      <c r="A7671" t="s">
        <v>12888</v>
      </c>
      <c r="B7671" s="1">
        <v>45275</v>
      </c>
      <c r="C7671" t="s">
        <v>6029</v>
      </c>
      <c r="D7671" t="s">
        <v>56</v>
      </c>
      <c r="E7671" t="s">
        <v>36</v>
      </c>
      <c r="F7671" t="s">
        <v>53</v>
      </c>
      <c r="G7671">
        <v>2</v>
      </c>
      <c r="H7671">
        <v>15721.51</v>
      </c>
      <c r="I7671">
        <v>1103.52</v>
      </c>
      <c r="J7671" t="s">
        <v>47</v>
      </c>
      <c r="K7671" t="s">
        <v>29</v>
      </c>
      <c r="L7671">
        <f t="shared" si="357"/>
        <v>2023</v>
      </c>
      <c r="M7671" t="str">
        <f t="shared" si="358"/>
        <v>Dec</v>
      </c>
      <c r="N7671" s="2">
        <f t="shared" si="359"/>
        <v>7.0191730946963737E-2</v>
      </c>
    </row>
    <row r="7672" spans="1:14" x14ac:dyDescent="0.45">
      <c r="A7672" t="s">
        <v>12889</v>
      </c>
      <c r="B7672" s="1">
        <v>45021</v>
      </c>
      <c r="C7672" t="s">
        <v>5955</v>
      </c>
      <c r="D7672" t="s">
        <v>13</v>
      </c>
      <c r="E7672" t="s">
        <v>14</v>
      </c>
      <c r="F7672" t="s">
        <v>32</v>
      </c>
      <c r="G7672">
        <v>3</v>
      </c>
      <c r="H7672">
        <v>34033.129999999997</v>
      </c>
      <c r="I7672">
        <v>7667.69</v>
      </c>
      <c r="J7672" t="s">
        <v>71</v>
      </c>
      <c r="K7672" t="s">
        <v>17</v>
      </c>
      <c r="L7672">
        <f t="shared" si="357"/>
        <v>2023</v>
      </c>
      <c r="M7672" t="str">
        <f t="shared" si="358"/>
        <v>Apr</v>
      </c>
      <c r="N7672" s="2">
        <f t="shared" si="359"/>
        <v>0.22530075840805711</v>
      </c>
    </row>
    <row r="7673" spans="1:14" x14ac:dyDescent="0.45">
      <c r="A7673" t="s">
        <v>12890</v>
      </c>
      <c r="B7673" s="1">
        <v>44593</v>
      </c>
      <c r="C7673" t="s">
        <v>12891</v>
      </c>
      <c r="D7673" t="s">
        <v>26</v>
      </c>
      <c r="E7673" t="s">
        <v>14</v>
      </c>
      <c r="F7673" t="s">
        <v>15</v>
      </c>
      <c r="G7673">
        <v>4</v>
      </c>
      <c r="H7673">
        <v>37736.93</v>
      </c>
      <c r="I7673">
        <v>8084.29</v>
      </c>
      <c r="J7673" t="s">
        <v>71</v>
      </c>
      <c r="K7673" t="s">
        <v>17</v>
      </c>
      <c r="L7673">
        <f t="shared" si="357"/>
        <v>2022</v>
      </c>
      <c r="M7673" t="str">
        <f t="shared" si="358"/>
        <v>Feb</v>
      </c>
      <c r="N7673" s="2">
        <f t="shared" si="359"/>
        <v>0.21422754845187458</v>
      </c>
    </row>
    <row r="7674" spans="1:14" x14ac:dyDescent="0.45">
      <c r="A7674" t="s">
        <v>12892</v>
      </c>
      <c r="B7674" s="1">
        <v>45010</v>
      </c>
      <c r="C7674" t="s">
        <v>12893</v>
      </c>
      <c r="D7674" t="s">
        <v>56</v>
      </c>
      <c r="E7674" t="s">
        <v>36</v>
      </c>
      <c r="F7674" t="s">
        <v>37</v>
      </c>
      <c r="G7674">
        <v>5</v>
      </c>
      <c r="H7674">
        <v>44104.27</v>
      </c>
      <c r="I7674">
        <v>9564.9599999999991</v>
      </c>
      <c r="J7674" t="s">
        <v>22</v>
      </c>
      <c r="K7674" t="s">
        <v>33</v>
      </c>
      <c r="L7674">
        <f t="shared" si="357"/>
        <v>2023</v>
      </c>
      <c r="M7674" t="str">
        <f t="shared" si="358"/>
        <v>Mar</v>
      </c>
      <c r="N7674" s="2">
        <f t="shared" si="359"/>
        <v>0.2168715183359797</v>
      </c>
    </row>
    <row r="7675" spans="1:14" x14ac:dyDescent="0.45">
      <c r="A7675" t="s">
        <v>12894</v>
      </c>
      <c r="B7675" s="1">
        <v>45390</v>
      </c>
      <c r="C7675" t="s">
        <v>12895</v>
      </c>
      <c r="D7675" t="s">
        <v>13</v>
      </c>
      <c r="E7675" t="s">
        <v>36</v>
      </c>
      <c r="F7675" t="s">
        <v>53</v>
      </c>
      <c r="G7675">
        <v>5</v>
      </c>
      <c r="H7675">
        <v>45962.71</v>
      </c>
      <c r="I7675">
        <v>11170.57</v>
      </c>
      <c r="J7675" t="s">
        <v>47</v>
      </c>
      <c r="K7675" t="s">
        <v>33</v>
      </c>
      <c r="L7675">
        <f t="shared" si="357"/>
        <v>2024</v>
      </c>
      <c r="M7675" t="str">
        <f t="shared" si="358"/>
        <v>Apr</v>
      </c>
      <c r="N7675" s="2">
        <f t="shared" si="359"/>
        <v>0.24303549551364573</v>
      </c>
    </row>
    <row r="7676" spans="1:14" x14ac:dyDescent="0.45">
      <c r="A7676" t="s">
        <v>12896</v>
      </c>
      <c r="B7676" s="1">
        <v>45544</v>
      </c>
      <c r="C7676" t="s">
        <v>1444</v>
      </c>
      <c r="D7676" t="s">
        <v>26</v>
      </c>
      <c r="E7676" t="s">
        <v>36</v>
      </c>
      <c r="F7676" t="s">
        <v>64</v>
      </c>
      <c r="G7676">
        <v>1</v>
      </c>
      <c r="H7676">
        <v>37198.639999999999</v>
      </c>
      <c r="I7676">
        <v>4095.35</v>
      </c>
      <c r="J7676" t="s">
        <v>22</v>
      </c>
      <c r="K7676" t="s">
        <v>33</v>
      </c>
      <c r="L7676">
        <f t="shared" si="357"/>
        <v>2024</v>
      </c>
      <c r="M7676" t="str">
        <f t="shared" si="358"/>
        <v>Sep</v>
      </c>
      <c r="N7676" s="2">
        <f t="shared" si="359"/>
        <v>0.11009407870825386</v>
      </c>
    </row>
    <row r="7677" spans="1:14" x14ac:dyDescent="0.45">
      <c r="A7677" t="s">
        <v>12897</v>
      </c>
      <c r="B7677" s="1">
        <v>45472</v>
      </c>
      <c r="C7677" t="s">
        <v>12898</v>
      </c>
      <c r="D7677" t="s">
        <v>13</v>
      </c>
      <c r="E7677" t="s">
        <v>20</v>
      </c>
      <c r="F7677" t="s">
        <v>21</v>
      </c>
      <c r="G7677">
        <v>5</v>
      </c>
      <c r="H7677">
        <v>27704</v>
      </c>
      <c r="I7677">
        <v>4774.59</v>
      </c>
      <c r="J7677" t="s">
        <v>16</v>
      </c>
      <c r="K7677" t="s">
        <v>29</v>
      </c>
      <c r="L7677">
        <f t="shared" si="357"/>
        <v>2024</v>
      </c>
      <c r="M7677" t="str">
        <f t="shared" si="358"/>
        <v>Jun</v>
      </c>
      <c r="N7677" s="2">
        <f t="shared" si="359"/>
        <v>0.17234298296274908</v>
      </c>
    </row>
    <row r="7678" spans="1:14" x14ac:dyDescent="0.45">
      <c r="A7678" t="s">
        <v>12899</v>
      </c>
      <c r="B7678" s="1">
        <v>45232</v>
      </c>
      <c r="C7678" t="s">
        <v>4474</v>
      </c>
      <c r="D7678" t="s">
        <v>13</v>
      </c>
      <c r="E7678" t="s">
        <v>20</v>
      </c>
      <c r="F7678" t="s">
        <v>43</v>
      </c>
      <c r="G7678">
        <v>3</v>
      </c>
      <c r="H7678">
        <v>49604.29</v>
      </c>
      <c r="I7678">
        <v>3207.96</v>
      </c>
      <c r="J7678" t="s">
        <v>16</v>
      </c>
      <c r="K7678" t="s">
        <v>29</v>
      </c>
      <c r="L7678">
        <f t="shared" si="357"/>
        <v>2023</v>
      </c>
      <c r="M7678" t="str">
        <f t="shared" si="358"/>
        <v>Nov</v>
      </c>
      <c r="N7678" s="2">
        <f t="shared" si="359"/>
        <v>6.4671019381589784E-2</v>
      </c>
    </row>
    <row r="7679" spans="1:14" x14ac:dyDescent="0.45">
      <c r="A7679" t="s">
        <v>12900</v>
      </c>
      <c r="B7679" s="1">
        <v>44872</v>
      </c>
      <c r="C7679" t="s">
        <v>12901</v>
      </c>
      <c r="D7679" t="s">
        <v>26</v>
      </c>
      <c r="E7679" t="s">
        <v>14</v>
      </c>
      <c r="F7679" t="s">
        <v>57</v>
      </c>
      <c r="G7679">
        <v>2</v>
      </c>
      <c r="H7679">
        <v>45641.84</v>
      </c>
      <c r="I7679">
        <v>6352.64</v>
      </c>
      <c r="J7679" t="s">
        <v>28</v>
      </c>
      <c r="K7679" t="s">
        <v>29</v>
      </c>
      <c r="L7679">
        <f t="shared" si="357"/>
        <v>2022</v>
      </c>
      <c r="M7679" t="str">
        <f t="shared" si="358"/>
        <v>Nov</v>
      </c>
      <c r="N7679" s="2">
        <f t="shared" si="359"/>
        <v>0.13918457275166823</v>
      </c>
    </row>
    <row r="7680" spans="1:14" x14ac:dyDescent="0.45">
      <c r="A7680" t="s">
        <v>12902</v>
      </c>
      <c r="B7680" s="1">
        <v>45306</v>
      </c>
      <c r="C7680" t="s">
        <v>12903</v>
      </c>
      <c r="D7680" t="s">
        <v>13</v>
      </c>
      <c r="E7680" t="s">
        <v>14</v>
      </c>
      <c r="F7680" t="s">
        <v>15</v>
      </c>
      <c r="G7680">
        <v>4</v>
      </c>
      <c r="H7680">
        <v>32121.05</v>
      </c>
      <c r="I7680">
        <v>1736.86</v>
      </c>
      <c r="J7680" t="s">
        <v>16</v>
      </c>
      <c r="K7680" t="s">
        <v>33</v>
      </c>
      <c r="L7680">
        <f t="shared" si="357"/>
        <v>2024</v>
      </c>
      <c r="M7680" t="str">
        <f t="shared" si="358"/>
        <v>Jan</v>
      </c>
      <c r="N7680" s="2">
        <f t="shared" si="359"/>
        <v>5.4072329516002743E-2</v>
      </c>
    </row>
    <row r="7681" spans="1:14" x14ac:dyDescent="0.45">
      <c r="A7681" t="s">
        <v>12904</v>
      </c>
      <c r="B7681" s="1">
        <v>45242</v>
      </c>
      <c r="C7681" t="s">
        <v>9110</v>
      </c>
      <c r="D7681" t="s">
        <v>56</v>
      </c>
      <c r="E7681" t="s">
        <v>14</v>
      </c>
      <c r="F7681" t="s">
        <v>57</v>
      </c>
      <c r="G7681">
        <v>5</v>
      </c>
      <c r="H7681">
        <v>25079.439999999999</v>
      </c>
      <c r="I7681">
        <v>2026.78</v>
      </c>
      <c r="J7681" t="s">
        <v>71</v>
      </c>
      <c r="K7681" t="s">
        <v>33</v>
      </c>
      <c r="L7681">
        <f t="shared" si="357"/>
        <v>2023</v>
      </c>
      <c r="M7681" t="str">
        <f t="shared" si="358"/>
        <v>Nov</v>
      </c>
      <c r="N7681" s="2">
        <f t="shared" si="359"/>
        <v>8.0814404149374949E-2</v>
      </c>
    </row>
    <row r="7682" spans="1:14" x14ac:dyDescent="0.45">
      <c r="A7682" t="s">
        <v>12905</v>
      </c>
      <c r="B7682" s="1">
        <v>44645</v>
      </c>
      <c r="C7682" t="s">
        <v>4945</v>
      </c>
      <c r="D7682" t="s">
        <v>13</v>
      </c>
      <c r="E7682" t="s">
        <v>20</v>
      </c>
      <c r="F7682" t="s">
        <v>27</v>
      </c>
      <c r="G7682">
        <v>4</v>
      </c>
      <c r="H7682">
        <v>41477.68</v>
      </c>
      <c r="I7682">
        <v>7787.26</v>
      </c>
      <c r="J7682" t="s">
        <v>28</v>
      </c>
      <c r="K7682" t="s">
        <v>17</v>
      </c>
      <c r="L7682">
        <f t="shared" si="357"/>
        <v>2022</v>
      </c>
      <c r="M7682" t="str">
        <f t="shared" si="358"/>
        <v>Mar</v>
      </c>
      <c r="N7682" s="2">
        <f t="shared" si="359"/>
        <v>0.18774579484677059</v>
      </c>
    </row>
    <row r="7683" spans="1:14" x14ac:dyDescent="0.45">
      <c r="A7683" t="s">
        <v>12906</v>
      </c>
      <c r="B7683" s="1">
        <v>45336</v>
      </c>
      <c r="C7683" t="s">
        <v>12907</v>
      </c>
      <c r="D7683" t="s">
        <v>13</v>
      </c>
      <c r="E7683" t="s">
        <v>20</v>
      </c>
      <c r="F7683" t="s">
        <v>43</v>
      </c>
      <c r="G7683">
        <v>4</v>
      </c>
      <c r="H7683">
        <v>6454.61</v>
      </c>
      <c r="I7683">
        <v>1297.57</v>
      </c>
      <c r="J7683" t="s">
        <v>28</v>
      </c>
      <c r="K7683" t="s">
        <v>29</v>
      </c>
      <c r="L7683">
        <f t="shared" ref="L7683:L7746" si="360">YEAR(B7683 )</f>
        <v>2024</v>
      </c>
      <c r="M7683" t="str">
        <f t="shared" ref="M7683:M7746" si="361">TEXT(B7683,"MMM")</f>
        <v>Feb</v>
      </c>
      <c r="N7683" s="2">
        <f t="shared" ref="N7683:N7746" si="362">I7683 / H7683</f>
        <v>0.20102996153137059</v>
      </c>
    </row>
    <row r="7684" spans="1:14" x14ac:dyDescent="0.45">
      <c r="A7684" t="s">
        <v>12908</v>
      </c>
      <c r="B7684" s="1">
        <v>45078</v>
      </c>
      <c r="C7684" t="s">
        <v>7147</v>
      </c>
      <c r="D7684" t="s">
        <v>26</v>
      </c>
      <c r="E7684" t="s">
        <v>36</v>
      </c>
      <c r="F7684" t="s">
        <v>64</v>
      </c>
      <c r="G7684">
        <v>5</v>
      </c>
      <c r="H7684">
        <v>31988.39</v>
      </c>
      <c r="I7684">
        <v>7779.63</v>
      </c>
      <c r="J7684" t="s">
        <v>22</v>
      </c>
      <c r="K7684" t="s">
        <v>17</v>
      </c>
      <c r="L7684">
        <f t="shared" si="360"/>
        <v>2023</v>
      </c>
      <c r="M7684" t="str">
        <f t="shared" si="361"/>
        <v>Jun</v>
      </c>
      <c r="N7684" s="2">
        <f t="shared" si="362"/>
        <v>0.24320167410738711</v>
      </c>
    </row>
    <row r="7685" spans="1:14" x14ac:dyDescent="0.45">
      <c r="A7685" t="s">
        <v>12909</v>
      </c>
      <c r="B7685" s="1">
        <v>44886</v>
      </c>
      <c r="C7685" t="s">
        <v>2176</v>
      </c>
      <c r="D7685" t="s">
        <v>13</v>
      </c>
      <c r="E7685" t="s">
        <v>14</v>
      </c>
      <c r="F7685" t="s">
        <v>15</v>
      </c>
      <c r="G7685">
        <v>1</v>
      </c>
      <c r="H7685">
        <v>34409.15</v>
      </c>
      <c r="I7685">
        <v>6426.32</v>
      </c>
      <c r="J7685" t="s">
        <v>71</v>
      </c>
      <c r="K7685" t="s">
        <v>33</v>
      </c>
      <c r="L7685">
        <f t="shared" si="360"/>
        <v>2022</v>
      </c>
      <c r="M7685" t="str">
        <f t="shared" si="361"/>
        <v>Nov</v>
      </c>
      <c r="N7685" s="2">
        <f t="shared" si="362"/>
        <v>0.18676195139955504</v>
      </c>
    </row>
    <row r="7686" spans="1:14" x14ac:dyDescent="0.45">
      <c r="A7686" t="s">
        <v>12910</v>
      </c>
      <c r="B7686" s="1">
        <v>45525</v>
      </c>
      <c r="C7686" t="s">
        <v>12911</v>
      </c>
      <c r="D7686" t="s">
        <v>26</v>
      </c>
      <c r="E7686" t="s">
        <v>14</v>
      </c>
      <c r="F7686" t="s">
        <v>40</v>
      </c>
      <c r="G7686">
        <v>1</v>
      </c>
      <c r="H7686">
        <v>11690.82</v>
      </c>
      <c r="I7686">
        <v>1120.1099999999999</v>
      </c>
      <c r="J7686" t="s">
        <v>16</v>
      </c>
      <c r="K7686" t="s">
        <v>29</v>
      </c>
      <c r="L7686">
        <f t="shared" si="360"/>
        <v>2024</v>
      </c>
      <c r="M7686" t="str">
        <f t="shared" si="361"/>
        <v>Aug</v>
      </c>
      <c r="N7686" s="2">
        <f t="shared" si="362"/>
        <v>9.5811072277222631E-2</v>
      </c>
    </row>
    <row r="7687" spans="1:14" x14ac:dyDescent="0.45">
      <c r="A7687" t="s">
        <v>12912</v>
      </c>
      <c r="B7687" s="1">
        <v>45270</v>
      </c>
      <c r="C7687" t="s">
        <v>12913</v>
      </c>
      <c r="D7687" t="s">
        <v>13</v>
      </c>
      <c r="E7687" t="s">
        <v>20</v>
      </c>
      <c r="F7687" t="s">
        <v>43</v>
      </c>
      <c r="G7687">
        <v>4</v>
      </c>
      <c r="H7687">
        <v>1903.04</v>
      </c>
      <c r="I7687">
        <v>473.11</v>
      </c>
      <c r="J7687" t="s">
        <v>28</v>
      </c>
      <c r="K7687" t="s">
        <v>33</v>
      </c>
      <c r="L7687">
        <f t="shared" si="360"/>
        <v>2023</v>
      </c>
      <c r="M7687" t="str">
        <f t="shared" si="361"/>
        <v>Dec</v>
      </c>
      <c r="N7687" s="2">
        <f t="shared" si="362"/>
        <v>0.24860749117201952</v>
      </c>
    </row>
    <row r="7688" spans="1:14" x14ac:dyDescent="0.45">
      <c r="A7688" t="s">
        <v>12914</v>
      </c>
      <c r="B7688" s="1">
        <v>45211</v>
      </c>
      <c r="C7688" t="s">
        <v>3075</v>
      </c>
      <c r="D7688" t="s">
        <v>13</v>
      </c>
      <c r="E7688" t="s">
        <v>36</v>
      </c>
      <c r="F7688" t="s">
        <v>37</v>
      </c>
      <c r="G7688">
        <v>5</v>
      </c>
      <c r="H7688">
        <v>6020.8</v>
      </c>
      <c r="I7688">
        <v>640.07000000000005</v>
      </c>
      <c r="J7688" t="s">
        <v>28</v>
      </c>
      <c r="K7688" t="s">
        <v>23</v>
      </c>
      <c r="L7688">
        <f t="shared" si="360"/>
        <v>2023</v>
      </c>
      <c r="M7688" t="str">
        <f t="shared" si="361"/>
        <v>Oct</v>
      </c>
      <c r="N7688" s="2">
        <f t="shared" si="362"/>
        <v>0.10630979271857562</v>
      </c>
    </row>
    <row r="7689" spans="1:14" x14ac:dyDescent="0.45">
      <c r="A7689" t="s">
        <v>12915</v>
      </c>
      <c r="B7689" s="1">
        <v>45513</v>
      </c>
      <c r="C7689" t="s">
        <v>9681</v>
      </c>
      <c r="D7689" t="s">
        <v>26</v>
      </c>
      <c r="E7689" t="s">
        <v>36</v>
      </c>
      <c r="F7689" t="s">
        <v>53</v>
      </c>
      <c r="G7689">
        <v>1</v>
      </c>
      <c r="H7689">
        <v>21752.12</v>
      </c>
      <c r="I7689">
        <v>4902.18</v>
      </c>
      <c r="J7689" t="s">
        <v>28</v>
      </c>
      <c r="K7689" t="s">
        <v>23</v>
      </c>
      <c r="L7689">
        <f t="shared" si="360"/>
        <v>2024</v>
      </c>
      <c r="M7689" t="str">
        <f t="shared" si="361"/>
        <v>Aug</v>
      </c>
      <c r="N7689" s="2">
        <f t="shared" si="362"/>
        <v>0.22536561953501547</v>
      </c>
    </row>
    <row r="7690" spans="1:14" x14ac:dyDescent="0.45">
      <c r="A7690" t="s">
        <v>12916</v>
      </c>
      <c r="B7690" s="1">
        <v>44773</v>
      </c>
      <c r="C7690" t="s">
        <v>3172</v>
      </c>
      <c r="D7690" t="s">
        <v>56</v>
      </c>
      <c r="E7690" t="s">
        <v>20</v>
      </c>
      <c r="F7690" t="s">
        <v>27</v>
      </c>
      <c r="G7690">
        <v>3</v>
      </c>
      <c r="H7690">
        <v>36243.79</v>
      </c>
      <c r="I7690">
        <v>4194.78</v>
      </c>
      <c r="J7690" t="s">
        <v>47</v>
      </c>
      <c r="K7690" t="s">
        <v>29</v>
      </c>
      <c r="L7690">
        <f t="shared" si="360"/>
        <v>2022</v>
      </c>
      <c r="M7690" t="str">
        <f t="shared" si="361"/>
        <v>Jul</v>
      </c>
      <c r="N7690" s="2">
        <f t="shared" si="362"/>
        <v>0.11573789606440164</v>
      </c>
    </row>
    <row r="7691" spans="1:14" x14ac:dyDescent="0.45">
      <c r="A7691" t="s">
        <v>12917</v>
      </c>
      <c r="B7691" s="1">
        <v>44938</v>
      </c>
      <c r="C7691" t="s">
        <v>12918</v>
      </c>
      <c r="D7691" t="s">
        <v>56</v>
      </c>
      <c r="E7691" t="s">
        <v>36</v>
      </c>
      <c r="F7691" t="s">
        <v>37</v>
      </c>
      <c r="G7691">
        <v>4</v>
      </c>
      <c r="H7691">
        <v>39491.519999999997</v>
      </c>
      <c r="I7691">
        <v>3416.54</v>
      </c>
      <c r="J7691" t="s">
        <v>22</v>
      </c>
      <c r="K7691" t="s">
        <v>17</v>
      </c>
      <c r="L7691">
        <f t="shared" si="360"/>
        <v>2023</v>
      </c>
      <c r="M7691" t="str">
        <f t="shared" si="361"/>
        <v>Jan</v>
      </c>
      <c r="N7691" s="2">
        <f t="shared" si="362"/>
        <v>8.6513256516842107E-2</v>
      </c>
    </row>
    <row r="7692" spans="1:14" x14ac:dyDescent="0.45">
      <c r="A7692" t="s">
        <v>12919</v>
      </c>
      <c r="B7692" s="1">
        <v>45340</v>
      </c>
      <c r="C7692" t="s">
        <v>431</v>
      </c>
      <c r="D7692" t="s">
        <v>13</v>
      </c>
      <c r="E7692" t="s">
        <v>36</v>
      </c>
      <c r="F7692" t="s">
        <v>46</v>
      </c>
      <c r="G7692">
        <v>5</v>
      </c>
      <c r="H7692">
        <v>40086.519999999997</v>
      </c>
      <c r="I7692">
        <v>2431.1799999999998</v>
      </c>
      <c r="J7692" t="s">
        <v>16</v>
      </c>
      <c r="K7692" t="s">
        <v>23</v>
      </c>
      <c r="L7692">
        <f t="shared" si="360"/>
        <v>2024</v>
      </c>
      <c r="M7692" t="str">
        <f t="shared" si="361"/>
        <v>Feb</v>
      </c>
      <c r="N7692" s="2">
        <f t="shared" si="362"/>
        <v>6.0648317688839042E-2</v>
      </c>
    </row>
    <row r="7693" spans="1:14" x14ac:dyDescent="0.45">
      <c r="A7693" t="s">
        <v>12920</v>
      </c>
      <c r="B7693" s="1">
        <v>44763</v>
      </c>
      <c r="C7693" t="s">
        <v>2043</v>
      </c>
      <c r="D7693" t="s">
        <v>13</v>
      </c>
      <c r="E7693" t="s">
        <v>36</v>
      </c>
      <c r="F7693" t="s">
        <v>53</v>
      </c>
      <c r="G7693">
        <v>1</v>
      </c>
      <c r="H7693">
        <v>3047.45</v>
      </c>
      <c r="I7693">
        <v>207.61</v>
      </c>
      <c r="J7693" t="s">
        <v>22</v>
      </c>
      <c r="K7693" t="s">
        <v>17</v>
      </c>
      <c r="L7693">
        <f t="shared" si="360"/>
        <v>2022</v>
      </c>
      <c r="M7693" t="str">
        <f t="shared" si="361"/>
        <v>Jul</v>
      </c>
      <c r="N7693" s="2">
        <f t="shared" si="362"/>
        <v>6.8125810103529194E-2</v>
      </c>
    </row>
    <row r="7694" spans="1:14" x14ac:dyDescent="0.45">
      <c r="A7694" t="s">
        <v>12921</v>
      </c>
      <c r="B7694" s="1">
        <v>44810</v>
      </c>
      <c r="C7694" t="s">
        <v>12922</v>
      </c>
      <c r="D7694" t="s">
        <v>26</v>
      </c>
      <c r="E7694" t="s">
        <v>14</v>
      </c>
      <c r="F7694" t="s">
        <v>32</v>
      </c>
      <c r="G7694">
        <v>5</v>
      </c>
      <c r="H7694">
        <v>21254.639999999999</v>
      </c>
      <c r="I7694">
        <v>2026.98</v>
      </c>
      <c r="J7694" t="s">
        <v>22</v>
      </c>
      <c r="K7694" t="s">
        <v>17</v>
      </c>
      <c r="L7694">
        <f t="shared" si="360"/>
        <v>2022</v>
      </c>
      <c r="M7694" t="str">
        <f t="shared" si="361"/>
        <v>Sep</v>
      </c>
      <c r="N7694" s="2">
        <f t="shared" si="362"/>
        <v>9.5366470568308853E-2</v>
      </c>
    </row>
    <row r="7695" spans="1:14" x14ac:dyDescent="0.45">
      <c r="A7695" t="s">
        <v>12923</v>
      </c>
      <c r="B7695" s="1">
        <v>45292</v>
      </c>
      <c r="C7695" t="s">
        <v>12924</v>
      </c>
      <c r="D7695" t="s">
        <v>56</v>
      </c>
      <c r="E7695" t="s">
        <v>20</v>
      </c>
      <c r="F7695" t="s">
        <v>43</v>
      </c>
      <c r="G7695">
        <v>1</v>
      </c>
      <c r="H7695">
        <v>29532.93</v>
      </c>
      <c r="I7695">
        <v>2318.58</v>
      </c>
      <c r="J7695" t="s">
        <v>47</v>
      </c>
      <c r="K7695" t="s">
        <v>23</v>
      </c>
      <c r="L7695">
        <f t="shared" si="360"/>
        <v>2024</v>
      </c>
      <c r="M7695" t="str">
        <f t="shared" si="361"/>
        <v>Jan</v>
      </c>
      <c r="N7695" s="2">
        <f t="shared" si="362"/>
        <v>7.8508295655053531E-2</v>
      </c>
    </row>
    <row r="7696" spans="1:14" x14ac:dyDescent="0.45">
      <c r="A7696" t="s">
        <v>12925</v>
      </c>
      <c r="B7696" s="1">
        <v>45375</v>
      </c>
      <c r="C7696" t="s">
        <v>12926</v>
      </c>
      <c r="D7696" t="s">
        <v>13</v>
      </c>
      <c r="E7696" t="s">
        <v>20</v>
      </c>
      <c r="F7696" t="s">
        <v>27</v>
      </c>
      <c r="G7696">
        <v>2</v>
      </c>
      <c r="H7696">
        <v>22209.13</v>
      </c>
      <c r="I7696">
        <v>3713.57</v>
      </c>
      <c r="J7696" t="s">
        <v>28</v>
      </c>
      <c r="K7696" t="s">
        <v>33</v>
      </c>
      <c r="L7696">
        <f t="shared" si="360"/>
        <v>2024</v>
      </c>
      <c r="M7696" t="str">
        <f t="shared" si="361"/>
        <v>Mar</v>
      </c>
      <c r="N7696" s="2">
        <f t="shared" si="362"/>
        <v>0.16720916127736657</v>
      </c>
    </row>
    <row r="7697" spans="1:14" x14ac:dyDescent="0.45">
      <c r="A7697" t="s">
        <v>12927</v>
      </c>
      <c r="B7697" s="1">
        <v>45588</v>
      </c>
      <c r="C7697" t="s">
        <v>12928</v>
      </c>
      <c r="D7697" t="s">
        <v>26</v>
      </c>
      <c r="E7697" t="s">
        <v>20</v>
      </c>
      <c r="F7697" t="s">
        <v>43</v>
      </c>
      <c r="G7697">
        <v>5</v>
      </c>
      <c r="H7697">
        <v>11303.6</v>
      </c>
      <c r="I7697">
        <v>1888.39</v>
      </c>
      <c r="J7697" t="s">
        <v>28</v>
      </c>
      <c r="K7697" t="s">
        <v>33</v>
      </c>
      <c r="L7697">
        <f t="shared" si="360"/>
        <v>2024</v>
      </c>
      <c r="M7697" t="str">
        <f t="shared" si="361"/>
        <v>Oct</v>
      </c>
      <c r="N7697" s="2">
        <f t="shared" si="362"/>
        <v>0.16706093633886548</v>
      </c>
    </row>
    <row r="7698" spans="1:14" x14ac:dyDescent="0.45">
      <c r="A7698" t="s">
        <v>12929</v>
      </c>
      <c r="B7698" s="1">
        <v>45540</v>
      </c>
      <c r="C7698" t="s">
        <v>11173</v>
      </c>
      <c r="D7698" t="s">
        <v>56</v>
      </c>
      <c r="E7698" t="s">
        <v>36</v>
      </c>
      <c r="F7698" t="s">
        <v>64</v>
      </c>
      <c r="G7698">
        <v>5</v>
      </c>
      <c r="H7698">
        <v>6977.8</v>
      </c>
      <c r="I7698">
        <v>881.84</v>
      </c>
      <c r="J7698" t="s">
        <v>16</v>
      </c>
      <c r="K7698" t="s">
        <v>17</v>
      </c>
      <c r="L7698">
        <f t="shared" si="360"/>
        <v>2024</v>
      </c>
      <c r="M7698" t="str">
        <f t="shared" si="361"/>
        <v>Sep</v>
      </c>
      <c r="N7698" s="2">
        <f t="shared" si="362"/>
        <v>0.12637794147152398</v>
      </c>
    </row>
    <row r="7699" spans="1:14" x14ac:dyDescent="0.45">
      <c r="A7699" t="s">
        <v>12930</v>
      </c>
      <c r="B7699" s="1">
        <v>45096</v>
      </c>
      <c r="C7699" t="s">
        <v>12931</v>
      </c>
      <c r="D7699" t="s">
        <v>26</v>
      </c>
      <c r="E7699" t="s">
        <v>14</v>
      </c>
      <c r="F7699" t="s">
        <v>32</v>
      </c>
      <c r="G7699">
        <v>1</v>
      </c>
      <c r="H7699">
        <v>42473.52</v>
      </c>
      <c r="I7699">
        <v>5664.57</v>
      </c>
      <c r="J7699" t="s">
        <v>71</v>
      </c>
      <c r="K7699" t="s">
        <v>33</v>
      </c>
      <c r="L7699">
        <f t="shared" si="360"/>
        <v>2023</v>
      </c>
      <c r="M7699" t="str">
        <f t="shared" si="361"/>
        <v>Jun</v>
      </c>
      <c r="N7699" s="2">
        <f t="shared" si="362"/>
        <v>0.13336709554564821</v>
      </c>
    </row>
    <row r="7700" spans="1:14" x14ac:dyDescent="0.45">
      <c r="A7700" t="s">
        <v>12932</v>
      </c>
      <c r="B7700" s="1">
        <v>44784</v>
      </c>
      <c r="C7700" t="s">
        <v>6706</v>
      </c>
      <c r="D7700" t="s">
        <v>26</v>
      </c>
      <c r="E7700" t="s">
        <v>14</v>
      </c>
      <c r="F7700" t="s">
        <v>40</v>
      </c>
      <c r="G7700">
        <v>2</v>
      </c>
      <c r="H7700">
        <v>48847.3</v>
      </c>
      <c r="I7700">
        <v>8112.35</v>
      </c>
      <c r="J7700" t="s">
        <v>16</v>
      </c>
      <c r="K7700" t="s">
        <v>23</v>
      </c>
      <c r="L7700">
        <f t="shared" si="360"/>
        <v>2022</v>
      </c>
      <c r="M7700" t="str">
        <f t="shared" si="361"/>
        <v>Aug</v>
      </c>
      <c r="N7700" s="2">
        <f t="shared" si="362"/>
        <v>0.16607570940461397</v>
      </c>
    </row>
    <row r="7701" spans="1:14" x14ac:dyDescent="0.45">
      <c r="A7701" t="s">
        <v>12933</v>
      </c>
      <c r="B7701" s="1">
        <v>45484</v>
      </c>
      <c r="C7701" t="s">
        <v>7857</v>
      </c>
      <c r="D7701" t="s">
        <v>26</v>
      </c>
      <c r="E7701" t="s">
        <v>36</v>
      </c>
      <c r="F7701" t="s">
        <v>64</v>
      </c>
      <c r="G7701">
        <v>5</v>
      </c>
      <c r="H7701">
        <v>32239.13</v>
      </c>
      <c r="I7701">
        <v>2157.17</v>
      </c>
      <c r="J7701" t="s">
        <v>16</v>
      </c>
      <c r="K7701" t="s">
        <v>29</v>
      </c>
      <c r="L7701">
        <f t="shared" si="360"/>
        <v>2024</v>
      </c>
      <c r="M7701" t="str">
        <f t="shared" si="361"/>
        <v>Jul</v>
      </c>
      <c r="N7701" s="2">
        <f t="shared" si="362"/>
        <v>6.6911545069609515E-2</v>
      </c>
    </row>
    <row r="7702" spans="1:14" x14ac:dyDescent="0.45">
      <c r="A7702" t="s">
        <v>12934</v>
      </c>
      <c r="B7702" s="1">
        <v>45571</v>
      </c>
      <c r="C7702" t="s">
        <v>4456</v>
      </c>
      <c r="D7702" t="s">
        <v>26</v>
      </c>
      <c r="E7702" t="s">
        <v>36</v>
      </c>
      <c r="F7702" t="s">
        <v>46</v>
      </c>
      <c r="G7702">
        <v>3</v>
      </c>
      <c r="H7702">
        <v>31896.44</v>
      </c>
      <c r="I7702">
        <v>4778.45</v>
      </c>
      <c r="J7702" t="s">
        <v>71</v>
      </c>
      <c r="K7702" t="s">
        <v>29</v>
      </c>
      <c r="L7702">
        <f t="shared" si="360"/>
        <v>2024</v>
      </c>
      <c r="M7702" t="str">
        <f t="shared" si="361"/>
        <v>Oct</v>
      </c>
      <c r="N7702" s="2">
        <f t="shared" si="362"/>
        <v>0.14981138960962415</v>
      </c>
    </row>
    <row r="7703" spans="1:14" x14ac:dyDescent="0.45">
      <c r="A7703" t="s">
        <v>12935</v>
      </c>
      <c r="B7703" s="1">
        <v>44720</v>
      </c>
      <c r="C7703" t="s">
        <v>5233</v>
      </c>
      <c r="D7703" t="s">
        <v>13</v>
      </c>
      <c r="E7703" t="s">
        <v>36</v>
      </c>
      <c r="F7703" t="s">
        <v>64</v>
      </c>
      <c r="G7703">
        <v>4</v>
      </c>
      <c r="H7703">
        <v>29904.38</v>
      </c>
      <c r="I7703">
        <v>6441.95</v>
      </c>
      <c r="J7703" t="s">
        <v>47</v>
      </c>
      <c r="K7703" t="s">
        <v>33</v>
      </c>
      <c r="L7703">
        <f t="shared" si="360"/>
        <v>2022</v>
      </c>
      <c r="M7703" t="str">
        <f t="shared" si="361"/>
        <v>Jun</v>
      </c>
      <c r="N7703" s="2">
        <f t="shared" si="362"/>
        <v>0.21541827652002815</v>
      </c>
    </row>
    <row r="7704" spans="1:14" x14ac:dyDescent="0.45">
      <c r="A7704" t="s">
        <v>12936</v>
      </c>
      <c r="B7704" s="1">
        <v>45349</v>
      </c>
      <c r="C7704" t="s">
        <v>12937</v>
      </c>
      <c r="D7704" t="s">
        <v>26</v>
      </c>
      <c r="E7704" t="s">
        <v>20</v>
      </c>
      <c r="F7704" t="s">
        <v>43</v>
      </c>
      <c r="G7704">
        <v>5</v>
      </c>
      <c r="H7704">
        <v>25762.67</v>
      </c>
      <c r="I7704">
        <v>3672.84</v>
      </c>
      <c r="J7704" t="s">
        <v>47</v>
      </c>
      <c r="K7704" t="s">
        <v>29</v>
      </c>
      <c r="L7704">
        <f t="shared" si="360"/>
        <v>2024</v>
      </c>
      <c r="M7704" t="str">
        <f t="shared" si="361"/>
        <v>Feb</v>
      </c>
      <c r="N7704" s="2">
        <f t="shared" si="362"/>
        <v>0.14256441587770213</v>
      </c>
    </row>
    <row r="7705" spans="1:14" x14ac:dyDescent="0.45">
      <c r="A7705" t="s">
        <v>12938</v>
      </c>
      <c r="B7705" s="1">
        <v>45372</v>
      </c>
      <c r="C7705" t="s">
        <v>3724</v>
      </c>
      <c r="D7705" t="s">
        <v>56</v>
      </c>
      <c r="E7705" t="s">
        <v>14</v>
      </c>
      <c r="F7705" t="s">
        <v>57</v>
      </c>
      <c r="G7705">
        <v>3</v>
      </c>
      <c r="H7705">
        <v>23489.18</v>
      </c>
      <c r="I7705">
        <v>2331.23</v>
      </c>
      <c r="J7705" t="s">
        <v>16</v>
      </c>
      <c r="K7705" t="s">
        <v>29</v>
      </c>
      <c r="L7705">
        <f t="shared" si="360"/>
        <v>2024</v>
      </c>
      <c r="M7705" t="str">
        <f t="shared" si="361"/>
        <v>Mar</v>
      </c>
      <c r="N7705" s="2">
        <f t="shared" si="362"/>
        <v>9.9246972435819383E-2</v>
      </c>
    </row>
    <row r="7706" spans="1:14" x14ac:dyDescent="0.45">
      <c r="A7706" t="s">
        <v>12939</v>
      </c>
      <c r="B7706" s="1">
        <v>45189</v>
      </c>
      <c r="C7706" t="s">
        <v>4956</v>
      </c>
      <c r="D7706" t="s">
        <v>13</v>
      </c>
      <c r="E7706" t="s">
        <v>14</v>
      </c>
      <c r="F7706" t="s">
        <v>57</v>
      </c>
      <c r="G7706">
        <v>1</v>
      </c>
      <c r="H7706">
        <v>26309.48</v>
      </c>
      <c r="I7706">
        <v>3710.38</v>
      </c>
      <c r="J7706" t="s">
        <v>47</v>
      </c>
      <c r="K7706" t="s">
        <v>29</v>
      </c>
      <c r="L7706">
        <f t="shared" si="360"/>
        <v>2023</v>
      </c>
      <c r="M7706" t="str">
        <f t="shared" si="361"/>
        <v>Sep</v>
      </c>
      <c r="N7706" s="2">
        <f t="shared" si="362"/>
        <v>0.14102825293392343</v>
      </c>
    </row>
    <row r="7707" spans="1:14" x14ac:dyDescent="0.45">
      <c r="A7707" t="s">
        <v>12940</v>
      </c>
      <c r="B7707" s="1">
        <v>45280</v>
      </c>
      <c r="C7707" t="s">
        <v>12941</v>
      </c>
      <c r="D7707" t="s">
        <v>26</v>
      </c>
      <c r="E7707" t="s">
        <v>36</v>
      </c>
      <c r="F7707" t="s">
        <v>64</v>
      </c>
      <c r="G7707">
        <v>2</v>
      </c>
      <c r="H7707">
        <v>25963.03</v>
      </c>
      <c r="I7707">
        <v>5982.65</v>
      </c>
      <c r="J7707" t="s">
        <v>28</v>
      </c>
      <c r="K7707" t="s">
        <v>17</v>
      </c>
      <c r="L7707">
        <f t="shared" si="360"/>
        <v>2023</v>
      </c>
      <c r="M7707" t="str">
        <f t="shared" si="361"/>
        <v>Dec</v>
      </c>
      <c r="N7707" s="2">
        <f t="shared" si="362"/>
        <v>0.23042957620894017</v>
      </c>
    </row>
    <row r="7708" spans="1:14" x14ac:dyDescent="0.45">
      <c r="A7708" t="s">
        <v>12942</v>
      </c>
      <c r="B7708" s="1">
        <v>44806</v>
      </c>
      <c r="C7708" t="s">
        <v>11899</v>
      </c>
      <c r="D7708" t="s">
        <v>13</v>
      </c>
      <c r="E7708" t="s">
        <v>14</v>
      </c>
      <c r="F7708" t="s">
        <v>57</v>
      </c>
      <c r="G7708">
        <v>1</v>
      </c>
      <c r="H7708">
        <v>6349.43</v>
      </c>
      <c r="I7708">
        <v>1465.14</v>
      </c>
      <c r="J7708" t="s">
        <v>28</v>
      </c>
      <c r="K7708" t="s">
        <v>33</v>
      </c>
      <c r="L7708">
        <f t="shared" si="360"/>
        <v>2022</v>
      </c>
      <c r="M7708" t="str">
        <f t="shared" si="361"/>
        <v>Sep</v>
      </c>
      <c r="N7708" s="2">
        <f t="shared" si="362"/>
        <v>0.23075142178116775</v>
      </c>
    </row>
    <row r="7709" spans="1:14" x14ac:dyDescent="0.45">
      <c r="A7709" t="s">
        <v>12943</v>
      </c>
      <c r="B7709" s="1">
        <v>45650</v>
      </c>
      <c r="C7709" t="s">
        <v>6065</v>
      </c>
      <c r="D7709" t="s">
        <v>26</v>
      </c>
      <c r="E7709" t="s">
        <v>36</v>
      </c>
      <c r="F7709" t="s">
        <v>53</v>
      </c>
      <c r="G7709">
        <v>5</v>
      </c>
      <c r="H7709">
        <v>42691.31</v>
      </c>
      <c r="I7709">
        <v>9067.2800000000007</v>
      </c>
      <c r="J7709" t="s">
        <v>22</v>
      </c>
      <c r="K7709" t="s">
        <v>29</v>
      </c>
      <c r="L7709">
        <f t="shared" si="360"/>
        <v>2024</v>
      </c>
      <c r="M7709" t="str">
        <f t="shared" si="361"/>
        <v>Dec</v>
      </c>
      <c r="N7709" s="2">
        <f t="shared" si="362"/>
        <v>0.21239170219887843</v>
      </c>
    </row>
    <row r="7710" spans="1:14" x14ac:dyDescent="0.45">
      <c r="A7710" t="s">
        <v>12944</v>
      </c>
      <c r="B7710" s="1">
        <v>44880</v>
      </c>
      <c r="C7710" t="s">
        <v>12945</v>
      </c>
      <c r="D7710" t="s">
        <v>56</v>
      </c>
      <c r="E7710" t="s">
        <v>20</v>
      </c>
      <c r="F7710" t="s">
        <v>50</v>
      </c>
      <c r="G7710">
        <v>3</v>
      </c>
      <c r="H7710">
        <v>46746.09</v>
      </c>
      <c r="I7710">
        <v>8947.81</v>
      </c>
      <c r="J7710" t="s">
        <v>47</v>
      </c>
      <c r="K7710" t="s">
        <v>17</v>
      </c>
      <c r="L7710">
        <f t="shared" si="360"/>
        <v>2022</v>
      </c>
      <c r="M7710" t="str">
        <f t="shared" si="361"/>
        <v>Nov</v>
      </c>
      <c r="N7710" s="2">
        <f t="shared" si="362"/>
        <v>0.1914130144360737</v>
      </c>
    </row>
    <row r="7711" spans="1:14" x14ac:dyDescent="0.45">
      <c r="A7711" t="s">
        <v>12946</v>
      </c>
      <c r="B7711" s="1">
        <v>45256</v>
      </c>
      <c r="C7711" t="s">
        <v>12947</v>
      </c>
      <c r="D7711" t="s">
        <v>26</v>
      </c>
      <c r="E7711" t="s">
        <v>20</v>
      </c>
      <c r="F7711" t="s">
        <v>27</v>
      </c>
      <c r="G7711">
        <v>1</v>
      </c>
      <c r="H7711">
        <v>41493.699999999997</v>
      </c>
      <c r="I7711">
        <v>8655.73</v>
      </c>
      <c r="J7711" t="s">
        <v>16</v>
      </c>
      <c r="K7711" t="s">
        <v>17</v>
      </c>
      <c r="L7711">
        <f t="shared" si="360"/>
        <v>2023</v>
      </c>
      <c r="M7711" t="str">
        <f t="shared" si="361"/>
        <v>Nov</v>
      </c>
      <c r="N7711" s="2">
        <f t="shared" si="362"/>
        <v>0.20860347474435878</v>
      </c>
    </row>
    <row r="7712" spans="1:14" x14ac:dyDescent="0.45">
      <c r="A7712" t="s">
        <v>12948</v>
      </c>
      <c r="B7712" s="1">
        <v>45371</v>
      </c>
      <c r="C7712" t="s">
        <v>12949</v>
      </c>
      <c r="D7712" t="s">
        <v>26</v>
      </c>
      <c r="E7712" t="s">
        <v>20</v>
      </c>
      <c r="F7712" t="s">
        <v>27</v>
      </c>
      <c r="G7712">
        <v>4</v>
      </c>
      <c r="H7712">
        <v>44679.48</v>
      </c>
      <c r="I7712">
        <v>3967.46</v>
      </c>
      <c r="J7712" t="s">
        <v>71</v>
      </c>
      <c r="K7712" t="s">
        <v>33</v>
      </c>
      <c r="L7712">
        <f t="shared" si="360"/>
        <v>2024</v>
      </c>
      <c r="M7712" t="str">
        <f t="shared" si="361"/>
        <v>Mar</v>
      </c>
      <c r="N7712" s="2">
        <f t="shared" si="362"/>
        <v>8.8798258171312636E-2</v>
      </c>
    </row>
    <row r="7713" spans="1:14" x14ac:dyDescent="0.45">
      <c r="A7713" t="s">
        <v>12950</v>
      </c>
      <c r="B7713" s="1">
        <v>45617</v>
      </c>
      <c r="C7713" t="s">
        <v>9954</v>
      </c>
      <c r="D7713" t="s">
        <v>56</v>
      </c>
      <c r="E7713" t="s">
        <v>14</v>
      </c>
      <c r="F7713" t="s">
        <v>32</v>
      </c>
      <c r="G7713">
        <v>2</v>
      </c>
      <c r="H7713">
        <v>35692.68</v>
      </c>
      <c r="I7713">
        <v>5420.52</v>
      </c>
      <c r="J7713" t="s">
        <v>22</v>
      </c>
      <c r="K7713" t="s">
        <v>17</v>
      </c>
      <c r="L7713">
        <f t="shared" si="360"/>
        <v>2024</v>
      </c>
      <c r="M7713" t="str">
        <f t="shared" si="361"/>
        <v>Nov</v>
      </c>
      <c r="N7713" s="2">
        <f t="shared" si="362"/>
        <v>0.15186643311737871</v>
      </c>
    </row>
    <row r="7714" spans="1:14" x14ac:dyDescent="0.45">
      <c r="A7714" t="s">
        <v>12951</v>
      </c>
      <c r="B7714" s="1">
        <v>44631</v>
      </c>
      <c r="C7714" t="s">
        <v>12269</v>
      </c>
      <c r="D7714" t="s">
        <v>56</v>
      </c>
      <c r="E7714" t="s">
        <v>20</v>
      </c>
      <c r="F7714" t="s">
        <v>43</v>
      </c>
      <c r="G7714">
        <v>3</v>
      </c>
      <c r="H7714">
        <v>43288.61</v>
      </c>
      <c r="I7714">
        <v>5378.21</v>
      </c>
      <c r="J7714" t="s">
        <v>22</v>
      </c>
      <c r="K7714" t="s">
        <v>33</v>
      </c>
      <c r="L7714">
        <f t="shared" si="360"/>
        <v>2022</v>
      </c>
      <c r="M7714" t="str">
        <f t="shared" si="361"/>
        <v>Mar</v>
      </c>
      <c r="N7714" s="2">
        <f t="shared" si="362"/>
        <v>0.12424076448747141</v>
      </c>
    </row>
    <row r="7715" spans="1:14" x14ac:dyDescent="0.45">
      <c r="A7715" t="s">
        <v>12952</v>
      </c>
      <c r="B7715" s="1">
        <v>45058</v>
      </c>
      <c r="C7715" t="s">
        <v>12953</v>
      </c>
      <c r="D7715" t="s">
        <v>13</v>
      </c>
      <c r="E7715" t="s">
        <v>14</v>
      </c>
      <c r="F7715" t="s">
        <v>32</v>
      </c>
      <c r="G7715">
        <v>3</v>
      </c>
      <c r="H7715">
        <v>30874.880000000001</v>
      </c>
      <c r="I7715">
        <v>6600.01</v>
      </c>
      <c r="J7715" t="s">
        <v>71</v>
      </c>
      <c r="K7715" t="s">
        <v>33</v>
      </c>
      <c r="L7715">
        <f t="shared" si="360"/>
        <v>2023</v>
      </c>
      <c r="M7715" t="str">
        <f t="shared" si="361"/>
        <v>May</v>
      </c>
      <c r="N7715" s="2">
        <f t="shared" si="362"/>
        <v>0.21376633690560093</v>
      </c>
    </row>
    <row r="7716" spans="1:14" x14ac:dyDescent="0.45">
      <c r="A7716" t="s">
        <v>12954</v>
      </c>
      <c r="B7716" s="1">
        <v>45368</v>
      </c>
      <c r="C7716" t="s">
        <v>6714</v>
      </c>
      <c r="D7716" t="s">
        <v>56</v>
      </c>
      <c r="E7716" t="s">
        <v>36</v>
      </c>
      <c r="F7716" t="s">
        <v>46</v>
      </c>
      <c r="G7716">
        <v>2</v>
      </c>
      <c r="H7716">
        <v>13870.94</v>
      </c>
      <c r="I7716">
        <v>2225.8200000000002</v>
      </c>
      <c r="J7716" t="s">
        <v>22</v>
      </c>
      <c r="K7716" t="s">
        <v>23</v>
      </c>
      <c r="L7716">
        <f t="shared" si="360"/>
        <v>2024</v>
      </c>
      <c r="M7716" t="str">
        <f t="shared" si="361"/>
        <v>Mar</v>
      </c>
      <c r="N7716" s="2">
        <f t="shared" si="362"/>
        <v>0.16046641395608374</v>
      </c>
    </row>
    <row r="7717" spans="1:14" x14ac:dyDescent="0.45">
      <c r="A7717" t="s">
        <v>12955</v>
      </c>
      <c r="B7717" s="1">
        <v>44657</v>
      </c>
      <c r="C7717" t="s">
        <v>644</v>
      </c>
      <c r="D7717" t="s">
        <v>13</v>
      </c>
      <c r="E7717" t="s">
        <v>20</v>
      </c>
      <c r="F7717" t="s">
        <v>50</v>
      </c>
      <c r="G7717">
        <v>5</v>
      </c>
      <c r="H7717">
        <v>13494.35</v>
      </c>
      <c r="I7717">
        <v>3130.51</v>
      </c>
      <c r="J7717" t="s">
        <v>22</v>
      </c>
      <c r="K7717" t="s">
        <v>29</v>
      </c>
      <c r="L7717">
        <f t="shared" si="360"/>
        <v>2022</v>
      </c>
      <c r="M7717" t="str">
        <f t="shared" si="361"/>
        <v>Apr</v>
      </c>
      <c r="N7717" s="2">
        <f t="shared" si="362"/>
        <v>0.2319867203681541</v>
      </c>
    </row>
    <row r="7718" spans="1:14" x14ac:dyDescent="0.45">
      <c r="A7718" t="s">
        <v>12956</v>
      </c>
      <c r="B7718" s="1">
        <v>44805</v>
      </c>
      <c r="C7718" t="s">
        <v>8485</v>
      </c>
      <c r="D7718" t="s">
        <v>13</v>
      </c>
      <c r="E7718" t="s">
        <v>20</v>
      </c>
      <c r="F7718" t="s">
        <v>43</v>
      </c>
      <c r="G7718">
        <v>4</v>
      </c>
      <c r="H7718">
        <v>9377.43</v>
      </c>
      <c r="I7718">
        <v>1125.68</v>
      </c>
      <c r="J7718" t="s">
        <v>47</v>
      </c>
      <c r="K7718" t="s">
        <v>23</v>
      </c>
      <c r="L7718">
        <f t="shared" si="360"/>
        <v>2022</v>
      </c>
      <c r="M7718" t="str">
        <f t="shared" si="361"/>
        <v>Sep</v>
      </c>
      <c r="N7718" s="2">
        <f t="shared" si="362"/>
        <v>0.12004141859763283</v>
      </c>
    </row>
    <row r="7719" spans="1:14" x14ac:dyDescent="0.45">
      <c r="A7719" t="s">
        <v>12957</v>
      </c>
      <c r="B7719" s="1">
        <v>45208</v>
      </c>
      <c r="C7719" t="s">
        <v>11741</v>
      </c>
      <c r="D7719" t="s">
        <v>56</v>
      </c>
      <c r="E7719" t="s">
        <v>20</v>
      </c>
      <c r="F7719" t="s">
        <v>21</v>
      </c>
      <c r="G7719">
        <v>1</v>
      </c>
      <c r="H7719">
        <v>36819.730000000003</v>
      </c>
      <c r="I7719">
        <v>8818.89</v>
      </c>
      <c r="J7719" t="s">
        <v>47</v>
      </c>
      <c r="K7719" t="s">
        <v>29</v>
      </c>
      <c r="L7719">
        <f t="shared" si="360"/>
        <v>2023</v>
      </c>
      <c r="M7719" t="str">
        <f t="shared" si="361"/>
        <v>Oct</v>
      </c>
      <c r="N7719" s="2">
        <f t="shared" si="362"/>
        <v>0.23951533593538027</v>
      </c>
    </row>
    <row r="7720" spans="1:14" x14ac:dyDescent="0.45">
      <c r="A7720" t="s">
        <v>12958</v>
      </c>
      <c r="B7720" s="1">
        <v>44879</v>
      </c>
      <c r="C7720" t="s">
        <v>12959</v>
      </c>
      <c r="D7720" t="s">
        <v>56</v>
      </c>
      <c r="E7720" t="s">
        <v>14</v>
      </c>
      <c r="F7720" t="s">
        <v>40</v>
      </c>
      <c r="G7720">
        <v>4</v>
      </c>
      <c r="H7720">
        <v>16172.48</v>
      </c>
      <c r="I7720">
        <v>1419.83</v>
      </c>
      <c r="J7720" t="s">
        <v>71</v>
      </c>
      <c r="K7720" t="s">
        <v>23</v>
      </c>
      <c r="L7720">
        <f t="shared" si="360"/>
        <v>2022</v>
      </c>
      <c r="M7720" t="str">
        <f t="shared" si="361"/>
        <v>Nov</v>
      </c>
      <c r="N7720" s="2">
        <f t="shared" si="362"/>
        <v>8.779296681770514E-2</v>
      </c>
    </row>
    <row r="7721" spans="1:14" x14ac:dyDescent="0.45">
      <c r="A7721" t="s">
        <v>12960</v>
      </c>
      <c r="B7721" s="1">
        <v>44701</v>
      </c>
      <c r="C7721" t="s">
        <v>9261</v>
      </c>
      <c r="D7721" t="s">
        <v>26</v>
      </c>
      <c r="E7721" t="s">
        <v>20</v>
      </c>
      <c r="F7721" t="s">
        <v>43</v>
      </c>
      <c r="G7721">
        <v>4</v>
      </c>
      <c r="H7721">
        <v>45421.4</v>
      </c>
      <c r="I7721">
        <v>7775.83</v>
      </c>
      <c r="J7721" t="s">
        <v>16</v>
      </c>
      <c r="K7721" t="s">
        <v>23</v>
      </c>
      <c r="L7721">
        <f t="shared" si="360"/>
        <v>2022</v>
      </c>
      <c r="M7721" t="str">
        <f t="shared" si="361"/>
        <v>May</v>
      </c>
      <c r="N7721" s="2">
        <f t="shared" si="362"/>
        <v>0.17119309400414781</v>
      </c>
    </row>
    <row r="7722" spans="1:14" x14ac:dyDescent="0.45">
      <c r="A7722" t="s">
        <v>12961</v>
      </c>
      <c r="B7722" s="1">
        <v>44808</v>
      </c>
      <c r="C7722" t="s">
        <v>12962</v>
      </c>
      <c r="D7722" t="s">
        <v>26</v>
      </c>
      <c r="E7722" t="s">
        <v>36</v>
      </c>
      <c r="F7722" t="s">
        <v>37</v>
      </c>
      <c r="G7722">
        <v>5</v>
      </c>
      <c r="H7722">
        <v>41430.68</v>
      </c>
      <c r="I7722">
        <v>7599.48</v>
      </c>
      <c r="J7722" t="s">
        <v>22</v>
      </c>
      <c r="K7722" t="s">
        <v>29</v>
      </c>
      <c r="L7722">
        <f t="shared" si="360"/>
        <v>2022</v>
      </c>
      <c r="M7722" t="str">
        <f t="shared" si="361"/>
        <v>Sep</v>
      </c>
      <c r="N7722" s="2">
        <f t="shared" si="362"/>
        <v>0.18342638836726791</v>
      </c>
    </row>
    <row r="7723" spans="1:14" x14ac:dyDescent="0.45">
      <c r="A7723" t="s">
        <v>12963</v>
      </c>
      <c r="B7723" s="1">
        <v>45583</v>
      </c>
      <c r="C7723" t="s">
        <v>12964</v>
      </c>
      <c r="D7723" t="s">
        <v>56</v>
      </c>
      <c r="E7723" t="s">
        <v>36</v>
      </c>
      <c r="F7723" t="s">
        <v>53</v>
      </c>
      <c r="G7723">
        <v>1</v>
      </c>
      <c r="H7723">
        <v>48651.31</v>
      </c>
      <c r="I7723">
        <v>9614.1200000000008</v>
      </c>
      <c r="J7723" t="s">
        <v>71</v>
      </c>
      <c r="K7723" t="s">
        <v>33</v>
      </c>
      <c r="L7723">
        <f t="shared" si="360"/>
        <v>2024</v>
      </c>
      <c r="M7723" t="str">
        <f t="shared" si="361"/>
        <v>Oct</v>
      </c>
      <c r="N7723" s="2">
        <f t="shared" si="362"/>
        <v>0.19761276726155988</v>
      </c>
    </row>
    <row r="7724" spans="1:14" x14ac:dyDescent="0.45">
      <c r="A7724" t="s">
        <v>12965</v>
      </c>
      <c r="B7724" s="1">
        <v>45430</v>
      </c>
      <c r="C7724" t="s">
        <v>3986</v>
      </c>
      <c r="D7724" t="s">
        <v>56</v>
      </c>
      <c r="E7724" t="s">
        <v>20</v>
      </c>
      <c r="F7724" t="s">
        <v>43</v>
      </c>
      <c r="G7724">
        <v>5</v>
      </c>
      <c r="H7724">
        <v>13765.22</v>
      </c>
      <c r="I7724">
        <v>1674.02</v>
      </c>
      <c r="J7724" t="s">
        <v>16</v>
      </c>
      <c r="K7724" t="s">
        <v>17</v>
      </c>
      <c r="L7724">
        <f t="shared" si="360"/>
        <v>2024</v>
      </c>
      <c r="M7724" t="str">
        <f t="shared" si="361"/>
        <v>May</v>
      </c>
      <c r="N7724" s="2">
        <f t="shared" si="362"/>
        <v>0.12161229533563576</v>
      </c>
    </row>
    <row r="7725" spans="1:14" x14ac:dyDescent="0.45">
      <c r="A7725" t="s">
        <v>12966</v>
      </c>
      <c r="B7725" s="1">
        <v>45637</v>
      </c>
      <c r="C7725" t="s">
        <v>2665</v>
      </c>
      <c r="D7725" t="s">
        <v>56</v>
      </c>
      <c r="E7725" t="s">
        <v>36</v>
      </c>
      <c r="F7725" t="s">
        <v>37</v>
      </c>
      <c r="G7725">
        <v>4</v>
      </c>
      <c r="H7725">
        <v>7422.38</v>
      </c>
      <c r="I7725">
        <v>628.88</v>
      </c>
      <c r="J7725" t="s">
        <v>28</v>
      </c>
      <c r="K7725" t="s">
        <v>17</v>
      </c>
      <c r="L7725">
        <f t="shared" si="360"/>
        <v>2024</v>
      </c>
      <c r="M7725" t="str">
        <f t="shared" si="361"/>
        <v>Dec</v>
      </c>
      <c r="N7725" s="2">
        <f t="shared" si="362"/>
        <v>8.4727540222947359E-2</v>
      </c>
    </row>
    <row r="7726" spans="1:14" x14ac:dyDescent="0.45">
      <c r="A7726" t="s">
        <v>12967</v>
      </c>
      <c r="B7726" s="1">
        <v>45116</v>
      </c>
      <c r="C7726" t="s">
        <v>2994</v>
      </c>
      <c r="D7726" t="s">
        <v>56</v>
      </c>
      <c r="E7726" t="s">
        <v>36</v>
      </c>
      <c r="F7726" t="s">
        <v>46</v>
      </c>
      <c r="G7726">
        <v>1</v>
      </c>
      <c r="H7726">
        <v>40112.230000000003</v>
      </c>
      <c r="I7726">
        <v>7992.2</v>
      </c>
      <c r="J7726" t="s">
        <v>22</v>
      </c>
      <c r="K7726" t="s">
        <v>33</v>
      </c>
      <c r="L7726">
        <f t="shared" si="360"/>
        <v>2023</v>
      </c>
      <c r="M7726" t="str">
        <f t="shared" si="361"/>
        <v>Jul</v>
      </c>
      <c r="N7726" s="2">
        <f t="shared" si="362"/>
        <v>0.1992459656319282</v>
      </c>
    </row>
    <row r="7727" spans="1:14" x14ac:dyDescent="0.45">
      <c r="A7727" t="s">
        <v>12968</v>
      </c>
      <c r="B7727" s="1">
        <v>45027</v>
      </c>
      <c r="C7727" t="s">
        <v>11718</v>
      </c>
      <c r="D7727" t="s">
        <v>26</v>
      </c>
      <c r="E7727" t="s">
        <v>14</v>
      </c>
      <c r="F7727" t="s">
        <v>32</v>
      </c>
      <c r="G7727">
        <v>2</v>
      </c>
      <c r="H7727">
        <v>19205.77</v>
      </c>
      <c r="I7727">
        <v>2955.15</v>
      </c>
      <c r="J7727" t="s">
        <v>22</v>
      </c>
      <c r="K7727" t="s">
        <v>17</v>
      </c>
      <c r="L7727">
        <f t="shared" si="360"/>
        <v>2023</v>
      </c>
      <c r="M7727" t="str">
        <f t="shared" si="361"/>
        <v>Apr</v>
      </c>
      <c r="N7727" s="2">
        <f t="shared" si="362"/>
        <v>0.1538678220139052</v>
      </c>
    </row>
    <row r="7728" spans="1:14" x14ac:dyDescent="0.45">
      <c r="A7728" t="s">
        <v>12969</v>
      </c>
      <c r="B7728" s="1">
        <v>44665</v>
      </c>
      <c r="C7728" t="s">
        <v>6090</v>
      </c>
      <c r="D7728" t="s">
        <v>13</v>
      </c>
      <c r="E7728" t="s">
        <v>36</v>
      </c>
      <c r="F7728" t="s">
        <v>64</v>
      </c>
      <c r="G7728">
        <v>4</v>
      </c>
      <c r="H7728">
        <v>4861.8100000000004</v>
      </c>
      <c r="I7728">
        <v>978.91</v>
      </c>
      <c r="J7728" t="s">
        <v>71</v>
      </c>
      <c r="K7728" t="s">
        <v>23</v>
      </c>
      <c r="L7728">
        <f t="shared" si="360"/>
        <v>2022</v>
      </c>
      <c r="M7728" t="str">
        <f t="shared" si="361"/>
        <v>Apr</v>
      </c>
      <c r="N7728" s="2">
        <f t="shared" si="362"/>
        <v>0.20134682350811733</v>
      </c>
    </row>
    <row r="7729" spans="1:14" x14ac:dyDescent="0.45">
      <c r="A7729" t="s">
        <v>12970</v>
      </c>
      <c r="B7729" s="1">
        <v>44847</v>
      </c>
      <c r="C7729" t="s">
        <v>11536</v>
      </c>
      <c r="D7729" t="s">
        <v>56</v>
      </c>
      <c r="E7729" t="s">
        <v>20</v>
      </c>
      <c r="F7729" t="s">
        <v>27</v>
      </c>
      <c r="G7729">
        <v>4</v>
      </c>
      <c r="H7729">
        <v>7426.51</v>
      </c>
      <c r="I7729">
        <v>1039.58</v>
      </c>
      <c r="J7729" t="s">
        <v>71</v>
      </c>
      <c r="K7729" t="s">
        <v>17</v>
      </c>
      <c r="L7729">
        <f t="shared" si="360"/>
        <v>2022</v>
      </c>
      <c r="M7729" t="str">
        <f t="shared" si="361"/>
        <v>Oct</v>
      </c>
      <c r="N7729" s="2">
        <f t="shared" si="362"/>
        <v>0.13998230662855093</v>
      </c>
    </row>
    <row r="7730" spans="1:14" x14ac:dyDescent="0.45">
      <c r="A7730" t="s">
        <v>12971</v>
      </c>
      <c r="B7730" s="1">
        <v>45196</v>
      </c>
      <c r="C7730" t="s">
        <v>12972</v>
      </c>
      <c r="D7730" t="s">
        <v>26</v>
      </c>
      <c r="E7730" t="s">
        <v>36</v>
      </c>
      <c r="F7730" t="s">
        <v>37</v>
      </c>
      <c r="G7730">
        <v>2</v>
      </c>
      <c r="H7730">
        <v>38694.269999999997</v>
      </c>
      <c r="I7730">
        <v>2695.52</v>
      </c>
      <c r="J7730" t="s">
        <v>16</v>
      </c>
      <c r="K7730" t="s">
        <v>33</v>
      </c>
      <c r="L7730">
        <f t="shared" si="360"/>
        <v>2023</v>
      </c>
      <c r="M7730" t="str">
        <f t="shared" si="361"/>
        <v>Sep</v>
      </c>
      <c r="N7730" s="2">
        <f t="shared" si="362"/>
        <v>6.9661993881781473E-2</v>
      </c>
    </row>
    <row r="7731" spans="1:14" x14ac:dyDescent="0.45">
      <c r="A7731" t="s">
        <v>12973</v>
      </c>
      <c r="B7731" s="1">
        <v>45029</v>
      </c>
      <c r="C7731" t="s">
        <v>12974</v>
      </c>
      <c r="D7731" t="s">
        <v>26</v>
      </c>
      <c r="E7731" t="s">
        <v>36</v>
      </c>
      <c r="F7731" t="s">
        <v>53</v>
      </c>
      <c r="G7731">
        <v>2</v>
      </c>
      <c r="H7731">
        <v>29302.62</v>
      </c>
      <c r="I7731">
        <v>2834.21</v>
      </c>
      <c r="J7731" t="s">
        <v>16</v>
      </c>
      <c r="K7731" t="s">
        <v>29</v>
      </c>
      <c r="L7731">
        <f t="shared" si="360"/>
        <v>2023</v>
      </c>
      <c r="M7731" t="str">
        <f t="shared" si="361"/>
        <v>Apr</v>
      </c>
      <c r="N7731" s="2">
        <f t="shared" si="362"/>
        <v>9.6722067856048366E-2</v>
      </c>
    </row>
    <row r="7732" spans="1:14" x14ac:dyDescent="0.45">
      <c r="A7732" t="s">
        <v>12975</v>
      </c>
      <c r="B7732" s="1">
        <v>45381</v>
      </c>
      <c r="C7732" t="s">
        <v>9858</v>
      </c>
      <c r="D7732" t="s">
        <v>26</v>
      </c>
      <c r="E7732" t="s">
        <v>36</v>
      </c>
      <c r="F7732" t="s">
        <v>37</v>
      </c>
      <c r="G7732">
        <v>4</v>
      </c>
      <c r="H7732">
        <v>24135.38</v>
      </c>
      <c r="I7732">
        <v>2117.04</v>
      </c>
      <c r="J7732" t="s">
        <v>71</v>
      </c>
      <c r="K7732" t="s">
        <v>29</v>
      </c>
      <c r="L7732">
        <f t="shared" si="360"/>
        <v>2024</v>
      </c>
      <c r="M7732" t="str">
        <f t="shared" si="361"/>
        <v>Mar</v>
      </c>
      <c r="N7732" s="2">
        <f t="shared" si="362"/>
        <v>8.7715213102093265E-2</v>
      </c>
    </row>
    <row r="7733" spans="1:14" x14ac:dyDescent="0.45">
      <c r="A7733" t="s">
        <v>12976</v>
      </c>
      <c r="B7733" s="1">
        <v>44735</v>
      </c>
      <c r="C7733" t="s">
        <v>12977</v>
      </c>
      <c r="D7733" t="s">
        <v>56</v>
      </c>
      <c r="E7733" t="s">
        <v>36</v>
      </c>
      <c r="F7733" t="s">
        <v>64</v>
      </c>
      <c r="G7733">
        <v>2</v>
      </c>
      <c r="H7733">
        <v>42895.7</v>
      </c>
      <c r="I7733">
        <v>9999.69</v>
      </c>
      <c r="J7733" t="s">
        <v>47</v>
      </c>
      <c r="K7733" t="s">
        <v>29</v>
      </c>
      <c r="L7733">
        <f t="shared" si="360"/>
        <v>2022</v>
      </c>
      <c r="M7733" t="str">
        <f t="shared" si="361"/>
        <v>Jun</v>
      </c>
      <c r="N7733" s="2">
        <f t="shared" si="362"/>
        <v>0.23311637296978488</v>
      </c>
    </row>
    <row r="7734" spans="1:14" x14ac:dyDescent="0.45">
      <c r="A7734" t="s">
        <v>12978</v>
      </c>
      <c r="B7734" s="1">
        <v>45164</v>
      </c>
      <c r="C7734" t="s">
        <v>7603</v>
      </c>
      <c r="D7734" t="s">
        <v>26</v>
      </c>
      <c r="E7734" t="s">
        <v>20</v>
      </c>
      <c r="F7734" t="s">
        <v>21</v>
      </c>
      <c r="G7734">
        <v>2</v>
      </c>
      <c r="H7734">
        <v>41442.78</v>
      </c>
      <c r="I7734">
        <v>5435.32</v>
      </c>
      <c r="J7734" t="s">
        <v>16</v>
      </c>
      <c r="K7734" t="s">
        <v>17</v>
      </c>
      <c r="L7734">
        <f t="shared" si="360"/>
        <v>2023</v>
      </c>
      <c r="M7734" t="str">
        <f t="shared" si="361"/>
        <v>Aug</v>
      </c>
      <c r="N7734" s="2">
        <f t="shared" si="362"/>
        <v>0.13115239856013519</v>
      </c>
    </row>
    <row r="7735" spans="1:14" x14ac:dyDescent="0.45">
      <c r="A7735" t="s">
        <v>12979</v>
      </c>
      <c r="B7735" s="1">
        <v>44669</v>
      </c>
      <c r="C7735" t="s">
        <v>8716</v>
      </c>
      <c r="D7735" t="s">
        <v>26</v>
      </c>
      <c r="E7735" t="s">
        <v>14</v>
      </c>
      <c r="F7735" t="s">
        <v>15</v>
      </c>
      <c r="G7735">
        <v>2</v>
      </c>
      <c r="H7735">
        <v>16422.810000000001</v>
      </c>
      <c r="I7735">
        <v>975.71</v>
      </c>
      <c r="J7735" t="s">
        <v>22</v>
      </c>
      <c r="K7735" t="s">
        <v>17</v>
      </c>
      <c r="L7735">
        <f t="shared" si="360"/>
        <v>2022</v>
      </c>
      <c r="M7735" t="str">
        <f t="shared" si="361"/>
        <v>Apr</v>
      </c>
      <c r="N7735" s="2">
        <f t="shared" si="362"/>
        <v>5.9411878965901693E-2</v>
      </c>
    </row>
    <row r="7736" spans="1:14" x14ac:dyDescent="0.45">
      <c r="A7736" t="s">
        <v>12980</v>
      </c>
      <c r="B7736" s="1">
        <v>45078</v>
      </c>
      <c r="C7736" t="s">
        <v>6154</v>
      </c>
      <c r="D7736" t="s">
        <v>26</v>
      </c>
      <c r="E7736" t="s">
        <v>14</v>
      </c>
      <c r="F7736" t="s">
        <v>40</v>
      </c>
      <c r="G7736">
        <v>1</v>
      </c>
      <c r="H7736">
        <v>20057.36</v>
      </c>
      <c r="I7736">
        <v>2439.36</v>
      </c>
      <c r="J7736" t="s">
        <v>22</v>
      </c>
      <c r="K7736" t="s">
        <v>23</v>
      </c>
      <c r="L7736">
        <f t="shared" si="360"/>
        <v>2023</v>
      </c>
      <c r="M7736" t="str">
        <f t="shared" si="361"/>
        <v>Jun</v>
      </c>
      <c r="N7736" s="2">
        <f t="shared" si="362"/>
        <v>0.12161919614545484</v>
      </c>
    </row>
    <row r="7737" spans="1:14" x14ac:dyDescent="0.45">
      <c r="A7737" t="s">
        <v>12981</v>
      </c>
      <c r="B7737" s="1">
        <v>45307</v>
      </c>
      <c r="C7737" t="s">
        <v>12982</v>
      </c>
      <c r="D7737" t="s">
        <v>56</v>
      </c>
      <c r="E7737" t="s">
        <v>20</v>
      </c>
      <c r="F7737" t="s">
        <v>50</v>
      </c>
      <c r="G7737">
        <v>2</v>
      </c>
      <c r="H7737">
        <v>9527.5</v>
      </c>
      <c r="I7737">
        <v>1894.86</v>
      </c>
      <c r="J7737" t="s">
        <v>28</v>
      </c>
      <c r="K7737" t="s">
        <v>23</v>
      </c>
      <c r="L7737">
        <f t="shared" si="360"/>
        <v>2024</v>
      </c>
      <c r="M7737" t="str">
        <f t="shared" si="361"/>
        <v>Jan</v>
      </c>
      <c r="N7737" s="2">
        <f t="shared" si="362"/>
        <v>0.1988832327473104</v>
      </c>
    </row>
    <row r="7738" spans="1:14" x14ac:dyDescent="0.45">
      <c r="A7738" t="s">
        <v>12983</v>
      </c>
      <c r="B7738" s="1">
        <v>45501</v>
      </c>
      <c r="C7738" t="s">
        <v>10528</v>
      </c>
      <c r="D7738" t="s">
        <v>26</v>
      </c>
      <c r="E7738" t="s">
        <v>36</v>
      </c>
      <c r="F7738" t="s">
        <v>53</v>
      </c>
      <c r="G7738">
        <v>3</v>
      </c>
      <c r="H7738">
        <v>22578.25</v>
      </c>
      <c r="I7738">
        <v>3429.13</v>
      </c>
      <c r="J7738" t="s">
        <v>22</v>
      </c>
      <c r="K7738" t="s">
        <v>23</v>
      </c>
      <c r="L7738">
        <f t="shared" si="360"/>
        <v>2024</v>
      </c>
      <c r="M7738" t="str">
        <f t="shared" si="361"/>
        <v>Jul</v>
      </c>
      <c r="N7738" s="2">
        <f t="shared" si="362"/>
        <v>0.15187758130058795</v>
      </c>
    </row>
    <row r="7739" spans="1:14" x14ac:dyDescent="0.45">
      <c r="A7739" t="s">
        <v>12984</v>
      </c>
      <c r="B7739" s="1">
        <v>45393</v>
      </c>
      <c r="C7739" t="s">
        <v>12985</v>
      </c>
      <c r="D7739" t="s">
        <v>13</v>
      </c>
      <c r="E7739" t="s">
        <v>36</v>
      </c>
      <c r="F7739" t="s">
        <v>37</v>
      </c>
      <c r="G7739">
        <v>5</v>
      </c>
      <c r="H7739">
        <v>9527.86</v>
      </c>
      <c r="I7739">
        <v>1015.68</v>
      </c>
      <c r="J7739" t="s">
        <v>16</v>
      </c>
      <c r="K7739" t="s">
        <v>33</v>
      </c>
      <c r="L7739">
        <f t="shared" si="360"/>
        <v>2024</v>
      </c>
      <c r="M7739" t="str">
        <f t="shared" si="361"/>
        <v>Apr</v>
      </c>
      <c r="N7739" s="2">
        <f t="shared" si="362"/>
        <v>0.10660106256808978</v>
      </c>
    </row>
    <row r="7740" spans="1:14" x14ac:dyDescent="0.45">
      <c r="A7740" t="s">
        <v>12986</v>
      </c>
      <c r="B7740" s="1">
        <v>45526</v>
      </c>
      <c r="C7740" t="s">
        <v>4277</v>
      </c>
      <c r="D7740" t="s">
        <v>13</v>
      </c>
      <c r="E7740" t="s">
        <v>36</v>
      </c>
      <c r="F7740" t="s">
        <v>37</v>
      </c>
      <c r="G7740">
        <v>3</v>
      </c>
      <c r="H7740">
        <v>45796.99</v>
      </c>
      <c r="I7740">
        <v>3483.77</v>
      </c>
      <c r="J7740" t="s">
        <v>47</v>
      </c>
      <c r="K7740" t="s">
        <v>33</v>
      </c>
      <c r="L7740">
        <f t="shared" si="360"/>
        <v>2024</v>
      </c>
      <c r="M7740" t="str">
        <f t="shared" si="361"/>
        <v>Aug</v>
      </c>
      <c r="N7740" s="2">
        <f t="shared" si="362"/>
        <v>7.6069846511746739E-2</v>
      </c>
    </row>
    <row r="7741" spans="1:14" x14ac:dyDescent="0.45">
      <c r="A7741" t="s">
        <v>12987</v>
      </c>
      <c r="B7741" s="1">
        <v>44840</v>
      </c>
      <c r="C7741" t="s">
        <v>4646</v>
      </c>
      <c r="D7741" t="s">
        <v>13</v>
      </c>
      <c r="E7741" t="s">
        <v>14</v>
      </c>
      <c r="F7741" t="s">
        <v>15</v>
      </c>
      <c r="G7741">
        <v>4</v>
      </c>
      <c r="H7741">
        <v>42287.41</v>
      </c>
      <c r="I7741">
        <v>10554.72</v>
      </c>
      <c r="J7741" t="s">
        <v>16</v>
      </c>
      <c r="K7741" t="s">
        <v>23</v>
      </c>
      <c r="L7741">
        <f t="shared" si="360"/>
        <v>2022</v>
      </c>
      <c r="M7741" t="str">
        <f t="shared" si="361"/>
        <v>Oct</v>
      </c>
      <c r="N7741" s="2">
        <f t="shared" si="362"/>
        <v>0.24959485577385795</v>
      </c>
    </row>
    <row r="7742" spans="1:14" x14ac:dyDescent="0.45">
      <c r="A7742" t="s">
        <v>12988</v>
      </c>
      <c r="B7742" s="1">
        <v>45499</v>
      </c>
      <c r="C7742" t="s">
        <v>12989</v>
      </c>
      <c r="D7742" t="s">
        <v>26</v>
      </c>
      <c r="E7742" t="s">
        <v>20</v>
      </c>
      <c r="F7742" t="s">
        <v>21</v>
      </c>
      <c r="G7742">
        <v>4</v>
      </c>
      <c r="H7742">
        <v>9835.19</v>
      </c>
      <c r="I7742">
        <v>1874.59</v>
      </c>
      <c r="J7742" t="s">
        <v>28</v>
      </c>
      <c r="K7742" t="s">
        <v>23</v>
      </c>
      <c r="L7742">
        <f t="shared" si="360"/>
        <v>2024</v>
      </c>
      <c r="M7742" t="str">
        <f t="shared" si="361"/>
        <v>Jul</v>
      </c>
      <c r="N7742" s="2">
        <f t="shared" si="362"/>
        <v>0.19060028326854894</v>
      </c>
    </row>
    <row r="7743" spans="1:14" x14ac:dyDescent="0.45">
      <c r="A7743" t="s">
        <v>12990</v>
      </c>
      <c r="B7743" s="1">
        <v>45639</v>
      </c>
      <c r="C7743" t="s">
        <v>4401</v>
      </c>
      <c r="D7743" t="s">
        <v>26</v>
      </c>
      <c r="E7743" t="s">
        <v>36</v>
      </c>
      <c r="F7743" t="s">
        <v>64</v>
      </c>
      <c r="G7743">
        <v>1</v>
      </c>
      <c r="H7743">
        <v>12309.53</v>
      </c>
      <c r="I7743">
        <v>790.08</v>
      </c>
      <c r="J7743" t="s">
        <v>28</v>
      </c>
      <c r="K7743" t="s">
        <v>23</v>
      </c>
      <c r="L7743">
        <f t="shared" si="360"/>
        <v>2024</v>
      </c>
      <c r="M7743" t="str">
        <f t="shared" si="361"/>
        <v>Dec</v>
      </c>
      <c r="N7743" s="2">
        <f t="shared" si="362"/>
        <v>6.4184416464316676E-2</v>
      </c>
    </row>
    <row r="7744" spans="1:14" x14ac:dyDescent="0.45">
      <c r="A7744" t="s">
        <v>12991</v>
      </c>
      <c r="B7744" s="1">
        <v>45515</v>
      </c>
      <c r="C7744" t="s">
        <v>2936</v>
      </c>
      <c r="D7744" t="s">
        <v>56</v>
      </c>
      <c r="E7744" t="s">
        <v>20</v>
      </c>
      <c r="F7744" t="s">
        <v>27</v>
      </c>
      <c r="G7744">
        <v>2</v>
      </c>
      <c r="H7744">
        <v>43653.36</v>
      </c>
      <c r="I7744">
        <v>8908.08</v>
      </c>
      <c r="J7744" t="s">
        <v>71</v>
      </c>
      <c r="K7744" t="s">
        <v>29</v>
      </c>
      <c r="L7744">
        <f t="shared" si="360"/>
        <v>2024</v>
      </c>
      <c r="M7744" t="str">
        <f t="shared" si="361"/>
        <v>Aug</v>
      </c>
      <c r="N7744" s="2">
        <f t="shared" si="362"/>
        <v>0.20406401706535304</v>
      </c>
    </row>
    <row r="7745" spans="1:14" x14ac:dyDescent="0.45">
      <c r="A7745" t="s">
        <v>12992</v>
      </c>
      <c r="B7745" s="1">
        <v>45539</v>
      </c>
      <c r="C7745" t="s">
        <v>232</v>
      </c>
      <c r="D7745" t="s">
        <v>56</v>
      </c>
      <c r="E7745" t="s">
        <v>14</v>
      </c>
      <c r="F7745" t="s">
        <v>40</v>
      </c>
      <c r="G7745">
        <v>3</v>
      </c>
      <c r="H7745">
        <v>26871.08</v>
      </c>
      <c r="I7745">
        <v>6208.97</v>
      </c>
      <c r="J7745" t="s">
        <v>71</v>
      </c>
      <c r="K7745" t="s">
        <v>17</v>
      </c>
      <c r="L7745">
        <f t="shared" si="360"/>
        <v>2024</v>
      </c>
      <c r="M7745" t="str">
        <f t="shared" si="361"/>
        <v>Sep</v>
      </c>
      <c r="N7745" s="2">
        <f t="shared" si="362"/>
        <v>0.23106514513000592</v>
      </c>
    </row>
    <row r="7746" spans="1:14" x14ac:dyDescent="0.45">
      <c r="A7746" t="s">
        <v>12993</v>
      </c>
      <c r="B7746" s="1">
        <v>45275</v>
      </c>
      <c r="C7746" t="s">
        <v>9397</v>
      </c>
      <c r="D7746" t="s">
        <v>13</v>
      </c>
      <c r="E7746" t="s">
        <v>20</v>
      </c>
      <c r="F7746" t="s">
        <v>43</v>
      </c>
      <c r="G7746">
        <v>4</v>
      </c>
      <c r="H7746">
        <v>31157.37</v>
      </c>
      <c r="I7746">
        <v>4951.49</v>
      </c>
      <c r="J7746" t="s">
        <v>22</v>
      </c>
      <c r="K7746" t="s">
        <v>17</v>
      </c>
      <c r="L7746">
        <f t="shared" si="360"/>
        <v>2023</v>
      </c>
      <c r="M7746" t="str">
        <f t="shared" si="361"/>
        <v>Dec</v>
      </c>
      <c r="N7746" s="2">
        <f t="shared" si="362"/>
        <v>0.15891874057406</v>
      </c>
    </row>
    <row r="7747" spans="1:14" x14ac:dyDescent="0.45">
      <c r="A7747" t="s">
        <v>12994</v>
      </c>
      <c r="B7747" s="1">
        <v>45585</v>
      </c>
      <c r="C7747" t="s">
        <v>5826</v>
      </c>
      <c r="D7747" t="s">
        <v>56</v>
      </c>
      <c r="E7747" t="s">
        <v>36</v>
      </c>
      <c r="F7747" t="s">
        <v>64</v>
      </c>
      <c r="G7747">
        <v>4</v>
      </c>
      <c r="H7747">
        <v>29172.7</v>
      </c>
      <c r="I7747">
        <v>6169.73</v>
      </c>
      <c r="J7747" t="s">
        <v>16</v>
      </c>
      <c r="K7747" t="s">
        <v>17</v>
      </c>
      <c r="L7747">
        <f t="shared" ref="L7747:L7810" si="363">YEAR(B7747 )</f>
        <v>2024</v>
      </c>
      <c r="M7747" t="str">
        <f t="shared" ref="M7747:M7810" si="364">TEXT(B7747,"MMM")</f>
        <v>Oct</v>
      </c>
      <c r="N7747" s="2">
        <f t="shared" ref="N7747:N7810" si="365">I7747 / H7747</f>
        <v>0.21148985181351054</v>
      </c>
    </row>
    <row r="7748" spans="1:14" x14ac:dyDescent="0.45">
      <c r="A7748" t="s">
        <v>12995</v>
      </c>
      <c r="B7748" s="1">
        <v>44906</v>
      </c>
      <c r="C7748" t="s">
        <v>11308</v>
      </c>
      <c r="D7748" t="s">
        <v>56</v>
      </c>
      <c r="E7748" t="s">
        <v>36</v>
      </c>
      <c r="F7748" t="s">
        <v>53</v>
      </c>
      <c r="G7748">
        <v>3</v>
      </c>
      <c r="H7748">
        <v>38144.47</v>
      </c>
      <c r="I7748">
        <v>9168.5</v>
      </c>
      <c r="J7748" t="s">
        <v>16</v>
      </c>
      <c r="K7748" t="s">
        <v>29</v>
      </c>
      <c r="L7748">
        <f t="shared" si="363"/>
        <v>2022</v>
      </c>
      <c r="M7748" t="str">
        <f t="shared" si="364"/>
        <v>Dec</v>
      </c>
      <c r="N7748" s="2">
        <f t="shared" si="365"/>
        <v>0.24036249553342856</v>
      </c>
    </row>
    <row r="7749" spans="1:14" x14ac:dyDescent="0.45">
      <c r="A7749" t="s">
        <v>12996</v>
      </c>
      <c r="B7749" s="1">
        <v>45347</v>
      </c>
      <c r="C7749" t="s">
        <v>12997</v>
      </c>
      <c r="D7749" t="s">
        <v>56</v>
      </c>
      <c r="E7749" t="s">
        <v>14</v>
      </c>
      <c r="F7749" t="s">
        <v>15</v>
      </c>
      <c r="G7749">
        <v>4</v>
      </c>
      <c r="H7749">
        <v>36260.47</v>
      </c>
      <c r="I7749">
        <v>1982.08</v>
      </c>
      <c r="J7749" t="s">
        <v>47</v>
      </c>
      <c r="K7749" t="s">
        <v>33</v>
      </c>
      <c r="L7749">
        <f t="shared" si="363"/>
        <v>2024</v>
      </c>
      <c r="M7749" t="str">
        <f t="shared" si="364"/>
        <v>Feb</v>
      </c>
      <c r="N7749" s="2">
        <f t="shared" si="365"/>
        <v>5.466228099084209E-2</v>
      </c>
    </row>
    <row r="7750" spans="1:14" x14ac:dyDescent="0.45">
      <c r="A7750" t="s">
        <v>12998</v>
      </c>
      <c r="B7750" s="1">
        <v>45420</v>
      </c>
      <c r="C7750" t="s">
        <v>12999</v>
      </c>
      <c r="D7750" t="s">
        <v>26</v>
      </c>
      <c r="E7750" t="s">
        <v>36</v>
      </c>
      <c r="F7750" t="s">
        <v>37</v>
      </c>
      <c r="G7750">
        <v>5</v>
      </c>
      <c r="H7750">
        <v>46758.97</v>
      </c>
      <c r="I7750">
        <v>9689.1299999999992</v>
      </c>
      <c r="J7750" t="s">
        <v>16</v>
      </c>
      <c r="K7750" t="s">
        <v>23</v>
      </c>
      <c r="L7750">
        <f t="shared" si="363"/>
        <v>2024</v>
      </c>
      <c r="M7750" t="str">
        <f t="shared" si="364"/>
        <v>May</v>
      </c>
      <c r="N7750" s="2">
        <f t="shared" si="365"/>
        <v>0.20721435908447083</v>
      </c>
    </row>
    <row r="7751" spans="1:14" x14ac:dyDescent="0.45">
      <c r="A7751" t="s">
        <v>13000</v>
      </c>
      <c r="B7751" s="1">
        <v>45260</v>
      </c>
      <c r="C7751" t="s">
        <v>4532</v>
      </c>
      <c r="D7751" t="s">
        <v>56</v>
      </c>
      <c r="E7751" t="s">
        <v>14</v>
      </c>
      <c r="F7751" t="s">
        <v>57</v>
      </c>
      <c r="G7751">
        <v>1</v>
      </c>
      <c r="H7751">
        <v>40150.31</v>
      </c>
      <c r="I7751">
        <v>6822</v>
      </c>
      <c r="J7751" t="s">
        <v>16</v>
      </c>
      <c r="K7751" t="s">
        <v>17</v>
      </c>
      <c r="L7751">
        <f t="shared" si="363"/>
        <v>2023</v>
      </c>
      <c r="M7751" t="str">
        <f t="shared" si="364"/>
        <v>Nov</v>
      </c>
      <c r="N7751" s="2">
        <f t="shared" si="365"/>
        <v>0.16991151500449189</v>
      </c>
    </row>
    <row r="7752" spans="1:14" x14ac:dyDescent="0.45">
      <c r="A7752" t="s">
        <v>13001</v>
      </c>
      <c r="B7752" s="1">
        <v>45459</v>
      </c>
      <c r="C7752" t="s">
        <v>13002</v>
      </c>
      <c r="D7752" t="s">
        <v>13</v>
      </c>
      <c r="E7752" t="s">
        <v>36</v>
      </c>
      <c r="F7752" t="s">
        <v>46</v>
      </c>
      <c r="G7752">
        <v>4</v>
      </c>
      <c r="H7752">
        <v>4995.9399999999996</v>
      </c>
      <c r="I7752">
        <v>673.3</v>
      </c>
      <c r="J7752" t="s">
        <v>71</v>
      </c>
      <c r="K7752" t="s">
        <v>33</v>
      </c>
      <c r="L7752">
        <f t="shared" si="363"/>
        <v>2024</v>
      </c>
      <c r="M7752" t="str">
        <f t="shared" si="364"/>
        <v>Jun</v>
      </c>
      <c r="N7752" s="2">
        <f t="shared" si="365"/>
        <v>0.13476943277941689</v>
      </c>
    </row>
    <row r="7753" spans="1:14" x14ac:dyDescent="0.45">
      <c r="A7753" t="s">
        <v>13003</v>
      </c>
      <c r="B7753" s="1">
        <v>45288</v>
      </c>
      <c r="C7753" t="s">
        <v>3609</v>
      </c>
      <c r="D7753" t="s">
        <v>13</v>
      </c>
      <c r="E7753" t="s">
        <v>20</v>
      </c>
      <c r="F7753" t="s">
        <v>43</v>
      </c>
      <c r="G7753">
        <v>2</v>
      </c>
      <c r="H7753">
        <v>44809.72</v>
      </c>
      <c r="I7753">
        <v>8991.69</v>
      </c>
      <c r="J7753" t="s">
        <v>71</v>
      </c>
      <c r="K7753" t="s">
        <v>33</v>
      </c>
      <c r="L7753">
        <f t="shared" si="363"/>
        <v>2023</v>
      </c>
      <c r="M7753" t="str">
        <f t="shared" si="364"/>
        <v>Dec</v>
      </c>
      <c r="N7753" s="2">
        <f t="shared" si="365"/>
        <v>0.20066382918706033</v>
      </c>
    </row>
    <row r="7754" spans="1:14" x14ac:dyDescent="0.45">
      <c r="A7754" t="s">
        <v>13004</v>
      </c>
      <c r="B7754" s="1">
        <v>44994</v>
      </c>
      <c r="C7754" t="s">
        <v>3831</v>
      </c>
      <c r="D7754" t="s">
        <v>56</v>
      </c>
      <c r="E7754" t="s">
        <v>20</v>
      </c>
      <c r="F7754" t="s">
        <v>43</v>
      </c>
      <c r="G7754">
        <v>3</v>
      </c>
      <c r="H7754">
        <v>29101.09</v>
      </c>
      <c r="I7754">
        <v>4968.97</v>
      </c>
      <c r="J7754" t="s">
        <v>16</v>
      </c>
      <c r="K7754" t="s">
        <v>33</v>
      </c>
      <c r="L7754">
        <f t="shared" si="363"/>
        <v>2023</v>
      </c>
      <c r="M7754" t="str">
        <f t="shared" si="364"/>
        <v>Mar</v>
      </c>
      <c r="N7754" s="2">
        <f t="shared" si="365"/>
        <v>0.17074858708041521</v>
      </c>
    </row>
    <row r="7755" spans="1:14" x14ac:dyDescent="0.45">
      <c r="A7755" t="s">
        <v>13005</v>
      </c>
      <c r="B7755" s="1">
        <v>45476</v>
      </c>
      <c r="C7755" t="s">
        <v>10574</v>
      </c>
      <c r="D7755" t="s">
        <v>56</v>
      </c>
      <c r="E7755" t="s">
        <v>14</v>
      </c>
      <c r="F7755" t="s">
        <v>15</v>
      </c>
      <c r="G7755">
        <v>5</v>
      </c>
      <c r="H7755">
        <v>15018.25</v>
      </c>
      <c r="I7755">
        <v>2486.19</v>
      </c>
      <c r="J7755" t="s">
        <v>16</v>
      </c>
      <c r="K7755" t="s">
        <v>17</v>
      </c>
      <c r="L7755">
        <f t="shared" si="363"/>
        <v>2024</v>
      </c>
      <c r="M7755" t="str">
        <f t="shared" si="364"/>
        <v>Jul</v>
      </c>
      <c r="N7755" s="2">
        <f t="shared" si="365"/>
        <v>0.16554458741864067</v>
      </c>
    </row>
    <row r="7756" spans="1:14" x14ac:dyDescent="0.45">
      <c r="A7756" t="s">
        <v>13006</v>
      </c>
      <c r="B7756" s="1">
        <v>45018</v>
      </c>
      <c r="C7756" t="s">
        <v>7091</v>
      </c>
      <c r="D7756" t="s">
        <v>56</v>
      </c>
      <c r="E7756" t="s">
        <v>14</v>
      </c>
      <c r="F7756" t="s">
        <v>40</v>
      </c>
      <c r="G7756">
        <v>4</v>
      </c>
      <c r="H7756">
        <v>49330.9</v>
      </c>
      <c r="I7756">
        <v>7367.48</v>
      </c>
      <c r="J7756" t="s">
        <v>22</v>
      </c>
      <c r="K7756" t="s">
        <v>23</v>
      </c>
      <c r="L7756">
        <f t="shared" si="363"/>
        <v>2023</v>
      </c>
      <c r="M7756" t="str">
        <f t="shared" si="364"/>
        <v>Apr</v>
      </c>
      <c r="N7756" s="2">
        <f t="shared" si="365"/>
        <v>0.14934817730874561</v>
      </c>
    </row>
    <row r="7757" spans="1:14" x14ac:dyDescent="0.45">
      <c r="A7757" t="s">
        <v>13007</v>
      </c>
      <c r="B7757" s="1">
        <v>45000</v>
      </c>
      <c r="C7757" t="s">
        <v>13008</v>
      </c>
      <c r="D7757" t="s">
        <v>56</v>
      </c>
      <c r="E7757" t="s">
        <v>20</v>
      </c>
      <c r="F7757" t="s">
        <v>43</v>
      </c>
      <c r="G7757">
        <v>2</v>
      </c>
      <c r="H7757">
        <v>43860.15</v>
      </c>
      <c r="I7757">
        <v>4987.78</v>
      </c>
      <c r="J7757" t="s">
        <v>22</v>
      </c>
      <c r="K7757" t="s">
        <v>29</v>
      </c>
      <c r="L7757">
        <f t="shared" si="363"/>
        <v>2023</v>
      </c>
      <c r="M7757" t="str">
        <f t="shared" si="364"/>
        <v>Mar</v>
      </c>
      <c r="N7757" s="2">
        <f t="shared" si="365"/>
        <v>0.11372008531662567</v>
      </c>
    </row>
    <row r="7758" spans="1:14" x14ac:dyDescent="0.45">
      <c r="A7758" t="s">
        <v>13009</v>
      </c>
      <c r="B7758" s="1">
        <v>45068</v>
      </c>
      <c r="C7758" t="s">
        <v>13010</v>
      </c>
      <c r="D7758" t="s">
        <v>56</v>
      </c>
      <c r="E7758" t="s">
        <v>36</v>
      </c>
      <c r="F7758" t="s">
        <v>53</v>
      </c>
      <c r="G7758">
        <v>2</v>
      </c>
      <c r="H7758">
        <v>9582.66</v>
      </c>
      <c r="I7758">
        <v>2059.62</v>
      </c>
      <c r="J7758" t="s">
        <v>28</v>
      </c>
      <c r="K7758" t="s">
        <v>29</v>
      </c>
      <c r="L7758">
        <f t="shared" si="363"/>
        <v>2023</v>
      </c>
      <c r="M7758" t="str">
        <f t="shared" si="364"/>
        <v>May</v>
      </c>
      <c r="N7758" s="2">
        <f t="shared" si="365"/>
        <v>0.21493197087238824</v>
      </c>
    </row>
    <row r="7759" spans="1:14" x14ac:dyDescent="0.45">
      <c r="A7759" t="s">
        <v>13011</v>
      </c>
      <c r="B7759" s="1">
        <v>45234</v>
      </c>
      <c r="C7759" t="s">
        <v>1858</v>
      </c>
      <c r="D7759" t="s">
        <v>26</v>
      </c>
      <c r="E7759" t="s">
        <v>14</v>
      </c>
      <c r="F7759" t="s">
        <v>40</v>
      </c>
      <c r="G7759">
        <v>1</v>
      </c>
      <c r="H7759">
        <v>30796.43</v>
      </c>
      <c r="I7759">
        <v>2005.59</v>
      </c>
      <c r="J7759" t="s">
        <v>28</v>
      </c>
      <c r="K7759" t="s">
        <v>29</v>
      </c>
      <c r="L7759">
        <f t="shared" si="363"/>
        <v>2023</v>
      </c>
      <c r="M7759" t="str">
        <f t="shared" si="364"/>
        <v>Nov</v>
      </c>
      <c r="N7759" s="2">
        <f t="shared" si="365"/>
        <v>6.5124106917587521E-2</v>
      </c>
    </row>
    <row r="7760" spans="1:14" x14ac:dyDescent="0.45">
      <c r="A7760" t="s">
        <v>13012</v>
      </c>
      <c r="B7760" s="1">
        <v>44916</v>
      </c>
      <c r="C7760" t="s">
        <v>13013</v>
      </c>
      <c r="D7760" t="s">
        <v>56</v>
      </c>
      <c r="E7760" t="s">
        <v>14</v>
      </c>
      <c r="F7760" t="s">
        <v>40</v>
      </c>
      <c r="G7760">
        <v>2</v>
      </c>
      <c r="H7760">
        <v>47851.43</v>
      </c>
      <c r="I7760">
        <v>9473.33</v>
      </c>
      <c r="J7760" t="s">
        <v>16</v>
      </c>
      <c r="K7760" t="s">
        <v>17</v>
      </c>
      <c r="L7760">
        <f t="shared" si="363"/>
        <v>2022</v>
      </c>
      <c r="M7760" t="str">
        <f t="shared" si="364"/>
        <v>Dec</v>
      </c>
      <c r="N7760" s="2">
        <f t="shared" si="365"/>
        <v>0.19797381185891413</v>
      </c>
    </row>
    <row r="7761" spans="1:14" x14ac:dyDescent="0.45">
      <c r="A7761" t="s">
        <v>13014</v>
      </c>
      <c r="B7761" s="1">
        <v>45452</v>
      </c>
      <c r="C7761" t="s">
        <v>13015</v>
      </c>
      <c r="D7761" t="s">
        <v>26</v>
      </c>
      <c r="E7761" t="s">
        <v>14</v>
      </c>
      <c r="F7761" t="s">
        <v>15</v>
      </c>
      <c r="G7761">
        <v>1</v>
      </c>
      <c r="H7761">
        <v>32685.47</v>
      </c>
      <c r="I7761">
        <v>4332.8</v>
      </c>
      <c r="J7761" t="s">
        <v>28</v>
      </c>
      <c r="K7761" t="s">
        <v>33</v>
      </c>
      <c r="L7761">
        <f t="shared" si="363"/>
        <v>2024</v>
      </c>
      <c r="M7761" t="str">
        <f t="shared" si="364"/>
        <v>Jun</v>
      </c>
      <c r="N7761" s="2">
        <f t="shared" si="365"/>
        <v>0.13256043128644013</v>
      </c>
    </row>
    <row r="7762" spans="1:14" x14ac:dyDescent="0.45">
      <c r="A7762" t="s">
        <v>13016</v>
      </c>
      <c r="B7762" s="1">
        <v>45362</v>
      </c>
      <c r="C7762" t="s">
        <v>3605</v>
      </c>
      <c r="D7762" t="s">
        <v>56</v>
      </c>
      <c r="E7762" t="s">
        <v>14</v>
      </c>
      <c r="F7762" t="s">
        <v>40</v>
      </c>
      <c r="G7762">
        <v>5</v>
      </c>
      <c r="H7762">
        <v>14520.22</v>
      </c>
      <c r="I7762">
        <v>2374.54</v>
      </c>
      <c r="J7762" t="s">
        <v>47</v>
      </c>
      <c r="K7762" t="s">
        <v>23</v>
      </c>
      <c r="L7762">
        <f t="shared" si="363"/>
        <v>2024</v>
      </c>
      <c r="M7762" t="str">
        <f t="shared" si="364"/>
        <v>Mar</v>
      </c>
      <c r="N7762" s="2">
        <f t="shared" si="365"/>
        <v>0.16353333489437488</v>
      </c>
    </row>
    <row r="7763" spans="1:14" x14ac:dyDescent="0.45">
      <c r="A7763" t="s">
        <v>13017</v>
      </c>
      <c r="B7763" s="1">
        <v>44886</v>
      </c>
      <c r="C7763" t="s">
        <v>4076</v>
      </c>
      <c r="D7763" t="s">
        <v>56</v>
      </c>
      <c r="E7763" t="s">
        <v>20</v>
      </c>
      <c r="F7763" t="s">
        <v>27</v>
      </c>
      <c r="G7763">
        <v>3</v>
      </c>
      <c r="H7763">
        <v>47206.55</v>
      </c>
      <c r="I7763">
        <v>4997.59</v>
      </c>
      <c r="J7763" t="s">
        <v>22</v>
      </c>
      <c r="K7763" t="s">
        <v>17</v>
      </c>
      <c r="L7763">
        <f t="shared" si="363"/>
        <v>2022</v>
      </c>
      <c r="M7763" t="str">
        <f t="shared" si="364"/>
        <v>Nov</v>
      </c>
      <c r="N7763" s="2">
        <f t="shared" si="365"/>
        <v>0.10586645285452971</v>
      </c>
    </row>
    <row r="7764" spans="1:14" x14ac:dyDescent="0.45">
      <c r="A7764" t="s">
        <v>13018</v>
      </c>
      <c r="B7764" s="1">
        <v>44702</v>
      </c>
      <c r="C7764" t="s">
        <v>7139</v>
      </c>
      <c r="D7764" t="s">
        <v>26</v>
      </c>
      <c r="E7764" t="s">
        <v>14</v>
      </c>
      <c r="F7764" t="s">
        <v>57</v>
      </c>
      <c r="G7764">
        <v>2</v>
      </c>
      <c r="H7764">
        <v>9805.44</v>
      </c>
      <c r="I7764">
        <v>1938.69</v>
      </c>
      <c r="J7764" t="s">
        <v>28</v>
      </c>
      <c r="K7764" t="s">
        <v>17</v>
      </c>
      <c r="L7764">
        <f t="shared" si="363"/>
        <v>2022</v>
      </c>
      <c r="M7764" t="str">
        <f t="shared" si="364"/>
        <v>May</v>
      </c>
      <c r="N7764" s="2">
        <f t="shared" si="365"/>
        <v>0.1977157577834345</v>
      </c>
    </row>
    <row r="7765" spans="1:14" x14ac:dyDescent="0.45">
      <c r="A7765" t="s">
        <v>13019</v>
      </c>
      <c r="B7765" s="1">
        <v>44713</v>
      </c>
      <c r="C7765" t="s">
        <v>13020</v>
      </c>
      <c r="D7765" t="s">
        <v>26</v>
      </c>
      <c r="E7765" t="s">
        <v>14</v>
      </c>
      <c r="F7765" t="s">
        <v>57</v>
      </c>
      <c r="G7765">
        <v>4</v>
      </c>
      <c r="H7765">
        <v>31686.37</v>
      </c>
      <c r="I7765">
        <v>3228.78</v>
      </c>
      <c r="J7765" t="s">
        <v>28</v>
      </c>
      <c r="K7765" t="s">
        <v>23</v>
      </c>
      <c r="L7765">
        <f t="shared" si="363"/>
        <v>2022</v>
      </c>
      <c r="M7765" t="str">
        <f t="shared" si="364"/>
        <v>Jun</v>
      </c>
      <c r="N7765" s="2">
        <f t="shared" si="365"/>
        <v>0.10189807163143018</v>
      </c>
    </row>
    <row r="7766" spans="1:14" x14ac:dyDescent="0.45">
      <c r="A7766" t="s">
        <v>13021</v>
      </c>
      <c r="B7766" s="1">
        <v>44979</v>
      </c>
      <c r="C7766" t="s">
        <v>1226</v>
      </c>
      <c r="D7766" t="s">
        <v>13</v>
      </c>
      <c r="E7766" t="s">
        <v>14</v>
      </c>
      <c r="F7766" t="s">
        <v>32</v>
      </c>
      <c r="G7766">
        <v>2</v>
      </c>
      <c r="H7766">
        <v>4569.04</v>
      </c>
      <c r="I7766">
        <v>709.93</v>
      </c>
      <c r="J7766" t="s">
        <v>16</v>
      </c>
      <c r="K7766" t="s">
        <v>17</v>
      </c>
      <c r="L7766">
        <f t="shared" si="363"/>
        <v>2023</v>
      </c>
      <c r="M7766" t="str">
        <f t="shared" si="364"/>
        <v>Feb</v>
      </c>
      <c r="N7766" s="2">
        <f t="shared" si="365"/>
        <v>0.15537837269973559</v>
      </c>
    </row>
    <row r="7767" spans="1:14" x14ac:dyDescent="0.45">
      <c r="A7767" t="s">
        <v>13022</v>
      </c>
      <c r="B7767" s="1">
        <v>45349</v>
      </c>
      <c r="C7767" t="s">
        <v>7950</v>
      </c>
      <c r="D7767" t="s">
        <v>56</v>
      </c>
      <c r="E7767" t="s">
        <v>20</v>
      </c>
      <c r="F7767" t="s">
        <v>50</v>
      </c>
      <c r="G7767">
        <v>3</v>
      </c>
      <c r="H7767">
        <v>25109.23</v>
      </c>
      <c r="I7767">
        <v>2866.32</v>
      </c>
      <c r="J7767" t="s">
        <v>28</v>
      </c>
      <c r="K7767" t="s">
        <v>29</v>
      </c>
      <c r="L7767">
        <f t="shared" si="363"/>
        <v>2024</v>
      </c>
      <c r="M7767" t="str">
        <f t="shared" si="364"/>
        <v>Feb</v>
      </c>
      <c r="N7767" s="2">
        <f t="shared" si="365"/>
        <v>0.11415403817639969</v>
      </c>
    </row>
    <row r="7768" spans="1:14" x14ac:dyDescent="0.45">
      <c r="A7768" t="s">
        <v>13023</v>
      </c>
      <c r="B7768" s="1">
        <v>45015</v>
      </c>
      <c r="C7768" t="s">
        <v>1143</v>
      </c>
      <c r="D7768" t="s">
        <v>56</v>
      </c>
      <c r="E7768" t="s">
        <v>20</v>
      </c>
      <c r="F7768" t="s">
        <v>21</v>
      </c>
      <c r="G7768">
        <v>3</v>
      </c>
      <c r="H7768">
        <v>31481.72</v>
      </c>
      <c r="I7768">
        <v>2987.91</v>
      </c>
      <c r="J7768" t="s">
        <v>28</v>
      </c>
      <c r="K7768" t="s">
        <v>23</v>
      </c>
      <c r="L7768">
        <f t="shared" si="363"/>
        <v>2023</v>
      </c>
      <c r="M7768" t="str">
        <f t="shared" si="364"/>
        <v>Mar</v>
      </c>
      <c r="N7768" s="2">
        <f t="shared" si="365"/>
        <v>9.4909363274941774E-2</v>
      </c>
    </row>
    <row r="7769" spans="1:14" x14ac:dyDescent="0.45">
      <c r="A7769" t="s">
        <v>13024</v>
      </c>
      <c r="B7769" s="1">
        <v>44813</v>
      </c>
      <c r="C7769" t="s">
        <v>811</v>
      </c>
      <c r="D7769" t="s">
        <v>56</v>
      </c>
      <c r="E7769" t="s">
        <v>14</v>
      </c>
      <c r="F7769" t="s">
        <v>57</v>
      </c>
      <c r="G7769">
        <v>4</v>
      </c>
      <c r="H7769">
        <v>15873.46</v>
      </c>
      <c r="I7769">
        <v>2379.17</v>
      </c>
      <c r="J7769" t="s">
        <v>16</v>
      </c>
      <c r="K7769" t="s">
        <v>29</v>
      </c>
      <c r="L7769">
        <f t="shared" si="363"/>
        <v>2022</v>
      </c>
      <c r="M7769" t="str">
        <f t="shared" si="364"/>
        <v>Sep</v>
      </c>
      <c r="N7769" s="2">
        <f t="shared" si="365"/>
        <v>0.14988351625921509</v>
      </c>
    </row>
    <row r="7770" spans="1:14" x14ac:dyDescent="0.45">
      <c r="A7770" t="s">
        <v>13025</v>
      </c>
      <c r="B7770" s="1">
        <v>44814</v>
      </c>
      <c r="C7770" t="s">
        <v>13026</v>
      </c>
      <c r="D7770" t="s">
        <v>56</v>
      </c>
      <c r="E7770" t="s">
        <v>14</v>
      </c>
      <c r="F7770" t="s">
        <v>57</v>
      </c>
      <c r="G7770">
        <v>1</v>
      </c>
      <c r="H7770">
        <v>47595.26</v>
      </c>
      <c r="I7770">
        <v>4228.28</v>
      </c>
      <c r="J7770" t="s">
        <v>16</v>
      </c>
      <c r="K7770" t="s">
        <v>33</v>
      </c>
      <c r="L7770">
        <f t="shared" si="363"/>
        <v>2022</v>
      </c>
      <c r="M7770" t="str">
        <f t="shared" si="364"/>
        <v>Sep</v>
      </c>
      <c r="N7770" s="2">
        <f t="shared" si="365"/>
        <v>8.8838258263532963E-2</v>
      </c>
    </row>
    <row r="7771" spans="1:14" x14ac:dyDescent="0.45">
      <c r="A7771" t="s">
        <v>13027</v>
      </c>
      <c r="B7771" s="1">
        <v>45526</v>
      </c>
      <c r="C7771" t="s">
        <v>13028</v>
      </c>
      <c r="D7771" t="s">
        <v>56</v>
      </c>
      <c r="E7771" t="s">
        <v>20</v>
      </c>
      <c r="F7771" t="s">
        <v>50</v>
      </c>
      <c r="G7771">
        <v>5</v>
      </c>
      <c r="H7771">
        <v>35248.94</v>
      </c>
      <c r="I7771">
        <v>8595.2900000000009</v>
      </c>
      <c r="J7771" t="s">
        <v>28</v>
      </c>
      <c r="K7771" t="s">
        <v>23</v>
      </c>
      <c r="L7771">
        <f t="shared" si="363"/>
        <v>2024</v>
      </c>
      <c r="M7771" t="str">
        <f t="shared" si="364"/>
        <v>Aug</v>
      </c>
      <c r="N7771" s="2">
        <f t="shared" si="365"/>
        <v>0.24384534683879858</v>
      </c>
    </row>
    <row r="7772" spans="1:14" x14ac:dyDescent="0.45">
      <c r="A7772" t="s">
        <v>13029</v>
      </c>
      <c r="B7772" s="1">
        <v>45267</v>
      </c>
      <c r="C7772" t="s">
        <v>7721</v>
      </c>
      <c r="D7772" t="s">
        <v>56</v>
      </c>
      <c r="E7772" t="s">
        <v>14</v>
      </c>
      <c r="F7772" t="s">
        <v>40</v>
      </c>
      <c r="G7772">
        <v>5</v>
      </c>
      <c r="H7772">
        <v>26664.720000000001</v>
      </c>
      <c r="I7772">
        <v>4698.76</v>
      </c>
      <c r="J7772" t="s">
        <v>22</v>
      </c>
      <c r="K7772" t="s">
        <v>17</v>
      </c>
      <c r="L7772">
        <f t="shared" si="363"/>
        <v>2023</v>
      </c>
      <c r="M7772" t="str">
        <f t="shared" si="364"/>
        <v>Dec</v>
      </c>
      <c r="N7772" s="2">
        <f t="shared" si="365"/>
        <v>0.17621636379455699</v>
      </c>
    </row>
    <row r="7773" spans="1:14" x14ac:dyDescent="0.45">
      <c r="A7773" t="s">
        <v>13030</v>
      </c>
      <c r="B7773" s="1">
        <v>44966</v>
      </c>
      <c r="C7773" t="s">
        <v>31</v>
      </c>
      <c r="D7773" t="s">
        <v>13</v>
      </c>
      <c r="E7773" t="s">
        <v>36</v>
      </c>
      <c r="F7773" t="s">
        <v>37</v>
      </c>
      <c r="G7773">
        <v>1</v>
      </c>
      <c r="H7773">
        <v>44193.15</v>
      </c>
      <c r="I7773">
        <v>3659</v>
      </c>
      <c r="J7773" t="s">
        <v>16</v>
      </c>
      <c r="K7773" t="s">
        <v>29</v>
      </c>
      <c r="L7773">
        <f t="shared" si="363"/>
        <v>2023</v>
      </c>
      <c r="M7773" t="str">
        <f t="shared" si="364"/>
        <v>Feb</v>
      </c>
      <c r="N7773" s="2">
        <f t="shared" si="365"/>
        <v>8.279563688037625E-2</v>
      </c>
    </row>
    <row r="7774" spans="1:14" x14ac:dyDescent="0.45">
      <c r="A7774" t="s">
        <v>13031</v>
      </c>
      <c r="B7774" s="1">
        <v>44673</v>
      </c>
      <c r="C7774" t="s">
        <v>13032</v>
      </c>
      <c r="D7774" t="s">
        <v>56</v>
      </c>
      <c r="E7774" t="s">
        <v>14</v>
      </c>
      <c r="F7774" t="s">
        <v>32</v>
      </c>
      <c r="G7774">
        <v>5</v>
      </c>
      <c r="H7774">
        <v>26787.91</v>
      </c>
      <c r="I7774">
        <v>6555.4</v>
      </c>
      <c r="J7774" t="s">
        <v>16</v>
      </c>
      <c r="K7774" t="s">
        <v>29</v>
      </c>
      <c r="L7774">
        <f t="shared" si="363"/>
        <v>2022</v>
      </c>
      <c r="M7774" t="str">
        <f t="shared" si="364"/>
        <v>Apr</v>
      </c>
      <c r="N7774" s="2">
        <f t="shared" si="365"/>
        <v>0.24471487323945765</v>
      </c>
    </row>
    <row r="7775" spans="1:14" x14ac:dyDescent="0.45">
      <c r="A7775" t="s">
        <v>13033</v>
      </c>
      <c r="B7775" s="1">
        <v>44680</v>
      </c>
      <c r="C7775" t="s">
        <v>2058</v>
      </c>
      <c r="D7775" t="s">
        <v>26</v>
      </c>
      <c r="E7775" t="s">
        <v>36</v>
      </c>
      <c r="F7775" t="s">
        <v>37</v>
      </c>
      <c r="G7775">
        <v>5</v>
      </c>
      <c r="H7775">
        <v>32560.26</v>
      </c>
      <c r="I7775">
        <v>3109.4</v>
      </c>
      <c r="J7775" t="s">
        <v>47</v>
      </c>
      <c r="K7775" t="s">
        <v>17</v>
      </c>
      <c r="L7775">
        <f t="shared" si="363"/>
        <v>2022</v>
      </c>
      <c r="M7775" t="str">
        <f t="shared" si="364"/>
        <v>Apr</v>
      </c>
      <c r="N7775" s="2">
        <f t="shared" si="365"/>
        <v>9.5496780431114495E-2</v>
      </c>
    </row>
    <row r="7776" spans="1:14" x14ac:dyDescent="0.45">
      <c r="A7776" t="s">
        <v>13034</v>
      </c>
      <c r="B7776" s="1">
        <v>45114</v>
      </c>
      <c r="C7776" t="s">
        <v>5030</v>
      </c>
      <c r="D7776" t="s">
        <v>26</v>
      </c>
      <c r="E7776" t="s">
        <v>14</v>
      </c>
      <c r="F7776" t="s">
        <v>40</v>
      </c>
      <c r="G7776">
        <v>2</v>
      </c>
      <c r="H7776">
        <v>21684.25</v>
      </c>
      <c r="I7776">
        <v>3490.4</v>
      </c>
      <c r="J7776" t="s">
        <v>22</v>
      </c>
      <c r="K7776" t="s">
        <v>23</v>
      </c>
      <c r="L7776">
        <f t="shared" si="363"/>
        <v>2023</v>
      </c>
      <c r="M7776" t="str">
        <f t="shared" si="364"/>
        <v>Jul</v>
      </c>
      <c r="N7776" s="2">
        <f t="shared" si="365"/>
        <v>0.16096475552532369</v>
      </c>
    </row>
    <row r="7777" spans="1:14" x14ac:dyDescent="0.45">
      <c r="A7777" t="s">
        <v>13035</v>
      </c>
      <c r="B7777" s="1">
        <v>45215</v>
      </c>
      <c r="C7777" t="s">
        <v>13036</v>
      </c>
      <c r="D7777" t="s">
        <v>56</v>
      </c>
      <c r="E7777" t="s">
        <v>14</v>
      </c>
      <c r="F7777" t="s">
        <v>15</v>
      </c>
      <c r="G7777">
        <v>2</v>
      </c>
      <c r="H7777">
        <v>10115.120000000001</v>
      </c>
      <c r="I7777">
        <v>1431.85</v>
      </c>
      <c r="J7777" t="s">
        <v>16</v>
      </c>
      <c r="K7777" t="s">
        <v>33</v>
      </c>
      <c r="L7777">
        <f t="shared" si="363"/>
        <v>2023</v>
      </c>
      <c r="M7777" t="str">
        <f t="shared" si="364"/>
        <v>Oct</v>
      </c>
      <c r="N7777" s="2">
        <f t="shared" si="365"/>
        <v>0.14155541407318942</v>
      </c>
    </row>
    <row r="7778" spans="1:14" x14ac:dyDescent="0.45">
      <c r="A7778" t="s">
        <v>13037</v>
      </c>
      <c r="B7778" s="1">
        <v>44999</v>
      </c>
      <c r="C7778" t="s">
        <v>13038</v>
      </c>
      <c r="D7778" t="s">
        <v>13</v>
      </c>
      <c r="E7778" t="s">
        <v>20</v>
      </c>
      <c r="F7778" t="s">
        <v>50</v>
      </c>
      <c r="G7778">
        <v>4</v>
      </c>
      <c r="H7778">
        <v>48043.14</v>
      </c>
      <c r="I7778">
        <v>6248.17</v>
      </c>
      <c r="J7778" t="s">
        <v>47</v>
      </c>
      <c r="K7778" t="s">
        <v>29</v>
      </c>
      <c r="L7778">
        <f t="shared" si="363"/>
        <v>2023</v>
      </c>
      <c r="M7778" t="str">
        <f t="shared" si="364"/>
        <v>Mar</v>
      </c>
      <c r="N7778" s="2">
        <f t="shared" si="365"/>
        <v>0.13005332290936855</v>
      </c>
    </row>
    <row r="7779" spans="1:14" x14ac:dyDescent="0.45">
      <c r="A7779" t="s">
        <v>13039</v>
      </c>
      <c r="B7779" s="1">
        <v>45012</v>
      </c>
      <c r="C7779" t="s">
        <v>11358</v>
      </c>
      <c r="D7779" t="s">
        <v>26</v>
      </c>
      <c r="E7779" t="s">
        <v>14</v>
      </c>
      <c r="F7779" t="s">
        <v>57</v>
      </c>
      <c r="G7779">
        <v>4</v>
      </c>
      <c r="H7779">
        <v>2432.9299999999998</v>
      </c>
      <c r="I7779">
        <v>288.72000000000003</v>
      </c>
      <c r="J7779" t="s">
        <v>71</v>
      </c>
      <c r="K7779" t="s">
        <v>29</v>
      </c>
      <c r="L7779">
        <f t="shared" si="363"/>
        <v>2023</v>
      </c>
      <c r="M7779" t="str">
        <f t="shared" si="364"/>
        <v>Mar</v>
      </c>
      <c r="N7779" s="2">
        <f t="shared" si="365"/>
        <v>0.11867172503935586</v>
      </c>
    </row>
    <row r="7780" spans="1:14" x14ac:dyDescent="0.45">
      <c r="A7780" t="s">
        <v>13040</v>
      </c>
      <c r="B7780" s="1">
        <v>45459</v>
      </c>
      <c r="C7780" t="s">
        <v>5310</v>
      </c>
      <c r="D7780" t="s">
        <v>13</v>
      </c>
      <c r="E7780" t="s">
        <v>14</v>
      </c>
      <c r="F7780" t="s">
        <v>40</v>
      </c>
      <c r="G7780">
        <v>3</v>
      </c>
      <c r="H7780">
        <v>1414.76</v>
      </c>
      <c r="I7780">
        <v>296.5</v>
      </c>
      <c r="J7780" t="s">
        <v>22</v>
      </c>
      <c r="K7780" t="s">
        <v>33</v>
      </c>
      <c r="L7780">
        <f t="shared" si="363"/>
        <v>2024</v>
      </c>
      <c r="M7780" t="str">
        <f t="shared" si="364"/>
        <v>Jun</v>
      </c>
      <c r="N7780" s="2">
        <f t="shared" si="365"/>
        <v>0.20957618253272639</v>
      </c>
    </row>
    <row r="7781" spans="1:14" x14ac:dyDescent="0.45">
      <c r="A7781" t="s">
        <v>13041</v>
      </c>
      <c r="B7781" s="1">
        <v>45116</v>
      </c>
      <c r="C7781" t="s">
        <v>13042</v>
      </c>
      <c r="D7781" t="s">
        <v>56</v>
      </c>
      <c r="E7781" t="s">
        <v>14</v>
      </c>
      <c r="F7781" t="s">
        <v>32</v>
      </c>
      <c r="G7781">
        <v>3</v>
      </c>
      <c r="H7781">
        <v>35261.230000000003</v>
      </c>
      <c r="I7781">
        <v>7957.04</v>
      </c>
      <c r="J7781" t="s">
        <v>47</v>
      </c>
      <c r="K7781" t="s">
        <v>29</v>
      </c>
      <c r="L7781">
        <f t="shared" si="363"/>
        <v>2023</v>
      </c>
      <c r="M7781" t="str">
        <f t="shared" si="364"/>
        <v>Jul</v>
      </c>
      <c r="N7781" s="2">
        <f t="shared" si="365"/>
        <v>0.22565974017355603</v>
      </c>
    </row>
    <row r="7782" spans="1:14" x14ac:dyDescent="0.45">
      <c r="A7782" t="s">
        <v>13043</v>
      </c>
      <c r="B7782" s="1">
        <v>44584</v>
      </c>
      <c r="C7782" t="s">
        <v>10477</v>
      </c>
      <c r="D7782" t="s">
        <v>26</v>
      </c>
      <c r="E7782" t="s">
        <v>36</v>
      </c>
      <c r="F7782" t="s">
        <v>37</v>
      </c>
      <c r="G7782">
        <v>5</v>
      </c>
      <c r="H7782">
        <v>753.17</v>
      </c>
      <c r="I7782">
        <v>103.7</v>
      </c>
      <c r="J7782" t="s">
        <v>16</v>
      </c>
      <c r="K7782" t="s">
        <v>33</v>
      </c>
      <c r="L7782">
        <f t="shared" si="363"/>
        <v>2022</v>
      </c>
      <c r="M7782" t="str">
        <f t="shared" si="364"/>
        <v>Jan</v>
      </c>
      <c r="N7782" s="2">
        <f t="shared" si="365"/>
        <v>0.13768471925328943</v>
      </c>
    </row>
    <row r="7783" spans="1:14" x14ac:dyDescent="0.45">
      <c r="A7783" t="s">
        <v>13044</v>
      </c>
      <c r="B7783" s="1">
        <v>45479</v>
      </c>
      <c r="C7783" t="s">
        <v>9944</v>
      </c>
      <c r="D7783" t="s">
        <v>26</v>
      </c>
      <c r="E7783" t="s">
        <v>14</v>
      </c>
      <c r="F7783" t="s">
        <v>32</v>
      </c>
      <c r="G7783">
        <v>2</v>
      </c>
      <c r="H7783">
        <v>11627.05</v>
      </c>
      <c r="I7783">
        <v>2514.12</v>
      </c>
      <c r="J7783" t="s">
        <v>47</v>
      </c>
      <c r="K7783" t="s">
        <v>17</v>
      </c>
      <c r="L7783">
        <f t="shared" si="363"/>
        <v>2024</v>
      </c>
      <c r="M7783" t="str">
        <f t="shared" si="364"/>
        <v>Jul</v>
      </c>
      <c r="N7783" s="2">
        <f t="shared" si="365"/>
        <v>0.21623025616987973</v>
      </c>
    </row>
    <row r="7784" spans="1:14" x14ac:dyDescent="0.45">
      <c r="A7784" t="s">
        <v>13045</v>
      </c>
      <c r="B7784" s="1">
        <v>45615</v>
      </c>
      <c r="C7784" t="s">
        <v>13046</v>
      </c>
      <c r="D7784" t="s">
        <v>26</v>
      </c>
      <c r="E7784" t="s">
        <v>14</v>
      </c>
      <c r="F7784" t="s">
        <v>15</v>
      </c>
      <c r="G7784">
        <v>3</v>
      </c>
      <c r="H7784">
        <v>37879.129999999997</v>
      </c>
      <c r="I7784">
        <v>2360.69</v>
      </c>
      <c r="J7784" t="s">
        <v>16</v>
      </c>
      <c r="K7784" t="s">
        <v>29</v>
      </c>
      <c r="L7784">
        <f t="shared" si="363"/>
        <v>2024</v>
      </c>
      <c r="M7784" t="str">
        <f t="shared" si="364"/>
        <v>Nov</v>
      </c>
      <c r="N7784" s="2">
        <f t="shared" si="365"/>
        <v>6.2321653110829107E-2</v>
      </c>
    </row>
    <row r="7785" spans="1:14" x14ac:dyDescent="0.45">
      <c r="A7785" t="s">
        <v>13047</v>
      </c>
      <c r="B7785" s="1">
        <v>45520</v>
      </c>
      <c r="C7785" t="s">
        <v>4706</v>
      </c>
      <c r="D7785" t="s">
        <v>13</v>
      </c>
      <c r="E7785" t="s">
        <v>20</v>
      </c>
      <c r="F7785" t="s">
        <v>27</v>
      </c>
      <c r="G7785">
        <v>1</v>
      </c>
      <c r="H7785">
        <v>13581.21</v>
      </c>
      <c r="I7785">
        <v>3342.97</v>
      </c>
      <c r="J7785" t="s">
        <v>16</v>
      </c>
      <c r="K7785" t="s">
        <v>17</v>
      </c>
      <c r="L7785">
        <f t="shared" si="363"/>
        <v>2024</v>
      </c>
      <c r="M7785" t="str">
        <f t="shared" si="364"/>
        <v>Aug</v>
      </c>
      <c r="N7785" s="2">
        <f t="shared" si="365"/>
        <v>0.24614669826915275</v>
      </c>
    </row>
    <row r="7786" spans="1:14" x14ac:dyDescent="0.45">
      <c r="A7786" t="s">
        <v>13048</v>
      </c>
      <c r="B7786" s="1">
        <v>44971</v>
      </c>
      <c r="C7786" t="s">
        <v>13049</v>
      </c>
      <c r="D7786" t="s">
        <v>13</v>
      </c>
      <c r="E7786" t="s">
        <v>14</v>
      </c>
      <c r="F7786" t="s">
        <v>57</v>
      </c>
      <c r="G7786">
        <v>4</v>
      </c>
      <c r="H7786">
        <v>30402.89</v>
      </c>
      <c r="I7786">
        <v>5099.1499999999996</v>
      </c>
      <c r="J7786" t="s">
        <v>47</v>
      </c>
      <c r="K7786" t="s">
        <v>23</v>
      </c>
      <c r="L7786">
        <f t="shared" si="363"/>
        <v>2023</v>
      </c>
      <c r="M7786" t="str">
        <f t="shared" si="364"/>
        <v>Feb</v>
      </c>
      <c r="N7786" s="2">
        <f t="shared" si="365"/>
        <v>0.16771925300522417</v>
      </c>
    </row>
    <row r="7787" spans="1:14" x14ac:dyDescent="0.45">
      <c r="A7787" t="s">
        <v>13050</v>
      </c>
      <c r="B7787" s="1">
        <v>45324</v>
      </c>
      <c r="C7787" t="s">
        <v>11019</v>
      </c>
      <c r="D7787" t="s">
        <v>26</v>
      </c>
      <c r="E7787" t="s">
        <v>36</v>
      </c>
      <c r="F7787" t="s">
        <v>64</v>
      </c>
      <c r="G7787">
        <v>2</v>
      </c>
      <c r="H7787">
        <v>45154.79</v>
      </c>
      <c r="I7787">
        <v>7674.29</v>
      </c>
      <c r="J7787" t="s">
        <v>16</v>
      </c>
      <c r="K7787" t="s">
        <v>17</v>
      </c>
      <c r="L7787">
        <f t="shared" si="363"/>
        <v>2024</v>
      </c>
      <c r="M7787" t="str">
        <f t="shared" si="364"/>
        <v>Feb</v>
      </c>
      <c r="N7787" s="2">
        <f t="shared" si="365"/>
        <v>0.16995516976161332</v>
      </c>
    </row>
    <row r="7788" spans="1:14" x14ac:dyDescent="0.45">
      <c r="A7788" t="s">
        <v>13051</v>
      </c>
      <c r="B7788" s="1">
        <v>45238</v>
      </c>
      <c r="C7788" t="s">
        <v>2585</v>
      </c>
      <c r="D7788" t="s">
        <v>26</v>
      </c>
      <c r="E7788" t="s">
        <v>36</v>
      </c>
      <c r="F7788" t="s">
        <v>53</v>
      </c>
      <c r="G7788">
        <v>2</v>
      </c>
      <c r="H7788">
        <v>49315.03</v>
      </c>
      <c r="I7788">
        <v>4087.59</v>
      </c>
      <c r="J7788" t="s">
        <v>47</v>
      </c>
      <c r="K7788" t="s">
        <v>29</v>
      </c>
      <c r="L7788">
        <f t="shared" si="363"/>
        <v>2023</v>
      </c>
      <c r="M7788" t="str">
        <f t="shared" si="364"/>
        <v>Nov</v>
      </c>
      <c r="N7788" s="2">
        <f t="shared" si="365"/>
        <v>8.2887306364814145E-2</v>
      </c>
    </row>
    <row r="7789" spans="1:14" x14ac:dyDescent="0.45">
      <c r="A7789" t="s">
        <v>13052</v>
      </c>
      <c r="B7789" s="1">
        <v>44717</v>
      </c>
      <c r="C7789" t="s">
        <v>9962</v>
      </c>
      <c r="D7789" t="s">
        <v>26</v>
      </c>
      <c r="E7789" t="s">
        <v>14</v>
      </c>
      <c r="F7789" t="s">
        <v>40</v>
      </c>
      <c r="G7789">
        <v>4</v>
      </c>
      <c r="H7789">
        <v>31053.119999999999</v>
      </c>
      <c r="I7789">
        <v>6701.64</v>
      </c>
      <c r="J7789" t="s">
        <v>28</v>
      </c>
      <c r="K7789" t="s">
        <v>23</v>
      </c>
      <c r="L7789">
        <f t="shared" si="363"/>
        <v>2022</v>
      </c>
      <c r="M7789" t="str">
        <f t="shared" si="364"/>
        <v>Jun</v>
      </c>
      <c r="N7789" s="2">
        <f t="shared" si="365"/>
        <v>0.21581213095495719</v>
      </c>
    </row>
    <row r="7790" spans="1:14" x14ac:dyDescent="0.45">
      <c r="A7790" t="s">
        <v>13053</v>
      </c>
      <c r="B7790" s="1">
        <v>45451</v>
      </c>
      <c r="C7790" t="s">
        <v>13054</v>
      </c>
      <c r="D7790" t="s">
        <v>13</v>
      </c>
      <c r="E7790" t="s">
        <v>36</v>
      </c>
      <c r="F7790" t="s">
        <v>53</v>
      </c>
      <c r="G7790">
        <v>5</v>
      </c>
      <c r="H7790">
        <v>10067.36</v>
      </c>
      <c r="I7790">
        <v>767.16</v>
      </c>
      <c r="J7790" t="s">
        <v>16</v>
      </c>
      <c r="K7790" t="s">
        <v>29</v>
      </c>
      <c r="L7790">
        <f t="shared" si="363"/>
        <v>2024</v>
      </c>
      <c r="M7790" t="str">
        <f t="shared" si="364"/>
        <v>Jun</v>
      </c>
      <c r="N7790" s="2">
        <f t="shared" si="365"/>
        <v>7.6202698622081649E-2</v>
      </c>
    </row>
    <row r="7791" spans="1:14" x14ac:dyDescent="0.45">
      <c r="A7791" t="s">
        <v>13055</v>
      </c>
      <c r="B7791" s="1">
        <v>44892</v>
      </c>
      <c r="C7791" t="s">
        <v>2976</v>
      </c>
      <c r="D7791" t="s">
        <v>56</v>
      </c>
      <c r="E7791" t="s">
        <v>20</v>
      </c>
      <c r="F7791" t="s">
        <v>27</v>
      </c>
      <c r="G7791">
        <v>5</v>
      </c>
      <c r="H7791">
        <v>32301.57</v>
      </c>
      <c r="I7791">
        <v>3076.43</v>
      </c>
      <c r="J7791" t="s">
        <v>47</v>
      </c>
      <c r="K7791" t="s">
        <v>17</v>
      </c>
      <c r="L7791">
        <f t="shared" si="363"/>
        <v>2022</v>
      </c>
      <c r="M7791" t="str">
        <f t="shared" si="364"/>
        <v>Nov</v>
      </c>
      <c r="N7791" s="2">
        <f t="shared" si="365"/>
        <v>9.5240881480373865E-2</v>
      </c>
    </row>
    <row r="7792" spans="1:14" x14ac:dyDescent="0.45">
      <c r="A7792" t="s">
        <v>13056</v>
      </c>
      <c r="B7792" s="1">
        <v>44933</v>
      </c>
      <c r="C7792" t="s">
        <v>2889</v>
      </c>
      <c r="D7792" t="s">
        <v>26</v>
      </c>
      <c r="E7792" t="s">
        <v>14</v>
      </c>
      <c r="F7792" t="s">
        <v>15</v>
      </c>
      <c r="G7792">
        <v>1</v>
      </c>
      <c r="H7792">
        <v>20656.22</v>
      </c>
      <c r="I7792">
        <v>1048.8</v>
      </c>
      <c r="J7792" t="s">
        <v>16</v>
      </c>
      <c r="K7792" t="s">
        <v>23</v>
      </c>
      <c r="L7792">
        <f t="shared" si="363"/>
        <v>2023</v>
      </c>
      <c r="M7792" t="str">
        <f t="shared" si="364"/>
        <v>Jan</v>
      </c>
      <c r="N7792" s="2">
        <f t="shared" si="365"/>
        <v>5.077405256140765E-2</v>
      </c>
    </row>
    <row r="7793" spans="1:14" x14ac:dyDescent="0.45">
      <c r="A7793" t="s">
        <v>13057</v>
      </c>
      <c r="B7793" s="1">
        <v>45414</v>
      </c>
      <c r="C7793" t="s">
        <v>13058</v>
      </c>
      <c r="D7793" t="s">
        <v>26</v>
      </c>
      <c r="E7793" t="s">
        <v>14</v>
      </c>
      <c r="F7793" t="s">
        <v>15</v>
      </c>
      <c r="G7793">
        <v>2</v>
      </c>
      <c r="H7793">
        <v>10376.32</v>
      </c>
      <c r="I7793">
        <v>2346.4899999999998</v>
      </c>
      <c r="J7793" t="s">
        <v>71</v>
      </c>
      <c r="K7793" t="s">
        <v>17</v>
      </c>
      <c r="L7793">
        <f t="shared" si="363"/>
        <v>2024</v>
      </c>
      <c r="M7793" t="str">
        <f t="shared" si="364"/>
        <v>May</v>
      </c>
      <c r="N7793" s="2">
        <f t="shared" si="365"/>
        <v>0.22613893943132052</v>
      </c>
    </row>
    <row r="7794" spans="1:14" x14ac:dyDescent="0.45">
      <c r="A7794" t="s">
        <v>13059</v>
      </c>
      <c r="B7794" s="1">
        <v>44578</v>
      </c>
      <c r="C7794" t="s">
        <v>5941</v>
      </c>
      <c r="D7794" t="s">
        <v>26</v>
      </c>
      <c r="E7794" t="s">
        <v>20</v>
      </c>
      <c r="F7794" t="s">
        <v>21</v>
      </c>
      <c r="G7794">
        <v>1</v>
      </c>
      <c r="H7794">
        <v>6941.32</v>
      </c>
      <c r="I7794">
        <v>1212.57</v>
      </c>
      <c r="J7794" t="s">
        <v>47</v>
      </c>
      <c r="K7794" t="s">
        <v>17</v>
      </c>
      <c r="L7794">
        <f t="shared" si="363"/>
        <v>2022</v>
      </c>
      <c r="M7794" t="str">
        <f t="shared" si="364"/>
        <v>Jan</v>
      </c>
      <c r="N7794" s="2">
        <f t="shared" si="365"/>
        <v>0.174688675929074</v>
      </c>
    </row>
    <row r="7795" spans="1:14" x14ac:dyDescent="0.45">
      <c r="A7795" t="s">
        <v>13060</v>
      </c>
      <c r="B7795" s="1">
        <v>44786</v>
      </c>
      <c r="C7795" t="s">
        <v>4812</v>
      </c>
      <c r="D7795" t="s">
        <v>26</v>
      </c>
      <c r="E7795" t="s">
        <v>20</v>
      </c>
      <c r="F7795" t="s">
        <v>27</v>
      </c>
      <c r="G7795">
        <v>2</v>
      </c>
      <c r="H7795">
        <v>7170.12</v>
      </c>
      <c r="I7795">
        <v>647.85</v>
      </c>
      <c r="J7795" t="s">
        <v>22</v>
      </c>
      <c r="K7795" t="s">
        <v>33</v>
      </c>
      <c r="L7795">
        <f t="shared" si="363"/>
        <v>2022</v>
      </c>
      <c r="M7795" t="str">
        <f t="shared" si="364"/>
        <v>Aug</v>
      </c>
      <c r="N7795" s="2">
        <f t="shared" si="365"/>
        <v>9.0354136332446322E-2</v>
      </c>
    </row>
    <row r="7796" spans="1:14" x14ac:dyDescent="0.45">
      <c r="A7796" t="s">
        <v>13061</v>
      </c>
      <c r="B7796" s="1">
        <v>44967</v>
      </c>
      <c r="C7796" t="s">
        <v>13062</v>
      </c>
      <c r="D7796" t="s">
        <v>13</v>
      </c>
      <c r="E7796" t="s">
        <v>36</v>
      </c>
      <c r="F7796" t="s">
        <v>64</v>
      </c>
      <c r="G7796">
        <v>1</v>
      </c>
      <c r="H7796">
        <v>27951.87</v>
      </c>
      <c r="I7796">
        <v>1996.83</v>
      </c>
      <c r="J7796" t="s">
        <v>71</v>
      </c>
      <c r="K7796" t="s">
        <v>17</v>
      </c>
      <c r="L7796">
        <f t="shared" si="363"/>
        <v>2023</v>
      </c>
      <c r="M7796" t="str">
        <f t="shared" si="364"/>
        <v>Feb</v>
      </c>
      <c r="N7796" s="2">
        <f t="shared" si="365"/>
        <v>7.1438154227248488E-2</v>
      </c>
    </row>
    <row r="7797" spans="1:14" x14ac:dyDescent="0.45">
      <c r="A7797" t="s">
        <v>13063</v>
      </c>
      <c r="B7797" s="1">
        <v>44987</v>
      </c>
      <c r="C7797" t="s">
        <v>11716</v>
      </c>
      <c r="D7797" t="s">
        <v>13</v>
      </c>
      <c r="E7797" t="s">
        <v>36</v>
      </c>
      <c r="F7797" t="s">
        <v>37</v>
      </c>
      <c r="G7797">
        <v>5</v>
      </c>
      <c r="H7797">
        <v>45578.11</v>
      </c>
      <c r="I7797">
        <v>10009.93</v>
      </c>
      <c r="J7797" t="s">
        <v>47</v>
      </c>
      <c r="K7797" t="s">
        <v>17</v>
      </c>
      <c r="L7797">
        <f t="shared" si="363"/>
        <v>2023</v>
      </c>
      <c r="M7797" t="str">
        <f t="shared" si="364"/>
        <v>Mar</v>
      </c>
      <c r="N7797" s="2">
        <f t="shared" si="365"/>
        <v>0.21962143669406214</v>
      </c>
    </row>
    <row r="7798" spans="1:14" x14ac:dyDescent="0.45">
      <c r="A7798" t="s">
        <v>13064</v>
      </c>
      <c r="B7798" s="1">
        <v>44677</v>
      </c>
      <c r="C7798" t="s">
        <v>7222</v>
      </c>
      <c r="D7798" t="s">
        <v>13</v>
      </c>
      <c r="E7798" t="s">
        <v>20</v>
      </c>
      <c r="F7798" t="s">
        <v>43</v>
      </c>
      <c r="G7798">
        <v>5</v>
      </c>
      <c r="H7798">
        <v>48689.65</v>
      </c>
      <c r="I7798">
        <v>5889</v>
      </c>
      <c r="J7798" t="s">
        <v>28</v>
      </c>
      <c r="K7798" t="s">
        <v>23</v>
      </c>
      <c r="L7798">
        <f t="shared" si="363"/>
        <v>2022</v>
      </c>
      <c r="M7798" t="str">
        <f t="shared" si="364"/>
        <v>Apr</v>
      </c>
      <c r="N7798" s="2">
        <f t="shared" si="365"/>
        <v>0.12094972956264832</v>
      </c>
    </row>
    <row r="7799" spans="1:14" x14ac:dyDescent="0.45">
      <c r="A7799" t="s">
        <v>13065</v>
      </c>
      <c r="B7799" s="1">
        <v>45066</v>
      </c>
      <c r="C7799" t="s">
        <v>8117</v>
      </c>
      <c r="D7799" t="s">
        <v>56</v>
      </c>
      <c r="E7799" t="s">
        <v>36</v>
      </c>
      <c r="F7799" t="s">
        <v>46</v>
      </c>
      <c r="G7799">
        <v>2</v>
      </c>
      <c r="H7799">
        <v>33611.040000000001</v>
      </c>
      <c r="I7799">
        <v>3329.78</v>
      </c>
      <c r="J7799" t="s">
        <v>22</v>
      </c>
      <c r="K7799" t="s">
        <v>17</v>
      </c>
      <c r="L7799">
        <f t="shared" si="363"/>
        <v>2023</v>
      </c>
      <c r="M7799" t="str">
        <f t="shared" si="364"/>
        <v>May</v>
      </c>
      <c r="N7799" s="2">
        <f t="shared" si="365"/>
        <v>9.9068044309250772E-2</v>
      </c>
    </row>
    <row r="7800" spans="1:14" x14ac:dyDescent="0.45">
      <c r="A7800" t="s">
        <v>13066</v>
      </c>
      <c r="B7800" s="1">
        <v>44941</v>
      </c>
      <c r="C7800" t="s">
        <v>4706</v>
      </c>
      <c r="D7800" t="s">
        <v>26</v>
      </c>
      <c r="E7800" t="s">
        <v>20</v>
      </c>
      <c r="F7800" t="s">
        <v>21</v>
      </c>
      <c r="G7800">
        <v>5</v>
      </c>
      <c r="H7800">
        <v>28599.51</v>
      </c>
      <c r="I7800">
        <v>6980.85</v>
      </c>
      <c r="J7800" t="s">
        <v>47</v>
      </c>
      <c r="K7800" t="s">
        <v>17</v>
      </c>
      <c r="L7800">
        <f t="shared" si="363"/>
        <v>2023</v>
      </c>
      <c r="M7800" t="str">
        <f t="shared" si="364"/>
        <v>Jan</v>
      </c>
      <c r="N7800" s="2">
        <f t="shared" si="365"/>
        <v>0.2440898462945694</v>
      </c>
    </row>
    <row r="7801" spans="1:14" x14ac:dyDescent="0.45">
      <c r="A7801" t="s">
        <v>13067</v>
      </c>
      <c r="B7801" s="1">
        <v>45172</v>
      </c>
      <c r="C7801" t="s">
        <v>13068</v>
      </c>
      <c r="D7801" t="s">
        <v>56</v>
      </c>
      <c r="E7801" t="s">
        <v>36</v>
      </c>
      <c r="F7801" t="s">
        <v>37</v>
      </c>
      <c r="G7801">
        <v>5</v>
      </c>
      <c r="H7801">
        <v>31654.43</v>
      </c>
      <c r="I7801">
        <v>3051.39</v>
      </c>
      <c r="J7801" t="s">
        <v>28</v>
      </c>
      <c r="K7801" t="s">
        <v>33</v>
      </c>
      <c r="L7801">
        <f t="shared" si="363"/>
        <v>2023</v>
      </c>
      <c r="M7801" t="str">
        <f t="shared" si="364"/>
        <v>Sep</v>
      </c>
      <c r="N7801" s="2">
        <f t="shared" si="365"/>
        <v>9.6396934015238939E-2</v>
      </c>
    </row>
    <row r="7802" spans="1:14" x14ac:dyDescent="0.45">
      <c r="A7802" t="s">
        <v>13069</v>
      </c>
      <c r="B7802" s="1">
        <v>44913</v>
      </c>
      <c r="C7802" t="s">
        <v>1964</v>
      </c>
      <c r="D7802" t="s">
        <v>26</v>
      </c>
      <c r="E7802" t="s">
        <v>20</v>
      </c>
      <c r="F7802" t="s">
        <v>27</v>
      </c>
      <c r="G7802">
        <v>2</v>
      </c>
      <c r="H7802">
        <v>10336.19</v>
      </c>
      <c r="I7802">
        <v>2548.5500000000002</v>
      </c>
      <c r="J7802" t="s">
        <v>47</v>
      </c>
      <c r="K7802" t="s">
        <v>33</v>
      </c>
      <c r="L7802">
        <f t="shared" si="363"/>
        <v>2022</v>
      </c>
      <c r="M7802" t="str">
        <f t="shared" si="364"/>
        <v>Dec</v>
      </c>
      <c r="N7802" s="2">
        <f t="shared" si="365"/>
        <v>0.24656570748022241</v>
      </c>
    </row>
    <row r="7803" spans="1:14" x14ac:dyDescent="0.45">
      <c r="A7803" t="s">
        <v>13070</v>
      </c>
      <c r="B7803" s="1">
        <v>45047</v>
      </c>
      <c r="C7803" t="s">
        <v>13071</v>
      </c>
      <c r="D7803" t="s">
        <v>13</v>
      </c>
      <c r="E7803" t="s">
        <v>36</v>
      </c>
      <c r="F7803" t="s">
        <v>37</v>
      </c>
      <c r="G7803">
        <v>4</v>
      </c>
      <c r="H7803">
        <v>14797.73</v>
      </c>
      <c r="I7803">
        <v>3209.36</v>
      </c>
      <c r="J7803" t="s">
        <v>28</v>
      </c>
      <c r="K7803" t="s">
        <v>33</v>
      </c>
      <c r="L7803">
        <f t="shared" si="363"/>
        <v>2023</v>
      </c>
      <c r="M7803" t="str">
        <f t="shared" si="364"/>
        <v>May</v>
      </c>
      <c r="N7803" s="2">
        <f t="shared" si="365"/>
        <v>0.21688191364486312</v>
      </c>
    </row>
    <row r="7804" spans="1:14" x14ac:dyDescent="0.45">
      <c r="A7804" t="s">
        <v>13072</v>
      </c>
      <c r="B7804" s="1">
        <v>45251</v>
      </c>
      <c r="C7804" t="s">
        <v>3769</v>
      </c>
      <c r="D7804" t="s">
        <v>56</v>
      </c>
      <c r="E7804" t="s">
        <v>14</v>
      </c>
      <c r="F7804" t="s">
        <v>40</v>
      </c>
      <c r="G7804">
        <v>4</v>
      </c>
      <c r="H7804">
        <v>34232.080000000002</v>
      </c>
      <c r="I7804">
        <v>2031.2</v>
      </c>
      <c r="J7804" t="s">
        <v>22</v>
      </c>
      <c r="K7804" t="s">
        <v>29</v>
      </c>
      <c r="L7804">
        <f t="shared" si="363"/>
        <v>2023</v>
      </c>
      <c r="M7804" t="str">
        <f t="shared" si="364"/>
        <v>Nov</v>
      </c>
      <c r="N7804" s="2">
        <f t="shared" si="365"/>
        <v>5.9336154858249918E-2</v>
      </c>
    </row>
    <row r="7805" spans="1:14" x14ac:dyDescent="0.45">
      <c r="A7805" t="s">
        <v>13073</v>
      </c>
      <c r="B7805" s="1">
        <v>45595</v>
      </c>
      <c r="C7805" t="s">
        <v>8585</v>
      </c>
      <c r="D7805" t="s">
        <v>13</v>
      </c>
      <c r="E7805" t="s">
        <v>36</v>
      </c>
      <c r="F7805" t="s">
        <v>37</v>
      </c>
      <c r="G7805">
        <v>3</v>
      </c>
      <c r="H7805">
        <v>31646.91</v>
      </c>
      <c r="I7805">
        <v>2756.65</v>
      </c>
      <c r="J7805" t="s">
        <v>16</v>
      </c>
      <c r="K7805" t="s">
        <v>17</v>
      </c>
      <c r="L7805">
        <f t="shared" si="363"/>
        <v>2024</v>
      </c>
      <c r="M7805" t="str">
        <f t="shared" si="364"/>
        <v>Oct</v>
      </c>
      <c r="N7805" s="2">
        <f t="shared" si="365"/>
        <v>8.7106450519181811E-2</v>
      </c>
    </row>
    <row r="7806" spans="1:14" x14ac:dyDescent="0.45">
      <c r="A7806" t="s">
        <v>13074</v>
      </c>
      <c r="B7806" s="1">
        <v>44823</v>
      </c>
      <c r="C7806" t="s">
        <v>13075</v>
      </c>
      <c r="D7806" t="s">
        <v>26</v>
      </c>
      <c r="E7806" t="s">
        <v>14</v>
      </c>
      <c r="F7806" t="s">
        <v>15</v>
      </c>
      <c r="G7806">
        <v>4</v>
      </c>
      <c r="H7806">
        <v>16268.69</v>
      </c>
      <c r="I7806">
        <v>2224.4699999999998</v>
      </c>
      <c r="J7806" t="s">
        <v>16</v>
      </c>
      <c r="K7806" t="s">
        <v>17</v>
      </c>
      <c r="L7806">
        <f t="shared" si="363"/>
        <v>2022</v>
      </c>
      <c r="M7806" t="str">
        <f t="shared" si="364"/>
        <v>Sep</v>
      </c>
      <c r="N7806" s="2">
        <f t="shared" si="365"/>
        <v>0.1367331973256605</v>
      </c>
    </row>
    <row r="7807" spans="1:14" x14ac:dyDescent="0.45">
      <c r="A7807" t="s">
        <v>13076</v>
      </c>
      <c r="B7807" s="1">
        <v>45286</v>
      </c>
      <c r="C7807" t="s">
        <v>5837</v>
      </c>
      <c r="D7807" t="s">
        <v>13</v>
      </c>
      <c r="E7807" t="s">
        <v>14</v>
      </c>
      <c r="F7807" t="s">
        <v>40</v>
      </c>
      <c r="G7807">
        <v>4</v>
      </c>
      <c r="H7807">
        <v>19666.12</v>
      </c>
      <c r="I7807">
        <v>2786.56</v>
      </c>
      <c r="J7807" t="s">
        <v>28</v>
      </c>
      <c r="K7807" t="s">
        <v>23</v>
      </c>
      <c r="L7807">
        <f t="shared" si="363"/>
        <v>2023</v>
      </c>
      <c r="M7807" t="str">
        <f t="shared" si="364"/>
        <v>Dec</v>
      </c>
      <c r="N7807" s="2">
        <f t="shared" si="365"/>
        <v>0.14169343012246444</v>
      </c>
    </row>
    <row r="7808" spans="1:14" x14ac:dyDescent="0.45">
      <c r="A7808" t="s">
        <v>13077</v>
      </c>
      <c r="B7808" s="1">
        <v>45149</v>
      </c>
      <c r="C7808" t="s">
        <v>2210</v>
      </c>
      <c r="D7808" t="s">
        <v>56</v>
      </c>
      <c r="E7808" t="s">
        <v>36</v>
      </c>
      <c r="F7808" t="s">
        <v>37</v>
      </c>
      <c r="G7808">
        <v>3</v>
      </c>
      <c r="H7808">
        <v>31425.01</v>
      </c>
      <c r="I7808">
        <v>7824.85</v>
      </c>
      <c r="J7808" t="s">
        <v>47</v>
      </c>
      <c r="K7808" t="s">
        <v>23</v>
      </c>
      <c r="L7808">
        <f t="shared" si="363"/>
        <v>2023</v>
      </c>
      <c r="M7808" t="str">
        <f t="shared" si="364"/>
        <v>Aug</v>
      </c>
      <c r="N7808" s="2">
        <f t="shared" si="365"/>
        <v>0.24900071630844353</v>
      </c>
    </row>
    <row r="7809" spans="1:14" x14ac:dyDescent="0.45">
      <c r="A7809" t="s">
        <v>13078</v>
      </c>
      <c r="B7809" s="1">
        <v>44618</v>
      </c>
      <c r="C7809" t="s">
        <v>4000</v>
      </c>
      <c r="D7809" t="s">
        <v>13</v>
      </c>
      <c r="E7809" t="s">
        <v>20</v>
      </c>
      <c r="F7809" t="s">
        <v>27</v>
      </c>
      <c r="G7809">
        <v>3</v>
      </c>
      <c r="H7809">
        <v>7613.04</v>
      </c>
      <c r="I7809">
        <v>799.43</v>
      </c>
      <c r="J7809" t="s">
        <v>16</v>
      </c>
      <c r="K7809" t="s">
        <v>23</v>
      </c>
      <c r="L7809">
        <f t="shared" si="363"/>
        <v>2022</v>
      </c>
      <c r="M7809" t="str">
        <f t="shared" si="364"/>
        <v>Feb</v>
      </c>
      <c r="N7809" s="2">
        <f t="shared" si="365"/>
        <v>0.10500798629719534</v>
      </c>
    </row>
    <row r="7810" spans="1:14" x14ac:dyDescent="0.45">
      <c r="A7810" t="s">
        <v>13079</v>
      </c>
      <c r="B7810" s="1">
        <v>45538</v>
      </c>
      <c r="C7810" t="s">
        <v>13080</v>
      </c>
      <c r="D7810" t="s">
        <v>13</v>
      </c>
      <c r="E7810" t="s">
        <v>36</v>
      </c>
      <c r="F7810" t="s">
        <v>37</v>
      </c>
      <c r="G7810">
        <v>2</v>
      </c>
      <c r="H7810">
        <v>49246.66</v>
      </c>
      <c r="I7810">
        <v>11648.36</v>
      </c>
      <c r="J7810" t="s">
        <v>47</v>
      </c>
      <c r="K7810" t="s">
        <v>17</v>
      </c>
      <c r="L7810">
        <f t="shared" si="363"/>
        <v>2024</v>
      </c>
      <c r="M7810" t="str">
        <f t="shared" si="364"/>
        <v>Sep</v>
      </c>
      <c r="N7810" s="2">
        <f t="shared" si="365"/>
        <v>0.23653096473953766</v>
      </c>
    </row>
    <row r="7811" spans="1:14" x14ac:dyDescent="0.45">
      <c r="A7811" t="s">
        <v>13081</v>
      </c>
      <c r="B7811" s="1">
        <v>45599</v>
      </c>
      <c r="C7811" t="s">
        <v>13082</v>
      </c>
      <c r="D7811" t="s">
        <v>13</v>
      </c>
      <c r="E7811" t="s">
        <v>36</v>
      </c>
      <c r="F7811" t="s">
        <v>64</v>
      </c>
      <c r="G7811">
        <v>4</v>
      </c>
      <c r="H7811">
        <v>44101.58</v>
      </c>
      <c r="I7811">
        <v>8853.02</v>
      </c>
      <c r="J7811" t="s">
        <v>16</v>
      </c>
      <c r="K7811" t="s">
        <v>33</v>
      </c>
      <c r="L7811">
        <f t="shared" ref="L7811:L7874" si="366">YEAR(B7811 )</f>
        <v>2024</v>
      </c>
      <c r="M7811" t="str">
        <f t="shared" ref="M7811:M7874" si="367">TEXT(B7811,"MMM")</f>
        <v>Nov</v>
      </c>
      <c r="N7811" s="2">
        <f t="shared" ref="N7811:N7874" si="368">I7811 / H7811</f>
        <v>0.20074156073319821</v>
      </c>
    </row>
    <row r="7812" spans="1:14" x14ac:dyDescent="0.45">
      <c r="A7812" t="s">
        <v>13083</v>
      </c>
      <c r="B7812" s="1">
        <v>44762</v>
      </c>
      <c r="C7812" t="s">
        <v>13084</v>
      </c>
      <c r="D7812" t="s">
        <v>56</v>
      </c>
      <c r="E7812" t="s">
        <v>36</v>
      </c>
      <c r="F7812" t="s">
        <v>53</v>
      </c>
      <c r="G7812">
        <v>1</v>
      </c>
      <c r="H7812">
        <v>39703.550000000003</v>
      </c>
      <c r="I7812">
        <v>6521.13</v>
      </c>
      <c r="J7812" t="s">
        <v>22</v>
      </c>
      <c r="K7812" t="s">
        <v>17</v>
      </c>
      <c r="L7812">
        <f t="shared" si="366"/>
        <v>2022</v>
      </c>
      <c r="M7812" t="str">
        <f t="shared" si="367"/>
        <v>Jul</v>
      </c>
      <c r="N7812" s="2">
        <f t="shared" si="368"/>
        <v>0.16424551456985584</v>
      </c>
    </row>
    <row r="7813" spans="1:14" x14ac:dyDescent="0.45">
      <c r="A7813" t="s">
        <v>13085</v>
      </c>
      <c r="B7813" s="1">
        <v>45106</v>
      </c>
      <c r="C7813" t="s">
        <v>13086</v>
      </c>
      <c r="D7813" t="s">
        <v>13</v>
      </c>
      <c r="E7813" t="s">
        <v>36</v>
      </c>
      <c r="F7813" t="s">
        <v>53</v>
      </c>
      <c r="G7813">
        <v>5</v>
      </c>
      <c r="H7813">
        <v>2416.2199999999998</v>
      </c>
      <c r="I7813">
        <v>576.19000000000005</v>
      </c>
      <c r="J7813" t="s">
        <v>71</v>
      </c>
      <c r="K7813" t="s">
        <v>23</v>
      </c>
      <c r="L7813">
        <f t="shared" si="366"/>
        <v>2023</v>
      </c>
      <c r="M7813" t="str">
        <f t="shared" si="367"/>
        <v>Jun</v>
      </c>
      <c r="N7813" s="2">
        <f t="shared" si="368"/>
        <v>0.23846752365264756</v>
      </c>
    </row>
    <row r="7814" spans="1:14" x14ac:dyDescent="0.45">
      <c r="A7814" t="s">
        <v>13087</v>
      </c>
      <c r="B7814" s="1">
        <v>44758</v>
      </c>
      <c r="C7814" t="s">
        <v>13088</v>
      </c>
      <c r="D7814" t="s">
        <v>26</v>
      </c>
      <c r="E7814" t="s">
        <v>20</v>
      </c>
      <c r="F7814" t="s">
        <v>21</v>
      </c>
      <c r="G7814">
        <v>3</v>
      </c>
      <c r="H7814">
        <v>25886.61</v>
      </c>
      <c r="I7814">
        <v>6318.5</v>
      </c>
      <c r="J7814" t="s">
        <v>16</v>
      </c>
      <c r="K7814" t="s">
        <v>23</v>
      </c>
      <c r="L7814">
        <f t="shared" si="366"/>
        <v>2022</v>
      </c>
      <c r="M7814" t="str">
        <f t="shared" si="367"/>
        <v>Jul</v>
      </c>
      <c r="N7814" s="2">
        <f t="shared" si="368"/>
        <v>0.24408371741220652</v>
      </c>
    </row>
    <row r="7815" spans="1:14" x14ac:dyDescent="0.45">
      <c r="A7815" t="s">
        <v>13089</v>
      </c>
      <c r="B7815" s="1">
        <v>45189</v>
      </c>
      <c r="C7815" t="s">
        <v>13090</v>
      </c>
      <c r="D7815" t="s">
        <v>13</v>
      </c>
      <c r="E7815" t="s">
        <v>20</v>
      </c>
      <c r="F7815" t="s">
        <v>43</v>
      </c>
      <c r="G7815">
        <v>4</v>
      </c>
      <c r="H7815">
        <v>18746.73</v>
      </c>
      <c r="I7815">
        <v>2481.21</v>
      </c>
      <c r="J7815" t="s">
        <v>16</v>
      </c>
      <c r="K7815" t="s">
        <v>29</v>
      </c>
      <c r="L7815">
        <f t="shared" si="366"/>
        <v>2023</v>
      </c>
      <c r="M7815" t="str">
        <f t="shared" si="367"/>
        <v>Sep</v>
      </c>
      <c r="N7815" s="2">
        <f t="shared" si="368"/>
        <v>0.13235428258688317</v>
      </c>
    </row>
    <row r="7816" spans="1:14" x14ac:dyDescent="0.45">
      <c r="A7816" t="s">
        <v>13091</v>
      </c>
      <c r="B7816" s="1">
        <v>45354</v>
      </c>
      <c r="C7816" t="s">
        <v>12874</v>
      </c>
      <c r="D7816" t="s">
        <v>26</v>
      </c>
      <c r="E7816" t="s">
        <v>36</v>
      </c>
      <c r="F7816" t="s">
        <v>53</v>
      </c>
      <c r="G7816">
        <v>4</v>
      </c>
      <c r="H7816">
        <v>48962.31</v>
      </c>
      <c r="I7816">
        <v>8644.9</v>
      </c>
      <c r="J7816" t="s">
        <v>28</v>
      </c>
      <c r="K7816" t="s">
        <v>23</v>
      </c>
      <c r="L7816">
        <f t="shared" si="366"/>
        <v>2024</v>
      </c>
      <c r="M7816" t="str">
        <f t="shared" si="367"/>
        <v>Mar</v>
      </c>
      <c r="N7816" s="2">
        <f t="shared" si="368"/>
        <v>0.17656233948112335</v>
      </c>
    </row>
    <row r="7817" spans="1:14" x14ac:dyDescent="0.45">
      <c r="A7817" t="s">
        <v>13092</v>
      </c>
      <c r="B7817" s="1">
        <v>45315</v>
      </c>
      <c r="C7817" t="s">
        <v>13093</v>
      </c>
      <c r="D7817" t="s">
        <v>13</v>
      </c>
      <c r="E7817" t="s">
        <v>36</v>
      </c>
      <c r="F7817" t="s">
        <v>46</v>
      </c>
      <c r="G7817">
        <v>5</v>
      </c>
      <c r="H7817">
        <v>38212.78</v>
      </c>
      <c r="I7817">
        <v>2635.63</v>
      </c>
      <c r="J7817" t="s">
        <v>16</v>
      </c>
      <c r="K7817" t="s">
        <v>23</v>
      </c>
      <c r="L7817">
        <f t="shared" si="366"/>
        <v>2024</v>
      </c>
      <c r="M7817" t="str">
        <f t="shared" si="367"/>
        <v>Jan</v>
      </c>
      <c r="N7817" s="2">
        <f t="shared" si="368"/>
        <v>6.8972474653767671E-2</v>
      </c>
    </row>
    <row r="7818" spans="1:14" x14ac:dyDescent="0.45">
      <c r="A7818" t="s">
        <v>13094</v>
      </c>
      <c r="B7818" s="1">
        <v>44740</v>
      </c>
      <c r="C7818" t="s">
        <v>720</v>
      </c>
      <c r="D7818" t="s">
        <v>26</v>
      </c>
      <c r="E7818" t="s">
        <v>36</v>
      </c>
      <c r="F7818" t="s">
        <v>37</v>
      </c>
      <c r="G7818">
        <v>1</v>
      </c>
      <c r="H7818">
        <v>4401.3900000000003</v>
      </c>
      <c r="I7818">
        <v>520.1</v>
      </c>
      <c r="J7818" t="s">
        <v>22</v>
      </c>
      <c r="K7818" t="s">
        <v>23</v>
      </c>
      <c r="L7818">
        <f t="shared" si="366"/>
        <v>2022</v>
      </c>
      <c r="M7818" t="str">
        <f t="shared" si="367"/>
        <v>Jun</v>
      </c>
      <c r="N7818" s="2">
        <f t="shared" si="368"/>
        <v>0.11816721535696677</v>
      </c>
    </row>
    <row r="7819" spans="1:14" x14ac:dyDescent="0.45">
      <c r="A7819" t="s">
        <v>13095</v>
      </c>
      <c r="B7819" s="1">
        <v>45288</v>
      </c>
      <c r="C7819" t="s">
        <v>9150</v>
      </c>
      <c r="D7819" t="s">
        <v>26</v>
      </c>
      <c r="E7819" t="s">
        <v>20</v>
      </c>
      <c r="F7819" t="s">
        <v>50</v>
      </c>
      <c r="G7819">
        <v>5</v>
      </c>
      <c r="H7819">
        <v>40747.32</v>
      </c>
      <c r="I7819">
        <v>7245.1</v>
      </c>
      <c r="J7819" t="s">
        <v>71</v>
      </c>
      <c r="K7819" t="s">
        <v>33</v>
      </c>
      <c r="L7819">
        <f t="shared" si="366"/>
        <v>2023</v>
      </c>
      <c r="M7819" t="str">
        <f t="shared" si="367"/>
        <v>Dec</v>
      </c>
      <c r="N7819" s="2">
        <f t="shared" si="368"/>
        <v>0.17780555874594944</v>
      </c>
    </row>
    <row r="7820" spans="1:14" x14ac:dyDescent="0.45">
      <c r="A7820" t="s">
        <v>13096</v>
      </c>
      <c r="B7820" s="1">
        <v>45421</v>
      </c>
      <c r="C7820" t="s">
        <v>6969</v>
      </c>
      <c r="D7820" t="s">
        <v>56</v>
      </c>
      <c r="E7820" t="s">
        <v>14</v>
      </c>
      <c r="F7820" t="s">
        <v>32</v>
      </c>
      <c r="G7820">
        <v>3</v>
      </c>
      <c r="H7820">
        <v>15575.55</v>
      </c>
      <c r="I7820">
        <v>3346.87</v>
      </c>
      <c r="J7820" t="s">
        <v>16</v>
      </c>
      <c r="K7820" t="s">
        <v>17</v>
      </c>
      <c r="L7820">
        <f t="shared" si="366"/>
        <v>2024</v>
      </c>
      <c r="M7820" t="str">
        <f t="shared" si="367"/>
        <v>May</v>
      </c>
      <c r="N7820" s="2">
        <f t="shared" si="368"/>
        <v>0.21487973137385197</v>
      </c>
    </row>
    <row r="7821" spans="1:14" x14ac:dyDescent="0.45">
      <c r="A7821" t="s">
        <v>13097</v>
      </c>
      <c r="B7821" s="1">
        <v>44885</v>
      </c>
      <c r="C7821" t="s">
        <v>8091</v>
      </c>
      <c r="D7821" t="s">
        <v>26</v>
      </c>
      <c r="E7821" t="s">
        <v>14</v>
      </c>
      <c r="F7821" t="s">
        <v>57</v>
      </c>
      <c r="G7821">
        <v>1</v>
      </c>
      <c r="H7821">
        <v>16279.28</v>
      </c>
      <c r="I7821">
        <v>3903.5</v>
      </c>
      <c r="J7821" t="s">
        <v>22</v>
      </c>
      <c r="K7821" t="s">
        <v>29</v>
      </c>
      <c r="L7821">
        <f t="shared" si="366"/>
        <v>2022</v>
      </c>
      <c r="M7821" t="str">
        <f t="shared" si="367"/>
        <v>Nov</v>
      </c>
      <c r="N7821" s="2">
        <f t="shared" si="368"/>
        <v>0.23978333194097035</v>
      </c>
    </row>
    <row r="7822" spans="1:14" x14ac:dyDescent="0.45">
      <c r="A7822" t="s">
        <v>13098</v>
      </c>
      <c r="B7822" s="1">
        <v>45270</v>
      </c>
      <c r="C7822" t="s">
        <v>3014</v>
      </c>
      <c r="D7822" t="s">
        <v>26</v>
      </c>
      <c r="E7822" t="s">
        <v>20</v>
      </c>
      <c r="F7822" t="s">
        <v>50</v>
      </c>
      <c r="G7822">
        <v>4</v>
      </c>
      <c r="H7822">
        <v>31991.7</v>
      </c>
      <c r="I7822">
        <v>7481.47</v>
      </c>
      <c r="J7822" t="s">
        <v>22</v>
      </c>
      <c r="K7822" t="s">
        <v>17</v>
      </c>
      <c r="L7822">
        <f t="shared" si="366"/>
        <v>2023</v>
      </c>
      <c r="M7822" t="str">
        <f t="shared" si="367"/>
        <v>Dec</v>
      </c>
      <c r="N7822" s="2">
        <f t="shared" si="368"/>
        <v>0.23385659405408277</v>
      </c>
    </row>
    <row r="7823" spans="1:14" x14ac:dyDescent="0.45">
      <c r="A7823" t="s">
        <v>13099</v>
      </c>
      <c r="B7823" s="1">
        <v>45017</v>
      </c>
      <c r="C7823" t="s">
        <v>7205</v>
      </c>
      <c r="D7823" t="s">
        <v>56</v>
      </c>
      <c r="E7823" t="s">
        <v>20</v>
      </c>
      <c r="F7823" t="s">
        <v>43</v>
      </c>
      <c r="G7823">
        <v>3</v>
      </c>
      <c r="H7823">
        <v>42948.81</v>
      </c>
      <c r="I7823">
        <v>4139.46</v>
      </c>
      <c r="J7823" t="s">
        <v>71</v>
      </c>
      <c r="K7823" t="s">
        <v>33</v>
      </c>
      <c r="L7823">
        <f t="shared" si="366"/>
        <v>2023</v>
      </c>
      <c r="M7823" t="str">
        <f t="shared" si="367"/>
        <v>Apr</v>
      </c>
      <c r="N7823" s="2">
        <f t="shared" si="368"/>
        <v>9.6381250144066857E-2</v>
      </c>
    </row>
    <row r="7824" spans="1:14" x14ac:dyDescent="0.45">
      <c r="A7824" t="s">
        <v>13100</v>
      </c>
      <c r="B7824" s="1">
        <v>44783</v>
      </c>
      <c r="C7824" t="s">
        <v>7935</v>
      </c>
      <c r="D7824" t="s">
        <v>26</v>
      </c>
      <c r="E7824" t="s">
        <v>20</v>
      </c>
      <c r="F7824" t="s">
        <v>21</v>
      </c>
      <c r="G7824">
        <v>2</v>
      </c>
      <c r="H7824">
        <v>22437.95</v>
      </c>
      <c r="I7824">
        <v>3614.89</v>
      </c>
      <c r="J7824" t="s">
        <v>47</v>
      </c>
      <c r="K7824" t="s">
        <v>29</v>
      </c>
      <c r="L7824">
        <f t="shared" si="366"/>
        <v>2022</v>
      </c>
      <c r="M7824" t="str">
        <f t="shared" si="367"/>
        <v>Aug</v>
      </c>
      <c r="N7824" s="2">
        <f t="shared" si="368"/>
        <v>0.16110607252445075</v>
      </c>
    </row>
    <row r="7825" spans="1:14" x14ac:dyDescent="0.45">
      <c r="A7825" t="s">
        <v>13101</v>
      </c>
      <c r="B7825" s="1">
        <v>45142</v>
      </c>
      <c r="C7825" t="s">
        <v>13102</v>
      </c>
      <c r="D7825" t="s">
        <v>56</v>
      </c>
      <c r="E7825" t="s">
        <v>20</v>
      </c>
      <c r="F7825" t="s">
        <v>43</v>
      </c>
      <c r="G7825">
        <v>1</v>
      </c>
      <c r="H7825">
        <v>18536.150000000001</v>
      </c>
      <c r="I7825">
        <v>3291.91</v>
      </c>
      <c r="J7825" t="s">
        <v>71</v>
      </c>
      <c r="K7825" t="s">
        <v>33</v>
      </c>
      <c r="L7825">
        <f t="shared" si="366"/>
        <v>2023</v>
      </c>
      <c r="M7825" t="str">
        <f t="shared" si="367"/>
        <v>Aug</v>
      </c>
      <c r="N7825" s="2">
        <f t="shared" si="368"/>
        <v>0.17759405270242201</v>
      </c>
    </row>
    <row r="7826" spans="1:14" x14ac:dyDescent="0.45">
      <c r="A7826" t="s">
        <v>13103</v>
      </c>
      <c r="B7826" s="1">
        <v>44604</v>
      </c>
      <c r="C7826" t="s">
        <v>13104</v>
      </c>
      <c r="D7826" t="s">
        <v>26</v>
      </c>
      <c r="E7826" t="s">
        <v>36</v>
      </c>
      <c r="F7826" t="s">
        <v>46</v>
      </c>
      <c r="G7826">
        <v>2</v>
      </c>
      <c r="H7826">
        <v>38869.050000000003</v>
      </c>
      <c r="I7826">
        <v>5706.96</v>
      </c>
      <c r="J7826" t="s">
        <v>47</v>
      </c>
      <c r="K7826" t="s">
        <v>33</v>
      </c>
      <c r="L7826">
        <f t="shared" si="366"/>
        <v>2022</v>
      </c>
      <c r="M7826" t="str">
        <f t="shared" si="367"/>
        <v>Feb</v>
      </c>
      <c r="N7826" s="2">
        <f t="shared" si="368"/>
        <v>0.14682530187900142</v>
      </c>
    </row>
    <row r="7827" spans="1:14" x14ac:dyDescent="0.45">
      <c r="A7827" t="s">
        <v>13105</v>
      </c>
      <c r="B7827" s="1">
        <v>45375</v>
      </c>
      <c r="C7827" t="s">
        <v>13106</v>
      </c>
      <c r="D7827" t="s">
        <v>56</v>
      </c>
      <c r="E7827" t="s">
        <v>20</v>
      </c>
      <c r="F7827" t="s">
        <v>21</v>
      </c>
      <c r="G7827">
        <v>2</v>
      </c>
      <c r="H7827">
        <v>28000.62</v>
      </c>
      <c r="I7827">
        <v>5675.86</v>
      </c>
      <c r="J7827" t="s">
        <v>71</v>
      </c>
      <c r="K7827" t="s">
        <v>17</v>
      </c>
      <c r="L7827">
        <f t="shared" si="366"/>
        <v>2024</v>
      </c>
      <c r="M7827" t="str">
        <f t="shared" si="367"/>
        <v>Mar</v>
      </c>
      <c r="N7827" s="2">
        <f t="shared" si="368"/>
        <v>0.202704797250918</v>
      </c>
    </row>
    <row r="7828" spans="1:14" x14ac:dyDescent="0.45">
      <c r="A7828" t="s">
        <v>13107</v>
      </c>
      <c r="B7828" s="1">
        <v>45575</v>
      </c>
      <c r="C7828" t="s">
        <v>13108</v>
      </c>
      <c r="D7828" t="s">
        <v>56</v>
      </c>
      <c r="E7828" t="s">
        <v>20</v>
      </c>
      <c r="F7828" t="s">
        <v>50</v>
      </c>
      <c r="G7828">
        <v>1</v>
      </c>
      <c r="H7828">
        <v>8626.49</v>
      </c>
      <c r="I7828">
        <v>1746.4</v>
      </c>
      <c r="J7828" t="s">
        <v>22</v>
      </c>
      <c r="K7828" t="s">
        <v>17</v>
      </c>
      <c r="L7828">
        <f t="shared" si="366"/>
        <v>2024</v>
      </c>
      <c r="M7828" t="str">
        <f t="shared" si="367"/>
        <v>Oct</v>
      </c>
      <c r="N7828" s="2">
        <f t="shared" si="368"/>
        <v>0.20244618610813903</v>
      </c>
    </row>
    <row r="7829" spans="1:14" x14ac:dyDescent="0.45">
      <c r="A7829" t="s">
        <v>13109</v>
      </c>
      <c r="B7829" s="1">
        <v>44704</v>
      </c>
      <c r="C7829" t="s">
        <v>4244</v>
      </c>
      <c r="D7829" t="s">
        <v>26</v>
      </c>
      <c r="E7829" t="s">
        <v>20</v>
      </c>
      <c r="F7829" t="s">
        <v>43</v>
      </c>
      <c r="G7829">
        <v>5</v>
      </c>
      <c r="H7829">
        <v>36486.54</v>
      </c>
      <c r="I7829">
        <v>3496.65</v>
      </c>
      <c r="J7829" t="s">
        <v>22</v>
      </c>
      <c r="K7829" t="s">
        <v>23</v>
      </c>
      <c r="L7829">
        <f t="shared" si="366"/>
        <v>2022</v>
      </c>
      <c r="M7829" t="str">
        <f t="shared" si="367"/>
        <v>May</v>
      </c>
      <c r="N7829" s="2">
        <f t="shared" si="368"/>
        <v>9.5833970554620965E-2</v>
      </c>
    </row>
    <row r="7830" spans="1:14" x14ac:dyDescent="0.45">
      <c r="A7830" t="s">
        <v>13110</v>
      </c>
      <c r="B7830" s="1">
        <v>45620</v>
      </c>
      <c r="C7830" t="s">
        <v>10117</v>
      </c>
      <c r="D7830" t="s">
        <v>56</v>
      </c>
      <c r="E7830" t="s">
        <v>14</v>
      </c>
      <c r="F7830" t="s">
        <v>40</v>
      </c>
      <c r="G7830">
        <v>4</v>
      </c>
      <c r="H7830">
        <v>20259.34</v>
      </c>
      <c r="I7830">
        <v>1180.5</v>
      </c>
      <c r="J7830" t="s">
        <v>16</v>
      </c>
      <c r="K7830" t="s">
        <v>17</v>
      </c>
      <c r="L7830">
        <f t="shared" si="366"/>
        <v>2024</v>
      </c>
      <c r="M7830" t="str">
        <f t="shared" si="367"/>
        <v>Nov</v>
      </c>
      <c r="N7830" s="2">
        <f t="shared" si="368"/>
        <v>5.8269420425344554E-2</v>
      </c>
    </row>
    <row r="7831" spans="1:14" x14ac:dyDescent="0.45">
      <c r="A7831" t="s">
        <v>13111</v>
      </c>
      <c r="B7831" s="1">
        <v>44676</v>
      </c>
      <c r="C7831" t="s">
        <v>8133</v>
      </c>
      <c r="D7831" t="s">
        <v>13</v>
      </c>
      <c r="E7831" t="s">
        <v>14</v>
      </c>
      <c r="F7831" t="s">
        <v>15</v>
      </c>
      <c r="G7831">
        <v>4</v>
      </c>
      <c r="H7831">
        <v>6677.31</v>
      </c>
      <c r="I7831">
        <v>1477.66</v>
      </c>
      <c r="J7831" t="s">
        <v>28</v>
      </c>
      <c r="K7831" t="s">
        <v>33</v>
      </c>
      <c r="L7831">
        <f t="shared" si="366"/>
        <v>2022</v>
      </c>
      <c r="M7831" t="str">
        <f t="shared" si="367"/>
        <v>Apr</v>
      </c>
      <c r="N7831" s="2">
        <f t="shared" si="368"/>
        <v>0.22129570141269464</v>
      </c>
    </row>
    <row r="7832" spans="1:14" x14ac:dyDescent="0.45">
      <c r="A7832" t="s">
        <v>13112</v>
      </c>
      <c r="B7832" s="1">
        <v>45286</v>
      </c>
      <c r="C7832" t="s">
        <v>2587</v>
      </c>
      <c r="D7832" t="s">
        <v>13</v>
      </c>
      <c r="E7832" t="s">
        <v>14</v>
      </c>
      <c r="F7832" t="s">
        <v>40</v>
      </c>
      <c r="G7832">
        <v>3</v>
      </c>
      <c r="H7832">
        <v>7865.1</v>
      </c>
      <c r="I7832">
        <v>1734.53</v>
      </c>
      <c r="J7832" t="s">
        <v>16</v>
      </c>
      <c r="K7832" t="s">
        <v>33</v>
      </c>
      <c r="L7832">
        <f t="shared" si="366"/>
        <v>2023</v>
      </c>
      <c r="M7832" t="str">
        <f t="shared" si="367"/>
        <v>Dec</v>
      </c>
      <c r="N7832" s="2">
        <f t="shared" si="368"/>
        <v>0.22053502180519</v>
      </c>
    </row>
    <row r="7833" spans="1:14" x14ac:dyDescent="0.45">
      <c r="A7833" t="s">
        <v>13113</v>
      </c>
      <c r="B7833" s="1">
        <v>44985</v>
      </c>
      <c r="C7833" t="s">
        <v>5526</v>
      </c>
      <c r="D7833" t="s">
        <v>26</v>
      </c>
      <c r="E7833" t="s">
        <v>20</v>
      </c>
      <c r="F7833" t="s">
        <v>21</v>
      </c>
      <c r="G7833">
        <v>4</v>
      </c>
      <c r="H7833">
        <v>12044.63</v>
      </c>
      <c r="I7833">
        <v>2502.3200000000002</v>
      </c>
      <c r="J7833" t="s">
        <v>22</v>
      </c>
      <c r="K7833" t="s">
        <v>29</v>
      </c>
      <c r="L7833">
        <f t="shared" si="366"/>
        <v>2023</v>
      </c>
      <c r="M7833" t="str">
        <f t="shared" si="367"/>
        <v>Feb</v>
      </c>
      <c r="N7833" s="2">
        <f t="shared" si="368"/>
        <v>0.20775399493384192</v>
      </c>
    </row>
    <row r="7834" spans="1:14" x14ac:dyDescent="0.45">
      <c r="A7834" t="s">
        <v>13114</v>
      </c>
      <c r="B7834" s="1">
        <v>45365</v>
      </c>
      <c r="C7834" t="s">
        <v>13115</v>
      </c>
      <c r="D7834" t="s">
        <v>26</v>
      </c>
      <c r="E7834" t="s">
        <v>20</v>
      </c>
      <c r="F7834" t="s">
        <v>43</v>
      </c>
      <c r="G7834">
        <v>5</v>
      </c>
      <c r="H7834">
        <v>10388.469999999999</v>
      </c>
      <c r="I7834">
        <v>2287.5100000000002</v>
      </c>
      <c r="J7834" t="s">
        <v>22</v>
      </c>
      <c r="K7834" t="s">
        <v>17</v>
      </c>
      <c r="L7834">
        <f t="shared" si="366"/>
        <v>2024</v>
      </c>
      <c r="M7834" t="str">
        <f t="shared" si="367"/>
        <v>Mar</v>
      </c>
      <c r="N7834" s="2">
        <f t="shared" si="368"/>
        <v>0.22019700687396704</v>
      </c>
    </row>
    <row r="7835" spans="1:14" x14ac:dyDescent="0.45">
      <c r="A7835" t="s">
        <v>13116</v>
      </c>
      <c r="B7835" s="1">
        <v>45253</v>
      </c>
      <c r="C7835" t="s">
        <v>5516</v>
      </c>
      <c r="D7835" t="s">
        <v>56</v>
      </c>
      <c r="E7835" t="s">
        <v>14</v>
      </c>
      <c r="F7835" t="s">
        <v>57</v>
      </c>
      <c r="G7835">
        <v>1</v>
      </c>
      <c r="H7835">
        <v>2926.48</v>
      </c>
      <c r="I7835">
        <v>346.02</v>
      </c>
      <c r="J7835" t="s">
        <v>22</v>
      </c>
      <c r="K7835" t="s">
        <v>29</v>
      </c>
      <c r="L7835">
        <f t="shared" si="366"/>
        <v>2023</v>
      </c>
      <c r="M7835" t="str">
        <f t="shared" si="367"/>
        <v>Nov</v>
      </c>
      <c r="N7835" s="2">
        <f t="shared" si="368"/>
        <v>0.11823760968808944</v>
      </c>
    </row>
    <row r="7836" spans="1:14" x14ac:dyDescent="0.45">
      <c r="A7836" t="s">
        <v>13117</v>
      </c>
      <c r="B7836" s="1">
        <v>45159</v>
      </c>
      <c r="C7836" t="s">
        <v>12767</v>
      </c>
      <c r="D7836" t="s">
        <v>13</v>
      </c>
      <c r="E7836" t="s">
        <v>36</v>
      </c>
      <c r="F7836" t="s">
        <v>37</v>
      </c>
      <c r="G7836">
        <v>4</v>
      </c>
      <c r="H7836">
        <v>5893.97</v>
      </c>
      <c r="I7836">
        <v>1402.18</v>
      </c>
      <c r="J7836" t="s">
        <v>28</v>
      </c>
      <c r="K7836" t="s">
        <v>33</v>
      </c>
      <c r="L7836">
        <f t="shared" si="366"/>
        <v>2023</v>
      </c>
      <c r="M7836" t="str">
        <f t="shared" si="367"/>
        <v>Aug</v>
      </c>
      <c r="N7836" s="2">
        <f t="shared" si="368"/>
        <v>0.23790076976978167</v>
      </c>
    </row>
    <row r="7837" spans="1:14" x14ac:dyDescent="0.45">
      <c r="A7837" t="s">
        <v>13118</v>
      </c>
      <c r="B7837" s="1">
        <v>45462</v>
      </c>
      <c r="C7837" t="s">
        <v>13119</v>
      </c>
      <c r="D7837" t="s">
        <v>13</v>
      </c>
      <c r="E7837" t="s">
        <v>14</v>
      </c>
      <c r="F7837" t="s">
        <v>57</v>
      </c>
      <c r="G7837">
        <v>5</v>
      </c>
      <c r="H7837">
        <v>3836.7</v>
      </c>
      <c r="I7837">
        <v>758.98</v>
      </c>
      <c r="J7837" t="s">
        <v>47</v>
      </c>
      <c r="K7837" t="s">
        <v>17</v>
      </c>
      <c r="L7837">
        <f t="shared" si="366"/>
        <v>2024</v>
      </c>
      <c r="M7837" t="str">
        <f t="shared" si="367"/>
        <v>Jun</v>
      </c>
      <c r="N7837" s="2">
        <f t="shared" si="368"/>
        <v>0.19782104412646287</v>
      </c>
    </row>
    <row r="7838" spans="1:14" x14ac:dyDescent="0.45">
      <c r="A7838" t="s">
        <v>13120</v>
      </c>
      <c r="B7838" s="1">
        <v>45185</v>
      </c>
      <c r="C7838" t="s">
        <v>7800</v>
      </c>
      <c r="D7838" t="s">
        <v>13</v>
      </c>
      <c r="E7838" t="s">
        <v>20</v>
      </c>
      <c r="F7838" t="s">
        <v>21</v>
      </c>
      <c r="G7838">
        <v>2</v>
      </c>
      <c r="H7838">
        <v>31566.18</v>
      </c>
      <c r="I7838">
        <v>7336.87</v>
      </c>
      <c r="J7838" t="s">
        <v>47</v>
      </c>
      <c r="K7838" t="s">
        <v>29</v>
      </c>
      <c r="L7838">
        <f t="shared" si="366"/>
        <v>2023</v>
      </c>
      <c r="M7838" t="str">
        <f t="shared" si="367"/>
        <v>Sep</v>
      </c>
      <c r="N7838" s="2">
        <f t="shared" si="368"/>
        <v>0.23242818738282553</v>
      </c>
    </row>
    <row r="7839" spans="1:14" x14ac:dyDescent="0.45">
      <c r="A7839" t="s">
        <v>13121</v>
      </c>
      <c r="B7839" s="1">
        <v>45541</v>
      </c>
      <c r="C7839" t="s">
        <v>13122</v>
      </c>
      <c r="D7839" t="s">
        <v>13</v>
      </c>
      <c r="E7839" t="s">
        <v>20</v>
      </c>
      <c r="F7839" t="s">
        <v>21</v>
      </c>
      <c r="G7839">
        <v>5</v>
      </c>
      <c r="H7839">
        <v>9178.4699999999993</v>
      </c>
      <c r="I7839">
        <v>1165.75</v>
      </c>
      <c r="J7839" t="s">
        <v>28</v>
      </c>
      <c r="K7839" t="s">
        <v>29</v>
      </c>
      <c r="L7839">
        <f t="shared" si="366"/>
        <v>2024</v>
      </c>
      <c r="M7839" t="str">
        <f t="shared" si="367"/>
        <v>Sep</v>
      </c>
      <c r="N7839" s="2">
        <f t="shared" si="368"/>
        <v>0.12700918562679839</v>
      </c>
    </row>
    <row r="7840" spans="1:14" x14ac:dyDescent="0.45">
      <c r="A7840" t="s">
        <v>13123</v>
      </c>
      <c r="B7840" s="1">
        <v>44982</v>
      </c>
      <c r="C7840" t="s">
        <v>9773</v>
      </c>
      <c r="D7840" t="s">
        <v>13</v>
      </c>
      <c r="E7840" t="s">
        <v>36</v>
      </c>
      <c r="F7840" t="s">
        <v>37</v>
      </c>
      <c r="G7840">
        <v>1</v>
      </c>
      <c r="H7840">
        <v>3110.67</v>
      </c>
      <c r="I7840">
        <v>628.07000000000005</v>
      </c>
      <c r="J7840" t="s">
        <v>22</v>
      </c>
      <c r="K7840" t="s">
        <v>29</v>
      </c>
      <c r="L7840">
        <f t="shared" si="366"/>
        <v>2023</v>
      </c>
      <c r="M7840" t="str">
        <f t="shared" si="367"/>
        <v>Feb</v>
      </c>
      <c r="N7840" s="2">
        <f t="shared" si="368"/>
        <v>0.2019082705655052</v>
      </c>
    </row>
    <row r="7841" spans="1:14" x14ac:dyDescent="0.45">
      <c r="A7841" t="s">
        <v>13124</v>
      </c>
      <c r="B7841" s="1">
        <v>45035</v>
      </c>
      <c r="C7841" t="s">
        <v>4219</v>
      </c>
      <c r="D7841" t="s">
        <v>13</v>
      </c>
      <c r="E7841" t="s">
        <v>20</v>
      </c>
      <c r="F7841" t="s">
        <v>27</v>
      </c>
      <c r="G7841">
        <v>4</v>
      </c>
      <c r="H7841">
        <v>14546</v>
      </c>
      <c r="I7841">
        <v>3314.05</v>
      </c>
      <c r="J7841" t="s">
        <v>71</v>
      </c>
      <c r="K7841" t="s">
        <v>23</v>
      </c>
      <c r="L7841">
        <f t="shared" si="366"/>
        <v>2023</v>
      </c>
      <c r="M7841" t="str">
        <f t="shared" si="367"/>
        <v>Apr</v>
      </c>
      <c r="N7841" s="2">
        <f t="shared" si="368"/>
        <v>0.22783239378523307</v>
      </c>
    </row>
    <row r="7842" spans="1:14" x14ac:dyDescent="0.45">
      <c r="A7842" t="s">
        <v>13125</v>
      </c>
      <c r="B7842" s="1">
        <v>45384</v>
      </c>
      <c r="C7842" t="s">
        <v>11840</v>
      </c>
      <c r="D7842" t="s">
        <v>26</v>
      </c>
      <c r="E7842" t="s">
        <v>36</v>
      </c>
      <c r="F7842" t="s">
        <v>53</v>
      </c>
      <c r="G7842">
        <v>5</v>
      </c>
      <c r="H7842">
        <v>41083.18</v>
      </c>
      <c r="I7842">
        <v>7923.92</v>
      </c>
      <c r="J7842" t="s">
        <v>16</v>
      </c>
      <c r="K7842" t="s">
        <v>29</v>
      </c>
      <c r="L7842">
        <f t="shared" si="366"/>
        <v>2024</v>
      </c>
      <c r="M7842" t="str">
        <f t="shared" si="367"/>
        <v>Apr</v>
      </c>
      <c r="N7842" s="2">
        <f t="shared" si="368"/>
        <v>0.19287504034497815</v>
      </c>
    </row>
    <row r="7843" spans="1:14" x14ac:dyDescent="0.45">
      <c r="A7843" t="s">
        <v>13126</v>
      </c>
      <c r="B7843" s="1">
        <v>45458</v>
      </c>
      <c r="C7843" t="s">
        <v>1050</v>
      </c>
      <c r="D7843" t="s">
        <v>56</v>
      </c>
      <c r="E7843" t="s">
        <v>36</v>
      </c>
      <c r="F7843" t="s">
        <v>46</v>
      </c>
      <c r="G7843">
        <v>1</v>
      </c>
      <c r="H7843">
        <v>42818.16</v>
      </c>
      <c r="I7843">
        <v>4824.41</v>
      </c>
      <c r="J7843" t="s">
        <v>22</v>
      </c>
      <c r="K7843" t="s">
        <v>17</v>
      </c>
      <c r="L7843">
        <f t="shared" si="366"/>
        <v>2024</v>
      </c>
      <c r="M7843" t="str">
        <f t="shared" si="367"/>
        <v>Jun</v>
      </c>
      <c r="N7843" s="2">
        <f t="shared" si="368"/>
        <v>0.11267205316622665</v>
      </c>
    </row>
    <row r="7844" spans="1:14" x14ac:dyDescent="0.45">
      <c r="A7844" t="s">
        <v>13127</v>
      </c>
      <c r="B7844" s="1">
        <v>45530</v>
      </c>
      <c r="C7844" t="s">
        <v>8880</v>
      </c>
      <c r="D7844" t="s">
        <v>26</v>
      </c>
      <c r="E7844" t="s">
        <v>14</v>
      </c>
      <c r="F7844" t="s">
        <v>15</v>
      </c>
      <c r="G7844">
        <v>1</v>
      </c>
      <c r="H7844">
        <v>24914.98</v>
      </c>
      <c r="I7844">
        <v>4564.29</v>
      </c>
      <c r="J7844" t="s">
        <v>16</v>
      </c>
      <c r="K7844" t="s">
        <v>29</v>
      </c>
      <c r="L7844">
        <f t="shared" si="366"/>
        <v>2024</v>
      </c>
      <c r="M7844" t="str">
        <f t="shared" si="367"/>
        <v>Aug</v>
      </c>
      <c r="N7844" s="2">
        <f t="shared" si="368"/>
        <v>0.18319460822364697</v>
      </c>
    </row>
    <row r="7845" spans="1:14" x14ac:dyDescent="0.45">
      <c r="A7845" t="s">
        <v>13128</v>
      </c>
      <c r="B7845" s="1">
        <v>45257</v>
      </c>
      <c r="C7845" t="s">
        <v>13129</v>
      </c>
      <c r="D7845" t="s">
        <v>26</v>
      </c>
      <c r="E7845" t="s">
        <v>36</v>
      </c>
      <c r="F7845" t="s">
        <v>46</v>
      </c>
      <c r="G7845">
        <v>3</v>
      </c>
      <c r="H7845">
        <v>45040.69</v>
      </c>
      <c r="I7845">
        <v>5302.57</v>
      </c>
      <c r="J7845" t="s">
        <v>47</v>
      </c>
      <c r="K7845" t="s">
        <v>17</v>
      </c>
      <c r="L7845">
        <f t="shared" si="366"/>
        <v>2023</v>
      </c>
      <c r="M7845" t="str">
        <f t="shared" si="367"/>
        <v>Nov</v>
      </c>
      <c r="N7845" s="2">
        <f t="shared" si="368"/>
        <v>0.11772843622067067</v>
      </c>
    </row>
    <row r="7846" spans="1:14" x14ac:dyDescent="0.45">
      <c r="A7846" t="s">
        <v>13130</v>
      </c>
      <c r="B7846" s="1">
        <v>44747</v>
      </c>
      <c r="C7846" t="s">
        <v>4638</v>
      </c>
      <c r="D7846" t="s">
        <v>13</v>
      </c>
      <c r="E7846" t="s">
        <v>36</v>
      </c>
      <c r="F7846" t="s">
        <v>37</v>
      </c>
      <c r="G7846">
        <v>3</v>
      </c>
      <c r="H7846">
        <v>24961.09</v>
      </c>
      <c r="I7846">
        <v>1590.57</v>
      </c>
      <c r="J7846" t="s">
        <v>28</v>
      </c>
      <c r="K7846" t="s">
        <v>33</v>
      </c>
      <c r="L7846">
        <f t="shared" si="366"/>
        <v>2022</v>
      </c>
      <c r="M7846" t="str">
        <f t="shared" si="367"/>
        <v>Jul</v>
      </c>
      <c r="N7846" s="2">
        <f t="shared" si="368"/>
        <v>6.3721976884823534E-2</v>
      </c>
    </row>
    <row r="7847" spans="1:14" x14ac:dyDescent="0.45">
      <c r="A7847" t="s">
        <v>13131</v>
      </c>
      <c r="B7847" s="1">
        <v>44682</v>
      </c>
      <c r="C7847" t="s">
        <v>7065</v>
      </c>
      <c r="D7847" t="s">
        <v>26</v>
      </c>
      <c r="E7847" t="s">
        <v>14</v>
      </c>
      <c r="F7847" t="s">
        <v>40</v>
      </c>
      <c r="G7847">
        <v>5</v>
      </c>
      <c r="H7847">
        <v>5396.68</v>
      </c>
      <c r="I7847">
        <v>684.02</v>
      </c>
      <c r="J7847" t="s">
        <v>71</v>
      </c>
      <c r="K7847" t="s">
        <v>23</v>
      </c>
      <c r="L7847">
        <f t="shared" si="366"/>
        <v>2022</v>
      </c>
      <c r="M7847" t="str">
        <f t="shared" si="367"/>
        <v>May</v>
      </c>
      <c r="N7847" s="2">
        <f t="shared" si="368"/>
        <v>0.12674829710118071</v>
      </c>
    </row>
    <row r="7848" spans="1:14" x14ac:dyDescent="0.45">
      <c r="A7848" t="s">
        <v>13132</v>
      </c>
      <c r="B7848" s="1">
        <v>45370</v>
      </c>
      <c r="C7848" t="s">
        <v>13133</v>
      </c>
      <c r="D7848" t="s">
        <v>13</v>
      </c>
      <c r="E7848" t="s">
        <v>20</v>
      </c>
      <c r="F7848" t="s">
        <v>21</v>
      </c>
      <c r="G7848">
        <v>3</v>
      </c>
      <c r="H7848">
        <v>22837.85</v>
      </c>
      <c r="I7848">
        <v>4987.6099999999997</v>
      </c>
      <c r="J7848" t="s">
        <v>47</v>
      </c>
      <c r="K7848" t="s">
        <v>23</v>
      </c>
      <c r="L7848">
        <f t="shared" si="366"/>
        <v>2024</v>
      </c>
      <c r="M7848" t="str">
        <f t="shared" si="367"/>
        <v>Mar</v>
      </c>
      <c r="N7848" s="2">
        <f t="shared" si="368"/>
        <v>0.2183922742289664</v>
      </c>
    </row>
    <row r="7849" spans="1:14" x14ac:dyDescent="0.45">
      <c r="A7849" t="s">
        <v>13134</v>
      </c>
      <c r="B7849" s="1">
        <v>45486</v>
      </c>
      <c r="C7849" t="s">
        <v>13135</v>
      </c>
      <c r="D7849" t="s">
        <v>56</v>
      </c>
      <c r="E7849" t="s">
        <v>20</v>
      </c>
      <c r="F7849" t="s">
        <v>21</v>
      </c>
      <c r="G7849">
        <v>5</v>
      </c>
      <c r="H7849">
        <v>34685.26</v>
      </c>
      <c r="I7849">
        <v>3607.02</v>
      </c>
      <c r="J7849" t="s">
        <v>16</v>
      </c>
      <c r="K7849" t="s">
        <v>17</v>
      </c>
      <c r="L7849">
        <f t="shared" si="366"/>
        <v>2024</v>
      </c>
      <c r="M7849" t="str">
        <f t="shared" si="367"/>
        <v>Jul</v>
      </c>
      <c r="N7849" s="2">
        <f t="shared" si="368"/>
        <v>0.10399287766619018</v>
      </c>
    </row>
    <row r="7850" spans="1:14" x14ac:dyDescent="0.45">
      <c r="A7850" t="s">
        <v>13136</v>
      </c>
      <c r="B7850" s="1">
        <v>44883</v>
      </c>
      <c r="C7850" t="s">
        <v>13137</v>
      </c>
      <c r="D7850" t="s">
        <v>13</v>
      </c>
      <c r="E7850" t="s">
        <v>14</v>
      </c>
      <c r="F7850" t="s">
        <v>32</v>
      </c>
      <c r="G7850">
        <v>4</v>
      </c>
      <c r="H7850">
        <v>31178.44</v>
      </c>
      <c r="I7850">
        <v>7669.42</v>
      </c>
      <c r="J7850" t="s">
        <v>71</v>
      </c>
      <c r="K7850" t="s">
        <v>29</v>
      </c>
      <c r="L7850">
        <f t="shared" si="366"/>
        <v>2022</v>
      </c>
      <c r="M7850" t="str">
        <f t="shared" si="367"/>
        <v>Nov</v>
      </c>
      <c r="N7850" s="2">
        <f t="shared" si="368"/>
        <v>0.24598472534225574</v>
      </c>
    </row>
    <row r="7851" spans="1:14" x14ac:dyDescent="0.45">
      <c r="A7851" t="s">
        <v>13138</v>
      </c>
      <c r="B7851" s="1">
        <v>45097</v>
      </c>
      <c r="C7851" t="s">
        <v>7011</v>
      </c>
      <c r="D7851" t="s">
        <v>26</v>
      </c>
      <c r="E7851" t="s">
        <v>14</v>
      </c>
      <c r="F7851" t="s">
        <v>32</v>
      </c>
      <c r="G7851">
        <v>4</v>
      </c>
      <c r="H7851">
        <v>26623.79</v>
      </c>
      <c r="I7851">
        <v>3304.21</v>
      </c>
      <c r="J7851" t="s">
        <v>71</v>
      </c>
      <c r="K7851" t="s">
        <v>17</v>
      </c>
      <c r="L7851">
        <f t="shared" si="366"/>
        <v>2023</v>
      </c>
      <c r="M7851" t="str">
        <f t="shared" si="367"/>
        <v>Jun</v>
      </c>
      <c r="N7851" s="2">
        <f t="shared" si="368"/>
        <v>0.12410742422472533</v>
      </c>
    </row>
    <row r="7852" spans="1:14" x14ac:dyDescent="0.45">
      <c r="A7852" t="s">
        <v>13139</v>
      </c>
      <c r="B7852" s="1">
        <v>45178</v>
      </c>
      <c r="C7852" t="s">
        <v>13140</v>
      </c>
      <c r="D7852" t="s">
        <v>56</v>
      </c>
      <c r="E7852" t="s">
        <v>14</v>
      </c>
      <c r="F7852" t="s">
        <v>57</v>
      </c>
      <c r="G7852">
        <v>5</v>
      </c>
      <c r="H7852">
        <v>1167.94</v>
      </c>
      <c r="I7852">
        <v>117.57</v>
      </c>
      <c r="J7852" t="s">
        <v>16</v>
      </c>
      <c r="K7852" t="s">
        <v>23</v>
      </c>
      <c r="L7852">
        <f t="shared" si="366"/>
        <v>2023</v>
      </c>
      <c r="M7852" t="str">
        <f t="shared" si="367"/>
        <v>Sep</v>
      </c>
      <c r="N7852" s="2">
        <f t="shared" si="368"/>
        <v>0.10066441769268968</v>
      </c>
    </row>
    <row r="7853" spans="1:14" x14ac:dyDescent="0.45">
      <c r="A7853" t="s">
        <v>13141</v>
      </c>
      <c r="B7853" s="1">
        <v>45396</v>
      </c>
      <c r="C7853" t="s">
        <v>13142</v>
      </c>
      <c r="D7853" t="s">
        <v>13</v>
      </c>
      <c r="E7853" t="s">
        <v>36</v>
      </c>
      <c r="F7853" t="s">
        <v>64</v>
      </c>
      <c r="G7853">
        <v>1</v>
      </c>
      <c r="H7853">
        <v>26993.53</v>
      </c>
      <c r="I7853">
        <v>5121.51</v>
      </c>
      <c r="J7853" t="s">
        <v>47</v>
      </c>
      <c r="K7853" t="s">
        <v>17</v>
      </c>
      <c r="L7853">
        <f t="shared" si="366"/>
        <v>2024</v>
      </c>
      <c r="M7853" t="str">
        <f t="shared" si="367"/>
        <v>Apr</v>
      </c>
      <c r="N7853" s="2">
        <f t="shared" si="368"/>
        <v>0.18973102072978229</v>
      </c>
    </row>
    <row r="7854" spans="1:14" x14ac:dyDescent="0.45">
      <c r="A7854" t="s">
        <v>13143</v>
      </c>
      <c r="B7854" s="1">
        <v>44761</v>
      </c>
      <c r="C7854" t="s">
        <v>232</v>
      </c>
      <c r="D7854" t="s">
        <v>26</v>
      </c>
      <c r="E7854" t="s">
        <v>14</v>
      </c>
      <c r="F7854" t="s">
        <v>57</v>
      </c>
      <c r="G7854">
        <v>4</v>
      </c>
      <c r="H7854">
        <v>36136.879999999997</v>
      </c>
      <c r="I7854">
        <v>5865.74</v>
      </c>
      <c r="J7854" t="s">
        <v>22</v>
      </c>
      <c r="K7854" t="s">
        <v>33</v>
      </c>
      <c r="L7854">
        <f t="shared" si="366"/>
        <v>2022</v>
      </c>
      <c r="M7854" t="str">
        <f t="shared" si="367"/>
        <v>Jul</v>
      </c>
      <c r="N7854" s="2">
        <f t="shared" si="368"/>
        <v>0.16232004533872321</v>
      </c>
    </row>
    <row r="7855" spans="1:14" x14ac:dyDescent="0.45">
      <c r="A7855" t="s">
        <v>13144</v>
      </c>
      <c r="B7855" s="1">
        <v>45141</v>
      </c>
      <c r="C7855" t="s">
        <v>13145</v>
      </c>
      <c r="D7855" t="s">
        <v>13</v>
      </c>
      <c r="E7855" t="s">
        <v>14</v>
      </c>
      <c r="F7855" t="s">
        <v>15</v>
      </c>
      <c r="G7855">
        <v>3</v>
      </c>
      <c r="H7855">
        <v>19231.02</v>
      </c>
      <c r="I7855">
        <v>3224.41</v>
      </c>
      <c r="J7855" t="s">
        <v>22</v>
      </c>
      <c r="K7855" t="s">
        <v>23</v>
      </c>
      <c r="L7855">
        <f t="shared" si="366"/>
        <v>2023</v>
      </c>
      <c r="M7855" t="str">
        <f t="shared" si="367"/>
        <v>Aug</v>
      </c>
      <c r="N7855" s="2">
        <f t="shared" si="368"/>
        <v>0.16766713362057759</v>
      </c>
    </row>
    <row r="7856" spans="1:14" x14ac:dyDescent="0.45">
      <c r="A7856" t="s">
        <v>13146</v>
      </c>
      <c r="B7856" s="1">
        <v>44750</v>
      </c>
      <c r="C7856" t="s">
        <v>13147</v>
      </c>
      <c r="D7856" t="s">
        <v>26</v>
      </c>
      <c r="E7856" t="s">
        <v>20</v>
      </c>
      <c r="F7856" t="s">
        <v>27</v>
      </c>
      <c r="G7856">
        <v>3</v>
      </c>
      <c r="H7856">
        <v>25951.57</v>
      </c>
      <c r="I7856">
        <v>4536.6000000000004</v>
      </c>
      <c r="J7856" t="s">
        <v>22</v>
      </c>
      <c r="K7856" t="s">
        <v>17</v>
      </c>
      <c r="L7856">
        <f t="shared" si="366"/>
        <v>2022</v>
      </c>
      <c r="M7856" t="str">
        <f t="shared" si="367"/>
        <v>Jul</v>
      </c>
      <c r="N7856" s="2">
        <f t="shared" si="368"/>
        <v>0.1748102330610441</v>
      </c>
    </row>
    <row r="7857" spans="1:14" x14ac:dyDescent="0.45">
      <c r="A7857" t="s">
        <v>13148</v>
      </c>
      <c r="B7857" s="1">
        <v>44826</v>
      </c>
      <c r="C7857" t="s">
        <v>2961</v>
      </c>
      <c r="D7857" t="s">
        <v>56</v>
      </c>
      <c r="E7857" t="s">
        <v>36</v>
      </c>
      <c r="F7857" t="s">
        <v>37</v>
      </c>
      <c r="G7857">
        <v>1</v>
      </c>
      <c r="H7857">
        <v>7565.71</v>
      </c>
      <c r="I7857">
        <v>871.08</v>
      </c>
      <c r="J7857" t="s">
        <v>71</v>
      </c>
      <c r="K7857" t="s">
        <v>33</v>
      </c>
      <c r="L7857">
        <f t="shared" si="366"/>
        <v>2022</v>
      </c>
      <c r="M7857" t="str">
        <f t="shared" si="367"/>
        <v>Sep</v>
      </c>
      <c r="N7857" s="2">
        <f t="shared" si="368"/>
        <v>0.11513526159474789</v>
      </c>
    </row>
    <row r="7858" spans="1:14" x14ac:dyDescent="0.45">
      <c r="A7858" t="s">
        <v>13149</v>
      </c>
      <c r="B7858" s="1">
        <v>44725</v>
      </c>
      <c r="C7858" t="s">
        <v>10382</v>
      </c>
      <c r="D7858" t="s">
        <v>13</v>
      </c>
      <c r="E7858" t="s">
        <v>14</v>
      </c>
      <c r="F7858" t="s">
        <v>32</v>
      </c>
      <c r="G7858">
        <v>5</v>
      </c>
      <c r="H7858">
        <v>2382.9499999999998</v>
      </c>
      <c r="I7858">
        <v>333.55</v>
      </c>
      <c r="J7858" t="s">
        <v>47</v>
      </c>
      <c r="K7858" t="s">
        <v>33</v>
      </c>
      <c r="L7858">
        <f t="shared" si="366"/>
        <v>2022</v>
      </c>
      <c r="M7858" t="str">
        <f t="shared" si="367"/>
        <v>Jun</v>
      </c>
      <c r="N7858" s="2">
        <f t="shared" si="368"/>
        <v>0.13997356218132989</v>
      </c>
    </row>
    <row r="7859" spans="1:14" x14ac:dyDescent="0.45">
      <c r="A7859" t="s">
        <v>13150</v>
      </c>
      <c r="B7859" s="1">
        <v>45261</v>
      </c>
      <c r="C7859" t="s">
        <v>13151</v>
      </c>
      <c r="D7859" t="s">
        <v>26</v>
      </c>
      <c r="E7859" t="s">
        <v>14</v>
      </c>
      <c r="F7859" t="s">
        <v>57</v>
      </c>
      <c r="G7859">
        <v>2</v>
      </c>
      <c r="H7859">
        <v>32199.85</v>
      </c>
      <c r="I7859">
        <v>7659.56</v>
      </c>
      <c r="J7859" t="s">
        <v>22</v>
      </c>
      <c r="K7859" t="s">
        <v>29</v>
      </c>
      <c r="L7859">
        <f t="shared" si="366"/>
        <v>2023</v>
      </c>
      <c r="M7859" t="str">
        <f t="shared" si="367"/>
        <v>Dec</v>
      </c>
      <c r="N7859" s="2">
        <f t="shared" si="368"/>
        <v>0.23787564227783672</v>
      </c>
    </row>
    <row r="7860" spans="1:14" x14ac:dyDescent="0.45">
      <c r="A7860" t="s">
        <v>13152</v>
      </c>
      <c r="B7860" s="1">
        <v>44571</v>
      </c>
      <c r="C7860" t="s">
        <v>11013</v>
      </c>
      <c r="D7860" t="s">
        <v>56</v>
      </c>
      <c r="E7860" t="s">
        <v>14</v>
      </c>
      <c r="F7860" t="s">
        <v>32</v>
      </c>
      <c r="G7860">
        <v>5</v>
      </c>
      <c r="H7860">
        <v>31951.39</v>
      </c>
      <c r="I7860">
        <v>2411.83</v>
      </c>
      <c r="J7860" t="s">
        <v>28</v>
      </c>
      <c r="K7860" t="s">
        <v>29</v>
      </c>
      <c r="L7860">
        <f t="shared" si="366"/>
        <v>2022</v>
      </c>
      <c r="M7860" t="str">
        <f t="shared" si="367"/>
        <v>Jan</v>
      </c>
      <c r="N7860" s="2">
        <f t="shared" si="368"/>
        <v>7.5484352949902966E-2</v>
      </c>
    </row>
    <row r="7861" spans="1:14" x14ac:dyDescent="0.45">
      <c r="A7861" t="s">
        <v>13153</v>
      </c>
      <c r="B7861" s="1">
        <v>45216</v>
      </c>
      <c r="C7861" t="s">
        <v>9455</v>
      </c>
      <c r="D7861" t="s">
        <v>13</v>
      </c>
      <c r="E7861" t="s">
        <v>36</v>
      </c>
      <c r="F7861" t="s">
        <v>64</v>
      </c>
      <c r="G7861">
        <v>4</v>
      </c>
      <c r="H7861">
        <v>3796</v>
      </c>
      <c r="I7861">
        <v>282.22000000000003</v>
      </c>
      <c r="J7861" t="s">
        <v>28</v>
      </c>
      <c r="K7861" t="s">
        <v>33</v>
      </c>
      <c r="L7861">
        <f t="shared" si="366"/>
        <v>2023</v>
      </c>
      <c r="M7861" t="str">
        <f t="shared" si="367"/>
        <v>Oct</v>
      </c>
      <c r="N7861" s="2">
        <f t="shared" si="368"/>
        <v>7.4346680716543739E-2</v>
      </c>
    </row>
    <row r="7862" spans="1:14" x14ac:dyDescent="0.45">
      <c r="A7862" t="s">
        <v>13154</v>
      </c>
      <c r="B7862" s="1">
        <v>45157</v>
      </c>
      <c r="C7862" t="s">
        <v>8041</v>
      </c>
      <c r="D7862" t="s">
        <v>56</v>
      </c>
      <c r="E7862" t="s">
        <v>20</v>
      </c>
      <c r="F7862" t="s">
        <v>50</v>
      </c>
      <c r="G7862">
        <v>4</v>
      </c>
      <c r="H7862">
        <v>28503.19</v>
      </c>
      <c r="I7862">
        <v>6939.08</v>
      </c>
      <c r="J7862" t="s">
        <v>71</v>
      </c>
      <c r="K7862" t="s">
        <v>17</v>
      </c>
      <c r="L7862">
        <f t="shared" si="366"/>
        <v>2023</v>
      </c>
      <c r="M7862" t="str">
        <f t="shared" si="367"/>
        <v>Aug</v>
      </c>
      <c r="N7862" s="2">
        <f t="shared" si="368"/>
        <v>0.24344924199712384</v>
      </c>
    </row>
    <row r="7863" spans="1:14" x14ac:dyDescent="0.45">
      <c r="A7863" t="s">
        <v>13155</v>
      </c>
      <c r="B7863" s="1">
        <v>45444</v>
      </c>
      <c r="C7863" t="s">
        <v>6291</v>
      </c>
      <c r="D7863" t="s">
        <v>13</v>
      </c>
      <c r="E7863" t="s">
        <v>14</v>
      </c>
      <c r="F7863" t="s">
        <v>32</v>
      </c>
      <c r="G7863">
        <v>2</v>
      </c>
      <c r="H7863">
        <v>29906.6</v>
      </c>
      <c r="I7863">
        <v>3672.37</v>
      </c>
      <c r="J7863" t="s">
        <v>28</v>
      </c>
      <c r="K7863" t="s">
        <v>29</v>
      </c>
      <c r="L7863">
        <f t="shared" si="366"/>
        <v>2024</v>
      </c>
      <c r="M7863" t="str">
        <f t="shared" si="367"/>
        <v>Jun</v>
      </c>
      <c r="N7863" s="2">
        <f t="shared" si="368"/>
        <v>0.12279463396039671</v>
      </c>
    </row>
    <row r="7864" spans="1:14" x14ac:dyDescent="0.45">
      <c r="A7864" t="s">
        <v>13156</v>
      </c>
      <c r="B7864" s="1">
        <v>45093</v>
      </c>
      <c r="C7864" t="s">
        <v>13157</v>
      </c>
      <c r="D7864" t="s">
        <v>56</v>
      </c>
      <c r="E7864" t="s">
        <v>20</v>
      </c>
      <c r="F7864" t="s">
        <v>50</v>
      </c>
      <c r="G7864">
        <v>3</v>
      </c>
      <c r="H7864">
        <v>1205.8699999999999</v>
      </c>
      <c r="I7864">
        <v>263</v>
      </c>
      <c r="J7864" t="s">
        <v>47</v>
      </c>
      <c r="K7864" t="s">
        <v>29</v>
      </c>
      <c r="L7864">
        <f t="shared" si="366"/>
        <v>2023</v>
      </c>
      <c r="M7864" t="str">
        <f t="shared" si="367"/>
        <v>Jun</v>
      </c>
      <c r="N7864" s="2">
        <f t="shared" si="368"/>
        <v>0.21809979516863345</v>
      </c>
    </row>
    <row r="7865" spans="1:14" x14ac:dyDescent="0.45">
      <c r="A7865" t="s">
        <v>13158</v>
      </c>
      <c r="B7865" s="1">
        <v>44569</v>
      </c>
      <c r="C7865" t="s">
        <v>3595</v>
      </c>
      <c r="D7865" t="s">
        <v>56</v>
      </c>
      <c r="E7865" t="s">
        <v>14</v>
      </c>
      <c r="F7865" t="s">
        <v>15</v>
      </c>
      <c r="G7865">
        <v>5</v>
      </c>
      <c r="H7865">
        <v>39522.080000000002</v>
      </c>
      <c r="I7865">
        <v>6847.85</v>
      </c>
      <c r="J7865" t="s">
        <v>71</v>
      </c>
      <c r="K7865" t="s">
        <v>17</v>
      </c>
      <c r="L7865">
        <f t="shared" si="366"/>
        <v>2022</v>
      </c>
      <c r="M7865" t="str">
        <f t="shared" si="367"/>
        <v>Jan</v>
      </c>
      <c r="N7865" s="2">
        <f t="shared" si="368"/>
        <v>0.17326643739398331</v>
      </c>
    </row>
    <row r="7866" spans="1:14" x14ac:dyDescent="0.45">
      <c r="A7866" t="s">
        <v>13159</v>
      </c>
      <c r="B7866" s="1">
        <v>45482</v>
      </c>
      <c r="C7866" t="s">
        <v>8956</v>
      </c>
      <c r="D7866" t="s">
        <v>26</v>
      </c>
      <c r="E7866" t="s">
        <v>36</v>
      </c>
      <c r="F7866" t="s">
        <v>37</v>
      </c>
      <c r="G7866">
        <v>2</v>
      </c>
      <c r="H7866">
        <v>39905.480000000003</v>
      </c>
      <c r="I7866">
        <v>2384.56</v>
      </c>
      <c r="J7866" t="s">
        <v>71</v>
      </c>
      <c r="K7866" t="s">
        <v>23</v>
      </c>
      <c r="L7866">
        <f t="shared" si="366"/>
        <v>2024</v>
      </c>
      <c r="M7866" t="str">
        <f t="shared" si="367"/>
        <v>Jul</v>
      </c>
      <c r="N7866" s="2">
        <f t="shared" si="368"/>
        <v>5.9755201541241948E-2</v>
      </c>
    </row>
    <row r="7867" spans="1:14" x14ac:dyDescent="0.45">
      <c r="A7867" t="s">
        <v>13160</v>
      </c>
      <c r="B7867" s="1">
        <v>44704</v>
      </c>
      <c r="C7867" t="s">
        <v>13161</v>
      </c>
      <c r="D7867" t="s">
        <v>13</v>
      </c>
      <c r="E7867" t="s">
        <v>36</v>
      </c>
      <c r="F7867" t="s">
        <v>46</v>
      </c>
      <c r="G7867">
        <v>2</v>
      </c>
      <c r="H7867">
        <v>28576.32</v>
      </c>
      <c r="I7867">
        <v>1804.67</v>
      </c>
      <c r="J7867" t="s">
        <v>22</v>
      </c>
      <c r="K7867" t="s">
        <v>23</v>
      </c>
      <c r="L7867">
        <f t="shared" si="366"/>
        <v>2022</v>
      </c>
      <c r="M7867" t="str">
        <f t="shared" si="367"/>
        <v>May</v>
      </c>
      <c r="N7867" s="2">
        <f t="shared" si="368"/>
        <v>6.3152638268328468E-2</v>
      </c>
    </row>
    <row r="7868" spans="1:14" x14ac:dyDescent="0.45">
      <c r="A7868" t="s">
        <v>13162</v>
      </c>
      <c r="B7868" s="1">
        <v>44881</v>
      </c>
      <c r="C7868" t="s">
        <v>13163</v>
      </c>
      <c r="D7868" t="s">
        <v>13</v>
      </c>
      <c r="E7868" t="s">
        <v>14</v>
      </c>
      <c r="F7868" t="s">
        <v>15</v>
      </c>
      <c r="G7868">
        <v>2</v>
      </c>
      <c r="H7868">
        <v>39580.620000000003</v>
      </c>
      <c r="I7868">
        <v>7606.33</v>
      </c>
      <c r="J7868" t="s">
        <v>47</v>
      </c>
      <c r="K7868" t="s">
        <v>33</v>
      </c>
      <c r="L7868">
        <f t="shared" si="366"/>
        <v>2022</v>
      </c>
      <c r="M7868" t="str">
        <f t="shared" si="367"/>
        <v>Nov</v>
      </c>
      <c r="N7868" s="2">
        <f t="shared" si="368"/>
        <v>0.19217308874898875</v>
      </c>
    </row>
    <row r="7869" spans="1:14" x14ac:dyDescent="0.45">
      <c r="A7869" t="s">
        <v>13164</v>
      </c>
      <c r="B7869" s="1">
        <v>45603</v>
      </c>
      <c r="C7869" t="s">
        <v>7372</v>
      </c>
      <c r="D7869" t="s">
        <v>56</v>
      </c>
      <c r="E7869" t="s">
        <v>14</v>
      </c>
      <c r="F7869" t="s">
        <v>15</v>
      </c>
      <c r="G7869">
        <v>5</v>
      </c>
      <c r="H7869">
        <v>43182.78</v>
      </c>
      <c r="I7869">
        <v>5608.55</v>
      </c>
      <c r="J7869" t="s">
        <v>22</v>
      </c>
      <c r="K7869" t="s">
        <v>29</v>
      </c>
      <c r="L7869">
        <f t="shared" si="366"/>
        <v>2024</v>
      </c>
      <c r="M7869" t="str">
        <f t="shared" si="367"/>
        <v>Nov</v>
      </c>
      <c r="N7869" s="2">
        <f t="shared" si="368"/>
        <v>0.1298793176354093</v>
      </c>
    </row>
    <row r="7870" spans="1:14" x14ac:dyDescent="0.45">
      <c r="A7870" t="s">
        <v>13165</v>
      </c>
      <c r="B7870" s="1">
        <v>44904</v>
      </c>
      <c r="C7870" t="s">
        <v>13166</v>
      </c>
      <c r="D7870" t="s">
        <v>13</v>
      </c>
      <c r="E7870" t="s">
        <v>14</v>
      </c>
      <c r="F7870" t="s">
        <v>32</v>
      </c>
      <c r="G7870">
        <v>5</v>
      </c>
      <c r="H7870">
        <v>11683.68</v>
      </c>
      <c r="I7870">
        <v>1787.21</v>
      </c>
      <c r="J7870" t="s">
        <v>71</v>
      </c>
      <c r="K7870" t="s">
        <v>29</v>
      </c>
      <c r="L7870">
        <f t="shared" si="366"/>
        <v>2022</v>
      </c>
      <c r="M7870" t="str">
        <f t="shared" si="367"/>
        <v>Dec</v>
      </c>
      <c r="N7870" s="2">
        <f t="shared" si="368"/>
        <v>0.15296635991399971</v>
      </c>
    </row>
    <row r="7871" spans="1:14" x14ac:dyDescent="0.45">
      <c r="A7871" t="s">
        <v>13167</v>
      </c>
      <c r="B7871" s="1">
        <v>44780</v>
      </c>
      <c r="C7871" t="s">
        <v>12850</v>
      </c>
      <c r="D7871" t="s">
        <v>26</v>
      </c>
      <c r="E7871" t="s">
        <v>14</v>
      </c>
      <c r="F7871" t="s">
        <v>15</v>
      </c>
      <c r="G7871">
        <v>4</v>
      </c>
      <c r="H7871">
        <v>43585.06</v>
      </c>
      <c r="I7871">
        <v>7216.87</v>
      </c>
      <c r="J7871" t="s">
        <v>22</v>
      </c>
      <c r="K7871" t="s">
        <v>33</v>
      </c>
      <c r="L7871">
        <f t="shared" si="366"/>
        <v>2022</v>
      </c>
      <c r="M7871" t="str">
        <f t="shared" si="367"/>
        <v>Aug</v>
      </c>
      <c r="N7871" s="2">
        <f t="shared" si="368"/>
        <v>0.16558127945676798</v>
      </c>
    </row>
    <row r="7872" spans="1:14" x14ac:dyDescent="0.45">
      <c r="A7872" t="s">
        <v>13168</v>
      </c>
      <c r="B7872" s="1">
        <v>44967</v>
      </c>
      <c r="C7872" t="s">
        <v>13169</v>
      </c>
      <c r="D7872" t="s">
        <v>56</v>
      </c>
      <c r="E7872" t="s">
        <v>36</v>
      </c>
      <c r="F7872" t="s">
        <v>46</v>
      </c>
      <c r="G7872">
        <v>4</v>
      </c>
      <c r="H7872">
        <v>3439.92</v>
      </c>
      <c r="I7872">
        <v>621.85</v>
      </c>
      <c r="J7872" t="s">
        <v>28</v>
      </c>
      <c r="K7872" t="s">
        <v>33</v>
      </c>
      <c r="L7872">
        <f t="shared" si="366"/>
        <v>2023</v>
      </c>
      <c r="M7872" t="str">
        <f t="shared" si="367"/>
        <v>Feb</v>
      </c>
      <c r="N7872" s="2">
        <f t="shared" si="368"/>
        <v>0.18077455289657898</v>
      </c>
    </row>
    <row r="7873" spans="1:14" x14ac:dyDescent="0.45">
      <c r="A7873" t="s">
        <v>13170</v>
      </c>
      <c r="B7873" s="1">
        <v>45564</v>
      </c>
      <c r="C7873" t="s">
        <v>13171</v>
      </c>
      <c r="D7873" t="s">
        <v>26</v>
      </c>
      <c r="E7873" t="s">
        <v>20</v>
      </c>
      <c r="F7873" t="s">
        <v>43</v>
      </c>
      <c r="G7873">
        <v>1</v>
      </c>
      <c r="H7873">
        <v>11168.91</v>
      </c>
      <c r="I7873">
        <v>1080.73</v>
      </c>
      <c r="J7873" t="s">
        <v>47</v>
      </c>
      <c r="K7873" t="s">
        <v>23</v>
      </c>
      <c r="L7873">
        <f t="shared" si="366"/>
        <v>2024</v>
      </c>
      <c r="M7873" t="str">
        <f t="shared" si="367"/>
        <v>Sep</v>
      </c>
      <c r="N7873" s="2">
        <f t="shared" si="368"/>
        <v>9.6762351921539341E-2</v>
      </c>
    </row>
    <row r="7874" spans="1:14" x14ac:dyDescent="0.45">
      <c r="A7874" t="s">
        <v>13172</v>
      </c>
      <c r="B7874" s="1">
        <v>45567</v>
      </c>
      <c r="C7874" t="s">
        <v>1867</v>
      </c>
      <c r="D7874" t="s">
        <v>13</v>
      </c>
      <c r="E7874" t="s">
        <v>14</v>
      </c>
      <c r="F7874" t="s">
        <v>32</v>
      </c>
      <c r="G7874">
        <v>5</v>
      </c>
      <c r="H7874">
        <v>48331.62</v>
      </c>
      <c r="I7874">
        <v>2462.5300000000002</v>
      </c>
      <c r="J7874" t="s">
        <v>47</v>
      </c>
      <c r="K7874" t="s">
        <v>29</v>
      </c>
      <c r="L7874">
        <f t="shared" si="366"/>
        <v>2024</v>
      </c>
      <c r="M7874" t="str">
        <f t="shared" si="367"/>
        <v>Oct</v>
      </c>
      <c r="N7874" s="2">
        <f t="shared" si="368"/>
        <v>5.0950702666287623E-2</v>
      </c>
    </row>
    <row r="7875" spans="1:14" x14ac:dyDescent="0.45">
      <c r="A7875" t="s">
        <v>13173</v>
      </c>
      <c r="B7875" s="1">
        <v>44590</v>
      </c>
      <c r="C7875" t="s">
        <v>568</v>
      </c>
      <c r="D7875" t="s">
        <v>26</v>
      </c>
      <c r="E7875" t="s">
        <v>36</v>
      </c>
      <c r="F7875" t="s">
        <v>46</v>
      </c>
      <c r="G7875">
        <v>4</v>
      </c>
      <c r="H7875">
        <v>12512.8</v>
      </c>
      <c r="I7875">
        <v>1731.32</v>
      </c>
      <c r="J7875" t="s">
        <v>22</v>
      </c>
      <c r="K7875" t="s">
        <v>17</v>
      </c>
      <c r="L7875">
        <f t="shared" ref="L7875:L7938" si="369">YEAR(B7875 )</f>
        <v>2022</v>
      </c>
      <c r="M7875" t="str">
        <f t="shared" ref="M7875:M7938" si="370">TEXT(B7875,"MMM")</f>
        <v>Jan</v>
      </c>
      <c r="N7875" s="2">
        <f t="shared" ref="N7875:N7938" si="371">I7875 / H7875</f>
        <v>0.1383639153506809</v>
      </c>
    </row>
    <row r="7876" spans="1:14" x14ac:dyDescent="0.45">
      <c r="A7876" t="s">
        <v>13174</v>
      </c>
      <c r="B7876" s="1">
        <v>45148</v>
      </c>
      <c r="C7876" t="s">
        <v>13175</v>
      </c>
      <c r="D7876" t="s">
        <v>56</v>
      </c>
      <c r="E7876" t="s">
        <v>36</v>
      </c>
      <c r="F7876" t="s">
        <v>46</v>
      </c>
      <c r="G7876">
        <v>1</v>
      </c>
      <c r="H7876">
        <v>47916.05</v>
      </c>
      <c r="I7876">
        <v>10651.6</v>
      </c>
      <c r="J7876" t="s">
        <v>28</v>
      </c>
      <c r="K7876" t="s">
        <v>23</v>
      </c>
      <c r="L7876">
        <f t="shared" si="369"/>
        <v>2023</v>
      </c>
      <c r="M7876" t="str">
        <f t="shared" si="370"/>
        <v>Aug</v>
      </c>
      <c r="N7876" s="2">
        <f t="shared" si="371"/>
        <v>0.22229712173687105</v>
      </c>
    </row>
    <row r="7877" spans="1:14" x14ac:dyDescent="0.45">
      <c r="A7877" t="s">
        <v>13176</v>
      </c>
      <c r="B7877" s="1">
        <v>45112</v>
      </c>
      <c r="C7877" t="s">
        <v>4884</v>
      </c>
      <c r="D7877" t="s">
        <v>56</v>
      </c>
      <c r="E7877" t="s">
        <v>20</v>
      </c>
      <c r="F7877" t="s">
        <v>50</v>
      </c>
      <c r="G7877">
        <v>4</v>
      </c>
      <c r="H7877">
        <v>43939.07</v>
      </c>
      <c r="I7877">
        <v>6390.02</v>
      </c>
      <c r="J7877" t="s">
        <v>28</v>
      </c>
      <c r="K7877" t="s">
        <v>23</v>
      </c>
      <c r="L7877">
        <f t="shared" si="369"/>
        <v>2023</v>
      </c>
      <c r="M7877" t="str">
        <f t="shared" si="370"/>
        <v>Jul</v>
      </c>
      <c r="N7877" s="2">
        <f t="shared" si="371"/>
        <v>0.14542911354291296</v>
      </c>
    </row>
    <row r="7878" spans="1:14" x14ac:dyDescent="0.45">
      <c r="A7878" t="s">
        <v>13177</v>
      </c>
      <c r="B7878" s="1">
        <v>44564</v>
      </c>
      <c r="C7878" t="s">
        <v>7208</v>
      </c>
      <c r="D7878" t="s">
        <v>56</v>
      </c>
      <c r="E7878" t="s">
        <v>20</v>
      </c>
      <c r="F7878" t="s">
        <v>27</v>
      </c>
      <c r="G7878">
        <v>5</v>
      </c>
      <c r="H7878">
        <v>27904.34</v>
      </c>
      <c r="I7878">
        <v>2828.51</v>
      </c>
      <c r="J7878" t="s">
        <v>16</v>
      </c>
      <c r="K7878" t="s">
        <v>17</v>
      </c>
      <c r="L7878">
        <f t="shared" si="369"/>
        <v>2022</v>
      </c>
      <c r="M7878" t="str">
        <f t="shared" si="370"/>
        <v>Jan</v>
      </c>
      <c r="N7878" s="2">
        <f t="shared" si="371"/>
        <v>0.10136451892429638</v>
      </c>
    </row>
    <row r="7879" spans="1:14" x14ac:dyDescent="0.45">
      <c r="A7879" t="s">
        <v>13178</v>
      </c>
      <c r="B7879" s="1">
        <v>45464</v>
      </c>
      <c r="C7879" t="s">
        <v>13179</v>
      </c>
      <c r="D7879" t="s">
        <v>56</v>
      </c>
      <c r="E7879" t="s">
        <v>20</v>
      </c>
      <c r="F7879" t="s">
        <v>21</v>
      </c>
      <c r="G7879">
        <v>5</v>
      </c>
      <c r="H7879">
        <v>1562.11</v>
      </c>
      <c r="I7879">
        <v>389.64</v>
      </c>
      <c r="J7879" t="s">
        <v>47</v>
      </c>
      <c r="K7879" t="s">
        <v>17</v>
      </c>
      <c r="L7879">
        <f t="shared" si="369"/>
        <v>2024</v>
      </c>
      <c r="M7879" t="str">
        <f t="shared" si="370"/>
        <v>Jun</v>
      </c>
      <c r="N7879" s="2">
        <f t="shared" si="371"/>
        <v>0.24943185819180469</v>
      </c>
    </row>
    <row r="7880" spans="1:14" x14ac:dyDescent="0.45">
      <c r="A7880" t="s">
        <v>13180</v>
      </c>
      <c r="B7880" s="1">
        <v>45513</v>
      </c>
      <c r="C7880" t="s">
        <v>5066</v>
      </c>
      <c r="D7880" t="s">
        <v>26</v>
      </c>
      <c r="E7880" t="s">
        <v>36</v>
      </c>
      <c r="F7880" t="s">
        <v>64</v>
      </c>
      <c r="G7880">
        <v>5</v>
      </c>
      <c r="H7880">
        <v>15810.68</v>
      </c>
      <c r="I7880">
        <v>1723.47</v>
      </c>
      <c r="J7880" t="s">
        <v>28</v>
      </c>
      <c r="K7880" t="s">
        <v>29</v>
      </c>
      <c r="L7880">
        <f t="shared" si="369"/>
        <v>2024</v>
      </c>
      <c r="M7880" t="str">
        <f t="shared" si="370"/>
        <v>Aug</v>
      </c>
      <c r="N7880" s="2">
        <f t="shared" si="371"/>
        <v>0.10900669673916619</v>
      </c>
    </row>
    <row r="7881" spans="1:14" x14ac:dyDescent="0.45">
      <c r="A7881" t="s">
        <v>13181</v>
      </c>
      <c r="B7881" s="1">
        <v>45595</v>
      </c>
      <c r="C7881" t="s">
        <v>7596</v>
      </c>
      <c r="D7881" t="s">
        <v>26</v>
      </c>
      <c r="E7881" t="s">
        <v>20</v>
      </c>
      <c r="F7881" t="s">
        <v>43</v>
      </c>
      <c r="G7881">
        <v>5</v>
      </c>
      <c r="H7881">
        <v>49060.44</v>
      </c>
      <c r="I7881">
        <v>2877.58</v>
      </c>
      <c r="J7881" t="s">
        <v>47</v>
      </c>
      <c r="K7881" t="s">
        <v>29</v>
      </c>
      <c r="L7881">
        <f t="shared" si="369"/>
        <v>2024</v>
      </c>
      <c r="M7881" t="str">
        <f t="shared" si="370"/>
        <v>Oct</v>
      </c>
      <c r="N7881" s="2">
        <f t="shared" si="371"/>
        <v>5.8653774813271137E-2</v>
      </c>
    </row>
    <row r="7882" spans="1:14" x14ac:dyDescent="0.45">
      <c r="A7882" t="s">
        <v>13182</v>
      </c>
      <c r="B7882" s="1">
        <v>45523</v>
      </c>
      <c r="C7882" t="s">
        <v>560</v>
      </c>
      <c r="D7882" t="s">
        <v>13</v>
      </c>
      <c r="E7882" t="s">
        <v>20</v>
      </c>
      <c r="F7882" t="s">
        <v>21</v>
      </c>
      <c r="G7882">
        <v>1</v>
      </c>
      <c r="H7882">
        <v>14954.03</v>
      </c>
      <c r="I7882">
        <v>976.61</v>
      </c>
      <c r="J7882" t="s">
        <v>47</v>
      </c>
      <c r="K7882" t="s">
        <v>33</v>
      </c>
      <c r="L7882">
        <f t="shared" si="369"/>
        <v>2024</v>
      </c>
      <c r="M7882" t="str">
        <f t="shared" si="370"/>
        <v>Aug</v>
      </c>
      <c r="N7882" s="2">
        <f t="shared" si="371"/>
        <v>6.5307478987269657E-2</v>
      </c>
    </row>
    <row r="7883" spans="1:14" x14ac:dyDescent="0.45">
      <c r="A7883" t="s">
        <v>13183</v>
      </c>
      <c r="B7883" s="1">
        <v>45057</v>
      </c>
      <c r="C7883" t="s">
        <v>13184</v>
      </c>
      <c r="D7883" t="s">
        <v>56</v>
      </c>
      <c r="E7883" t="s">
        <v>36</v>
      </c>
      <c r="F7883" t="s">
        <v>37</v>
      </c>
      <c r="G7883">
        <v>1</v>
      </c>
      <c r="H7883">
        <v>29404.23</v>
      </c>
      <c r="I7883">
        <v>7208.31</v>
      </c>
      <c r="J7883" t="s">
        <v>47</v>
      </c>
      <c r="K7883" t="s">
        <v>29</v>
      </c>
      <c r="L7883">
        <f t="shared" si="369"/>
        <v>2023</v>
      </c>
      <c r="M7883" t="str">
        <f t="shared" si="370"/>
        <v>May</v>
      </c>
      <c r="N7883" s="2">
        <f t="shared" si="371"/>
        <v>0.24514534133354285</v>
      </c>
    </row>
    <row r="7884" spans="1:14" x14ac:dyDescent="0.45">
      <c r="A7884" t="s">
        <v>13185</v>
      </c>
      <c r="B7884" s="1">
        <v>44753</v>
      </c>
      <c r="C7884" t="s">
        <v>3942</v>
      </c>
      <c r="D7884" t="s">
        <v>56</v>
      </c>
      <c r="E7884" t="s">
        <v>14</v>
      </c>
      <c r="F7884" t="s">
        <v>57</v>
      </c>
      <c r="G7884">
        <v>1</v>
      </c>
      <c r="H7884">
        <v>44570.080000000002</v>
      </c>
      <c r="I7884">
        <v>5270.3</v>
      </c>
      <c r="J7884" t="s">
        <v>71</v>
      </c>
      <c r="K7884" t="s">
        <v>17</v>
      </c>
      <c r="L7884">
        <f t="shared" si="369"/>
        <v>2022</v>
      </c>
      <c r="M7884" t="str">
        <f t="shared" si="370"/>
        <v>Jul</v>
      </c>
      <c r="N7884" s="2">
        <f t="shared" si="371"/>
        <v>0.118247488000919</v>
      </c>
    </row>
    <row r="7885" spans="1:14" x14ac:dyDescent="0.45">
      <c r="A7885" t="s">
        <v>13186</v>
      </c>
      <c r="B7885" s="1">
        <v>45626</v>
      </c>
      <c r="C7885" t="s">
        <v>13187</v>
      </c>
      <c r="D7885" t="s">
        <v>13</v>
      </c>
      <c r="E7885" t="s">
        <v>20</v>
      </c>
      <c r="F7885" t="s">
        <v>43</v>
      </c>
      <c r="G7885">
        <v>2</v>
      </c>
      <c r="H7885">
        <v>18855.72</v>
      </c>
      <c r="I7885">
        <v>2673.23</v>
      </c>
      <c r="J7885" t="s">
        <v>71</v>
      </c>
      <c r="K7885" t="s">
        <v>23</v>
      </c>
      <c r="L7885">
        <f t="shared" si="369"/>
        <v>2024</v>
      </c>
      <c r="M7885" t="str">
        <f t="shared" si="370"/>
        <v>Nov</v>
      </c>
      <c r="N7885" s="2">
        <f t="shared" si="371"/>
        <v>0.14177289437900009</v>
      </c>
    </row>
    <row r="7886" spans="1:14" x14ac:dyDescent="0.45">
      <c r="A7886" t="s">
        <v>13188</v>
      </c>
      <c r="B7886" s="1">
        <v>44866</v>
      </c>
      <c r="C7886" t="s">
        <v>7389</v>
      </c>
      <c r="D7886" t="s">
        <v>13</v>
      </c>
      <c r="E7886" t="s">
        <v>36</v>
      </c>
      <c r="F7886" t="s">
        <v>46</v>
      </c>
      <c r="G7886">
        <v>3</v>
      </c>
      <c r="H7886">
        <v>49751.59</v>
      </c>
      <c r="I7886">
        <v>8343.82</v>
      </c>
      <c r="J7886" t="s">
        <v>47</v>
      </c>
      <c r="K7886" t="s">
        <v>33</v>
      </c>
      <c r="L7886">
        <f t="shared" si="369"/>
        <v>2022</v>
      </c>
      <c r="M7886" t="str">
        <f t="shared" si="370"/>
        <v>Nov</v>
      </c>
      <c r="N7886" s="2">
        <f t="shared" si="371"/>
        <v>0.16770961490878986</v>
      </c>
    </row>
    <row r="7887" spans="1:14" x14ac:dyDescent="0.45">
      <c r="A7887" t="s">
        <v>13189</v>
      </c>
      <c r="B7887" s="1">
        <v>45228</v>
      </c>
      <c r="C7887" t="s">
        <v>13190</v>
      </c>
      <c r="D7887" t="s">
        <v>56</v>
      </c>
      <c r="E7887" t="s">
        <v>20</v>
      </c>
      <c r="F7887" t="s">
        <v>27</v>
      </c>
      <c r="G7887">
        <v>2</v>
      </c>
      <c r="H7887">
        <v>34203.07</v>
      </c>
      <c r="I7887">
        <v>7219.78</v>
      </c>
      <c r="J7887" t="s">
        <v>22</v>
      </c>
      <c r="K7887" t="s">
        <v>17</v>
      </c>
      <c r="L7887">
        <f t="shared" si="369"/>
        <v>2023</v>
      </c>
      <c r="M7887" t="str">
        <f t="shared" si="370"/>
        <v>Oct</v>
      </c>
      <c r="N7887" s="2">
        <f t="shared" si="371"/>
        <v>0.21108573002364991</v>
      </c>
    </row>
    <row r="7888" spans="1:14" x14ac:dyDescent="0.45">
      <c r="A7888" t="s">
        <v>13191</v>
      </c>
      <c r="B7888" s="1">
        <v>44753</v>
      </c>
      <c r="C7888" t="s">
        <v>3072</v>
      </c>
      <c r="D7888" t="s">
        <v>13</v>
      </c>
      <c r="E7888" t="s">
        <v>14</v>
      </c>
      <c r="F7888" t="s">
        <v>15</v>
      </c>
      <c r="G7888">
        <v>3</v>
      </c>
      <c r="H7888">
        <v>42017.48</v>
      </c>
      <c r="I7888">
        <v>7211.39</v>
      </c>
      <c r="J7888" t="s">
        <v>71</v>
      </c>
      <c r="K7888" t="s">
        <v>17</v>
      </c>
      <c r="L7888">
        <f t="shared" si="369"/>
        <v>2022</v>
      </c>
      <c r="M7888" t="str">
        <f t="shared" si="370"/>
        <v>Jul</v>
      </c>
      <c r="N7888" s="2">
        <f t="shared" si="371"/>
        <v>0.17162833182761078</v>
      </c>
    </row>
    <row r="7889" spans="1:14" x14ac:dyDescent="0.45">
      <c r="A7889" t="s">
        <v>13192</v>
      </c>
      <c r="B7889" s="1">
        <v>45332</v>
      </c>
      <c r="C7889" t="s">
        <v>2789</v>
      </c>
      <c r="D7889" t="s">
        <v>13</v>
      </c>
      <c r="E7889" t="s">
        <v>20</v>
      </c>
      <c r="F7889" t="s">
        <v>43</v>
      </c>
      <c r="G7889">
        <v>2</v>
      </c>
      <c r="H7889">
        <v>24295.02</v>
      </c>
      <c r="I7889">
        <v>4145.59</v>
      </c>
      <c r="J7889" t="s">
        <v>22</v>
      </c>
      <c r="K7889" t="s">
        <v>17</v>
      </c>
      <c r="L7889">
        <f t="shared" si="369"/>
        <v>2024</v>
      </c>
      <c r="M7889" t="str">
        <f t="shared" si="370"/>
        <v>Feb</v>
      </c>
      <c r="N7889" s="2">
        <f t="shared" si="371"/>
        <v>0.17063538124274027</v>
      </c>
    </row>
    <row r="7890" spans="1:14" x14ac:dyDescent="0.45">
      <c r="A7890" t="s">
        <v>13193</v>
      </c>
      <c r="B7890" s="1">
        <v>45467</v>
      </c>
      <c r="C7890" t="s">
        <v>13194</v>
      </c>
      <c r="D7890" t="s">
        <v>13</v>
      </c>
      <c r="E7890" t="s">
        <v>20</v>
      </c>
      <c r="F7890" t="s">
        <v>43</v>
      </c>
      <c r="G7890">
        <v>4</v>
      </c>
      <c r="H7890">
        <v>10228.42</v>
      </c>
      <c r="I7890">
        <v>1483.78</v>
      </c>
      <c r="J7890" t="s">
        <v>16</v>
      </c>
      <c r="K7890" t="s">
        <v>23</v>
      </c>
      <c r="L7890">
        <f t="shared" si="369"/>
        <v>2024</v>
      </c>
      <c r="M7890" t="str">
        <f t="shared" si="370"/>
        <v>Jun</v>
      </c>
      <c r="N7890" s="2">
        <f t="shared" si="371"/>
        <v>0.14506443810480993</v>
      </c>
    </row>
    <row r="7891" spans="1:14" x14ac:dyDescent="0.45">
      <c r="A7891" t="s">
        <v>13195</v>
      </c>
      <c r="B7891" s="1">
        <v>45221</v>
      </c>
      <c r="C7891" t="s">
        <v>9589</v>
      </c>
      <c r="D7891" t="s">
        <v>13</v>
      </c>
      <c r="E7891" t="s">
        <v>14</v>
      </c>
      <c r="F7891" t="s">
        <v>40</v>
      </c>
      <c r="G7891">
        <v>2</v>
      </c>
      <c r="H7891">
        <v>7589.67</v>
      </c>
      <c r="I7891">
        <v>1460.65</v>
      </c>
      <c r="J7891" t="s">
        <v>47</v>
      </c>
      <c r="K7891" t="s">
        <v>29</v>
      </c>
      <c r="L7891">
        <f t="shared" si="369"/>
        <v>2023</v>
      </c>
      <c r="M7891" t="str">
        <f t="shared" si="370"/>
        <v>Oct</v>
      </c>
      <c r="N7891" s="2">
        <f t="shared" si="371"/>
        <v>0.19245237276456026</v>
      </c>
    </row>
    <row r="7892" spans="1:14" x14ac:dyDescent="0.45">
      <c r="A7892" t="s">
        <v>13196</v>
      </c>
      <c r="B7892" s="1">
        <v>44957</v>
      </c>
      <c r="C7892" t="s">
        <v>13197</v>
      </c>
      <c r="D7892" t="s">
        <v>56</v>
      </c>
      <c r="E7892" t="s">
        <v>20</v>
      </c>
      <c r="F7892" t="s">
        <v>50</v>
      </c>
      <c r="G7892">
        <v>4</v>
      </c>
      <c r="H7892">
        <v>23988.47</v>
      </c>
      <c r="I7892">
        <v>2619.5300000000002</v>
      </c>
      <c r="J7892" t="s">
        <v>22</v>
      </c>
      <c r="K7892" t="s">
        <v>29</v>
      </c>
      <c r="L7892">
        <f t="shared" si="369"/>
        <v>2023</v>
      </c>
      <c r="M7892" t="str">
        <f t="shared" si="370"/>
        <v>Jan</v>
      </c>
      <c r="N7892" s="2">
        <f t="shared" si="371"/>
        <v>0.10919954461455858</v>
      </c>
    </row>
    <row r="7893" spans="1:14" x14ac:dyDescent="0.45">
      <c r="A7893" t="s">
        <v>13198</v>
      </c>
      <c r="B7893" s="1">
        <v>45053</v>
      </c>
      <c r="C7893" t="s">
        <v>10525</v>
      </c>
      <c r="D7893" t="s">
        <v>56</v>
      </c>
      <c r="E7893" t="s">
        <v>14</v>
      </c>
      <c r="F7893" t="s">
        <v>32</v>
      </c>
      <c r="G7893">
        <v>2</v>
      </c>
      <c r="H7893">
        <v>20328.34</v>
      </c>
      <c r="I7893">
        <v>2546.52</v>
      </c>
      <c r="J7893" t="s">
        <v>16</v>
      </c>
      <c r="K7893" t="s">
        <v>23</v>
      </c>
      <c r="L7893">
        <f t="shared" si="369"/>
        <v>2023</v>
      </c>
      <c r="M7893" t="str">
        <f t="shared" si="370"/>
        <v>May</v>
      </c>
      <c r="N7893" s="2">
        <f t="shared" si="371"/>
        <v>0.12526945141610185</v>
      </c>
    </row>
    <row r="7894" spans="1:14" x14ac:dyDescent="0.45">
      <c r="A7894" t="s">
        <v>13199</v>
      </c>
      <c r="B7894" s="1">
        <v>45078</v>
      </c>
      <c r="C7894" t="s">
        <v>13200</v>
      </c>
      <c r="D7894" t="s">
        <v>13</v>
      </c>
      <c r="E7894" t="s">
        <v>20</v>
      </c>
      <c r="F7894" t="s">
        <v>21</v>
      </c>
      <c r="G7894">
        <v>3</v>
      </c>
      <c r="H7894">
        <v>3409.11</v>
      </c>
      <c r="I7894">
        <v>836.58</v>
      </c>
      <c r="J7894" t="s">
        <v>47</v>
      </c>
      <c r="K7894" t="s">
        <v>17</v>
      </c>
      <c r="L7894">
        <f t="shared" si="369"/>
        <v>2023</v>
      </c>
      <c r="M7894" t="str">
        <f t="shared" si="370"/>
        <v>Jun</v>
      </c>
      <c r="N7894" s="2">
        <f t="shared" si="371"/>
        <v>0.2453954257856156</v>
      </c>
    </row>
    <row r="7895" spans="1:14" x14ac:dyDescent="0.45">
      <c r="A7895" t="s">
        <v>13201</v>
      </c>
      <c r="B7895" s="1">
        <v>45293</v>
      </c>
      <c r="C7895" t="s">
        <v>3974</v>
      </c>
      <c r="D7895" t="s">
        <v>26</v>
      </c>
      <c r="E7895" t="s">
        <v>14</v>
      </c>
      <c r="F7895" t="s">
        <v>15</v>
      </c>
      <c r="G7895">
        <v>4</v>
      </c>
      <c r="H7895">
        <v>22802.09</v>
      </c>
      <c r="I7895">
        <v>2206.0100000000002</v>
      </c>
      <c r="J7895" t="s">
        <v>71</v>
      </c>
      <c r="K7895" t="s">
        <v>17</v>
      </c>
      <c r="L7895">
        <f t="shared" si="369"/>
        <v>2024</v>
      </c>
      <c r="M7895" t="str">
        <f t="shared" si="370"/>
        <v>Jan</v>
      </c>
      <c r="N7895" s="2">
        <f t="shared" si="371"/>
        <v>9.6745956182086826E-2</v>
      </c>
    </row>
    <row r="7896" spans="1:14" x14ac:dyDescent="0.45">
      <c r="A7896" t="s">
        <v>13202</v>
      </c>
      <c r="B7896" s="1">
        <v>44706</v>
      </c>
      <c r="C7896" t="s">
        <v>13203</v>
      </c>
      <c r="D7896" t="s">
        <v>26</v>
      </c>
      <c r="E7896" t="s">
        <v>20</v>
      </c>
      <c r="F7896" t="s">
        <v>21</v>
      </c>
      <c r="G7896">
        <v>5</v>
      </c>
      <c r="H7896">
        <v>38456.720000000001</v>
      </c>
      <c r="I7896">
        <v>3088.51</v>
      </c>
      <c r="J7896" t="s">
        <v>28</v>
      </c>
      <c r="K7896" t="s">
        <v>17</v>
      </c>
      <c r="L7896">
        <f t="shared" si="369"/>
        <v>2022</v>
      </c>
      <c r="M7896" t="str">
        <f t="shared" si="370"/>
        <v>May</v>
      </c>
      <c r="N7896" s="2">
        <f t="shared" si="371"/>
        <v>8.0311321402345287E-2</v>
      </c>
    </row>
    <row r="7897" spans="1:14" x14ac:dyDescent="0.45">
      <c r="A7897" t="s">
        <v>13204</v>
      </c>
      <c r="B7897" s="1">
        <v>44870</v>
      </c>
      <c r="C7897" t="s">
        <v>4361</v>
      </c>
      <c r="D7897" t="s">
        <v>13</v>
      </c>
      <c r="E7897" t="s">
        <v>20</v>
      </c>
      <c r="F7897" t="s">
        <v>21</v>
      </c>
      <c r="G7897">
        <v>4</v>
      </c>
      <c r="H7897">
        <v>38856.089999999997</v>
      </c>
      <c r="I7897">
        <v>3537.82</v>
      </c>
      <c r="J7897" t="s">
        <v>16</v>
      </c>
      <c r="K7897" t="s">
        <v>29</v>
      </c>
      <c r="L7897">
        <f t="shared" si="369"/>
        <v>2022</v>
      </c>
      <c r="M7897" t="str">
        <f t="shared" si="370"/>
        <v>Nov</v>
      </c>
      <c r="N7897" s="2">
        <f t="shared" si="371"/>
        <v>9.1049305269778835E-2</v>
      </c>
    </row>
    <row r="7898" spans="1:14" x14ac:dyDescent="0.45">
      <c r="A7898" t="s">
        <v>13205</v>
      </c>
      <c r="B7898" s="1">
        <v>45293</v>
      </c>
      <c r="C7898" t="s">
        <v>13206</v>
      </c>
      <c r="D7898" t="s">
        <v>56</v>
      </c>
      <c r="E7898" t="s">
        <v>36</v>
      </c>
      <c r="F7898" t="s">
        <v>53</v>
      </c>
      <c r="G7898">
        <v>3</v>
      </c>
      <c r="H7898">
        <v>28863.21</v>
      </c>
      <c r="I7898">
        <v>5371.93</v>
      </c>
      <c r="J7898" t="s">
        <v>16</v>
      </c>
      <c r="K7898" t="s">
        <v>23</v>
      </c>
      <c r="L7898">
        <f t="shared" si="369"/>
        <v>2024</v>
      </c>
      <c r="M7898" t="str">
        <f t="shared" si="370"/>
        <v>Jan</v>
      </c>
      <c r="N7898" s="2">
        <f t="shared" si="371"/>
        <v>0.18611685948998744</v>
      </c>
    </row>
    <row r="7899" spans="1:14" x14ac:dyDescent="0.45">
      <c r="A7899" t="s">
        <v>13207</v>
      </c>
      <c r="B7899" s="1">
        <v>45329</v>
      </c>
      <c r="C7899" t="s">
        <v>13208</v>
      </c>
      <c r="D7899" t="s">
        <v>26</v>
      </c>
      <c r="E7899" t="s">
        <v>36</v>
      </c>
      <c r="F7899" t="s">
        <v>64</v>
      </c>
      <c r="G7899">
        <v>4</v>
      </c>
      <c r="H7899">
        <v>2259.5300000000002</v>
      </c>
      <c r="I7899">
        <v>113.53</v>
      </c>
      <c r="J7899" t="s">
        <v>47</v>
      </c>
      <c r="K7899" t="s">
        <v>23</v>
      </c>
      <c r="L7899">
        <f t="shared" si="369"/>
        <v>2024</v>
      </c>
      <c r="M7899" t="str">
        <f t="shared" si="370"/>
        <v>Feb</v>
      </c>
      <c r="N7899" s="2">
        <f t="shared" si="371"/>
        <v>5.0244962447942708E-2</v>
      </c>
    </row>
    <row r="7900" spans="1:14" x14ac:dyDescent="0.45">
      <c r="A7900" t="s">
        <v>13209</v>
      </c>
      <c r="B7900" s="1">
        <v>44651</v>
      </c>
      <c r="C7900" t="s">
        <v>13210</v>
      </c>
      <c r="D7900" t="s">
        <v>13</v>
      </c>
      <c r="E7900" t="s">
        <v>20</v>
      </c>
      <c r="F7900" t="s">
        <v>43</v>
      </c>
      <c r="G7900">
        <v>1</v>
      </c>
      <c r="H7900">
        <v>7158.39</v>
      </c>
      <c r="I7900">
        <v>1188.55</v>
      </c>
      <c r="J7900" t="s">
        <v>47</v>
      </c>
      <c r="K7900" t="s">
        <v>33</v>
      </c>
      <c r="L7900">
        <f t="shared" si="369"/>
        <v>2022</v>
      </c>
      <c r="M7900" t="str">
        <f t="shared" si="370"/>
        <v>Mar</v>
      </c>
      <c r="N7900" s="2">
        <f t="shared" si="371"/>
        <v>0.1660359382486844</v>
      </c>
    </row>
    <row r="7901" spans="1:14" x14ac:dyDescent="0.45">
      <c r="A7901" t="s">
        <v>13211</v>
      </c>
      <c r="B7901" s="1">
        <v>44984</v>
      </c>
      <c r="C7901" t="s">
        <v>6024</v>
      </c>
      <c r="D7901" t="s">
        <v>56</v>
      </c>
      <c r="E7901" t="s">
        <v>14</v>
      </c>
      <c r="F7901" t="s">
        <v>40</v>
      </c>
      <c r="G7901">
        <v>2</v>
      </c>
      <c r="H7901">
        <v>24731.79</v>
      </c>
      <c r="I7901">
        <v>1300.6600000000001</v>
      </c>
      <c r="J7901" t="s">
        <v>16</v>
      </c>
      <c r="K7901" t="s">
        <v>29</v>
      </c>
      <c r="L7901">
        <f t="shared" si="369"/>
        <v>2023</v>
      </c>
      <c r="M7901" t="str">
        <f t="shared" si="370"/>
        <v>Feb</v>
      </c>
      <c r="N7901" s="2">
        <f t="shared" si="371"/>
        <v>5.259061313394623E-2</v>
      </c>
    </row>
    <row r="7902" spans="1:14" x14ac:dyDescent="0.45">
      <c r="A7902" t="s">
        <v>13212</v>
      </c>
      <c r="B7902" s="1">
        <v>45654</v>
      </c>
      <c r="C7902" t="s">
        <v>3304</v>
      </c>
      <c r="D7902" t="s">
        <v>56</v>
      </c>
      <c r="E7902" t="s">
        <v>20</v>
      </c>
      <c r="F7902" t="s">
        <v>21</v>
      </c>
      <c r="G7902">
        <v>3</v>
      </c>
      <c r="H7902">
        <v>22895.83</v>
      </c>
      <c r="I7902">
        <v>1390.14</v>
      </c>
      <c r="J7902" t="s">
        <v>22</v>
      </c>
      <c r="K7902" t="s">
        <v>33</v>
      </c>
      <c r="L7902">
        <f t="shared" si="369"/>
        <v>2024</v>
      </c>
      <c r="M7902" t="str">
        <f t="shared" si="370"/>
        <v>Dec</v>
      </c>
      <c r="N7902" s="2">
        <f t="shared" si="371"/>
        <v>6.0715859612864E-2</v>
      </c>
    </row>
    <row r="7903" spans="1:14" x14ac:dyDescent="0.45">
      <c r="A7903" t="s">
        <v>13213</v>
      </c>
      <c r="B7903" s="1">
        <v>45251</v>
      </c>
      <c r="C7903" t="s">
        <v>11623</v>
      </c>
      <c r="D7903" t="s">
        <v>13</v>
      </c>
      <c r="E7903" t="s">
        <v>14</v>
      </c>
      <c r="F7903" t="s">
        <v>57</v>
      </c>
      <c r="G7903">
        <v>1</v>
      </c>
      <c r="H7903">
        <v>40510.93</v>
      </c>
      <c r="I7903">
        <v>5993.39</v>
      </c>
      <c r="J7903" t="s">
        <v>16</v>
      </c>
      <c r="K7903" t="s">
        <v>23</v>
      </c>
      <c r="L7903">
        <f t="shared" si="369"/>
        <v>2023</v>
      </c>
      <c r="M7903" t="str">
        <f t="shared" si="370"/>
        <v>Nov</v>
      </c>
      <c r="N7903" s="2">
        <f t="shared" si="371"/>
        <v>0.14794501138334767</v>
      </c>
    </row>
    <row r="7904" spans="1:14" x14ac:dyDescent="0.45">
      <c r="A7904" t="s">
        <v>13214</v>
      </c>
      <c r="B7904" s="1">
        <v>44902</v>
      </c>
      <c r="C7904" t="s">
        <v>9265</v>
      </c>
      <c r="D7904" t="s">
        <v>26</v>
      </c>
      <c r="E7904" t="s">
        <v>36</v>
      </c>
      <c r="F7904" t="s">
        <v>53</v>
      </c>
      <c r="G7904">
        <v>3</v>
      </c>
      <c r="H7904">
        <v>17662.509999999998</v>
      </c>
      <c r="I7904">
        <v>2055.2199999999998</v>
      </c>
      <c r="J7904" t="s">
        <v>28</v>
      </c>
      <c r="K7904" t="s">
        <v>23</v>
      </c>
      <c r="L7904">
        <f t="shared" si="369"/>
        <v>2022</v>
      </c>
      <c r="M7904" t="str">
        <f t="shared" si="370"/>
        <v>Dec</v>
      </c>
      <c r="N7904" s="2">
        <f t="shared" si="371"/>
        <v>0.11636058521693689</v>
      </c>
    </row>
    <row r="7905" spans="1:14" x14ac:dyDescent="0.45">
      <c r="A7905" t="s">
        <v>13215</v>
      </c>
      <c r="B7905" s="1">
        <v>45195</v>
      </c>
      <c r="C7905" t="s">
        <v>13216</v>
      </c>
      <c r="D7905" t="s">
        <v>56</v>
      </c>
      <c r="E7905" t="s">
        <v>14</v>
      </c>
      <c r="F7905" t="s">
        <v>40</v>
      </c>
      <c r="G7905">
        <v>2</v>
      </c>
      <c r="H7905">
        <v>28807.18</v>
      </c>
      <c r="I7905">
        <v>3722.8</v>
      </c>
      <c r="J7905" t="s">
        <v>16</v>
      </c>
      <c r="K7905" t="s">
        <v>33</v>
      </c>
      <c r="L7905">
        <f t="shared" si="369"/>
        <v>2023</v>
      </c>
      <c r="M7905" t="str">
        <f t="shared" si="370"/>
        <v>Sep</v>
      </c>
      <c r="N7905" s="2">
        <f t="shared" si="371"/>
        <v>0.12923167071542582</v>
      </c>
    </row>
    <row r="7906" spans="1:14" x14ac:dyDescent="0.45">
      <c r="A7906" t="s">
        <v>13217</v>
      </c>
      <c r="B7906" s="1">
        <v>44657</v>
      </c>
      <c r="C7906" t="s">
        <v>13218</v>
      </c>
      <c r="D7906" t="s">
        <v>56</v>
      </c>
      <c r="E7906" t="s">
        <v>14</v>
      </c>
      <c r="F7906" t="s">
        <v>57</v>
      </c>
      <c r="G7906">
        <v>1</v>
      </c>
      <c r="H7906">
        <v>16775.52</v>
      </c>
      <c r="I7906">
        <v>2040.51</v>
      </c>
      <c r="J7906" t="s">
        <v>28</v>
      </c>
      <c r="K7906" t="s">
        <v>23</v>
      </c>
      <c r="L7906">
        <f t="shared" si="369"/>
        <v>2022</v>
      </c>
      <c r="M7906" t="str">
        <f t="shared" si="370"/>
        <v>Apr</v>
      </c>
      <c r="N7906" s="2">
        <f t="shared" si="371"/>
        <v>0.12163616984749205</v>
      </c>
    </row>
    <row r="7907" spans="1:14" x14ac:dyDescent="0.45">
      <c r="A7907" t="s">
        <v>13219</v>
      </c>
      <c r="B7907" s="1">
        <v>45081</v>
      </c>
      <c r="C7907" t="s">
        <v>13220</v>
      </c>
      <c r="D7907" t="s">
        <v>13</v>
      </c>
      <c r="E7907" t="s">
        <v>36</v>
      </c>
      <c r="F7907" t="s">
        <v>37</v>
      </c>
      <c r="G7907">
        <v>2</v>
      </c>
      <c r="H7907">
        <v>49619.44</v>
      </c>
      <c r="I7907">
        <v>3262</v>
      </c>
      <c r="J7907" t="s">
        <v>22</v>
      </c>
      <c r="K7907" t="s">
        <v>29</v>
      </c>
      <c r="L7907">
        <f t="shared" si="369"/>
        <v>2023</v>
      </c>
      <c r="M7907" t="str">
        <f t="shared" si="370"/>
        <v>Jun</v>
      </c>
      <c r="N7907" s="2">
        <f t="shared" si="371"/>
        <v>6.5740363051255718E-2</v>
      </c>
    </row>
    <row r="7908" spans="1:14" x14ac:dyDescent="0.45">
      <c r="A7908" t="s">
        <v>13221</v>
      </c>
      <c r="B7908" s="1">
        <v>44819</v>
      </c>
      <c r="C7908" t="s">
        <v>397</v>
      </c>
      <c r="D7908" t="s">
        <v>26</v>
      </c>
      <c r="E7908" t="s">
        <v>20</v>
      </c>
      <c r="F7908" t="s">
        <v>21</v>
      </c>
      <c r="G7908">
        <v>4</v>
      </c>
      <c r="H7908">
        <v>34062.800000000003</v>
      </c>
      <c r="I7908">
        <v>4031.12</v>
      </c>
      <c r="J7908" t="s">
        <v>28</v>
      </c>
      <c r="K7908" t="s">
        <v>23</v>
      </c>
      <c r="L7908">
        <f t="shared" si="369"/>
        <v>2022</v>
      </c>
      <c r="M7908" t="str">
        <f t="shared" si="370"/>
        <v>Sep</v>
      </c>
      <c r="N7908" s="2">
        <f t="shared" si="371"/>
        <v>0.11834376504573903</v>
      </c>
    </row>
    <row r="7909" spans="1:14" x14ac:dyDescent="0.45">
      <c r="A7909" t="s">
        <v>13222</v>
      </c>
      <c r="B7909" s="1">
        <v>45177</v>
      </c>
      <c r="C7909" t="s">
        <v>13223</v>
      </c>
      <c r="D7909" t="s">
        <v>26</v>
      </c>
      <c r="E7909" t="s">
        <v>36</v>
      </c>
      <c r="F7909" t="s">
        <v>37</v>
      </c>
      <c r="G7909">
        <v>4</v>
      </c>
      <c r="H7909">
        <v>29234.85</v>
      </c>
      <c r="I7909">
        <v>6793.91</v>
      </c>
      <c r="J7909" t="s">
        <v>28</v>
      </c>
      <c r="K7909" t="s">
        <v>33</v>
      </c>
      <c r="L7909">
        <f t="shared" si="369"/>
        <v>2023</v>
      </c>
      <c r="M7909" t="str">
        <f t="shared" si="370"/>
        <v>Sep</v>
      </c>
      <c r="N7909" s="2">
        <f t="shared" si="371"/>
        <v>0.23239079386417238</v>
      </c>
    </row>
    <row r="7910" spans="1:14" x14ac:dyDescent="0.45">
      <c r="A7910" t="s">
        <v>13224</v>
      </c>
      <c r="B7910" s="1">
        <v>44699</v>
      </c>
      <c r="C7910" t="s">
        <v>13225</v>
      </c>
      <c r="D7910" t="s">
        <v>56</v>
      </c>
      <c r="E7910" t="s">
        <v>20</v>
      </c>
      <c r="F7910" t="s">
        <v>21</v>
      </c>
      <c r="G7910">
        <v>3</v>
      </c>
      <c r="H7910">
        <v>33878.14</v>
      </c>
      <c r="I7910">
        <v>6849.74</v>
      </c>
      <c r="J7910" t="s">
        <v>16</v>
      </c>
      <c r="K7910" t="s">
        <v>17</v>
      </c>
      <c r="L7910">
        <f t="shared" si="369"/>
        <v>2022</v>
      </c>
      <c r="M7910" t="str">
        <f t="shared" si="370"/>
        <v>May</v>
      </c>
      <c r="N7910" s="2">
        <f t="shared" si="371"/>
        <v>0.20218760534078908</v>
      </c>
    </row>
    <row r="7911" spans="1:14" x14ac:dyDescent="0.45">
      <c r="A7911" t="s">
        <v>13226</v>
      </c>
      <c r="B7911" s="1">
        <v>44838</v>
      </c>
      <c r="C7911" t="s">
        <v>13227</v>
      </c>
      <c r="D7911" t="s">
        <v>26</v>
      </c>
      <c r="E7911" t="s">
        <v>36</v>
      </c>
      <c r="F7911" t="s">
        <v>64</v>
      </c>
      <c r="G7911">
        <v>4</v>
      </c>
      <c r="H7911">
        <v>6224.94</v>
      </c>
      <c r="I7911">
        <v>394.4</v>
      </c>
      <c r="J7911" t="s">
        <v>22</v>
      </c>
      <c r="K7911" t="s">
        <v>33</v>
      </c>
      <c r="L7911">
        <f t="shared" si="369"/>
        <v>2022</v>
      </c>
      <c r="M7911" t="str">
        <f t="shared" si="370"/>
        <v>Oct</v>
      </c>
      <c r="N7911" s="2">
        <f t="shared" si="371"/>
        <v>6.3358040398782955E-2</v>
      </c>
    </row>
    <row r="7912" spans="1:14" x14ac:dyDescent="0.45">
      <c r="A7912" t="s">
        <v>13228</v>
      </c>
      <c r="B7912" s="1">
        <v>45413</v>
      </c>
      <c r="C7912" t="s">
        <v>10291</v>
      </c>
      <c r="D7912" t="s">
        <v>13</v>
      </c>
      <c r="E7912" t="s">
        <v>14</v>
      </c>
      <c r="F7912" t="s">
        <v>57</v>
      </c>
      <c r="G7912">
        <v>4</v>
      </c>
      <c r="H7912">
        <v>5948.75</v>
      </c>
      <c r="I7912">
        <v>866.83</v>
      </c>
      <c r="J7912" t="s">
        <v>47</v>
      </c>
      <c r="K7912" t="s">
        <v>33</v>
      </c>
      <c r="L7912">
        <f t="shared" si="369"/>
        <v>2024</v>
      </c>
      <c r="M7912" t="str">
        <f t="shared" si="370"/>
        <v>May</v>
      </c>
      <c r="N7912" s="2">
        <f t="shared" si="371"/>
        <v>0.14571632695944528</v>
      </c>
    </row>
    <row r="7913" spans="1:14" x14ac:dyDescent="0.45">
      <c r="A7913" t="s">
        <v>13229</v>
      </c>
      <c r="B7913" s="1">
        <v>45527</v>
      </c>
      <c r="C7913" t="s">
        <v>13230</v>
      </c>
      <c r="D7913" t="s">
        <v>13</v>
      </c>
      <c r="E7913" t="s">
        <v>20</v>
      </c>
      <c r="F7913" t="s">
        <v>43</v>
      </c>
      <c r="G7913">
        <v>5</v>
      </c>
      <c r="H7913">
        <v>31496.71</v>
      </c>
      <c r="I7913">
        <v>4574.21</v>
      </c>
      <c r="J7913" t="s">
        <v>47</v>
      </c>
      <c r="K7913" t="s">
        <v>29</v>
      </c>
      <c r="L7913">
        <f t="shared" si="369"/>
        <v>2024</v>
      </c>
      <c r="M7913" t="str">
        <f t="shared" si="370"/>
        <v>Aug</v>
      </c>
      <c r="N7913" s="2">
        <f t="shared" si="371"/>
        <v>0.14522818415002711</v>
      </c>
    </row>
    <row r="7914" spans="1:14" x14ac:dyDescent="0.45">
      <c r="A7914" t="s">
        <v>13231</v>
      </c>
      <c r="B7914" s="1">
        <v>44576</v>
      </c>
      <c r="C7914" t="s">
        <v>13232</v>
      </c>
      <c r="D7914" t="s">
        <v>26</v>
      </c>
      <c r="E7914" t="s">
        <v>36</v>
      </c>
      <c r="F7914" t="s">
        <v>53</v>
      </c>
      <c r="G7914">
        <v>4</v>
      </c>
      <c r="H7914">
        <v>11014.39</v>
      </c>
      <c r="I7914">
        <v>1863.23</v>
      </c>
      <c r="J7914" t="s">
        <v>47</v>
      </c>
      <c r="K7914" t="s">
        <v>29</v>
      </c>
      <c r="L7914">
        <f t="shared" si="369"/>
        <v>2022</v>
      </c>
      <c r="M7914" t="str">
        <f t="shared" si="370"/>
        <v>Jan</v>
      </c>
      <c r="N7914" s="2">
        <f t="shared" si="371"/>
        <v>0.16916324916767975</v>
      </c>
    </row>
    <row r="7915" spans="1:14" x14ac:dyDescent="0.45">
      <c r="A7915" t="s">
        <v>13233</v>
      </c>
      <c r="B7915" s="1">
        <v>44797</v>
      </c>
      <c r="C7915" t="s">
        <v>1327</v>
      </c>
      <c r="D7915" t="s">
        <v>13</v>
      </c>
      <c r="E7915" t="s">
        <v>14</v>
      </c>
      <c r="F7915" t="s">
        <v>40</v>
      </c>
      <c r="G7915">
        <v>4</v>
      </c>
      <c r="H7915">
        <v>23991.49</v>
      </c>
      <c r="I7915">
        <v>3467.55</v>
      </c>
      <c r="J7915" t="s">
        <v>71</v>
      </c>
      <c r="K7915" t="s">
        <v>23</v>
      </c>
      <c r="L7915">
        <f t="shared" si="369"/>
        <v>2022</v>
      </c>
      <c r="M7915" t="str">
        <f t="shared" si="370"/>
        <v>Aug</v>
      </c>
      <c r="N7915" s="2">
        <f t="shared" si="371"/>
        <v>0.14453249881520489</v>
      </c>
    </row>
    <row r="7916" spans="1:14" x14ac:dyDescent="0.45">
      <c r="A7916" t="s">
        <v>13234</v>
      </c>
      <c r="B7916" s="1">
        <v>44912</v>
      </c>
      <c r="C7916" t="s">
        <v>2633</v>
      </c>
      <c r="D7916" t="s">
        <v>26</v>
      </c>
      <c r="E7916" t="s">
        <v>36</v>
      </c>
      <c r="F7916" t="s">
        <v>64</v>
      </c>
      <c r="G7916">
        <v>4</v>
      </c>
      <c r="H7916">
        <v>10720.51</v>
      </c>
      <c r="I7916">
        <v>2206.62</v>
      </c>
      <c r="J7916" t="s">
        <v>22</v>
      </c>
      <c r="K7916" t="s">
        <v>17</v>
      </c>
      <c r="L7916">
        <f t="shared" si="369"/>
        <v>2022</v>
      </c>
      <c r="M7916" t="str">
        <f t="shared" si="370"/>
        <v>Dec</v>
      </c>
      <c r="N7916" s="2">
        <f t="shared" si="371"/>
        <v>0.20583162554766515</v>
      </c>
    </row>
    <row r="7917" spans="1:14" x14ac:dyDescent="0.45">
      <c r="A7917" t="s">
        <v>13235</v>
      </c>
      <c r="B7917" s="1">
        <v>44802</v>
      </c>
      <c r="C7917" t="s">
        <v>2351</v>
      </c>
      <c r="D7917" t="s">
        <v>13</v>
      </c>
      <c r="E7917" t="s">
        <v>14</v>
      </c>
      <c r="F7917" t="s">
        <v>57</v>
      </c>
      <c r="G7917">
        <v>2</v>
      </c>
      <c r="H7917">
        <v>25272.53</v>
      </c>
      <c r="I7917">
        <v>3870</v>
      </c>
      <c r="J7917" t="s">
        <v>22</v>
      </c>
      <c r="K7917" t="s">
        <v>23</v>
      </c>
      <c r="L7917">
        <f t="shared" si="369"/>
        <v>2022</v>
      </c>
      <c r="M7917" t="str">
        <f t="shared" si="370"/>
        <v>Aug</v>
      </c>
      <c r="N7917" s="2">
        <f t="shared" si="371"/>
        <v>0.15313069170360072</v>
      </c>
    </row>
    <row r="7918" spans="1:14" x14ac:dyDescent="0.45">
      <c r="A7918" t="s">
        <v>13236</v>
      </c>
      <c r="B7918" s="1">
        <v>45293</v>
      </c>
      <c r="C7918" t="s">
        <v>10056</v>
      </c>
      <c r="D7918" t="s">
        <v>13</v>
      </c>
      <c r="E7918" t="s">
        <v>20</v>
      </c>
      <c r="F7918" t="s">
        <v>43</v>
      </c>
      <c r="G7918">
        <v>1</v>
      </c>
      <c r="H7918">
        <v>9539.93</v>
      </c>
      <c r="I7918">
        <v>630.87</v>
      </c>
      <c r="J7918" t="s">
        <v>47</v>
      </c>
      <c r="K7918" t="s">
        <v>23</v>
      </c>
      <c r="L7918">
        <f t="shared" si="369"/>
        <v>2024</v>
      </c>
      <c r="M7918" t="str">
        <f t="shared" si="370"/>
        <v>Jan</v>
      </c>
      <c r="N7918" s="2">
        <f t="shared" si="371"/>
        <v>6.6129416043933228E-2</v>
      </c>
    </row>
    <row r="7919" spans="1:14" x14ac:dyDescent="0.45">
      <c r="A7919" t="s">
        <v>13237</v>
      </c>
      <c r="B7919" s="1">
        <v>45193</v>
      </c>
      <c r="C7919" t="s">
        <v>9944</v>
      </c>
      <c r="D7919" t="s">
        <v>13</v>
      </c>
      <c r="E7919" t="s">
        <v>20</v>
      </c>
      <c r="F7919" t="s">
        <v>50</v>
      </c>
      <c r="G7919">
        <v>4</v>
      </c>
      <c r="H7919">
        <v>32820.19</v>
      </c>
      <c r="I7919">
        <v>6831.04</v>
      </c>
      <c r="J7919" t="s">
        <v>28</v>
      </c>
      <c r="K7919" t="s">
        <v>17</v>
      </c>
      <c r="L7919">
        <f t="shared" si="369"/>
        <v>2023</v>
      </c>
      <c r="M7919" t="str">
        <f t="shared" si="370"/>
        <v>Sep</v>
      </c>
      <c r="N7919" s="2">
        <f t="shared" si="371"/>
        <v>0.20813529720577484</v>
      </c>
    </row>
    <row r="7920" spans="1:14" x14ac:dyDescent="0.45">
      <c r="A7920" t="s">
        <v>13238</v>
      </c>
      <c r="B7920" s="1">
        <v>44624</v>
      </c>
      <c r="C7920" t="s">
        <v>10157</v>
      </c>
      <c r="D7920" t="s">
        <v>26</v>
      </c>
      <c r="E7920" t="s">
        <v>36</v>
      </c>
      <c r="F7920" t="s">
        <v>46</v>
      </c>
      <c r="G7920">
        <v>1</v>
      </c>
      <c r="H7920">
        <v>9586.4699999999993</v>
      </c>
      <c r="I7920">
        <v>693.87</v>
      </c>
      <c r="J7920" t="s">
        <v>16</v>
      </c>
      <c r="K7920" t="s">
        <v>23</v>
      </c>
      <c r="L7920">
        <f t="shared" si="369"/>
        <v>2022</v>
      </c>
      <c r="M7920" t="str">
        <f t="shared" si="370"/>
        <v>Mar</v>
      </c>
      <c r="N7920" s="2">
        <f t="shared" si="371"/>
        <v>7.2380135753828054E-2</v>
      </c>
    </row>
    <row r="7921" spans="1:14" x14ac:dyDescent="0.45">
      <c r="A7921" t="s">
        <v>13239</v>
      </c>
      <c r="B7921" s="1">
        <v>45520</v>
      </c>
      <c r="C7921" t="s">
        <v>13240</v>
      </c>
      <c r="D7921" t="s">
        <v>56</v>
      </c>
      <c r="E7921" t="s">
        <v>36</v>
      </c>
      <c r="F7921" t="s">
        <v>37</v>
      </c>
      <c r="G7921">
        <v>4</v>
      </c>
      <c r="H7921">
        <v>44323.040000000001</v>
      </c>
      <c r="I7921">
        <v>7793.25</v>
      </c>
      <c r="J7921" t="s">
        <v>28</v>
      </c>
      <c r="K7921" t="s">
        <v>17</v>
      </c>
      <c r="L7921">
        <f t="shared" si="369"/>
        <v>2024</v>
      </c>
      <c r="M7921" t="str">
        <f t="shared" si="370"/>
        <v>Aug</v>
      </c>
      <c r="N7921" s="2">
        <f t="shared" si="371"/>
        <v>0.17582841790635298</v>
      </c>
    </row>
    <row r="7922" spans="1:14" x14ac:dyDescent="0.45">
      <c r="A7922" t="s">
        <v>13241</v>
      </c>
      <c r="B7922" s="1">
        <v>44797</v>
      </c>
      <c r="C7922" t="s">
        <v>13242</v>
      </c>
      <c r="D7922" t="s">
        <v>56</v>
      </c>
      <c r="E7922" t="s">
        <v>14</v>
      </c>
      <c r="F7922" t="s">
        <v>57</v>
      </c>
      <c r="G7922">
        <v>5</v>
      </c>
      <c r="H7922">
        <v>47235.21</v>
      </c>
      <c r="I7922">
        <v>8901.7999999999993</v>
      </c>
      <c r="J7922" t="s">
        <v>47</v>
      </c>
      <c r="K7922" t="s">
        <v>23</v>
      </c>
      <c r="L7922">
        <f t="shared" si="369"/>
        <v>2022</v>
      </c>
      <c r="M7922" t="str">
        <f t="shared" si="370"/>
        <v>Aug</v>
      </c>
      <c r="N7922" s="2">
        <f t="shared" si="371"/>
        <v>0.18845687359069643</v>
      </c>
    </row>
    <row r="7923" spans="1:14" x14ac:dyDescent="0.45">
      <c r="A7923" t="s">
        <v>13243</v>
      </c>
      <c r="B7923" s="1">
        <v>45024</v>
      </c>
      <c r="C7923" t="s">
        <v>9791</v>
      </c>
      <c r="D7923" t="s">
        <v>56</v>
      </c>
      <c r="E7923" t="s">
        <v>14</v>
      </c>
      <c r="F7923" t="s">
        <v>15</v>
      </c>
      <c r="G7923">
        <v>3</v>
      </c>
      <c r="H7923">
        <v>3627.93</v>
      </c>
      <c r="I7923">
        <v>836.89</v>
      </c>
      <c r="J7923" t="s">
        <v>28</v>
      </c>
      <c r="K7923" t="s">
        <v>17</v>
      </c>
      <c r="L7923">
        <f t="shared" si="369"/>
        <v>2023</v>
      </c>
      <c r="M7923" t="str">
        <f t="shared" si="370"/>
        <v>Apr</v>
      </c>
      <c r="N7923" s="2">
        <f t="shared" si="371"/>
        <v>0.23067975401950974</v>
      </c>
    </row>
    <row r="7924" spans="1:14" x14ac:dyDescent="0.45">
      <c r="A7924" t="s">
        <v>13244</v>
      </c>
      <c r="B7924" s="1">
        <v>44902</v>
      </c>
      <c r="C7924" t="s">
        <v>11604</v>
      </c>
      <c r="D7924" t="s">
        <v>13</v>
      </c>
      <c r="E7924" t="s">
        <v>20</v>
      </c>
      <c r="F7924" t="s">
        <v>27</v>
      </c>
      <c r="G7924">
        <v>4</v>
      </c>
      <c r="H7924">
        <v>27975.72</v>
      </c>
      <c r="I7924">
        <v>4628.3900000000003</v>
      </c>
      <c r="J7924" t="s">
        <v>47</v>
      </c>
      <c r="K7924" t="s">
        <v>29</v>
      </c>
      <c r="L7924">
        <f t="shared" si="369"/>
        <v>2022</v>
      </c>
      <c r="M7924" t="str">
        <f t="shared" si="370"/>
        <v>Dec</v>
      </c>
      <c r="N7924" s="2">
        <f t="shared" si="371"/>
        <v>0.16544310566448334</v>
      </c>
    </row>
    <row r="7925" spans="1:14" x14ac:dyDescent="0.45">
      <c r="A7925" t="s">
        <v>13245</v>
      </c>
      <c r="B7925" s="1">
        <v>45240</v>
      </c>
      <c r="C7925" t="s">
        <v>5041</v>
      </c>
      <c r="D7925" t="s">
        <v>56</v>
      </c>
      <c r="E7925" t="s">
        <v>14</v>
      </c>
      <c r="F7925" t="s">
        <v>15</v>
      </c>
      <c r="G7925">
        <v>1</v>
      </c>
      <c r="H7925">
        <v>44383.47</v>
      </c>
      <c r="I7925">
        <v>3861.29</v>
      </c>
      <c r="J7925" t="s">
        <v>16</v>
      </c>
      <c r="K7925" t="s">
        <v>23</v>
      </c>
      <c r="L7925">
        <f t="shared" si="369"/>
        <v>2023</v>
      </c>
      <c r="M7925" t="str">
        <f t="shared" si="370"/>
        <v>Nov</v>
      </c>
      <c r="N7925" s="2">
        <f t="shared" si="371"/>
        <v>8.6998380252828356E-2</v>
      </c>
    </row>
    <row r="7926" spans="1:14" x14ac:dyDescent="0.45">
      <c r="A7926" t="s">
        <v>13246</v>
      </c>
      <c r="B7926" s="1">
        <v>45599</v>
      </c>
      <c r="C7926" t="s">
        <v>9280</v>
      </c>
      <c r="D7926" t="s">
        <v>56</v>
      </c>
      <c r="E7926" t="s">
        <v>14</v>
      </c>
      <c r="F7926" t="s">
        <v>15</v>
      </c>
      <c r="G7926">
        <v>3</v>
      </c>
      <c r="H7926">
        <v>24574.14</v>
      </c>
      <c r="I7926">
        <v>3569.61</v>
      </c>
      <c r="J7926" t="s">
        <v>71</v>
      </c>
      <c r="K7926" t="s">
        <v>17</v>
      </c>
      <c r="L7926">
        <f t="shared" si="369"/>
        <v>2024</v>
      </c>
      <c r="M7926" t="str">
        <f t="shared" si="370"/>
        <v>Nov</v>
      </c>
      <c r="N7926" s="2">
        <f t="shared" si="371"/>
        <v>0.14525879644211354</v>
      </c>
    </row>
    <row r="7927" spans="1:14" x14ac:dyDescent="0.45">
      <c r="A7927" t="s">
        <v>13247</v>
      </c>
      <c r="B7927" s="1">
        <v>45535</v>
      </c>
      <c r="C7927" t="s">
        <v>13248</v>
      </c>
      <c r="D7927" t="s">
        <v>26</v>
      </c>
      <c r="E7927" t="s">
        <v>36</v>
      </c>
      <c r="F7927" t="s">
        <v>64</v>
      </c>
      <c r="G7927">
        <v>1</v>
      </c>
      <c r="H7927">
        <v>41006.43</v>
      </c>
      <c r="I7927">
        <v>4716.58</v>
      </c>
      <c r="J7927" t="s">
        <v>71</v>
      </c>
      <c r="K7927" t="s">
        <v>33</v>
      </c>
      <c r="L7927">
        <f t="shared" si="369"/>
        <v>2024</v>
      </c>
      <c r="M7927" t="str">
        <f t="shared" si="370"/>
        <v>Aug</v>
      </c>
      <c r="N7927" s="2">
        <f t="shared" si="371"/>
        <v>0.1150204980048251</v>
      </c>
    </row>
    <row r="7928" spans="1:14" x14ac:dyDescent="0.45">
      <c r="A7928" t="s">
        <v>13249</v>
      </c>
      <c r="B7928" s="1">
        <v>44860</v>
      </c>
      <c r="C7928" t="s">
        <v>13250</v>
      </c>
      <c r="D7928" t="s">
        <v>56</v>
      </c>
      <c r="E7928" t="s">
        <v>14</v>
      </c>
      <c r="F7928" t="s">
        <v>32</v>
      </c>
      <c r="G7928">
        <v>3</v>
      </c>
      <c r="H7928">
        <v>2681.81</v>
      </c>
      <c r="I7928">
        <v>444</v>
      </c>
      <c r="J7928" t="s">
        <v>71</v>
      </c>
      <c r="K7928" t="s">
        <v>33</v>
      </c>
      <c r="L7928">
        <f t="shared" si="369"/>
        <v>2022</v>
      </c>
      <c r="M7928" t="str">
        <f t="shared" si="370"/>
        <v>Oct</v>
      </c>
      <c r="N7928" s="2">
        <f t="shared" si="371"/>
        <v>0.165559827131676</v>
      </c>
    </row>
    <row r="7929" spans="1:14" x14ac:dyDescent="0.45">
      <c r="A7929" t="s">
        <v>13251</v>
      </c>
      <c r="B7929" s="1">
        <v>45118</v>
      </c>
      <c r="C7929" t="s">
        <v>13252</v>
      </c>
      <c r="D7929" t="s">
        <v>13</v>
      </c>
      <c r="E7929" t="s">
        <v>20</v>
      </c>
      <c r="F7929" t="s">
        <v>43</v>
      </c>
      <c r="G7929">
        <v>1</v>
      </c>
      <c r="H7929">
        <v>25278.37</v>
      </c>
      <c r="I7929">
        <v>3353.53</v>
      </c>
      <c r="J7929" t="s">
        <v>47</v>
      </c>
      <c r="K7929" t="s">
        <v>33</v>
      </c>
      <c r="L7929">
        <f t="shared" si="369"/>
        <v>2023</v>
      </c>
      <c r="M7929" t="str">
        <f t="shared" si="370"/>
        <v>Jul</v>
      </c>
      <c r="N7929" s="2">
        <f t="shared" si="371"/>
        <v>0.13266401275082215</v>
      </c>
    </row>
    <row r="7930" spans="1:14" x14ac:dyDescent="0.45">
      <c r="A7930" t="s">
        <v>13253</v>
      </c>
      <c r="B7930" s="1">
        <v>45379</v>
      </c>
      <c r="C7930" t="s">
        <v>9116</v>
      </c>
      <c r="D7930" t="s">
        <v>56</v>
      </c>
      <c r="E7930" t="s">
        <v>14</v>
      </c>
      <c r="F7930" t="s">
        <v>40</v>
      </c>
      <c r="G7930">
        <v>5</v>
      </c>
      <c r="H7930">
        <v>11621.78</v>
      </c>
      <c r="I7930">
        <v>1876.09</v>
      </c>
      <c r="J7930" t="s">
        <v>22</v>
      </c>
      <c r="K7930" t="s">
        <v>23</v>
      </c>
      <c r="L7930">
        <f t="shared" si="369"/>
        <v>2024</v>
      </c>
      <c r="M7930" t="str">
        <f t="shared" si="370"/>
        <v>Mar</v>
      </c>
      <c r="N7930" s="2">
        <f t="shared" si="371"/>
        <v>0.16142880006332935</v>
      </c>
    </row>
    <row r="7931" spans="1:14" x14ac:dyDescent="0.45">
      <c r="A7931" t="s">
        <v>13254</v>
      </c>
      <c r="B7931" s="1">
        <v>45084</v>
      </c>
      <c r="C7931" t="s">
        <v>6872</v>
      </c>
      <c r="D7931" t="s">
        <v>13</v>
      </c>
      <c r="E7931" t="s">
        <v>14</v>
      </c>
      <c r="F7931" t="s">
        <v>32</v>
      </c>
      <c r="G7931">
        <v>5</v>
      </c>
      <c r="H7931">
        <v>28898.57</v>
      </c>
      <c r="I7931">
        <v>6973.99</v>
      </c>
      <c r="J7931" t="s">
        <v>16</v>
      </c>
      <c r="K7931" t="s">
        <v>33</v>
      </c>
      <c r="L7931">
        <f t="shared" si="369"/>
        <v>2023</v>
      </c>
      <c r="M7931" t="str">
        <f t="shared" si="370"/>
        <v>Jun</v>
      </c>
      <c r="N7931" s="2">
        <f t="shared" si="371"/>
        <v>0.24132647393971396</v>
      </c>
    </row>
    <row r="7932" spans="1:14" x14ac:dyDescent="0.45">
      <c r="A7932" t="s">
        <v>13255</v>
      </c>
      <c r="B7932" s="1">
        <v>45628</v>
      </c>
      <c r="C7932" t="s">
        <v>7381</v>
      </c>
      <c r="D7932" t="s">
        <v>26</v>
      </c>
      <c r="E7932" t="s">
        <v>20</v>
      </c>
      <c r="F7932" t="s">
        <v>50</v>
      </c>
      <c r="G7932">
        <v>1</v>
      </c>
      <c r="H7932">
        <v>39156.32</v>
      </c>
      <c r="I7932">
        <v>8675.73</v>
      </c>
      <c r="J7932" t="s">
        <v>71</v>
      </c>
      <c r="K7932" t="s">
        <v>33</v>
      </c>
      <c r="L7932">
        <f t="shared" si="369"/>
        <v>2024</v>
      </c>
      <c r="M7932" t="str">
        <f t="shared" si="370"/>
        <v>Dec</v>
      </c>
      <c r="N7932" s="2">
        <f t="shared" si="371"/>
        <v>0.22156653127770945</v>
      </c>
    </row>
    <row r="7933" spans="1:14" x14ac:dyDescent="0.45">
      <c r="A7933" t="s">
        <v>13256</v>
      </c>
      <c r="B7933" s="1">
        <v>45145</v>
      </c>
      <c r="C7933" t="s">
        <v>2795</v>
      </c>
      <c r="D7933" t="s">
        <v>13</v>
      </c>
      <c r="E7933" t="s">
        <v>36</v>
      </c>
      <c r="F7933" t="s">
        <v>64</v>
      </c>
      <c r="G7933">
        <v>1</v>
      </c>
      <c r="H7933">
        <v>26902.91</v>
      </c>
      <c r="I7933">
        <v>5932.45</v>
      </c>
      <c r="J7933" t="s">
        <v>47</v>
      </c>
      <c r="K7933" t="s">
        <v>23</v>
      </c>
      <c r="L7933">
        <f t="shared" si="369"/>
        <v>2023</v>
      </c>
      <c r="M7933" t="str">
        <f t="shared" si="370"/>
        <v>Aug</v>
      </c>
      <c r="N7933" s="2">
        <f t="shared" si="371"/>
        <v>0.22051331993453496</v>
      </c>
    </row>
    <row r="7934" spans="1:14" x14ac:dyDescent="0.45">
      <c r="A7934" t="s">
        <v>13257</v>
      </c>
      <c r="B7934" s="1">
        <v>44918</v>
      </c>
      <c r="C7934" t="s">
        <v>13258</v>
      </c>
      <c r="D7934" t="s">
        <v>13</v>
      </c>
      <c r="E7934" t="s">
        <v>20</v>
      </c>
      <c r="F7934" t="s">
        <v>43</v>
      </c>
      <c r="G7934">
        <v>3</v>
      </c>
      <c r="H7934">
        <v>9195.35</v>
      </c>
      <c r="I7934">
        <v>1213.02</v>
      </c>
      <c r="J7934" t="s">
        <v>28</v>
      </c>
      <c r="K7934" t="s">
        <v>23</v>
      </c>
      <c r="L7934">
        <f t="shared" si="369"/>
        <v>2022</v>
      </c>
      <c r="M7934" t="str">
        <f t="shared" si="370"/>
        <v>Dec</v>
      </c>
      <c r="N7934" s="2">
        <f t="shared" si="371"/>
        <v>0.13191667527609063</v>
      </c>
    </row>
    <row r="7935" spans="1:14" x14ac:dyDescent="0.45">
      <c r="A7935" t="s">
        <v>13259</v>
      </c>
      <c r="B7935" s="1">
        <v>45144</v>
      </c>
      <c r="C7935" t="s">
        <v>13260</v>
      </c>
      <c r="D7935" t="s">
        <v>56</v>
      </c>
      <c r="E7935" t="s">
        <v>36</v>
      </c>
      <c r="F7935" t="s">
        <v>37</v>
      </c>
      <c r="G7935">
        <v>4</v>
      </c>
      <c r="H7935">
        <v>27943.07</v>
      </c>
      <c r="I7935">
        <v>6949.36</v>
      </c>
      <c r="J7935" t="s">
        <v>16</v>
      </c>
      <c r="K7935" t="s">
        <v>29</v>
      </c>
      <c r="L7935">
        <f t="shared" si="369"/>
        <v>2023</v>
      </c>
      <c r="M7935" t="str">
        <f t="shared" si="370"/>
        <v>Aug</v>
      </c>
      <c r="N7935" s="2">
        <f t="shared" si="371"/>
        <v>0.24869708303346769</v>
      </c>
    </row>
    <row r="7936" spans="1:14" x14ac:dyDescent="0.45">
      <c r="A7936" t="s">
        <v>13261</v>
      </c>
      <c r="B7936" s="1">
        <v>44967</v>
      </c>
      <c r="C7936" t="s">
        <v>2031</v>
      </c>
      <c r="D7936" t="s">
        <v>56</v>
      </c>
      <c r="E7936" t="s">
        <v>14</v>
      </c>
      <c r="F7936" t="s">
        <v>32</v>
      </c>
      <c r="G7936">
        <v>3</v>
      </c>
      <c r="H7936">
        <v>12633.55</v>
      </c>
      <c r="I7936">
        <v>2419.0700000000002</v>
      </c>
      <c r="J7936" t="s">
        <v>16</v>
      </c>
      <c r="K7936" t="s">
        <v>23</v>
      </c>
      <c r="L7936">
        <f t="shared" si="369"/>
        <v>2023</v>
      </c>
      <c r="M7936" t="str">
        <f t="shared" si="370"/>
        <v>Feb</v>
      </c>
      <c r="N7936" s="2">
        <f t="shared" si="371"/>
        <v>0.19147982950160489</v>
      </c>
    </row>
    <row r="7937" spans="1:14" x14ac:dyDescent="0.45">
      <c r="A7937" t="s">
        <v>13262</v>
      </c>
      <c r="B7937" s="1">
        <v>45071</v>
      </c>
      <c r="C7937" t="s">
        <v>13263</v>
      </c>
      <c r="D7937" t="s">
        <v>26</v>
      </c>
      <c r="E7937" t="s">
        <v>20</v>
      </c>
      <c r="F7937" t="s">
        <v>50</v>
      </c>
      <c r="G7937">
        <v>4</v>
      </c>
      <c r="H7937">
        <v>20313.84</v>
      </c>
      <c r="I7937">
        <v>3931.26</v>
      </c>
      <c r="J7937" t="s">
        <v>28</v>
      </c>
      <c r="K7937" t="s">
        <v>29</v>
      </c>
      <c r="L7937">
        <f t="shared" si="369"/>
        <v>2023</v>
      </c>
      <c r="M7937" t="str">
        <f t="shared" si="370"/>
        <v>May</v>
      </c>
      <c r="N7937" s="2">
        <f t="shared" si="371"/>
        <v>0.19352618707245897</v>
      </c>
    </row>
    <row r="7938" spans="1:14" x14ac:dyDescent="0.45">
      <c r="A7938" t="s">
        <v>13264</v>
      </c>
      <c r="B7938" s="1">
        <v>45567</v>
      </c>
      <c r="C7938" t="s">
        <v>13265</v>
      </c>
      <c r="D7938" t="s">
        <v>13</v>
      </c>
      <c r="E7938" t="s">
        <v>20</v>
      </c>
      <c r="F7938" t="s">
        <v>27</v>
      </c>
      <c r="G7938">
        <v>1</v>
      </c>
      <c r="H7938">
        <v>26578.13</v>
      </c>
      <c r="I7938">
        <v>5989.29</v>
      </c>
      <c r="J7938" t="s">
        <v>28</v>
      </c>
      <c r="K7938" t="s">
        <v>17</v>
      </c>
      <c r="L7938">
        <f t="shared" si="369"/>
        <v>2024</v>
      </c>
      <c r="M7938" t="str">
        <f t="shared" si="370"/>
        <v>Oct</v>
      </c>
      <c r="N7938" s="2">
        <f t="shared" si="371"/>
        <v>0.22534655372669182</v>
      </c>
    </row>
    <row r="7939" spans="1:14" x14ac:dyDescent="0.45">
      <c r="A7939" t="s">
        <v>13266</v>
      </c>
      <c r="B7939" s="1">
        <v>45023</v>
      </c>
      <c r="C7939" t="s">
        <v>9343</v>
      </c>
      <c r="D7939" t="s">
        <v>13</v>
      </c>
      <c r="E7939" t="s">
        <v>14</v>
      </c>
      <c r="F7939" t="s">
        <v>40</v>
      </c>
      <c r="G7939">
        <v>5</v>
      </c>
      <c r="H7939">
        <v>32284.42</v>
      </c>
      <c r="I7939">
        <v>7701.16</v>
      </c>
      <c r="J7939" t="s">
        <v>16</v>
      </c>
      <c r="K7939" t="s">
        <v>29</v>
      </c>
      <c r="L7939">
        <f t="shared" ref="L7939:L8002" si="372">YEAR(B7939 )</f>
        <v>2023</v>
      </c>
      <c r="M7939" t="str">
        <f t="shared" ref="M7939:M8002" si="373">TEXT(B7939,"MMM")</f>
        <v>Apr</v>
      </c>
      <c r="N7939" s="2">
        <f t="shared" ref="N7939:N8002" si="374">I7939 / H7939</f>
        <v>0.23854106717729481</v>
      </c>
    </row>
    <row r="7940" spans="1:14" x14ac:dyDescent="0.45">
      <c r="A7940" t="s">
        <v>13267</v>
      </c>
      <c r="B7940" s="1">
        <v>45286</v>
      </c>
      <c r="C7940" t="s">
        <v>7128</v>
      </c>
      <c r="D7940" t="s">
        <v>56</v>
      </c>
      <c r="E7940" t="s">
        <v>36</v>
      </c>
      <c r="F7940" t="s">
        <v>53</v>
      </c>
      <c r="G7940">
        <v>3</v>
      </c>
      <c r="H7940">
        <v>9560.3799999999992</v>
      </c>
      <c r="I7940">
        <v>1567.17</v>
      </c>
      <c r="J7940" t="s">
        <v>28</v>
      </c>
      <c r="K7940" t="s">
        <v>23</v>
      </c>
      <c r="L7940">
        <f t="shared" si="372"/>
        <v>2023</v>
      </c>
      <c r="M7940" t="str">
        <f t="shared" si="373"/>
        <v>Dec</v>
      </c>
      <c r="N7940" s="2">
        <f t="shared" si="374"/>
        <v>0.16392340053428842</v>
      </c>
    </row>
    <row r="7941" spans="1:14" x14ac:dyDescent="0.45">
      <c r="A7941" t="s">
        <v>13268</v>
      </c>
      <c r="B7941" s="1">
        <v>45106</v>
      </c>
      <c r="C7941" t="s">
        <v>12697</v>
      </c>
      <c r="D7941" t="s">
        <v>56</v>
      </c>
      <c r="E7941" t="s">
        <v>20</v>
      </c>
      <c r="F7941" t="s">
        <v>50</v>
      </c>
      <c r="G7941">
        <v>4</v>
      </c>
      <c r="H7941">
        <v>41728.49</v>
      </c>
      <c r="I7941">
        <v>2406.66</v>
      </c>
      <c r="J7941" t="s">
        <v>16</v>
      </c>
      <c r="K7941" t="s">
        <v>33</v>
      </c>
      <c r="L7941">
        <f t="shared" si="372"/>
        <v>2023</v>
      </c>
      <c r="M7941" t="str">
        <f t="shared" si="373"/>
        <v>Jun</v>
      </c>
      <c r="N7941" s="2">
        <f t="shared" si="374"/>
        <v>5.7674265232219045E-2</v>
      </c>
    </row>
    <row r="7942" spans="1:14" x14ac:dyDescent="0.45">
      <c r="A7942" t="s">
        <v>13269</v>
      </c>
      <c r="B7942" s="1">
        <v>45404</v>
      </c>
      <c r="C7942" t="s">
        <v>13270</v>
      </c>
      <c r="D7942" t="s">
        <v>56</v>
      </c>
      <c r="E7942" t="s">
        <v>14</v>
      </c>
      <c r="F7942" t="s">
        <v>40</v>
      </c>
      <c r="G7942">
        <v>3</v>
      </c>
      <c r="H7942">
        <v>3174.49</v>
      </c>
      <c r="I7942">
        <v>470.24</v>
      </c>
      <c r="J7942" t="s">
        <v>22</v>
      </c>
      <c r="K7942" t="s">
        <v>33</v>
      </c>
      <c r="L7942">
        <f t="shared" si="372"/>
        <v>2024</v>
      </c>
      <c r="M7942" t="str">
        <f t="shared" si="373"/>
        <v>Apr</v>
      </c>
      <c r="N7942" s="2">
        <f t="shared" si="374"/>
        <v>0.14813088086590287</v>
      </c>
    </row>
    <row r="7943" spans="1:14" x14ac:dyDescent="0.45">
      <c r="A7943" t="s">
        <v>13271</v>
      </c>
      <c r="B7943" s="1">
        <v>45383</v>
      </c>
      <c r="C7943" t="s">
        <v>13272</v>
      </c>
      <c r="D7943" t="s">
        <v>13</v>
      </c>
      <c r="E7943" t="s">
        <v>20</v>
      </c>
      <c r="F7943" t="s">
        <v>21</v>
      </c>
      <c r="G7943">
        <v>5</v>
      </c>
      <c r="H7943">
        <v>16803.32</v>
      </c>
      <c r="I7943">
        <v>3856.32</v>
      </c>
      <c r="J7943" t="s">
        <v>71</v>
      </c>
      <c r="K7943" t="s">
        <v>33</v>
      </c>
      <c r="L7943">
        <f t="shared" si="372"/>
        <v>2024</v>
      </c>
      <c r="M7943" t="str">
        <f t="shared" si="373"/>
        <v>Apr</v>
      </c>
      <c r="N7943" s="2">
        <f t="shared" si="374"/>
        <v>0.22949750406467295</v>
      </c>
    </row>
    <row r="7944" spans="1:14" x14ac:dyDescent="0.45">
      <c r="A7944" t="s">
        <v>13273</v>
      </c>
      <c r="B7944" s="1">
        <v>44966</v>
      </c>
      <c r="C7944" t="s">
        <v>13274</v>
      </c>
      <c r="D7944" t="s">
        <v>26</v>
      </c>
      <c r="E7944" t="s">
        <v>20</v>
      </c>
      <c r="F7944" t="s">
        <v>21</v>
      </c>
      <c r="G7944">
        <v>2</v>
      </c>
      <c r="H7944">
        <v>10853.78</v>
      </c>
      <c r="I7944">
        <v>641.49</v>
      </c>
      <c r="J7944" t="s">
        <v>47</v>
      </c>
      <c r="K7944" t="s">
        <v>17</v>
      </c>
      <c r="L7944">
        <f t="shared" si="372"/>
        <v>2023</v>
      </c>
      <c r="M7944" t="str">
        <f t="shared" si="373"/>
        <v>Feb</v>
      </c>
      <c r="N7944" s="2">
        <f t="shared" si="374"/>
        <v>5.9102911612359928E-2</v>
      </c>
    </row>
    <row r="7945" spans="1:14" x14ac:dyDescent="0.45">
      <c r="A7945" t="s">
        <v>13275</v>
      </c>
      <c r="B7945" s="1">
        <v>45583</v>
      </c>
      <c r="C7945" t="s">
        <v>13276</v>
      </c>
      <c r="D7945" t="s">
        <v>26</v>
      </c>
      <c r="E7945" t="s">
        <v>20</v>
      </c>
      <c r="F7945" t="s">
        <v>43</v>
      </c>
      <c r="G7945">
        <v>5</v>
      </c>
      <c r="H7945">
        <v>31798.06</v>
      </c>
      <c r="I7945">
        <v>6587.9</v>
      </c>
      <c r="J7945" t="s">
        <v>71</v>
      </c>
      <c r="K7945" t="s">
        <v>23</v>
      </c>
      <c r="L7945">
        <f t="shared" si="372"/>
        <v>2024</v>
      </c>
      <c r="M7945" t="str">
        <f t="shared" si="373"/>
        <v>Oct</v>
      </c>
      <c r="N7945" s="2">
        <f t="shared" si="374"/>
        <v>0.20717930590734149</v>
      </c>
    </row>
    <row r="7946" spans="1:14" x14ac:dyDescent="0.45">
      <c r="A7946" t="s">
        <v>13277</v>
      </c>
      <c r="B7946" s="1">
        <v>45224</v>
      </c>
      <c r="C7946" t="s">
        <v>13278</v>
      </c>
      <c r="D7946" t="s">
        <v>13</v>
      </c>
      <c r="E7946" t="s">
        <v>20</v>
      </c>
      <c r="F7946" t="s">
        <v>21</v>
      </c>
      <c r="G7946">
        <v>5</v>
      </c>
      <c r="H7946">
        <v>34200.83</v>
      </c>
      <c r="I7946">
        <v>7975.77</v>
      </c>
      <c r="J7946" t="s">
        <v>22</v>
      </c>
      <c r="K7946" t="s">
        <v>29</v>
      </c>
      <c r="L7946">
        <f t="shared" si="372"/>
        <v>2023</v>
      </c>
      <c r="M7946" t="str">
        <f t="shared" si="373"/>
        <v>Oct</v>
      </c>
      <c r="N7946" s="2">
        <f t="shared" si="374"/>
        <v>0.23320398949382223</v>
      </c>
    </row>
    <row r="7947" spans="1:14" x14ac:dyDescent="0.45">
      <c r="A7947" t="s">
        <v>13279</v>
      </c>
      <c r="B7947" s="1">
        <v>45101</v>
      </c>
      <c r="C7947" t="s">
        <v>12850</v>
      </c>
      <c r="D7947" t="s">
        <v>56</v>
      </c>
      <c r="E7947" t="s">
        <v>20</v>
      </c>
      <c r="F7947" t="s">
        <v>50</v>
      </c>
      <c r="G7947">
        <v>1</v>
      </c>
      <c r="H7947">
        <v>24922.87</v>
      </c>
      <c r="I7947">
        <v>2203.52</v>
      </c>
      <c r="J7947" t="s">
        <v>16</v>
      </c>
      <c r="K7947" t="s">
        <v>17</v>
      </c>
      <c r="L7947">
        <f t="shared" si="372"/>
        <v>2023</v>
      </c>
      <c r="M7947" t="str">
        <f t="shared" si="373"/>
        <v>Jun</v>
      </c>
      <c r="N7947" s="2">
        <f t="shared" si="374"/>
        <v>8.8413573557138483E-2</v>
      </c>
    </row>
    <row r="7948" spans="1:14" x14ac:dyDescent="0.45">
      <c r="A7948" t="s">
        <v>13280</v>
      </c>
      <c r="B7948" s="1">
        <v>44684</v>
      </c>
      <c r="C7948" t="s">
        <v>4651</v>
      </c>
      <c r="D7948" t="s">
        <v>56</v>
      </c>
      <c r="E7948" t="s">
        <v>14</v>
      </c>
      <c r="F7948" t="s">
        <v>32</v>
      </c>
      <c r="G7948">
        <v>4</v>
      </c>
      <c r="H7948">
        <v>13741.08</v>
      </c>
      <c r="I7948">
        <v>2830.52</v>
      </c>
      <c r="J7948" t="s">
        <v>16</v>
      </c>
      <c r="K7948" t="s">
        <v>33</v>
      </c>
      <c r="L7948">
        <f t="shared" si="372"/>
        <v>2022</v>
      </c>
      <c r="M7948" t="str">
        <f t="shared" si="373"/>
        <v>May</v>
      </c>
      <c r="N7948" s="2">
        <f t="shared" si="374"/>
        <v>0.20598963109158813</v>
      </c>
    </row>
    <row r="7949" spans="1:14" x14ac:dyDescent="0.45">
      <c r="A7949" t="s">
        <v>13281</v>
      </c>
      <c r="B7949" s="1">
        <v>44711</v>
      </c>
      <c r="C7949" t="s">
        <v>13282</v>
      </c>
      <c r="D7949" t="s">
        <v>56</v>
      </c>
      <c r="E7949" t="s">
        <v>14</v>
      </c>
      <c r="F7949" t="s">
        <v>15</v>
      </c>
      <c r="G7949">
        <v>5</v>
      </c>
      <c r="H7949">
        <v>3228.26</v>
      </c>
      <c r="I7949">
        <v>806.53</v>
      </c>
      <c r="J7949" t="s">
        <v>22</v>
      </c>
      <c r="K7949" t="s">
        <v>33</v>
      </c>
      <c r="L7949">
        <f t="shared" si="372"/>
        <v>2022</v>
      </c>
      <c r="M7949" t="str">
        <f t="shared" si="373"/>
        <v>May</v>
      </c>
      <c r="N7949" s="2">
        <f t="shared" si="374"/>
        <v>0.24983427604963662</v>
      </c>
    </row>
    <row r="7950" spans="1:14" x14ac:dyDescent="0.45">
      <c r="A7950" t="s">
        <v>13283</v>
      </c>
      <c r="B7950" s="1">
        <v>44972</v>
      </c>
      <c r="C7950" t="s">
        <v>3104</v>
      </c>
      <c r="D7950" t="s">
        <v>56</v>
      </c>
      <c r="E7950" t="s">
        <v>20</v>
      </c>
      <c r="F7950" t="s">
        <v>21</v>
      </c>
      <c r="G7950">
        <v>2</v>
      </c>
      <c r="H7950">
        <v>16405.669999999998</v>
      </c>
      <c r="I7950">
        <v>2368.2800000000002</v>
      </c>
      <c r="J7950" t="s">
        <v>28</v>
      </c>
      <c r="K7950" t="s">
        <v>33</v>
      </c>
      <c r="L7950">
        <f t="shared" si="372"/>
        <v>2023</v>
      </c>
      <c r="M7950" t="str">
        <f t="shared" si="373"/>
        <v>Feb</v>
      </c>
      <c r="N7950" s="2">
        <f t="shared" si="374"/>
        <v>0.14435740813999065</v>
      </c>
    </row>
    <row r="7951" spans="1:14" x14ac:dyDescent="0.45">
      <c r="A7951" t="s">
        <v>13284</v>
      </c>
      <c r="B7951" s="1">
        <v>44757</v>
      </c>
      <c r="C7951" t="s">
        <v>8427</v>
      </c>
      <c r="D7951" t="s">
        <v>13</v>
      </c>
      <c r="E7951" t="s">
        <v>14</v>
      </c>
      <c r="F7951" t="s">
        <v>40</v>
      </c>
      <c r="G7951">
        <v>5</v>
      </c>
      <c r="H7951">
        <v>48754.45</v>
      </c>
      <c r="I7951">
        <v>5209.3100000000004</v>
      </c>
      <c r="J7951" t="s">
        <v>16</v>
      </c>
      <c r="K7951" t="s">
        <v>17</v>
      </c>
      <c r="L7951">
        <f t="shared" si="372"/>
        <v>2022</v>
      </c>
      <c r="M7951" t="str">
        <f t="shared" si="373"/>
        <v>Jul</v>
      </c>
      <c r="N7951" s="2">
        <f t="shared" si="374"/>
        <v>0.10684788773127378</v>
      </c>
    </row>
    <row r="7952" spans="1:14" x14ac:dyDescent="0.45">
      <c r="A7952" t="s">
        <v>13285</v>
      </c>
      <c r="B7952" s="1">
        <v>44700</v>
      </c>
      <c r="C7952" t="s">
        <v>13286</v>
      </c>
      <c r="D7952" t="s">
        <v>13</v>
      </c>
      <c r="E7952" t="s">
        <v>14</v>
      </c>
      <c r="F7952" t="s">
        <v>57</v>
      </c>
      <c r="G7952">
        <v>2</v>
      </c>
      <c r="H7952">
        <v>2579.86</v>
      </c>
      <c r="I7952">
        <v>565.99</v>
      </c>
      <c r="J7952" t="s">
        <v>71</v>
      </c>
      <c r="K7952" t="s">
        <v>33</v>
      </c>
      <c r="L7952">
        <f t="shared" si="372"/>
        <v>2022</v>
      </c>
      <c r="M7952" t="str">
        <f t="shared" si="373"/>
        <v>May</v>
      </c>
      <c r="N7952" s="2">
        <f t="shared" si="374"/>
        <v>0.21938787376059166</v>
      </c>
    </row>
    <row r="7953" spans="1:14" x14ac:dyDescent="0.45">
      <c r="A7953" t="s">
        <v>13287</v>
      </c>
      <c r="B7953" s="1">
        <v>44864</v>
      </c>
      <c r="C7953" t="s">
        <v>13288</v>
      </c>
      <c r="D7953" t="s">
        <v>26</v>
      </c>
      <c r="E7953" t="s">
        <v>20</v>
      </c>
      <c r="F7953" t="s">
        <v>43</v>
      </c>
      <c r="G7953">
        <v>2</v>
      </c>
      <c r="H7953">
        <v>10265.98</v>
      </c>
      <c r="I7953">
        <v>2025.52</v>
      </c>
      <c r="J7953" t="s">
        <v>47</v>
      </c>
      <c r="K7953" t="s">
        <v>29</v>
      </c>
      <c r="L7953">
        <f t="shared" si="372"/>
        <v>2022</v>
      </c>
      <c r="M7953" t="str">
        <f t="shared" si="373"/>
        <v>Oct</v>
      </c>
      <c r="N7953" s="2">
        <f t="shared" si="374"/>
        <v>0.1973041054044524</v>
      </c>
    </row>
    <row r="7954" spans="1:14" x14ac:dyDescent="0.45">
      <c r="A7954" t="s">
        <v>13289</v>
      </c>
      <c r="B7954" s="1">
        <v>45295</v>
      </c>
      <c r="C7954" t="s">
        <v>10248</v>
      </c>
      <c r="D7954" t="s">
        <v>13</v>
      </c>
      <c r="E7954" t="s">
        <v>20</v>
      </c>
      <c r="F7954" t="s">
        <v>50</v>
      </c>
      <c r="G7954">
        <v>4</v>
      </c>
      <c r="H7954">
        <v>29037.759999999998</v>
      </c>
      <c r="I7954">
        <v>4756.7299999999996</v>
      </c>
      <c r="J7954" t="s">
        <v>16</v>
      </c>
      <c r="K7954" t="s">
        <v>23</v>
      </c>
      <c r="L7954">
        <f t="shared" si="372"/>
        <v>2024</v>
      </c>
      <c r="M7954" t="str">
        <f t="shared" si="373"/>
        <v>Jan</v>
      </c>
      <c r="N7954" s="2">
        <f t="shared" si="374"/>
        <v>0.16381187805119954</v>
      </c>
    </row>
    <row r="7955" spans="1:14" x14ac:dyDescent="0.45">
      <c r="A7955" t="s">
        <v>13290</v>
      </c>
      <c r="B7955" s="1">
        <v>45134</v>
      </c>
      <c r="C7955" t="s">
        <v>11321</v>
      </c>
      <c r="D7955" t="s">
        <v>56</v>
      </c>
      <c r="E7955" t="s">
        <v>14</v>
      </c>
      <c r="F7955" t="s">
        <v>15</v>
      </c>
      <c r="G7955">
        <v>5</v>
      </c>
      <c r="H7955">
        <v>1219.8699999999999</v>
      </c>
      <c r="I7955">
        <v>159.77000000000001</v>
      </c>
      <c r="J7955" t="s">
        <v>28</v>
      </c>
      <c r="K7955" t="s">
        <v>29</v>
      </c>
      <c r="L7955">
        <f t="shared" si="372"/>
        <v>2023</v>
      </c>
      <c r="M7955" t="str">
        <f t="shared" si="373"/>
        <v>Jul</v>
      </c>
      <c r="N7955" s="2">
        <f t="shared" si="374"/>
        <v>0.13097297252985976</v>
      </c>
    </row>
    <row r="7956" spans="1:14" x14ac:dyDescent="0.45">
      <c r="A7956" t="s">
        <v>13291</v>
      </c>
      <c r="B7956" s="1">
        <v>45460</v>
      </c>
      <c r="C7956" t="s">
        <v>13292</v>
      </c>
      <c r="D7956" t="s">
        <v>13</v>
      </c>
      <c r="E7956" t="s">
        <v>36</v>
      </c>
      <c r="F7956" t="s">
        <v>46</v>
      </c>
      <c r="G7956">
        <v>2</v>
      </c>
      <c r="H7956">
        <v>5168.4399999999996</v>
      </c>
      <c r="I7956">
        <v>429.55</v>
      </c>
      <c r="J7956" t="s">
        <v>71</v>
      </c>
      <c r="K7956" t="s">
        <v>33</v>
      </c>
      <c r="L7956">
        <f t="shared" si="372"/>
        <v>2024</v>
      </c>
      <c r="M7956" t="str">
        <f t="shared" si="373"/>
        <v>Jun</v>
      </c>
      <c r="N7956" s="2">
        <f t="shared" si="374"/>
        <v>8.3110184117451302E-2</v>
      </c>
    </row>
    <row r="7957" spans="1:14" x14ac:dyDescent="0.45">
      <c r="A7957" t="s">
        <v>13293</v>
      </c>
      <c r="B7957" s="1">
        <v>45611</v>
      </c>
      <c r="C7957" t="s">
        <v>13294</v>
      </c>
      <c r="D7957" t="s">
        <v>56</v>
      </c>
      <c r="E7957" t="s">
        <v>36</v>
      </c>
      <c r="F7957" t="s">
        <v>64</v>
      </c>
      <c r="G7957">
        <v>1</v>
      </c>
      <c r="H7957">
        <v>46650.67</v>
      </c>
      <c r="I7957">
        <v>10989.24</v>
      </c>
      <c r="J7957" t="s">
        <v>16</v>
      </c>
      <c r="K7957" t="s">
        <v>29</v>
      </c>
      <c r="L7957">
        <f t="shared" si="372"/>
        <v>2024</v>
      </c>
      <c r="M7957" t="str">
        <f t="shared" si="373"/>
        <v>Nov</v>
      </c>
      <c r="N7957" s="2">
        <f t="shared" si="374"/>
        <v>0.23556446241822465</v>
      </c>
    </row>
    <row r="7958" spans="1:14" x14ac:dyDescent="0.45">
      <c r="A7958" t="s">
        <v>13295</v>
      </c>
      <c r="B7958" s="1">
        <v>44787</v>
      </c>
      <c r="C7958" t="s">
        <v>1094</v>
      </c>
      <c r="D7958" t="s">
        <v>56</v>
      </c>
      <c r="E7958" t="s">
        <v>20</v>
      </c>
      <c r="F7958" t="s">
        <v>43</v>
      </c>
      <c r="G7958">
        <v>1</v>
      </c>
      <c r="H7958">
        <v>7697.94</v>
      </c>
      <c r="I7958">
        <v>1899.37</v>
      </c>
      <c r="J7958" t="s">
        <v>22</v>
      </c>
      <c r="K7958" t="s">
        <v>23</v>
      </c>
      <c r="L7958">
        <f t="shared" si="372"/>
        <v>2022</v>
      </c>
      <c r="M7958" t="str">
        <f t="shared" si="373"/>
        <v>Aug</v>
      </c>
      <c r="N7958" s="2">
        <f t="shared" si="374"/>
        <v>0.24673743884727603</v>
      </c>
    </row>
    <row r="7959" spans="1:14" x14ac:dyDescent="0.45">
      <c r="A7959" t="s">
        <v>13296</v>
      </c>
      <c r="B7959" s="1">
        <v>45632</v>
      </c>
      <c r="C7959" t="s">
        <v>13297</v>
      </c>
      <c r="D7959" t="s">
        <v>26</v>
      </c>
      <c r="E7959" t="s">
        <v>36</v>
      </c>
      <c r="F7959" t="s">
        <v>53</v>
      </c>
      <c r="G7959">
        <v>5</v>
      </c>
      <c r="H7959">
        <v>12526.13</v>
      </c>
      <c r="I7959">
        <v>2077.8000000000002</v>
      </c>
      <c r="J7959" t="s">
        <v>47</v>
      </c>
      <c r="K7959" t="s">
        <v>23</v>
      </c>
      <c r="L7959">
        <f t="shared" si="372"/>
        <v>2024</v>
      </c>
      <c r="M7959" t="str">
        <f t="shared" si="373"/>
        <v>Dec</v>
      </c>
      <c r="N7959" s="2">
        <f t="shared" si="374"/>
        <v>0.1658772501961899</v>
      </c>
    </row>
    <row r="7960" spans="1:14" x14ac:dyDescent="0.45">
      <c r="A7960" t="s">
        <v>13298</v>
      </c>
      <c r="B7960" s="1">
        <v>45247</v>
      </c>
      <c r="C7960" t="s">
        <v>8621</v>
      </c>
      <c r="D7960" t="s">
        <v>56</v>
      </c>
      <c r="E7960" t="s">
        <v>20</v>
      </c>
      <c r="F7960" t="s">
        <v>21</v>
      </c>
      <c r="G7960">
        <v>5</v>
      </c>
      <c r="H7960">
        <v>48170.65</v>
      </c>
      <c r="I7960">
        <v>11381.34</v>
      </c>
      <c r="J7960" t="s">
        <v>22</v>
      </c>
      <c r="K7960" t="s">
        <v>23</v>
      </c>
      <c r="L7960">
        <f t="shared" si="372"/>
        <v>2023</v>
      </c>
      <c r="M7960" t="str">
        <f t="shared" si="373"/>
        <v>Nov</v>
      </c>
      <c r="N7960" s="2">
        <f t="shared" si="374"/>
        <v>0.23627125646010588</v>
      </c>
    </row>
    <row r="7961" spans="1:14" x14ac:dyDescent="0.45">
      <c r="A7961" t="s">
        <v>13299</v>
      </c>
      <c r="B7961" s="1">
        <v>45564</v>
      </c>
      <c r="C7961" t="s">
        <v>13300</v>
      </c>
      <c r="D7961" t="s">
        <v>26</v>
      </c>
      <c r="E7961" t="s">
        <v>20</v>
      </c>
      <c r="F7961" t="s">
        <v>50</v>
      </c>
      <c r="G7961">
        <v>3</v>
      </c>
      <c r="H7961">
        <v>39512.910000000003</v>
      </c>
      <c r="I7961">
        <v>7917.49</v>
      </c>
      <c r="J7961" t="s">
        <v>71</v>
      </c>
      <c r="K7961" t="s">
        <v>23</v>
      </c>
      <c r="L7961">
        <f t="shared" si="372"/>
        <v>2024</v>
      </c>
      <c r="M7961" t="str">
        <f t="shared" si="373"/>
        <v>Sep</v>
      </c>
      <c r="N7961" s="2">
        <f t="shared" si="374"/>
        <v>0.20037729440833385</v>
      </c>
    </row>
    <row r="7962" spans="1:14" x14ac:dyDescent="0.45">
      <c r="A7962" t="s">
        <v>13301</v>
      </c>
      <c r="B7962" s="1">
        <v>44821</v>
      </c>
      <c r="C7962" t="s">
        <v>1232</v>
      </c>
      <c r="D7962" t="s">
        <v>13</v>
      </c>
      <c r="E7962" t="s">
        <v>36</v>
      </c>
      <c r="F7962" t="s">
        <v>37</v>
      </c>
      <c r="G7962">
        <v>2</v>
      </c>
      <c r="H7962">
        <v>41416.639999999999</v>
      </c>
      <c r="I7962">
        <v>9936.51</v>
      </c>
      <c r="J7962" t="s">
        <v>16</v>
      </c>
      <c r="K7962" t="s">
        <v>17</v>
      </c>
      <c r="L7962">
        <f t="shared" si="372"/>
        <v>2022</v>
      </c>
      <c r="M7962" t="str">
        <f t="shared" si="373"/>
        <v>Sep</v>
      </c>
      <c r="N7962" s="2">
        <f t="shared" si="374"/>
        <v>0.23991588887944557</v>
      </c>
    </row>
    <row r="7963" spans="1:14" x14ac:dyDescent="0.45">
      <c r="A7963" t="s">
        <v>13302</v>
      </c>
      <c r="B7963" s="1">
        <v>45609</v>
      </c>
      <c r="C7963" t="s">
        <v>3843</v>
      </c>
      <c r="D7963" t="s">
        <v>26</v>
      </c>
      <c r="E7963" t="s">
        <v>36</v>
      </c>
      <c r="F7963" t="s">
        <v>53</v>
      </c>
      <c r="G7963">
        <v>4</v>
      </c>
      <c r="H7963">
        <v>17825.560000000001</v>
      </c>
      <c r="I7963">
        <v>4171.6099999999997</v>
      </c>
      <c r="J7963" t="s">
        <v>71</v>
      </c>
      <c r="K7963" t="s">
        <v>33</v>
      </c>
      <c r="L7963">
        <f t="shared" si="372"/>
        <v>2024</v>
      </c>
      <c r="M7963" t="str">
        <f t="shared" si="373"/>
        <v>Nov</v>
      </c>
      <c r="N7963" s="2">
        <f t="shared" si="374"/>
        <v>0.23402406432112088</v>
      </c>
    </row>
    <row r="7964" spans="1:14" x14ac:dyDescent="0.45">
      <c r="A7964" t="s">
        <v>13303</v>
      </c>
      <c r="B7964" s="1">
        <v>45046</v>
      </c>
      <c r="C7964" t="s">
        <v>13304</v>
      </c>
      <c r="D7964" t="s">
        <v>13</v>
      </c>
      <c r="E7964" t="s">
        <v>20</v>
      </c>
      <c r="F7964" t="s">
        <v>21</v>
      </c>
      <c r="G7964">
        <v>3</v>
      </c>
      <c r="H7964">
        <v>25137.06</v>
      </c>
      <c r="I7964">
        <v>2847.89</v>
      </c>
      <c r="J7964" t="s">
        <v>47</v>
      </c>
      <c r="K7964" t="s">
        <v>23</v>
      </c>
      <c r="L7964">
        <f t="shared" si="372"/>
        <v>2023</v>
      </c>
      <c r="M7964" t="str">
        <f t="shared" si="373"/>
        <v>Apr</v>
      </c>
      <c r="N7964" s="2">
        <f t="shared" si="374"/>
        <v>0.11329447437369365</v>
      </c>
    </row>
    <row r="7965" spans="1:14" x14ac:dyDescent="0.45">
      <c r="A7965" t="s">
        <v>13305</v>
      </c>
      <c r="B7965" s="1">
        <v>44824</v>
      </c>
      <c r="C7965" t="s">
        <v>13306</v>
      </c>
      <c r="D7965" t="s">
        <v>56</v>
      </c>
      <c r="E7965" t="s">
        <v>36</v>
      </c>
      <c r="F7965" t="s">
        <v>37</v>
      </c>
      <c r="G7965">
        <v>5</v>
      </c>
      <c r="H7965">
        <v>23979.72</v>
      </c>
      <c r="I7965">
        <v>3761.27</v>
      </c>
      <c r="J7965" t="s">
        <v>22</v>
      </c>
      <c r="K7965" t="s">
        <v>29</v>
      </c>
      <c r="L7965">
        <f t="shared" si="372"/>
        <v>2022</v>
      </c>
      <c r="M7965" t="str">
        <f t="shared" si="373"/>
        <v>Sep</v>
      </c>
      <c r="N7965" s="2">
        <f t="shared" si="374"/>
        <v>0.15685212337758739</v>
      </c>
    </row>
    <row r="7966" spans="1:14" x14ac:dyDescent="0.45">
      <c r="A7966" t="s">
        <v>13307</v>
      </c>
      <c r="B7966" s="1">
        <v>45411</v>
      </c>
      <c r="C7966" t="s">
        <v>11528</v>
      </c>
      <c r="D7966" t="s">
        <v>56</v>
      </c>
      <c r="E7966" t="s">
        <v>20</v>
      </c>
      <c r="F7966" t="s">
        <v>21</v>
      </c>
      <c r="G7966">
        <v>1</v>
      </c>
      <c r="H7966">
        <v>36659.379999999997</v>
      </c>
      <c r="I7966">
        <v>2379.61</v>
      </c>
      <c r="J7966" t="s">
        <v>22</v>
      </c>
      <c r="K7966" t="s">
        <v>23</v>
      </c>
      <c r="L7966">
        <f t="shared" si="372"/>
        <v>2024</v>
      </c>
      <c r="M7966" t="str">
        <f t="shared" si="373"/>
        <v>Apr</v>
      </c>
      <c r="N7966" s="2">
        <f t="shared" si="374"/>
        <v>6.4911354201844115E-2</v>
      </c>
    </row>
    <row r="7967" spans="1:14" x14ac:dyDescent="0.45">
      <c r="A7967" t="s">
        <v>13308</v>
      </c>
      <c r="B7967" s="1">
        <v>45337</v>
      </c>
      <c r="C7967" t="s">
        <v>13309</v>
      </c>
      <c r="D7967" t="s">
        <v>56</v>
      </c>
      <c r="E7967" t="s">
        <v>20</v>
      </c>
      <c r="F7967" t="s">
        <v>27</v>
      </c>
      <c r="G7967">
        <v>1</v>
      </c>
      <c r="H7967">
        <v>45758.41</v>
      </c>
      <c r="I7967">
        <v>5664.59</v>
      </c>
      <c r="J7967" t="s">
        <v>16</v>
      </c>
      <c r="K7967" t="s">
        <v>33</v>
      </c>
      <c r="L7967">
        <f t="shared" si="372"/>
        <v>2024</v>
      </c>
      <c r="M7967" t="str">
        <f t="shared" si="373"/>
        <v>Feb</v>
      </c>
      <c r="N7967" s="2">
        <f t="shared" si="374"/>
        <v>0.12379341852131662</v>
      </c>
    </row>
    <row r="7968" spans="1:14" x14ac:dyDescent="0.45">
      <c r="A7968" t="s">
        <v>13310</v>
      </c>
      <c r="B7968" s="1">
        <v>45389</v>
      </c>
      <c r="C7968" t="s">
        <v>13311</v>
      </c>
      <c r="D7968" t="s">
        <v>26</v>
      </c>
      <c r="E7968" t="s">
        <v>20</v>
      </c>
      <c r="F7968" t="s">
        <v>27</v>
      </c>
      <c r="G7968">
        <v>1</v>
      </c>
      <c r="H7968">
        <v>2045.53</v>
      </c>
      <c r="I7968">
        <v>292.31</v>
      </c>
      <c r="J7968" t="s">
        <v>22</v>
      </c>
      <c r="K7968" t="s">
        <v>33</v>
      </c>
      <c r="L7968">
        <f t="shared" si="372"/>
        <v>2024</v>
      </c>
      <c r="M7968" t="str">
        <f t="shared" si="373"/>
        <v>Apr</v>
      </c>
      <c r="N7968" s="2">
        <f t="shared" si="374"/>
        <v>0.14290183962102732</v>
      </c>
    </row>
    <row r="7969" spans="1:14" x14ac:dyDescent="0.45">
      <c r="A7969" t="s">
        <v>13312</v>
      </c>
      <c r="B7969" s="1">
        <v>44809</v>
      </c>
      <c r="C7969" t="s">
        <v>13313</v>
      </c>
      <c r="D7969" t="s">
        <v>56</v>
      </c>
      <c r="E7969" t="s">
        <v>14</v>
      </c>
      <c r="F7969" t="s">
        <v>40</v>
      </c>
      <c r="G7969">
        <v>1</v>
      </c>
      <c r="H7969">
        <v>4312.6099999999997</v>
      </c>
      <c r="I7969">
        <v>842.32</v>
      </c>
      <c r="J7969" t="s">
        <v>47</v>
      </c>
      <c r="K7969" t="s">
        <v>17</v>
      </c>
      <c r="L7969">
        <f t="shared" si="372"/>
        <v>2022</v>
      </c>
      <c r="M7969" t="str">
        <f t="shared" si="373"/>
        <v>Sep</v>
      </c>
      <c r="N7969" s="2">
        <f t="shared" si="374"/>
        <v>0.195315597747072</v>
      </c>
    </row>
    <row r="7970" spans="1:14" x14ac:dyDescent="0.45">
      <c r="A7970" t="s">
        <v>13314</v>
      </c>
      <c r="B7970" s="1">
        <v>44929</v>
      </c>
      <c r="C7970" t="s">
        <v>2145</v>
      </c>
      <c r="D7970" t="s">
        <v>56</v>
      </c>
      <c r="E7970" t="s">
        <v>14</v>
      </c>
      <c r="F7970" t="s">
        <v>15</v>
      </c>
      <c r="G7970">
        <v>5</v>
      </c>
      <c r="H7970">
        <v>21633.17</v>
      </c>
      <c r="I7970">
        <v>1497.45</v>
      </c>
      <c r="J7970" t="s">
        <v>28</v>
      </c>
      <c r="K7970" t="s">
        <v>23</v>
      </c>
      <c r="L7970">
        <f t="shared" si="372"/>
        <v>2023</v>
      </c>
      <c r="M7970" t="str">
        <f t="shared" si="373"/>
        <v>Jan</v>
      </c>
      <c r="N7970" s="2">
        <f t="shared" si="374"/>
        <v>6.9220091184047469E-2</v>
      </c>
    </row>
    <row r="7971" spans="1:14" x14ac:dyDescent="0.45">
      <c r="A7971" t="s">
        <v>13315</v>
      </c>
      <c r="B7971" s="1">
        <v>45104</v>
      </c>
      <c r="C7971" t="s">
        <v>718</v>
      </c>
      <c r="D7971" t="s">
        <v>26</v>
      </c>
      <c r="E7971" t="s">
        <v>14</v>
      </c>
      <c r="F7971" t="s">
        <v>40</v>
      </c>
      <c r="G7971">
        <v>5</v>
      </c>
      <c r="H7971">
        <v>37738.19</v>
      </c>
      <c r="I7971">
        <v>6529.14</v>
      </c>
      <c r="J7971" t="s">
        <v>16</v>
      </c>
      <c r="K7971" t="s">
        <v>23</v>
      </c>
      <c r="L7971">
        <f t="shared" si="372"/>
        <v>2023</v>
      </c>
      <c r="M7971" t="str">
        <f t="shared" si="373"/>
        <v>Jun</v>
      </c>
      <c r="N7971" s="2">
        <f t="shared" si="374"/>
        <v>0.17301147723300986</v>
      </c>
    </row>
    <row r="7972" spans="1:14" x14ac:dyDescent="0.45">
      <c r="A7972" t="s">
        <v>13316</v>
      </c>
      <c r="B7972" s="1">
        <v>45043</v>
      </c>
      <c r="C7972" t="s">
        <v>109</v>
      </c>
      <c r="D7972" t="s">
        <v>56</v>
      </c>
      <c r="E7972" t="s">
        <v>20</v>
      </c>
      <c r="F7972" t="s">
        <v>50</v>
      </c>
      <c r="G7972">
        <v>1</v>
      </c>
      <c r="H7972">
        <v>37064.089999999997</v>
      </c>
      <c r="I7972">
        <v>8067.61</v>
      </c>
      <c r="J7972" t="s">
        <v>47</v>
      </c>
      <c r="K7972" t="s">
        <v>23</v>
      </c>
      <c r="L7972">
        <f t="shared" si="372"/>
        <v>2023</v>
      </c>
      <c r="M7972" t="str">
        <f t="shared" si="373"/>
        <v>Apr</v>
      </c>
      <c r="N7972" s="2">
        <f t="shared" si="374"/>
        <v>0.21766647987310631</v>
      </c>
    </row>
    <row r="7973" spans="1:14" x14ac:dyDescent="0.45">
      <c r="A7973" t="s">
        <v>13317</v>
      </c>
      <c r="B7973" s="1">
        <v>44878</v>
      </c>
      <c r="C7973" t="s">
        <v>13318</v>
      </c>
      <c r="D7973" t="s">
        <v>13</v>
      </c>
      <c r="E7973" t="s">
        <v>14</v>
      </c>
      <c r="F7973" t="s">
        <v>15</v>
      </c>
      <c r="G7973">
        <v>1</v>
      </c>
      <c r="H7973">
        <v>11537.78</v>
      </c>
      <c r="I7973">
        <v>1580.59</v>
      </c>
      <c r="J7973" t="s">
        <v>47</v>
      </c>
      <c r="K7973" t="s">
        <v>29</v>
      </c>
      <c r="L7973">
        <f t="shared" si="372"/>
        <v>2022</v>
      </c>
      <c r="M7973" t="str">
        <f t="shared" si="373"/>
        <v>Nov</v>
      </c>
      <c r="N7973" s="2">
        <f t="shared" si="374"/>
        <v>0.13699255836044713</v>
      </c>
    </row>
    <row r="7974" spans="1:14" x14ac:dyDescent="0.45">
      <c r="A7974" t="s">
        <v>13319</v>
      </c>
      <c r="B7974" s="1">
        <v>45172</v>
      </c>
      <c r="C7974" t="s">
        <v>13320</v>
      </c>
      <c r="D7974" t="s">
        <v>26</v>
      </c>
      <c r="E7974" t="s">
        <v>36</v>
      </c>
      <c r="F7974" t="s">
        <v>64</v>
      </c>
      <c r="G7974">
        <v>4</v>
      </c>
      <c r="H7974">
        <v>39624.230000000003</v>
      </c>
      <c r="I7974">
        <v>8442.3700000000008</v>
      </c>
      <c r="J7974" t="s">
        <v>28</v>
      </c>
      <c r="K7974" t="s">
        <v>17</v>
      </c>
      <c r="L7974">
        <f t="shared" si="372"/>
        <v>2023</v>
      </c>
      <c r="M7974" t="str">
        <f t="shared" si="373"/>
        <v>Sep</v>
      </c>
      <c r="N7974" s="2">
        <f t="shared" si="374"/>
        <v>0.21306079638645345</v>
      </c>
    </row>
    <row r="7975" spans="1:14" x14ac:dyDescent="0.45">
      <c r="A7975" t="s">
        <v>13321</v>
      </c>
      <c r="B7975" s="1">
        <v>44573</v>
      </c>
      <c r="C7975" t="s">
        <v>3962</v>
      </c>
      <c r="D7975" t="s">
        <v>56</v>
      </c>
      <c r="E7975" t="s">
        <v>20</v>
      </c>
      <c r="F7975" t="s">
        <v>21</v>
      </c>
      <c r="G7975">
        <v>2</v>
      </c>
      <c r="H7975">
        <v>32294.15</v>
      </c>
      <c r="I7975">
        <v>5410.27</v>
      </c>
      <c r="J7975" t="s">
        <v>16</v>
      </c>
      <c r="K7975" t="s">
        <v>29</v>
      </c>
      <c r="L7975">
        <f t="shared" si="372"/>
        <v>2022</v>
      </c>
      <c r="M7975" t="str">
        <f t="shared" si="373"/>
        <v>Jan</v>
      </c>
      <c r="N7975" s="2">
        <f t="shared" si="374"/>
        <v>0.1675309614899293</v>
      </c>
    </row>
    <row r="7976" spans="1:14" x14ac:dyDescent="0.45">
      <c r="A7976" t="s">
        <v>13322</v>
      </c>
      <c r="B7976" s="1">
        <v>45390</v>
      </c>
      <c r="C7976" t="s">
        <v>13323</v>
      </c>
      <c r="D7976" t="s">
        <v>13</v>
      </c>
      <c r="E7976" t="s">
        <v>14</v>
      </c>
      <c r="F7976" t="s">
        <v>57</v>
      </c>
      <c r="G7976">
        <v>2</v>
      </c>
      <c r="H7976">
        <v>43751.66</v>
      </c>
      <c r="I7976">
        <v>3008.67</v>
      </c>
      <c r="J7976" t="s">
        <v>28</v>
      </c>
      <c r="K7976" t="s">
        <v>29</v>
      </c>
      <c r="L7976">
        <f t="shared" si="372"/>
        <v>2024</v>
      </c>
      <c r="M7976" t="str">
        <f t="shared" si="373"/>
        <v>Apr</v>
      </c>
      <c r="N7976" s="2">
        <f t="shared" si="374"/>
        <v>6.8766990783892534E-2</v>
      </c>
    </row>
    <row r="7977" spans="1:14" x14ac:dyDescent="0.45">
      <c r="A7977" t="s">
        <v>13324</v>
      </c>
      <c r="B7977" s="1">
        <v>44656</v>
      </c>
      <c r="C7977" t="s">
        <v>13325</v>
      </c>
      <c r="D7977" t="s">
        <v>13</v>
      </c>
      <c r="E7977" t="s">
        <v>20</v>
      </c>
      <c r="F7977" t="s">
        <v>50</v>
      </c>
      <c r="G7977">
        <v>2</v>
      </c>
      <c r="H7977">
        <v>15389.23</v>
      </c>
      <c r="I7977">
        <v>2810.81</v>
      </c>
      <c r="J7977" t="s">
        <v>22</v>
      </c>
      <c r="K7977" t="s">
        <v>23</v>
      </c>
      <c r="L7977">
        <f t="shared" si="372"/>
        <v>2022</v>
      </c>
      <c r="M7977" t="str">
        <f t="shared" si="373"/>
        <v>Apr</v>
      </c>
      <c r="N7977" s="2">
        <f t="shared" si="374"/>
        <v>0.18264786477296135</v>
      </c>
    </row>
    <row r="7978" spans="1:14" x14ac:dyDescent="0.45">
      <c r="A7978" t="s">
        <v>13326</v>
      </c>
      <c r="B7978" s="1">
        <v>45057</v>
      </c>
      <c r="C7978" t="s">
        <v>13327</v>
      </c>
      <c r="D7978" t="s">
        <v>56</v>
      </c>
      <c r="E7978" t="s">
        <v>14</v>
      </c>
      <c r="F7978" t="s">
        <v>40</v>
      </c>
      <c r="G7978">
        <v>3</v>
      </c>
      <c r="H7978">
        <v>12644.42</v>
      </c>
      <c r="I7978">
        <v>1447.69</v>
      </c>
      <c r="J7978" t="s">
        <v>47</v>
      </c>
      <c r="K7978" t="s">
        <v>33</v>
      </c>
      <c r="L7978">
        <f t="shared" si="372"/>
        <v>2023</v>
      </c>
      <c r="M7978" t="str">
        <f t="shared" si="373"/>
        <v>May</v>
      </c>
      <c r="N7978" s="2">
        <f t="shared" si="374"/>
        <v>0.11449240060042296</v>
      </c>
    </row>
    <row r="7979" spans="1:14" x14ac:dyDescent="0.45">
      <c r="A7979" t="s">
        <v>13328</v>
      </c>
      <c r="B7979" s="1">
        <v>45210</v>
      </c>
      <c r="C7979" t="s">
        <v>3501</v>
      </c>
      <c r="D7979" t="s">
        <v>56</v>
      </c>
      <c r="E7979" t="s">
        <v>20</v>
      </c>
      <c r="F7979" t="s">
        <v>43</v>
      </c>
      <c r="G7979">
        <v>1</v>
      </c>
      <c r="H7979">
        <v>11826.25</v>
      </c>
      <c r="I7979">
        <v>989.28</v>
      </c>
      <c r="J7979" t="s">
        <v>28</v>
      </c>
      <c r="K7979" t="s">
        <v>33</v>
      </c>
      <c r="L7979">
        <f t="shared" si="372"/>
        <v>2023</v>
      </c>
      <c r="M7979" t="str">
        <f t="shared" si="373"/>
        <v>Oct</v>
      </c>
      <c r="N7979" s="2">
        <f t="shared" si="374"/>
        <v>8.3651199661769371E-2</v>
      </c>
    </row>
    <row r="7980" spans="1:14" x14ac:dyDescent="0.45">
      <c r="A7980" t="s">
        <v>13329</v>
      </c>
      <c r="B7980" s="1">
        <v>45408</v>
      </c>
      <c r="C7980" t="s">
        <v>1388</v>
      </c>
      <c r="D7980" t="s">
        <v>56</v>
      </c>
      <c r="E7980" t="s">
        <v>14</v>
      </c>
      <c r="F7980" t="s">
        <v>40</v>
      </c>
      <c r="G7980">
        <v>5</v>
      </c>
      <c r="H7980">
        <v>11996.09</v>
      </c>
      <c r="I7980">
        <v>1446.68</v>
      </c>
      <c r="J7980" t="s">
        <v>16</v>
      </c>
      <c r="K7980" t="s">
        <v>23</v>
      </c>
      <c r="L7980">
        <f t="shared" si="372"/>
        <v>2024</v>
      </c>
      <c r="M7980" t="str">
        <f t="shared" si="373"/>
        <v>Apr</v>
      </c>
      <c r="N7980" s="2">
        <f t="shared" si="374"/>
        <v>0.12059596085057715</v>
      </c>
    </row>
    <row r="7981" spans="1:14" x14ac:dyDescent="0.45">
      <c r="A7981" t="s">
        <v>13330</v>
      </c>
      <c r="B7981" s="1">
        <v>45118</v>
      </c>
      <c r="C7981" t="s">
        <v>13331</v>
      </c>
      <c r="D7981" t="s">
        <v>13</v>
      </c>
      <c r="E7981" t="s">
        <v>20</v>
      </c>
      <c r="F7981" t="s">
        <v>27</v>
      </c>
      <c r="G7981">
        <v>4</v>
      </c>
      <c r="H7981">
        <v>5705.37</v>
      </c>
      <c r="I7981">
        <v>1326.12</v>
      </c>
      <c r="J7981" t="s">
        <v>47</v>
      </c>
      <c r="K7981" t="s">
        <v>29</v>
      </c>
      <c r="L7981">
        <f t="shared" si="372"/>
        <v>2023</v>
      </c>
      <c r="M7981" t="str">
        <f t="shared" si="373"/>
        <v>Jul</v>
      </c>
      <c r="N7981" s="2">
        <f t="shared" si="374"/>
        <v>0.23243365460960463</v>
      </c>
    </row>
    <row r="7982" spans="1:14" x14ac:dyDescent="0.45">
      <c r="A7982" t="s">
        <v>13332</v>
      </c>
      <c r="B7982" s="1">
        <v>45010</v>
      </c>
      <c r="C7982" t="s">
        <v>682</v>
      </c>
      <c r="D7982" t="s">
        <v>13</v>
      </c>
      <c r="E7982" t="s">
        <v>14</v>
      </c>
      <c r="F7982" t="s">
        <v>15</v>
      </c>
      <c r="G7982">
        <v>3</v>
      </c>
      <c r="H7982">
        <v>3956.54</v>
      </c>
      <c r="I7982">
        <v>738.4</v>
      </c>
      <c r="J7982" t="s">
        <v>47</v>
      </c>
      <c r="K7982" t="s">
        <v>23</v>
      </c>
      <c r="L7982">
        <f t="shared" si="372"/>
        <v>2023</v>
      </c>
      <c r="M7982" t="str">
        <f t="shared" si="373"/>
        <v>Mar</v>
      </c>
      <c r="N7982" s="2">
        <f t="shared" si="374"/>
        <v>0.18662771006990955</v>
      </c>
    </row>
    <row r="7983" spans="1:14" x14ac:dyDescent="0.45">
      <c r="A7983" t="s">
        <v>13333</v>
      </c>
      <c r="B7983" s="1">
        <v>44897</v>
      </c>
      <c r="C7983" t="s">
        <v>6317</v>
      </c>
      <c r="D7983" t="s">
        <v>56</v>
      </c>
      <c r="E7983" t="s">
        <v>20</v>
      </c>
      <c r="F7983" t="s">
        <v>43</v>
      </c>
      <c r="G7983">
        <v>2</v>
      </c>
      <c r="H7983">
        <v>9037.91</v>
      </c>
      <c r="I7983">
        <v>649.52</v>
      </c>
      <c r="J7983" t="s">
        <v>47</v>
      </c>
      <c r="K7983" t="s">
        <v>17</v>
      </c>
      <c r="L7983">
        <f t="shared" si="372"/>
        <v>2022</v>
      </c>
      <c r="M7983" t="str">
        <f t="shared" si="373"/>
        <v>Dec</v>
      </c>
      <c r="N7983" s="2">
        <f t="shared" si="374"/>
        <v>7.1866172599638636E-2</v>
      </c>
    </row>
    <row r="7984" spans="1:14" x14ac:dyDescent="0.45">
      <c r="A7984" t="s">
        <v>13334</v>
      </c>
      <c r="B7984" s="1">
        <v>45143</v>
      </c>
      <c r="C7984" t="s">
        <v>8304</v>
      </c>
      <c r="D7984" t="s">
        <v>26</v>
      </c>
      <c r="E7984" t="s">
        <v>36</v>
      </c>
      <c r="F7984" t="s">
        <v>53</v>
      </c>
      <c r="G7984">
        <v>5</v>
      </c>
      <c r="H7984">
        <v>20814.38</v>
      </c>
      <c r="I7984">
        <v>1195.01</v>
      </c>
      <c r="J7984" t="s">
        <v>71</v>
      </c>
      <c r="K7984" t="s">
        <v>33</v>
      </c>
      <c r="L7984">
        <f t="shared" si="372"/>
        <v>2023</v>
      </c>
      <c r="M7984" t="str">
        <f t="shared" si="373"/>
        <v>Aug</v>
      </c>
      <c r="N7984" s="2">
        <f t="shared" si="374"/>
        <v>5.7412711788676865E-2</v>
      </c>
    </row>
    <row r="7985" spans="1:14" x14ac:dyDescent="0.45">
      <c r="A7985" t="s">
        <v>13335</v>
      </c>
      <c r="B7985" s="1">
        <v>45194</v>
      </c>
      <c r="C7985" t="s">
        <v>13336</v>
      </c>
      <c r="D7985" t="s">
        <v>26</v>
      </c>
      <c r="E7985" t="s">
        <v>36</v>
      </c>
      <c r="F7985" t="s">
        <v>37</v>
      </c>
      <c r="G7985">
        <v>3</v>
      </c>
      <c r="H7985">
        <v>26193.65</v>
      </c>
      <c r="I7985">
        <v>2800.45</v>
      </c>
      <c r="J7985" t="s">
        <v>47</v>
      </c>
      <c r="K7985" t="s">
        <v>23</v>
      </c>
      <c r="L7985">
        <f t="shared" si="372"/>
        <v>2023</v>
      </c>
      <c r="M7985" t="str">
        <f t="shared" si="373"/>
        <v>Sep</v>
      </c>
      <c r="N7985" s="2">
        <f t="shared" si="374"/>
        <v>0.1069133167771578</v>
      </c>
    </row>
    <row r="7986" spans="1:14" x14ac:dyDescent="0.45">
      <c r="A7986" t="s">
        <v>13337</v>
      </c>
      <c r="B7986" s="1">
        <v>45561</v>
      </c>
      <c r="C7986" t="s">
        <v>75</v>
      </c>
      <c r="D7986" t="s">
        <v>56</v>
      </c>
      <c r="E7986" t="s">
        <v>20</v>
      </c>
      <c r="F7986" t="s">
        <v>27</v>
      </c>
      <c r="G7986">
        <v>2</v>
      </c>
      <c r="H7986">
        <v>31286.19</v>
      </c>
      <c r="I7986">
        <v>2860.01</v>
      </c>
      <c r="J7986" t="s">
        <v>16</v>
      </c>
      <c r="K7986" t="s">
        <v>29</v>
      </c>
      <c r="L7986">
        <f t="shared" si="372"/>
        <v>2024</v>
      </c>
      <c r="M7986" t="str">
        <f t="shared" si="373"/>
        <v>Sep</v>
      </c>
      <c r="N7986" s="2">
        <f t="shared" si="374"/>
        <v>9.1414454748245166E-2</v>
      </c>
    </row>
    <row r="7987" spans="1:14" x14ac:dyDescent="0.45">
      <c r="A7987" t="s">
        <v>13338</v>
      </c>
      <c r="B7987" s="1">
        <v>44685</v>
      </c>
      <c r="C7987" t="s">
        <v>10580</v>
      </c>
      <c r="D7987" t="s">
        <v>13</v>
      </c>
      <c r="E7987" t="s">
        <v>36</v>
      </c>
      <c r="F7987" t="s">
        <v>46</v>
      </c>
      <c r="G7987">
        <v>3</v>
      </c>
      <c r="H7987">
        <v>9592.7800000000007</v>
      </c>
      <c r="I7987">
        <v>1254.52</v>
      </c>
      <c r="J7987" t="s">
        <v>22</v>
      </c>
      <c r="K7987" t="s">
        <v>33</v>
      </c>
      <c r="L7987">
        <f t="shared" si="372"/>
        <v>2022</v>
      </c>
      <c r="M7987" t="str">
        <f t="shared" si="373"/>
        <v>May</v>
      </c>
      <c r="N7987" s="2">
        <f t="shared" si="374"/>
        <v>0.13077752226153419</v>
      </c>
    </row>
    <row r="7988" spans="1:14" x14ac:dyDescent="0.45">
      <c r="A7988" t="s">
        <v>13339</v>
      </c>
      <c r="B7988" s="1">
        <v>45182</v>
      </c>
      <c r="C7988" t="s">
        <v>9369</v>
      </c>
      <c r="D7988" t="s">
        <v>56</v>
      </c>
      <c r="E7988" t="s">
        <v>14</v>
      </c>
      <c r="F7988" t="s">
        <v>15</v>
      </c>
      <c r="G7988">
        <v>1</v>
      </c>
      <c r="H7988">
        <v>41253.279999999999</v>
      </c>
      <c r="I7988">
        <v>4554.13</v>
      </c>
      <c r="J7988" t="s">
        <v>22</v>
      </c>
      <c r="K7988" t="s">
        <v>17</v>
      </c>
      <c r="L7988">
        <f t="shared" si="372"/>
        <v>2023</v>
      </c>
      <c r="M7988" t="str">
        <f t="shared" si="373"/>
        <v>Sep</v>
      </c>
      <c r="N7988" s="2">
        <f t="shared" si="374"/>
        <v>0.11039437348981705</v>
      </c>
    </row>
    <row r="7989" spans="1:14" x14ac:dyDescent="0.45">
      <c r="A7989" t="s">
        <v>13340</v>
      </c>
      <c r="B7989" s="1">
        <v>45153</v>
      </c>
      <c r="C7989" t="s">
        <v>6401</v>
      </c>
      <c r="D7989" t="s">
        <v>13</v>
      </c>
      <c r="E7989" t="s">
        <v>14</v>
      </c>
      <c r="F7989" t="s">
        <v>15</v>
      </c>
      <c r="G7989">
        <v>5</v>
      </c>
      <c r="H7989">
        <v>7596.51</v>
      </c>
      <c r="I7989">
        <v>1404.35</v>
      </c>
      <c r="J7989" t="s">
        <v>47</v>
      </c>
      <c r="K7989" t="s">
        <v>33</v>
      </c>
      <c r="L7989">
        <f t="shared" si="372"/>
        <v>2023</v>
      </c>
      <c r="M7989" t="str">
        <f t="shared" si="373"/>
        <v>Aug</v>
      </c>
      <c r="N7989" s="2">
        <f t="shared" si="374"/>
        <v>0.1848677879710551</v>
      </c>
    </row>
    <row r="7990" spans="1:14" x14ac:dyDescent="0.45">
      <c r="A7990" t="s">
        <v>13341</v>
      </c>
      <c r="B7990" s="1">
        <v>45612</v>
      </c>
      <c r="C7990" t="s">
        <v>1120</v>
      </c>
      <c r="D7990" t="s">
        <v>13</v>
      </c>
      <c r="E7990" t="s">
        <v>14</v>
      </c>
      <c r="F7990" t="s">
        <v>40</v>
      </c>
      <c r="G7990">
        <v>5</v>
      </c>
      <c r="H7990">
        <v>34306.06</v>
      </c>
      <c r="I7990">
        <v>5760.31</v>
      </c>
      <c r="J7990" t="s">
        <v>28</v>
      </c>
      <c r="K7990" t="s">
        <v>29</v>
      </c>
      <c r="L7990">
        <f t="shared" si="372"/>
        <v>2024</v>
      </c>
      <c r="M7990" t="str">
        <f t="shared" si="373"/>
        <v>Nov</v>
      </c>
      <c r="N7990" s="2">
        <f t="shared" si="374"/>
        <v>0.16790940142936847</v>
      </c>
    </row>
    <row r="7991" spans="1:14" x14ac:dyDescent="0.45">
      <c r="A7991" t="s">
        <v>13342</v>
      </c>
      <c r="B7991" s="1">
        <v>44605</v>
      </c>
      <c r="C7991" t="s">
        <v>486</v>
      </c>
      <c r="D7991" t="s">
        <v>13</v>
      </c>
      <c r="E7991" t="s">
        <v>20</v>
      </c>
      <c r="F7991" t="s">
        <v>21</v>
      </c>
      <c r="G7991">
        <v>1</v>
      </c>
      <c r="H7991">
        <v>35798.44</v>
      </c>
      <c r="I7991">
        <v>6925.99</v>
      </c>
      <c r="J7991" t="s">
        <v>22</v>
      </c>
      <c r="K7991" t="s">
        <v>17</v>
      </c>
      <c r="L7991">
        <f t="shared" si="372"/>
        <v>2022</v>
      </c>
      <c r="M7991" t="str">
        <f t="shared" si="373"/>
        <v>Feb</v>
      </c>
      <c r="N7991" s="2">
        <f t="shared" si="374"/>
        <v>0.19347183843765256</v>
      </c>
    </row>
    <row r="7992" spans="1:14" x14ac:dyDescent="0.45">
      <c r="A7992" t="s">
        <v>13343</v>
      </c>
      <c r="B7992" s="1">
        <v>45352</v>
      </c>
      <c r="C7992" t="s">
        <v>13344</v>
      </c>
      <c r="D7992" t="s">
        <v>56</v>
      </c>
      <c r="E7992" t="s">
        <v>14</v>
      </c>
      <c r="F7992" t="s">
        <v>15</v>
      </c>
      <c r="G7992">
        <v>2</v>
      </c>
      <c r="H7992">
        <v>42723.66</v>
      </c>
      <c r="I7992">
        <v>10199.629999999999</v>
      </c>
      <c r="J7992" t="s">
        <v>28</v>
      </c>
      <c r="K7992" t="s">
        <v>23</v>
      </c>
      <c r="L7992">
        <f t="shared" si="372"/>
        <v>2024</v>
      </c>
      <c r="M7992" t="str">
        <f t="shared" si="373"/>
        <v>Mar</v>
      </c>
      <c r="N7992" s="2">
        <f t="shared" si="374"/>
        <v>0.23873493048114319</v>
      </c>
    </row>
    <row r="7993" spans="1:14" x14ac:dyDescent="0.45">
      <c r="A7993" t="s">
        <v>13345</v>
      </c>
      <c r="B7993" s="1">
        <v>44696</v>
      </c>
      <c r="C7993" t="s">
        <v>1802</v>
      </c>
      <c r="D7993" t="s">
        <v>56</v>
      </c>
      <c r="E7993" t="s">
        <v>36</v>
      </c>
      <c r="F7993" t="s">
        <v>37</v>
      </c>
      <c r="G7993">
        <v>1</v>
      </c>
      <c r="H7993">
        <v>34621.040000000001</v>
      </c>
      <c r="I7993">
        <v>3611.58</v>
      </c>
      <c r="J7993" t="s">
        <v>16</v>
      </c>
      <c r="K7993" t="s">
        <v>33</v>
      </c>
      <c r="L7993">
        <f t="shared" si="372"/>
        <v>2022</v>
      </c>
      <c r="M7993" t="str">
        <f t="shared" si="373"/>
        <v>May</v>
      </c>
      <c r="N7993" s="2">
        <f t="shared" si="374"/>
        <v>0.10431749017360541</v>
      </c>
    </row>
    <row r="7994" spans="1:14" x14ac:dyDescent="0.45">
      <c r="A7994" t="s">
        <v>13346</v>
      </c>
      <c r="B7994" s="1">
        <v>44848</v>
      </c>
      <c r="C7994" t="s">
        <v>9354</v>
      </c>
      <c r="D7994" t="s">
        <v>26</v>
      </c>
      <c r="E7994" t="s">
        <v>36</v>
      </c>
      <c r="F7994" t="s">
        <v>46</v>
      </c>
      <c r="G7994">
        <v>1</v>
      </c>
      <c r="H7994">
        <v>22061.79</v>
      </c>
      <c r="I7994">
        <v>2868.25</v>
      </c>
      <c r="J7994" t="s">
        <v>28</v>
      </c>
      <c r="K7994" t="s">
        <v>33</v>
      </c>
      <c r="L7994">
        <f t="shared" si="372"/>
        <v>2022</v>
      </c>
      <c r="M7994" t="str">
        <f t="shared" si="373"/>
        <v>Oct</v>
      </c>
      <c r="N7994" s="2">
        <f t="shared" si="374"/>
        <v>0.13000984960875794</v>
      </c>
    </row>
    <row r="7995" spans="1:14" x14ac:dyDescent="0.45">
      <c r="A7995" t="s">
        <v>13347</v>
      </c>
      <c r="B7995" s="1">
        <v>45269</v>
      </c>
      <c r="C7995" t="s">
        <v>5699</v>
      </c>
      <c r="D7995" t="s">
        <v>26</v>
      </c>
      <c r="E7995" t="s">
        <v>36</v>
      </c>
      <c r="F7995" t="s">
        <v>46</v>
      </c>
      <c r="G7995">
        <v>2</v>
      </c>
      <c r="H7995">
        <v>47025.96</v>
      </c>
      <c r="I7995">
        <v>8016.86</v>
      </c>
      <c r="J7995" t="s">
        <v>22</v>
      </c>
      <c r="K7995" t="s">
        <v>23</v>
      </c>
      <c r="L7995">
        <f t="shared" si="372"/>
        <v>2023</v>
      </c>
      <c r="M7995" t="str">
        <f t="shared" si="373"/>
        <v>Dec</v>
      </c>
      <c r="N7995" s="2">
        <f t="shared" si="374"/>
        <v>0.1704773278418984</v>
      </c>
    </row>
    <row r="7996" spans="1:14" x14ac:dyDescent="0.45">
      <c r="A7996" t="s">
        <v>13348</v>
      </c>
      <c r="B7996" s="1">
        <v>45013</v>
      </c>
      <c r="C7996" t="s">
        <v>13349</v>
      </c>
      <c r="D7996" t="s">
        <v>13</v>
      </c>
      <c r="E7996" t="s">
        <v>14</v>
      </c>
      <c r="F7996" t="s">
        <v>32</v>
      </c>
      <c r="G7996">
        <v>1</v>
      </c>
      <c r="H7996">
        <v>2765.03</v>
      </c>
      <c r="I7996">
        <v>363.69</v>
      </c>
      <c r="J7996" t="s">
        <v>47</v>
      </c>
      <c r="K7996" t="s">
        <v>29</v>
      </c>
      <c r="L7996">
        <f t="shared" si="372"/>
        <v>2023</v>
      </c>
      <c r="M7996" t="str">
        <f t="shared" si="373"/>
        <v>Mar</v>
      </c>
      <c r="N7996" s="2">
        <f t="shared" si="374"/>
        <v>0.13153202677728631</v>
      </c>
    </row>
    <row r="7997" spans="1:14" x14ac:dyDescent="0.45">
      <c r="A7997" t="s">
        <v>13350</v>
      </c>
      <c r="B7997" s="1">
        <v>44819</v>
      </c>
      <c r="C7997" t="s">
        <v>13351</v>
      </c>
      <c r="D7997" t="s">
        <v>13</v>
      </c>
      <c r="E7997" t="s">
        <v>36</v>
      </c>
      <c r="F7997" t="s">
        <v>46</v>
      </c>
      <c r="G7997">
        <v>1</v>
      </c>
      <c r="H7997">
        <v>44632.75</v>
      </c>
      <c r="I7997">
        <v>3833.2</v>
      </c>
      <c r="J7997" t="s">
        <v>47</v>
      </c>
      <c r="K7997" t="s">
        <v>23</v>
      </c>
      <c r="L7997">
        <f t="shared" si="372"/>
        <v>2022</v>
      </c>
      <c r="M7997" t="str">
        <f t="shared" si="373"/>
        <v>Sep</v>
      </c>
      <c r="N7997" s="2">
        <f t="shared" si="374"/>
        <v>8.5883123939259842E-2</v>
      </c>
    </row>
    <row r="7998" spans="1:14" x14ac:dyDescent="0.45">
      <c r="A7998" t="s">
        <v>13352</v>
      </c>
      <c r="B7998" s="1">
        <v>44978</v>
      </c>
      <c r="C7998" t="s">
        <v>13166</v>
      </c>
      <c r="D7998" t="s">
        <v>56</v>
      </c>
      <c r="E7998" t="s">
        <v>20</v>
      </c>
      <c r="F7998" t="s">
        <v>21</v>
      </c>
      <c r="G7998">
        <v>5</v>
      </c>
      <c r="H7998">
        <v>21707.02</v>
      </c>
      <c r="I7998">
        <v>2096.37</v>
      </c>
      <c r="J7998" t="s">
        <v>22</v>
      </c>
      <c r="K7998" t="s">
        <v>29</v>
      </c>
      <c r="L7998">
        <f t="shared" si="372"/>
        <v>2023</v>
      </c>
      <c r="M7998" t="str">
        <f t="shared" si="373"/>
        <v>Feb</v>
      </c>
      <c r="N7998" s="2">
        <f t="shared" si="374"/>
        <v>9.6575669990629748E-2</v>
      </c>
    </row>
    <row r="7999" spans="1:14" x14ac:dyDescent="0.45">
      <c r="A7999" t="s">
        <v>13353</v>
      </c>
      <c r="B7999" s="1">
        <v>44792</v>
      </c>
      <c r="C7999" t="s">
        <v>13354</v>
      </c>
      <c r="D7999" t="s">
        <v>13</v>
      </c>
      <c r="E7999" t="s">
        <v>36</v>
      </c>
      <c r="F7999" t="s">
        <v>53</v>
      </c>
      <c r="G7999">
        <v>1</v>
      </c>
      <c r="H7999">
        <v>23303.99</v>
      </c>
      <c r="I7999">
        <v>2948.84</v>
      </c>
      <c r="J7999" t="s">
        <v>22</v>
      </c>
      <c r="K7999" t="s">
        <v>33</v>
      </c>
      <c r="L7999">
        <f t="shared" si="372"/>
        <v>2022</v>
      </c>
      <c r="M7999" t="str">
        <f t="shared" si="373"/>
        <v>Aug</v>
      </c>
      <c r="N7999" s="2">
        <f t="shared" si="374"/>
        <v>0.12653798770081862</v>
      </c>
    </row>
    <row r="8000" spans="1:14" x14ac:dyDescent="0.45">
      <c r="A8000" t="s">
        <v>13355</v>
      </c>
      <c r="B8000" s="1">
        <v>45363</v>
      </c>
      <c r="C8000" t="s">
        <v>8313</v>
      </c>
      <c r="D8000" t="s">
        <v>13</v>
      </c>
      <c r="E8000" t="s">
        <v>14</v>
      </c>
      <c r="F8000" t="s">
        <v>15</v>
      </c>
      <c r="G8000">
        <v>2</v>
      </c>
      <c r="H8000">
        <v>13583.66</v>
      </c>
      <c r="I8000">
        <v>1334.12</v>
      </c>
      <c r="J8000" t="s">
        <v>16</v>
      </c>
      <c r="K8000" t="s">
        <v>17</v>
      </c>
      <c r="L8000">
        <f t="shared" si="372"/>
        <v>2024</v>
      </c>
      <c r="M8000" t="str">
        <f t="shared" si="373"/>
        <v>Mar</v>
      </c>
      <c r="N8000" s="2">
        <f t="shared" si="374"/>
        <v>9.8215061331040382E-2</v>
      </c>
    </row>
    <row r="8001" spans="1:14" x14ac:dyDescent="0.45">
      <c r="A8001" t="s">
        <v>13356</v>
      </c>
      <c r="B8001" s="1">
        <v>45341</v>
      </c>
      <c r="C8001" t="s">
        <v>12064</v>
      </c>
      <c r="D8001" t="s">
        <v>56</v>
      </c>
      <c r="E8001" t="s">
        <v>14</v>
      </c>
      <c r="F8001" t="s">
        <v>57</v>
      </c>
      <c r="G8001">
        <v>2</v>
      </c>
      <c r="H8001">
        <v>2688.48</v>
      </c>
      <c r="I8001">
        <v>278.41000000000003</v>
      </c>
      <c r="J8001" t="s">
        <v>28</v>
      </c>
      <c r="K8001" t="s">
        <v>23</v>
      </c>
      <c r="L8001">
        <f t="shared" si="372"/>
        <v>2024</v>
      </c>
      <c r="M8001" t="str">
        <f t="shared" si="373"/>
        <v>Feb</v>
      </c>
      <c r="N8001" s="2">
        <f t="shared" si="374"/>
        <v>0.10355665654942571</v>
      </c>
    </row>
    <row r="8002" spans="1:14" x14ac:dyDescent="0.45">
      <c r="A8002" t="s">
        <v>13357</v>
      </c>
      <c r="B8002" s="1">
        <v>45236</v>
      </c>
      <c r="C8002" t="s">
        <v>13358</v>
      </c>
      <c r="D8002" t="s">
        <v>56</v>
      </c>
      <c r="E8002" t="s">
        <v>36</v>
      </c>
      <c r="F8002" t="s">
        <v>64</v>
      </c>
      <c r="G8002">
        <v>3</v>
      </c>
      <c r="H8002">
        <v>33102.22</v>
      </c>
      <c r="I8002">
        <v>2461.59</v>
      </c>
      <c r="J8002" t="s">
        <v>47</v>
      </c>
      <c r="K8002" t="s">
        <v>29</v>
      </c>
      <c r="L8002">
        <f t="shared" si="372"/>
        <v>2023</v>
      </c>
      <c r="M8002" t="str">
        <f t="shared" si="373"/>
        <v>Nov</v>
      </c>
      <c r="N8002" s="2">
        <f t="shared" si="374"/>
        <v>7.4363290437922294E-2</v>
      </c>
    </row>
    <row r="8003" spans="1:14" x14ac:dyDescent="0.45">
      <c r="A8003" t="s">
        <v>13359</v>
      </c>
      <c r="B8003" s="1">
        <v>45617</v>
      </c>
      <c r="C8003" t="s">
        <v>13360</v>
      </c>
      <c r="D8003" t="s">
        <v>26</v>
      </c>
      <c r="E8003" t="s">
        <v>20</v>
      </c>
      <c r="F8003" t="s">
        <v>27</v>
      </c>
      <c r="G8003">
        <v>4</v>
      </c>
      <c r="H8003">
        <v>44851.97</v>
      </c>
      <c r="I8003">
        <v>9311.06</v>
      </c>
      <c r="J8003" t="s">
        <v>16</v>
      </c>
      <c r="K8003" t="s">
        <v>33</v>
      </c>
      <c r="L8003">
        <f t="shared" ref="L8003:L8066" si="375">YEAR(B8003 )</f>
        <v>2024</v>
      </c>
      <c r="M8003" t="str">
        <f t="shared" ref="M8003:M8066" si="376">TEXT(B8003,"MMM")</f>
        <v>Nov</v>
      </c>
      <c r="N8003" s="2">
        <f t="shared" ref="N8003:N8066" si="377">I8003 / H8003</f>
        <v>0.20759534085124912</v>
      </c>
    </row>
    <row r="8004" spans="1:14" x14ac:dyDescent="0.45">
      <c r="A8004" t="s">
        <v>13361</v>
      </c>
      <c r="B8004" s="1">
        <v>44836</v>
      </c>
      <c r="C8004" t="s">
        <v>13362</v>
      </c>
      <c r="D8004" t="s">
        <v>26</v>
      </c>
      <c r="E8004" t="s">
        <v>20</v>
      </c>
      <c r="F8004" t="s">
        <v>27</v>
      </c>
      <c r="G8004">
        <v>2</v>
      </c>
      <c r="H8004">
        <v>26538.78</v>
      </c>
      <c r="I8004">
        <v>5448.43</v>
      </c>
      <c r="J8004" t="s">
        <v>22</v>
      </c>
      <c r="K8004" t="s">
        <v>23</v>
      </c>
      <c r="L8004">
        <f t="shared" si="375"/>
        <v>2022</v>
      </c>
      <c r="M8004" t="str">
        <f t="shared" si="376"/>
        <v>Oct</v>
      </c>
      <c r="N8004" s="2">
        <f t="shared" si="377"/>
        <v>0.20530069581194013</v>
      </c>
    </row>
    <row r="8005" spans="1:14" x14ac:dyDescent="0.45">
      <c r="A8005" t="s">
        <v>13363</v>
      </c>
      <c r="B8005" s="1">
        <v>44746</v>
      </c>
      <c r="C8005" t="s">
        <v>6307</v>
      </c>
      <c r="D8005" t="s">
        <v>26</v>
      </c>
      <c r="E8005" t="s">
        <v>20</v>
      </c>
      <c r="F8005" t="s">
        <v>50</v>
      </c>
      <c r="G8005">
        <v>3</v>
      </c>
      <c r="H8005">
        <v>41538.6</v>
      </c>
      <c r="I8005">
        <v>4015.68</v>
      </c>
      <c r="J8005" t="s">
        <v>47</v>
      </c>
      <c r="K8005" t="s">
        <v>33</v>
      </c>
      <c r="L8005">
        <f t="shared" si="375"/>
        <v>2022</v>
      </c>
      <c r="M8005" t="str">
        <f t="shared" si="376"/>
        <v>Jul</v>
      </c>
      <c r="N8005" s="2">
        <f t="shared" si="377"/>
        <v>9.6673455532926E-2</v>
      </c>
    </row>
    <row r="8006" spans="1:14" x14ac:dyDescent="0.45">
      <c r="A8006" t="s">
        <v>13364</v>
      </c>
      <c r="B8006" s="1">
        <v>45184</v>
      </c>
      <c r="C8006" t="s">
        <v>4338</v>
      </c>
      <c r="D8006" t="s">
        <v>13</v>
      </c>
      <c r="E8006" t="s">
        <v>20</v>
      </c>
      <c r="F8006" t="s">
        <v>50</v>
      </c>
      <c r="G8006">
        <v>3</v>
      </c>
      <c r="H8006">
        <v>38100.879999999997</v>
      </c>
      <c r="I8006">
        <v>3696.73</v>
      </c>
      <c r="J8006" t="s">
        <v>22</v>
      </c>
      <c r="K8006" t="s">
        <v>17</v>
      </c>
      <c r="L8006">
        <f t="shared" si="375"/>
        <v>2023</v>
      </c>
      <c r="M8006" t="str">
        <f t="shared" si="376"/>
        <v>Sep</v>
      </c>
      <c r="N8006" s="2">
        <f t="shared" si="377"/>
        <v>9.7024793128137735E-2</v>
      </c>
    </row>
    <row r="8007" spans="1:14" x14ac:dyDescent="0.45">
      <c r="A8007" t="s">
        <v>13365</v>
      </c>
      <c r="B8007" s="1">
        <v>44609</v>
      </c>
      <c r="C8007" t="s">
        <v>13366</v>
      </c>
      <c r="D8007" t="s">
        <v>13</v>
      </c>
      <c r="E8007" t="s">
        <v>36</v>
      </c>
      <c r="F8007" t="s">
        <v>64</v>
      </c>
      <c r="G8007">
        <v>1</v>
      </c>
      <c r="H8007">
        <v>24310.54</v>
      </c>
      <c r="I8007">
        <v>2674.33</v>
      </c>
      <c r="J8007" t="s">
        <v>22</v>
      </c>
      <c r="K8007" t="s">
        <v>17</v>
      </c>
      <c r="L8007">
        <f t="shared" si="375"/>
        <v>2022</v>
      </c>
      <c r="M8007" t="str">
        <f t="shared" si="376"/>
        <v>Feb</v>
      </c>
      <c r="N8007" s="2">
        <f t="shared" si="377"/>
        <v>0.11000701753231314</v>
      </c>
    </row>
    <row r="8008" spans="1:14" x14ac:dyDescent="0.45">
      <c r="A8008" t="s">
        <v>13367</v>
      </c>
      <c r="B8008" s="1">
        <v>44627</v>
      </c>
      <c r="C8008" t="s">
        <v>13368</v>
      </c>
      <c r="D8008" t="s">
        <v>56</v>
      </c>
      <c r="E8008" t="s">
        <v>36</v>
      </c>
      <c r="F8008" t="s">
        <v>64</v>
      </c>
      <c r="G8008">
        <v>2</v>
      </c>
      <c r="H8008">
        <v>22872.95</v>
      </c>
      <c r="I8008">
        <v>1924.31</v>
      </c>
      <c r="J8008" t="s">
        <v>71</v>
      </c>
      <c r="K8008" t="s">
        <v>23</v>
      </c>
      <c r="L8008">
        <f t="shared" si="375"/>
        <v>2022</v>
      </c>
      <c r="M8008" t="str">
        <f t="shared" si="376"/>
        <v>Mar</v>
      </c>
      <c r="N8008" s="2">
        <f t="shared" si="377"/>
        <v>8.4130381083332054E-2</v>
      </c>
    </row>
    <row r="8009" spans="1:14" x14ac:dyDescent="0.45">
      <c r="A8009" t="s">
        <v>13369</v>
      </c>
      <c r="B8009" s="1">
        <v>45035</v>
      </c>
      <c r="C8009" t="s">
        <v>6122</v>
      </c>
      <c r="D8009" t="s">
        <v>13</v>
      </c>
      <c r="E8009" t="s">
        <v>14</v>
      </c>
      <c r="F8009" t="s">
        <v>32</v>
      </c>
      <c r="G8009">
        <v>4</v>
      </c>
      <c r="H8009">
        <v>8225.86</v>
      </c>
      <c r="I8009">
        <v>1666.96</v>
      </c>
      <c r="J8009" t="s">
        <v>71</v>
      </c>
      <c r="K8009" t="s">
        <v>33</v>
      </c>
      <c r="L8009">
        <f t="shared" si="375"/>
        <v>2023</v>
      </c>
      <c r="M8009" t="str">
        <f t="shared" si="376"/>
        <v>Apr</v>
      </c>
      <c r="N8009" s="2">
        <f t="shared" si="377"/>
        <v>0.20264872001225404</v>
      </c>
    </row>
    <row r="8010" spans="1:14" x14ac:dyDescent="0.45">
      <c r="A8010" t="s">
        <v>13370</v>
      </c>
      <c r="B8010" s="1">
        <v>44713</v>
      </c>
      <c r="C8010" t="s">
        <v>7683</v>
      </c>
      <c r="D8010" t="s">
        <v>56</v>
      </c>
      <c r="E8010" t="s">
        <v>36</v>
      </c>
      <c r="F8010" t="s">
        <v>53</v>
      </c>
      <c r="G8010">
        <v>3</v>
      </c>
      <c r="H8010">
        <v>28381.75</v>
      </c>
      <c r="I8010">
        <v>3062.18</v>
      </c>
      <c r="J8010" t="s">
        <v>16</v>
      </c>
      <c r="K8010" t="s">
        <v>17</v>
      </c>
      <c r="L8010">
        <f t="shared" si="375"/>
        <v>2022</v>
      </c>
      <c r="M8010" t="str">
        <f t="shared" si="376"/>
        <v>Jun</v>
      </c>
      <c r="N8010" s="2">
        <f t="shared" si="377"/>
        <v>0.107892571811111</v>
      </c>
    </row>
    <row r="8011" spans="1:14" x14ac:dyDescent="0.45">
      <c r="A8011" t="s">
        <v>13371</v>
      </c>
      <c r="B8011" s="1">
        <v>44812</v>
      </c>
      <c r="C8011" t="s">
        <v>3815</v>
      </c>
      <c r="D8011" t="s">
        <v>13</v>
      </c>
      <c r="E8011" t="s">
        <v>20</v>
      </c>
      <c r="F8011" t="s">
        <v>27</v>
      </c>
      <c r="G8011">
        <v>2</v>
      </c>
      <c r="H8011">
        <v>46969.48</v>
      </c>
      <c r="I8011">
        <v>3065.77</v>
      </c>
      <c r="J8011" t="s">
        <v>47</v>
      </c>
      <c r="K8011" t="s">
        <v>17</v>
      </c>
      <c r="L8011">
        <f t="shared" si="375"/>
        <v>2022</v>
      </c>
      <c r="M8011" t="str">
        <f t="shared" si="376"/>
        <v>Sep</v>
      </c>
      <c r="N8011" s="2">
        <f t="shared" si="377"/>
        <v>6.5271533770439857E-2</v>
      </c>
    </row>
    <row r="8012" spans="1:14" x14ac:dyDescent="0.45">
      <c r="A8012" t="s">
        <v>13372</v>
      </c>
      <c r="B8012" s="1">
        <v>44735</v>
      </c>
      <c r="C8012" t="s">
        <v>1742</v>
      </c>
      <c r="D8012" t="s">
        <v>13</v>
      </c>
      <c r="E8012" t="s">
        <v>20</v>
      </c>
      <c r="F8012" t="s">
        <v>21</v>
      </c>
      <c r="G8012">
        <v>3</v>
      </c>
      <c r="H8012">
        <v>9610.93</v>
      </c>
      <c r="I8012">
        <v>900.15</v>
      </c>
      <c r="J8012" t="s">
        <v>22</v>
      </c>
      <c r="K8012" t="s">
        <v>17</v>
      </c>
      <c r="L8012">
        <f t="shared" si="375"/>
        <v>2022</v>
      </c>
      <c r="M8012" t="str">
        <f t="shared" si="376"/>
        <v>Jun</v>
      </c>
      <c r="N8012" s="2">
        <f t="shared" si="377"/>
        <v>9.3658990337043335E-2</v>
      </c>
    </row>
    <row r="8013" spans="1:14" x14ac:dyDescent="0.45">
      <c r="A8013" t="s">
        <v>13373</v>
      </c>
      <c r="B8013" s="1">
        <v>45001</v>
      </c>
      <c r="C8013" t="s">
        <v>2661</v>
      </c>
      <c r="D8013" t="s">
        <v>26</v>
      </c>
      <c r="E8013" t="s">
        <v>14</v>
      </c>
      <c r="F8013" t="s">
        <v>32</v>
      </c>
      <c r="G8013">
        <v>4</v>
      </c>
      <c r="H8013">
        <v>43868.68</v>
      </c>
      <c r="I8013">
        <v>9953.94</v>
      </c>
      <c r="J8013" t="s">
        <v>22</v>
      </c>
      <c r="K8013" t="s">
        <v>33</v>
      </c>
      <c r="L8013">
        <f t="shared" si="375"/>
        <v>2023</v>
      </c>
      <c r="M8013" t="str">
        <f t="shared" si="376"/>
        <v>Mar</v>
      </c>
      <c r="N8013" s="2">
        <f t="shared" si="377"/>
        <v>0.22690311174167996</v>
      </c>
    </row>
    <row r="8014" spans="1:14" x14ac:dyDescent="0.45">
      <c r="A8014" t="s">
        <v>13374</v>
      </c>
      <c r="B8014" s="1">
        <v>45576</v>
      </c>
      <c r="C8014" t="s">
        <v>12232</v>
      </c>
      <c r="D8014" t="s">
        <v>56</v>
      </c>
      <c r="E8014" t="s">
        <v>36</v>
      </c>
      <c r="F8014" t="s">
        <v>46</v>
      </c>
      <c r="G8014">
        <v>3</v>
      </c>
      <c r="H8014">
        <v>37315.56</v>
      </c>
      <c r="I8014">
        <v>3590.18</v>
      </c>
      <c r="J8014" t="s">
        <v>47</v>
      </c>
      <c r="K8014" t="s">
        <v>23</v>
      </c>
      <c r="L8014">
        <f t="shared" si="375"/>
        <v>2024</v>
      </c>
      <c r="M8014" t="str">
        <f t="shared" si="376"/>
        <v>Oct</v>
      </c>
      <c r="N8014" s="2">
        <f t="shared" si="377"/>
        <v>9.62113391839758E-2</v>
      </c>
    </row>
    <row r="8015" spans="1:14" x14ac:dyDescent="0.45">
      <c r="A8015" t="s">
        <v>13375</v>
      </c>
      <c r="B8015" s="1">
        <v>44956</v>
      </c>
      <c r="C8015" t="s">
        <v>6228</v>
      </c>
      <c r="D8015" t="s">
        <v>56</v>
      </c>
      <c r="E8015" t="s">
        <v>20</v>
      </c>
      <c r="F8015" t="s">
        <v>21</v>
      </c>
      <c r="G8015">
        <v>2</v>
      </c>
      <c r="H8015">
        <v>5006.4399999999996</v>
      </c>
      <c r="I8015">
        <v>801.63</v>
      </c>
      <c r="J8015" t="s">
        <v>28</v>
      </c>
      <c r="K8015" t="s">
        <v>33</v>
      </c>
      <c r="L8015">
        <f t="shared" si="375"/>
        <v>2023</v>
      </c>
      <c r="M8015" t="str">
        <f t="shared" si="376"/>
        <v>Jan</v>
      </c>
      <c r="N8015" s="2">
        <f t="shared" si="377"/>
        <v>0.16011976574172468</v>
      </c>
    </row>
    <row r="8016" spans="1:14" x14ac:dyDescent="0.45">
      <c r="A8016" t="s">
        <v>13376</v>
      </c>
      <c r="B8016" s="1">
        <v>44880</v>
      </c>
      <c r="C8016" t="s">
        <v>13377</v>
      </c>
      <c r="D8016" t="s">
        <v>56</v>
      </c>
      <c r="E8016" t="s">
        <v>14</v>
      </c>
      <c r="F8016" t="s">
        <v>40</v>
      </c>
      <c r="G8016">
        <v>5</v>
      </c>
      <c r="H8016">
        <v>46619.86</v>
      </c>
      <c r="I8016">
        <v>9213.91</v>
      </c>
      <c r="J8016" t="s">
        <v>16</v>
      </c>
      <c r="K8016" t="s">
        <v>23</v>
      </c>
      <c r="L8016">
        <f t="shared" si="375"/>
        <v>2022</v>
      </c>
      <c r="M8016" t="str">
        <f t="shared" si="376"/>
        <v>Nov</v>
      </c>
      <c r="N8016" s="2">
        <f t="shared" si="377"/>
        <v>0.19763916064956008</v>
      </c>
    </row>
    <row r="8017" spans="1:14" x14ac:dyDescent="0.45">
      <c r="A8017" t="s">
        <v>13378</v>
      </c>
      <c r="B8017" s="1">
        <v>44635</v>
      </c>
      <c r="C8017" t="s">
        <v>13379</v>
      </c>
      <c r="D8017" t="s">
        <v>13</v>
      </c>
      <c r="E8017" t="s">
        <v>20</v>
      </c>
      <c r="F8017" t="s">
        <v>43</v>
      </c>
      <c r="G8017">
        <v>5</v>
      </c>
      <c r="H8017">
        <v>20494.259999999998</v>
      </c>
      <c r="I8017">
        <v>1341.01</v>
      </c>
      <c r="J8017" t="s">
        <v>47</v>
      </c>
      <c r="K8017" t="s">
        <v>17</v>
      </c>
      <c r="L8017">
        <f t="shared" si="375"/>
        <v>2022</v>
      </c>
      <c r="M8017" t="str">
        <f t="shared" si="376"/>
        <v>Mar</v>
      </c>
      <c r="N8017" s="2">
        <f t="shared" si="377"/>
        <v>6.5433443315347811E-2</v>
      </c>
    </row>
    <row r="8018" spans="1:14" x14ac:dyDescent="0.45">
      <c r="A8018" t="s">
        <v>13380</v>
      </c>
      <c r="B8018" s="1">
        <v>45323</v>
      </c>
      <c r="C8018" t="s">
        <v>13381</v>
      </c>
      <c r="D8018" t="s">
        <v>13</v>
      </c>
      <c r="E8018" t="s">
        <v>20</v>
      </c>
      <c r="F8018" t="s">
        <v>43</v>
      </c>
      <c r="G8018">
        <v>5</v>
      </c>
      <c r="H8018">
        <v>5556.45</v>
      </c>
      <c r="I8018">
        <v>334.98</v>
      </c>
      <c r="J8018" t="s">
        <v>16</v>
      </c>
      <c r="K8018" t="s">
        <v>17</v>
      </c>
      <c r="L8018">
        <f t="shared" si="375"/>
        <v>2024</v>
      </c>
      <c r="M8018" t="str">
        <f t="shared" si="376"/>
        <v>Feb</v>
      </c>
      <c r="N8018" s="2">
        <f t="shared" si="377"/>
        <v>6.0286693842291399E-2</v>
      </c>
    </row>
    <row r="8019" spans="1:14" x14ac:dyDescent="0.45">
      <c r="A8019" t="s">
        <v>13382</v>
      </c>
      <c r="B8019" s="1">
        <v>45282</v>
      </c>
      <c r="C8019" t="s">
        <v>13383</v>
      </c>
      <c r="D8019" t="s">
        <v>26</v>
      </c>
      <c r="E8019" t="s">
        <v>20</v>
      </c>
      <c r="F8019" t="s">
        <v>27</v>
      </c>
      <c r="G8019">
        <v>2</v>
      </c>
      <c r="H8019">
        <v>36471.449999999997</v>
      </c>
      <c r="I8019">
        <v>3477.7</v>
      </c>
      <c r="J8019" t="s">
        <v>28</v>
      </c>
      <c r="K8019" t="s">
        <v>23</v>
      </c>
      <c r="L8019">
        <f t="shared" si="375"/>
        <v>2023</v>
      </c>
      <c r="M8019" t="str">
        <f t="shared" si="376"/>
        <v>Dec</v>
      </c>
      <c r="N8019" s="2">
        <f t="shared" si="377"/>
        <v>9.535403719895974E-2</v>
      </c>
    </row>
    <row r="8020" spans="1:14" x14ac:dyDescent="0.45">
      <c r="A8020" t="s">
        <v>13384</v>
      </c>
      <c r="B8020" s="1">
        <v>44667</v>
      </c>
      <c r="C8020" t="s">
        <v>13385</v>
      </c>
      <c r="D8020" t="s">
        <v>13</v>
      </c>
      <c r="E8020" t="s">
        <v>20</v>
      </c>
      <c r="F8020" t="s">
        <v>50</v>
      </c>
      <c r="G8020">
        <v>3</v>
      </c>
      <c r="H8020">
        <v>6357.34</v>
      </c>
      <c r="I8020">
        <v>822.47</v>
      </c>
      <c r="J8020" t="s">
        <v>47</v>
      </c>
      <c r="K8020" t="s">
        <v>23</v>
      </c>
      <c r="L8020">
        <f t="shared" si="375"/>
        <v>2022</v>
      </c>
      <c r="M8020" t="str">
        <f t="shared" si="376"/>
        <v>Apr</v>
      </c>
      <c r="N8020" s="2">
        <f t="shared" si="377"/>
        <v>0.12937329134512232</v>
      </c>
    </row>
    <row r="8021" spans="1:14" x14ac:dyDescent="0.45">
      <c r="A8021" t="s">
        <v>13386</v>
      </c>
      <c r="B8021" s="1">
        <v>45635</v>
      </c>
      <c r="C8021" t="s">
        <v>8027</v>
      </c>
      <c r="D8021" t="s">
        <v>13</v>
      </c>
      <c r="E8021" t="s">
        <v>14</v>
      </c>
      <c r="F8021" t="s">
        <v>40</v>
      </c>
      <c r="G8021">
        <v>1</v>
      </c>
      <c r="H8021">
        <v>1009.38</v>
      </c>
      <c r="I8021">
        <v>208.47</v>
      </c>
      <c r="J8021" t="s">
        <v>47</v>
      </c>
      <c r="K8021" t="s">
        <v>33</v>
      </c>
      <c r="L8021">
        <f t="shared" si="375"/>
        <v>2024</v>
      </c>
      <c r="M8021" t="str">
        <f t="shared" si="376"/>
        <v>Dec</v>
      </c>
      <c r="N8021" s="2">
        <f t="shared" si="377"/>
        <v>0.20653272305771861</v>
      </c>
    </row>
    <row r="8022" spans="1:14" x14ac:dyDescent="0.45">
      <c r="A8022" t="s">
        <v>13387</v>
      </c>
      <c r="B8022" s="1">
        <v>45174</v>
      </c>
      <c r="C8022" t="s">
        <v>7487</v>
      </c>
      <c r="D8022" t="s">
        <v>56</v>
      </c>
      <c r="E8022" t="s">
        <v>14</v>
      </c>
      <c r="F8022" t="s">
        <v>57</v>
      </c>
      <c r="G8022">
        <v>4</v>
      </c>
      <c r="H8022">
        <v>4659.34</v>
      </c>
      <c r="I8022">
        <v>444.95</v>
      </c>
      <c r="J8022" t="s">
        <v>71</v>
      </c>
      <c r="K8022" t="s">
        <v>23</v>
      </c>
      <c r="L8022">
        <f t="shared" si="375"/>
        <v>2023</v>
      </c>
      <c r="M8022" t="str">
        <f t="shared" si="376"/>
        <v>Sep</v>
      </c>
      <c r="N8022" s="2">
        <f t="shared" si="377"/>
        <v>9.5496357853258176E-2</v>
      </c>
    </row>
    <row r="8023" spans="1:14" x14ac:dyDescent="0.45">
      <c r="A8023" t="s">
        <v>13388</v>
      </c>
      <c r="B8023" s="1">
        <v>44994</v>
      </c>
      <c r="C8023" t="s">
        <v>5612</v>
      </c>
      <c r="D8023" t="s">
        <v>13</v>
      </c>
      <c r="E8023" t="s">
        <v>14</v>
      </c>
      <c r="F8023" t="s">
        <v>15</v>
      </c>
      <c r="G8023">
        <v>1</v>
      </c>
      <c r="H8023">
        <v>45291.92</v>
      </c>
      <c r="I8023">
        <v>11123.49</v>
      </c>
      <c r="J8023" t="s">
        <v>47</v>
      </c>
      <c r="K8023" t="s">
        <v>17</v>
      </c>
      <c r="L8023">
        <f t="shared" si="375"/>
        <v>2023</v>
      </c>
      <c r="M8023" t="str">
        <f t="shared" si="376"/>
        <v>Mar</v>
      </c>
      <c r="N8023" s="2">
        <f t="shared" si="377"/>
        <v>0.24559546161876114</v>
      </c>
    </row>
    <row r="8024" spans="1:14" x14ac:dyDescent="0.45">
      <c r="A8024" t="s">
        <v>13389</v>
      </c>
      <c r="B8024" s="1">
        <v>44606</v>
      </c>
      <c r="C8024" t="s">
        <v>13390</v>
      </c>
      <c r="D8024" t="s">
        <v>13</v>
      </c>
      <c r="E8024" t="s">
        <v>20</v>
      </c>
      <c r="F8024" t="s">
        <v>27</v>
      </c>
      <c r="G8024">
        <v>1</v>
      </c>
      <c r="H8024">
        <v>39790.25</v>
      </c>
      <c r="I8024">
        <v>9113.31</v>
      </c>
      <c r="J8024" t="s">
        <v>22</v>
      </c>
      <c r="K8024" t="s">
        <v>17</v>
      </c>
      <c r="L8024">
        <f t="shared" si="375"/>
        <v>2022</v>
      </c>
      <c r="M8024" t="str">
        <f t="shared" si="376"/>
        <v>Feb</v>
      </c>
      <c r="N8024" s="2">
        <f t="shared" si="377"/>
        <v>0.22903374570403554</v>
      </c>
    </row>
    <row r="8025" spans="1:14" x14ac:dyDescent="0.45">
      <c r="A8025" t="s">
        <v>13391</v>
      </c>
      <c r="B8025" s="1">
        <v>44733</v>
      </c>
      <c r="C8025" t="s">
        <v>9566</v>
      </c>
      <c r="D8025" t="s">
        <v>56</v>
      </c>
      <c r="E8025" t="s">
        <v>14</v>
      </c>
      <c r="F8025" t="s">
        <v>57</v>
      </c>
      <c r="G8025">
        <v>2</v>
      </c>
      <c r="H8025">
        <v>48844.91</v>
      </c>
      <c r="I8025">
        <v>2821.68</v>
      </c>
      <c r="J8025" t="s">
        <v>22</v>
      </c>
      <c r="K8025" t="s">
        <v>17</v>
      </c>
      <c r="L8025">
        <f t="shared" si="375"/>
        <v>2022</v>
      </c>
      <c r="M8025" t="str">
        <f t="shared" si="376"/>
        <v>Jun</v>
      </c>
      <c r="N8025" s="2">
        <f t="shared" si="377"/>
        <v>5.7768148206230691E-2</v>
      </c>
    </row>
    <row r="8026" spans="1:14" x14ac:dyDescent="0.45">
      <c r="A8026" t="s">
        <v>13392</v>
      </c>
      <c r="B8026" s="1">
        <v>45492</v>
      </c>
      <c r="C8026" t="s">
        <v>13393</v>
      </c>
      <c r="D8026" t="s">
        <v>56</v>
      </c>
      <c r="E8026" t="s">
        <v>20</v>
      </c>
      <c r="F8026" t="s">
        <v>50</v>
      </c>
      <c r="G8026">
        <v>4</v>
      </c>
      <c r="H8026">
        <v>2327.34</v>
      </c>
      <c r="I8026">
        <v>256.08999999999997</v>
      </c>
      <c r="J8026" t="s">
        <v>22</v>
      </c>
      <c r="K8026" t="s">
        <v>23</v>
      </c>
      <c r="L8026">
        <f t="shared" si="375"/>
        <v>2024</v>
      </c>
      <c r="M8026" t="str">
        <f t="shared" si="376"/>
        <v>Jul</v>
      </c>
      <c r="N8026" s="2">
        <f t="shared" si="377"/>
        <v>0.11003549116158359</v>
      </c>
    </row>
    <row r="8027" spans="1:14" x14ac:dyDescent="0.45">
      <c r="A8027" t="s">
        <v>13394</v>
      </c>
      <c r="B8027" s="1">
        <v>45043</v>
      </c>
      <c r="C8027" t="s">
        <v>7354</v>
      </c>
      <c r="D8027" t="s">
        <v>26</v>
      </c>
      <c r="E8027" t="s">
        <v>14</v>
      </c>
      <c r="F8027" t="s">
        <v>15</v>
      </c>
      <c r="G8027">
        <v>1</v>
      </c>
      <c r="H8027">
        <v>34741.26</v>
      </c>
      <c r="I8027">
        <v>2385.17</v>
      </c>
      <c r="J8027" t="s">
        <v>22</v>
      </c>
      <c r="K8027" t="s">
        <v>23</v>
      </c>
      <c r="L8027">
        <f t="shared" si="375"/>
        <v>2023</v>
      </c>
      <c r="M8027" t="str">
        <f t="shared" si="376"/>
        <v>Apr</v>
      </c>
      <c r="N8027" s="2">
        <f t="shared" si="377"/>
        <v>6.8655253148561676E-2</v>
      </c>
    </row>
    <row r="8028" spans="1:14" x14ac:dyDescent="0.45">
      <c r="A8028" t="s">
        <v>13395</v>
      </c>
      <c r="B8028" s="1">
        <v>44669</v>
      </c>
      <c r="C8028" t="s">
        <v>692</v>
      </c>
      <c r="D8028" t="s">
        <v>13</v>
      </c>
      <c r="E8028" t="s">
        <v>14</v>
      </c>
      <c r="F8028" t="s">
        <v>40</v>
      </c>
      <c r="G8028">
        <v>4</v>
      </c>
      <c r="H8028">
        <v>26142.02</v>
      </c>
      <c r="I8028">
        <v>2507.19</v>
      </c>
      <c r="J8028" t="s">
        <v>22</v>
      </c>
      <c r="K8028" t="s">
        <v>17</v>
      </c>
      <c r="L8028">
        <f t="shared" si="375"/>
        <v>2022</v>
      </c>
      <c r="M8028" t="str">
        <f t="shared" si="376"/>
        <v>Apr</v>
      </c>
      <c r="N8028" s="2">
        <f t="shared" si="377"/>
        <v>9.5906513727707352E-2</v>
      </c>
    </row>
    <row r="8029" spans="1:14" x14ac:dyDescent="0.45">
      <c r="A8029" t="s">
        <v>13396</v>
      </c>
      <c r="B8029" s="1">
        <v>45603</v>
      </c>
      <c r="C8029" t="s">
        <v>13397</v>
      </c>
      <c r="D8029" t="s">
        <v>56</v>
      </c>
      <c r="E8029" t="s">
        <v>14</v>
      </c>
      <c r="F8029" t="s">
        <v>15</v>
      </c>
      <c r="G8029">
        <v>2</v>
      </c>
      <c r="H8029">
        <v>17161.84</v>
      </c>
      <c r="I8029">
        <v>2756.75</v>
      </c>
      <c r="J8029" t="s">
        <v>71</v>
      </c>
      <c r="K8029" t="s">
        <v>17</v>
      </c>
      <c r="L8029">
        <f t="shared" si="375"/>
        <v>2024</v>
      </c>
      <c r="M8029" t="str">
        <f t="shared" si="376"/>
        <v>Nov</v>
      </c>
      <c r="N8029" s="2">
        <f t="shared" si="377"/>
        <v>0.16063254289749818</v>
      </c>
    </row>
    <row r="8030" spans="1:14" x14ac:dyDescent="0.45">
      <c r="A8030" t="s">
        <v>13398</v>
      </c>
      <c r="B8030" s="1">
        <v>45051</v>
      </c>
      <c r="C8030" t="s">
        <v>1135</v>
      </c>
      <c r="D8030" t="s">
        <v>13</v>
      </c>
      <c r="E8030" t="s">
        <v>36</v>
      </c>
      <c r="F8030" t="s">
        <v>64</v>
      </c>
      <c r="G8030">
        <v>4</v>
      </c>
      <c r="H8030">
        <v>26902.959999999999</v>
      </c>
      <c r="I8030">
        <v>4677.32</v>
      </c>
      <c r="J8030" t="s">
        <v>22</v>
      </c>
      <c r="K8030" t="s">
        <v>33</v>
      </c>
      <c r="L8030">
        <f t="shared" si="375"/>
        <v>2023</v>
      </c>
      <c r="M8030" t="str">
        <f t="shared" si="376"/>
        <v>May</v>
      </c>
      <c r="N8030" s="2">
        <f t="shared" si="377"/>
        <v>0.17385893596838414</v>
      </c>
    </row>
    <row r="8031" spans="1:14" x14ac:dyDescent="0.45">
      <c r="A8031" t="s">
        <v>13399</v>
      </c>
      <c r="B8031" s="1">
        <v>44632</v>
      </c>
      <c r="C8031" t="s">
        <v>3733</v>
      </c>
      <c r="D8031" t="s">
        <v>13</v>
      </c>
      <c r="E8031" t="s">
        <v>36</v>
      </c>
      <c r="F8031" t="s">
        <v>53</v>
      </c>
      <c r="G8031">
        <v>1</v>
      </c>
      <c r="H8031">
        <v>22516.84</v>
      </c>
      <c r="I8031">
        <v>5393.83</v>
      </c>
      <c r="J8031" t="s">
        <v>16</v>
      </c>
      <c r="K8031" t="s">
        <v>33</v>
      </c>
      <c r="L8031">
        <f t="shared" si="375"/>
        <v>2022</v>
      </c>
      <c r="M8031" t="str">
        <f t="shared" si="376"/>
        <v>Mar</v>
      </c>
      <c r="N8031" s="2">
        <f t="shared" si="377"/>
        <v>0.23954649053774862</v>
      </c>
    </row>
    <row r="8032" spans="1:14" x14ac:dyDescent="0.45">
      <c r="A8032" t="s">
        <v>13400</v>
      </c>
      <c r="B8032" s="1">
        <v>44597</v>
      </c>
      <c r="C8032" t="s">
        <v>3790</v>
      </c>
      <c r="D8032" t="s">
        <v>13</v>
      </c>
      <c r="E8032" t="s">
        <v>20</v>
      </c>
      <c r="F8032" t="s">
        <v>27</v>
      </c>
      <c r="G8032">
        <v>4</v>
      </c>
      <c r="H8032">
        <v>5520.68</v>
      </c>
      <c r="I8032">
        <v>597.54</v>
      </c>
      <c r="J8032" t="s">
        <v>71</v>
      </c>
      <c r="K8032" t="s">
        <v>17</v>
      </c>
      <c r="L8032">
        <f t="shared" si="375"/>
        <v>2022</v>
      </c>
      <c r="M8032" t="str">
        <f t="shared" si="376"/>
        <v>Feb</v>
      </c>
      <c r="N8032" s="2">
        <f t="shared" si="377"/>
        <v>0.10823666649760535</v>
      </c>
    </row>
    <row r="8033" spans="1:14" x14ac:dyDescent="0.45">
      <c r="A8033" t="s">
        <v>13401</v>
      </c>
      <c r="B8033" s="1">
        <v>44945</v>
      </c>
      <c r="C8033" t="s">
        <v>1128</v>
      </c>
      <c r="D8033" t="s">
        <v>56</v>
      </c>
      <c r="E8033" t="s">
        <v>14</v>
      </c>
      <c r="F8033" t="s">
        <v>15</v>
      </c>
      <c r="G8033">
        <v>4</v>
      </c>
      <c r="H8033">
        <v>37721.9</v>
      </c>
      <c r="I8033">
        <v>9020.7099999999991</v>
      </c>
      <c r="J8033" t="s">
        <v>22</v>
      </c>
      <c r="K8033" t="s">
        <v>17</v>
      </c>
      <c r="L8033">
        <f t="shared" si="375"/>
        <v>2023</v>
      </c>
      <c r="M8033" t="str">
        <f t="shared" si="376"/>
        <v>Jan</v>
      </c>
      <c r="N8033" s="2">
        <f t="shared" si="377"/>
        <v>0.23913721207044181</v>
      </c>
    </row>
    <row r="8034" spans="1:14" x14ac:dyDescent="0.45">
      <c r="A8034" t="s">
        <v>13402</v>
      </c>
      <c r="B8034" s="1">
        <v>44678</v>
      </c>
      <c r="C8034" t="s">
        <v>13403</v>
      </c>
      <c r="D8034" t="s">
        <v>13</v>
      </c>
      <c r="E8034" t="s">
        <v>36</v>
      </c>
      <c r="F8034" t="s">
        <v>46</v>
      </c>
      <c r="G8034">
        <v>5</v>
      </c>
      <c r="H8034">
        <v>15893.91</v>
      </c>
      <c r="I8034">
        <v>1919.8</v>
      </c>
      <c r="J8034" t="s">
        <v>16</v>
      </c>
      <c r="K8034" t="s">
        <v>33</v>
      </c>
      <c r="L8034">
        <f t="shared" si="375"/>
        <v>2022</v>
      </c>
      <c r="M8034" t="str">
        <f t="shared" si="376"/>
        <v>Apr</v>
      </c>
      <c r="N8034" s="2">
        <f t="shared" si="377"/>
        <v>0.12078840260200291</v>
      </c>
    </row>
    <row r="8035" spans="1:14" x14ac:dyDescent="0.45">
      <c r="A8035" t="s">
        <v>13404</v>
      </c>
      <c r="B8035" s="1">
        <v>45388</v>
      </c>
      <c r="C8035" t="s">
        <v>13405</v>
      </c>
      <c r="D8035" t="s">
        <v>13</v>
      </c>
      <c r="E8035" t="s">
        <v>14</v>
      </c>
      <c r="F8035" t="s">
        <v>15</v>
      </c>
      <c r="G8035">
        <v>5</v>
      </c>
      <c r="H8035">
        <v>32061.98</v>
      </c>
      <c r="I8035">
        <v>3371.55</v>
      </c>
      <c r="J8035" t="s">
        <v>28</v>
      </c>
      <c r="K8035" t="s">
        <v>33</v>
      </c>
      <c r="L8035">
        <f t="shared" si="375"/>
        <v>2024</v>
      </c>
      <c r="M8035" t="str">
        <f t="shared" si="376"/>
        <v>Apr</v>
      </c>
      <c r="N8035" s="2">
        <f t="shared" si="377"/>
        <v>0.10515726103004244</v>
      </c>
    </row>
    <row r="8036" spans="1:14" x14ac:dyDescent="0.45">
      <c r="A8036" t="s">
        <v>13406</v>
      </c>
      <c r="B8036" s="1">
        <v>45505</v>
      </c>
      <c r="C8036" t="s">
        <v>13407</v>
      </c>
      <c r="D8036" t="s">
        <v>13</v>
      </c>
      <c r="E8036" t="s">
        <v>20</v>
      </c>
      <c r="F8036" t="s">
        <v>50</v>
      </c>
      <c r="G8036">
        <v>5</v>
      </c>
      <c r="H8036">
        <v>6616.1</v>
      </c>
      <c r="I8036">
        <v>582.59</v>
      </c>
      <c r="J8036" t="s">
        <v>28</v>
      </c>
      <c r="K8036" t="s">
        <v>33</v>
      </c>
      <c r="L8036">
        <f t="shared" si="375"/>
        <v>2024</v>
      </c>
      <c r="M8036" t="str">
        <f t="shared" si="376"/>
        <v>Aug</v>
      </c>
      <c r="N8036" s="2">
        <f t="shared" si="377"/>
        <v>8.805640785356933E-2</v>
      </c>
    </row>
    <row r="8037" spans="1:14" x14ac:dyDescent="0.45">
      <c r="A8037" t="s">
        <v>13408</v>
      </c>
      <c r="B8037" s="1">
        <v>45368</v>
      </c>
      <c r="C8037" t="s">
        <v>13409</v>
      </c>
      <c r="D8037" t="s">
        <v>26</v>
      </c>
      <c r="E8037" t="s">
        <v>20</v>
      </c>
      <c r="F8037" t="s">
        <v>21</v>
      </c>
      <c r="G8037">
        <v>3</v>
      </c>
      <c r="H8037">
        <v>40843.74</v>
      </c>
      <c r="I8037">
        <v>6730.29</v>
      </c>
      <c r="J8037" t="s">
        <v>47</v>
      </c>
      <c r="K8037" t="s">
        <v>33</v>
      </c>
      <c r="L8037">
        <f t="shared" si="375"/>
        <v>2024</v>
      </c>
      <c r="M8037" t="str">
        <f t="shared" si="376"/>
        <v>Mar</v>
      </c>
      <c r="N8037" s="2">
        <f t="shared" si="377"/>
        <v>0.16478143284625749</v>
      </c>
    </row>
    <row r="8038" spans="1:14" x14ac:dyDescent="0.45">
      <c r="A8038" t="s">
        <v>13410</v>
      </c>
      <c r="B8038" s="1">
        <v>45484</v>
      </c>
      <c r="C8038" t="s">
        <v>982</v>
      </c>
      <c r="D8038" t="s">
        <v>13</v>
      </c>
      <c r="E8038" t="s">
        <v>14</v>
      </c>
      <c r="F8038" t="s">
        <v>32</v>
      </c>
      <c r="G8038">
        <v>2</v>
      </c>
      <c r="H8038">
        <v>38253.1</v>
      </c>
      <c r="I8038">
        <v>5009.45</v>
      </c>
      <c r="J8038" t="s">
        <v>22</v>
      </c>
      <c r="K8038" t="s">
        <v>33</v>
      </c>
      <c r="L8038">
        <f t="shared" si="375"/>
        <v>2024</v>
      </c>
      <c r="M8038" t="str">
        <f t="shared" si="376"/>
        <v>Jul</v>
      </c>
      <c r="N8038" s="2">
        <f t="shared" si="377"/>
        <v>0.13095539969309677</v>
      </c>
    </row>
    <row r="8039" spans="1:14" x14ac:dyDescent="0.45">
      <c r="A8039" t="s">
        <v>13411</v>
      </c>
      <c r="B8039" s="1">
        <v>44926</v>
      </c>
      <c r="C8039" t="s">
        <v>13412</v>
      </c>
      <c r="D8039" t="s">
        <v>26</v>
      </c>
      <c r="E8039" t="s">
        <v>14</v>
      </c>
      <c r="F8039" t="s">
        <v>15</v>
      </c>
      <c r="G8039">
        <v>2</v>
      </c>
      <c r="H8039">
        <v>40369.06</v>
      </c>
      <c r="I8039">
        <v>6308.68</v>
      </c>
      <c r="J8039" t="s">
        <v>16</v>
      </c>
      <c r="K8039" t="s">
        <v>29</v>
      </c>
      <c r="L8039">
        <f t="shared" si="375"/>
        <v>2022</v>
      </c>
      <c r="M8039" t="str">
        <f t="shared" si="376"/>
        <v>Dec</v>
      </c>
      <c r="N8039" s="2">
        <f t="shared" si="377"/>
        <v>0.15627512753579104</v>
      </c>
    </row>
    <row r="8040" spans="1:14" x14ac:dyDescent="0.45">
      <c r="A8040" t="s">
        <v>13413</v>
      </c>
      <c r="B8040" s="1">
        <v>45032</v>
      </c>
      <c r="C8040" t="s">
        <v>13414</v>
      </c>
      <c r="D8040" t="s">
        <v>26</v>
      </c>
      <c r="E8040" t="s">
        <v>20</v>
      </c>
      <c r="F8040" t="s">
        <v>21</v>
      </c>
      <c r="G8040">
        <v>2</v>
      </c>
      <c r="H8040">
        <v>30915.48</v>
      </c>
      <c r="I8040">
        <v>5860.69</v>
      </c>
      <c r="J8040" t="s">
        <v>28</v>
      </c>
      <c r="K8040" t="s">
        <v>17</v>
      </c>
      <c r="L8040">
        <f t="shared" si="375"/>
        <v>2023</v>
      </c>
      <c r="M8040" t="str">
        <f t="shared" si="376"/>
        <v>Apr</v>
      </c>
      <c r="N8040" s="2">
        <f t="shared" si="377"/>
        <v>0.18957137330554141</v>
      </c>
    </row>
    <row r="8041" spans="1:14" x14ac:dyDescent="0.45">
      <c r="A8041" t="s">
        <v>13415</v>
      </c>
      <c r="B8041" s="1">
        <v>45631</v>
      </c>
      <c r="C8041" t="s">
        <v>11532</v>
      </c>
      <c r="D8041" t="s">
        <v>26</v>
      </c>
      <c r="E8041" t="s">
        <v>20</v>
      </c>
      <c r="F8041" t="s">
        <v>27</v>
      </c>
      <c r="G8041">
        <v>5</v>
      </c>
      <c r="H8041">
        <v>2841.53</v>
      </c>
      <c r="I8041">
        <v>369.5</v>
      </c>
      <c r="J8041" t="s">
        <v>16</v>
      </c>
      <c r="K8041" t="s">
        <v>23</v>
      </c>
      <c r="L8041">
        <f t="shared" si="375"/>
        <v>2024</v>
      </c>
      <c r="M8041" t="str">
        <f t="shared" si="376"/>
        <v>Dec</v>
      </c>
      <c r="N8041" s="2">
        <f t="shared" si="377"/>
        <v>0.13003557942376112</v>
      </c>
    </row>
    <row r="8042" spans="1:14" x14ac:dyDescent="0.45">
      <c r="A8042" t="s">
        <v>13416</v>
      </c>
      <c r="B8042" s="1">
        <v>45164</v>
      </c>
      <c r="C8042" t="s">
        <v>13417</v>
      </c>
      <c r="D8042" t="s">
        <v>13</v>
      </c>
      <c r="E8042" t="s">
        <v>36</v>
      </c>
      <c r="F8042" t="s">
        <v>53</v>
      </c>
      <c r="G8042">
        <v>1</v>
      </c>
      <c r="H8042">
        <v>15941.47</v>
      </c>
      <c r="I8042">
        <v>3630.96</v>
      </c>
      <c r="J8042" t="s">
        <v>16</v>
      </c>
      <c r="K8042" t="s">
        <v>23</v>
      </c>
      <c r="L8042">
        <f t="shared" si="375"/>
        <v>2023</v>
      </c>
      <c r="M8042" t="str">
        <f t="shared" si="376"/>
        <v>Aug</v>
      </c>
      <c r="N8042" s="2">
        <f t="shared" si="377"/>
        <v>0.2277682045633182</v>
      </c>
    </row>
    <row r="8043" spans="1:14" x14ac:dyDescent="0.45">
      <c r="A8043" t="s">
        <v>13418</v>
      </c>
      <c r="B8043" s="1">
        <v>45168</v>
      </c>
      <c r="C8043" t="s">
        <v>8596</v>
      </c>
      <c r="D8043" t="s">
        <v>26</v>
      </c>
      <c r="E8043" t="s">
        <v>20</v>
      </c>
      <c r="F8043" t="s">
        <v>50</v>
      </c>
      <c r="G8043">
        <v>2</v>
      </c>
      <c r="H8043">
        <v>6164.34</v>
      </c>
      <c r="I8043">
        <v>1205.75</v>
      </c>
      <c r="J8043" t="s">
        <v>22</v>
      </c>
      <c r="K8043" t="s">
        <v>23</v>
      </c>
      <c r="L8043">
        <f t="shared" si="375"/>
        <v>2023</v>
      </c>
      <c r="M8043" t="str">
        <f t="shared" si="376"/>
        <v>Aug</v>
      </c>
      <c r="N8043" s="2">
        <f t="shared" si="377"/>
        <v>0.19560082669028639</v>
      </c>
    </row>
    <row r="8044" spans="1:14" x14ac:dyDescent="0.45">
      <c r="A8044" t="s">
        <v>13419</v>
      </c>
      <c r="B8044" s="1">
        <v>45097</v>
      </c>
      <c r="C8044" t="s">
        <v>986</v>
      </c>
      <c r="D8044" t="s">
        <v>26</v>
      </c>
      <c r="E8044" t="s">
        <v>36</v>
      </c>
      <c r="F8044" t="s">
        <v>64</v>
      </c>
      <c r="G8044">
        <v>1</v>
      </c>
      <c r="H8044">
        <v>49629.03</v>
      </c>
      <c r="I8044">
        <v>4221.6099999999997</v>
      </c>
      <c r="J8044" t="s">
        <v>28</v>
      </c>
      <c r="K8044" t="s">
        <v>29</v>
      </c>
      <c r="L8044">
        <f t="shared" si="375"/>
        <v>2023</v>
      </c>
      <c r="M8044" t="str">
        <f t="shared" si="376"/>
        <v>Jun</v>
      </c>
      <c r="N8044" s="2">
        <f t="shared" si="377"/>
        <v>8.5063318787411316E-2</v>
      </c>
    </row>
    <row r="8045" spans="1:14" x14ac:dyDescent="0.45">
      <c r="A8045" t="s">
        <v>13420</v>
      </c>
      <c r="B8045" s="1">
        <v>44877</v>
      </c>
      <c r="C8045" t="s">
        <v>13421</v>
      </c>
      <c r="D8045" t="s">
        <v>26</v>
      </c>
      <c r="E8045" t="s">
        <v>36</v>
      </c>
      <c r="F8045" t="s">
        <v>64</v>
      </c>
      <c r="G8045">
        <v>4</v>
      </c>
      <c r="H8045">
        <v>13580.31</v>
      </c>
      <c r="I8045">
        <v>1265.8599999999999</v>
      </c>
      <c r="J8045" t="s">
        <v>71</v>
      </c>
      <c r="K8045" t="s">
        <v>23</v>
      </c>
      <c r="L8045">
        <f t="shared" si="375"/>
        <v>2022</v>
      </c>
      <c r="M8045" t="str">
        <f t="shared" si="376"/>
        <v>Nov</v>
      </c>
      <c r="N8045" s="2">
        <f t="shared" si="377"/>
        <v>9.3212894256463952E-2</v>
      </c>
    </row>
    <row r="8046" spans="1:14" x14ac:dyDescent="0.45">
      <c r="A8046" t="s">
        <v>13422</v>
      </c>
      <c r="B8046" s="1">
        <v>45076</v>
      </c>
      <c r="C8046" t="s">
        <v>12825</v>
      </c>
      <c r="D8046" t="s">
        <v>56</v>
      </c>
      <c r="E8046" t="s">
        <v>36</v>
      </c>
      <c r="F8046" t="s">
        <v>53</v>
      </c>
      <c r="G8046">
        <v>4</v>
      </c>
      <c r="H8046">
        <v>25897.79</v>
      </c>
      <c r="I8046">
        <v>6248.11</v>
      </c>
      <c r="J8046" t="s">
        <v>28</v>
      </c>
      <c r="K8046" t="s">
        <v>29</v>
      </c>
      <c r="L8046">
        <f t="shared" si="375"/>
        <v>2023</v>
      </c>
      <c r="M8046" t="str">
        <f t="shared" si="376"/>
        <v>May</v>
      </c>
      <c r="N8046" s="2">
        <f t="shared" si="377"/>
        <v>0.24126035464802206</v>
      </c>
    </row>
    <row r="8047" spans="1:14" x14ac:dyDescent="0.45">
      <c r="A8047" t="s">
        <v>13423</v>
      </c>
      <c r="B8047" s="1">
        <v>45025</v>
      </c>
      <c r="C8047" t="s">
        <v>13424</v>
      </c>
      <c r="D8047" t="s">
        <v>56</v>
      </c>
      <c r="E8047" t="s">
        <v>14</v>
      </c>
      <c r="F8047" t="s">
        <v>57</v>
      </c>
      <c r="G8047">
        <v>3</v>
      </c>
      <c r="H8047">
        <v>37198.400000000001</v>
      </c>
      <c r="I8047">
        <v>3720.68</v>
      </c>
      <c r="J8047" t="s">
        <v>71</v>
      </c>
      <c r="K8047" t="s">
        <v>29</v>
      </c>
      <c r="L8047">
        <f t="shared" si="375"/>
        <v>2023</v>
      </c>
      <c r="M8047" t="str">
        <f t="shared" si="376"/>
        <v>Apr</v>
      </c>
      <c r="N8047" s="2">
        <f t="shared" si="377"/>
        <v>0.1000225816164136</v>
      </c>
    </row>
    <row r="8048" spans="1:14" x14ac:dyDescent="0.45">
      <c r="A8048" t="s">
        <v>13425</v>
      </c>
      <c r="B8048" s="1">
        <v>44865</v>
      </c>
      <c r="C8048" t="s">
        <v>13426</v>
      </c>
      <c r="D8048" t="s">
        <v>56</v>
      </c>
      <c r="E8048" t="s">
        <v>36</v>
      </c>
      <c r="F8048" t="s">
        <v>64</v>
      </c>
      <c r="G8048">
        <v>2</v>
      </c>
      <c r="H8048">
        <v>39666.910000000003</v>
      </c>
      <c r="I8048">
        <v>7921.95</v>
      </c>
      <c r="J8048" t="s">
        <v>22</v>
      </c>
      <c r="K8048" t="s">
        <v>23</v>
      </c>
      <c r="L8048">
        <f t="shared" si="375"/>
        <v>2022</v>
      </c>
      <c r="M8048" t="str">
        <f t="shared" si="376"/>
        <v>Oct</v>
      </c>
      <c r="N8048" s="2">
        <f t="shared" si="377"/>
        <v>0.19971180008727676</v>
      </c>
    </row>
    <row r="8049" spans="1:14" x14ac:dyDescent="0.45">
      <c r="A8049" t="s">
        <v>13427</v>
      </c>
      <c r="B8049" s="1">
        <v>44983</v>
      </c>
      <c r="C8049" t="s">
        <v>9622</v>
      </c>
      <c r="D8049" t="s">
        <v>26</v>
      </c>
      <c r="E8049" t="s">
        <v>14</v>
      </c>
      <c r="F8049" t="s">
        <v>15</v>
      </c>
      <c r="G8049">
        <v>4</v>
      </c>
      <c r="H8049">
        <v>42705.06</v>
      </c>
      <c r="I8049">
        <v>10154.950000000001</v>
      </c>
      <c r="J8049" t="s">
        <v>71</v>
      </c>
      <c r="K8049" t="s">
        <v>29</v>
      </c>
      <c r="L8049">
        <f t="shared" si="375"/>
        <v>2023</v>
      </c>
      <c r="M8049" t="str">
        <f t="shared" si="376"/>
        <v>Feb</v>
      </c>
      <c r="N8049" s="2">
        <f t="shared" si="377"/>
        <v>0.2377926643821599</v>
      </c>
    </row>
    <row r="8050" spans="1:14" x14ac:dyDescent="0.45">
      <c r="A8050" t="s">
        <v>13428</v>
      </c>
      <c r="B8050" s="1">
        <v>45312</v>
      </c>
      <c r="C8050" t="s">
        <v>13429</v>
      </c>
      <c r="D8050" t="s">
        <v>56</v>
      </c>
      <c r="E8050" t="s">
        <v>14</v>
      </c>
      <c r="F8050" t="s">
        <v>40</v>
      </c>
      <c r="G8050">
        <v>4</v>
      </c>
      <c r="H8050">
        <v>29523.07</v>
      </c>
      <c r="I8050">
        <v>5453.22</v>
      </c>
      <c r="J8050" t="s">
        <v>22</v>
      </c>
      <c r="K8050" t="s">
        <v>33</v>
      </c>
      <c r="L8050">
        <f t="shared" si="375"/>
        <v>2024</v>
      </c>
      <c r="M8050" t="str">
        <f t="shared" si="376"/>
        <v>Jan</v>
      </c>
      <c r="N8050" s="2">
        <f t="shared" si="377"/>
        <v>0.18471046540891581</v>
      </c>
    </row>
    <row r="8051" spans="1:14" x14ac:dyDescent="0.45">
      <c r="A8051" t="s">
        <v>13430</v>
      </c>
      <c r="B8051" s="1">
        <v>44979</v>
      </c>
      <c r="C8051" t="s">
        <v>1544</v>
      </c>
      <c r="D8051" t="s">
        <v>26</v>
      </c>
      <c r="E8051" t="s">
        <v>14</v>
      </c>
      <c r="F8051" t="s">
        <v>32</v>
      </c>
      <c r="G8051">
        <v>1</v>
      </c>
      <c r="H8051">
        <v>10749.1</v>
      </c>
      <c r="I8051">
        <v>2355.0700000000002</v>
      </c>
      <c r="J8051" t="s">
        <v>28</v>
      </c>
      <c r="K8051" t="s">
        <v>17</v>
      </c>
      <c r="L8051">
        <f t="shared" si="375"/>
        <v>2023</v>
      </c>
      <c r="M8051" t="str">
        <f t="shared" si="376"/>
        <v>Feb</v>
      </c>
      <c r="N8051" s="2">
        <f t="shared" si="377"/>
        <v>0.21909462187531981</v>
      </c>
    </row>
    <row r="8052" spans="1:14" x14ac:dyDescent="0.45">
      <c r="A8052" t="s">
        <v>13431</v>
      </c>
      <c r="B8052" s="1">
        <v>45215</v>
      </c>
      <c r="C8052" t="s">
        <v>5187</v>
      </c>
      <c r="D8052" t="s">
        <v>56</v>
      </c>
      <c r="E8052" t="s">
        <v>36</v>
      </c>
      <c r="F8052" t="s">
        <v>46</v>
      </c>
      <c r="G8052">
        <v>4</v>
      </c>
      <c r="H8052">
        <v>36808.639999999999</v>
      </c>
      <c r="I8052">
        <v>3359.67</v>
      </c>
      <c r="J8052" t="s">
        <v>22</v>
      </c>
      <c r="K8052" t="s">
        <v>23</v>
      </c>
      <c r="L8052">
        <f t="shared" si="375"/>
        <v>2023</v>
      </c>
      <c r="M8052" t="str">
        <f t="shared" si="376"/>
        <v>Oct</v>
      </c>
      <c r="N8052" s="2">
        <f t="shared" si="377"/>
        <v>9.127395089848471E-2</v>
      </c>
    </row>
    <row r="8053" spans="1:14" x14ac:dyDescent="0.45">
      <c r="A8053" t="s">
        <v>13432</v>
      </c>
      <c r="B8053" s="1">
        <v>45212</v>
      </c>
      <c r="C8053" t="s">
        <v>4237</v>
      </c>
      <c r="D8053" t="s">
        <v>13</v>
      </c>
      <c r="E8053" t="s">
        <v>36</v>
      </c>
      <c r="F8053" t="s">
        <v>53</v>
      </c>
      <c r="G8053">
        <v>2</v>
      </c>
      <c r="H8053">
        <v>10631.77</v>
      </c>
      <c r="I8053">
        <v>813.36</v>
      </c>
      <c r="J8053" t="s">
        <v>16</v>
      </c>
      <c r="K8053" t="s">
        <v>17</v>
      </c>
      <c r="L8053">
        <f t="shared" si="375"/>
        <v>2023</v>
      </c>
      <c r="M8053" t="str">
        <f t="shared" si="376"/>
        <v>Oct</v>
      </c>
      <c r="N8053" s="2">
        <f t="shared" si="377"/>
        <v>7.6502783638096011E-2</v>
      </c>
    </row>
    <row r="8054" spans="1:14" x14ac:dyDescent="0.45">
      <c r="A8054" t="s">
        <v>13433</v>
      </c>
      <c r="B8054" s="1">
        <v>44629</v>
      </c>
      <c r="C8054" t="s">
        <v>5220</v>
      </c>
      <c r="D8054" t="s">
        <v>13</v>
      </c>
      <c r="E8054" t="s">
        <v>14</v>
      </c>
      <c r="F8054" t="s">
        <v>57</v>
      </c>
      <c r="G8054">
        <v>3</v>
      </c>
      <c r="H8054">
        <v>17324.22</v>
      </c>
      <c r="I8054">
        <v>3507.15</v>
      </c>
      <c r="J8054" t="s">
        <v>28</v>
      </c>
      <c r="K8054" t="s">
        <v>29</v>
      </c>
      <c r="L8054">
        <f t="shared" si="375"/>
        <v>2022</v>
      </c>
      <c r="M8054" t="str">
        <f t="shared" si="376"/>
        <v>Mar</v>
      </c>
      <c r="N8054" s="2">
        <f t="shared" si="377"/>
        <v>0.20244201470542394</v>
      </c>
    </row>
    <row r="8055" spans="1:14" x14ac:dyDescent="0.45">
      <c r="A8055" t="s">
        <v>13434</v>
      </c>
      <c r="B8055" s="1">
        <v>44581</v>
      </c>
      <c r="C8055" t="s">
        <v>7130</v>
      </c>
      <c r="D8055" t="s">
        <v>56</v>
      </c>
      <c r="E8055" t="s">
        <v>36</v>
      </c>
      <c r="F8055" t="s">
        <v>64</v>
      </c>
      <c r="G8055">
        <v>3</v>
      </c>
      <c r="H8055">
        <v>42762.62</v>
      </c>
      <c r="I8055">
        <v>9205.3799999999992</v>
      </c>
      <c r="J8055" t="s">
        <v>22</v>
      </c>
      <c r="K8055" t="s">
        <v>23</v>
      </c>
      <c r="L8055">
        <f t="shared" si="375"/>
        <v>2022</v>
      </c>
      <c r="M8055" t="str">
        <f t="shared" si="376"/>
        <v>Jan</v>
      </c>
      <c r="N8055" s="2">
        <f t="shared" si="377"/>
        <v>0.21526697849664025</v>
      </c>
    </row>
    <row r="8056" spans="1:14" x14ac:dyDescent="0.45">
      <c r="A8056" t="s">
        <v>13435</v>
      </c>
      <c r="B8056" s="1">
        <v>45330</v>
      </c>
      <c r="C8056" t="s">
        <v>10748</v>
      </c>
      <c r="D8056" t="s">
        <v>13</v>
      </c>
      <c r="E8056" t="s">
        <v>14</v>
      </c>
      <c r="F8056" t="s">
        <v>15</v>
      </c>
      <c r="G8056">
        <v>1</v>
      </c>
      <c r="H8056">
        <v>33758.519999999997</v>
      </c>
      <c r="I8056">
        <v>8103.94</v>
      </c>
      <c r="J8056" t="s">
        <v>22</v>
      </c>
      <c r="K8056" t="s">
        <v>29</v>
      </c>
      <c r="L8056">
        <f t="shared" si="375"/>
        <v>2024</v>
      </c>
      <c r="M8056" t="str">
        <f t="shared" si="376"/>
        <v>Feb</v>
      </c>
      <c r="N8056" s="2">
        <f t="shared" si="377"/>
        <v>0.24005613990186775</v>
      </c>
    </row>
    <row r="8057" spans="1:14" x14ac:dyDescent="0.45">
      <c r="A8057" t="s">
        <v>13436</v>
      </c>
      <c r="B8057" s="1">
        <v>45124</v>
      </c>
      <c r="C8057" t="s">
        <v>504</v>
      </c>
      <c r="D8057" t="s">
        <v>26</v>
      </c>
      <c r="E8057" t="s">
        <v>14</v>
      </c>
      <c r="F8057" t="s">
        <v>32</v>
      </c>
      <c r="G8057">
        <v>1</v>
      </c>
      <c r="H8057">
        <v>42031.33</v>
      </c>
      <c r="I8057">
        <v>5726.57</v>
      </c>
      <c r="J8057" t="s">
        <v>71</v>
      </c>
      <c r="K8057" t="s">
        <v>33</v>
      </c>
      <c r="L8057">
        <f t="shared" si="375"/>
        <v>2023</v>
      </c>
      <c r="M8057" t="str">
        <f t="shared" si="376"/>
        <v>Jul</v>
      </c>
      <c r="N8057" s="2">
        <f t="shared" si="377"/>
        <v>0.13624527227665648</v>
      </c>
    </row>
    <row r="8058" spans="1:14" x14ac:dyDescent="0.45">
      <c r="A8058" t="s">
        <v>13437</v>
      </c>
      <c r="B8058" s="1">
        <v>45004</v>
      </c>
      <c r="C8058" t="s">
        <v>13438</v>
      </c>
      <c r="D8058" t="s">
        <v>13</v>
      </c>
      <c r="E8058" t="s">
        <v>36</v>
      </c>
      <c r="F8058" t="s">
        <v>53</v>
      </c>
      <c r="G8058">
        <v>5</v>
      </c>
      <c r="H8058">
        <v>22415.15</v>
      </c>
      <c r="I8058">
        <v>4108.55</v>
      </c>
      <c r="J8058" t="s">
        <v>16</v>
      </c>
      <c r="K8058" t="s">
        <v>29</v>
      </c>
      <c r="L8058">
        <f t="shared" si="375"/>
        <v>2023</v>
      </c>
      <c r="M8058" t="str">
        <f t="shared" si="376"/>
        <v>Mar</v>
      </c>
      <c r="N8058" s="2">
        <f t="shared" si="377"/>
        <v>0.1832934421585401</v>
      </c>
    </row>
    <row r="8059" spans="1:14" x14ac:dyDescent="0.45">
      <c r="A8059" t="s">
        <v>13439</v>
      </c>
      <c r="B8059" s="1">
        <v>44964</v>
      </c>
      <c r="C8059" t="s">
        <v>8672</v>
      </c>
      <c r="D8059" t="s">
        <v>13</v>
      </c>
      <c r="E8059" t="s">
        <v>14</v>
      </c>
      <c r="F8059" t="s">
        <v>32</v>
      </c>
      <c r="G8059">
        <v>1</v>
      </c>
      <c r="H8059">
        <v>16307.45</v>
      </c>
      <c r="I8059">
        <v>2964.95</v>
      </c>
      <c r="J8059" t="s">
        <v>71</v>
      </c>
      <c r="K8059" t="s">
        <v>17</v>
      </c>
      <c r="L8059">
        <f t="shared" si="375"/>
        <v>2023</v>
      </c>
      <c r="M8059" t="str">
        <f t="shared" si="376"/>
        <v>Feb</v>
      </c>
      <c r="N8059" s="2">
        <f t="shared" si="377"/>
        <v>0.18181567320457825</v>
      </c>
    </row>
    <row r="8060" spans="1:14" x14ac:dyDescent="0.45">
      <c r="A8060" t="s">
        <v>13440</v>
      </c>
      <c r="B8060" s="1">
        <v>45532</v>
      </c>
      <c r="C8060" t="s">
        <v>355</v>
      </c>
      <c r="D8060" t="s">
        <v>26</v>
      </c>
      <c r="E8060" t="s">
        <v>36</v>
      </c>
      <c r="F8060" t="s">
        <v>37</v>
      </c>
      <c r="G8060">
        <v>2</v>
      </c>
      <c r="H8060">
        <v>23669.06</v>
      </c>
      <c r="I8060">
        <v>2893.23</v>
      </c>
      <c r="J8060" t="s">
        <v>22</v>
      </c>
      <c r="K8060" t="s">
        <v>23</v>
      </c>
      <c r="L8060">
        <f t="shared" si="375"/>
        <v>2024</v>
      </c>
      <c r="M8060" t="str">
        <f t="shared" si="376"/>
        <v>Aug</v>
      </c>
      <c r="N8060" s="2">
        <f t="shared" si="377"/>
        <v>0.12223679351862726</v>
      </c>
    </row>
    <row r="8061" spans="1:14" x14ac:dyDescent="0.45">
      <c r="A8061" t="s">
        <v>13441</v>
      </c>
      <c r="B8061" s="1">
        <v>44784</v>
      </c>
      <c r="C8061" t="s">
        <v>13442</v>
      </c>
      <c r="D8061" t="s">
        <v>56</v>
      </c>
      <c r="E8061" t="s">
        <v>36</v>
      </c>
      <c r="F8061" t="s">
        <v>53</v>
      </c>
      <c r="G8061">
        <v>5</v>
      </c>
      <c r="H8061">
        <v>4514.04</v>
      </c>
      <c r="I8061">
        <v>768.95</v>
      </c>
      <c r="J8061" t="s">
        <v>28</v>
      </c>
      <c r="K8061" t="s">
        <v>17</v>
      </c>
      <c r="L8061">
        <f t="shared" si="375"/>
        <v>2022</v>
      </c>
      <c r="M8061" t="str">
        <f t="shared" si="376"/>
        <v>Aug</v>
      </c>
      <c r="N8061" s="2">
        <f t="shared" si="377"/>
        <v>0.17034629733010787</v>
      </c>
    </row>
    <row r="8062" spans="1:14" x14ac:dyDescent="0.45">
      <c r="A8062" t="s">
        <v>13443</v>
      </c>
      <c r="B8062" s="1">
        <v>44934</v>
      </c>
      <c r="C8062" t="s">
        <v>13444</v>
      </c>
      <c r="D8062" t="s">
        <v>26</v>
      </c>
      <c r="E8062" t="s">
        <v>36</v>
      </c>
      <c r="F8062" t="s">
        <v>46</v>
      </c>
      <c r="G8062">
        <v>2</v>
      </c>
      <c r="H8062">
        <v>1369.17</v>
      </c>
      <c r="I8062">
        <v>75.53</v>
      </c>
      <c r="J8062" t="s">
        <v>28</v>
      </c>
      <c r="K8062" t="s">
        <v>29</v>
      </c>
      <c r="L8062">
        <f t="shared" si="375"/>
        <v>2023</v>
      </c>
      <c r="M8062" t="str">
        <f t="shared" si="376"/>
        <v>Jan</v>
      </c>
      <c r="N8062" s="2">
        <f t="shared" si="377"/>
        <v>5.5164807876304622E-2</v>
      </c>
    </row>
    <row r="8063" spans="1:14" x14ac:dyDescent="0.45">
      <c r="A8063" t="s">
        <v>13445</v>
      </c>
      <c r="B8063" s="1">
        <v>44817</v>
      </c>
      <c r="C8063" t="s">
        <v>7549</v>
      </c>
      <c r="D8063" t="s">
        <v>56</v>
      </c>
      <c r="E8063" t="s">
        <v>20</v>
      </c>
      <c r="F8063" t="s">
        <v>50</v>
      </c>
      <c r="G8063">
        <v>5</v>
      </c>
      <c r="H8063">
        <v>18731.21</v>
      </c>
      <c r="I8063">
        <v>2115.35</v>
      </c>
      <c r="J8063" t="s">
        <v>47</v>
      </c>
      <c r="K8063" t="s">
        <v>29</v>
      </c>
      <c r="L8063">
        <f t="shared" si="375"/>
        <v>2022</v>
      </c>
      <c r="M8063" t="str">
        <f t="shared" si="376"/>
        <v>Sep</v>
      </c>
      <c r="N8063" s="2">
        <f t="shared" si="377"/>
        <v>0.11293183942735147</v>
      </c>
    </row>
    <row r="8064" spans="1:14" x14ac:dyDescent="0.45">
      <c r="A8064" t="s">
        <v>13446</v>
      </c>
      <c r="B8064" s="1">
        <v>45192</v>
      </c>
      <c r="C8064" t="s">
        <v>13447</v>
      </c>
      <c r="D8064" t="s">
        <v>56</v>
      </c>
      <c r="E8064" t="s">
        <v>14</v>
      </c>
      <c r="F8064" t="s">
        <v>32</v>
      </c>
      <c r="G8064">
        <v>2</v>
      </c>
      <c r="H8064">
        <v>3900.08</v>
      </c>
      <c r="I8064">
        <v>911.8</v>
      </c>
      <c r="J8064" t="s">
        <v>28</v>
      </c>
      <c r="K8064" t="s">
        <v>33</v>
      </c>
      <c r="L8064">
        <f t="shared" si="375"/>
        <v>2023</v>
      </c>
      <c r="M8064" t="str">
        <f t="shared" si="376"/>
        <v>Sep</v>
      </c>
      <c r="N8064" s="2">
        <f t="shared" si="377"/>
        <v>0.23379007610100305</v>
      </c>
    </row>
    <row r="8065" spans="1:14" x14ac:dyDescent="0.45">
      <c r="A8065" t="s">
        <v>13448</v>
      </c>
      <c r="B8065" s="1">
        <v>44687</v>
      </c>
      <c r="C8065" t="s">
        <v>429</v>
      </c>
      <c r="D8065" t="s">
        <v>56</v>
      </c>
      <c r="E8065" t="s">
        <v>20</v>
      </c>
      <c r="F8065" t="s">
        <v>50</v>
      </c>
      <c r="G8065">
        <v>2</v>
      </c>
      <c r="H8065">
        <v>34486.699999999997</v>
      </c>
      <c r="I8065">
        <v>7129.86</v>
      </c>
      <c r="J8065" t="s">
        <v>47</v>
      </c>
      <c r="K8065" t="s">
        <v>17</v>
      </c>
      <c r="L8065">
        <f t="shared" si="375"/>
        <v>2022</v>
      </c>
      <c r="M8065" t="str">
        <f t="shared" si="376"/>
        <v>May</v>
      </c>
      <c r="N8065" s="2">
        <f t="shared" si="377"/>
        <v>0.20674230935404084</v>
      </c>
    </row>
    <row r="8066" spans="1:14" x14ac:dyDescent="0.45">
      <c r="A8066" t="s">
        <v>13449</v>
      </c>
      <c r="B8066" s="1">
        <v>45258</v>
      </c>
      <c r="C8066" t="s">
        <v>7385</v>
      </c>
      <c r="D8066" t="s">
        <v>26</v>
      </c>
      <c r="E8066" t="s">
        <v>20</v>
      </c>
      <c r="F8066" t="s">
        <v>50</v>
      </c>
      <c r="G8066">
        <v>1</v>
      </c>
      <c r="H8066">
        <v>45036.34</v>
      </c>
      <c r="I8066">
        <v>11233.25</v>
      </c>
      <c r="J8066" t="s">
        <v>47</v>
      </c>
      <c r="K8066" t="s">
        <v>23</v>
      </c>
      <c r="L8066">
        <f t="shared" si="375"/>
        <v>2023</v>
      </c>
      <c r="M8066" t="str">
        <f t="shared" si="376"/>
        <v>Nov</v>
      </c>
      <c r="N8066" s="2">
        <f t="shared" si="377"/>
        <v>0.24942635214140405</v>
      </c>
    </row>
    <row r="8067" spans="1:14" x14ac:dyDescent="0.45">
      <c r="A8067" t="s">
        <v>13450</v>
      </c>
      <c r="B8067" s="1">
        <v>45397</v>
      </c>
      <c r="C8067" t="s">
        <v>13187</v>
      </c>
      <c r="D8067" t="s">
        <v>26</v>
      </c>
      <c r="E8067" t="s">
        <v>20</v>
      </c>
      <c r="F8067" t="s">
        <v>50</v>
      </c>
      <c r="G8067">
        <v>5</v>
      </c>
      <c r="H8067">
        <v>25855.99</v>
      </c>
      <c r="I8067">
        <v>3275.46</v>
      </c>
      <c r="J8067" t="s">
        <v>47</v>
      </c>
      <c r="K8067" t="s">
        <v>29</v>
      </c>
      <c r="L8067">
        <f t="shared" ref="L8067:L8130" si="378">YEAR(B8067 )</f>
        <v>2024</v>
      </c>
      <c r="M8067" t="str">
        <f t="shared" ref="M8067:M8130" si="379">TEXT(B8067,"MMM")</f>
        <v>Apr</v>
      </c>
      <c r="N8067" s="2">
        <f t="shared" ref="N8067:N8130" si="380">I8067 / H8067</f>
        <v>0.12668089676705474</v>
      </c>
    </row>
    <row r="8068" spans="1:14" x14ac:dyDescent="0.45">
      <c r="A8068" t="s">
        <v>13451</v>
      </c>
      <c r="B8068" s="1">
        <v>44581</v>
      </c>
      <c r="C8068" t="s">
        <v>7874</v>
      </c>
      <c r="D8068" t="s">
        <v>56</v>
      </c>
      <c r="E8068" t="s">
        <v>36</v>
      </c>
      <c r="F8068" t="s">
        <v>46</v>
      </c>
      <c r="G8068">
        <v>3</v>
      </c>
      <c r="H8068">
        <v>44439.16</v>
      </c>
      <c r="I8068">
        <v>8116.27</v>
      </c>
      <c r="J8068" t="s">
        <v>16</v>
      </c>
      <c r="K8068" t="s">
        <v>29</v>
      </c>
      <c r="L8068">
        <f t="shared" si="378"/>
        <v>2022</v>
      </c>
      <c r="M8068" t="str">
        <f t="shared" si="379"/>
        <v>Jan</v>
      </c>
      <c r="N8068" s="2">
        <f t="shared" si="380"/>
        <v>0.18263779063330629</v>
      </c>
    </row>
    <row r="8069" spans="1:14" x14ac:dyDescent="0.45">
      <c r="A8069" t="s">
        <v>13452</v>
      </c>
      <c r="B8069" s="1">
        <v>44858</v>
      </c>
      <c r="C8069" t="s">
        <v>9860</v>
      </c>
      <c r="D8069" t="s">
        <v>13</v>
      </c>
      <c r="E8069" t="s">
        <v>14</v>
      </c>
      <c r="F8069" t="s">
        <v>32</v>
      </c>
      <c r="G8069">
        <v>3</v>
      </c>
      <c r="H8069">
        <v>41435.4</v>
      </c>
      <c r="I8069">
        <v>9979.5300000000007</v>
      </c>
      <c r="J8069" t="s">
        <v>22</v>
      </c>
      <c r="K8069" t="s">
        <v>23</v>
      </c>
      <c r="L8069">
        <f t="shared" si="378"/>
        <v>2022</v>
      </c>
      <c r="M8069" t="str">
        <f t="shared" si="379"/>
        <v>Oct</v>
      </c>
      <c r="N8069" s="2">
        <f t="shared" si="380"/>
        <v>0.24084550891266887</v>
      </c>
    </row>
    <row r="8070" spans="1:14" x14ac:dyDescent="0.45">
      <c r="A8070" t="s">
        <v>13453</v>
      </c>
      <c r="B8070" s="1">
        <v>45260</v>
      </c>
      <c r="C8070" t="s">
        <v>1036</v>
      </c>
      <c r="D8070" t="s">
        <v>13</v>
      </c>
      <c r="E8070" t="s">
        <v>20</v>
      </c>
      <c r="F8070" t="s">
        <v>21</v>
      </c>
      <c r="G8070">
        <v>2</v>
      </c>
      <c r="H8070">
        <v>40653.26</v>
      </c>
      <c r="I8070">
        <v>5601.02</v>
      </c>
      <c r="J8070" t="s">
        <v>71</v>
      </c>
      <c r="K8070" t="s">
        <v>17</v>
      </c>
      <c r="L8070">
        <f t="shared" si="378"/>
        <v>2023</v>
      </c>
      <c r="M8070" t="str">
        <f t="shared" si="379"/>
        <v>Nov</v>
      </c>
      <c r="N8070" s="2">
        <f t="shared" si="380"/>
        <v>0.13777542071656737</v>
      </c>
    </row>
    <row r="8071" spans="1:14" x14ac:dyDescent="0.45">
      <c r="A8071" t="s">
        <v>13454</v>
      </c>
      <c r="B8071" s="1">
        <v>45231</v>
      </c>
      <c r="C8071" t="s">
        <v>8346</v>
      </c>
      <c r="D8071" t="s">
        <v>13</v>
      </c>
      <c r="E8071" t="s">
        <v>14</v>
      </c>
      <c r="F8071" t="s">
        <v>57</v>
      </c>
      <c r="G8071">
        <v>2</v>
      </c>
      <c r="H8071">
        <v>36451.870000000003</v>
      </c>
      <c r="I8071">
        <v>8459.09</v>
      </c>
      <c r="J8071" t="s">
        <v>71</v>
      </c>
      <c r="K8071" t="s">
        <v>29</v>
      </c>
      <c r="L8071">
        <f t="shared" si="378"/>
        <v>2023</v>
      </c>
      <c r="M8071" t="str">
        <f t="shared" si="379"/>
        <v>Nov</v>
      </c>
      <c r="N8071" s="2">
        <f t="shared" si="380"/>
        <v>0.2320618942183213</v>
      </c>
    </row>
    <row r="8072" spans="1:14" x14ac:dyDescent="0.45">
      <c r="A8072" t="s">
        <v>13455</v>
      </c>
      <c r="B8072" s="1">
        <v>45409</v>
      </c>
      <c r="C8072" t="s">
        <v>11907</v>
      </c>
      <c r="D8072" t="s">
        <v>13</v>
      </c>
      <c r="E8072" t="s">
        <v>36</v>
      </c>
      <c r="F8072" t="s">
        <v>46</v>
      </c>
      <c r="G8072">
        <v>4</v>
      </c>
      <c r="H8072">
        <v>41694.25</v>
      </c>
      <c r="I8072">
        <v>9055.43</v>
      </c>
      <c r="J8072" t="s">
        <v>16</v>
      </c>
      <c r="K8072" t="s">
        <v>23</v>
      </c>
      <c r="L8072">
        <f t="shared" si="378"/>
        <v>2024</v>
      </c>
      <c r="M8072" t="str">
        <f t="shared" si="379"/>
        <v>Apr</v>
      </c>
      <c r="N8072" s="2">
        <f t="shared" si="380"/>
        <v>0.21718654250885913</v>
      </c>
    </row>
    <row r="8073" spans="1:14" x14ac:dyDescent="0.45">
      <c r="A8073" t="s">
        <v>13456</v>
      </c>
      <c r="B8073" s="1">
        <v>44564</v>
      </c>
      <c r="C8073" t="s">
        <v>13457</v>
      </c>
      <c r="D8073" t="s">
        <v>56</v>
      </c>
      <c r="E8073" t="s">
        <v>36</v>
      </c>
      <c r="F8073" t="s">
        <v>64</v>
      </c>
      <c r="G8073">
        <v>4</v>
      </c>
      <c r="H8073">
        <v>21425.56</v>
      </c>
      <c r="I8073">
        <v>3823.24</v>
      </c>
      <c r="J8073" t="s">
        <v>28</v>
      </c>
      <c r="K8073" t="s">
        <v>33</v>
      </c>
      <c r="L8073">
        <f t="shared" si="378"/>
        <v>2022</v>
      </c>
      <c r="M8073" t="str">
        <f t="shared" si="379"/>
        <v>Jan</v>
      </c>
      <c r="N8073" s="2">
        <f t="shared" si="380"/>
        <v>0.17844294384837547</v>
      </c>
    </row>
    <row r="8074" spans="1:14" x14ac:dyDescent="0.45">
      <c r="A8074" t="s">
        <v>13458</v>
      </c>
      <c r="B8074" s="1">
        <v>44853</v>
      </c>
      <c r="C8074" t="s">
        <v>13459</v>
      </c>
      <c r="D8074" t="s">
        <v>56</v>
      </c>
      <c r="E8074" t="s">
        <v>36</v>
      </c>
      <c r="F8074" t="s">
        <v>64</v>
      </c>
      <c r="G8074">
        <v>4</v>
      </c>
      <c r="H8074">
        <v>42252.959999999999</v>
      </c>
      <c r="I8074">
        <v>2488.0700000000002</v>
      </c>
      <c r="J8074" t="s">
        <v>28</v>
      </c>
      <c r="K8074" t="s">
        <v>17</v>
      </c>
      <c r="L8074">
        <f t="shared" si="378"/>
        <v>2022</v>
      </c>
      <c r="M8074" t="str">
        <f t="shared" si="379"/>
        <v>Oct</v>
      </c>
      <c r="N8074" s="2">
        <f t="shared" si="380"/>
        <v>5.8885105327532085E-2</v>
      </c>
    </row>
    <row r="8075" spans="1:14" x14ac:dyDescent="0.45">
      <c r="A8075" t="s">
        <v>13460</v>
      </c>
      <c r="B8075" s="1">
        <v>45476</v>
      </c>
      <c r="C8075" t="s">
        <v>13461</v>
      </c>
      <c r="D8075" t="s">
        <v>13</v>
      </c>
      <c r="E8075" t="s">
        <v>20</v>
      </c>
      <c r="F8075" t="s">
        <v>27</v>
      </c>
      <c r="G8075">
        <v>5</v>
      </c>
      <c r="H8075">
        <v>6840.41</v>
      </c>
      <c r="I8075">
        <v>958.78</v>
      </c>
      <c r="J8075" t="s">
        <v>47</v>
      </c>
      <c r="K8075" t="s">
        <v>33</v>
      </c>
      <c r="L8075">
        <f t="shared" si="378"/>
        <v>2024</v>
      </c>
      <c r="M8075" t="str">
        <f t="shared" si="379"/>
        <v>Jul</v>
      </c>
      <c r="N8075" s="2">
        <f t="shared" si="380"/>
        <v>0.14016411296983661</v>
      </c>
    </row>
    <row r="8076" spans="1:14" x14ac:dyDescent="0.45">
      <c r="A8076" t="s">
        <v>13462</v>
      </c>
      <c r="B8076" s="1">
        <v>45139</v>
      </c>
      <c r="C8076" t="s">
        <v>13463</v>
      </c>
      <c r="D8076" t="s">
        <v>26</v>
      </c>
      <c r="E8076" t="s">
        <v>14</v>
      </c>
      <c r="F8076" t="s">
        <v>57</v>
      </c>
      <c r="G8076">
        <v>3</v>
      </c>
      <c r="H8076">
        <v>5914.19</v>
      </c>
      <c r="I8076">
        <v>1318.38</v>
      </c>
      <c r="J8076" t="s">
        <v>71</v>
      </c>
      <c r="K8076" t="s">
        <v>23</v>
      </c>
      <c r="L8076">
        <f t="shared" si="378"/>
        <v>2023</v>
      </c>
      <c r="M8076" t="str">
        <f t="shared" si="379"/>
        <v>Aug</v>
      </c>
      <c r="N8076" s="2">
        <f t="shared" si="380"/>
        <v>0.22291810036539242</v>
      </c>
    </row>
    <row r="8077" spans="1:14" x14ac:dyDescent="0.45">
      <c r="A8077" t="s">
        <v>13464</v>
      </c>
      <c r="B8077" s="1">
        <v>44833</v>
      </c>
      <c r="C8077" t="s">
        <v>6092</v>
      </c>
      <c r="D8077" t="s">
        <v>26</v>
      </c>
      <c r="E8077" t="s">
        <v>20</v>
      </c>
      <c r="F8077" t="s">
        <v>27</v>
      </c>
      <c r="G8077">
        <v>1</v>
      </c>
      <c r="H8077">
        <v>5779.91</v>
      </c>
      <c r="I8077">
        <v>375.03</v>
      </c>
      <c r="J8077" t="s">
        <v>71</v>
      </c>
      <c r="K8077" t="s">
        <v>29</v>
      </c>
      <c r="L8077">
        <f t="shared" si="378"/>
        <v>2022</v>
      </c>
      <c r="M8077" t="str">
        <f t="shared" si="379"/>
        <v>Sep</v>
      </c>
      <c r="N8077" s="2">
        <f t="shared" si="380"/>
        <v>6.4885093366505706E-2</v>
      </c>
    </row>
    <row r="8078" spans="1:14" x14ac:dyDescent="0.45">
      <c r="A8078" t="s">
        <v>13465</v>
      </c>
      <c r="B8078" s="1">
        <v>45099</v>
      </c>
      <c r="C8078" t="s">
        <v>13466</v>
      </c>
      <c r="D8078" t="s">
        <v>56</v>
      </c>
      <c r="E8078" t="s">
        <v>14</v>
      </c>
      <c r="F8078" t="s">
        <v>57</v>
      </c>
      <c r="G8078">
        <v>1</v>
      </c>
      <c r="H8078">
        <v>27307.45</v>
      </c>
      <c r="I8078">
        <v>4275.79</v>
      </c>
      <c r="J8078" t="s">
        <v>16</v>
      </c>
      <c r="K8078" t="s">
        <v>23</v>
      </c>
      <c r="L8078">
        <f t="shared" si="378"/>
        <v>2023</v>
      </c>
      <c r="M8078" t="str">
        <f t="shared" si="379"/>
        <v>Jun</v>
      </c>
      <c r="N8078" s="2">
        <f t="shared" si="380"/>
        <v>0.15657961472052498</v>
      </c>
    </row>
    <row r="8079" spans="1:14" x14ac:dyDescent="0.45">
      <c r="A8079" t="s">
        <v>13467</v>
      </c>
      <c r="B8079" s="1">
        <v>45120</v>
      </c>
      <c r="C8079" t="s">
        <v>1728</v>
      </c>
      <c r="D8079" t="s">
        <v>26</v>
      </c>
      <c r="E8079" t="s">
        <v>14</v>
      </c>
      <c r="F8079" t="s">
        <v>32</v>
      </c>
      <c r="G8079">
        <v>5</v>
      </c>
      <c r="H8079">
        <v>6922.04</v>
      </c>
      <c r="I8079">
        <v>633.89</v>
      </c>
      <c r="J8079" t="s">
        <v>22</v>
      </c>
      <c r="K8079" t="s">
        <v>29</v>
      </c>
      <c r="L8079">
        <f t="shared" si="378"/>
        <v>2023</v>
      </c>
      <c r="M8079" t="str">
        <f t="shared" si="379"/>
        <v>Jul</v>
      </c>
      <c r="N8079" s="2">
        <f t="shared" si="380"/>
        <v>9.1575604879486391E-2</v>
      </c>
    </row>
    <row r="8080" spans="1:14" x14ac:dyDescent="0.45">
      <c r="A8080" t="s">
        <v>13468</v>
      </c>
      <c r="B8080" s="1">
        <v>45121</v>
      </c>
      <c r="C8080" t="s">
        <v>9482</v>
      </c>
      <c r="D8080" t="s">
        <v>26</v>
      </c>
      <c r="E8080" t="s">
        <v>36</v>
      </c>
      <c r="F8080" t="s">
        <v>64</v>
      </c>
      <c r="G8080">
        <v>1</v>
      </c>
      <c r="H8080">
        <v>22908.94</v>
      </c>
      <c r="I8080">
        <v>5044.05</v>
      </c>
      <c r="J8080" t="s">
        <v>71</v>
      </c>
      <c r="K8080" t="s">
        <v>29</v>
      </c>
      <c r="L8080">
        <f t="shared" si="378"/>
        <v>2023</v>
      </c>
      <c r="M8080" t="str">
        <f t="shared" si="379"/>
        <v>Jul</v>
      </c>
      <c r="N8080" s="2">
        <f t="shared" si="380"/>
        <v>0.22017823609472986</v>
      </c>
    </row>
    <row r="8081" spans="1:14" x14ac:dyDescent="0.45">
      <c r="A8081" t="s">
        <v>13469</v>
      </c>
      <c r="B8081" s="1">
        <v>44893</v>
      </c>
      <c r="C8081" t="s">
        <v>9201</v>
      </c>
      <c r="D8081" t="s">
        <v>26</v>
      </c>
      <c r="E8081" t="s">
        <v>20</v>
      </c>
      <c r="F8081" t="s">
        <v>50</v>
      </c>
      <c r="G8081">
        <v>5</v>
      </c>
      <c r="H8081">
        <v>7066.97</v>
      </c>
      <c r="I8081">
        <v>687.41</v>
      </c>
      <c r="J8081" t="s">
        <v>28</v>
      </c>
      <c r="K8081" t="s">
        <v>17</v>
      </c>
      <c r="L8081">
        <f t="shared" si="378"/>
        <v>2022</v>
      </c>
      <c r="M8081" t="str">
        <f t="shared" si="379"/>
        <v>Nov</v>
      </c>
      <c r="N8081" s="2">
        <f t="shared" si="380"/>
        <v>9.7270824695732394E-2</v>
      </c>
    </row>
    <row r="8082" spans="1:14" x14ac:dyDescent="0.45">
      <c r="A8082" t="s">
        <v>13470</v>
      </c>
      <c r="B8082" s="1">
        <v>44848</v>
      </c>
      <c r="C8082" t="s">
        <v>3440</v>
      </c>
      <c r="D8082" t="s">
        <v>13</v>
      </c>
      <c r="E8082" t="s">
        <v>20</v>
      </c>
      <c r="F8082" t="s">
        <v>21</v>
      </c>
      <c r="G8082">
        <v>4</v>
      </c>
      <c r="H8082">
        <v>34768.81</v>
      </c>
      <c r="I8082">
        <v>7530.38</v>
      </c>
      <c r="J8082" t="s">
        <v>28</v>
      </c>
      <c r="K8082" t="s">
        <v>23</v>
      </c>
      <c r="L8082">
        <f t="shared" si="378"/>
        <v>2022</v>
      </c>
      <c r="M8082" t="str">
        <f t="shared" si="379"/>
        <v>Oct</v>
      </c>
      <c r="N8082" s="2">
        <f t="shared" si="380"/>
        <v>0.21658434671764723</v>
      </c>
    </row>
    <row r="8083" spans="1:14" x14ac:dyDescent="0.45">
      <c r="A8083" t="s">
        <v>13471</v>
      </c>
      <c r="B8083" s="1">
        <v>44940</v>
      </c>
      <c r="C8083" t="s">
        <v>10652</v>
      </c>
      <c r="D8083" t="s">
        <v>13</v>
      </c>
      <c r="E8083" t="s">
        <v>20</v>
      </c>
      <c r="F8083" t="s">
        <v>50</v>
      </c>
      <c r="G8083">
        <v>4</v>
      </c>
      <c r="H8083">
        <v>7761.11</v>
      </c>
      <c r="I8083">
        <v>1114.67</v>
      </c>
      <c r="J8083" t="s">
        <v>16</v>
      </c>
      <c r="K8083" t="s">
        <v>29</v>
      </c>
      <c r="L8083">
        <f t="shared" si="378"/>
        <v>2023</v>
      </c>
      <c r="M8083" t="str">
        <f t="shared" si="379"/>
        <v>Jan</v>
      </c>
      <c r="N8083" s="2">
        <f t="shared" si="380"/>
        <v>0.14362249729742269</v>
      </c>
    </row>
    <row r="8084" spans="1:14" x14ac:dyDescent="0.45">
      <c r="A8084" t="s">
        <v>13472</v>
      </c>
      <c r="B8084" s="1">
        <v>45571</v>
      </c>
      <c r="C8084" t="s">
        <v>13473</v>
      </c>
      <c r="D8084" t="s">
        <v>56</v>
      </c>
      <c r="E8084" t="s">
        <v>20</v>
      </c>
      <c r="F8084" t="s">
        <v>27</v>
      </c>
      <c r="G8084">
        <v>4</v>
      </c>
      <c r="H8084">
        <v>36269.42</v>
      </c>
      <c r="I8084">
        <v>7085.34</v>
      </c>
      <c r="J8084" t="s">
        <v>22</v>
      </c>
      <c r="K8084" t="s">
        <v>33</v>
      </c>
      <c r="L8084">
        <f t="shared" si="378"/>
        <v>2024</v>
      </c>
      <c r="M8084" t="str">
        <f t="shared" si="379"/>
        <v>Oct</v>
      </c>
      <c r="N8084" s="2">
        <f t="shared" si="380"/>
        <v>0.19535299985497426</v>
      </c>
    </row>
    <row r="8085" spans="1:14" x14ac:dyDescent="0.45">
      <c r="A8085" t="s">
        <v>13474</v>
      </c>
      <c r="B8085" s="1">
        <v>45374</v>
      </c>
      <c r="C8085" t="s">
        <v>13475</v>
      </c>
      <c r="D8085" t="s">
        <v>26</v>
      </c>
      <c r="E8085" t="s">
        <v>20</v>
      </c>
      <c r="F8085" t="s">
        <v>50</v>
      </c>
      <c r="G8085">
        <v>4</v>
      </c>
      <c r="H8085">
        <v>4225.32</v>
      </c>
      <c r="I8085">
        <v>1049.6600000000001</v>
      </c>
      <c r="J8085" t="s">
        <v>28</v>
      </c>
      <c r="K8085" t="s">
        <v>29</v>
      </c>
      <c r="L8085">
        <f t="shared" si="378"/>
        <v>2024</v>
      </c>
      <c r="M8085" t="str">
        <f t="shared" si="379"/>
        <v>Mar</v>
      </c>
      <c r="N8085" s="2">
        <f t="shared" si="380"/>
        <v>0.24842142133613551</v>
      </c>
    </row>
    <row r="8086" spans="1:14" x14ac:dyDescent="0.45">
      <c r="A8086" t="s">
        <v>13476</v>
      </c>
      <c r="B8086" s="1">
        <v>44919</v>
      </c>
      <c r="C8086" t="s">
        <v>8778</v>
      </c>
      <c r="D8086" t="s">
        <v>26</v>
      </c>
      <c r="E8086" t="s">
        <v>36</v>
      </c>
      <c r="F8086" t="s">
        <v>46</v>
      </c>
      <c r="G8086">
        <v>3</v>
      </c>
      <c r="H8086">
        <v>48552.76</v>
      </c>
      <c r="I8086">
        <v>3562.87</v>
      </c>
      <c r="J8086" t="s">
        <v>16</v>
      </c>
      <c r="K8086" t="s">
        <v>29</v>
      </c>
      <c r="L8086">
        <f t="shared" si="378"/>
        <v>2022</v>
      </c>
      <c r="M8086" t="str">
        <f t="shared" si="379"/>
        <v>Dec</v>
      </c>
      <c r="N8086" s="2">
        <f t="shared" si="380"/>
        <v>7.3381410243207587E-2</v>
      </c>
    </row>
    <row r="8087" spans="1:14" x14ac:dyDescent="0.45">
      <c r="A8087" t="s">
        <v>13477</v>
      </c>
      <c r="B8087" s="1">
        <v>45259</v>
      </c>
      <c r="C8087" t="s">
        <v>11749</v>
      </c>
      <c r="D8087" t="s">
        <v>26</v>
      </c>
      <c r="E8087" t="s">
        <v>14</v>
      </c>
      <c r="F8087" t="s">
        <v>40</v>
      </c>
      <c r="G8087">
        <v>2</v>
      </c>
      <c r="H8087">
        <v>37922.99</v>
      </c>
      <c r="I8087">
        <v>3951.19</v>
      </c>
      <c r="J8087" t="s">
        <v>16</v>
      </c>
      <c r="K8087" t="s">
        <v>23</v>
      </c>
      <c r="L8087">
        <f t="shared" si="378"/>
        <v>2023</v>
      </c>
      <c r="M8087" t="str">
        <f t="shared" si="379"/>
        <v>Nov</v>
      </c>
      <c r="N8087" s="2">
        <f t="shared" si="380"/>
        <v>0.10418983313288326</v>
      </c>
    </row>
    <row r="8088" spans="1:14" x14ac:dyDescent="0.45">
      <c r="A8088" t="s">
        <v>13478</v>
      </c>
      <c r="B8088" s="1">
        <v>44692</v>
      </c>
      <c r="C8088" t="s">
        <v>5606</v>
      </c>
      <c r="D8088" t="s">
        <v>26</v>
      </c>
      <c r="E8088" t="s">
        <v>36</v>
      </c>
      <c r="F8088" t="s">
        <v>53</v>
      </c>
      <c r="G8088">
        <v>1</v>
      </c>
      <c r="H8088">
        <v>21894.19</v>
      </c>
      <c r="I8088">
        <v>2307.9899999999998</v>
      </c>
      <c r="J8088" t="s">
        <v>28</v>
      </c>
      <c r="K8088" t="s">
        <v>17</v>
      </c>
      <c r="L8088">
        <f t="shared" si="378"/>
        <v>2022</v>
      </c>
      <c r="M8088" t="str">
        <f t="shared" si="379"/>
        <v>May</v>
      </c>
      <c r="N8088" s="2">
        <f t="shared" si="380"/>
        <v>0.10541563766460417</v>
      </c>
    </row>
    <row r="8089" spans="1:14" x14ac:dyDescent="0.45">
      <c r="A8089" t="s">
        <v>13479</v>
      </c>
      <c r="B8089" s="1">
        <v>44929</v>
      </c>
      <c r="C8089" t="s">
        <v>5835</v>
      </c>
      <c r="D8089" t="s">
        <v>56</v>
      </c>
      <c r="E8089" t="s">
        <v>20</v>
      </c>
      <c r="F8089" t="s">
        <v>21</v>
      </c>
      <c r="G8089">
        <v>4</v>
      </c>
      <c r="H8089">
        <v>33637.06</v>
      </c>
      <c r="I8089">
        <v>4641.0600000000004</v>
      </c>
      <c r="J8089" t="s">
        <v>47</v>
      </c>
      <c r="K8089" t="s">
        <v>23</v>
      </c>
      <c r="L8089">
        <f t="shared" si="378"/>
        <v>2023</v>
      </c>
      <c r="M8089" t="str">
        <f t="shared" si="379"/>
        <v>Jan</v>
      </c>
      <c r="N8089" s="2">
        <f t="shared" si="380"/>
        <v>0.1379746030122728</v>
      </c>
    </row>
    <row r="8090" spans="1:14" x14ac:dyDescent="0.45">
      <c r="A8090" t="s">
        <v>13480</v>
      </c>
      <c r="B8090" s="1">
        <v>45493</v>
      </c>
      <c r="C8090" t="s">
        <v>5455</v>
      </c>
      <c r="D8090" t="s">
        <v>56</v>
      </c>
      <c r="E8090" t="s">
        <v>20</v>
      </c>
      <c r="F8090" t="s">
        <v>27</v>
      </c>
      <c r="G8090">
        <v>5</v>
      </c>
      <c r="H8090">
        <v>8622.8799999999992</v>
      </c>
      <c r="I8090">
        <v>591.82000000000005</v>
      </c>
      <c r="J8090" t="s">
        <v>47</v>
      </c>
      <c r="K8090" t="s">
        <v>33</v>
      </c>
      <c r="L8090">
        <f t="shared" si="378"/>
        <v>2024</v>
      </c>
      <c r="M8090" t="str">
        <f t="shared" si="379"/>
        <v>Jul</v>
      </c>
      <c r="N8090" s="2">
        <f t="shared" si="380"/>
        <v>6.8633681554190723E-2</v>
      </c>
    </row>
    <row r="8091" spans="1:14" x14ac:dyDescent="0.45">
      <c r="A8091" t="s">
        <v>13481</v>
      </c>
      <c r="B8091" s="1">
        <v>45314</v>
      </c>
      <c r="C8091" t="s">
        <v>13482</v>
      </c>
      <c r="D8091" t="s">
        <v>13</v>
      </c>
      <c r="E8091" t="s">
        <v>14</v>
      </c>
      <c r="F8091" t="s">
        <v>32</v>
      </c>
      <c r="G8091">
        <v>3</v>
      </c>
      <c r="H8091">
        <v>46193.440000000002</v>
      </c>
      <c r="I8091">
        <v>7208.06</v>
      </c>
      <c r="J8091" t="s">
        <v>28</v>
      </c>
      <c r="K8091" t="s">
        <v>29</v>
      </c>
      <c r="L8091">
        <f t="shared" si="378"/>
        <v>2024</v>
      </c>
      <c r="M8091" t="str">
        <f t="shared" si="379"/>
        <v>Jan</v>
      </c>
      <c r="N8091" s="2">
        <f t="shared" si="380"/>
        <v>0.15604077115711668</v>
      </c>
    </row>
    <row r="8092" spans="1:14" x14ac:dyDescent="0.45">
      <c r="A8092" t="s">
        <v>13483</v>
      </c>
      <c r="B8092" s="1">
        <v>45197</v>
      </c>
      <c r="C8092" t="s">
        <v>13484</v>
      </c>
      <c r="D8092" t="s">
        <v>26</v>
      </c>
      <c r="E8092" t="s">
        <v>14</v>
      </c>
      <c r="F8092" t="s">
        <v>40</v>
      </c>
      <c r="G8092">
        <v>3</v>
      </c>
      <c r="H8092">
        <v>23835.48</v>
      </c>
      <c r="I8092">
        <v>1437.56</v>
      </c>
      <c r="J8092" t="s">
        <v>16</v>
      </c>
      <c r="K8092" t="s">
        <v>17</v>
      </c>
      <c r="L8092">
        <f t="shared" si="378"/>
        <v>2023</v>
      </c>
      <c r="M8092" t="str">
        <f t="shared" si="379"/>
        <v>Sep</v>
      </c>
      <c r="N8092" s="2">
        <f t="shared" si="380"/>
        <v>6.0311770520249643E-2</v>
      </c>
    </row>
    <row r="8093" spans="1:14" x14ac:dyDescent="0.45">
      <c r="A8093" t="s">
        <v>13485</v>
      </c>
      <c r="B8093" s="1">
        <v>44584</v>
      </c>
      <c r="C8093" t="s">
        <v>132</v>
      </c>
      <c r="D8093" t="s">
        <v>13</v>
      </c>
      <c r="E8093" t="s">
        <v>14</v>
      </c>
      <c r="F8093" t="s">
        <v>32</v>
      </c>
      <c r="G8093">
        <v>4</v>
      </c>
      <c r="H8093">
        <v>16329.65</v>
      </c>
      <c r="I8093">
        <v>2295.33</v>
      </c>
      <c r="J8093" t="s">
        <v>71</v>
      </c>
      <c r="K8093" t="s">
        <v>29</v>
      </c>
      <c r="L8093">
        <f t="shared" si="378"/>
        <v>2022</v>
      </c>
      <c r="M8093" t="str">
        <f t="shared" si="379"/>
        <v>Jan</v>
      </c>
      <c r="N8093" s="2">
        <f t="shared" si="380"/>
        <v>0.14056210635255501</v>
      </c>
    </row>
    <row r="8094" spans="1:14" x14ac:dyDescent="0.45">
      <c r="A8094" t="s">
        <v>13486</v>
      </c>
      <c r="B8094" s="1">
        <v>44628</v>
      </c>
      <c r="C8094" t="s">
        <v>13487</v>
      </c>
      <c r="D8094" t="s">
        <v>13</v>
      </c>
      <c r="E8094" t="s">
        <v>36</v>
      </c>
      <c r="F8094" t="s">
        <v>64</v>
      </c>
      <c r="G8094">
        <v>2</v>
      </c>
      <c r="H8094">
        <v>13044.19</v>
      </c>
      <c r="I8094">
        <v>2410.0500000000002</v>
      </c>
      <c r="J8094" t="s">
        <v>22</v>
      </c>
      <c r="K8094" t="s">
        <v>33</v>
      </c>
      <c r="L8094">
        <f t="shared" si="378"/>
        <v>2022</v>
      </c>
      <c r="M8094" t="str">
        <f t="shared" si="379"/>
        <v>Mar</v>
      </c>
      <c r="N8094" s="2">
        <f t="shared" si="380"/>
        <v>0.18476041823984471</v>
      </c>
    </row>
    <row r="8095" spans="1:14" x14ac:dyDescent="0.45">
      <c r="A8095" t="s">
        <v>13488</v>
      </c>
      <c r="B8095" s="1">
        <v>44588</v>
      </c>
      <c r="C8095" t="s">
        <v>4348</v>
      </c>
      <c r="D8095" t="s">
        <v>26</v>
      </c>
      <c r="E8095" t="s">
        <v>36</v>
      </c>
      <c r="F8095" t="s">
        <v>46</v>
      </c>
      <c r="G8095">
        <v>3</v>
      </c>
      <c r="H8095">
        <v>8398.1</v>
      </c>
      <c r="I8095">
        <v>1569.21</v>
      </c>
      <c r="J8095" t="s">
        <v>71</v>
      </c>
      <c r="K8095" t="s">
        <v>29</v>
      </c>
      <c r="L8095">
        <f t="shared" si="378"/>
        <v>2022</v>
      </c>
      <c r="M8095" t="str">
        <f t="shared" si="379"/>
        <v>Jan</v>
      </c>
      <c r="N8095" s="2">
        <f t="shared" si="380"/>
        <v>0.18685297864993272</v>
      </c>
    </row>
    <row r="8096" spans="1:14" x14ac:dyDescent="0.45">
      <c r="A8096" t="s">
        <v>13489</v>
      </c>
      <c r="B8096" s="1">
        <v>44717</v>
      </c>
      <c r="C8096" t="s">
        <v>769</v>
      </c>
      <c r="D8096" t="s">
        <v>26</v>
      </c>
      <c r="E8096" t="s">
        <v>20</v>
      </c>
      <c r="F8096" t="s">
        <v>50</v>
      </c>
      <c r="G8096">
        <v>3</v>
      </c>
      <c r="H8096">
        <v>13432.54</v>
      </c>
      <c r="I8096">
        <v>2115.7199999999998</v>
      </c>
      <c r="J8096" t="s">
        <v>28</v>
      </c>
      <c r="K8096" t="s">
        <v>17</v>
      </c>
      <c r="L8096">
        <f t="shared" si="378"/>
        <v>2022</v>
      </c>
      <c r="M8096" t="str">
        <f t="shared" si="379"/>
        <v>Jun</v>
      </c>
      <c r="N8096" s="2">
        <f t="shared" si="380"/>
        <v>0.15750706865566749</v>
      </c>
    </row>
    <row r="8097" spans="1:14" x14ac:dyDescent="0.45">
      <c r="A8097" t="s">
        <v>13490</v>
      </c>
      <c r="B8097" s="1">
        <v>45345</v>
      </c>
      <c r="C8097" t="s">
        <v>11435</v>
      </c>
      <c r="D8097" t="s">
        <v>13</v>
      </c>
      <c r="E8097" t="s">
        <v>36</v>
      </c>
      <c r="F8097" t="s">
        <v>37</v>
      </c>
      <c r="G8097">
        <v>4</v>
      </c>
      <c r="H8097">
        <v>6327.89</v>
      </c>
      <c r="I8097">
        <v>1035.49</v>
      </c>
      <c r="J8097" t="s">
        <v>16</v>
      </c>
      <c r="K8097" t="s">
        <v>17</v>
      </c>
      <c r="L8097">
        <f t="shared" si="378"/>
        <v>2024</v>
      </c>
      <c r="M8097" t="str">
        <f t="shared" si="379"/>
        <v>Feb</v>
      </c>
      <c r="N8097" s="2">
        <f t="shared" si="380"/>
        <v>0.16363906452229732</v>
      </c>
    </row>
    <row r="8098" spans="1:14" x14ac:dyDescent="0.45">
      <c r="A8098" t="s">
        <v>13491</v>
      </c>
      <c r="B8098" s="1">
        <v>45027</v>
      </c>
      <c r="C8098" t="s">
        <v>13492</v>
      </c>
      <c r="D8098" t="s">
        <v>56</v>
      </c>
      <c r="E8098" t="s">
        <v>36</v>
      </c>
      <c r="F8098" t="s">
        <v>46</v>
      </c>
      <c r="G8098">
        <v>3</v>
      </c>
      <c r="H8098">
        <v>38275.49</v>
      </c>
      <c r="I8098">
        <v>4785</v>
      </c>
      <c r="J8098" t="s">
        <v>22</v>
      </c>
      <c r="K8098" t="s">
        <v>17</v>
      </c>
      <c r="L8098">
        <f t="shared" si="378"/>
        <v>2023</v>
      </c>
      <c r="M8098" t="str">
        <f t="shared" si="379"/>
        <v>Apr</v>
      </c>
      <c r="N8098" s="2">
        <f t="shared" si="380"/>
        <v>0.12501472874677763</v>
      </c>
    </row>
    <row r="8099" spans="1:14" x14ac:dyDescent="0.45">
      <c r="A8099" t="s">
        <v>13493</v>
      </c>
      <c r="B8099" s="1">
        <v>45321</v>
      </c>
      <c r="C8099" t="s">
        <v>13494</v>
      </c>
      <c r="D8099" t="s">
        <v>13</v>
      </c>
      <c r="E8099" t="s">
        <v>14</v>
      </c>
      <c r="F8099" t="s">
        <v>15</v>
      </c>
      <c r="G8099">
        <v>5</v>
      </c>
      <c r="H8099">
        <v>43245.67</v>
      </c>
      <c r="I8099">
        <v>9500.15</v>
      </c>
      <c r="J8099" t="s">
        <v>47</v>
      </c>
      <c r="K8099" t="s">
        <v>23</v>
      </c>
      <c r="L8099">
        <f t="shared" si="378"/>
        <v>2024</v>
      </c>
      <c r="M8099" t="str">
        <f t="shared" si="379"/>
        <v>Jan</v>
      </c>
      <c r="N8099" s="2">
        <f t="shared" si="380"/>
        <v>0.2196786406592845</v>
      </c>
    </row>
    <row r="8100" spans="1:14" x14ac:dyDescent="0.45">
      <c r="A8100" t="s">
        <v>13495</v>
      </c>
      <c r="B8100" s="1">
        <v>45435</v>
      </c>
      <c r="C8100" t="s">
        <v>13496</v>
      </c>
      <c r="D8100" t="s">
        <v>56</v>
      </c>
      <c r="E8100" t="s">
        <v>36</v>
      </c>
      <c r="F8100" t="s">
        <v>64</v>
      </c>
      <c r="G8100">
        <v>5</v>
      </c>
      <c r="H8100">
        <v>27791.97</v>
      </c>
      <c r="I8100">
        <v>5348.21</v>
      </c>
      <c r="J8100" t="s">
        <v>47</v>
      </c>
      <c r="K8100" t="s">
        <v>17</v>
      </c>
      <c r="L8100">
        <f t="shared" si="378"/>
        <v>2024</v>
      </c>
      <c r="M8100" t="str">
        <f t="shared" si="379"/>
        <v>May</v>
      </c>
      <c r="N8100" s="2">
        <f t="shared" si="380"/>
        <v>0.19243723996535689</v>
      </c>
    </row>
    <row r="8101" spans="1:14" x14ac:dyDescent="0.45">
      <c r="A8101" t="s">
        <v>13497</v>
      </c>
      <c r="B8101" s="1">
        <v>45308</v>
      </c>
      <c r="C8101" t="s">
        <v>11262</v>
      </c>
      <c r="D8101" t="s">
        <v>56</v>
      </c>
      <c r="E8101" t="s">
        <v>20</v>
      </c>
      <c r="F8101" t="s">
        <v>43</v>
      </c>
      <c r="G8101">
        <v>4</v>
      </c>
      <c r="H8101">
        <v>25204.78</v>
      </c>
      <c r="I8101">
        <v>5278.28</v>
      </c>
      <c r="J8101" t="s">
        <v>28</v>
      </c>
      <c r="K8101" t="s">
        <v>23</v>
      </c>
      <c r="L8101">
        <f t="shared" si="378"/>
        <v>2024</v>
      </c>
      <c r="M8101" t="str">
        <f t="shared" si="379"/>
        <v>Jan</v>
      </c>
      <c r="N8101" s="2">
        <f t="shared" si="380"/>
        <v>0.20941583302849698</v>
      </c>
    </row>
    <row r="8102" spans="1:14" x14ac:dyDescent="0.45">
      <c r="A8102" t="s">
        <v>13498</v>
      </c>
      <c r="B8102" s="1">
        <v>45144</v>
      </c>
      <c r="C8102" t="s">
        <v>13499</v>
      </c>
      <c r="D8102" t="s">
        <v>13</v>
      </c>
      <c r="E8102" t="s">
        <v>14</v>
      </c>
      <c r="F8102" t="s">
        <v>32</v>
      </c>
      <c r="G8102">
        <v>4</v>
      </c>
      <c r="H8102">
        <v>37641.53</v>
      </c>
      <c r="I8102">
        <v>8273.2900000000009</v>
      </c>
      <c r="J8102" t="s">
        <v>71</v>
      </c>
      <c r="K8102" t="s">
        <v>17</v>
      </c>
      <c r="L8102">
        <f t="shared" si="378"/>
        <v>2023</v>
      </c>
      <c r="M8102" t="str">
        <f t="shared" si="379"/>
        <v>Aug</v>
      </c>
      <c r="N8102" s="2">
        <f t="shared" si="380"/>
        <v>0.219791544073793</v>
      </c>
    </row>
    <row r="8103" spans="1:14" x14ac:dyDescent="0.45">
      <c r="A8103" t="s">
        <v>13500</v>
      </c>
      <c r="B8103" s="1">
        <v>45518</v>
      </c>
      <c r="C8103" t="s">
        <v>9796</v>
      </c>
      <c r="D8103" t="s">
        <v>13</v>
      </c>
      <c r="E8103" t="s">
        <v>20</v>
      </c>
      <c r="F8103" t="s">
        <v>21</v>
      </c>
      <c r="G8103">
        <v>5</v>
      </c>
      <c r="H8103">
        <v>40978.01</v>
      </c>
      <c r="I8103">
        <v>5648.14</v>
      </c>
      <c r="J8103" t="s">
        <v>22</v>
      </c>
      <c r="K8103" t="s">
        <v>23</v>
      </c>
      <c r="L8103">
        <f t="shared" si="378"/>
        <v>2024</v>
      </c>
      <c r="M8103" t="str">
        <f t="shared" si="379"/>
        <v>Aug</v>
      </c>
      <c r="N8103" s="2">
        <f t="shared" si="380"/>
        <v>0.13783343798295719</v>
      </c>
    </row>
    <row r="8104" spans="1:14" x14ac:dyDescent="0.45">
      <c r="A8104" t="s">
        <v>13501</v>
      </c>
      <c r="B8104" s="1">
        <v>44970</v>
      </c>
      <c r="C8104" t="s">
        <v>13502</v>
      </c>
      <c r="D8104" t="s">
        <v>13</v>
      </c>
      <c r="E8104" t="s">
        <v>36</v>
      </c>
      <c r="F8104" t="s">
        <v>53</v>
      </c>
      <c r="G8104">
        <v>1</v>
      </c>
      <c r="H8104">
        <v>8723.44</v>
      </c>
      <c r="I8104">
        <v>1131.8699999999999</v>
      </c>
      <c r="J8104" t="s">
        <v>16</v>
      </c>
      <c r="K8104" t="s">
        <v>23</v>
      </c>
      <c r="L8104">
        <f t="shared" si="378"/>
        <v>2023</v>
      </c>
      <c r="M8104" t="str">
        <f t="shared" si="379"/>
        <v>Feb</v>
      </c>
      <c r="N8104" s="2">
        <f t="shared" si="380"/>
        <v>0.12975041955925642</v>
      </c>
    </row>
    <row r="8105" spans="1:14" x14ac:dyDescent="0.45">
      <c r="A8105" t="s">
        <v>13503</v>
      </c>
      <c r="B8105" s="1">
        <v>45008</v>
      </c>
      <c r="C8105" t="s">
        <v>3568</v>
      </c>
      <c r="D8105" t="s">
        <v>26</v>
      </c>
      <c r="E8105" t="s">
        <v>36</v>
      </c>
      <c r="F8105" t="s">
        <v>46</v>
      </c>
      <c r="G8105">
        <v>5</v>
      </c>
      <c r="H8105">
        <v>46144.34</v>
      </c>
      <c r="I8105">
        <v>9642.0400000000009</v>
      </c>
      <c r="J8105" t="s">
        <v>71</v>
      </c>
      <c r="K8105" t="s">
        <v>23</v>
      </c>
      <c r="L8105">
        <f t="shared" si="378"/>
        <v>2023</v>
      </c>
      <c r="M8105" t="str">
        <f t="shared" si="379"/>
        <v>Mar</v>
      </c>
      <c r="N8105" s="2">
        <f t="shared" si="380"/>
        <v>0.20895390420580295</v>
      </c>
    </row>
    <row r="8106" spans="1:14" x14ac:dyDescent="0.45">
      <c r="A8106" t="s">
        <v>13504</v>
      </c>
      <c r="B8106" s="1">
        <v>44564</v>
      </c>
      <c r="C8106" t="s">
        <v>3649</v>
      </c>
      <c r="D8106" t="s">
        <v>56</v>
      </c>
      <c r="E8106" t="s">
        <v>14</v>
      </c>
      <c r="F8106" t="s">
        <v>57</v>
      </c>
      <c r="G8106">
        <v>3</v>
      </c>
      <c r="H8106">
        <v>44773.67</v>
      </c>
      <c r="I8106">
        <v>8696.5499999999993</v>
      </c>
      <c r="J8106" t="s">
        <v>28</v>
      </c>
      <c r="K8106" t="s">
        <v>33</v>
      </c>
      <c r="L8106">
        <f t="shared" si="378"/>
        <v>2022</v>
      </c>
      <c r="M8106" t="str">
        <f t="shared" si="379"/>
        <v>Jan</v>
      </c>
      <c r="N8106" s="2">
        <f t="shared" si="380"/>
        <v>0.19423357522401</v>
      </c>
    </row>
    <row r="8107" spans="1:14" x14ac:dyDescent="0.45">
      <c r="A8107" t="s">
        <v>13505</v>
      </c>
      <c r="B8107" s="1">
        <v>44930</v>
      </c>
      <c r="C8107" t="s">
        <v>13506</v>
      </c>
      <c r="D8107" t="s">
        <v>56</v>
      </c>
      <c r="E8107" t="s">
        <v>20</v>
      </c>
      <c r="F8107" t="s">
        <v>43</v>
      </c>
      <c r="G8107">
        <v>5</v>
      </c>
      <c r="H8107">
        <v>2954.99</v>
      </c>
      <c r="I8107">
        <v>396.63</v>
      </c>
      <c r="J8107" t="s">
        <v>71</v>
      </c>
      <c r="K8107" t="s">
        <v>29</v>
      </c>
      <c r="L8107">
        <f t="shared" si="378"/>
        <v>2023</v>
      </c>
      <c r="M8107" t="str">
        <f t="shared" si="379"/>
        <v>Jan</v>
      </c>
      <c r="N8107" s="2">
        <f t="shared" si="380"/>
        <v>0.1342238044798798</v>
      </c>
    </row>
    <row r="8108" spans="1:14" x14ac:dyDescent="0.45">
      <c r="A8108" t="s">
        <v>13507</v>
      </c>
      <c r="B8108" s="1">
        <v>45362</v>
      </c>
      <c r="C8108" t="s">
        <v>13508</v>
      </c>
      <c r="D8108" t="s">
        <v>26</v>
      </c>
      <c r="E8108" t="s">
        <v>20</v>
      </c>
      <c r="F8108" t="s">
        <v>50</v>
      </c>
      <c r="G8108">
        <v>1</v>
      </c>
      <c r="H8108">
        <v>25907.78</v>
      </c>
      <c r="I8108">
        <v>3205.28</v>
      </c>
      <c r="J8108" t="s">
        <v>47</v>
      </c>
      <c r="K8108" t="s">
        <v>33</v>
      </c>
      <c r="L8108">
        <f t="shared" si="378"/>
        <v>2024</v>
      </c>
      <c r="M8108" t="str">
        <f t="shared" si="379"/>
        <v>Mar</v>
      </c>
      <c r="N8108" s="2">
        <f t="shared" si="380"/>
        <v>0.12371882114175743</v>
      </c>
    </row>
    <row r="8109" spans="1:14" x14ac:dyDescent="0.45">
      <c r="A8109" t="s">
        <v>13509</v>
      </c>
      <c r="B8109" s="1">
        <v>44940</v>
      </c>
      <c r="C8109" t="s">
        <v>13510</v>
      </c>
      <c r="D8109" t="s">
        <v>13</v>
      </c>
      <c r="E8109" t="s">
        <v>14</v>
      </c>
      <c r="F8109" t="s">
        <v>15</v>
      </c>
      <c r="G8109">
        <v>4</v>
      </c>
      <c r="H8109">
        <v>48312.22</v>
      </c>
      <c r="I8109">
        <v>2604.0300000000002</v>
      </c>
      <c r="J8109" t="s">
        <v>16</v>
      </c>
      <c r="K8109" t="s">
        <v>29</v>
      </c>
      <c r="L8109">
        <f t="shared" si="378"/>
        <v>2023</v>
      </c>
      <c r="M8109" t="str">
        <f t="shared" si="379"/>
        <v>Jan</v>
      </c>
      <c r="N8109" s="2">
        <f t="shared" si="380"/>
        <v>5.3900027777651287E-2</v>
      </c>
    </row>
    <row r="8110" spans="1:14" x14ac:dyDescent="0.45">
      <c r="A8110" t="s">
        <v>13511</v>
      </c>
      <c r="B8110" s="1">
        <v>44945</v>
      </c>
      <c r="C8110" t="s">
        <v>4311</v>
      </c>
      <c r="D8110" t="s">
        <v>13</v>
      </c>
      <c r="E8110" t="s">
        <v>36</v>
      </c>
      <c r="F8110" t="s">
        <v>53</v>
      </c>
      <c r="G8110">
        <v>2</v>
      </c>
      <c r="H8110">
        <v>12259.26</v>
      </c>
      <c r="I8110">
        <v>1807.6</v>
      </c>
      <c r="J8110" t="s">
        <v>22</v>
      </c>
      <c r="K8110" t="s">
        <v>17</v>
      </c>
      <c r="L8110">
        <f t="shared" si="378"/>
        <v>2023</v>
      </c>
      <c r="M8110" t="str">
        <f t="shared" si="379"/>
        <v>Jan</v>
      </c>
      <c r="N8110" s="2">
        <f t="shared" si="380"/>
        <v>0.1474477252297447</v>
      </c>
    </row>
    <row r="8111" spans="1:14" x14ac:dyDescent="0.45">
      <c r="A8111" t="s">
        <v>13512</v>
      </c>
      <c r="B8111" s="1">
        <v>44815</v>
      </c>
      <c r="C8111" t="s">
        <v>8643</v>
      </c>
      <c r="D8111" t="s">
        <v>56</v>
      </c>
      <c r="E8111" t="s">
        <v>14</v>
      </c>
      <c r="F8111" t="s">
        <v>40</v>
      </c>
      <c r="G8111">
        <v>5</v>
      </c>
      <c r="H8111">
        <v>45227.69</v>
      </c>
      <c r="I8111">
        <v>3997.02</v>
      </c>
      <c r="J8111" t="s">
        <v>16</v>
      </c>
      <c r="K8111" t="s">
        <v>23</v>
      </c>
      <c r="L8111">
        <f t="shared" si="378"/>
        <v>2022</v>
      </c>
      <c r="M8111" t="str">
        <f t="shared" si="379"/>
        <v>Sep</v>
      </c>
      <c r="N8111" s="2">
        <f t="shared" si="380"/>
        <v>8.8375506244073046E-2</v>
      </c>
    </row>
    <row r="8112" spans="1:14" x14ac:dyDescent="0.45">
      <c r="A8112" t="s">
        <v>13513</v>
      </c>
      <c r="B8112" s="1">
        <v>44754</v>
      </c>
      <c r="C8112" t="s">
        <v>13514</v>
      </c>
      <c r="D8112" t="s">
        <v>26</v>
      </c>
      <c r="E8112" t="s">
        <v>20</v>
      </c>
      <c r="F8112" t="s">
        <v>21</v>
      </c>
      <c r="G8112">
        <v>4</v>
      </c>
      <c r="H8112">
        <v>5552.24</v>
      </c>
      <c r="I8112">
        <v>821.98</v>
      </c>
      <c r="J8112" t="s">
        <v>16</v>
      </c>
      <c r="K8112" t="s">
        <v>23</v>
      </c>
      <c r="L8112">
        <f t="shared" si="378"/>
        <v>2022</v>
      </c>
      <c r="M8112" t="str">
        <f t="shared" si="379"/>
        <v>Jul</v>
      </c>
      <c r="N8112" s="2">
        <f t="shared" si="380"/>
        <v>0.14804475310865525</v>
      </c>
    </row>
    <row r="8113" spans="1:14" x14ac:dyDescent="0.45">
      <c r="A8113" t="s">
        <v>13515</v>
      </c>
      <c r="B8113" s="1">
        <v>45651</v>
      </c>
      <c r="C8113" t="s">
        <v>2231</v>
      </c>
      <c r="D8113" t="s">
        <v>56</v>
      </c>
      <c r="E8113" t="s">
        <v>36</v>
      </c>
      <c r="F8113" t="s">
        <v>64</v>
      </c>
      <c r="G8113">
        <v>4</v>
      </c>
      <c r="H8113">
        <v>8879.58</v>
      </c>
      <c r="I8113">
        <v>1301.31</v>
      </c>
      <c r="J8113" t="s">
        <v>28</v>
      </c>
      <c r="K8113" t="s">
        <v>33</v>
      </c>
      <c r="L8113">
        <f t="shared" si="378"/>
        <v>2024</v>
      </c>
      <c r="M8113" t="str">
        <f t="shared" si="379"/>
        <v>Dec</v>
      </c>
      <c r="N8113" s="2">
        <f t="shared" si="380"/>
        <v>0.14655085037805843</v>
      </c>
    </row>
    <row r="8114" spans="1:14" x14ac:dyDescent="0.45">
      <c r="A8114" t="s">
        <v>13516</v>
      </c>
      <c r="B8114" s="1">
        <v>44763</v>
      </c>
      <c r="C8114" t="s">
        <v>10698</v>
      </c>
      <c r="D8114" t="s">
        <v>26</v>
      </c>
      <c r="E8114" t="s">
        <v>14</v>
      </c>
      <c r="F8114" t="s">
        <v>15</v>
      </c>
      <c r="G8114">
        <v>1</v>
      </c>
      <c r="H8114">
        <v>21181.759999999998</v>
      </c>
      <c r="I8114">
        <v>5068.1899999999996</v>
      </c>
      <c r="J8114" t="s">
        <v>28</v>
      </c>
      <c r="K8114" t="s">
        <v>17</v>
      </c>
      <c r="L8114">
        <f t="shared" si="378"/>
        <v>2022</v>
      </c>
      <c r="M8114" t="str">
        <f t="shared" si="379"/>
        <v>Jul</v>
      </c>
      <c r="N8114" s="2">
        <f t="shared" si="380"/>
        <v>0.23927142975843366</v>
      </c>
    </row>
    <row r="8115" spans="1:14" x14ac:dyDescent="0.45">
      <c r="A8115" t="s">
        <v>13517</v>
      </c>
      <c r="B8115" s="1">
        <v>45156</v>
      </c>
      <c r="C8115" t="s">
        <v>13518</v>
      </c>
      <c r="D8115" t="s">
        <v>56</v>
      </c>
      <c r="E8115" t="s">
        <v>14</v>
      </c>
      <c r="F8115" t="s">
        <v>15</v>
      </c>
      <c r="G8115">
        <v>2</v>
      </c>
      <c r="H8115">
        <v>9067.06</v>
      </c>
      <c r="I8115">
        <v>2205.5100000000002</v>
      </c>
      <c r="J8115" t="s">
        <v>22</v>
      </c>
      <c r="K8115" t="s">
        <v>29</v>
      </c>
      <c r="L8115">
        <f t="shared" si="378"/>
        <v>2023</v>
      </c>
      <c r="M8115" t="str">
        <f t="shared" si="379"/>
        <v>Aug</v>
      </c>
      <c r="N8115" s="2">
        <f t="shared" si="380"/>
        <v>0.24324422690486225</v>
      </c>
    </row>
    <row r="8116" spans="1:14" x14ac:dyDescent="0.45">
      <c r="A8116" t="s">
        <v>13519</v>
      </c>
      <c r="B8116" s="1">
        <v>45461</v>
      </c>
      <c r="C8116" t="s">
        <v>13520</v>
      </c>
      <c r="D8116" t="s">
        <v>13</v>
      </c>
      <c r="E8116" t="s">
        <v>14</v>
      </c>
      <c r="F8116" t="s">
        <v>32</v>
      </c>
      <c r="G8116">
        <v>4</v>
      </c>
      <c r="H8116">
        <v>33106.050000000003</v>
      </c>
      <c r="I8116">
        <v>3663.86</v>
      </c>
      <c r="J8116" t="s">
        <v>71</v>
      </c>
      <c r="K8116" t="s">
        <v>17</v>
      </c>
      <c r="L8116">
        <f t="shared" si="378"/>
        <v>2024</v>
      </c>
      <c r="M8116" t="str">
        <f t="shared" si="379"/>
        <v>Jun</v>
      </c>
      <c r="N8116" s="2">
        <f t="shared" si="380"/>
        <v>0.11067040616443218</v>
      </c>
    </row>
    <row r="8117" spans="1:14" x14ac:dyDescent="0.45">
      <c r="A8117" t="s">
        <v>13521</v>
      </c>
      <c r="B8117" s="1">
        <v>45250</v>
      </c>
      <c r="C8117" t="s">
        <v>2231</v>
      </c>
      <c r="D8117" t="s">
        <v>56</v>
      </c>
      <c r="E8117" t="s">
        <v>14</v>
      </c>
      <c r="F8117" t="s">
        <v>15</v>
      </c>
      <c r="G8117">
        <v>4</v>
      </c>
      <c r="H8117">
        <v>37936.620000000003</v>
      </c>
      <c r="I8117">
        <v>5128.37</v>
      </c>
      <c r="J8117" t="s">
        <v>22</v>
      </c>
      <c r="K8117" t="s">
        <v>23</v>
      </c>
      <c r="L8117">
        <f t="shared" si="378"/>
        <v>2023</v>
      </c>
      <c r="M8117" t="str">
        <f t="shared" si="379"/>
        <v>Nov</v>
      </c>
      <c r="N8117" s="2">
        <f t="shared" si="380"/>
        <v>0.13518257556946295</v>
      </c>
    </row>
    <row r="8118" spans="1:14" x14ac:dyDescent="0.45">
      <c r="A8118" t="s">
        <v>13522</v>
      </c>
      <c r="B8118" s="1">
        <v>45239</v>
      </c>
      <c r="C8118" t="s">
        <v>13523</v>
      </c>
      <c r="D8118" t="s">
        <v>13</v>
      </c>
      <c r="E8118" t="s">
        <v>14</v>
      </c>
      <c r="F8118" t="s">
        <v>32</v>
      </c>
      <c r="G8118">
        <v>2</v>
      </c>
      <c r="H8118">
        <v>21357.35</v>
      </c>
      <c r="I8118">
        <v>2602.23</v>
      </c>
      <c r="J8118" t="s">
        <v>47</v>
      </c>
      <c r="K8118" t="s">
        <v>29</v>
      </c>
      <c r="L8118">
        <f t="shared" si="378"/>
        <v>2023</v>
      </c>
      <c r="M8118" t="str">
        <f t="shared" si="379"/>
        <v>Nov</v>
      </c>
      <c r="N8118" s="2">
        <f t="shared" si="380"/>
        <v>0.12184236340182655</v>
      </c>
    </row>
    <row r="8119" spans="1:14" x14ac:dyDescent="0.45">
      <c r="A8119" t="s">
        <v>13524</v>
      </c>
      <c r="B8119" s="1">
        <v>44694</v>
      </c>
      <c r="C8119" t="s">
        <v>2001</v>
      </c>
      <c r="D8119" t="s">
        <v>26</v>
      </c>
      <c r="E8119" t="s">
        <v>36</v>
      </c>
      <c r="F8119" t="s">
        <v>53</v>
      </c>
      <c r="G8119">
        <v>4</v>
      </c>
      <c r="H8119">
        <v>19028.84</v>
      </c>
      <c r="I8119">
        <v>4702.1099999999997</v>
      </c>
      <c r="J8119" t="s">
        <v>22</v>
      </c>
      <c r="K8119" t="s">
        <v>29</v>
      </c>
      <c r="L8119">
        <f t="shared" si="378"/>
        <v>2022</v>
      </c>
      <c r="M8119" t="str">
        <f t="shared" si="379"/>
        <v>May</v>
      </c>
      <c r="N8119" s="2">
        <f t="shared" si="380"/>
        <v>0.24710439522325059</v>
      </c>
    </row>
    <row r="8120" spans="1:14" x14ac:dyDescent="0.45">
      <c r="A8120" t="s">
        <v>13525</v>
      </c>
      <c r="B8120" s="1">
        <v>45208</v>
      </c>
      <c r="C8120" t="s">
        <v>13526</v>
      </c>
      <c r="D8120" t="s">
        <v>56</v>
      </c>
      <c r="E8120" t="s">
        <v>14</v>
      </c>
      <c r="F8120" t="s">
        <v>32</v>
      </c>
      <c r="G8120">
        <v>2</v>
      </c>
      <c r="H8120">
        <v>24905.42</v>
      </c>
      <c r="I8120">
        <v>1589.34</v>
      </c>
      <c r="J8120" t="s">
        <v>28</v>
      </c>
      <c r="K8120" t="s">
        <v>33</v>
      </c>
      <c r="L8120">
        <f t="shared" si="378"/>
        <v>2023</v>
      </c>
      <c r="M8120" t="str">
        <f t="shared" si="379"/>
        <v>Oct</v>
      </c>
      <c r="N8120" s="2">
        <f t="shared" si="380"/>
        <v>6.3815025002589801E-2</v>
      </c>
    </row>
    <row r="8121" spans="1:14" x14ac:dyDescent="0.45">
      <c r="A8121" t="s">
        <v>13527</v>
      </c>
      <c r="B8121" s="1">
        <v>44647</v>
      </c>
      <c r="C8121" t="s">
        <v>13528</v>
      </c>
      <c r="D8121" t="s">
        <v>13</v>
      </c>
      <c r="E8121" t="s">
        <v>36</v>
      </c>
      <c r="F8121" t="s">
        <v>53</v>
      </c>
      <c r="G8121">
        <v>4</v>
      </c>
      <c r="H8121">
        <v>45629.8</v>
      </c>
      <c r="I8121">
        <v>2413.92</v>
      </c>
      <c r="J8121" t="s">
        <v>47</v>
      </c>
      <c r="K8121" t="s">
        <v>29</v>
      </c>
      <c r="L8121">
        <f t="shared" si="378"/>
        <v>2022</v>
      </c>
      <c r="M8121" t="str">
        <f t="shared" si="379"/>
        <v>Mar</v>
      </c>
      <c r="N8121" s="2">
        <f t="shared" si="380"/>
        <v>5.2902270007758087E-2</v>
      </c>
    </row>
    <row r="8122" spans="1:14" x14ac:dyDescent="0.45">
      <c r="A8122" t="s">
        <v>13529</v>
      </c>
      <c r="B8122" s="1">
        <v>45325</v>
      </c>
      <c r="C8122" t="s">
        <v>3607</v>
      </c>
      <c r="D8122" t="s">
        <v>26</v>
      </c>
      <c r="E8122" t="s">
        <v>14</v>
      </c>
      <c r="F8122" t="s">
        <v>57</v>
      </c>
      <c r="G8122">
        <v>2</v>
      </c>
      <c r="H8122">
        <v>33848.61</v>
      </c>
      <c r="I8122">
        <v>2804.14</v>
      </c>
      <c r="J8122" t="s">
        <v>28</v>
      </c>
      <c r="K8122" t="s">
        <v>29</v>
      </c>
      <c r="L8122">
        <f t="shared" si="378"/>
        <v>2024</v>
      </c>
      <c r="M8122" t="str">
        <f t="shared" si="379"/>
        <v>Feb</v>
      </c>
      <c r="N8122" s="2">
        <f t="shared" si="380"/>
        <v>8.2843579101180218E-2</v>
      </c>
    </row>
    <row r="8123" spans="1:14" x14ac:dyDescent="0.45">
      <c r="A8123" t="s">
        <v>13530</v>
      </c>
      <c r="B8123" s="1">
        <v>44603</v>
      </c>
      <c r="C8123" t="s">
        <v>4458</v>
      </c>
      <c r="D8123" t="s">
        <v>56</v>
      </c>
      <c r="E8123" t="s">
        <v>20</v>
      </c>
      <c r="F8123" t="s">
        <v>21</v>
      </c>
      <c r="G8123">
        <v>4</v>
      </c>
      <c r="H8123">
        <v>25634.98</v>
      </c>
      <c r="I8123">
        <v>1788.14</v>
      </c>
      <c r="J8123" t="s">
        <v>71</v>
      </c>
      <c r="K8123" t="s">
        <v>29</v>
      </c>
      <c r="L8123">
        <f t="shared" si="378"/>
        <v>2022</v>
      </c>
      <c r="M8123" t="str">
        <f t="shared" si="379"/>
        <v>Feb</v>
      </c>
      <c r="N8123" s="2">
        <f t="shared" si="380"/>
        <v>6.9753906576092511E-2</v>
      </c>
    </row>
    <row r="8124" spans="1:14" x14ac:dyDescent="0.45">
      <c r="A8124" t="s">
        <v>13531</v>
      </c>
      <c r="B8124" s="1">
        <v>45047</v>
      </c>
      <c r="C8124" t="s">
        <v>1282</v>
      </c>
      <c r="D8124" t="s">
        <v>13</v>
      </c>
      <c r="E8124" t="s">
        <v>20</v>
      </c>
      <c r="F8124" t="s">
        <v>43</v>
      </c>
      <c r="G8124">
        <v>3</v>
      </c>
      <c r="H8124">
        <v>15482.06</v>
      </c>
      <c r="I8124">
        <v>2037.99</v>
      </c>
      <c r="J8124" t="s">
        <v>71</v>
      </c>
      <c r="K8124" t="s">
        <v>23</v>
      </c>
      <c r="L8124">
        <f t="shared" si="378"/>
        <v>2023</v>
      </c>
      <c r="M8124" t="str">
        <f t="shared" si="379"/>
        <v>May</v>
      </c>
      <c r="N8124" s="2">
        <f t="shared" si="380"/>
        <v>0.13163558337843931</v>
      </c>
    </row>
    <row r="8125" spans="1:14" x14ac:dyDescent="0.45">
      <c r="A8125" t="s">
        <v>13532</v>
      </c>
      <c r="B8125" s="1">
        <v>44984</v>
      </c>
      <c r="C8125" t="s">
        <v>6908</v>
      </c>
      <c r="D8125" t="s">
        <v>56</v>
      </c>
      <c r="E8125" t="s">
        <v>14</v>
      </c>
      <c r="F8125" t="s">
        <v>15</v>
      </c>
      <c r="G8125">
        <v>2</v>
      </c>
      <c r="H8125">
        <v>40088.44</v>
      </c>
      <c r="I8125">
        <v>9569.01</v>
      </c>
      <c r="J8125" t="s">
        <v>22</v>
      </c>
      <c r="K8125" t="s">
        <v>17</v>
      </c>
      <c r="L8125">
        <f t="shared" si="378"/>
        <v>2023</v>
      </c>
      <c r="M8125" t="str">
        <f t="shared" si="379"/>
        <v>Feb</v>
      </c>
      <c r="N8125" s="2">
        <f t="shared" si="380"/>
        <v>0.23869748984994177</v>
      </c>
    </row>
    <row r="8126" spans="1:14" x14ac:dyDescent="0.45">
      <c r="A8126" t="s">
        <v>13533</v>
      </c>
      <c r="B8126" s="1">
        <v>45359</v>
      </c>
      <c r="C8126" t="s">
        <v>10458</v>
      </c>
      <c r="D8126" t="s">
        <v>56</v>
      </c>
      <c r="E8126" t="s">
        <v>20</v>
      </c>
      <c r="F8126" t="s">
        <v>43</v>
      </c>
      <c r="G8126">
        <v>2</v>
      </c>
      <c r="H8126">
        <v>20622.46</v>
      </c>
      <c r="I8126">
        <v>3933.88</v>
      </c>
      <c r="J8126" t="s">
        <v>16</v>
      </c>
      <c r="K8126" t="s">
        <v>17</v>
      </c>
      <c r="L8126">
        <f t="shared" si="378"/>
        <v>2024</v>
      </c>
      <c r="M8126" t="str">
        <f t="shared" si="379"/>
        <v>Mar</v>
      </c>
      <c r="N8126" s="2">
        <f t="shared" si="380"/>
        <v>0.19075706777949869</v>
      </c>
    </row>
    <row r="8127" spans="1:14" x14ac:dyDescent="0.45">
      <c r="A8127" t="s">
        <v>13534</v>
      </c>
      <c r="B8127" s="1">
        <v>45029</v>
      </c>
      <c r="C8127" t="s">
        <v>13535</v>
      </c>
      <c r="D8127" t="s">
        <v>13</v>
      </c>
      <c r="E8127" t="s">
        <v>20</v>
      </c>
      <c r="F8127" t="s">
        <v>50</v>
      </c>
      <c r="G8127">
        <v>1</v>
      </c>
      <c r="H8127">
        <v>46635.81</v>
      </c>
      <c r="I8127">
        <v>7042.67</v>
      </c>
      <c r="J8127" t="s">
        <v>16</v>
      </c>
      <c r="K8127" t="s">
        <v>23</v>
      </c>
      <c r="L8127">
        <f t="shared" si="378"/>
        <v>2023</v>
      </c>
      <c r="M8127" t="str">
        <f t="shared" si="379"/>
        <v>Apr</v>
      </c>
      <c r="N8127" s="2">
        <f t="shared" si="380"/>
        <v>0.15101420989578609</v>
      </c>
    </row>
    <row r="8128" spans="1:14" x14ac:dyDescent="0.45">
      <c r="A8128" t="s">
        <v>13536</v>
      </c>
      <c r="B8128" s="1">
        <v>44990</v>
      </c>
      <c r="C8128" t="s">
        <v>13537</v>
      </c>
      <c r="D8128" t="s">
        <v>13</v>
      </c>
      <c r="E8128" t="s">
        <v>14</v>
      </c>
      <c r="F8128" t="s">
        <v>57</v>
      </c>
      <c r="G8128">
        <v>2</v>
      </c>
      <c r="H8128">
        <v>1123.08</v>
      </c>
      <c r="I8128">
        <v>111.15</v>
      </c>
      <c r="J8128" t="s">
        <v>28</v>
      </c>
      <c r="K8128" t="s">
        <v>33</v>
      </c>
      <c r="L8128">
        <f t="shared" si="378"/>
        <v>2023</v>
      </c>
      <c r="M8128" t="str">
        <f t="shared" si="379"/>
        <v>Mar</v>
      </c>
      <c r="N8128" s="2">
        <f t="shared" si="380"/>
        <v>9.8968906934501555E-2</v>
      </c>
    </row>
    <row r="8129" spans="1:14" x14ac:dyDescent="0.45">
      <c r="A8129" t="s">
        <v>13538</v>
      </c>
      <c r="B8129" s="1">
        <v>45047</v>
      </c>
      <c r="C8129" t="s">
        <v>13539</v>
      </c>
      <c r="D8129" t="s">
        <v>56</v>
      </c>
      <c r="E8129" t="s">
        <v>20</v>
      </c>
      <c r="F8129" t="s">
        <v>27</v>
      </c>
      <c r="G8129">
        <v>5</v>
      </c>
      <c r="H8129">
        <v>42524.84</v>
      </c>
      <c r="I8129">
        <v>10481.36</v>
      </c>
      <c r="J8129" t="s">
        <v>28</v>
      </c>
      <c r="K8129" t="s">
        <v>17</v>
      </c>
      <c r="L8129">
        <f t="shared" si="378"/>
        <v>2023</v>
      </c>
      <c r="M8129" t="str">
        <f t="shared" si="379"/>
        <v>May</v>
      </c>
      <c r="N8129" s="2">
        <f t="shared" si="380"/>
        <v>0.24647617721783319</v>
      </c>
    </row>
    <row r="8130" spans="1:14" x14ac:dyDescent="0.45">
      <c r="A8130" t="s">
        <v>13540</v>
      </c>
      <c r="B8130" s="1">
        <v>45225</v>
      </c>
      <c r="C8130" t="s">
        <v>8176</v>
      </c>
      <c r="D8130" t="s">
        <v>56</v>
      </c>
      <c r="E8130" t="s">
        <v>20</v>
      </c>
      <c r="F8130" t="s">
        <v>50</v>
      </c>
      <c r="G8130">
        <v>1</v>
      </c>
      <c r="H8130">
        <v>37777.800000000003</v>
      </c>
      <c r="I8130">
        <v>2205.98</v>
      </c>
      <c r="J8130" t="s">
        <v>71</v>
      </c>
      <c r="K8130" t="s">
        <v>17</v>
      </c>
      <c r="L8130">
        <f t="shared" si="378"/>
        <v>2023</v>
      </c>
      <c r="M8130" t="str">
        <f t="shared" si="379"/>
        <v>Oct</v>
      </c>
      <c r="N8130" s="2">
        <f t="shared" si="380"/>
        <v>5.8393553886144769E-2</v>
      </c>
    </row>
    <row r="8131" spans="1:14" x14ac:dyDescent="0.45">
      <c r="A8131" t="s">
        <v>13541</v>
      </c>
      <c r="B8131" s="1">
        <v>45049</v>
      </c>
      <c r="C8131" t="s">
        <v>13542</v>
      </c>
      <c r="D8131" t="s">
        <v>26</v>
      </c>
      <c r="E8131" t="s">
        <v>20</v>
      </c>
      <c r="F8131" t="s">
        <v>43</v>
      </c>
      <c r="G8131">
        <v>1</v>
      </c>
      <c r="H8131">
        <v>12217.59</v>
      </c>
      <c r="I8131">
        <v>2852.16</v>
      </c>
      <c r="J8131" t="s">
        <v>28</v>
      </c>
      <c r="K8131" t="s">
        <v>23</v>
      </c>
      <c r="L8131">
        <f t="shared" ref="L8131:L8194" si="381">YEAR(B8131 )</f>
        <v>2023</v>
      </c>
      <c r="M8131" t="str">
        <f t="shared" ref="M8131:M8194" si="382">TEXT(B8131,"MMM")</f>
        <v>May</v>
      </c>
      <c r="N8131" s="2">
        <f t="shared" ref="N8131:N8194" si="383">I8131 / H8131</f>
        <v>0.23344702187583638</v>
      </c>
    </row>
    <row r="8132" spans="1:14" x14ac:dyDescent="0.45">
      <c r="A8132" t="s">
        <v>13543</v>
      </c>
      <c r="B8132" s="1">
        <v>44854</v>
      </c>
      <c r="C8132" t="s">
        <v>7944</v>
      </c>
      <c r="D8132" t="s">
        <v>13</v>
      </c>
      <c r="E8132" t="s">
        <v>20</v>
      </c>
      <c r="F8132" t="s">
        <v>21</v>
      </c>
      <c r="G8132">
        <v>1</v>
      </c>
      <c r="H8132">
        <v>4176.9799999999996</v>
      </c>
      <c r="I8132">
        <v>658.56</v>
      </c>
      <c r="J8132" t="s">
        <v>28</v>
      </c>
      <c r="K8132" t="s">
        <v>23</v>
      </c>
      <c r="L8132">
        <f t="shared" si="381"/>
        <v>2022</v>
      </c>
      <c r="M8132" t="str">
        <f t="shared" si="382"/>
        <v>Oct</v>
      </c>
      <c r="N8132" s="2">
        <f t="shared" si="383"/>
        <v>0.15766414969667081</v>
      </c>
    </row>
    <row r="8133" spans="1:14" x14ac:dyDescent="0.45">
      <c r="A8133" t="s">
        <v>13544</v>
      </c>
      <c r="B8133" s="1">
        <v>45445</v>
      </c>
      <c r="C8133" t="s">
        <v>13545</v>
      </c>
      <c r="D8133" t="s">
        <v>56</v>
      </c>
      <c r="E8133" t="s">
        <v>20</v>
      </c>
      <c r="F8133" t="s">
        <v>43</v>
      </c>
      <c r="G8133">
        <v>4</v>
      </c>
      <c r="H8133">
        <v>41740.400000000001</v>
      </c>
      <c r="I8133">
        <v>7759.45</v>
      </c>
      <c r="J8133" t="s">
        <v>47</v>
      </c>
      <c r="K8133" t="s">
        <v>29</v>
      </c>
      <c r="L8133">
        <f t="shared" si="381"/>
        <v>2024</v>
      </c>
      <c r="M8133" t="str">
        <f t="shared" si="382"/>
        <v>Jun</v>
      </c>
      <c r="N8133" s="2">
        <f t="shared" si="383"/>
        <v>0.18589783519084627</v>
      </c>
    </row>
    <row r="8134" spans="1:14" x14ac:dyDescent="0.45">
      <c r="A8134" t="s">
        <v>13546</v>
      </c>
      <c r="B8134" s="1">
        <v>45238</v>
      </c>
      <c r="C8134" t="s">
        <v>7097</v>
      </c>
      <c r="D8134" t="s">
        <v>56</v>
      </c>
      <c r="E8134" t="s">
        <v>20</v>
      </c>
      <c r="F8134" t="s">
        <v>21</v>
      </c>
      <c r="G8134">
        <v>4</v>
      </c>
      <c r="H8134">
        <v>4507.97</v>
      </c>
      <c r="I8134">
        <v>695.06</v>
      </c>
      <c r="J8134" t="s">
        <v>71</v>
      </c>
      <c r="K8134" t="s">
        <v>23</v>
      </c>
      <c r="L8134">
        <f t="shared" si="381"/>
        <v>2023</v>
      </c>
      <c r="M8134" t="str">
        <f t="shared" si="382"/>
        <v>Nov</v>
      </c>
      <c r="N8134" s="2">
        <f t="shared" si="383"/>
        <v>0.15418469954325337</v>
      </c>
    </row>
    <row r="8135" spans="1:14" x14ac:dyDescent="0.45">
      <c r="A8135" t="s">
        <v>13547</v>
      </c>
      <c r="B8135" s="1">
        <v>45627</v>
      </c>
      <c r="C8135" t="s">
        <v>13548</v>
      </c>
      <c r="D8135" t="s">
        <v>56</v>
      </c>
      <c r="E8135" t="s">
        <v>36</v>
      </c>
      <c r="F8135" t="s">
        <v>53</v>
      </c>
      <c r="G8135">
        <v>1</v>
      </c>
      <c r="H8135">
        <v>25357.439999999999</v>
      </c>
      <c r="I8135">
        <v>2010.17</v>
      </c>
      <c r="J8135" t="s">
        <v>22</v>
      </c>
      <c r="K8135" t="s">
        <v>23</v>
      </c>
      <c r="L8135">
        <f t="shared" si="381"/>
        <v>2024</v>
      </c>
      <c r="M8135" t="str">
        <f t="shared" si="382"/>
        <v>Dec</v>
      </c>
      <c r="N8135" s="2">
        <f t="shared" si="383"/>
        <v>7.9273380909113858E-2</v>
      </c>
    </row>
    <row r="8136" spans="1:14" x14ac:dyDescent="0.45">
      <c r="A8136" t="s">
        <v>13549</v>
      </c>
      <c r="B8136" s="1">
        <v>44816</v>
      </c>
      <c r="C8136" t="s">
        <v>6359</v>
      </c>
      <c r="D8136" t="s">
        <v>56</v>
      </c>
      <c r="E8136" t="s">
        <v>14</v>
      </c>
      <c r="F8136" t="s">
        <v>32</v>
      </c>
      <c r="G8136">
        <v>3</v>
      </c>
      <c r="H8136">
        <v>4914.54</v>
      </c>
      <c r="I8136">
        <v>554.14</v>
      </c>
      <c r="J8136" t="s">
        <v>71</v>
      </c>
      <c r="K8136" t="s">
        <v>33</v>
      </c>
      <c r="L8136">
        <f t="shared" si="381"/>
        <v>2022</v>
      </c>
      <c r="M8136" t="str">
        <f t="shared" si="382"/>
        <v>Sep</v>
      </c>
      <c r="N8136" s="2">
        <f t="shared" si="383"/>
        <v>0.11275521208495606</v>
      </c>
    </row>
    <row r="8137" spans="1:14" x14ac:dyDescent="0.45">
      <c r="A8137" t="s">
        <v>13550</v>
      </c>
      <c r="B8137" s="1">
        <v>45563</v>
      </c>
      <c r="C8137" t="s">
        <v>13551</v>
      </c>
      <c r="D8137" t="s">
        <v>56</v>
      </c>
      <c r="E8137" t="s">
        <v>14</v>
      </c>
      <c r="F8137" t="s">
        <v>15</v>
      </c>
      <c r="G8137">
        <v>3</v>
      </c>
      <c r="H8137">
        <v>20810.97</v>
      </c>
      <c r="I8137">
        <v>1787.52</v>
      </c>
      <c r="J8137" t="s">
        <v>47</v>
      </c>
      <c r="K8137" t="s">
        <v>33</v>
      </c>
      <c r="L8137">
        <f t="shared" si="381"/>
        <v>2024</v>
      </c>
      <c r="M8137" t="str">
        <f t="shared" si="382"/>
        <v>Sep</v>
      </c>
      <c r="N8137" s="2">
        <f t="shared" si="383"/>
        <v>8.5893161154910122E-2</v>
      </c>
    </row>
    <row r="8138" spans="1:14" x14ac:dyDescent="0.45">
      <c r="A8138" t="s">
        <v>13552</v>
      </c>
      <c r="B8138" s="1">
        <v>44632</v>
      </c>
      <c r="C8138" t="s">
        <v>13553</v>
      </c>
      <c r="D8138" t="s">
        <v>26</v>
      </c>
      <c r="E8138" t="s">
        <v>20</v>
      </c>
      <c r="F8138" t="s">
        <v>43</v>
      </c>
      <c r="G8138">
        <v>5</v>
      </c>
      <c r="H8138">
        <v>47257.42</v>
      </c>
      <c r="I8138">
        <v>7571.33</v>
      </c>
      <c r="J8138" t="s">
        <v>28</v>
      </c>
      <c r="K8138" t="s">
        <v>17</v>
      </c>
      <c r="L8138">
        <f t="shared" si="381"/>
        <v>2022</v>
      </c>
      <c r="M8138" t="str">
        <f t="shared" si="382"/>
        <v>Mar</v>
      </c>
      <c r="N8138" s="2">
        <f t="shared" si="383"/>
        <v>0.16021462872920275</v>
      </c>
    </row>
    <row r="8139" spans="1:14" x14ac:dyDescent="0.45">
      <c r="A8139" t="s">
        <v>13554</v>
      </c>
      <c r="B8139" s="1">
        <v>44881</v>
      </c>
      <c r="C8139" t="s">
        <v>13555</v>
      </c>
      <c r="D8139" t="s">
        <v>13</v>
      </c>
      <c r="E8139" t="s">
        <v>20</v>
      </c>
      <c r="F8139" t="s">
        <v>43</v>
      </c>
      <c r="G8139">
        <v>5</v>
      </c>
      <c r="H8139">
        <v>43939.76</v>
      </c>
      <c r="I8139">
        <v>5124.1000000000004</v>
      </c>
      <c r="J8139" t="s">
        <v>47</v>
      </c>
      <c r="K8139" t="s">
        <v>23</v>
      </c>
      <c r="L8139">
        <f t="shared" si="381"/>
        <v>2022</v>
      </c>
      <c r="M8139" t="str">
        <f t="shared" si="382"/>
        <v>Nov</v>
      </c>
      <c r="N8139" s="2">
        <f t="shared" si="383"/>
        <v>0.11661647673997309</v>
      </c>
    </row>
    <row r="8140" spans="1:14" x14ac:dyDescent="0.45">
      <c r="A8140" t="s">
        <v>13556</v>
      </c>
      <c r="B8140" s="1">
        <v>44686</v>
      </c>
      <c r="C8140" t="s">
        <v>13557</v>
      </c>
      <c r="D8140" t="s">
        <v>26</v>
      </c>
      <c r="E8140" t="s">
        <v>20</v>
      </c>
      <c r="F8140" t="s">
        <v>27</v>
      </c>
      <c r="G8140">
        <v>3</v>
      </c>
      <c r="H8140">
        <v>27813.96</v>
      </c>
      <c r="I8140">
        <v>2419.81</v>
      </c>
      <c r="J8140" t="s">
        <v>71</v>
      </c>
      <c r="K8140" t="s">
        <v>23</v>
      </c>
      <c r="L8140">
        <f t="shared" si="381"/>
        <v>2022</v>
      </c>
      <c r="M8140" t="str">
        <f t="shared" si="382"/>
        <v>May</v>
      </c>
      <c r="N8140" s="2">
        <f t="shared" si="383"/>
        <v>8.6999837491676849E-2</v>
      </c>
    </row>
    <row r="8141" spans="1:14" x14ac:dyDescent="0.45">
      <c r="A8141" t="s">
        <v>13558</v>
      </c>
      <c r="B8141" s="1">
        <v>45550</v>
      </c>
      <c r="C8141" t="s">
        <v>13559</v>
      </c>
      <c r="D8141" t="s">
        <v>26</v>
      </c>
      <c r="E8141" t="s">
        <v>14</v>
      </c>
      <c r="F8141" t="s">
        <v>32</v>
      </c>
      <c r="G8141">
        <v>5</v>
      </c>
      <c r="H8141">
        <v>18450.62</v>
      </c>
      <c r="I8141">
        <v>3194.76</v>
      </c>
      <c r="J8141" t="s">
        <v>71</v>
      </c>
      <c r="K8141" t="s">
        <v>17</v>
      </c>
      <c r="L8141">
        <f t="shared" si="381"/>
        <v>2024</v>
      </c>
      <c r="M8141" t="str">
        <f t="shared" si="382"/>
        <v>Sep</v>
      </c>
      <c r="N8141" s="2">
        <f t="shared" si="383"/>
        <v>0.17315190492243623</v>
      </c>
    </row>
    <row r="8142" spans="1:14" x14ac:dyDescent="0.45">
      <c r="A8142" t="s">
        <v>13560</v>
      </c>
      <c r="B8142" s="1">
        <v>45454</v>
      </c>
      <c r="C8142" t="s">
        <v>5620</v>
      </c>
      <c r="D8142" t="s">
        <v>56</v>
      </c>
      <c r="E8142" t="s">
        <v>20</v>
      </c>
      <c r="F8142" t="s">
        <v>43</v>
      </c>
      <c r="G8142">
        <v>1</v>
      </c>
      <c r="H8142">
        <v>40964.58</v>
      </c>
      <c r="I8142">
        <v>7488.07</v>
      </c>
      <c r="J8142" t="s">
        <v>71</v>
      </c>
      <c r="K8142" t="s">
        <v>17</v>
      </c>
      <c r="L8142">
        <f t="shared" si="381"/>
        <v>2024</v>
      </c>
      <c r="M8142" t="str">
        <f t="shared" si="382"/>
        <v>Jun</v>
      </c>
      <c r="N8142" s="2">
        <f t="shared" si="383"/>
        <v>0.18279376964196872</v>
      </c>
    </row>
    <row r="8143" spans="1:14" x14ac:dyDescent="0.45">
      <c r="A8143" t="s">
        <v>13561</v>
      </c>
      <c r="B8143" s="1">
        <v>45321</v>
      </c>
      <c r="C8143" t="s">
        <v>8508</v>
      </c>
      <c r="D8143" t="s">
        <v>56</v>
      </c>
      <c r="E8143" t="s">
        <v>14</v>
      </c>
      <c r="F8143" t="s">
        <v>57</v>
      </c>
      <c r="G8143">
        <v>2</v>
      </c>
      <c r="H8143">
        <v>34735.93</v>
      </c>
      <c r="I8143">
        <v>8165.49</v>
      </c>
      <c r="J8143" t="s">
        <v>16</v>
      </c>
      <c r="K8143" t="s">
        <v>17</v>
      </c>
      <c r="L8143">
        <f t="shared" si="381"/>
        <v>2024</v>
      </c>
      <c r="M8143" t="str">
        <f t="shared" si="382"/>
        <v>Jan</v>
      </c>
      <c r="N8143" s="2">
        <f t="shared" si="383"/>
        <v>0.23507330881885125</v>
      </c>
    </row>
    <row r="8144" spans="1:14" x14ac:dyDescent="0.45">
      <c r="A8144" t="s">
        <v>13562</v>
      </c>
      <c r="B8144" s="1">
        <v>45488</v>
      </c>
      <c r="C8144" t="s">
        <v>13563</v>
      </c>
      <c r="D8144" t="s">
        <v>56</v>
      </c>
      <c r="E8144" t="s">
        <v>36</v>
      </c>
      <c r="F8144" t="s">
        <v>37</v>
      </c>
      <c r="G8144">
        <v>2</v>
      </c>
      <c r="H8144">
        <v>21293.46</v>
      </c>
      <c r="I8144">
        <v>2189.2399999999998</v>
      </c>
      <c r="J8144" t="s">
        <v>71</v>
      </c>
      <c r="K8144" t="s">
        <v>23</v>
      </c>
      <c r="L8144">
        <f t="shared" si="381"/>
        <v>2024</v>
      </c>
      <c r="M8144" t="str">
        <f t="shared" si="382"/>
        <v>Jul</v>
      </c>
      <c r="N8144" s="2">
        <f t="shared" si="383"/>
        <v>0.10281278852755728</v>
      </c>
    </row>
    <row r="8145" spans="1:14" x14ac:dyDescent="0.45">
      <c r="A8145" t="s">
        <v>13564</v>
      </c>
      <c r="B8145" s="1">
        <v>44650</v>
      </c>
      <c r="C8145" t="s">
        <v>634</v>
      </c>
      <c r="D8145" t="s">
        <v>13</v>
      </c>
      <c r="E8145" t="s">
        <v>14</v>
      </c>
      <c r="F8145" t="s">
        <v>32</v>
      </c>
      <c r="G8145">
        <v>1</v>
      </c>
      <c r="H8145">
        <v>6618.12</v>
      </c>
      <c r="I8145">
        <v>352.82</v>
      </c>
      <c r="J8145" t="s">
        <v>22</v>
      </c>
      <c r="K8145" t="s">
        <v>23</v>
      </c>
      <c r="L8145">
        <f t="shared" si="381"/>
        <v>2022</v>
      </c>
      <c r="M8145" t="str">
        <f t="shared" si="382"/>
        <v>Mar</v>
      </c>
      <c r="N8145" s="2">
        <f t="shared" si="383"/>
        <v>5.3311212247586927E-2</v>
      </c>
    </row>
    <row r="8146" spans="1:14" x14ac:dyDescent="0.45">
      <c r="A8146" t="s">
        <v>13565</v>
      </c>
      <c r="B8146" s="1">
        <v>45242</v>
      </c>
      <c r="C8146" t="s">
        <v>1532</v>
      </c>
      <c r="D8146" t="s">
        <v>56</v>
      </c>
      <c r="E8146" t="s">
        <v>20</v>
      </c>
      <c r="F8146" t="s">
        <v>50</v>
      </c>
      <c r="G8146">
        <v>1</v>
      </c>
      <c r="H8146">
        <v>25612.240000000002</v>
      </c>
      <c r="I8146">
        <v>2335.0300000000002</v>
      </c>
      <c r="J8146" t="s">
        <v>71</v>
      </c>
      <c r="K8146" t="s">
        <v>33</v>
      </c>
      <c r="L8146">
        <f t="shared" si="381"/>
        <v>2023</v>
      </c>
      <c r="M8146" t="str">
        <f t="shared" si="382"/>
        <v>Nov</v>
      </c>
      <c r="N8146" s="2">
        <f t="shared" si="383"/>
        <v>9.1168519426649136E-2</v>
      </c>
    </row>
    <row r="8147" spans="1:14" x14ac:dyDescent="0.45">
      <c r="A8147" t="s">
        <v>13566</v>
      </c>
      <c r="B8147" s="1">
        <v>45139</v>
      </c>
      <c r="C8147" t="s">
        <v>13567</v>
      </c>
      <c r="D8147" t="s">
        <v>13</v>
      </c>
      <c r="E8147" t="s">
        <v>20</v>
      </c>
      <c r="F8147" t="s">
        <v>43</v>
      </c>
      <c r="G8147">
        <v>1</v>
      </c>
      <c r="H8147">
        <v>49721.84</v>
      </c>
      <c r="I8147">
        <v>4910.3599999999997</v>
      </c>
      <c r="J8147" t="s">
        <v>16</v>
      </c>
      <c r="K8147" t="s">
        <v>17</v>
      </c>
      <c r="L8147">
        <f t="shared" si="381"/>
        <v>2023</v>
      </c>
      <c r="M8147" t="str">
        <f t="shared" si="382"/>
        <v>Aug</v>
      </c>
      <c r="N8147" s="2">
        <f t="shared" si="383"/>
        <v>9.8756602732320439E-2</v>
      </c>
    </row>
    <row r="8148" spans="1:14" x14ac:dyDescent="0.45">
      <c r="A8148" t="s">
        <v>13568</v>
      </c>
      <c r="B8148" s="1">
        <v>45624</v>
      </c>
      <c r="C8148" t="s">
        <v>5814</v>
      </c>
      <c r="D8148" t="s">
        <v>56</v>
      </c>
      <c r="E8148" t="s">
        <v>36</v>
      </c>
      <c r="F8148" t="s">
        <v>46</v>
      </c>
      <c r="G8148">
        <v>4</v>
      </c>
      <c r="H8148">
        <v>49052.98</v>
      </c>
      <c r="I8148">
        <v>3981.13</v>
      </c>
      <c r="J8148" t="s">
        <v>47</v>
      </c>
      <c r="K8148" t="s">
        <v>33</v>
      </c>
      <c r="L8148">
        <f t="shared" si="381"/>
        <v>2024</v>
      </c>
      <c r="M8148" t="str">
        <f t="shared" si="382"/>
        <v>Nov</v>
      </c>
      <c r="N8148" s="2">
        <f t="shared" si="383"/>
        <v>8.1159799058079643E-2</v>
      </c>
    </row>
    <row r="8149" spans="1:14" x14ac:dyDescent="0.45">
      <c r="A8149" t="s">
        <v>13569</v>
      </c>
      <c r="B8149" s="1">
        <v>44938</v>
      </c>
      <c r="C8149" t="s">
        <v>9093</v>
      </c>
      <c r="D8149" t="s">
        <v>13</v>
      </c>
      <c r="E8149" t="s">
        <v>36</v>
      </c>
      <c r="F8149" t="s">
        <v>46</v>
      </c>
      <c r="G8149">
        <v>1</v>
      </c>
      <c r="H8149">
        <v>34878.78</v>
      </c>
      <c r="I8149">
        <v>5726.77</v>
      </c>
      <c r="J8149" t="s">
        <v>22</v>
      </c>
      <c r="K8149" t="s">
        <v>23</v>
      </c>
      <c r="L8149">
        <f t="shared" si="381"/>
        <v>2023</v>
      </c>
      <c r="M8149" t="str">
        <f t="shared" si="382"/>
        <v>Jan</v>
      </c>
      <c r="N8149" s="2">
        <f t="shared" si="383"/>
        <v>0.1641906626321219</v>
      </c>
    </row>
    <row r="8150" spans="1:14" x14ac:dyDescent="0.45">
      <c r="A8150" t="s">
        <v>13570</v>
      </c>
      <c r="B8150" s="1">
        <v>44782</v>
      </c>
      <c r="C8150" t="s">
        <v>13571</v>
      </c>
      <c r="D8150" t="s">
        <v>56</v>
      </c>
      <c r="E8150" t="s">
        <v>20</v>
      </c>
      <c r="F8150" t="s">
        <v>21</v>
      </c>
      <c r="G8150">
        <v>3</v>
      </c>
      <c r="H8150">
        <v>39330.26</v>
      </c>
      <c r="I8150">
        <v>2143.38</v>
      </c>
      <c r="J8150" t="s">
        <v>22</v>
      </c>
      <c r="K8150" t="s">
        <v>29</v>
      </c>
      <c r="L8150">
        <f t="shared" si="381"/>
        <v>2022</v>
      </c>
      <c r="M8150" t="str">
        <f t="shared" si="382"/>
        <v>Aug</v>
      </c>
      <c r="N8150" s="2">
        <f t="shared" si="383"/>
        <v>5.4496970017487809E-2</v>
      </c>
    </row>
    <row r="8151" spans="1:14" x14ac:dyDescent="0.45">
      <c r="A8151" t="s">
        <v>13572</v>
      </c>
      <c r="B8151" s="1">
        <v>45613</v>
      </c>
      <c r="C8151" t="s">
        <v>13318</v>
      </c>
      <c r="D8151" t="s">
        <v>56</v>
      </c>
      <c r="E8151" t="s">
        <v>36</v>
      </c>
      <c r="F8151" t="s">
        <v>46</v>
      </c>
      <c r="G8151">
        <v>2</v>
      </c>
      <c r="H8151">
        <v>30312.26</v>
      </c>
      <c r="I8151">
        <v>1679.28</v>
      </c>
      <c r="J8151" t="s">
        <v>22</v>
      </c>
      <c r="K8151" t="s">
        <v>29</v>
      </c>
      <c r="L8151">
        <f t="shared" si="381"/>
        <v>2024</v>
      </c>
      <c r="M8151" t="str">
        <f t="shared" si="382"/>
        <v>Nov</v>
      </c>
      <c r="N8151" s="2">
        <f t="shared" si="383"/>
        <v>5.5399366460963322E-2</v>
      </c>
    </row>
    <row r="8152" spans="1:14" x14ac:dyDescent="0.45">
      <c r="A8152" t="s">
        <v>13573</v>
      </c>
      <c r="B8152" s="1">
        <v>44920</v>
      </c>
      <c r="C8152" t="s">
        <v>4167</v>
      </c>
      <c r="D8152" t="s">
        <v>26</v>
      </c>
      <c r="E8152" t="s">
        <v>20</v>
      </c>
      <c r="F8152" t="s">
        <v>43</v>
      </c>
      <c r="G8152">
        <v>5</v>
      </c>
      <c r="H8152">
        <v>15773.74</v>
      </c>
      <c r="I8152">
        <v>3087.37</v>
      </c>
      <c r="J8152" t="s">
        <v>71</v>
      </c>
      <c r="K8152" t="s">
        <v>17</v>
      </c>
      <c r="L8152">
        <f t="shared" si="381"/>
        <v>2022</v>
      </c>
      <c r="M8152" t="str">
        <f t="shared" si="382"/>
        <v>Dec</v>
      </c>
      <c r="N8152" s="2">
        <f t="shared" si="383"/>
        <v>0.19572847022963483</v>
      </c>
    </row>
    <row r="8153" spans="1:14" x14ac:dyDescent="0.45">
      <c r="A8153" t="s">
        <v>13574</v>
      </c>
      <c r="B8153" s="1">
        <v>45039</v>
      </c>
      <c r="C8153" t="s">
        <v>7920</v>
      </c>
      <c r="D8153" t="s">
        <v>13</v>
      </c>
      <c r="E8153" t="s">
        <v>14</v>
      </c>
      <c r="F8153" t="s">
        <v>57</v>
      </c>
      <c r="G8153">
        <v>1</v>
      </c>
      <c r="H8153">
        <v>7560.14</v>
      </c>
      <c r="I8153">
        <v>1820.37</v>
      </c>
      <c r="J8153" t="s">
        <v>28</v>
      </c>
      <c r="K8153" t="s">
        <v>29</v>
      </c>
      <c r="L8153">
        <f t="shared" si="381"/>
        <v>2023</v>
      </c>
      <c r="M8153" t="str">
        <f t="shared" si="382"/>
        <v>Apr</v>
      </c>
      <c r="N8153" s="2">
        <f t="shared" si="383"/>
        <v>0.24078522355406115</v>
      </c>
    </row>
    <row r="8154" spans="1:14" x14ac:dyDescent="0.45">
      <c r="A8154" t="s">
        <v>13575</v>
      </c>
      <c r="B8154" s="1">
        <v>45016</v>
      </c>
      <c r="C8154" t="s">
        <v>13576</v>
      </c>
      <c r="D8154" t="s">
        <v>26</v>
      </c>
      <c r="E8154" t="s">
        <v>20</v>
      </c>
      <c r="F8154" t="s">
        <v>50</v>
      </c>
      <c r="G8154">
        <v>5</v>
      </c>
      <c r="H8154">
        <v>26993.360000000001</v>
      </c>
      <c r="I8154">
        <v>2249.23</v>
      </c>
      <c r="J8154" t="s">
        <v>71</v>
      </c>
      <c r="K8154" t="s">
        <v>33</v>
      </c>
      <c r="L8154">
        <f t="shared" si="381"/>
        <v>2023</v>
      </c>
      <c r="M8154" t="str">
        <f t="shared" si="382"/>
        <v>Mar</v>
      </c>
      <c r="N8154" s="2">
        <f t="shared" si="383"/>
        <v>8.3325306668010204E-2</v>
      </c>
    </row>
    <row r="8155" spans="1:14" x14ac:dyDescent="0.45">
      <c r="A8155" t="s">
        <v>13577</v>
      </c>
      <c r="B8155" s="1">
        <v>44585</v>
      </c>
      <c r="C8155" t="s">
        <v>8696</v>
      </c>
      <c r="D8155" t="s">
        <v>13</v>
      </c>
      <c r="E8155" t="s">
        <v>36</v>
      </c>
      <c r="F8155" t="s">
        <v>46</v>
      </c>
      <c r="G8155">
        <v>2</v>
      </c>
      <c r="H8155">
        <v>14517.99</v>
      </c>
      <c r="I8155">
        <v>1183</v>
      </c>
      <c r="J8155" t="s">
        <v>47</v>
      </c>
      <c r="K8155" t="s">
        <v>33</v>
      </c>
      <c r="L8155">
        <f t="shared" si="381"/>
        <v>2022</v>
      </c>
      <c r="M8155" t="str">
        <f t="shared" si="382"/>
        <v>Jan</v>
      </c>
      <c r="N8155" s="2">
        <f t="shared" si="383"/>
        <v>8.1485109164560657E-2</v>
      </c>
    </row>
    <row r="8156" spans="1:14" x14ac:dyDescent="0.45">
      <c r="A8156" t="s">
        <v>13578</v>
      </c>
      <c r="B8156" s="1">
        <v>44630</v>
      </c>
      <c r="C8156" t="s">
        <v>13579</v>
      </c>
      <c r="D8156" t="s">
        <v>13</v>
      </c>
      <c r="E8156" t="s">
        <v>14</v>
      </c>
      <c r="F8156" t="s">
        <v>15</v>
      </c>
      <c r="G8156">
        <v>4</v>
      </c>
      <c r="H8156">
        <v>49746.02</v>
      </c>
      <c r="I8156">
        <v>7635.66</v>
      </c>
      <c r="J8156" t="s">
        <v>16</v>
      </c>
      <c r="K8156" t="s">
        <v>23</v>
      </c>
      <c r="L8156">
        <f t="shared" si="381"/>
        <v>2022</v>
      </c>
      <c r="M8156" t="str">
        <f t="shared" si="382"/>
        <v>Mar</v>
      </c>
      <c r="N8156" s="2">
        <f t="shared" si="383"/>
        <v>0.15349288244567103</v>
      </c>
    </row>
    <row r="8157" spans="1:14" x14ac:dyDescent="0.45">
      <c r="A8157" t="s">
        <v>13580</v>
      </c>
      <c r="B8157" s="1">
        <v>45271</v>
      </c>
      <c r="C8157" t="s">
        <v>13581</v>
      </c>
      <c r="D8157" t="s">
        <v>26</v>
      </c>
      <c r="E8157" t="s">
        <v>20</v>
      </c>
      <c r="F8157" t="s">
        <v>43</v>
      </c>
      <c r="G8157">
        <v>1</v>
      </c>
      <c r="H8157">
        <v>35415.78</v>
      </c>
      <c r="I8157">
        <v>6689.46</v>
      </c>
      <c r="J8157" t="s">
        <v>71</v>
      </c>
      <c r="K8157" t="s">
        <v>23</v>
      </c>
      <c r="L8157">
        <f t="shared" si="381"/>
        <v>2023</v>
      </c>
      <c r="M8157" t="str">
        <f t="shared" si="382"/>
        <v>Dec</v>
      </c>
      <c r="N8157" s="2">
        <f t="shared" si="383"/>
        <v>0.18888359934469889</v>
      </c>
    </row>
    <row r="8158" spans="1:14" x14ac:dyDescent="0.45">
      <c r="A8158" t="s">
        <v>13582</v>
      </c>
      <c r="B8158" s="1">
        <v>45249</v>
      </c>
      <c r="C8158" t="s">
        <v>7381</v>
      </c>
      <c r="D8158" t="s">
        <v>56</v>
      </c>
      <c r="E8158" t="s">
        <v>20</v>
      </c>
      <c r="F8158" t="s">
        <v>27</v>
      </c>
      <c r="G8158">
        <v>2</v>
      </c>
      <c r="H8158">
        <v>45171.14</v>
      </c>
      <c r="I8158">
        <v>8481.57</v>
      </c>
      <c r="J8158" t="s">
        <v>71</v>
      </c>
      <c r="K8158" t="s">
        <v>17</v>
      </c>
      <c r="L8158">
        <f t="shared" si="381"/>
        <v>2023</v>
      </c>
      <c r="M8158" t="str">
        <f t="shared" si="382"/>
        <v>Nov</v>
      </c>
      <c r="N8158" s="2">
        <f t="shared" si="383"/>
        <v>0.18776524125802449</v>
      </c>
    </row>
    <row r="8159" spans="1:14" x14ac:dyDescent="0.45">
      <c r="A8159" t="s">
        <v>13583</v>
      </c>
      <c r="B8159" s="1">
        <v>44637</v>
      </c>
      <c r="C8159" t="s">
        <v>13584</v>
      </c>
      <c r="D8159" t="s">
        <v>26</v>
      </c>
      <c r="E8159" t="s">
        <v>36</v>
      </c>
      <c r="F8159" t="s">
        <v>37</v>
      </c>
      <c r="G8159">
        <v>5</v>
      </c>
      <c r="H8159">
        <v>45602.92</v>
      </c>
      <c r="I8159">
        <v>10257.92</v>
      </c>
      <c r="J8159" t="s">
        <v>22</v>
      </c>
      <c r="K8159" t="s">
        <v>23</v>
      </c>
      <c r="L8159">
        <f t="shared" si="381"/>
        <v>2022</v>
      </c>
      <c r="M8159" t="str">
        <f t="shared" si="382"/>
        <v>Mar</v>
      </c>
      <c r="N8159" s="2">
        <f t="shared" si="383"/>
        <v>0.22493998191343889</v>
      </c>
    </row>
    <row r="8160" spans="1:14" x14ac:dyDescent="0.45">
      <c r="A8160" t="s">
        <v>13585</v>
      </c>
      <c r="B8160" s="1">
        <v>44702</v>
      </c>
      <c r="C8160" t="s">
        <v>13586</v>
      </c>
      <c r="D8160" t="s">
        <v>56</v>
      </c>
      <c r="E8160" t="s">
        <v>36</v>
      </c>
      <c r="F8160" t="s">
        <v>64</v>
      </c>
      <c r="G8160">
        <v>2</v>
      </c>
      <c r="H8160">
        <v>42809.5</v>
      </c>
      <c r="I8160">
        <v>6966.5</v>
      </c>
      <c r="J8160" t="s">
        <v>16</v>
      </c>
      <c r="K8160" t="s">
        <v>33</v>
      </c>
      <c r="L8160">
        <f t="shared" si="381"/>
        <v>2022</v>
      </c>
      <c r="M8160" t="str">
        <f t="shared" si="382"/>
        <v>May</v>
      </c>
      <c r="N8160" s="2">
        <f t="shared" si="383"/>
        <v>0.16273257104147443</v>
      </c>
    </row>
    <row r="8161" spans="1:14" x14ac:dyDescent="0.45">
      <c r="A8161" t="s">
        <v>13587</v>
      </c>
      <c r="B8161" s="1">
        <v>44963</v>
      </c>
      <c r="C8161" t="s">
        <v>13588</v>
      </c>
      <c r="D8161" t="s">
        <v>56</v>
      </c>
      <c r="E8161" t="s">
        <v>36</v>
      </c>
      <c r="F8161" t="s">
        <v>37</v>
      </c>
      <c r="G8161">
        <v>3</v>
      </c>
      <c r="H8161">
        <v>20573.34</v>
      </c>
      <c r="I8161">
        <v>1084.5899999999999</v>
      </c>
      <c r="J8161" t="s">
        <v>28</v>
      </c>
      <c r="K8161" t="s">
        <v>23</v>
      </c>
      <c r="L8161">
        <f t="shared" si="381"/>
        <v>2023</v>
      </c>
      <c r="M8161" t="str">
        <f t="shared" si="382"/>
        <v>Feb</v>
      </c>
      <c r="N8161" s="2">
        <f t="shared" si="383"/>
        <v>5.2718226598111921E-2</v>
      </c>
    </row>
    <row r="8162" spans="1:14" x14ac:dyDescent="0.45">
      <c r="A8162" t="s">
        <v>13589</v>
      </c>
      <c r="B8162" s="1">
        <v>44916</v>
      </c>
      <c r="C8162" t="s">
        <v>3184</v>
      </c>
      <c r="D8162" t="s">
        <v>26</v>
      </c>
      <c r="E8162" t="s">
        <v>14</v>
      </c>
      <c r="F8162" t="s">
        <v>40</v>
      </c>
      <c r="G8162">
        <v>3</v>
      </c>
      <c r="H8162">
        <v>24349.03</v>
      </c>
      <c r="I8162">
        <v>1411.18</v>
      </c>
      <c r="J8162" t="s">
        <v>28</v>
      </c>
      <c r="K8162" t="s">
        <v>29</v>
      </c>
      <c r="L8162">
        <f t="shared" si="381"/>
        <v>2022</v>
      </c>
      <c r="M8162" t="str">
        <f t="shared" si="382"/>
        <v>Dec</v>
      </c>
      <c r="N8162" s="2">
        <f t="shared" si="383"/>
        <v>5.7956312838745534E-2</v>
      </c>
    </row>
    <row r="8163" spans="1:14" x14ac:dyDescent="0.45">
      <c r="A8163" t="s">
        <v>13590</v>
      </c>
      <c r="B8163" s="1">
        <v>44636</v>
      </c>
      <c r="C8163" t="s">
        <v>13194</v>
      </c>
      <c r="D8163" t="s">
        <v>56</v>
      </c>
      <c r="E8163" t="s">
        <v>20</v>
      </c>
      <c r="F8163" t="s">
        <v>50</v>
      </c>
      <c r="G8163">
        <v>2</v>
      </c>
      <c r="H8163">
        <v>49788.29</v>
      </c>
      <c r="I8163">
        <v>5594.57</v>
      </c>
      <c r="J8163" t="s">
        <v>16</v>
      </c>
      <c r="K8163" t="s">
        <v>23</v>
      </c>
      <c r="L8163">
        <f t="shared" si="381"/>
        <v>2022</v>
      </c>
      <c r="M8163" t="str">
        <f t="shared" si="382"/>
        <v>Mar</v>
      </c>
      <c r="N8163" s="2">
        <f t="shared" si="383"/>
        <v>0.11236718513529988</v>
      </c>
    </row>
    <row r="8164" spans="1:14" x14ac:dyDescent="0.45">
      <c r="A8164" t="s">
        <v>13591</v>
      </c>
      <c r="B8164" s="1">
        <v>44798</v>
      </c>
      <c r="C8164" t="s">
        <v>13592</v>
      </c>
      <c r="D8164" t="s">
        <v>56</v>
      </c>
      <c r="E8164" t="s">
        <v>20</v>
      </c>
      <c r="F8164" t="s">
        <v>21</v>
      </c>
      <c r="G8164">
        <v>3</v>
      </c>
      <c r="H8164">
        <v>20426.509999999998</v>
      </c>
      <c r="I8164">
        <v>2347.6999999999998</v>
      </c>
      <c r="J8164" t="s">
        <v>28</v>
      </c>
      <c r="K8164" t="s">
        <v>23</v>
      </c>
      <c r="L8164">
        <f t="shared" si="381"/>
        <v>2022</v>
      </c>
      <c r="M8164" t="str">
        <f t="shared" si="382"/>
        <v>Aug</v>
      </c>
      <c r="N8164" s="2">
        <f t="shared" si="383"/>
        <v>0.11493397550536044</v>
      </c>
    </row>
    <row r="8165" spans="1:14" x14ac:dyDescent="0.45">
      <c r="A8165" t="s">
        <v>13593</v>
      </c>
      <c r="B8165" s="1">
        <v>45188</v>
      </c>
      <c r="C8165" t="s">
        <v>2299</v>
      </c>
      <c r="D8165" t="s">
        <v>26</v>
      </c>
      <c r="E8165" t="s">
        <v>36</v>
      </c>
      <c r="F8165" t="s">
        <v>64</v>
      </c>
      <c r="G8165">
        <v>5</v>
      </c>
      <c r="H8165">
        <v>20225.45</v>
      </c>
      <c r="I8165">
        <v>4624.4399999999996</v>
      </c>
      <c r="J8165" t="s">
        <v>71</v>
      </c>
      <c r="K8165" t="s">
        <v>17</v>
      </c>
      <c r="L8165">
        <f t="shared" si="381"/>
        <v>2023</v>
      </c>
      <c r="M8165" t="str">
        <f t="shared" si="382"/>
        <v>Sep</v>
      </c>
      <c r="N8165" s="2">
        <f t="shared" si="383"/>
        <v>0.2286446037047383</v>
      </c>
    </row>
    <row r="8166" spans="1:14" x14ac:dyDescent="0.45">
      <c r="A8166" t="s">
        <v>13594</v>
      </c>
      <c r="B8166" s="1">
        <v>45112</v>
      </c>
      <c r="C8166" t="s">
        <v>13595</v>
      </c>
      <c r="D8166" t="s">
        <v>26</v>
      </c>
      <c r="E8166" t="s">
        <v>14</v>
      </c>
      <c r="F8166" t="s">
        <v>15</v>
      </c>
      <c r="G8166">
        <v>4</v>
      </c>
      <c r="H8166">
        <v>9786.31</v>
      </c>
      <c r="I8166">
        <v>2364.7800000000002</v>
      </c>
      <c r="J8166" t="s">
        <v>47</v>
      </c>
      <c r="K8166" t="s">
        <v>29</v>
      </c>
      <c r="L8166">
        <f t="shared" si="381"/>
        <v>2023</v>
      </c>
      <c r="M8166" t="str">
        <f t="shared" si="382"/>
        <v>Jul</v>
      </c>
      <c r="N8166" s="2">
        <f t="shared" si="383"/>
        <v>0.24164164020963982</v>
      </c>
    </row>
    <row r="8167" spans="1:14" x14ac:dyDescent="0.45">
      <c r="A8167" t="s">
        <v>13596</v>
      </c>
      <c r="B8167" s="1">
        <v>44573</v>
      </c>
      <c r="C8167" t="s">
        <v>265</v>
      </c>
      <c r="D8167" t="s">
        <v>13</v>
      </c>
      <c r="E8167" t="s">
        <v>20</v>
      </c>
      <c r="F8167" t="s">
        <v>27</v>
      </c>
      <c r="G8167">
        <v>4</v>
      </c>
      <c r="H8167">
        <v>5031.57</v>
      </c>
      <c r="I8167">
        <v>808.07</v>
      </c>
      <c r="J8167" t="s">
        <v>16</v>
      </c>
      <c r="K8167" t="s">
        <v>33</v>
      </c>
      <c r="L8167">
        <f t="shared" si="381"/>
        <v>2022</v>
      </c>
      <c r="M8167" t="str">
        <f t="shared" si="382"/>
        <v>Jan</v>
      </c>
      <c r="N8167" s="2">
        <f t="shared" si="383"/>
        <v>0.16059997177819252</v>
      </c>
    </row>
    <row r="8168" spans="1:14" x14ac:dyDescent="0.45">
      <c r="A8168" t="s">
        <v>13597</v>
      </c>
      <c r="B8168" s="1">
        <v>44713</v>
      </c>
      <c r="C8168" t="s">
        <v>11690</v>
      </c>
      <c r="D8168" t="s">
        <v>13</v>
      </c>
      <c r="E8168" t="s">
        <v>14</v>
      </c>
      <c r="F8168" t="s">
        <v>32</v>
      </c>
      <c r="G8168">
        <v>4</v>
      </c>
      <c r="H8168">
        <v>28700.28</v>
      </c>
      <c r="I8168">
        <v>6602.53</v>
      </c>
      <c r="J8168" t="s">
        <v>16</v>
      </c>
      <c r="K8168" t="s">
        <v>29</v>
      </c>
      <c r="L8168">
        <f t="shared" si="381"/>
        <v>2022</v>
      </c>
      <c r="M8168" t="str">
        <f t="shared" si="382"/>
        <v>Jun</v>
      </c>
      <c r="N8168" s="2">
        <f t="shared" si="383"/>
        <v>0.23005106570388861</v>
      </c>
    </row>
    <row r="8169" spans="1:14" x14ac:dyDescent="0.45">
      <c r="A8169" t="s">
        <v>13598</v>
      </c>
      <c r="B8169" s="1">
        <v>45357</v>
      </c>
      <c r="C8169" t="s">
        <v>345</v>
      </c>
      <c r="D8169" t="s">
        <v>26</v>
      </c>
      <c r="E8169" t="s">
        <v>36</v>
      </c>
      <c r="F8169" t="s">
        <v>64</v>
      </c>
      <c r="G8169">
        <v>5</v>
      </c>
      <c r="H8169">
        <v>41672.5</v>
      </c>
      <c r="I8169">
        <v>10046.43</v>
      </c>
      <c r="J8169" t="s">
        <v>71</v>
      </c>
      <c r="K8169" t="s">
        <v>23</v>
      </c>
      <c r="L8169">
        <f t="shared" si="381"/>
        <v>2024</v>
      </c>
      <c r="M8169" t="str">
        <f t="shared" si="382"/>
        <v>Mar</v>
      </c>
      <c r="N8169" s="2">
        <f t="shared" si="383"/>
        <v>0.24108056872037914</v>
      </c>
    </row>
    <row r="8170" spans="1:14" x14ac:dyDescent="0.45">
      <c r="A8170" t="s">
        <v>13599</v>
      </c>
      <c r="B8170" s="1">
        <v>44936</v>
      </c>
      <c r="C8170" t="s">
        <v>13600</v>
      </c>
      <c r="D8170" t="s">
        <v>56</v>
      </c>
      <c r="E8170" t="s">
        <v>14</v>
      </c>
      <c r="F8170" t="s">
        <v>57</v>
      </c>
      <c r="G8170">
        <v>2</v>
      </c>
      <c r="H8170">
        <v>43944.89</v>
      </c>
      <c r="I8170">
        <v>8371.5499999999993</v>
      </c>
      <c r="J8170" t="s">
        <v>47</v>
      </c>
      <c r="K8170" t="s">
        <v>23</v>
      </c>
      <c r="L8170">
        <f t="shared" si="381"/>
        <v>2023</v>
      </c>
      <c r="M8170" t="str">
        <f t="shared" si="382"/>
        <v>Jan</v>
      </c>
      <c r="N8170" s="2">
        <f t="shared" si="383"/>
        <v>0.19050110263104536</v>
      </c>
    </row>
    <row r="8171" spans="1:14" x14ac:dyDescent="0.45">
      <c r="A8171" t="s">
        <v>13601</v>
      </c>
      <c r="B8171" s="1">
        <v>45569</v>
      </c>
      <c r="C8171" t="s">
        <v>13602</v>
      </c>
      <c r="D8171" t="s">
        <v>26</v>
      </c>
      <c r="E8171" t="s">
        <v>20</v>
      </c>
      <c r="F8171" t="s">
        <v>43</v>
      </c>
      <c r="G8171">
        <v>4</v>
      </c>
      <c r="H8171">
        <v>30172.87</v>
      </c>
      <c r="I8171">
        <v>5257.7</v>
      </c>
      <c r="J8171" t="s">
        <v>28</v>
      </c>
      <c r="K8171" t="s">
        <v>17</v>
      </c>
      <c r="L8171">
        <f t="shared" si="381"/>
        <v>2024</v>
      </c>
      <c r="M8171" t="str">
        <f t="shared" si="382"/>
        <v>Oct</v>
      </c>
      <c r="N8171" s="2">
        <f t="shared" si="383"/>
        <v>0.17425256530121264</v>
      </c>
    </row>
    <row r="8172" spans="1:14" x14ac:dyDescent="0.45">
      <c r="A8172" t="s">
        <v>13603</v>
      </c>
      <c r="B8172" s="1">
        <v>44579</v>
      </c>
      <c r="C8172" t="s">
        <v>8678</v>
      </c>
      <c r="D8172" t="s">
        <v>13</v>
      </c>
      <c r="E8172" t="s">
        <v>20</v>
      </c>
      <c r="F8172" t="s">
        <v>43</v>
      </c>
      <c r="G8172">
        <v>4</v>
      </c>
      <c r="H8172">
        <v>40988.67</v>
      </c>
      <c r="I8172">
        <v>6752.3</v>
      </c>
      <c r="J8172" t="s">
        <v>16</v>
      </c>
      <c r="K8172" t="s">
        <v>33</v>
      </c>
      <c r="L8172">
        <f t="shared" si="381"/>
        <v>2022</v>
      </c>
      <c r="M8172" t="str">
        <f t="shared" si="382"/>
        <v>Jan</v>
      </c>
      <c r="N8172" s="2">
        <f t="shared" si="383"/>
        <v>0.16473576722543085</v>
      </c>
    </row>
    <row r="8173" spans="1:14" x14ac:dyDescent="0.45">
      <c r="A8173" t="s">
        <v>13604</v>
      </c>
      <c r="B8173" s="1">
        <v>45299</v>
      </c>
      <c r="C8173" t="s">
        <v>13605</v>
      </c>
      <c r="D8173" t="s">
        <v>26</v>
      </c>
      <c r="E8173" t="s">
        <v>14</v>
      </c>
      <c r="F8173" t="s">
        <v>15</v>
      </c>
      <c r="G8173">
        <v>4</v>
      </c>
      <c r="H8173">
        <v>45815.29</v>
      </c>
      <c r="I8173">
        <v>10188.82</v>
      </c>
      <c r="J8173" t="s">
        <v>71</v>
      </c>
      <c r="K8173" t="s">
        <v>17</v>
      </c>
      <c r="L8173">
        <f t="shared" si="381"/>
        <v>2024</v>
      </c>
      <c r="M8173" t="str">
        <f t="shared" si="382"/>
        <v>Jan</v>
      </c>
      <c r="N8173" s="2">
        <f t="shared" si="383"/>
        <v>0.22238907578670788</v>
      </c>
    </row>
    <row r="8174" spans="1:14" x14ac:dyDescent="0.45">
      <c r="A8174" t="s">
        <v>13606</v>
      </c>
      <c r="B8174" s="1">
        <v>45158</v>
      </c>
      <c r="C8174" t="s">
        <v>13360</v>
      </c>
      <c r="D8174" t="s">
        <v>26</v>
      </c>
      <c r="E8174" t="s">
        <v>14</v>
      </c>
      <c r="F8174" t="s">
        <v>57</v>
      </c>
      <c r="G8174">
        <v>4</v>
      </c>
      <c r="H8174">
        <v>21030.82</v>
      </c>
      <c r="I8174">
        <v>2711.79</v>
      </c>
      <c r="J8174" t="s">
        <v>28</v>
      </c>
      <c r="K8174" t="s">
        <v>29</v>
      </c>
      <c r="L8174">
        <f t="shared" si="381"/>
        <v>2023</v>
      </c>
      <c r="M8174" t="str">
        <f t="shared" si="382"/>
        <v>Aug</v>
      </c>
      <c r="N8174" s="2">
        <f t="shared" si="383"/>
        <v>0.12894361703442853</v>
      </c>
    </row>
    <row r="8175" spans="1:14" x14ac:dyDescent="0.45">
      <c r="A8175" t="s">
        <v>13607</v>
      </c>
      <c r="B8175" s="1">
        <v>44951</v>
      </c>
      <c r="C8175" t="s">
        <v>1107</v>
      </c>
      <c r="D8175" t="s">
        <v>26</v>
      </c>
      <c r="E8175" t="s">
        <v>14</v>
      </c>
      <c r="F8175" t="s">
        <v>32</v>
      </c>
      <c r="G8175">
        <v>1</v>
      </c>
      <c r="H8175">
        <v>26481.65</v>
      </c>
      <c r="I8175">
        <v>2107.7600000000002</v>
      </c>
      <c r="J8175" t="s">
        <v>28</v>
      </c>
      <c r="K8175" t="s">
        <v>17</v>
      </c>
      <c r="L8175">
        <f t="shared" si="381"/>
        <v>2023</v>
      </c>
      <c r="M8175" t="str">
        <f t="shared" si="382"/>
        <v>Jan</v>
      </c>
      <c r="N8175" s="2">
        <f t="shared" si="383"/>
        <v>7.9593227763375782E-2</v>
      </c>
    </row>
    <row r="8176" spans="1:14" x14ac:dyDescent="0.45">
      <c r="A8176" t="s">
        <v>13608</v>
      </c>
      <c r="B8176" s="1">
        <v>45114</v>
      </c>
      <c r="C8176" t="s">
        <v>2604</v>
      </c>
      <c r="D8176" t="s">
        <v>13</v>
      </c>
      <c r="E8176" t="s">
        <v>36</v>
      </c>
      <c r="F8176" t="s">
        <v>64</v>
      </c>
      <c r="G8176">
        <v>4</v>
      </c>
      <c r="H8176">
        <v>3153.08</v>
      </c>
      <c r="I8176">
        <v>561.79999999999995</v>
      </c>
      <c r="J8176" t="s">
        <v>47</v>
      </c>
      <c r="K8176" t="s">
        <v>23</v>
      </c>
      <c r="L8176">
        <f t="shared" si="381"/>
        <v>2023</v>
      </c>
      <c r="M8176" t="str">
        <f t="shared" si="382"/>
        <v>Jul</v>
      </c>
      <c r="N8176" s="2">
        <f t="shared" si="383"/>
        <v>0.17817499080264376</v>
      </c>
    </row>
    <row r="8177" spans="1:14" x14ac:dyDescent="0.45">
      <c r="A8177" t="s">
        <v>13609</v>
      </c>
      <c r="B8177" s="1">
        <v>45056</v>
      </c>
      <c r="C8177" t="s">
        <v>3285</v>
      </c>
      <c r="D8177" t="s">
        <v>56</v>
      </c>
      <c r="E8177" t="s">
        <v>14</v>
      </c>
      <c r="F8177" t="s">
        <v>32</v>
      </c>
      <c r="G8177">
        <v>2</v>
      </c>
      <c r="H8177">
        <v>6349.92</v>
      </c>
      <c r="I8177">
        <v>786.95</v>
      </c>
      <c r="J8177" t="s">
        <v>22</v>
      </c>
      <c r="K8177" t="s">
        <v>17</v>
      </c>
      <c r="L8177">
        <f t="shared" si="381"/>
        <v>2023</v>
      </c>
      <c r="M8177" t="str">
        <f t="shared" si="382"/>
        <v>May</v>
      </c>
      <c r="N8177" s="2">
        <f t="shared" si="383"/>
        <v>0.12393069518986066</v>
      </c>
    </row>
    <row r="8178" spans="1:14" x14ac:dyDescent="0.45">
      <c r="A8178" t="s">
        <v>13610</v>
      </c>
      <c r="B8178" s="1">
        <v>44694</v>
      </c>
      <c r="C8178" t="s">
        <v>13611</v>
      </c>
      <c r="D8178" t="s">
        <v>13</v>
      </c>
      <c r="E8178" t="s">
        <v>20</v>
      </c>
      <c r="F8178" t="s">
        <v>21</v>
      </c>
      <c r="G8178">
        <v>2</v>
      </c>
      <c r="H8178">
        <v>4593.9799999999996</v>
      </c>
      <c r="I8178">
        <v>1073.96</v>
      </c>
      <c r="J8178" t="s">
        <v>22</v>
      </c>
      <c r="K8178" t="s">
        <v>33</v>
      </c>
      <c r="L8178">
        <f t="shared" si="381"/>
        <v>2022</v>
      </c>
      <c r="M8178" t="str">
        <f t="shared" si="382"/>
        <v>May</v>
      </c>
      <c r="N8178" s="2">
        <f t="shared" si="383"/>
        <v>0.23377550620594781</v>
      </c>
    </row>
    <row r="8179" spans="1:14" x14ac:dyDescent="0.45">
      <c r="A8179" t="s">
        <v>13612</v>
      </c>
      <c r="B8179" s="1">
        <v>45099</v>
      </c>
      <c r="C8179" t="s">
        <v>4070</v>
      </c>
      <c r="D8179" t="s">
        <v>56</v>
      </c>
      <c r="E8179" t="s">
        <v>14</v>
      </c>
      <c r="F8179" t="s">
        <v>32</v>
      </c>
      <c r="G8179">
        <v>1</v>
      </c>
      <c r="H8179">
        <v>23281.45</v>
      </c>
      <c r="I8179">
        <v>1721.11</v>
      </c>
      <c r="J8179" t="s">
        <v>71</v>
      </c>
      <c r="K8179" t="s">
        <v>17</v>
      </c>
      <c r="L8179">
        <f t="shared" si="381"/>
        <v>2023</v>
      </c>
      <c r="M8179" t="str">
        <f t="shared" si="382"/>
        <v>Jun</v>
      </c>
      <c r="N8179" s="2">
        <f t="shared" si="383"/>
        <v>7.3926237412188664E-2</v>
      </c>
    </row>
    <row r="8180" spans="1:14" x14ac:dyDescent="0.45">
      <c r="A8180" t="s">
        <v>13613</v>
      </c>
      <c r="B8180" s="1">
        <v>45206</v>
      </c>
      <c r="C8180" t="s">
        <v>13614</v>
      </c>
      <c r="D8180" t="s">
        <v>56</v>
      </c>
      <c r="E8180" t="s">
        <v>20</v>
      </c>
      <c r="F8180" t="s">
        <v>27</v>
      </c>
      <c r="G8180">
        <v>5</v>
      </c>
      <c r="H8180">
        <v>23125.58</v>
      </c>
      <c r="I8180">
        <v>2136.9699999999998</v>
      </c>
      <c r="J8180" t="s">
        <v>71</v>
      </c>
      <c r="K8180" t="s">
        <v>29</v>
      </c>
      <c r="L8180">
        <f t="shared" si="381"/>
        <v>2023</v>
      </c>
      <c r="M8180" t="str">
        <f t="shared" si="382"/>
        <v>Oct</v>
      </c>
      <c r="N8180" s="2">
        <f t="shared" si="383"/>
        <v>9.2407195841142126E-2</v>
      </c>
    </row>
    <row r="8181" spans="1:14" x14ac:dyDescent="0.45">
      <c r="A8181" t="s">
        <v>13615</v>
      </c>
      <c r="B8181" s="1">
        <v>44677</v>
      </c>
      <c r="C8181" t="s">
        <v>13616</v>
      </c>
      <c r="D8181" t="s">
        <v>56</v>
      </c>
      <c r="E8181" t="s">
        <v>20</v>
      </c>
      <c r="F8181" t="s">
        <v>43</v>
      </c>
      <c r="G8181">
        <v>4</v>
      </c>
      <c r="H8181">
        <v>9026.99</v>
      </c>
      <c r="I8181">
        <v>1592.32</v>
      </c>
      <c r="J8181" t="s">
        <v>47</v>
      </c>
      <c r="K8181" t="s">
        <v>17</v>
      </c>
      <c r="L8181">
        <f t="shared" si="381"/>
        <v>2022</v>
      </c>
      <c r="M8181" t="str">
        <f t="shared" si="382"/>
        <v>Apr</v>
      </c>
      <c r="N8181" s="2">
        <f t="shared" si="383"/>
        <v>0.17639545407716192</v>
      </c>
    </row>
    <row r="8182" spans="1:14" x14ac:dyDescent="0.45">
      <c r="A8182" t="s">
        <v>13617</v>
      </c>
      <c r="B8182" s="1">
        <v>44774</v>
      </c>
      <c r="C8182" t="s">
        <v>13618</v>
      </c>
      <c r="D8182" t="s">
        <v>56</v>
      </c>
      <c r="E8182" t="s">
        <v>14</v>
      </c>
      <c r="F8182" t="s">
        <v>40</v>
      </c>
      <c r="G8182">
        <v>4</v>
      </c>
      <c r="H8182">
        <v>8436.49</v>
      </c>
      <c r="I8182">
        <v>984.57</v>
      </c>
      <c r="J8182" t="s">
        <v>47</v>
      </c>
      <c r="K8182" t="s">
        <v>23</v>
      </c>
      <c r="L8182">
        <f t="shared" si="381"/>
        <v>2022</v>
      </c>
      <c r="M8182" t="str">
        <f t="shared" si="382"/>
        <v>Aug</v>
      </c>
      <c r="N8182" s="2">
        <f t="shared" si="383"/>
        <v>0.11670374764860743</v>
      </c>
    </row>
    <row r="8183" spans="1:14" x14ac:dyDescent="0.45">
      <c r="A8183" t="s">
        <v>13619</v>
      </c>
      <c r="B8183" s="1">
        <v>45281</v>
      </c>
      <c r="C8183" t="s">
        <v>136</v>
      </c>
      <c r="D8183" t="s">
        <v>26</v>
      </c>
      <c r="E8183" t="s">
        <v>14</v>
      </c>
      <c r="F8183" t="s">
        <v>32</v>
      </c>
      <c r="G8183">
        <v>5</v>
      </c>
      <c r="H8183">
        <v>28484.63</v>
      </c>
      <c r="I8183">
        <v>5314.77</v>
      </c>
      <c r="J8183" t="s">
        <v>47</v>
      </c>
      <c r="K8183" t="s">
        <v>23</v>
      </c>
      <c r="L8183">
        <f t="shared" si="381"/>
        <v>2023</v>
      </c>
      <c r="M8183" t="str">
        <f t="shared" si="382"/>
        <v>Dec</v>
      </c>
      <c r="N8183" s="2">
        <f t="shared" si="383"/>
        <v>0.18658378220113794</v>
      </c>
    </row>
    <row r="8184" spans="1:14" x14ac:dyDescent="0.45">
      <c r="A8184" t="s">
        <v>13620</v>
      </c>
      <c r="B8184" s="1">
        <v>45387</v>
      </c>
      <c r="C8184" t="s">
        <v>10178</v>
      </c>
      <c r="D8184" t="s">
        <v>13</v>
      </c>
      <c r="E8184" t="s">
        <v>20</v>
      </c>
      <c r="F8184" t="s">
        <v>21</v>
      </c>
      <c r="G8184">
        <v>4</v>
      </c>
      <c r="H8184">
        <v>42730.82</v>
      </c>
      <c r="I8184">
        <v>5315.96</v>
      </c>
      <c r="J8184" t="s">
        <v>16</v>
      </c>
      <c r="K8184" t="s">
        <v>17</v>
      </c>
      <c r="L8184">
        <f t="shared" si="381"/>
        <v>2024</v>
      </c>
      <c r="M8184" t="str">
        <f t="shared" si="382"/>
        <v>Apr</v>
      </c>
      <c r="N8184" s="2">
        <f t="shared" si="383"/>
        <v>0.12440575678163911</v>
      </c>
    </row>
    <row r="8185" spans="1:14" x14ac:dyDescent="0.45">
      <c r="A8185" t="s">
        <v>13621</v>
      </c>
      <c r="B8185" s="1">
        <v>45600</v>
      </c>
      <c r="C8185" t="s">
        <v>1762</v>
      </c>
      <c r="D8185" t="s">
        <v>26</v>
      </c>
      <c r="E8185" t="s">
        <v>36</v>
      </c>
      <c r="F8185" t="s">
        <v>53</v>
      </c>
      <c r="G8185">
        <v>1</v>
      </c>
      <c r="H8185">
        <v>29970.560000000001</v>
      </c>
      <c r="I8185">
        <v>5220.7299999999996</v>
      </c>
      <c r="J8185" t="s">
        <v>28</v>
      </c>
      <c r="K8185" t="s">
        <v>17</v>
      </c>
      <c r="L8185">
        <f t="shared" si="381"/>
        <v>2024</v>
      </c>
      <c r="M8185" t="str">
        <f t="shared" si="382"/>
        <v>Nov</v>
      </c>
      <c r="N8185" s="2">
        <f t="shared" si="383"/>
        <v>0.17419527696512843</v>
      </c>
    </row>
    <row r="8186" spans="1:14" x14ac:dyDescent="0.45">
      <c r="A8186" t="s">
        <v>13622</v>
      </c>
      <c r="B8186" s="1">
        <v>45622</v>
      </c>
      <c r="C8186" t="s">
        <v>8070</v>
      </c>
      <c r="D8186" t="s">
        <v>56</v>
      </c>
      <c r="E8186" t="s">
        <v>20</v>
      </c>
      <c r="F8186" t="s">
        <v>50</v>
      </c>
      <c r="G8186">
        <v>2</v>
      </c>
      <c r="H8186">
        <v>47936.61</v>
      </c>
      <c r="I8186">
        <v>4840.2700000000004</v>
      </c>
      <c r="J8186" t="s">
        <v>71</v>
      </c>
      <c r="K8186" t="s">
        <v>29</v>
      </c>
      <c r="L8186">
        <f t="shared" si="381"/>
        <v>2024</v>
      </c>
      <c r="M8186" t="str">
        <f t="shared" si="382"/>
        <v>Nov</v>
      </c>
      <c r="N8186" s="2">
        <f t="shared" si="383"/>
        <v>0.10097230488347007</v>
      </c>
    </row>
    <row r="8187" spans="1:14" x14ac:dyDescent="0.45">
      <c r="A8187" t="s">
        <v>13623</v>
      </c>
      <c r="B8187" s="1">
        <v>44729</v>
      </c>
      <c r="C8187" t="s">
        <v>13624</v>
      </c>
      <c r="D8187" t="s">
        <v>13</v>
      </c>
      <c r="E8187" t="s">
        <v>20</v>
      </c>
      <c r="F8187" t="s">
        <v>50</v>
      </c>
      <c r="G8187">
        <v>4</v>
      </c>
      <c r="H8187">
        <v>10974.15</v>
      </c>
      <c r="I8187">
        <v>2666.67</v>
      </c>
      <c r="J8187" t="s">
        <v>28</v>
      </c>
      <c r="K8187" t="s">
        <v>29</v>
      </c>
      <c r="L8187">
        <f t="shared" si="381"/>
        <v>2022</v>
      </c>
      <c r="M8187" t="str">
        <f t="shared" si="382"/>
        <v>Jun</v>
      </c>
      <c r="N8187" s="2">
        <f t="shared" si="383"/>
        <v>0.24299558507948224</v>
      </c>
    </row>
    <row r="8188" spans="1:14" x14ac:dyDescent="0.45">
      <c r="A8188" t="s">
        <v>13625</v>
      </c>
      <c r="B8188" s="1">
        <v>45240</v>
      </c>
      <c r="C8188" t="s">
        <v>13626</v>
      </c>
      <c r="D8188" t="s">
        <v>56</v>
      </c>
      <c r="E8188" t="s">
        <v>36</v>
      </c>
      <c r="F8188" t="s">
        <v>53</v>
      </c>
      <c r="G8188">
        <v>2</v>
      </c>
      <c r="H8188">
        <v>41211.08</v>
      </c>
      <c r="I8188">
        <v>9123.48</v>
      </c>
      <c r="J8188" t="s">
        <v>71</v>
      </c>
      <c r="K8188" t="s">
        <v>23</v>
      </c>
      <c r="L8188">
        <f t="shared" si="381"/>
        <v>2023</v>
      </c>
      <c r="M8188" t="str">
        <f t="shared" si="382"/>
        <v>Nov</v>
      </c>
      <c r="N8188" s="2">
        <f t="shared" si="383"/>
        <v>0.22138415202901743</v>
      </c>
    </row>
    <row r="8189" spans="1:14" x14ac:dyDescent="0.45">
      <c r="A8189" t="s">
        <v>13627</v>
      </c>
      <c r="B8189" s="1">
        <v>45091</v>
      </c>
      <c r="C8189" t="s">
        <v>10815</v>
      </c>
      <c r="D8189" t="s">
        <v>13</v>
      </c>
      <c r="E8189" t="s">
        <v>36</v>
      </c>
      <c r="F8189" t="s">
        <v>46</v>
      </c>
      <c r="G8189">
        <v>4</v>
      </c>
      <c r="H8189">
        <v>39734.39</v>
      </c>
      <c r="I8189">
        <v>6564.57</v>
      </c>
      <c r="J8189" t="s">
        <v>71</v>
      </c>
      <c r="K8189" t="s">
        <v>33</v>
      </c>
      <c r="L8189">
        <f t="shared" si="381"/>
        <v>2023</v>
      </c>
      <c r="M8189" t="str">
        <f t="shared" si="382"/>
        <v>Jun</v>
      </c>
      <c r="N8189" s="2">
        <f t="shared" si="383"/>
        <v>0.16521129429695536</v>
      </c>
    </row>
    <row r="8190" spans="1:14" x14ac:dyDescent="0.45">
      <c r="A8190" t="s">
        <v>13628</v>
      </c>
      <c r="B8190" s="1">
        <v>45079</v>
      </c>
      <c r="C8190" t="s">
        <v>6085</v>
      </c>
      <c r="D8190" t="s">
        <v>26</v>
      </c>
      <c r="E8190" t="s">
        <v>20</v>
      </c>
      <c r="F8190" t="s">
        <v>27</v>
      </c>
      <c r="G8190">
        <v>3</v>
      </c>
      <c r="H8190">
        <v>45281.4</v>
      </c>
      <c r="I8190">
        <v>3666.41</v>
      </c>
      <c r="J8190" t="s">
        <v>22</v>
      </c>
      <c r="K8190" t="s">
        <v>33</v>
      </c>
      <c r="L8190">
        <f t="shared" si="381"/>
        <v>2023</v>
      </c>
      <c r="M8190" t="str">
        <f t="shared" si="382"/>
        <v>Jun</v>
      </c>
      <c r="N8190" s="2">
        <f t="shared" si="383"/>
        <v>8.0969448824462137E-2</v>
      </c>
    </row>
    <row r="8191" spans="1:14" x14ac:dyDescent="0.45">
      <c r="A8191" t="s">
        <v>13629</v>
      </c>
      <c r="B8191" s="1">
        <v>45213</v>
      </c>
      <c r="C8191" t="s">
        <v>6783</v>
      </c>
      <c r="D8191" t="s">
        <v>13</v>
      </c>
      <c r="E8191" t="s">
        <v>36</v>
      </c>
      <c r="F8191" t="s">
        <v>64</v>
      </c>
      <c r="G8191">
        <v>4</v>
      </c>
      <c r="H8191">
        <v>42197.41</v>
      </c>
      <c r="I8191">
        <v>4332.74</v>
      </c>
      <c r="J8191" t="s">
        <v>47</v>
      </c>
      <c r="K8191" t="s">
        <v>33</v>
      </c>
      <c r="L8191">
        <f t="shared" si="381"/>
        <v>2023</v>
      </c>
      <c r="M8191" t="str">
        <f t="shared" si="382"/>
        <v>Oct</v>
      </c>
      <c r="N8191" s="2">
        <f t="shared" si="383"/>
        <v>0.10267786577422641</v>
      </c>
    </row>
    <row r="8192" spans="1:14" x14ac:dyDescent="0.45">
      <c r="A8192" t="s">
        <v>13630</v>
      </c>
      <c r="B8192" s="1">
        <v>44976</v>
      </c>
      <c r="C8192" t="s">
        <v>496</v>
      </c>
      <c r="D8192" t="s">
        <v>26</v>
      </c>
      <c r="E8192" t="s">
        <v>14</v>
      </c>
      <c r="F8192" t="s">
        <v>57</v>
      </c>
      <c r="G8192">
        <v>4</v>
      </c>
      <c r="H8192">
        <v>25751.07</v>
      </c>
      <c r="I8192">
        <v>2544.02</v>
      </c>
      <c r="J8192" t="s">
        <v>47</v>
      </c>
      <c r="K8192" t="s">
        <v>33</v>
      </c>
      <c r="L8192">
        <f t="shared" si="381"/>
        <v>2023</v>
      </c>
      <c r="M8192" t="str">
        <f t="shared" si="382"/>
        <v>Feb</v>
      </c>
      <c r="N8192" s="2">
        <f t="shared" si="383"/>
        <v>9.8792788027837294E-2</v>
      </c>
    </row>
    <row r="8193" spans="1:14" x14ac:dyDescent="0.45">
      <c r="A8193" t="s">
        <v>13631</v>
      </c>
      <c r="B8193" s="1">
        <v>45274</v>
      </c>
      <c r="C8193" t="s">
        <v>8578</v>
      </c>
      <c r="D8193" t="s">
        <v>26</v>
      </c>
      <c r="E8193" t="s">
        <v>36</v>
      </c>
      <c r="F8193" t="s">
        <v>46</v>
      </c>
      <c r="G8193">
        <v>5</v>
      </c>
      <c r="H8193">
        <v>1455.18</v>
      </c>
      <c r="I8193">
        <v>135.96</v>
      </c>
      <c r="J8193" t="s">
        <v>47</v>
      </c>
      <c r="K8193" t="s">
        <v>23</v>
      </c>
      <c r="L8193">
        <f t="shared" si="381"/>
        <v>2023</v>
      </c>
      <c r="M8193" t="str">
        <f t="shared" si="382"/>
        <v>Dec</v>
      </c>
      <c r="N8193" s="2">
        <f t="shared" si="383"/>
        <v>9.3431740403249086E-2</v>
      </c>
    </row>
    <row r="8194" spans="1:14" x14ac:dyDescent="0.45">
      <c r="A8194" t="s">
        <v>13632</v>
      </c>
      <c r="B8194" s="1">
        <v>45369</v>
      </c>
      <c r="C8194" t="s">
        <v>7744</v>
      </c>
      <c r="D8194" t="s">
        <v>26</v>
      </c>
      <c r="E8194" t="s">
        <v>14</v>
      </c>
      <c r="F8194" t="s">
        <v>15</v>
      </c>
      <c r="G8194">
        <v>4</v>
      </c>
      <c r="H8194">
        <v>42463.08</v>
      </c>
      <c r="I8194">
        <v>9302.2099999999991</v>
      </c>
      <c r="J8194" t="s">
        <v>71</v>
      </c>
      <c r="K8194" t="s">
        <v>23</v>
      </c>
      <c r="L8194">
        <f t="shared" si="381"/>
        <v>2024</v>
      </c>
      <c r="M8194" t="str">
        <f t="shared" si="382"/>
        <v>Mar</v>
      </c>
      <c r="N8194" s="2">
        <f t="shared" si="383"/>
        <v>0.21906583318967909</v>
      </c>
    </row>
    <row r="8195" spans="1:14" x14ac:dyDescent="0.45">
      <c r="A8195" t="s">
        <v>13633</v>
      </c>
      <c r="B8195" s="1">
        <v>44983</v>
      </c>
      <c r="C8195" t="s">
        <v>154</v>
      </c>
      <c r="D8195" t="s">
        <v>26</v>
      </c>
      <c r="E8195" t="s">
        <v>36</v>
      </c>
      <c r="F8195" t="s">
        <v>46</v>
      </c>
      <c r="G8195">
        <v>2</v>
      </c>
      <c r="H8195">
        <v>7851.76</v>
      </c>
      <c r="I8195">
        <v>1222.52</v>
      </c>
      <c r="J8195" t="s">
        <v>71</v>
      </c>
      <c r="K8195" t="s">
        <v>29</v>
      </c>
      <c r="L8195">
        <f t="shared" ref="L8195:L8258" si="384">YEAR(B8195 )</f>
        <v>2023</v>
      </c>
      <c r="M8195" t="str">
        <f t="shared" ref="M8195:M8258" si="385">TEXT(B8195,"MMM")</f>
        <v>Feb</v>
      </c>
      <c r="N8195" s="2">
        <f t="shared" ref="N8195:N8258" si="386">I8195 / H8195</f>
        <v>0.15570012328446106</v>
      </c>
    </row>
    <row r="8196" spans="1:14" x14ac:dyDescent="0.45">
      <c r="A8196" t="s">
        <v>13634</v>
      </c>
      <c r="B8196" s="1">
        <v>44654</v>
      </c>
      <c r="C8196" t="s">
        <v>2851</v>
      </c>
      <c r="D8196" t="s">
        <v>13</v>
      </c>
      <c r="E8196" t="s">
        <v>14</v>
      </c>
      <c r="F8196" t="s">
        <v>32</v>
      </c>
      <c r="G8196">
        <v>3</v>
      </c>
      <c r="H8196">
        <v>8710.7099999999991</v>
      </c>
      <c r="I8196">
        <v>529.01</v>
      </c>
      <c r="J8196" t="s">
        <v>47</v>
      </c>
      <c r="K8196" t="s">
        <v>33</v>
      </c>
      <c r="L8196">
        <f t="shared" si="384"/>
        <v>2022</v>
      </c>
      <c r="M8196" t="str">
        <f t="shared" si="385"/>
        <v>Apr</v>
      </c>
      <c r="N8196" s="2">
        <f t="shared" si="386"/>
        <v>6.0730985189496614E-2</v>
      </c>
    </row>
    <row r="8197" spans="1:14" x14ac:dyDescent="0.45">
      <c r="A8197" t="s">
        <v>13635</v>
      </c>
      <c r="B8197" s="1">
        <v>45033</v>
      </c>
      <c r="C8197" t="s">
        <v>8252</v>
      </c>
      <c r="D8197" t="s">
        <v>26</v>
      </c>
      <c r="E8197" t="s">
        <v>20</v>
      </c>
      <c r="F8197" t="s">
        <v>27</v>
      </c>
      <c r="G8197">
        <v>3</v>
      </c>
      <c r="H8197">
        <v>6791.95</v>
      </c>
      <c r="I8197">
        <v>1589.66</v>
      </c>
      <c r="J8197" t="s">
        <v>47</v>
      </c>
      <c r="K8197" t="s">
        <v>33</v>
      </c>
      <c r="L8197">
        <f t="shared" si="384"/>
        <v>2023</v>
      </c>
      <c r="M8197" t="str">
        <f t="shared" si="385"/>
        <v>Apr</v>
      </c>
      <c r="N8197" s="2">
        <f t="shared" si="386"/>
        <v>0.23405060402388123</v>
      </c>
    </row>
    <row r="8198" spans="1:14" x14ac:dyDescent="0.45">
      <c r="A8198" t="s">
        <v>13636</v>
      </c>
      <c r="B8198" s="1">
        <v>45616</v>
      </c>
      <c r="C8198" t="s">
        <v>3769</v>
      </c>
      <c r="D8198" t="s">
        <v>13</v>
      </c>
      <c r="E8198" t="s">
        <v>14</v>
      </c>
      <c r="F8198" t="s">
        <v>32</v>
      </c>
      <c r="G8198">
        <v>4</v>
      </c>
      <c r="H8198">
        <v>17232.240000000002</v>
      </c>
      <c r="I8198">
        <v>1090.76</v>
      </c>
      <c r="J8198" t="s">
        <v>16</v>
      </c>
      <c r="K8198" t="s">
        <v>29</v>
      </c>
      <c r="L8198">
        <f t="shared" si="384"/>
        <v>2024</v>
      </c>
      <c r="M8198" t="str">
        <f t="shared" si="385"/>
        <v>Nov</v>
      </c>
      <c r="N8198" s="2">
        <f t="shared" si="386"/>
        <v>6.3297632809199492E-2</v>
      </c>
    </row>
    <row r="8199" spans="1:14" x14ac:dyDescent="0.45">
      <c r="A8199" t="s">
        <v>13637</v>
      </c>
      <c r="B8199" s="1">
        <v>45333</v>
      </c>
      <c r="C8199" t="s">
        <v>5947</v>
      </c>
      <c r="D8199" t="s">
        <v>56</v>
      </c>
      <c r="E8199" t="s">
        <v>36</v>
      </c>
      <c r="F8199" t="s">
        <v>46</v>
      </c>
      <c r="G8199">
        <v>5</v>
      </c>
      <c r="H8199">
        <v>17444.2</v>
      </c>
      <c r="I8199">
        <v>1748.89</v>
      </c>
      <c r="J8199" t="s">
        <v>47</v>
      </c>
      <c r="K8199" t="s">
        <v>33</v>
      </c>
      <c r="L8199">
        <f t="shared" si="384"/>
        <v>2024</v>
      </c>
      <c r="M8199" t="str">
        <f t="shared" si="385"/>
        <v>Feb</v>
      </c>
      <c r="N8199" s="2">
        <f t="shared" si="386"/>
        <v>0.10025624562891965</v>
      </c>
    </row>
    <row r="8200" spans="1:14" x14ac:dyDescent="0.45">
      <c r="A8200" t="s">
        <v>13638</v>
      </c>
      <c r="B8200" s="1">
        <v>45541</v>
      </c>
      <c r="C8200" t="s">
        <v>4638</v>
      </c>
      <c r="D8200" t="s">
        <v>26</v>
      </c>
      <c r="E8200" t="s">
        <v>20</v>
      </c>
      <c r="F8200" t="s">
        <v>50</v>
      </c>
      <c r="G8200">
        <v>4</v>
      </c>
      <c r="H8200">
        <v>20062.11</v>
      </c>
      <c r="I8200">
        <v>2715.84</v>
      </c>
      <c r="J8200" t="s">
        <v>28</v>
      </c>
      <c r="K8200" t="s">
        <v>29</v>
      </c>
      <c r="L8200">
        <f t="shared" si="384"/>
        <v>2024</v>
      </c>
      <c r="M8200" t="str">
        <f t="shared" si="385"/>
        <v>Sep</v>
      </c>
      <c r="N8200" s="2">
        <f t="shared" si="386"/>
        <v>0.13537160348537616</v>
      </c>
    </row>
    <row r="8201" spans="1:14" x14ac:dyDescent="0.45">
      <c r="A8201" t="s">
        <v>13639</v>
      </c>
      <c r="B8201" s="1">
        <v>45009</v>
      </c>
      <c r="C8201" t="s">
        <v>13640</v>
      </c>
      <c r="D8201" t="s">
        <v>56</v>
      </c>
      <c r="E8201" t="s">
        <v>14</v>
      </c>
      <c r="F8201" t="s">
        <v>57</v>
      </c>
      <c r="G8201">
        <v>3</v>
      </c>
      <c r="H8201">
        <v>6621.11</v>
      </c>
      <c r="I8201">
        <v>892.09</v>
      </c>
      <c r="J8201" t="s">
        <v>16</v>
      </c>
      <c r="K8201" t="s">
        <v>33</v>
      </c>
      <c r="L8201">
        <f t="shared" si="384"/>
        <v>2023</v>
      </c>
      <c r="M8201" t="str">
        <f t="shared" si="385"/>
        <v>Mar</v>
      </c>
      <c r="N8201" s="2">
        <f t="shared" si="386"/>
        <v>0.13473420619805443</v>
      </c>
    </row>
    <row r="8202" spans="1:14" x14ac:dyDescent="0.45">
      <c r="A8202" t="s">
        <v>13641</v>
      </c>
      <c r="B8202" s="1">
        <v>45128</v>
      </c>
      <c r="C8202" t="s">
        <v>5244</v>
      </c>
      <c r="D8202" t="s">
        <v>26</v>
      </c>
      <c r="E8202" t="s">
        <v>20</v>
      </c>
      <c r="F8202" t="s">
        <v>43</v>
      </c>
      <c r="G8202">
        <v>4</v>
      </c>
      <c r="H8202">
        <v>731.09</v>
      </c>
      <c r="I8202">
        <v>153.12</v>
      </c>
      <c r="J8202" t="s">
        <v>47</v>
      </c>
      <c r="K8202" t="s">
        <v>29</v>
      </c>
      <c r="L8202">
        <f t="shared" si="384"/>
        <v>2023</v>
      </c>
      <c r="M8202" t="str">
        <f t="shared" si="385"/>
        <v>Jul</v>
      </c>
      <c r="N8202" s="2">
        <f t="shared" si="386"/>
        <v>0.20944069813566044</v>
      </c>
    </row>
    <row r="8203" spans="1:14" x14ac:dyDescent="0.45">
      <c r="A8203" t="s">
        <v>13642</v>
      </c>
      <c r="B8203" s="1">
        <v>45025</v>
      </c>
      <c r="C8203" t="s">
        <v>13643</v>
      </c>
      <c r="D8203" t="s">
        <v>56</v>
      </c>
      <c r="E8203" t="s">
        <v>14</v>
      </c>
      <c r="F8203" t="s">
        <v>57</v>
      </c>
      <c r="G8203">
        <v>4</v>
      </c>
      <c r="H8203">
        <v>41521.410000000003</v>
      </c>
      <c r="I8203">
        <v>5330.08</v>
      </c>
      <c r="J8203" t="s">
        <v>28</v>
      </c>
      <c r="K8203" t="s">
        <v>33</v>
      </c>
      <c r="L8203">
        <f t="shared" si="384"/>
        <v>2023</v>
      </c>
      <c r="M8203" t="str">
        <f t="shared" si="385"/>
        <v>Apr</v>
      </c>
      <c r="N8203" s="2">
        <f t="shared" si="386"/>
        <v>0.12836943639438061</v>
      </c>
    </row>
    <row r="8204" spans="1:14" x14ac:dyDescent="0.45">
      <c r="A8204" t="s">
        <v>13644</v>
      </c>
      <c r="B8204" s="1">
        <v>44664</v>
      </c>
      <c r="C8204" t="s">
        <v>13645</v>
      </c>
      <c r="D8204" t="s">
        <v>56</v>
      </c>
      <c r="E8204" t="s">
        <v>20</v>
      </c>
      <c r="F8204" t="s">
        <v>27</v>
      </c>
      <c r="G8204">
        <v>3</v>
      </c>
      <c r="H8204">
        <v>48529.82</v>
      </c>
      <c r="I8204">
        <v>8370.2999999999993</v>
      </c>
      <c r="J8204" t="s">
        <v>22</v>
      </c>
      <c r="K8204" t="s">
        <v>17</v>
      </c>
      <c r="L8204">
        <f t="shared" si="384"/>
        <v>2022</v>
      </c>
      <c r="M8204" t="str">
        <f t="shared" si="385"/>
        <v>Apr</v>
      </c>
      <c r="N8204" s="2">
        <f t="shared" si="386"/>
        <v>0.17247745818962443</v>
      </c>
    </row>
    <row r="8205" spans="1:14" x14ac:dyDescent="0.45">
      <c r="A8205" t="s">
        <v>13646</v>
      </c>
      <c r="B8205" s="1">
        <v>45395</v>
      </c>
      <c r="C8205" t="s">
        <v>8326</v>
      </c>
      <c r="D8205" t="s">
        <v>56</v>
      </c>
      <c r="E8205" t="s">
        <v>20</v>
      </c>
      <c r="F8205" t="s">
        <v>50</v>
      </c>
      <c r="G8205">
        <v>4</v>
      </c>
      <c r="H8205">
        <v>43827.12</v>
      </c>
      <c r="I8205">
        <v>2856.31</v>
      </c>
      <c r="J8205" t="s">
        <v>22</v>
      </c>
      <c r="K8205" t="s">
        <v>17</v>
      </c>
      <c r="L8205">
        <f t="shared" si="384"/>
        <v>2024</v>
      </c>
      <c r="M8205" t="str">
        <f t="shared" si="385"/>
        <v>Apr</v>
      </c>
      <c r="N8205" s="2">
        <f t="shared" si="386"/>
        <v>6.517220387741654E-2</v>
      </c>
    </row>
    <row r="8206" spans="1:14" x14ac:dyDescent="0.45">
      <c r="A8206" t="s">
        <v>13647</v>
      </c>
      <c r="B8206" s="1">
        <v>45574</v>
      </c>
      <c r="C8206" t="s">
        <v>13648</v>
      </c>
      <c r="D8206" t="s">
        <v>26</v>
      </c>
      <c r="E8206" t="s">
        <v>36</v>
      </c>
      <c r="F8206" t="s">
        <v>37</v>
      </c>
      <c r="G8206">
        <v>2</v>
      </c>
      <c r="H8206">
        <v>20458.810000000001</v>
      </c>
      <c r="I8206">
        <v>1056.18</v>
      </c>
      <c r="J8206" t="s">
        <v>22</v>
      </c>
      <c r="K8206" t="s">
        <v>33</v>
      </c>
      <c r="L8206">
        <f t="shared" si="384"/>
        <v>2024</v>
      </c>
      <c r="M8206" t="str">
        <f t="shared" si="385"/>
        <v>Oct</v>
      </c>
      <c r="N8206" s="2">
        <f t="shared" si="386"/>
        <v>5.1624703489596899E-2</v>
      </c>
    </row>
    <row r="8207" spans="1:14" x14ac:dyDescent="0.45">
      <c r="A8207" t="s">
        <v>13649</v>
      </c>
      <c r="B8207" s="1">
        <v>44605</v>
      </c>
      <c r="C8207" t="s">
        <v>12702</v>
      </c>
      <c r="D8207" t="s">
        <v>13</v>
      </c>
      <c r="E8207" t="s">
        <v>20</v>
      </c>
      <c r="F8207" t="s">
        <v>43</v>
      </c>
      <c r="G8207">
        <v>3</v>
      </c>
      <c r="H8207">
        <v>20922.43</v>
      </c>
      <c r="I8207">
        <v>1391.97</v>
      </c>
      <c r="J8207" t="s">
        <v>71</v>
      </c>
      <c r="K8207" t="s">
        <v>29</v>
      </c>
      <c r="L8207">
        <f t="shared" si="384"/>
        <v>2022</v>
      </c>
      <c r="M8207" t="str">
        <f t="shared" si="385"/>
        <v>Feb</v>
      </c>
      <c r="N8207" s="2">
        <f t="shared" si="386"/>
        <v>6.6530034991155423E-2</v>
      </c>
    </row>
    <row r="8208" spans="1:14" x14ac:dyDescent="0.45">
      <c r="A8208" t="s">
        <v>13650</v>
      </c>
      <c r="B8208" s="1">
        <v>44971</v>
      </c>
      <c r="C8208" t="s">
        <v>3809</v>
      </c>
      <c r="D8208" t="s">
        <v>56</v>
      </c>
      <c r="E8208" t="s">
        <v>14</v>
      </c>
      <c r="F8208" t="s">
        <v>40</v>
      </c>
      <c r="G8208">
        <v>5</v>
      </c>
      <c r="H8208">
        <v>44946.41</v>
      </c>
      <c r="I8208">
        <v>4263.66</v>
      </c>
      <c r="J8208" t="s">
        <v>28</v>
      </c>
      <c r="K8208" t="s">
        <v>29</v>
      </c>
      <c r="L8208">
        <f t="shared" si="384"/>
        <v>2023</v>
      </c>
      <c r="M8208" t="str">
        <f t="shared" si="385"/>
        <v>Feb</v>
      </c>
      <c r="N8208" s="2">
        <f t="shared" si="386"/>
        <v>9.4860968873821061E-2</v>
      </c>
    </row>
    <row r="8209" spans="1:14" x14ac:dyDescent="0.45">
      <c r="A8209" t="s">
        <v>13651</v>
      </c>
      <c r="B8209" s="1">
        <v>44910</v>
      </c>
      <c r="C8209" t="s">
        <v>13652</v>
      </c>
      <c r="D8209" t="s">
        <v>26</v>
      </c>
      <c r="E8209" t="s">
        <v>14</v>
      </c>
      <c r="F8209" t="s">
        <v>40</v>
      </c>
      <c r="G8209">
        <v>2</v>
      </c>
      <c r="H8209">
        <v>14799.89</v>
      </c>
      <c r="I8209">
        <v>3551.63</v>
      </c>
      <c r="J8209" t="s">
        <v>47</v>
      </c>
      <c r="K8209" t="s">
        <v>33</v>
      </c>
      <c r="L8209">
        <f t="shared" si="384"/>
        <v>2022</v>
      </c>
      <c r="M8209" t="str">
        <f t="shared" si="385"/>
        <v>Dec</v>
      </c>
      <c r="N8209" s="2">
        <f t="shared" si="386"/>
        <v>0.23997678361122957</v>
      </c>
    </row>
    <row r="8210" spans="1:14" x14ac:dyDescent="0.45">
      <c r="A8210" t="s">
        <v>13653</v>
      </c>
      <c r="B8210" s="1">
        <v>45285</v>
      </c>
      <c r="C8210" t="s">
        <v>10137</v>
      </c>
      <c r="D8210" t="s">
        <v>13</v>
      </c>
      <c r="E8210" t="s">
        <v>36</v>
      </c>
      <c r="F8210" t="s">
        <v>37</v>
      </c>
      <c r="G8210">
        <v>4</v>
      </c>
      <c r="H8210">
        <v>1724.99</v>
      </c>
      <c r="I8210">
        <v>94.51</v>
      </c>
      <c r="J8210" t="s">
        <v>22</v>
      </c>
      <c r="K8210" t="s">
        <v>23</v>
      </c>
      <c r="L8210">
        <f t="shared" si="384"/>
        <v>2023</v>
      </c>
      <c r="M8210" t="str">
        <f t="shared" si="385"/>
        <v>Dec</v>
      </c>
      <c r="N8210" s="2">
        <f t="shared" si="386"/>
        <v>5.4788723412889352E-2</v>
      </c>
    </row>
    <row r="8211" spans="1:14" x14ac:dyDescent="0.45">
      <c r="A8211" t="s">
        <v>13654</v>
      </c>
      <c r="B8211" s="1">
        <v>45174</v>
      </c>
      <c r="C8211" t="s">
        <v>13655</v>
      </c>
      <c r="D8211" t="s">
        <v>56</v>
      </c>
      <c r="E8211" t="s">
        <v>20</v>
      </c>
      <c r="F8211" t="s">
        <v>21</v>
      </c>
      <c r="G8211">
        <v>4</v>
      </c>
      <c r="H8211">
        <v>5126.54</v>
      </c>
      <c r="I8211">
        <v>1190.44</v>
      </c>
      <c r="J8211" t="s">
        <v>47</v>
      </c>
      <c r="K8211" t="s">
        <v>33</v>
      </c>
      <c r="L8211">
        <f t="shared" si="384"/>
        <v>2023</v>
      </c>
      <c r="M8211" t="str">
        <f t="shared" si="385"/>
        <v>Sep</v>
      </c>
      <c r="N8211" s="2">
        <f t="shared" si="386"/>
        <v>0.23221119897630763</v>
      </c>
    </row>
    <row r="8212" spans="1:14" x14ac:dyDescent="0.45">
      <c r="A8212" t="s">
        <v>13656</v>
      </c>
      <c r="B8212" s="1">
        <v>44679</v>
      </c>
      <c r="C8212" t="s">
        <v>5524</v>
      </c>
      <c r="D8212" t="s">
        <v>56</v>
      </c>
      <c r="E8212" t="s">
        <v>36</v>
      </c>
      <c r="F8212" t="s">
        <v>64</v>
      </c>
      <c r="G8212">
        <v>1</v>
      </c>
      <c r="H8212">
        <v>14278.87</v>
      </c>
      <c r="I8212">
        <v>1200.48</v>
      </c>
      <c r="J8212" t="s">
        <v>16</v>
      </c>
      <c r="K8212" t="s">
        <v>29</v>
      </c>
      <c r="L8212">
        <f t="shared" si="384"/>
        <v>2022</v>
      </c>
      <c r="M8212" t="str">
        <f t="shared" si="385"/>
        <v>Apr</v>
      </c>
      <c r="N8212" s="2">
        <f t="shared" si="386"/>
        <v>8.4073879795810172E-2</v>
      </c>
    </row>
    <row r="8213" spans="1:14" x14ac:dyDescent="0.45">
      <c r="A8213" t="s">
        <v>13657</v>
      </c>
      <c r="B8213" s="1">
        <v>45648</v>
      </c>
      <c r="C8213" t="s">
        <v>10916</v>
      </c>
      <c r="D8213" t="s">
        <v>56</v>
      </c>
      <c r="E8213" t="s">
        <v>20</v>
      </c>
      <c r="F8213" t="s">
        <v>27</v>
      </c>
      <c r="G8213">
        <v>4</v>
      </c>
      <c r="H8213">
        <v>28954.98</v>
      </c>
      <c r="I8213">
        <v>2963.45</v>
      </c>
      <c r="J8213" t="s">
        <v>71</v>
      </c>
      <c r="K8213" t="s">
        <v>23</v>
      </c>
      <c r="L8213">
        <f t="shared" si="384"/>
        <v>2024</v>
      </c>
      <c r="M8213" t="str">
        <f t="shared" si="385"/>
        <v>Dec</v>
      </c>
      <c r="N8213" s="2">
        <f t="shared" si="386"/>
        <v>0.10234681564276681</v>
      </c>
    </row>
    <row r="8214" spans="1:14" x14ac:dyDescent="0.45">
      <c r="A8214" t="s">
        <v>13658</v>
      </c>
      <c r="B8214" s="1">
        <v>44602</v>
      </c>
      <c r="C8214" t="s">
        <v>12320</v>
      </c>
      <c r="D8214" t="s">
        <v>26</v>
      </c>
      <c r="E8214" t="s">
        <v>36</v>
      </c>
      <c r="F8214" t="s">
        <v>53</v>
      </c>
      <c r="G8214">
        <v>1</v>
      </c>
      <c r="H8214">
        <v>26398.17</v>
      </c>
      <c r="I8214">
        <v>4449.8900000000003</v>
      </c>
      <c r="J8214" t="s">
        <v>47</v>
      </c>
      <c r="K8214" t="s">
        <v>23</v>
      </c>
      <c r="L8214">
        <f t="shared" si="384"/>
        <v>2022</v>
      </c>
      <c r="M8214" t="str">
        <f t="shared" si="385"/>
        <v>Feb</v>
      </c>
      <c r="N8214" s="2">
        <f t="shared" si="386"/>
        <v>0.16856812422982353</v>
      </c>
    </row>
    <row r="8215" spans="1:14" x14ac:dyDescent="0.45">
      <c r="A8215" t="s">
        <v>13659</v>
      </c>
      <c r="B8215" s="1">
        <v>45597</v>
      </c>
      <c r="C8215" t="s">
        <v>8873</v>
      </c>
      <c r="D8215" t="s">
        <v>56</v>
      </c>
      <c r="E8215" t="s">
        <v>36</v>
      </c>
      <c r="F8215" t="s">
        <v>46</v>
      </c>
      <c r="G8215">
        <v>5</v>
      </c>
      <c r="H8215">
        <v>7343.14</v>
      </c>
      <c r="I8215">
        <v>808.83</v>
      </c>
      <c r="J8215" t="s">
        <v>28</v>
      </c>
      <c r="K8215" t="s">
        <v>17</v>
      </c>
      <c r="L8215">
        <f t="shared" si="384"/>
        <v>2024</v>
      </c>
      <c r="M8215" t="str">
        <f t="shared" si="385"/>
        <v>Nov</v>
      </c>
      <c r="N8215" s="2">
        <f t="shared" si="386"/>
        <v>0.11014770248149974</v>
      </c>
    </row>
    <row r="8216" spans="1:14" x14ac:dyDescent="0.45">
      <c r="A8216" t="s">
        <v>13660</v>
      </c>
      <c r="B8216" s="1">
        <v>45191</v>
      </c>
      <c r="C8216" t="s">
        <v>13661</v>
      </c>
      <c r="D8216" t="s">
        <v>13</v>
      </c>
      <c r="E8216" t="s">
        <v>20</v>
      </c>
      <c r="F8216" t="s">
        <v>21</v>
      </c>
      <c r="G8216">
        <v>3</v>
      </c>
      <c r="H8216">
        <v>3759.54</v>
      </c>
      <c r="I8216">
        <v>699.38</v>
      </c>
      <c r="J8216" t="s">
        <v>16</v>
      </c>
      <c r="K8216" t="s">
        <v>29</v>
      </c>
      <c r="L8216">
        <f t="shared" si="384"/>
        <v>2023</v>
      </c>
      <c r="M8216" t="str">
        <f t="shared" si="385"/>
        <v>Sep</v>
      </c>
      <c r="N8216" s="2">
        <f t="shared" si="386"/>
        <v>0.18602807790314774</v>
      </c>
    </row>
    <row r="8217" spans="1:14" x14ac:dyDescent="0.45">
      <c r="A8217" t="s">
        <v>13662</v>
      </c>
      <c r="B8217" s="1">
        <v>44614</v>
      </c>
      <c r="C8217" t="s">
        <v>3903</v>
      </c>
      <c r="D8217" t="s">
        <v>56</v>
      </c>
      <c r="E8217" t="s">
        <v>14</v>
      </c>
      <c r="F8217" t="s">
        <v>15</v>
      </c>
      <c r="G8217">
        <v>3</v>
      </c>
      <c r="H8217">
        <v>18798.23</v>
      </c>
      <c r="I8217">
        <v>1050.25</v>
      </c>
      <c r="J8217" t="s">
        <v>71</v>
      </c>
      <c r="K8217" t="s">
        <v>33</v>
      </c>
      <c r="L8217">
        <f t="shared" si="384"/>
        <v>2022</v>
      </c>
      <c r="M8217" t="str">
        <f t="shared" si="385"/>
        <v>Feb</v>
      </c>
      <c r="N8217" s="2">
        <f t="shared" si="386"/>
        <v>5.5869621767581312E-2</v>
      </c>
    </row>
    <row r="8218" spans="1:14" x14ac:dyDescent="0.45">
      <c r="A8218" t="s">
        <v>13663</v>
      </c>
      <c r="B8218" s="1">
        <v>45325</v>
      </c>
      <c r="C8218" t="s">
        <v>13664</v>
      </c>
      <c r="D8218" t="s">
        <v>26</v>
      </c>
      <c r="E8218" t="s">
        <v>20</v>
      </c>
      <c r="F8218" t="s">
        <v>50</v>
      </c>
      <c r="G8218">
        <v>4</v>
      </c>
      <c r="H8218">
        <v>34634.54</v>
      </c>
      <c r="I8218">
        <v>6704.04</v>
      </c>
      <c r="J8218" t="s">
        <v>47</v>
      </c>
      <c r="K8218" t="s">
        <v>17</v>
      </c>
      <c r="L8218">
        <f t="shared" si="384"/>
        <v>2024</v>
      </c>
      <c r="M8218" t="str">
        <f t="shared" si="385"/>
        <v>Feb</v>
      </c>
      <c r="N8218" s="2">
        <f t="shared" si="386"/>
        <v>0.19356515201299049</v>
      </c>
    </row>
    <row r="8219" spans="1:14" x14ac:dyDescent="0.45">
      <c r="A8219" t="s">
        <v>13665</v>
      </c>
      <c r="B8219" s="1">
        <v>45210</v>
      </c>
      <c r="C8219" t="s">
        <v>3335</v>
      </c>
      <c r="D8219" t="s">
        <v>26</v>
      </c>
      <c r="E8219" t="s">
        <v>20</v>
      </c>
      <c r="F8219" t="s">
        <v>50</v>
      </c>
      <c r="G8219">
        <v>5</v>
      </c>
      <c r="H8219">
        <v>20941.03</v>
      </c>
      <c r="I8219">
        <v>3143.6</v>
      </c>
      <c r="J8219" t="s">
        <v>16</v>
      </c>
      <c r="K8219" t="s">
        <v>29</v>
      </c>
      <c r="L8219">
        <f t="shared" si="384"/>
        <v>2023</v>
      </c>
      <c r="M8219" t="str">
        <f t="shared" si="385"/>
        <v>Oct</v>
      </c>
      <c r="N8219" s="2">
        <f t="shared" si="386"/>
        <v>0.15011678031118814</v>
      </c>
    </row>
    <row r="8220" spans="1:14" x14ac:dyDescent="0.45">
      <c r="A8220" t="s">
        <v>13666</v>
      </c>
      <c r="B8220" s="1">
        <v>45499</v>
      </c>
      <c r="C8220" t="s">
        <v>13667</v>
      </c>
      <c r="D8220" t="s">
        <v>56</v>
      </c>
      <c r="E8220" t="s">
        <v>36</v>
      </c>
      <c r="F8220" t="s">
        <v>64</v>
      </c>
      <c r="G8220">
        <v>5</v>
      </c>
      <c r="H8220">
        <v>19045.29</v>
      </c>
      <c r="I8220">
        <v>2758.08</v>
      </c>
      <c r="J8220" t="s">
        <v>47</v>
      </c>
      <c r="K8220" t="s">
        <v>29</v>
      </c>
      <c r="L8220">
        <f t="shared" si="384"/>
        <v>2024</v>
      </c>
      <c r="M8220" t="str">
        <f t="shared" si="385"/>
        <v>Jul</v>
      </c>
      <c r="N8220" s="2">
        <f t="shared" si="386"/>
        <v>0.14481690748736301</v>
      </c>
    </row>
    <row r="8221" spans="1:14" x14ac:dyDescent="0.45">
      <c r="A8221" t="s">
        <v>13668</v>
      </c>
      <c r="B8221" s="1">
        <v>44880</v>
      </c>
      <c r="C8221" t="s">
        <v>1234</v>
      </c>
      <c r="D8221" t="s">
        <v>56</v>
      </c>
      <c r="E8221" t="s">
        <v>36</v>
      </c>
      <c r="F8221" t="s">
        <v>37</v>
      </c>
      <c r="G8221">
        <v>3</v>
      </c>
      <c r="H8221">
        <v>21319.02</v>
      </c>
      <c r="I8221">
        <v>1358.73</v>
      </c>
      <c r="J8221" t="s">
        <v>28</v>
      </c>
      <c r="K8221" t="s">
        <v>33</v>
      </c>
      <c r="L8221">
        <f t="shared" si="384"/>
        <v>2022</v>
      </c>
      <c r="M8221" t="str">
        <f t="shared" si="385"/>
        <v>Nov</v>
      </c>
      <c r="N8221" s="2">
        <f t="shared" si="386"/>
        <v>6.3733229763844684E-2</v>
      </c>
    </row>
    <row r="8222" spans="1:14" x14ac:dyDescent="0.45">
      <c r="A8222" t="s">
        <v>13669</v>
      </c>
      <c r="B8222" s="1">
        <v>45531</v>
      </c>
      <c r="C8222" t="s">
        <v>8574</v>
      </c>
      <c r="D8222" t="s">
        <v>56</v>
      </c>
      <c r="E8222" t="s">
        <v>14</v>
      </c>
      <c r="F8222" t="s">
        <v>32</v>
      </c>
      <c r="G8222">
        <v>5</v>
      </c>
      <c r="H8222">
        <v>17887.740000000002</v>
      </c>
      <c r="I8222">
        <v>3752.83</v>
      </c>
      <c r="J8222" t="s">
        <v>47</v>
      </c>
      <c r="K8222" t="s">
        <v>29</v>
      </c>
      <c r="L8222">
        <f t="shared" si="384"/>
        <v>2024</v>
      </c>
      <c r="M8222" t="str">
        <f t="shared" si="385"/>
        <v>Aug</v>
      </c>
      <c r="N8222" s="2">
        <f t="shared" si="386"/>
        <v>0.20979900199801649</v>
      </c>
    </row>
    <row r="8223" spans="1:14" x14ac:dyDescent="0.45">
      <c r="A8223" t="s">
        <v>13670</v>
      </c>
      <c r="B8223" s="1">
        <v>44928</v>
      </c>
      <c r="C8223" t="s">
        <v>7683</v>
      </c>
      <c r="D8223" t="s">
        <v>13</v>
      </c>
      <c r="E8223" t="s">
        <v>14</v>
      </c>
      <c r="F8223" t="s">
        <v>40</v>
      </c>
      <c r="G8223">
        <v>5</v>
      </c>
      <c r="H8223">
        <v>44635.199999999997</v>
      </c>
      <c r="I8223">
        <v>2565.2800000000002</v>
      </c>
      <c r="J8223" t="s">
        <v>28</v>
      </c>
      <c r="K8223" t="s">
        <v>29</v>
      </c>
      <c r="L8223">
        <f t="shared" si="384"/>
        <v>2023</v>
      </c>
      <c r="M8223" t="str">
        <f t="shared" si="385"/>
        <v>Jan</v>
      </c>
      <c r="N8223" s="2">
        <f t="shared" si="386"/>
        <v>5.7472129619672373E-2</v>
      </c>
    </row>
    <row r="8224" spans="1:14" x14ac:dyDescent="0.45">
      <c r="A8224" t="s">
        <v>13671</v>
      </c>
      <c r="B8224" s="1">
        <v>45316</v>
      </c>
      <c r="C8224" t="s">
        <v>13672</v>
      </c>
      <c r="D8224" t="s">
        <v>13</v>
      </c>
      <c r="E8224" t="s">
        <v>20</v>
      </c>
      <c r="F8224" t="s">
        <v>50</v>
      </c>
      <c r="G8224">
        <v>4</v>
      </c>
      <c r="H8224">
        <v>34517.760000000002</v>
      </c>
      <c r="I8224">
        <v>2281.84</v>
      </c>
      <c r="J8224" t="s">
        <v>28</v>
      </c>
      <c r="K8224" t="s">
        <v>17</v>
      </c>
      <c r="L8224">
        <f t="shared" si="384"/>
        <v>2024</v>
      </c>
      <c r="M8224" t="str">
        <f t="shared" si="385"/>
        <v>Jan</v>
      </c>
      <c r="N8224" s="2">
        <f t="shared" si="386"/>
        <v>6.6106259502354728E-2</v>
      </c>
    </row>
    <row r="8225" spans="1:14" x14ac:dyDescent="0.45">
      <c r="A8225" t="s">
        <v>13673</v>
      </c>
      <c r="B8225" s="1">
        <v>44725</v>
      </c>
      <c r="C8225" t="s">
        <v>13674</v>
      </c>
      <c r="D8225" t="s">
        <v>56</v>
      </c>
      <c r="E8225" t="s">
        <v>20</v>
      </c>
      <c r="F8225" t="s">
        <v>21</v>
      </c>
      <c r="G8225">
        <v>2</v>
      </c>
      <c r="H8225">
        <v>38762.22</v>
      </c>
      <c r="I8225">
        <v>7301.27</v>
      </c>
      <c r="J8225" t="s">
        <v>71</v>
      </c>
      <c r="K8225" t="s">
        <v>17</v>
      </c>
      <c r="L8225">
        <f t="shared" si="384"/>
        <v>2022</v>
      </c>
      <c r="M8225" t="str">
        <f t="shared" si="385"/>
        <v>Jun</v>
      </c>
      <c r="N8225" s="2">
        <f t="shared" si="386"/>
        <v>0.18836047058192229</v>
      </c>
    </row>
    <row r="8226" spans="1:14" x14ac:dyDescent="0.45">
      <c r="A8226" t="s">
        <v>13675</v>
      </c>
      <c r="B8226" s="1">
        <v>44858</v>
      </c>
      <c r="C8226" t="s">
        <v>13676</v>
      </c>
      <c r="D8226" t="s">
        <v>13</v>
      </c>
      <c r="E8226" t="s">
        <v>36</v>
      </c>
      <c r="F8226" t="s">
        <v>46</v>
      </c>
      <c r="G8226">
        <v>1</v>
      </c>
      <c r="H8226">
        <v>9024.06</v>
      </c>
      <c r="I8226">
        <v>1917.07</v>
      </c>
      <c r="J8226" t="s">
        <v>28</v>
      </c>
      <c r="K8226" t="s">
        <v>17</v>
      </c>
      <c r="L8226">
        <f t="shared" si="384"/>
        <v>2022</v>
      </c>
      <c r="M8226" t="str">
        <f t="shared" si="385"/>
        <v>Oct</v>
      </c>
      <c r="N8226" s="2">
        <f t="shared" si="386"/>
        <v>0.21243985523145903</v>
      </c>
    </row>
    <row r="8227" spans="1:14" x14ac:dyDescent="0.45">
      <c r="A8227" t="s">
        <v>13677</v>
      </c>
      <c r="B8227" s="1">
        <v>44875</v>
      </c>
      <c r="C8227" t="s">
        <v>3279</v>
      </c>
      <c r="D8227" t="s">
        <v>26</v>
      </c>
      <c r="E8227" t="s">
        <v>20</v>
      </c>
      <c r="F8227" t="s">
        <v>43</v>
      </c>
      <c r="G8227">
        <v>2</v>
      </c>
      <c r="H8227">
        <v>15249.97</v>
      </c>
      <c r="I8227">
        <v>982.89</v>
      </c>
      <c r="J8227" t="s">
        <v>71</v>
      </c>
      <c r="K8227" t="s">
        <v>17</v>
      </c>
      <c r="L8227">
        <f t="shared" si="384"/>
        <v>2022</v>
      </c>
      <c r="M8227" t="str">
        <f t="shared" si="385"/>
        <v>Nov</v>
      </c>
      <c r="N8227" s="2">
        <f t="shared" si="386"/>
        <v>6.4451930069370625E-2</v>
      </c>
    </row>
    <row r="8228" spans="1:14" x14ac:dyDescent="0.45">
      <c r="A8228" t="s">
        <v>13678</v>
      </c>
      <c r="B8228" s="1">
        <v>45644</v>
      </c>
      <c r="C8228" t="s">
        <v>11597</v>
      </c>
      <c r="D8228" t="s">
        <v>26</v>
      </c>
      <c r="E8228" t="s">
        <v>14</v>
      </c>
      <c r="F8228" t="s">
        <v>15</v>
      </c>
      <c r="G8228">
        <v>3</v>
      </c>
      <c r="H8228">
        <v>45211.87</v>
      </c>
      <c r="I8228">
        <v>8965.9500000000007</v>
      </c>
      <c r="J8228" t="s">
        <v>28</v>
      </c>
      <c r="K8228" t="s">
        <v>17</v>
      </c>
      <c r="L8228">
        <f t="shared" si="384"/>
        <v>2024</v>
      </c>
      <c r="M8228" t="str">
        <f t="shared" si="385"/>
        <v>Dec</v>
      </c>
      <c r="N8228" s="2">
        <f t="shared" si="386"/>
        <v>0.19830964744435478</v>
      </c>
    </row>
    <row r="8229" spans="1:14" x14ac:dyDescent="0.45">
      <c r="A8229" t="s">
        <v>13679</v>
      </c>
      <c r="B8229" s="1">
        <v>45643</v>
      </c>
      <c r="C8229" t="s">
        <v>3668</v>
      </c>
      <c r="D8229" t="s">
        <v>26</v>
      </c>
      <c r="E8229" t="s">
        <v>36</v>
      </c>
      <c r="F8229" t="s">
        <v>53</v>
      </c>
      <c r="G8229">
        <v>4</v>
      </c>
      <c r="H8229">
        <v>16802.14</v>
      </c>
      <c r="I8229">
        <v>3925.48</v>
      </c>
      <c r="J8229" t="s">
        <v>16</v>
      </c>
      <c r="K8229" t="s">
        <v>23</v>
      </c>
      <c r="L8229">
        <f t="shared" si="384"/>
        <v>2024</v>
      </c>
      <c r="M8229" t="str">
        <f t="shared" si="385"/>
        <v>Dec</v>
      </c>
      <c r="N8229" s="2">
        <f t="shared" si="386"/>
        <v>0.2336297638277029</v>
      </c>
    </row>
    <row r="8230" spans="1:14" x14ac:dyDescent="0.45">
      <c r="A8230" t="s">
        <v>13680</v>
      </c>
      <c r="B8230" s="1">
        <v>45285</v>
      </c>
      <c r="C8230" t="s">
        <v>5992</v>
      </c>
      <c r="D8230" t="s">
        <v>13</v>
      </c>
      <c r="E8230" t="s">
        <v>14</v>
      </c>
      <c r="F8230" t="s">
        <v>57</v>
      </c>
      <c r="G8230">
        <v>3</v>
      </c>
      <c r="H8230">
        <v>41507.919999999998</v>
      </c>
      <c r="I8230">
        <v>10186.76</v>
      </c>
      <c r="J8230" t="s">
        <v>22</v>
      </c>
      <c r="K8230" t="s">
        <v>33</v>
      </c>
      <c r="L8230">
        <f t="shared" si="384"/>
        <v>2023</v>
      </c>
      <c r="M8230" t="str">
        <f t="shared" si="385"/>
        <v>Dec</v>
      </c>
      <c r="N8230" s="2">
        <f t="shared" si="386"/>
        <v>0.24541726012770576</v>
      </c>
    </row>
    <row r="8231" spans="1:14" x14ac:dyDescent="0.45">
      <c r="A8231" t="s">
        <v>13681</v>
      </c>
      <c r="B8231" s="1">
        <v>45368</v>
      </c>
      <c r="C8231" t="s">
        <v>4550</v>
      </c>
      <c r="D8231" t="s">
        <v>13</v>
      </c>
      <c r="E8231" t="s">
        <v>14</v>
      </c>
      <c r="F8231" t="s">
        <v>15</v>
      </c>
      <c r="G8231">
        <v>3</v>
      </c>
      <c r="H8231">
        <v>23216.17</v>
      </c>
      <c r="I8231">
        <v>4849.66</v>
      </c>
      <c r="J8231" t="s">
        <v>47</v>
      </c>
      <c r="K8231" t="s">
        <v>33</v>
      </c>
      <c r="L8231">
        <f t="shared" si="384"/>
        <v>2024</v>
      </c>
      <c r="M8231" t="str">
        <f t="shared" si="385"/>
        <v>Mar</v>
      </c>
      <c r="N8231" s="2">
        <f t="shared" si="386"/>
        <v>0.20889147520887383</v>
      </c>
    </row>
    <row r="8232" spans="1:14" x14ac:dyDescent="0.45">
      <c r="A8232" t="s">
        <v>13682</v>
      </c>
      <c r="B8232" s="1">
        <v>45618</v>
      </c>
      <c r="C8232" t="s">
        <v>13683</v>
      </c>
      <c r="D8232" t="s">
        <v>56</v>
      </c>
      <c r="E8232" t="s">
        <v>14</v>
      </c>
      <c r="F8232" t="s">
        <v>32</v>
      </c>
      <c r="G8232">
        <v>3</v>
      </c>
      <c r="H8232">
        <v>19874.29</v>
      </c>
      <c r="I8232">
        <v>4315.17</v>
      </c>
      <c r="J8232" t="s">
        <v>71</v>
      </c>
      <c r="K8232" t="s">
        <v>29</v>
      </c>
      <c r="L8232">
        <f t="shared" si="384"/>
        <v>2024</v>
      </c>
      <c r="M8232" t="str">
        <f t="shared" si="385"/>
        <v>Nov</v>
      </c>
      <c r="N8232" s="2">
        <f t="shared" si="386"/>
        <v>0.21712322804990769</v>
      </c>
    </row>
    <row r="8233" spans="1:14" x14ac:dyDescent="0.45">
      <c r="A8233" t="s">
        <v>13684</v>
      </c>
      <c r="B8233" s="1">
        <v>45290</v>
      </c>
      <c r="C8233" t="s">
        <v>13685</v>
      </c>
      <c r="D8233" t="s">
        <v>13</v>
      </c>
      <c r="E8233" t="s">
        <v>20</v>
      </c>
      <c r="F8233" t="s">
        <v>21</v>
      </c>
      <c r="G8233">
        <v>3</v>
      </c>
      <c r="H8233">
        <v>3073.75</v>
      </c>
      <c r="I8233">
        <v>662.59</v>
      </c>
      <c r="J8233" t="s">
        <v>28</v>
      </c>
      <c r="K8233" t="s">
        <v>23</v>
      </c>
      <c r="L8233">
        <f t="shared" si="384"/>
        <v>2023</v>
      </c>
      <c r="M8233" t="str">
        <f t="shared" si="385"/>
        <v>Dec</v>
      </c>
      <c r="N8233" s="2">
        <f t="shared" si="386"/>
        <v>0.21556405042700286</v>
      </c>
    </row>
    <row r="8234" spans="1:14" x14ac:dyDescent="0.45">
      <c r="A8234" t="s">
        <v>13686</v>
      </c>
      <c r="B8234" s="1">
        <v>45110</v>
      </c>
      <c r="C8234" t="s">
        <v>13687</v>
      </c>
      <c r="D8234" t="s">
        <v>26</v>
      </c>
      <c r="E8234" t="s">
        <v>36</v>
      </c>
      <c r="F8234" t="s">
        <v>37</v>
      </c>
      <c r="G8234">
        <v>5</v>
      </c>
      <c r="H8234">
        <v>34363.14</v>
      </c>
      <c r="I8234">
        <v>2434.62</v>
      </c>
      <c r="J8234" t="s">
        <v>28</v>
      </c>
      <c r="K8234" t="s">
        <v>23</v>
      </c>
      <c r="L8234">
        <f t="shared" si="384"/>
        <v>2023</v>
      </c>
      <c r="M8234" t="str">
        <f t="shared" si="385"/>
        <v>Jul</v>
      </c>
      <c r="N8234" s="2">
        <f t="shared" si="386"/>
        <v>7.0849753544059133E-2</v>
      </c>
    </row>
    <row r="8235" spans="1:14" x14ac:dyDescent="0.45">
      <c r="A8235" t="s">
        <v>13688</v>
      </c>
      <c r="B8235" s="1">
        <v>44864</v>
      </c>
      <c r="C8235" t="s">
        <v>13689</v>
      </c>
      <c r="D8235" t="s">
        <v>26</v>
      </c>
      <c r="E8235" t="s">
        <v>20</v>
      </c>
      <c r="F8235" t="s">
        <v>50</v>
      </c>
      <c r="G8235">
        <v>5</v>
      </c>
      <c r="H8235">
        <v>20167.849999999999</v>
      </c>
      <c r="I8235">
        <v>1868.99</v>
      </c>
      <c r="J8235" t="s">
        <v>22</v>
      </c>
      <c r="K8235" t="s">
        <v>29</v>
      </c>
      <c r="L8235">
        <f t="shared" si="384"/>
        <v>2022</v>
      </c>
      <c r="M8235" t="str">
        <f t="shared" si="385"/>
        <v>Oct</v>
      </c>
      <c r="N8235" s="2">
        <f t="shared" si="386"/>
        <v>9.2671752318665604E-2</v>
      </c>
    </row>
    <row r="8236" spans="1:14" x14ac:dyDescent="0.45">
      <c r="A8236" t="s">
        <v>13690</v>
      </c>
      <c r="B8236" s="1">
        <v>44958</v>
      </c>
      <c r="C8236" t="s">
        <v>1450</v>
      </c>
      <c r="D8236" t="s">
        <v>13</v>
      </c>
      <c r="E8236" t="s">
        <v>14</v>
      </c>
      <c r="F8236" t="s">
        <v>32</v>
      </c>
      <c r="G8236">
        <v>4</v>
      </c>
      <c r="H8236">
        <v>26884.29</v>
      </c>
      <c r="I8236">
        <v>4432.13</v>
      </c>
      <c r="J8236" t="s">
        <v>16</v>
      </c>
      <c r="K8236" t="s">
        <v>29</v>
      </c>
      <c r="L8236">
        <f t="shared" si="384"/>
        <v>2023</v>
      </c>
      <c r="M8236" t="str">
        <f t="shared" si="385"/>
        <v>Feb</v>
      </c>
      <c r="N8236" s="2">
        <f t="shared" si="386"/>
        <v>0.16485947741227311</v>
      </c>
    </row>
    <row r="8237" spans="1:14" x14ac:dyDescent="0.45">
      <c r="A8237" t="s">
        <v>13691</v>
      </c>
      <c r="B8237" s="1">
        <v>44916</v>
      </c>
      <c r="C8237" t="s">
        <v>13692</v>
      </c>
      <c r="D8237" t="s">
        <v>56</v>
      </c>
      <c r="E8237" t="s">
        <v>20</v>
      </c>
      <c r="F8237" t="s">
        <v>43</v>
      </c>
      <c r="G8237">
        <v>5</v>
      </c>
      <c r="H8237">
        <v>9928.01</v>
      </c>
      <c r="I8237">
        <v>2404.4699999999998</v>
      </c>
      <c r="J8237" t="s">
        <v>28</v>
      </c>
      <c r="K8237" t="s">
        <v>23</v>
      </c>
      <c r="L8237">
        <f t="shared" si="384"/>
        <v>2022</v>
      </c>
      <c r="M8237" t="str">
        <f t="shared" si="385"/>
        <v>Dec</v>
      </c>
      <c r="N8237" s="2">
        <f t="shared" si="386"/>
        <v>0.24219052962275417</v>
      </c>
    </row>
    <row r="8238" spans="1:14" x14ac:dyDescent="0.45">
      <c r="A8238" t="s">
        <v>13693</v>
      </c>
      <c r="B8238" s="1">
        <v>44606</v>
      </c>
      <c r="C8238" t="s">
        <v>13694</v>
      </c>
      <c r="D8238" t="s">
        <v>56</v>
      </c>
      <c r="E8238" t="s">
        <v>20</v>
      </c>
      <c r="F8238" t="s">
        <v>50</v>
      </c>
      <c r="G8238">
        <v>2</v>
      </c>
      <c r="H8238">
        <v>12910.38</v>
      </c>
      <c r="I8238">
        <v>1861.2</v>
      </c>
      <c r="J8238" t="s">
        <v>22</v>
      </c>
      <c r="K8238" t="s">
        <v>17</v>
      </c>
      <c r="L8238">
        <f t="shared" si="384"/>
        <v>2022</v>
      </c>
      <c r="M8238" t="str">
        <f t="shared" si="385"/>
        <v>Feb</v>
      </c>
      <c r="N8238" s="2">
        <f t="shared" si="386"/>
        <v>0.14416306878651133</v>
      </c>
    </row>
    <row r="8239" spans="1:14" x14ac:dyDescent="0.45">
      <c r="A8239" t="s">
        <v>13695</v>
      </c>
      <c r="B8239" s="1">
        <v>44753</v>
      </c>
      <c r="C8239" t="s">
        <v>2585</v>
      </c>
      <c r="D8239" t="s">
        <v>56</v>
      </c>
      <c r="E8239" t="s">
        <v>36</v>
      </c>
      <c r="F8239" t="s">
        <v>37</v>
      </c>
      <c r="G8239">
        <v>3</v>
      </c>
      <c r="H8239">
        <v>18207.68</v>
      </c>
      <c r="I8239">
        <v>2329.0300000000002</v>
      </c>
      <c r="J8239" t="s">
        <v>71</v>
      </c>
      <c r="K8239" t="s">
        <v>33</v>
      </c>
      <c r="L8239">
        <f t="shared" si="384"/>
        <v>2022</v>
      </c>
      <c r="M8239" t="str">
        <f t="shared" si="385"/>
        <v>Jul</v>
      </c>
      <c r="N8239" s="2">
        <f t="shared" si="386"/>
        <v>0.12791470412485281</v>
      </c>
    </row>
    <row r="8240" spans="1:14" x14ac:dyDescent="0.45">
      <c r="A8240" t="s">
        <v>13696</v>
      </c>
      <c r="B8240" s="1">
        <v>45253</v>
      </c>
      <c r="C8240" t="s">
        <v>13697</v>
      </c>
      <c r="D8240" t="s">
        <v>56</v>
      </c>
      <c r="E8240" t="s">
        <v>36</v>
      </c>
      <c r="F8240" t="s">
        <v>64</v>
      </c>
      <c r="G8240">
        <v>3</v>
      </c>
      <c r="H8240">
        <v>6175.64</v>
      </c>
      <c r="I8240">
        <v>346.97</v>
      </c>
      <c r="J8240" t="s">
        <v>71</v>
      </c>
      <c r="K8240" t="s">
        <v>33</v>
      </c>
      <c r="L8240">
        <f t="shared" si="384"/>
        <v>2023</v>
      </c>
      <c r="M8240" t="str">
        <f t="shared" si="385"/>
        <v>Nov</v>
      </c>
      <c r="N8240" s="2">
        <f t="shared" si="386"/>
        <v>5.6183650601395158E-2</v>
      </c>
    </row>
    <row r="8241" spans="1:14" x14ac:dyDescent="0.45">
      <c r="A8241" t="s">
        <v>13698</v>
      </c>
      <c r="B8241" s="1">
        <v>44585</v>
      </c>
      <c r="C8241" t="s">
        <v>13699</v>
      </c>
      <c r="D8241" t="s">
        <v>13</v>
      </c>
      <c r="E8241" t="s">
        <v>20</v>
      </c>
      <c r="F8241" t="s">
        <v>21</v>
      </c>
      <c r="G8241">
        <v>1</v>
      </c>
      <c r="H8241">
        <v>44915.83</v>
      </c>
      <c r="I8241">
        <v>8072.76</v>
      </c>
      <c r="J8241" t="s">
        <v>28</v>
      </c>
      <c r="K8241" t="s">
        <v>33</v>
      </c>
      <c r="L8241">
        <f t="shared" si="384"/>
        <v>2022</v>
      </c>
      <c r="M8241" t="str">
        <f t="shared" si="385"/>
        <v>Jan</v>
      </c>
      <c r="N8241" s="2">
        <f t="shared" si="386"/>
        <v>0.17973084322387006</v>
      </c>
    </row>
    <row r="8242" spans="1:14" x14ac:dyDescent="0.45">
      <c r="A8242" t="s">
        <v>13700</v>
      </c>
      <c r="B8242" s="1">
        <v>45254</v>
      </c>
      <c r="C8242" t="s">
        <v>4152</v>
      </c>
      <c r="D8242" t="s">
        <v>56</v>
      </c>
      <c r="E8242" t="s">
        <v>36</v>
      </c>
      <c r="F8242" t="s">
        <v>64</v>
      </c>
      <c r="G8242">
        <v>1</v>
      </c>
      <c r="H8242">
        <v>24445.93</v>
      </c>
      <c r="I8242">
        <v>1944.16</v>
      </c>
      <c r="J8242" t="s">
        <v>28</v>
      </c>
      <c r="K8242" t="s">
        <v>23</v>
      </c>
      <c r="L8242">
        <f t="shared" si="384"/>
        <v>2023</v>
      </c>
      <c r="M8242" t="str">
        <f t="shared" si="385"/>
        <v>Nov</v>
      </c>
      <c r="N8242" s="2">
        <f t="shared" si="386"/>
        <v>7.9528984988503207E-2</v>
      </c>
    </row>
    <row r="8243" spans="1:14" x14ac:dyDescent="0.45">
      <c r="A8243" t="s">
        <v>13701</v>
      </c>
      <c r="B8243" s="1">
        <v>44722</v>
      </c>
      <c r="C8243" t="s">
        <v>10039</v>
      </c>
      <c r="D8243" t="s">
        <v>56</v>
      </c>
      <c r="E8243" t="s">
        <v>20</v>
      </c>
      <c r="F8243" t="s">
        <v>43</v>
      </c>
      <c r="G8243">
        <v>2</v>
      </c>
      <c r="H8243">
        <v>23647.3</v>
      </c>
      <c r="I8243">
        <v>4272.58</v>
      </c>
      <c r="J8243" t="s">
        <v>22</v>
      </c>
      <c r="K8243" t="s">
        <v>29</v>
      </c>
      <c r="L8243">
        <f t="shared" si="384"/>
        <v>2022</v>
      </c>
      <c r="M8243" t="str">
        <f t="shared" si="385"/>
        <v>Jun</v>
      </c>
      <c r="N8243" s="2">
        <f t="shared" si="386"/>
        <v>0.18067940103098451</v>
      </c>
    </row>
    <row r="8244" spans="1:14" x14ac:dyDescent="0.45">
      <c r="A8244" t="s">
        <v>13702</v>
      </c>
      <c r="B8244" s="1">
        <v>45496</v>
      </c>
      <c r="C8244" t="s">
        <v>13703</v>
      </c>
      <c r="D8244" t="s">
        <v>56</v>
      </c>
      <c r="E8244" t="s">
        <v>20</v>
      </c>
      <c r="F8244" t="s">
        <v>27</v>
      </c>
      <c r="G8244">
        <v>2</v>
      </c>
      <c r="H8244">
        <v>7907.88</v>
      </c>
      <c r="I8244">
        <v>1072.5899999999999</v>
      </c>
      <c r="J8244" t="s">
        <v>71</v>
      </c>
      <c r="K8244" t="s">
        <v>17</v>
      </c>
      <c r="L8244">
        <f t="shared" si="384"/>
        <v>2024</v>
      </c>
      <c r="M8244" t="str">
        <f t="shared" si="385"/>
        <v>Jul</v>
      </c>
      <c r="N8244" s="2">
        <f t="shared" si="386"/>
        <v>0.13563559386333632</v>
      </c>
    </row>
    <row r="8245" spans="1:14" x14ac:dyDescent="0.45">
      <c r="A8245" t="s">
        <v>13704</v>
      </c>
      <c r="B8245" s="1">
        <v>45006</v>
      </c>
      <c r="C8245" t="s">
        <v>13705</v>
      </c>
      <c r="D8245" t="s">
        <v>26</v>
      </c>
      <c r="E8245" t="s">
        <v>36</v>
      </c>
      <c r="F8245" t="s">
        <v>53</v>
      </c>
      <c r="G8245">
        <v>3</v>
      </c>
      <c r="H8245">
        <v>33443.089999999997</v>
      </c>
      <c r="I8245">
        <v>3885.38</v>
      </c>
      <c r="J8245" t="s">
        <v>47</v>
      </c>
      <c r="K8245" t="s">
        <v>33</v>
      </c>
      <c r="L8245">
        <f t="shared" si="384"/>
        <v>2023</v>
      </c>
      <c r="M8245" t="str">
        <f t="shared" si="385"/>
        <v>Mar</v>
      </c>
      <c r="N8245" s="2">
        <f t="shared" si="386"/>
        <v>0.11617885787467606</v>
      </c>
    </row>
    <row r="8246" spans="1:14" x14ac:dyDescent="0.45">
      <c r="A8246" t="s">
        <v>13706</v>
      </c>
      <c r="B8246" s="1">
        <v>44685</v>
      </c>
      <c r="C8246" t="s">
        <v>13707</v>
      </c>
      <c r="D8246" t="s">
        <v>13</v>
      </c>
      <c r="E8246" t="s">
        <v>20</v>
      </c>
      <c r="F8246" t="s">
        <v>27</v>
      </c>
      <c r="G8246">
        <v>2</v>
      </c>
      <c r="H8246">
        <v>4042.56</v>
      </c>
      <c r="I8246">
        <v>330</v>
      </c>
      <c r="J8246" t="s">
        <v>16</v>
      </c>
      <c r="K8246" t="s">
        <v>17</v>
      </c>
      <c r="L8246">
        <f t="shared" si="384"/>
        <v>2022</v>
      </c>
      <c r="M8246" t="str">
        <f t="shared" si="385"/>
        <v>May</v>
      </c>
      <c r="N8246" s="2">
        <f t="shared" si="386"/>
        <v>8.1631441462835436E-2</v>
      </c>
    </row>
    <row r="8247" spans="1:14" x14ac:dyDescent="0.45">
      <c r="A8247" t="s">
        <v>13708</v>
      </c>
      <c r="B8247" s="1">
        <v>45496</v>
      </c>
      <c r="C8247" t="s">
        <v>13709</v>
      </c>
      <c r="D8247" t="s">
        <v>26</v>
      </c>
      <c r="E8247" t="s">
        <v>36</v>
      </c>
      <c r="F8247" t="s">
        <v>37</v>
      </c>
      <c r="G8247">
        <v>5</v>
      </c>
      <c r="H8247">
        <v>8199.44</v>
      </c>
      <c r="I8247">
        <v>1989.83</v>
      </c>
      <c r="J8247" t="s">
        <v>47</v>
      </c>
      <c r="K8247" t="s">
        <v>33</v>
      </c>
      <c r="L8247">
        <f t="shared" si="384"/>
        <v>2024</v>
      </c>
      <c r="M8247" t="str">
        <f t="shared" si="385"/>
        <v>Jul</v>
      </c>
      <c r="N8247" s="2">
        <f t="shared" si="386"/>
        <v>0.2426787683061282</v>
      </c>
    </row>
    <row r="8248" spans="1:14" x14ac:dyDescent="0.45">
      <c r="A8248" t="s">
        <v>13710</v>
      </c>
      <c r="B8248" s="1">
        <v>45435</v>
      </c>
      <c r="C8248" t="s">
        <v>13711</v>
      </c>
      <c r="D8248" t="s">
        <v>26</v>
      </c>
      <c r="E8248" t="s">
        <v>14</v>
      </c>
      <c r="F8248" t="s">
        <v>40</v>
      </c>
      <c r="G8248">
        <v>2</v>
      </c>
      <c r="H8248">
        <v>25280.61</v>
      </c>
      <c r="I8248">
        <v>4777.8100000000004</v>
      </c>
      <c r="J8248" t="s">
        <v>16</v>
      </c>
      <c r="K8248" t="s">
        <v>17</v>
      </c>
      <c r="L8248">
        <f t="shared" si="384"/>
        <v>2024</v>
      </c>
      <c r="M8248" t="str">
        <f t="shared" si="385"/>
        <v>May</v>
      </c>
      <c r="N8248" s="2">
        <f t="shared" si="386"/>
        <v>0.18899108842705933</v>
      </c>
    </row>
    <row r="8249" spans="1:14" x14ac:dyDescent="0.45">
      <c r="A8249" t="s">
        <v>13712</v>
      </c>
      <c r="B8249" s="1">
        <v>45457</v>
      </c>
      <c r="C8249" t="s">
        <v>6063</v>
      </c>
      <c r="D8249" t="s">
        <v>26</v>
      </c>
      <c r="E8249" t="s">
        <v>36</v>
      </c>
      <c r="F8249" t="s">
        <v>37</v>
      </c>
      <c r="G8249">
        <v>3</v>
      </c>
      <c r="H8249">
        <v>31498.37</v>
      </c>
      <c r="I8249">
        <v>6763.33</v>
      </c>
      <c r="J8249" t="s">
        <v>16</v>
      </c>
      <c r="K8249" t="s">
        <v>23</v>
      </c>
      <c r="L8249">
        <f t="shared" si="384"/>
        <v>2024</v>
      </c>
      <c r="M8249" t="str">
        <f t="shared" si="385"/>
        <v>Jun</v>
      </c>
      <c r="N8249" s="2">
        <f t="shared" si="386"/>
        <v>0.21471999979681489</v>
      </c>
    </row>
    <row r="8250" spans="1:14" x14ac:dyDescent="0.45">
      <c r="A8250" t="s">
        <v>13713</v>
      </c>
      <c r="B8250" s="1">
        <v>45459</v>
      </c>
      <c r="C8250" t="s">
        <v>2451</v>
      </c>
      <c r="D8250" t="s">
        <v>13</v>
      </c>
      <c r="E8250" t="s">
        <v>36</v>
      </c>
      <c r="F8250" t="s">
        <v>64</v>
      </c>
      <c r="G8250">
        <v>1</v>
      </c>
      <c r="H8250">
        <v>43628.11</v>
      </c>
      <c r="I8250">
        <v>9595.11</v>
      </c>
      <c r="J8250" t="s">
        <v>16</v>
      </c>
      <c r="K8250" t="s">
        <v>23</v>
      </c>
      <c r="L8250">
        <f t="shared" si="384"/>
        <v>2024</v>
      </c>
      <c r="M8250" t="str">
        <f t="shared" si="385"/>
        <v>Jun</v>
      </c>
      <c r="N8250" s="2">
        <f t="shared" si="386"/>
        <v>0.21992953625540965</v>
      </c>
    </row>
    <row r="8251" spans="1:14" x14ac:dyDescent="0.45">
      <c r="A8251" t="s">
        <v>13714</v>
      </c>
      <c r="B8251" s="1">
        <v>45327</v>
      </c>
      <c r="C8251" t="s">
        <v>10704</v>
      </c>
      <c r="D8251" t="s">
        <v>13</v>
      </c>
      <c r="E8251" t="s">
        <v>14</v>
      </c>
      <c r="F8251" t="s">
        <v>15</v>
      </c>
      <c r="G8251">
        <v>1</v>
      </c>
      <c r="H8251">
        <v>15877.03</v>
      </c>
      <c r="I8251">
        <v>1511.2</v>
      </c>
      <c r="J8251" t="s">
        <v>28</v>
      </c>
      <c r="K8251" t="s">
        <v>33</v>
      </c>
      <c r="L8251">
        <f t="shared" si="384"/>
        <v>2024</v>
      </c>
      <c r="M8251" t="str">
        <f t="shared" si="385"/>
        <v>Feb</v>
      </c>
      <c r="N8251" s="2">
        <f t="shared" si="386"/>
        <v>9.5181529542993873E-2</v>
      </c>
    </row>
    <row r="8252" spans="1:14" x14ac:dyDescent="0.45">
      <c r="A8252" t="s">
        <v>13715</v>
      </c>
      <c r="B8252" s="1">
        <v>44727</v>
      </c>
      <c r="C8252" t="s">
        <v>2178</v>
      </c>
      <c r="D8252" t="s">
        <v>56</v>
      </c>
      <c r="E8252" t="s">
        <v>36</v>
      </c>
      <c r="F8252" t="s">
        <v>46</v>
      </c>
      <c r="G8252">
        <v>3</v>
      </c>
      <c r="H8252">
        <v>49454.26</v>
      </c>
      <c r="I8252">
        <v>9738.61</v>
      </c>
      <c r="J8252" t="s">
        <v>71</v>
      </c>
      <c r="K8252" t="s">
        <v>33</v>
      </c>
      <c r="L8252">
        <f t="shared" si="384"/>
        <v>2022</v>
      </c>
      <c r="M8252" t="str">
        <f t="shared" si="385"/>
        <v>Jun</v>
      </c>
      <c r="N8252" s="2">
        <f t="shared" si="386"/>
        <v>0.19692155943694234</v>
      </c>
    </row>
    <row r="8253" spans="1:14" x14ac:dyDescent="0.45">
      <c r="A8253" t="s">
        <v>13716</v>
      </c>
      <c r="B8253" s="1">
        <v>45590</v>
      </c>
      <c r="C8253" t="s">
        <v>13717</v>
      </c>
      <c r="D8253" t="s">
        <v>56</v>
      </c>
      <c r="E8253" t="s">
        <v>36</v>
      </c>
      <c r="F8253" t="s">
        <v>53</v>
      </c>
      <c r="G8253">
        <v>5</v>
      </c>
      <c r="H8253">
        <v>29046.48</v>
      </c>
      <c r="I8253">
        <v>4291.51</v>
      </c>
      <c r="J8253" t="s">
        <v>47</v>
      </c>
      <c r="K8253" t="s">
        <v>17</v>
      </c>
      <c r="L8253">
        <f t="shared" si="384"/>
        <v>2024</v>
      </c>
      <c r="M8253" t="str">
        <f t="shared" si="385"/>
        <v>Oct</v>
      </c>
      <c r="N8253" s="2">
        <f t="shared" si="386"/>
        <v>0.1477463017894079</v>
      </c>
    </row>
    <row r="8254" spans="1:14" x14ac:dyDescent="0.45">
      <c r="A8254" t="s">
        <v>13718</v>
      </c>
      <c r="B8254" s="1">
        <v>44691</v>
      </c>
      <c r="C8254" t="s">
        <v>10733</v>
      </c>
      <c r="D8254" t="s">
        <v>26</v>
      </c>
      <c r="E8254" t="s">
        <v>20</v>
      </c>
      <c r="F8254" t="s">
        <v>21</v>
      </c>
      <c r="G8254">
        <v>5</v>
      </c>
      <c r="H8254">
        <v>6101.94</v>
      </c>
      <c r="I8254">
        <v>975.1</v>
      </c>
      <c r="J8254" t="s">
        <v>16</v>
      </c>
      <c r="K8254" t="s">
        <v>23</v>
      </c>
      <c r="L8254">
        <f t="shared" si="384"/>
        <v>2022</v>
      </c>
      <c r="M8254" t="str">
        <f t="shared" si="385"/>
        <v>May</v>
      </c>
      <c r="N8254" s="2">
        <f t="shared" si="386"/>
        <v>0.15980163685647517</v>
      </c>
    </row>
    <row r="8255" spans="1:14" x14ac:dyDescent="0.45">
      <c r="A8255" t="s">
        <v>13719</v>
      </c>
      <c r="B8255" s="1">
        <v>44729</v>
      </c>
      <c r="C8255" t="s">
        <v>6059</v>
      </c>
      <c r="D8255" t="s">
        <v>26</v>
      </c>
      <c r="E8255" t="s">
        <v>36</v>
      </c>
      <c r="F8255" t="s">
        <v>46</v>
      </c>
      <c r="G8255">
        <v>1</v>
      </c>
      <c r="H8255">
        <v>42947.99</v>
      </c>
      <c r="I8255">
        <v>7699.05</v>
      </c>
      <c r="J8255" t="s">
        <v>47</v>
      </c>
      <c r="K8255" t="s">
        <v>29</v>
      </c>
      <c r="L8255">
        <f t="shared" si="384"/>
        <v>2022</v>
      </c>
      <c r="M8255" t="str">
        <f t="shared" si="385"/>
        <v>Jun</v>
      </c>
      <c r="N8255" s="2">
        <f t="shared" si="386"/>
        <v>0.17926450108608111</v>
      </c>
    </row>
    <row r="8256" spans="1:14" x14ac:dyDescent="0.45">
      <c r="A8256" t="s">
        <v>13720</v>
      </c>
      <c r="B8256" s="1">
        <v>44823</v>
      </c>
      <c r="C8256" t="s">
        <v>7256</v>
      </c>
      <c r="D8256" t="s">
        <v>56</v>
      </c>
      <c r="E8256" t="s">
        <v>36</v>
      </c>
      <c r="F8256" t="s">
        <v>46</v>
      </c>
      <c r="G8256">
        <v>3</v>
      </c>
      <c r="H8256">
        <v>34946.17</v>
      </c>
      <c r="I8256">
        <v>5012.04</v>
      </c>
      <c r="J8256" t="s">
        <v>71</v>
      </c>
      <c r="K8256" t="s">
        <v>33</v>
      </c>
      <c r="L8256">
        <f t="shared" si="384"/>
        <v>2022</v>
      </c>
      <c r="M8256" t="str">
        <f t="shared" si="385"/>
        <v>Sep</v>
      </c>
      <c r="N8256" s="2">
        <f t="shared" si="386"/>
        <v>0.14342172547091714</v>
      </c>
    </row>
    <row r="8257" spans="1:14" x14ac:dyDescent="0.45">
      <c r="A8257" t="s">
        <v>13721</v>
      </c>
      <c r="B8257" s="1">
        <v>44729</v>
      </c>
      <c r="C8257" t="s">
        <v>11666</v>
      </c>
      <c r="D8257" t="s">
        <v>26</v>
      </c>
      <c r="E8257" t="s">
        <v>20</v>
      </c>
      <c r="F8257" t="s">
        <v>50</v>
      </c>
      <c r="G8257">
        <v>5</v>
      </c>
      <c r="H8257">
        <v>21422.81</v>
      </c>
      <c r="I8257">
        <v>5321.07</v>
      </c>
      <c r="J8257" t="s">
        <v>71</v>
      </c>
      <c r="K8257" t="s">
        <v>17</v>
      </c>
      <c r="L8257">
        <f t="shared" si="384"/>
        <v>2022</v>
      </c>
      <c r="M8257" t="str">
        <f t="shared" si="385"/>
        <v>Jun</v>
      </c>
      <c r="N8257" s="2">
        <f t="shared" si="386"/>
        <v>0.24838338201197693</v>
      </c>
    </row>
    <row r="8258" spans="1:14" x14ac:dyDescent="0.45">
      <c r="A8258" t="s">
        <v>13722</v>
      </c>
      <c r="B8258" s="1">
        <v>45181</v>
      </c>
      <c r="C8258" t="s">
        <v>1842</v>
      </c>
      <c r="D8258" t="s">
        <v>26</v>
      </c>
      <c r="E8258" t="s">
        <v>36</v>
      </c>
      <c r="F8258" t="s">
        <v>53</v>
      </c>
      <c r="G8258">
        <v>2</v>
      </c>
      <c r="H8258">
        <v>15123.25</v>
      </c>
      <c r="I8258">
        <v>881.29</v>
      </c>
      <c r="J8258" t="s">
        <v>16</v>
      </c>
      <c r="K8258" t="s">
        <v>33</v>
      </c>
      <c r="L8258">
        <f t="shared" si="384"/>
        <v>2023</v>
      </c>
      <c r="M8258" t="str">
        <f t="shared" si="385"/>
        <v>Sep</v>
      </c>
      <c r="N8258" s="2">
        <f t="shared" si="386"/>
        <v>5.8273849866926748E-2</v>
      </c>
    </row>
    <row r="8259" spans="1:14" x14ac:dyDescent="0.45">
      <c r="A8259" t="s">
        <v>13723</v>
      </c>
      <c r="B8259" s="1">
        <v>45262</v>
      </c>
      <c r="C8259" t="s">
        <v>13724</v>
      </c>
      <c r="D8259" t="s">
        <v>26</v>
      </c>
      <c r="E8259" t="s">
        <v>20</v>
      </c>
      <c r="F8259" t="s">
        <v>43</v>
      </c>
      <c r="G8259">
        <v>1</v>
      </c>
      <c r="H8259">
        <v>36838.959999999999</v>
      </c>
      <c r="I8259">
        <v>7553.68</v>
      </c>
      <c r="J8259" t="s">
        <v>16</v>
      </c>
      <c r="K8259" t="s">
        <v>17</v>
      </c>
      <c r="L8259">
        <f t="shared" ref="L8259:L8322" si="387">YEAR(B8259 )</f>
        <v>2023</v>
      </c>
      <c r="M8259" t="str">
        <f t="shared" ref="M8259:M8322" si="388">TEXT(B8259,"MMM")</f>
        <v>Dec</v>
      </c>
      <c r="N8259" s="2">
        <f t="shared" ref="N8259:N8322" si="389">I8259 / H8259</f>
        <v>0.2050459622095738</v>
      </c>
    </row>
    <row r="8260" spans="1:14" x14ac:dyDescent="0.45">
      <c r="A8260" t="s">
        <v>13725</v>
      </c>
      <c r="B8260" s="1">
        <v>45211</v>
      </c>
      <c r="C8260" t="s">
        <v>13726</v>
      </c>
      <c r="D8260" t="s">
        <v>56</v>
      </c>
      <c r="E8260" t="s">
        <v>36</v>
      </c>
      <c r="F8260" t="s">
        <v>53</v>
      </c>
      <c r="G8260">
        <v>3</v>
      </c>
      <c r="H8260">
        <v>40451.019999999997</v>
      </c>
      <c r="I8260">
        <v>3950.18</v>
      </c>
      <c r="J8260" t="s">
        <v>16</v>
      </c>
      <c r="K8260" t="s">
        <v>17</v>
      </c>
      <c r="L8260">
        <f t="shared" si="387"/>
        <v>2023</v>
      </c>
      <c r="M8260" t="str">
        <f t="shared" si="388"/>
        <v>Oct</v>
      </c>
      <c r="N8260" s="2">
        <f t="shared" si="389"/>
        <v>9.7653408986967449E-2</v>
      </c>
    </row>
    <row r="8261" spans="1:14" x14ac:dyDescent="0.45">
      <c r="A8261" t="s">
        <v>13727</v>
      </c>
      <c r="B8261" s="1">
        <v>45015</v>
      </c>
      <c r="C8261" t="s">
        <v>7002</v>
      </c>
      <c r="D8261" t="s">
        <v>26</v>
      </c>
      <c r="E8261" t="s">
        <v>14</v>
      </c>
      <c r="F8261" t="s">
        <v>32</v>
      </c>
      <c r="G8261">
        <v>3</v>
      </c>
      <c r="H8261">
        <v>31065.38</v>
      </c>
      <c r="I8261">
        <v>6318.72</v>
      </c>
      <c r="J8261" t="s">
        <v>47</v>
      </c>
      <c r="K8261" t="s">
        <v>29</v>
      </c>
      <c r="L8261">
        <f t="shared" si="387"/>
        <v>2023</v>
      </c>
      <c r="M8261" t="str">
        <f t="shared" si="388"/>
        <v>Mar</v>
      </c>
      <c r="N8261" s="2">
        <f t="shared" si="389"/>
        <v>0.20340069878430589</v>
      </c>
    </row>
    <row r="8262" spans="1:14" x14ac:dyDescent="0.45">
      <c r="A8262" t="s">
        <v>13728</v>
      </c>
      <c r="B8262" s="1">
        <v>45647</v>
      </c>
      <c r="C8262" t="s">
        <v>5762</v>
      </c>
      <c r="D8262" t="s">
        <v>56</v>
      </c>
      <c r="E8262" t="s">
        <v>36</v>
      </c>
      <c r="F8262" t="s">
        <v>46</v>
      </c>
      <c r="G8262">
        <v>4</v>
      </c>
      <c r="H8262">
        <v>7436.55</v>
      </c>
      <c r="I8262">
        <v>1499.49</v>
      </c>
      <c r="J8262" t="s">
        <v>16</v>
      </c>
      <c r="K8262" t="s">
        <v>29</v>
      </c>
      <c r="L8262">
        <f t="shared" si="387"/>
        <v>2024</v>
      </c>
      <c r="M8262" t="str">
        <f t="shared" si="388"/>
        <v>Dec</v>
      </c>
      <c r="N8262" s="2">
        <f t="shared" si="389"/>
        <v>0.20163785626399339</v>
      </c>
    </row>
    <row r="8263" spans="1:14" x14ac:dyDescent="0.45">
      <c r="A8263" t="s">
        <v>13729</v>
      </c>
      <c r="B8263" s="1">
        <v>45160</v>
      </c>
      <c r="C8263" t="s">
        <v>13730</v>
      </c>
      <c r="D8263" t="s">
        <v>56</v>
      </c>
      <c r="E8263" t="s">
        <v>36</v>
      </c>
      <c r="F8263" t="s">
        <v>64</v>
      </c>
      <c r="G8263">
        <v>1</v>
      </c>
      <c r="H8263">
        <v>26467.24</v>
      </c>
      <c r="I8263">
        <v>5327.73</v>
      </c>
      <c r="J8263" t="s">
        <v>16</v>
      </c>
      <c r="K8263" t="s">
        <v>23</v>
      </c>
      <c r="L8263">
        <f t="shared" si="387"/>
        <v>2023</v>
      </c>
      <c r="M8263" t="str">
        <f t="shared" si="388"/>
        <v>Aug</v>
      </c>
      <c r="N8263" s="2">
        <f t="shared" si="389"/>
        <v>0.20129526161398012</v>
      </c>
    </row>
    <row r="8264" spans="1:14" x14ac:dyDescent="0.45">
      <c r="A8264" t="s">
        <v>13731</v>
      </c>
      <c r="B8264" s="1">
        <v>45563</v>
      </c>
      <c r="C8264" t="s">
        <v>4832</v>
      </c>
      <c r="D8264" t="s">
        <v>56</v>
      </c>
      <c r="E8264" t="s">
        <v>14</v>
      </c>
      <c r="F8264" t="s">
        <v>32</v>
      </c>
      <c r="G8264">
        <v>4</v>
      </c>
      <c r="H8264">
        <v>20409.580000000002</v>
      </c>
      <c r="I8264">
        <v>1602.1</v>
      </c>
      <c r="J8264" t="s">
        <v>16</v>
      </c>
      <c r="K8264" t="s">
        <v>23</v>
      </c>
      <c r="L8264">
        <f t="shared" si="387"/>
        <v>2024</v>
      </c>
      <c r="M8264" t="str">
        <f t="shared" si="388"/>
        <v>Sep</v>
      </c>
      <c r="N8264" s="2">
        <f t="shared" si="389"/>
        <v>7.8497450706971908E-2</v>
      </c>
    </row>
    <row r="8265" spans="1:14" x14ac:dyDescent="0.45">
      <c r="A8265" t="s">
        <v>13732</v>
      </c>
      <c r="B8265" s="1">
        <v>45216</v>
      </c>
      <c r="C8265" t="s">
        <v>13733</v>
      </c>
      <c r="D8265" t="s">
        <v>13</v>
      </c>
      <c r="E8265" t="s">
        <v>36</v>
      </c>
      <c r="F8265" t="s">
        <v>37</v>
      </c>
      <c r="G8265">
        <v>1</v>
      </c>
      <c r="H8265">
        <v>32881.53</v>
      </c>
      <c r="I8265">
        <v>7312.72</v>
      </c>
      <c r="J8265" t="s">
        <v>71</v>
      </c>
      <c r="K8265" t="s">
        <v>29</v>
      </c>
      <c r="L8265">
        <f t="shared" si="387"/>
        <v>2023</v>
      </c>
      <c r="M8265" t="str">
        <f t="shared" si="388"/>
        <v>Oct</v>
      </c>
      <c r="N8265" s="2">
        <f t="shared" si="389"/>
        <v>0.22239597731614072</v>
      </c>
    </row>
    <row r="8266" spans="1:14" x14ac:dyDescent="0.45">
      <c r="A8266" t="s">
        <v>13734</v>
      </c>
      <c r="B8266" s="1">
        <v>44778</v>
      </c>
      <c r="C8266" t="s">
        <v>2208</v>
      </c>
      <c r="D8266" t="s">
        <v>13</v>
      </c>
      <c r="E8266" t="s">
        <v>36</v>
      </c>
      <c r="F8266" t="s">
        <v>64</v>
      </c>
      <c r="G8266">
        <v>1</v>
      </c>
      <c r="H8266">
        <v>19637.82</v>
      </c>
      <c r="I8266">
        <v>4697.26</v>
      </c>
      <c r="J8266" t="s">
        <v>22</v>
      </c>
      <c r="K8266" t="s">
        <v>23</v>
      </c>
      <c r="L8266">
        <f t="shared" si="387"/>
        <v>2022</v>
      </c>
      <c r="M8266" t="str">
        <f t="shared" si="388"/>
        <v>Aug</v>
      </c>
      <c r="N8266" s="2">
        <f t="shared" si="389"/>
        <v>0.23919457455053567</v>
      </c>
    </row>
    <row r="8267" spans="1:14" x14ac:dyDescent="0.45">
      <c r="A8267" t="s">
        <v>13735</v>
      </c>
      <c r="B8267" s="1">
        <v>44595</v>
      </c>
      <c r="C8267" t="s">
        <v>13736</v>
      </c>
      <c r="D8267" t="s">
        <v>56</v>
      </c>
      <c r="E8267" t="s">
        <v>36</v>
      </c>
      <c r="F8267" t="s">
        <v>64</v>
      </c>
      <c r="G8267">
        <v>5</v>
      </c>
      <c r="H8267">
        <v>1693.83</v>
      </c>
      <c r="I8267">
        <v>115.26</v>
      </c>
      <c r="J8267" t="s">
        <v>47</v>
      </c>
      <c r="K8267" t="s">
        <v>23</v>
      </c>
      <c r="L8267">
        <f t="shared" si="387"/>
        <v>2022</v>
      </c>
      <c r="M8267" t="str">
        <f t="shared" si="388"/>
        <v>Feb</v>
      </c>
      <c r="N8267" s="2">
        <f t="shared" si="389"/>
        <v>6.804697047519527E-2</v>
      </c>
    </row>
    <row r="8268" spans="1:14" x14ac:dyDescent="0.45">
      <c r="A8268" t="s">
        <v>13737</v>
      </c>
      <c r="B8268" s="1">
        <v>45594</v>
      </c>
      <c r="C8268" t="s">
        <v>13738</v>
      </c>
      <c r="D8268" t="s">
        <v>56</v>
      </c>
      <c r="E8268" t="s">
        <v>14</v>
      </c>
      <c r="F8268" t="s">
        <v>57</v>
      </c>
      <c r="G8268">
        <v>2</v>
      </c>
      <c r="H8268">
        <v>44636.55</v>
      </c>
      <c r="I8268">
        <v>3913.16</v>
      </c>
      <c r="J8268" t="s">
        <v>47</v>
      </c>
      <c r="K8268" t="s">
        <v>29</v>
      </c>
      <c r="L8268">
        <f t="shared" si="387"/>
        <v>2024</v>
      </c>
      <c r="M8268" t="str">
        <f t="shared" si="388"/>
        <v>Oct</v>
      </c>
      <c r="N8268" s="2">
        <f t="shared" si="389"/>
        <v>8.7667169617723584E-2</v>
      </c>
    </row>
    <row r="8269" spans="1:14" x14ac:dyDescent="0.45">
      <c r="A8269" t="s">
        <v>13739</v>
      </c>
      <c r="B8269" s="1">
        <v>45427</v>
      </c>
      <c r="C8269" t="s">
        <v>13571</v>
      </c>
      <c r="D8269" t="s">
        <v>26</v>
      </c>
      <c r="E8269" t="s">
        <v>36</v>
      </c>
      <c r="F8269" t="s">
        <v>37</v>
      </c>
      <c r="G8269">
        <v>5</v>
      </c>
      <c r="H8269">
        <v>21982.76</v>
      </c>
      <c r="I8269">
        <v>1604.19</v>
      </c>
      <c r="J8269" t="s">
        <v>16</v>
      </c>
      <c r="K8269" t="s">
        <v>29</v>
      </c>
      <c r="L8269">
        <f t="shared" si="387"/>
        <v>2024</v>
      </c>
      <c r="M8269" t="str">
        <f t="shared" si="388"/>
        <v>May</v>
      </c>
      <c r="N8269" s="2">
        <f t="shared" si="389"/>
        <v>7.2974913068240763E-2</v>
      </c>
    </row>
    <row r="8270" spans="1:14" x14ac:dyDescent="0.45">
      <c r="A8270" t="s">
        <v>13740</v>
      </c>
      <c r="B8270" s="1">
        <v>45322</v>
      </c>
      <c r="C8270" t="s">
        <v>13741</v>
      </c>
      <c r="D8270" t="s">
        <v>26</v>
      </c>
      <c r="E8270" t="s">
        <v>14</v>
      </c>
      <c r="F8270" t="s">
        <v>32</v>
      </c>
      <c r="G8270">
        <v>5</v>
      </c>
      <c r="H8270">
        <v>10471.66</v>
      </c>
      <c r="I8270">
        <v>2369.7399999999998</v>
      </c>
      <c r="J8270" t="s">
        <v>22</v>
      </c>
      <c r="K8270" t="s">
        <v>29</v>
      </c>
      <c r="L8270">
        <f t="shared" si="387"/>
        <v>2024</v>
      </c>
      <c r="M8270" t="str">
        <f t="shared" si="388"/>
        <v>Jan</v>
      </c>
      <c r="N8270" s="2">
        <f t="shared" si="389"/>
        <v>0.22630031914710752</v>
      </c>
    </row>
    <row r="8271" spans="1:14" x14ac:dyDescent="0.45">
      <c r="A8271" t="s">
        <v>13742</v>
      </c>
      <c r="B8271" s="1">
        <v>45531</v>
      </c>
      <c r="C8271" t="s">
        <v>3876</v>
      </c>
      <c r="D8271" t="s">
        <v>26</v>
      </c>
      <c r="E8271" t="s">
        <v>20</v>
      </c>
      <c r="F8271" t="s">
        <v>21</v>
      </c>
      <c r="G8271">
        <v>2</v>
      </c>
      <c r="H8271">
        <v>37104.49</v>
      </c>
      <c r="I8271">
        <v>5024.8900000000003</v>
      </c>
      <c r="J8271" t="s">
        <v>22</v>
      </c>
      <c r="K8271" t="s">
        <v>33</v>
      </c>
      <c r="L8271">
        <f t="shared" si="387"/>
        <v>2024</v>
      </c>
      <c r="M8271" t="str">
        <f t="shared" si="388"/>
        <v>Aug</v>
      </c>
      <c r="N8271" s="2">
        <f t="shared" si="389"/>
        <v>0.13542538921839381</v>
      </c>
    </row>
    <row r="8272" spans="1:14" x14ac:dyDescent="0.45">
      <c r="A8272" t="s">
        <v>13743</v>
      </c>
      <c r="B8272" s="1">
        <v>44670</v>
      </c>
      <c r="C8272" t="s">
        <v>13744</v>
      </c>
      <c r="D8272" t="s">
        <v>26</v>
      </c>
      <c r="E8272" t="s">
        <v>14</v>
      </c>
      <c r="F8272" t="s">
        <v>40</v>
      </c>
      <c r="G8272">
        <v>4</v>
      </c>
      <c r="H8272">
        <v>43684.21</v>
      </c>
      <c r="I8272">
        <v>4205.6400000000003</v>
      </c>
      <c r="J8272" t="s">
        <v>71</v>
      </c>
      <c r="K8272" t="s">
        <v>23</v>
      </c>
      <c r="L8272">
        <f t="shared" si="387"/>
        <v>2022</v>
      </c>
      <c r="M8272" t="str">
        <f t="shared" si="388"/>
        <v>Apr</v>
      </c>
      <c r="N8272" s="2">
        <f t="shared" si="389"/>
        <v>9.6273687906911917E-2</v>
      </c>
    </row>
    <row r="8273" spans="1:14" x14ac:dyDescent="0.45">
      <c r="A8273" t="s">
        <v>13745</v>
      </c>
      <c r="B8273" s="1">
        <v>45164</v>
      </c>
      <c r="C8273" t="s">
        <v>13746</v>
      </c>
      <c r="D8273" t="s">
        <v>56</v>
      </c>
      <c r="E8273" t="s">
        <v>36</v>
      </c>
      <c r="F8273" t="s">
        <v>46</v>
      </c>
      <c r="G8273">
        <v>2</v>
      </c>
      <c r="H8273">
        <v>14533.08</v>
      </c>
      <c r="I8273">
        <v>3203.97</v>
      </c>
      <c r="J8273" t="s">
        <v>16</v>
      </c>
      <c r="K8273" t="s">
        <v>29</v>
      </c>
      <c r="L8273">
        <f t="shared" si="387"/>
        <v>2023</v>
      </c>
      <c r="M8273" t="str">
        <f t="shared" si="388"/>
        <v>Aug</v>
      </c>
      <c r="N8273" s="2">
        <f t="shared" si="389"/>
        <v>0.22046049426549635</v>
      </c>
    </row>
    <row r="8274" spans="1:14" x14ac:dyDescent="0.45">
      <c r="A8274" t="s">
        <v>13747</v>
      </c>
      <c r="B8274" s="1">
        <v>45441</v>
      </c>
      <c r="C8274" t="s">
        <v>13748</v>
      </c>
      <c r="D8274" t="s">
        <v>26</v>
      </c>
      <c r="E8274" t="s">
        <v>14</v>
      </c>
      <c r="F8274" t="s">
        <v>15</v>
      </c>
      <c r="G8274">
        <v>5</v>
      </c>
      <c r="H8274">
        <v>33313.360000000001</v>
      </c>
      <c r="I8274">
        <v>1982.57</v>
      </c>
      <c r="J8274" t="s">
        <v>28</v>
      </c>
      <c r="K8274" t="s">
        <v>33</v>
      </c>
      <c r="L8274">
        <f t="shared" si="387"/>
        <v>2024</v>
      </c>
      <c r="M8274" t="str">
        <f t="shared" si="388"/>
        <v>May</v>
      </c>
      <c r="N8274" s="2">
        <f t="shared" si="389"/>
        <v>5.951276004581945E-2</v>
      </c>
    </row>
    <row r="8275" spans="1:14" x14ac:dyDescent="0.45">
      <c r="A8275" t="s">
        <v>13749</v>
      </c>
      <c r="B8275" s="1">
        <v>45582</v>
      </c>
      <c r="C8275" t="s">
        <v>13750</v>
      </c>
      <c r="D8275" t="s">
        <v>26</v>
      </c>
      <c r="E8275" t="s">
        <v>14</v>
      </c>
      <c r="F8275" t="s">
        <v>15</v>
      </c>
      <c r="G8275">
        <v>5</v>
      </c>
      <c r="H8275">
        <v>1557.81</v>
      </c>
      <c r="I8275">
        <v>242.65</v>
      </c>
      <c r="J8275" t="s">
        <v>16</v>
      </c>
      <c r="K8275" t="s">
        <v>33</v>
      </c>
      <c r="L8275">
        <f t="shared" si="387"/>
        <v>2024</v>
      </c>
      <c r="M8275" t="str">
        <f t="shared" si="388"/>
        <v>Oct</v>
      </c>
      <c r="N8275" s="2">
        <f t="shared" si="389"/>
        <v>0.15576353984118732</v>
      </c>
    </row>
    <row r="8276" spans="1:14" x14ac:dyDescent="0.45">
      <c r="A8276" t="s">
        <v>13751</v>
      </c>
      <c r="B8276" s="1">
        <v>45134</v>
      </c>
      <c r="C8276" t="s">
        <v>4983</v>
      </c>
      <c r="D8276" t="s">
        <v>13</v>
      </c>
      <c r="E8276" t="s">
        <v>20</v>
      </c>
      <c r="F8276" t="s">
        <v>50</v>
      </c>
      <c r="G8276">
        <v>5</v>
      </c>
      <c r="H8276">
        <v>4183.55</v>
      </c>
      <c r="I8276">
        <v>293.29000000000002</v>
      </c>
      <c r="J8276" t="s">
        <v>28</v>
      </c>
      <c r="K8276" t="s">
        <v>29</v>
      </c>
      <c r="L8276">
        <f t="shared" si="387"/>
        <v>2023</v>
      </c>
      <c r="M8276" t="str">
        <f t="shared" si="388"/>
        <v>Jul</v>
      </c>
      <c r="N8276" s="2">
        <f t="shared" si="389"/>
        <v>7.0105532382784955E-2</v>
      </c>
    </row>
    <row r="8277" spans="1:14" x14ac:dyDescent="0.45">
      <c r="A8277" t="s">
        <v>13752</v>
      </c>
      <c r="B8277" s="1">
        <v>45628</v>
      </c>
      <c r="C8277" t="s">
        <v>9045</v>
      </c>
      <c r="D8277" t="s">
        <v>26</v>
      </c>
      <c r="E8277" t="s">
        <v>14</v>
      </c>
      <c r="F8277" t="s">
        <v>40</v>
      </c>
      <c r="G8277">
        <v>5</v>
      </c>
      <c r="H8277">
        <v>22522.720000000001</v>
      </c>
      <c r="I8277">
        <v>4238.2299999999996</v>
      </c>
      <c r="J8277" t="s">
        <v>71</v>
      </c>
      <c r="K8277" t="s">
        <v>17</v>
      </c>
      <c r="L8277">
        <f t="shared" si="387"/>
        <v>2024</v>
      </c>
      <c r="M8277" t="str">
        <f t="shared" si="388"/>
        <v>Dec</v>
      </c>
      <c r="N8277" s="2">
        <f t="shared" si="389"/>
        <v>0.1881757620749181</v>
      </c>
    </row>
    <row r="8278" spans="1:14" x14ac:dyDescent="0.45">
      <c r="A8278" t="s">
        <v>13753</v>
      </c>
      <c r="B8278" s="1">
        <v>45037</v>
      </c>
      <c r="C8278" t="s">
        <v>1482</v>
      </c>
      <c r="D8278" t="s">
        <v>26</v>
      </c>
      <c r="E8278" t="s">
        <v>14</v>
      </c>
      <c r="F8278" t="s">
        <v>32</v>
      </c>
      <c r="G8278">
        <v>3</v>
      </c>
      <c r="H8278">
        <v>24754.31</v>
      </c>
      <c r="I8278">
        <v>3749.42</v>
      </c>
      <c r="J8278" t="s">
        <v>16</v>
      </c>
      <c r="K8278" t="s">
        <v>23</v>
      </c>
      <c r="L8278">
        <f t="shared" si="387"/>
        <v>2023</v>
      </c>
      <c r="M8278" t="str">
        <f t="shared" si="388"/>
        <v>Apr</v>
      </c>
      <c r="N8278" s="2">
        <f t="shared" si="389"/>
        <v>0.1514653407830798</v>
      </c>
    </row>
    <row r="8279" spans="1:14" x14ac:dyDescent="0.45">
      <c r="A8279" t="s">
        <v>13754</v>
      </c>
      <c r="B8279" s="1">
        <v>44842</v>
      </c>
      <c r="C8279" t="s">
        <v>1824</v>
      </c>
      <c r="D8279" t="s">
        <v>56</v>
      </c>
      <c r="E8279" t="s">
        <v>20</v>
      </c>
      <c r="F8279" t="s">
        <v>27</v>
      </c>
      <c r="G8279">
        <v>5</v>
      </c>
      <c r="H8279">
        <v>6707.85</v>
      </c>
      <c r="I8279">
        <v>373.75</v>
      </c>
      <c r="J8279" t="s">
        <v>28</v>
      </c>
      <c r="K8279" t="s">
        <v>33</v>
      </c>
      <c r="L8279">
        <f t="shared" si="387"/>
        <v>2022</v>
      </c>
      <c r="M8279" t="str">
        <f t="shared" si="388"/>
        <v>Oct</v>
      </c>
      <c r="N8279" s="2">
        <f t="shared" si="389"/>
        <v>5.5718300200511335E-2</v>
      </c>
    </row>
    <row r="8280" spans="1:14" x14ac:dyDescent="0.45">
      <c r="A8280" t="s">
        <v>13755</v>
      </c>
      <c r="B8280" s="1">
        <v>45034</v>
      </c>
      <c r="C8280" t="s">
        <v>13756</v>
      </c>
      <c r="D8280" t="s">
        <v>13</v>
      </c>
      <c r="E8280" t="s">
        <v>36</v>
      </c>
      <c r="F8280" t="s">
        <v>53</v>
      </c>
      <c r="G8280">
        <v>3</v>
      </c>
      <c r="H8280">
        <v>46677.71</v>
      </c>
      <c r="I8280">
        <v>2566.37</v>
      </c>
      <c r="J8280" t="s">
        <v>47</v>
      </c>
      <c r="K8280" t="s">
        <v>33</v>
      </c>
      <c r="L8280">
        <f t="shared" si="387"/>
        <v>2023</v>
      </c>
      <c r="M8280" t="str">
        <f t="shared" si="388"/>
        <v>Apr</v>
      </c>
      <c r="N8280" s="2">
        <f t="shared" si="389"/>
        <v>5.4980632083279149E-2</v>
      </c>
    </row>
    <row r="8281" spans="1:14" x14ac:dyDescent="0.45">
      <c r="A8281" t="s">
        <v>13757</v>
      </c>
      <c r="B8281" s="1">
        <v>45542</v>
      </c>
      <c r="C8281" t="s">
        <v>13758</v>
      </c>
      <c r="D8281" t="s">
        <v>13</v>
      </c>
      <c r="E8281" t="s">
        <v>36</v>
      </c>
      <c r="F8281" t="s">
        <v>37</v>
      </c>
      <c r="G8281">
        <v>5</v>
      </c>
      <c r="H8281">
        <v>39906.75</v>
      </c>
      <c r="I8281">
        <v>4252.6000000000004</v>
      </c>
      <c r="J8281" t="s">
        <v>16</v>
      </c>
      <c r="K8281" t="s">
        <v>33</v>
      </c>
      <c r="L8281">
        <f t="shared" si="387"/>
        <v>2024</v>
      </c>
      <c r="M8281" t="str">
        <f t="shared" si="388"/>
        <v>Sep</v>
      </c>
      <c r="N8281" s="2">
        <f t="shared" si="389"/>
        <v>0.10656342598683181</v>
      </c>
    </row>
    <row r="8282" spans="1:14" x14ac:dyDescent="0.45">
      <c r="A8282" t="s">
        <v>13759</v>
      </c>
      <c r="B8282" s="1">
        <v>45364</v>
      </c>
      <c r="C8282" t="s">
        <v>13760</v>
      </c>
      <c r="D8282" t="s">
        <v>56</v>
      </c>
      <c r="E8282" t="s">
        <v>20</v>
      </c>
      <c r="F8282" t="s">
        <v>50</v>
      </c>
      <c r="G8282">
        <v>3</v>
      </c>
      <c r="H8282">
        <v>2377.6999999999998</v>
      </c>
      <c r="I8282">
        <v>265.63</v>
      </c>
      <c r="J8282" t="s">
        <v>28</v>
      </c>
      <c r="K8282" t="s">
        <v>29</v>
      </c>
      <c r="L8282">
        <f t="shared" si="387"/>
        <v>2024</v>
      </c>
      <c r="M8282" t="str">
        <f t="shared" si="388"/>
        <v>Mar</v>
      </c>
      <c r="N8282" s="2">
        <f t="shared" si="389"/>
        <v>0.11171720570299029</v>
      </c>
    </row>
    <row r="8283" spans="1:14" x14ac:dyDescent="0.45">
      <c r="A8283" t="s">
        <v>13761</v>
      </c>
      <c r="B8283" s="1">
        <v>44968</v>
      </c>
      <c r="C8283" t="s">
        <v>4317</v>
      </c>
      <c r="D8283" t="s">
        <v>13</v>
      </c>
      <c r="E8283" t="s">
        <v>14</v>
      </c>
      <c r="F8283" t="s">
        <v>40</v>
      </c>
      <c r="G8283">
        <v>1</v>
      </c>
      <c r="H8283">
        <v>13411.98</v>
      </c>
      <c r="I8283">
        <v>2121.5</v>
      </c>
      <c r="J8283" t="s">
        <v>28</v>
      </c>
      <c r="K8283" t="s">
        <v>29</v>
      </c>
      <c r="L8283">
        <f t="shared" si="387"/>
        <v>2023</v>
      </c>
      <c r="M8283" t="str">
        <f t="shared" si="388"/>
        <v>Feb</v>
      </c>
      <c r="N8283" s="2">
        <f t="shared" si="389"/>
        <v>0.15817947834697041</v>
      </c>
    </row>
    <row r="8284" spans="1:14" x14ac:dyDescent="0.45">
      <c r="A8284" t="s">
        <v>13762</v>
      </c>
      <c r="B8284" s="1">
        <v>44807</v>
      </c>
      <c r="C8284" t="s">
        <v>13763</v>
      </c>
      <c r="D8284" t="s">
        <v>56</v>
      </c>
      <c r="E8284" t="s">
        <v>36</v>
      </c>
      <c r="F8284" t="s">
        <v>46</v>
      </c>
      <c r="G8284">
        <v>1</v>
      </c>
      <c r="H8284">
        <v>11662.75</v>
      </c>
      <c r="I8284">
        <v>1904.96</v>
      </c>
      <c r="J8284" t="s">
        <v>28</v>
      </c>
      <c r="K8284" t="s">
        <v>23</v>
      </c>
      <c r="L8284">
        <f t="shared" si="387"/>
        <v>2022</v>
      </c>
      <c r="M8284" t="str">
        <f t="shared" si="388"/>
        <v>Sep</v>
      </c>
      <c r="N8284" s="2">
        <f t="shared" si="389"/>
        <v>0.16333712031896422</v>
      </c>
    </row>
    <row r="8285" spans="1:14" x14ac:dyDescent="0.45">
      <c r="A8285" t="s">
        <v>13764</v>
      </c>
      <c r="B8285" s="1">
        <v>45401</v>
      </c>
      <c r="C8285" t="s">
        <v>5654</v>
      </c>
      <c r="D8285" t="s">
        <v>56</v>
      </c>
      <c r="E8285" t="s">
        <v>14</v>
      </c>
      <c r="F8285" t="s">
        <v>15</v>
      </c>
      <c r="G8285">
        <v>4</v>
      </c>
      <c r="H8285">
        <v>34758</v>
      </c>
      <c r="I8285">
        <v>3652.27</v>
      </c>
      <c r="J8285" t="s">
        <v>47</v>
      </c>
      <c r="K8285" t="s">
        <v>17</v>
      </c>
      <c r="L8285">
        <f t="shared" si="387"/>
        <v>2024</v>
      </c>
      <c r="M8285" t="str">
        <f t="shared" si="388"/>
        <v>Apr</v>
      </c>
      <c r="N8285" s="2">
        <f t="shared" si="389"/>
        <v>0.10507710455147017</v>
      </c>
    </row>
    <row r="8286" spans="1:14" x14ac:dyDescent="0.45">
      <c r="A8286" t="s">
        <v>13765</v>
      </c>
      <c r="B8286" s="1">
        <v>44616</v>
      </c>
      <c r="C8286" t="s">
        <v>883</v>
      </c>
      <c r="D8286" t="s">
        <v>13</v>
      </c>
      <c r="E8286" t="s">
        <v>36</v>
      </c>
      <c r="F8286" t="s">
        <v>53</v>
      </c>
      <c r="G8286">
        <v>3</v>
      </c>
      <c r="H8286">
        <v>46469.36</v>
      </c>
      <c r="I8286">
        <v>8755.5499999999993</v>
      </c>
      <c r="J8286" t="s">
        <v>28</v>
      </c>
      <c r="K8286" t="s">
        <v>17</v>
      </c>
      <c r="L8286">
        <f t="shared" si="387"/>
        <v>2022</v>
      </c>
      <c r="M8286" t="str">
        <f t="shared" si="388"/>
        <v>Feb</v>
      </c>
      <c r="N8286" s="2">
        <f t="shared" si="389"/>
        <v>0.18841554951477704</v>
      </c>
    </row>
    <row r="8287" spans="1:14" x14ac:dyDescent="0.45">
      <c r="A8287" t="s">
        <v>13766</v>
      </c>
      <c r="B8287" s="1">
        <v>44759</v>
      </c>
      <c r="C8287" t="s">
        <v>13767</v>
      </c>
      <c r="D8287" t="s">
        <v>13</v>
      </c>
      <c r="E8287" t="s">
        <v>20</v>
      </c>
      <c r="F8287" t="s">
        <v>21</v>
      </c>
      <c r="G8287">
        <v>3</v>
      </c>
      <c r="H8287">
        <v>33451.5</v>
      </c>
      <c r="I8287">
        <v>4391.84</v>
      </c>
      <c r="J8287" t="s">
        <v>16</v>
      </c>
      <c r="K8287" t="s">
        <v>33</v>
      </c>
      <c r="L8287">
        <f t="shared" si="387"/>
        <v>2022</v>
      </c>
      <c r="M8287" t="str">
        <f t="shared" si="388"/>
        <v>Jul</v>
      </c>
      <c r="N8287" s="2">
        <f t="shared" si="389"/>
        <v>0.13128977773791908</v>
      </c>
    </row>
    <row r="8288" spans="1:14" x14ac:dyDescent="0.45">
      <c r="A8288" t="s">
        <v>13768</v>
      </c>
      <c r="B8288" s="1">
        <v>45560</v>
      </c>
      <c r="C8288" t="s">
        <v>5416</v>
      </c>
      <c r="D8288" t="s">
        <v>13</v>
      </c>
      <c r="E8288" t="s">
        <v>36</v>
      </c>
      <c r="F8288" t="s">
        <v>64</v>
      </c>
      <c r="G8288">
        <v>4</v>
      </c>
      <c r="H8288">
        <v>26040.2</v>
      </c>
      <c r="I8288">
        <v>5193.59</v>
      </c>
      <c r="J8288" t="s">
        <v>28</v>
      </c>
      <c r="K8288" t="s">
        <v>23</v>
      </c>
      <c r="L8288">
        <f t="shared" si="387"/>
        <v>2024</v>
      </c>
      <c r="M8288" t="str">
        <f t="shared" si="388"/>
        <v>Sep</v>
      </c>
      <c r="N8288" s="2">
        <f t="shared" si="389"/>
        <v>0.19944508874739825</v>
      </c>
    </row>
    <row r="8289" spans="1:14" x14ac:dyDescent="0.45">
      <c r="A8289" t="s">
        <v>13769</v>
      </c>
      <c r="B8289" s="1">
        <v>45234</v>
      </c>
      <c r="C8289" t="s">
        <v>7719</v>
      </c>
      <c r="D8289" t="s">
        <v>56</v>
      </c>
      <c r="E8289" t="s">
        <v>20</v>
      </c>
      <c r="F8289" t="s">
        <v>43</v>
      </c>
      <c r="G8289">
        <v>1</v>
      </c>
      <c r="H8289">
        <v>44888.79</v>
      </c>
      <c r="I8289">
        <v>5891.98</v>
      </c>
      <c r="J8289" t="s">
        <v>71</v>
      </c>
      <c r="K8289" t="s">
        <v>29</v>
      </c>
      <c r="L8289">
        <f t="shared" si="387"/>
        <v>2023</v>
      </c>
      <c r="M8289" t="str">
        <f t="shared" si="388"/>
        <v>Nov</v>
      </c>
      <c r="N8289" s="2">
        <f t="shared" si="389"/>
        <v>0.13125726935388546</v>
      </c>
    </row>
    <row r="8290" spans="1:14" x14ac:dyDescent="0.45">
      <c r="A8290" t="s">
        <v>13770</v>
      </c>
      <c r="B8290" s="1">
        <v>44746</v>
      </c>
      <c r="C8290" t="s">
        <v>5437</v>
      </c>
      <c r="D8290" t="s">
        <v>26</v>
      </c>
      <c r="E8290" t="s">
        <v>36</v>
      </c>
      <c r="F8290" t="s">
        <v>46</v>
      </c>
      <c r="G8290">
        <v>3</v>
      </c>
      <c r="H8290">
        <v>23076.639999999999</v>
      </c>
      <c r="I8290">
        <v>1720.33</v>
      </c>
      <c r="J8290" t="s">
        <v>16</v>
      </c>
      <c r="K8290" t="s">
        <v>33</v>
      </c>
      <c r="L8290">
        <f t="shared" si="387"/>
        <v>2022</v>
      </c>
      <c r="M8290" t="str">
        <f t="shared" si="388"/>
        <v>Jul</v>
      </c>
      <c r="N8290" s="2">
        <f t="shared" si="389"/>
        <v>7.4548547795519629E-2</v>
      </c>
    </row>
    <row r="8291" spans="1:14" x14ac:dyDescent="0.45">
      <c r="A8291" t="s">
        <v>13771</v>
      </c>
      <c r="B8291" s="1">
        <v>44794</v>
      </c>
      <c r="C8291" t="s">
        <v>13772</v>
      </c>
      <c r="D8291" t="s">
        <v>26</v>
      </c>
      <c r="E8291" t="s">
        <v>36</v>
      </c>
      <c r="F8291" t="s">
        <v>64</v>
      </c>
      <c r="G8291">
        <v>2</v>
      </c>
      <c r="H8291">
        <v>40745.82</v>
      </c>
      <c r="I8291">
        <v>9650.7900000000009</v>
      </c>
      <c r="J8291" t="s">
        <v>16</v>
      </c>
      <c r="K8291" t="s">
        <v>29</v>
      </c>
      <c r="L8291">
        <f t="shared" si="387"/>
        <v>2022</v>
      </c>
      <c r="M8291" t="str">
        <f t="shared" si="388"/>
        <v>Aug</v>
      </c>
      <c r="N8291" s="2">
        <f t="shared" si="389"/>
        <v>0.23685349810115494</v>
      </c>
    </row>
    <row r="8292" spans="1:14" x14ac:dyDescent="0.45">
      <c r="A8292" t="s">
        <v>13773</v>
      </c>
      <c r="B8292" s="1">
        <v>45314</v>
      </c>
      <c r="C8292" t="s">
        <v>13774</v>
      </c>
      <c r="D8292" t="s">
        <v>26</v>
      </c>
      <c r="E8292" t="s">
        <v>14</v>
      </c>
      <c r="F8292" t="s">
        <v>32</v>
      </c>
      <c r="G8292">
        <v>5</v>
      </c>
      <c r="H8292">
        <v>39002.6</v>
      </c>
      <c r="I8292">
        <v>7118.87</v>
      </c>
      <c r="J8292" t="s">
        <v>47</v>
      </c>
      <c r="K8292" t="s">
        <v>17</v>
      </c>
      <c r="L8292">
        <f t="shared" si="387"/>
        <v>2024</v>
      </c>
      <c r="M8292" t="str">
        <f t="shared" si="388"/>
        <v>Jan</v>
      </c>
      <c r="N8292" s="2">
        <f t="shared" si="389"/>
        <v>0.18252296000779436</v>
      </c>
    </row>
    <row r="8293" spans="1:14" x14ac:dyDescent="0.45">
      <c r="A8293" t="s">
        <v>13775</v>
      </c>
      <c r="B8293" s="1">
        <v>45364</v>
      </c>
      <c r="C8293" t="s">
        <v>9168</v>
      </c>
      <c r="D8293" t="s">
        <v>26</v>
      </c>
      <c r="E8293" t="s">
        <v>36</v>
      </c>
      <c r="F8293" t="s">
        <v>37</v>
      </c>
      <c r="G8293">
        <v>4</v>
      </c>
      <c r="H8293">
        <v>11316.95</v>
      </c>
      <c r="I8293">
        <v>867.89</v>
      </c>
      <c r="J8293" t="s">
        <v>47</v>
      </c>
      <c r="K8293" t="s">
        <v>33</v>
      </c>
      <c r="L8293">
        <f t="shared" si="387"/>
        <v>2024</v>
      </c>
      <c r="M8293" t="str">
        <f t="shared" si="388"/>
        <v>Mar</v>
      </c>
      <c r="N8293" s="2">
        <f t="shared" si="389"/>
        <v>7.6689390692721973E-2</v>
      </c>
    </row>
    <row r="8294" spans="1:14" x14ac:dyDescent="0.45">
      <c r="A8294" t="s">
        <v>13776</v>
      </c>
      <c r="B8294" s="1">
        <v>44650</v>
      </c>
      <c r="C8294" t="s">
        <v>13777</v>
      </c>
      <c r="D8294" t="s">
        <v>56</v>
      </c>
      <c r="E8294" t="s">
        <v>20</v>
      </c>
      <c r="F8294" t="s">
        <v>21</v>
      </c>
      <c r="G8294">
        <v>4</v>
      </c>
      <c r="H8294">
        <v>12046.84</v>
      </c>
      <c r="I8294">
        <v>2934.1</v>
      </c>
      <c r="J8294" t="s">
        <v>71</v>
      </c>
      <c r="K8294" t="s">
        <v>29</v>
      </c>
      <c r="L8294">
        <f t="shared" si="387"/>
        <v>2022</v>
      </c>
      <c r="M8294" t="str">
        <f t="shared" si="388"/>
        <v>Mar</v>
      </c>
      <c r="N8294" s="2">
        <f t="shared" si="389"/>
        <v>0.24355764665256613</v>
      </c>
    </row>
    <row r="8295" spans="1:14" x14ac:dyDescent="0.45">
      <c r="A8295" t="s">
        <v>13778</v>
      </c>
      <c r="B8295" s="1">
        <v>45448</v>
      </c>
      <c r="C8295" t="s">
        <v>7995</v>
      </c>
      <c r="D8295" t="s">
        <v>26</v>
      </c>
      <c r="E8295" t="s">
        <v>20</v>
      </c>
      <c r="F8295" t="s">
        <v>43</v>
      </c>
      <c r="G8295">
        <v>1</v>
      </c>
      <c r="H8295">
        <v>36678.21</v>
      </c>
      <c r="I8295">
        <v>3483.32</v>
      </c>
      <c r="J8295" t="s">
        <v>28</v>
      </c>
      <c r="K8295" t="s">
        <v>29</v>
      </c>
      <c r="L8295">
        <f t="shared" si="387"/>
        <v>2024</v>
      </c>
      <c r="M8295" t="str">
        <f t="shared" si="388"/>
        <v>Jun</v>
      </c>
      <c r="N8295" s="2">
        <f t="shared" si="389"/>
        <v>9.4969738163340034E-2</v>
      </c>
    </row>
    <row r="8296" spans="1:14" x14ac:dyDescent="0.45">
      <c r="A8296" t="s">
        <v>13779</v>
      </c>
      <c r="B8296" s="1">
        <v>45460</v>
      </c>
      <c r="C8296" t="s">
        <v>8897</v>
      </c>
      <c r="D8296" t="s">
        <v>26</v>
      </c>
      <c r="E8296" t="s">
        <v>20</v>
      </c>
      <c r="F8296" t="s">
        <v>27</v>
      </c>
      <c r="G8296">
        <v>5</v>
      </c>
      <c r="H8296">
        <v>40512.93</v>
      </c>
      <c r="I8296">
        <v>5157.29</v>
      </c>
      <c r="J8296" t="s">
        <v>16</v>
      </c>
      <c r="K8296" t="s">
        <v>17</v>
      </c>
      <c r="L8296">
        <f t="shared" si="387"/>
        <v>2024</v>
      </c>
      <c r="M8296" t="str">
        <f t="shared" si="388"/>
        <v>Jun</v>
      </c>
      <c r="N8296" s="2">
        <f t="shared" si="389"/>
        <v>0.12729985217065268</v>
      </c>
    </row>
    <row r="8297" spans="1:14" x14ac:dyDescent="0.45">
      <c r="A8297" t="s">
        <v>13780</v>
      </c>
      <c r="B8297" s="1">
        <v>45432</v>
      </c>
      <c r="C8297" t="s">
        <v>13781</v>
      </c>
      <c r="D8297" t="s">
        <v>26</v>
      </c>
      <c r="E8297" t="s">
        <v>14</v>
      </c>
      <c r="F8297" t="s">
        <v>15</v>
      </c>
      <c r="G8297">
        <v>3</v>
      </c>
      <c r="H8297">
        <v>30353.73</v>
      </c>
      <c r="I8297">
        <v>2640.84</v>
      </c>
      <c r="J8297" t="s">
        <v>71</v>
      </c>
      <c r="K8297" t="s">
        <v>33</v>
      </c>
      <c r="L8297">
        <f t="shared" si="387"/>
        <v>2024</v>
      </c>
      <c r="M8297" t="str">
        <f t="shared" si="388"/>
        <v>May</v>
      </c>
      <c r="N8297" s="2">
        <f t="shared" si="389"/>
        <v>8.7002157560207599E-2</v>
      </c>
    </row>
    <row r="8298" spans="1:14" x14ac:dyDescent="0.45">
      <c r="A8298" t="s">
        <v>13782</v>
      </c>
      <c r="B8298" s="1">
        <v>44661</v>
      </c>
      <c r="C8298" t="s">
        <v>13783</v>
      </c>
      <c r="D8298" t="s">
        <v>13</v>
      </c>
      <c r="E8298" t="s">
        <v>36</v>
      </c>
      <c r="F8298" t="s">
        <v>64</v>
      </c>
      <c r="G8298">
        <v>3</v>
      </c>
      <c r="H8298">
        <v>13078.78</v>
      </c>
      <c r="I8298">
        <v>2272.9299999999998</v>
      </c>
      <c r="J8298" t="s">
        <v>47</v>
      </c>
      <c r="K8298" t="s">
        <v>29</v>
      </c>
      <c r="L8298">
        <f t="shared" si="387"/>
        <v>2022</v>
      </c>
      <c r="M8298" t="str">
        <f t="shared" si="388"/>
        <v>Apr</v>
      </c>
      <c r="N8298" s="2">
        <f t="shared" si="389"/>
        <v>0.17378761627613581</v>
      </c>
    </row>
    <row r="8299" spans="1:14" x14ac:dyDescent="0.45">
      <c r="A8299" t="s">
        <v>13784</v>
      </c>
      <c r="B8299" s="1">
        <v>45263</v>
      </c>
      <c r="C8299" t="s">
        <v>13785</v>
      </c>
      <c r="D8299" t="s">
        <v>56</v>
      </c>
      <c r="E8299" t="s">
        <v>36</v>
      </c>
      <c r="F8299" t="s">
        <v>53</v>
      </c>
      <c r="G8299">
        <v>3</v>
      </c>
      <c r="H8299">
        <v>10088.530000000001</v>
      </c>
      <c r="I8299">
        <v>1598.04</v>
      </c>
      <c r="J8299" t="s">
        <v>16</v>
      </c>
      <c r="K8299" t="s">
        <v>33</v>
      </c>
      <c r="L8299">
        <f t="shared" si="387"/>
        <v>2023</v>
      </c>
      <c r="M8299" t="str">
        <f t="shared" si="388"/>
        <v>Dec</v>
      </c>
      <c r="N8299" s="2">
        <f t="shared" si="389"/>
        <v>0.15840167001535405</v>
      </c>
    </row>
    <row r="8300" spans="1:14" x14ac:dyDescent="0.45">
      <c r="A8300" t="s">
        <v>13786</v>
      </c>
      <c r="B8300" s="1">
        <v>45135</v>
      </c>
      <c r="C8300" t="s">
        <v>13787</v>
      </c>
      <c r="D8300" t="s">
        <v>26</v>
      </c>
      <c r="E8300" t="s">
        <v>14</v>
      </c>
      <c r="F8300" t="s">
        <v>32</v>
      </c>
      <c r="G8300">
        <v>3</v>
      </c>
      <c r="H8300">
        <v>12761.8</v>
      </c>
      <c r="I8300">
        <v>820.3</v>
      </c>
      <c r="J8300" t="s">
        <v>47</v>
      </c>
      <c r="K8300" t="s">
        <v>33</v>
      </c>
      <c r="L8300">
        <f t="shared" si="387"/>
        <v>2023</v>
      </c>
      <c r="M8300" t="str">
        <f t="shared" si="388"/>
        <v>Jul</v>
      </c>
      <c r="N8300" s="2">
        <f t="shared" si="389"/>
        <v>6.4277766459276908E-2</v>
      </c>
    </row>
    <row r="8301" spans="1:14" x14ac:dyDescent="0.45">
      <c r="A8301" t="s">
        <v>13788</v>
      </c>
      <c r="B8301" s="1">
        <v>44733</v>
      </c>
      <c r="C8301" t="s">
        <v>5585</v>
      </c>
      <c r="D8301" t="s">
        <v>56</v>
      </c>
      <c r="E8301" t="s">
        <v>20</v>
      </c>
      <c r="F8301" t="s">
        <v>50</v>
      </c>
      <c r="G8301">
        <v>1</v>
      </c>
      <c r="H8301">
        <v>31318.639999999999</v>
      </c>
      <c r="I8301">
        <v>5770.49</v>
      </c>
      <c r="J8301" t="s">
        <v>71</v>
      </c>
      <c r="K8301" t="s">
        <v>17</v>
      </c>
      <c r="L8301">
        <f t="shared" si="387"/>
        <v>2022</v>
      </c>
      <c r="M8301" t="str">
        <f t="shared" si="388"/>
        <v>Jun</v>
      </c>
      <c r="N8301" s="2">
        <f t="shared" si="389"/>
        <v>0.18425097641532326</v>
      </c>
    </row>
    <row r="8302" spans="1:14" x14ac:dyDescent="0.45">
      <c r="A8302" t="s">
        <v>13789</v>
      </c>
      <c r="B8302" s="1">
        <v>45225</v>
      </c>
      <c r="C8302" t="s">
        <v>13790</v>
      </c>
      <c r="D8302" t="s">
        <v>13</v>
      </c>
      <c r="E8302" t="s">
        <v>20</v>
      </c>
      <c r="F8302" t="s">
        <v>43</v>
      </c>
      <c r="G8302">
        <v>4</v>
      </c>
      <c r="H8302">
        <v>43016.88</v>
      </c>
      <c r="I8302">
        <v>10016.64</v>
      </c>
      <c r="J8302" t="s">
        <v>47</v>
      </c>
      <c r="K8302" t="s">
        <v>29</v>
      </c>
      <c r="L8302">
        <f t="shared" si="387"/>
        <v>2023</v>
      </c>
      <c r="M8302" t="str">
        <f t="shared" si="388"/>
        <v>Oct</v>
      </c>
      <c r="N8302" s="2">
        <f t="shared" si="389"/>
        <v>0.23285370766080665</v>
      </c>
    </row>
    <row r="8303" spans="1:14" x14ac:dyDescent="0.45">
      <c r="A8303" t="s">
        <v>13791</v>
      </c>
      <c r="B8303" s="1">
        <v>44716</v>
      </c>
      <c r="C8303" t="s">
        <v>5690</v>
      </c>
      <c r="D8303" t="s">
        <v>56</v>
      </c>
      <c r="E8303" t="s">
        <v>14</v>
      </c>
      <c r="F8303" t="s">
        <v>32</v>
      </c>
      <c r="G8303">
        <v>4</v>
      </c>
      <c r="H8303">
        <v>22072.23</v>
      </c>
      <c r="I8303">
        <v>4637.7299999999996</v>
      </c>
      <c r="J8303" t="s">
        <v>47</v>
      </c>
      <c r="K8303" t="s">
        <v>23</v>
      </c>
      <c r="L8303">
        <f t="shared" si="387"/>
        <v>2022</v>
      </c>
      <c r="M8303" t="str">
        <f t="shared" si="388"/>
        <v>Jun</v>
      </c>
      <c r="N8303" s="2">
        <f t="shared" si="389"/>
        <v>0.21011605986345738</v>
      </c>
    </row>
    <row r="8304" spans="1:14" x14ac:dyDescent="0.45">
      <c r="A8304" t="s">
        <v>13792</v>
      </c>
      <c r="B8304" s="1">
        <v>45341</v>
      </c>
      <c r="C8304" t="s">
        <v>10884</v>
      </c>
      <c r="D8304" t="s">
        <v>56</v>
      </c>
      <c r="E8304" t="s">
        <v>36</v>
      </c>
      <c r="F8304" t="s">
        <v>37</v>
      </c>
      <c r="G8304">
        <v>1</v>
      </c>
      <c r="H8304">
        <v>27945.88</v>
      </c>
      <c r="I8304">
        <v>3932.62</v>
      </c>
      <c r="J8304" t="s">
        <v>47</v>
      </c>
      <c r="K8304" t="s">
        <v>29</v>
      </c>
      <c r="L8304">
        <f t="shared" si="387"/>
        <v>2024</v>
      </c>
      <c r="M8304" t="str">
        <f t="shared" si="388"/>
        <v>Feb</v>
      </c>
      <c r="N8304" s="2">
        <f t="shared" si="389"/>
        <v>0.14072271118318691</v>
      </c>
    </row>
    <row r="8305" spans="1:14" x14ac:dyDescent="0.45">
      <c r="A8305" t="s">
        <v>13793</v>
      </c>
      <c r="B8305" s="1">
        <v>45548</v>
      </c>
      <c r="C8305" t="s">
        <v>13794</v>
      </c>
      <c r="D8305" t="s">
        <v>26</v>
      </c>
      <c r="E8305" t="s">
        <v>14</v>
      </c>
      <c r="F8305" t="s">
        <v>57</v>
      </c>
      <c r="G8305">
        <v>3</v>
      </c>
      <c r="H8305">
        <v>32335.43</v>
      </c>
      <c r="I8305">
        <v>6475.14</v>
      </c>
      <c r="J8305" t="s">
        <v>47</v>
      </c>
      <c r="K8305" t="s">
        <v>23</v>
      </c>
      <c r="L8305">
        <f t="shared" si="387"/>
        <v>2024</v>
      </c>
      <c r="M8305" t="str">
        <f t="shared" si="388"/>
        <v>Sep</v>
      </c>
      <c r="N8305" s="2">
        <f t="shared" si="389"/>
        <v>0.20024907663204108</v>
      </c>
    </row>
    <row r="8306" spans="1:14" x14ac:dyDescent="0.45">
      <c r="A8306" t="s">
        <v>13795</v>
      </c>
      <c r="B8306" s="1">
        <v>45594</v>
      </c>
      <c r="C8306" t="s">
        <v>7977</v>
      </c>
      <c r="D8306" t="s">
        <v>56</v>
      </c>
      <c r="E8306" t="s">
        <v>36</v>
      </c>
      <c r="F8306" t="s">
        <v>64</v>
      </c>
      <c r="G8306">
        <v>2</v>
      </c>
      <c r="H8306">
        <v>10251.450000000001</v>
      </c>
      <c r="I8306">
        <v>1354.68</v>
      </c>
      <c r="J8306" t="s">
        <v>16</v>
      </c>
      <c r="K8306" t="s">
        <v>23</v>
      </c>
      <c r="L8306">
        <f t="shared" si="387"/>
        <v>2024</v>
      </c>
      <c r="M8306" t="str">
        <f t="shared" si="388"/>
        <v>Oct</v>
      </c>
      <c r="N8306" s="2">
        <f t="shared" si="389"/>
        <v>0.13214520872657037</v>
      </c>
    </row>
    <row r="8307" spans="1:14" x14ac:dyDescent="0.45">
      <c r="A8307" t="s">
        <v>13796</v>
      </c>
      <c r="B8307" s="1">
        <v>45600</v>
      </c>
      <c r="C8307" t="s">
        <v>13797</v>
      </c>
      <c r="D8307" t="s">
        <v>13</v>
      </c>
      <c r="E8307" t="s">
        <v>20</v>
      </c>
      <c r="F8307" t="s">
        <v>27</v>
      </c>
      <c r="G8307">
        <v>1</v>
      </c>
      <c r="H8307">
        <v>42876.46</v>
      </c>
      <c r="I8307">
        <v>7668.13</v>
      </c>
      <c r="J8307" t="s">
        <v>22</v>
      </c>
      <c r="K8307" t="s">
        <v>17</v>
      </c>
      <c r="L8307">
        <f t="shared" si="387"/>
        <v>2024</v>
      </c>
      <c r="M8307" t="str">
        <f t="shared" si="388"/>
        <v>Nov</v>
      </c>
      <c r="N8307" s="2">
        <f t="shared" si="389"/>
        <v>0.17884242309183174</v>
      </c>
    </row>
    <row r="8308" spans="1:14" x14ac:dyDescent="0.45">
      <c r="A8308" t="s">
        <v>13798</v>
      </c>
      <c r="B8308" s="1">
        <v>44919</v>
      </c>
      <c r="C8308" t="s">
        <v>12816</v>
      </c>
      <c r="D8308" t="s">
        <v>56</v>
      </c>
      <c r="E8308" t="s">
        <v>36</v>
      </c>
      <c r="F8308" t="s">
        <v>46</v>
      </c>
      <c r="G8308">
        <v>1</v>
      </c>
      <c r="H8308">
        <v>4020.04</v>
      </c>
      <c r="I8308">
        <v>1003.24</v>
      </c>
      <c r="J8308" t="s">
        <v>16</v>
      </c>
      <c r="K8308" t="s">
        <v>33</v>
      </c>
      <c r="L8308">
        <f t="shared" si="387"/>
        <v>2022</v>
      </c>
      <c r="M8308" t="str">
        <f t="shared" si="388"/>
        <v>Dec</v>
      </c>
      <c r="N8308" s="2">
        <f t="shared" si="389"/>
        <v>0.2495597058735734</v>
      </c>
    </row>
    <row r="8309" spans="1:14" x14ac:dyDescent="0.45">
      <c r="A8309" t="s">
        <v>13799</v>
      </c>
      <c r="B8309" s="1">
        <v>45155</v>
      </c>
      <c r="C8309" t="s">
        <v>10525</v>
      </c>
      <c r="D8309" t="s">
        <v>26</v>
      </c>
      <c r="E8309" t="s">
        <v>14</v>
      </c>
      <c r="F8309" t="s">
        <v>57</v>
      </c>
      <c r="G8309">
        <v>3</v>
      </c>
      <c r="H8309">
        <v>10907.88</v>
      </c>
      <c r="I8309">
        <v>1213.71</v>
      </c>
      <c r="J8309" t="s">
        <v>71</v>
      </c>
      <c r="K8309" t="s">
        <v>23</v>
      </c>
      <c r="L8309">
        <f t="shared" si="387"/>
        <v>2023</v>
      </c>
      <c r="M8309" t="str">
        <f t="shared" si="388"/>
        <v>Aug</v>
      </c>
      <c r="N8309" s="2">
        <f t="shared" si="389"/>
        <v>0.11126910087019661</v>
      </c>
    </row>
    <row r="8310" spans="1:14" x14ac:dyDescent="0.45">
      <c r="A8310" t="s">
        <v>13800</v>
      </c>
      <c r="B8310" s="1">
        <v>45521</v>
      </c>
      <c r="C8310" t="s">
        <v>13801</v>
      </c>
      <c r="D8310" t="s">
        <v>56</v>
      </c>
      <c r="E8310" t="s">
        <v>20</v>
      </c>
      <c r="F8310" t="s">
        <v>50</v>
      </c>
      <c r="G8310">
        <v>1</v>
      </c>
      <c r="H8310">
        <v>4828.4799999999996</v>
      </c>
      <c r="I8310">
        <v>739.8</v>
      </c>
      <c r="J8310" t="s">
        <v>47</v>
      </c>
      <c r="K8310" t="s">
        <v>17</v>
      </c>
      <c r="L8310">
        <f t="shared" si="387"/>
        <v>2024</v>
      </c>
      <c r="M8310" t="str">
        <f t="shared" si="388"/>
        <v>Aug</v>
      </c>
      <c r="N8310" s="2">
        <f t="shared" si="389"/>
        <v>0.15321591888130426</v>
      </c>
    </row>
    <row r="8311" spans="1:14" x14ac:dyDescent="0.45">
      <c r="A8311" t="s">
        <v>13802</v>
      </c>
      <c r="B8311" s="1">
        <v>45455</v>
      </c>
      <c r="C8311" t="s">
        <v>347</v>
      </c>
      <c r="D8311" t="s">
        <v>56</v>
      </c>
      <c r="E8311" t="s">
        <v>36</v>
      </c>
      <c r="F8311" t="s">
        <v>64</v>
      </c>
      <c r="G8311">
        <v>1</v>
      </c>
      <c r="H8311">
        <v>31051.360000000001</v>
      </c>
      <c r="I8311">
        <v>3001.03</v>
      </c>
      <c r="J8311" t="s">
        <v>47</v>
      </c>
      <c r="K8311" t="s">
        <v>29</v>
      </c>
      <c r="L8311">
        <f t="shared" si="387"/>
        <v>2024</v>
      </c>
      <c r="M8311" t="str">
        <f t="shared" si="388"/>
        <v>Jun</v>
      </c>
      <c r="N8311" s="2">
        <f t="shared" si="389"/>
        <v>9.6647296607942454E-2</v>
      </c>
    </row>
    <row r="8312" spans="1:14" x14ac:dyDescent="0.45">
      <c r="A8312" t="s">
        <v>13803</v>
      </c>
      <c r="B8312" s="1">
        <v>45213</v>
      </c>
      <c r="C8312" t="s">
        <v>13804</v>
      </c>
      <c r="D8312" t="s">
        <v>13</v>
      </c>
      <c r="E8312" t="s">
        <v>20</v>
      </c>
      <c r="F8312" t="s">
        <v>50</v>
      </c>
      <c r="G8312">
        <v>3</v>
      </c>
      <c r="H8312">
        <v>44543.9</v>
      </c>
      <c r="I8312">
        <v>7980.47</v>
      </c>
      <c r="J8312" t="s">
        <v>22</v>
      </c>
      <c r="K8312" t="s">
        <v>23</v>
      </c>
      <c r="L8312">
        <f t="shared" si="387"/>
        <v>2023</v>
      </c>
      <c r="M8312" t="str">
        <f t="shared" si="388"/>
        <v>Oct</v>
      </c>
      <c r="N8312" s="2">
        <f t="shared" si="389"/>
        <v>0.17915966046978374</v>
      </c>
    </row>
    <row r="8313" spans="1:14" x14ac:dyDescent="0.45">
      <c r="A8313" t="s">
        <v>13805</v>
      </c>
      <c r="B8313" s="1">
        <v>44731</v>
      </c>
      <c r="C8313" t="s">
        <v>13806</v>
      </c>
      <c r="D8313" t="s">
        <v>56</v>
      </c>
      <c r="E8313" t="s">
        <v>14</v>
      </c>
      <c r="F8313" t="s">
        <v>15</v>
      </c>
      <c r="G8313">
        <v>4</v>
      </c>
      <c r="H8313">
        <v>23282.27</v>
      </c>
      <c r="I8313">
        <v>5803.49</v>
      </c>
      <c r="J8313" t="s">
        <v>28</v>
      </c>
      <c r="K8313" t="s">
        <v>33</v>
      </c>
      <c r="L8313">
        <f t="shared" si="387"/>
        <v>2022</v>
      </c>
      <c r="M8313" t="str">
        <f t="shared" si="388"/>
        <v>Jun</v>
      </c>
      <c r="N8313" s="2">
        <f t="shared" si="389"/>
        <v>0.24926650193473401</v>
      </c>
    </row>
    <row r="8314" spans="1:14" x14ac:dyDescent="0.45">
      <c r="A8314" t="s">
        <v>13807</v>
      </c>
      <c r="B8314" s="1">
        <v>44618</v>
      </c>
      <c r="C8314" t="s">
        <v>12833</v>
      </c>
      <c r="D8314" t="s">
        <v>13</v>
      </c>
      <c r="E8314" t="s">
        <v>14</v>
      </c>
      <c r="F8314" t="s">
        <v>40</v>
      </c>
      <c r="G8314">
        <v>5</v>
      </c>
      <c r="H8314">
        <v>3593.72</v>
      </c>
      <c r="I8314">
        <v>747.5</v>
      </c>
      <c r="J8314" t="s">
        <v>71</v>
      </c>
      <c r="K8314" t="s">
        <v>17</v>
      </c>
      <c r="L8314">
        <f t="shared" si="387"/>
        <v>2022</v>
      </c>
      <c r="M8314" t="str">
        <f t="shared" si="388"/>
        <v>Feb</v>
      </c>
      <c r="N8314" s="2">
        <f t="shared" si="389"/>
        <v>0.20800173636232094</v>
      </c>
    </row>
    <row r="8315" spans="1:14" x14ac:dyDescent="0.45">
      <c r="A8315" t="s">
        <v>13808</v>
      </c>
      <c r="B8315" s="1">
        <v>45331</v>
      </c>
      <c r="C8315" t="s">
        <v>13809</v>
      </c>
      <c r="D8315" t="s">
        <v>26</v>
      </c>
      <c r="E8315" t="s">
        <v>14</v>
      </c>
      <c r="F8315" t="s">
        <v>32</v>
      </c>
      <c r="G8315">
        <v>1</v>
      </c>
      <c r="H8315">
        <v>18845.560000000001</v>
      </c>
      <c r="I8315">
        <v>2471.86</v>
      </c>
      <c r="J8315" t="s">
        <v>16</v>
      </c>
      <c r="K8315" t="s">
        <v>29</v>
      </c>
      <c r="L8315">
        <f t="shared" si="387"/>
        <v>2024</v>
      </c>
      <c r="M8315" t="str">
        <f t="shared" si="388"/>
        <v>Feb</v>
      </c>
      <c r="N8315" s="2">
        <f t="shared" si="389"/>
        <v>0.13116405137337389</v>
      </c>
    </row>
    <row r="8316" spans="1:14" x14ac:dyDescent="0.45">
      <c r="A8316" t="s">
        <v>13810</v>
      </c>
      <c r="B8316" s="1">
        <v>44786</v>
      </c>
      <c r="C8316" t="s">
        <v>5908</v>
      </c>
      <c r="D8316" t="s">
        <v>26</v>
      </c>
      <c r="E8316" t="s">
        <v>36</v>
      </c>
      <c r="F8316" t="s">
        <v>53</v>
      </c>
      <c r="G8316">
        <v>5</v>
      </c>
      <c r="H8316">
        <v>8212.75</v>
      </c>
      <c r="I8316">
        <v>1413.61</v>
      </c>
      <c r="J8316" t="s">
        <v>47</v>
      </c>
      <c r="K8316" t="s">
        <v>23</v>
      </c>
      <c r="L8316">
        <f t="shared" si="387"/>
        <v>2022</v>
      </c>
      <c r="M8316" t="str">
        <f t="shared" si="388"/>
        <v>Aug</v>
      </c>
      <c r="N8316" s="2">
        <f t="shared" si="389"/>
        <v>0.17212383184682353</v>
      </c>
    </row>
    <row r="8317" spans="1:14" x14ac:dyDescent="0.45">
      <c r="A8317" t="s">
        <v>13811</v>
      </c>
      <c r="B8317" s="1">
        <v>44574</v>
      </c>
      <c r="C8317" t="s">
        <v>1147</v>
      </c>
      <c r="D8317" t="s">
        <v>13</v>
      </c>
      <c r="E8317" t="s">
        <v>14</v>
      </c>
      <c r="F8317" t="s">
        <v>32</v>
      </c>
      <c r="G8317">
        <v>5</v>
      </c>
      <c r="H8317">
        <v>36353</v>
      </c>
      <c r="I8317">
        <v>4018.66</v>
      </c>
      <c r="J8317" t="s">
        <v>22</v>
      </c>
      <c r="K8317" t="s">
        <v>23</v>
      </c>
      <c r="L8317">
        <f t="shared" si="387"/>
        <v>2022</v>
      </c>
      <c r="M8317" t="str">
        <f t="shared" si="388"/>
        <v>Jan</v>
      </c>
      <c r="N8317" s="2">
        <f t="shared" si="389"/>
        <v>0.1105454845542321</v>
      </c>
    </row>
    <row r="8318" spans="1:14" x14ac:dyDescent="0.45">
      <c r="A8318" t="s">
        <v>13812</v>
      </c>
      <c r="B8318" s="1">
        <v>44915</v>
      </c>
      <c r="C8318" t="s">
        <v>13813</v>
      </c>
      <c r="D8318" t="s">
        <v>56</v>
      </c>
      <c r="E8318" t="s">
        <v>14</v>
      </c>
      <c r="F8318" t="s">
        <v>32</v>
      </c>
      <c r="G8318">
        <v>5</v>
      </c>
      <c r="H8318">
        <v>36492.699999999997</v>
      </c>
      <c r="I8318">
        <v>6651.12</v>
      </c>
      <c r="J8318" t="s">
        <v>28</v>
      </c>
      <c r="K8318" t="s">
        <v>33</v>
      </c>
      <c r="L8318">
        <f t="shared" si="387"/>
        <v>2022</v>
      </c>
      <c r="M8318" t="str">
        <f t="shared" si="388"/>
        <v>Dec</v>
      </c>
      <c r="N8318" s="2">
        <f t="shared" si="389"/>
        <v>0.18225891753693205</v>
      </c>
    </row>
    <row r="8319" spans="1:14" x14ac:dyDescent="0.45">
      <c r="A8319" t="s">
        <v>13814</v>
      </c>
      <c r="B8319" s="1">
        <v>45037</v>
      </c>
      <c r="C8319" t="s">
        <v>3548</v>
      </c>
      <c r="D8319" t="s">
        <v>13</v>
      </c>
      <c r="E8319" t="s">
        <v>14</v>
      </c>
      <c r="F8319" t="s">
        <v>32</v>
      </c>
      <c r="G8319">
        <v>4</v>
      </c>
      <c r="H8319">
        <v>4669.3100000000004</v>
      </c>
      <c r="I8319">
        <v>653.35</v>
      </c>
      <c r="J8319" t="s">
        <v>22</v>
      </c>
      <c r="K8319" t="s">
        <v>33</v>
      </c>
      <c r="L8319">
        <f t="shared" si="387"/>
        <v>2023</v>
      </c>
      <c r="M8319" t="str">
        <f t="shared" si="388"/>
        <v>Apr</v>
      </c>
      <c r="N8319" s="2">
        <f t="shared" si="389"/>
        <v>0.13992431429911484</v>
      </c>
    </row>
    <row r="8320" spans="1:14" x14ac:dyDescent="0.45">
      <c r="A8320" t="s">
        <v>13815</v>
      </c>
      <c r="B8320" s="1">
        <v>44894</v>
      </c>
      <c r="C8320" t="s">
        <v>3387</v>
      </c>
      <c r="D8320" t="s">
        <v>13</v>
      </c>
      <c r="E8320" t="s">
        <v>36</v>
      </c>
      <c r="F8320" t="s">
        <v>64</v>
      </c>
      <c r="G8320">
        <v>4</v>
      </c>
      <c r="H8320">
        <v>17774.47</v>
      </c>
      <c r="I8320">
        <v>3408.63</v>
      </c>
      <c r="J8320" t="s">
        <v>22</v>
      </c>
      <c r="K8320" t="s">
        <v>29</v>
      </c>
      <c r="L8320">
        <f t="shared" si="387"/>
        <v>2022</v>
      </c>
      <c r="M8320" t="str">
        <f t="shared" si="388"/>
        <v>Nov</v>
      </c>
      <c r="N8320" s="2">
        <f t="shared" si="389"/>
        <v>0.1917711189138129</v>
      </c>
    </row>
    <row r="8321" spans="1:14" x14ac:dyDescent="0.45">
      <c r="A8321" t="s">
        <v>13816</v>
      </c>
      <c r="B8321" s="1">
        <v>44699</v>
      </c>
      <c r="C8321" t="s">
        <v>13548</v>
      </c>
      <c r="D8321" t="s">
        <v>13</v>
      </c>
      <c r="E8321" t="s">
        <v>14</v>
      </c>
      <c r="F8321" t="s">
        <v>40</v>
      </c>
      <c r="G8321">
        <v>4</v>
      </c>
      <c r="H8321">
        <v>49328.35</v>
      </c>
      <c r="I8321">
        <v>9249.9599999999991</v>
      </c>
      <c r="J8321" t="s">
        <v>28</v>
      </c>
      <c r="K8321" t="s">
        <v>33</v>
      </c>
      <c r="L8321">
        <f t="shared" si="387"/>
        <v>2022</v>
      </c>
      <c r="M8321" t="str">
        <f t="shared" si="388"/>
        <v>May</v>
      </c>
      <c r="N8321" s="2">
        <f t="shared" si="389"/>
        <v>0.18751813105445447</v>
      </c>
    </row>
    <row r="8322" spans="1:14" x14ac:dyDescent="0.45">
      <c r="A8322" t="s">
        <v>13817</v>
      </c>
      <c r="B8322" s="1">
        <v>45506</v>
      </c>
      <c r="C8322" t="s">
        <v>13818</v>
      </c>
      <c r="D8322" t="s">
        <v>13</v>
      </c>
      <c r="E8322" t="s">
        <v>36</v>
      </c>
      <c r="F8322" t="s">
        <v>64</v>
      </c>
      <c r="G8322">
        <v>2</v>
      </c>
      <c r="H8322">
        <v>14951.75</v>
      </c>
      <c r="I8322">
        <v>1730.55</v>
      </c>
      <c r="J8322" t="s">
        <v>22</v>
      </c>
      <c r="K8322" t="s">
        <v>29</v>
      </c>
      <c r="L8322">
        <f t="shared" si="387"/>
        <v>2024</v>
      </c>
      <c r="M8322" t="str">
        <f t="shared" si="388"/>
        <v>Aug</v>
      </c>
      <c r="N8322" s="2">
        <f t="shared" si="389"/>
        <v>0.11574230441252696</v>
      </c>
    </row>
    <row r="8323" spans="1:14" x14ac:dyDescent="0.45">
      <c r="A8323" t="s">
        <v>13819</v>
      </c>
      <c r="B8323" s="1">
        <v>45323</v>
      </c>
      <c r="C8323" t="s">
        <v>13820</v>
      </c>
      <c r="D8323" t="s">
        <v>56</v>
      </c>
      <c r="E8323" t="s">
        <v>20</v>
      </c>
      <c r="F8323" t="s">
        <v>43</v>
      </c>
      <c r="G8323">
        <v>4</v>
      </c>
      <c r="H8323">
        <v>1814.28</v>
      </c>
      <c r="I8323">
        <v>266.76</v>
      </c>
      <c r="J8323" t="s">
        <v>22</v>
      </c>
      <c r="K8323" t="s">
        <v>23</v>
      </c>
      <c r="L8323">
        <f t="shared" ref="L8323:L8386" si="390">YEAR(B8323 )</f>
        <v>2024</v>
      </c>
      <c r="M8323" t="str">
        <f t="shared" ref="M8323:M8386" si="391">TEXT(B8323,"MMM")</f>
        <v>Feb</v>
      </c>
      <c r="N8323" s="2">
        <f t="shared" ref="N8323:N8386" si="392">I8323 / H8323</f>
        <v>0.14703353396388649</v>
      </c>
    </row>
    <row r="8324" spans="1:14" x14ac:dyDescent="0.45">
      <c r="A8324" t="s">
        <v>13821</v>
      </c>
      <c r="B8324" s="1">
        <v>44712</v>
      </c>
      <c r="C8324" t="s">
        <v>12473</v>
      </c>
      <c r="D8324" t="s">
        <v>56</v>
      </c>
      <c r="E8324" t="s">
        <v>36</v>
      </c>
      <c r="F8324" t="s">
        <v>64</v>
      </c>
      <c r="G8324">
        <v>5</v>
      </c>
      <c r="H8324">
        <v>37491.910000000003</v>
      </c>
      <c r="I8324">
        <v>2904.69</v>
      </c>
      <c r="J8324" t="s">
        <v>28</v>
      </c>
      <c r="K8324" t="s">
        <v>33</v>
      </c>
      <c r="L8324">
        <f t="shared" si="390"/>
        <v>2022</v>
      </c>
      <c r="M8324" t="str">
        <f t="shared" si="391"/>
        <v>May</v>
      </c>
      <c r="N8324" s="2">
        <f t="shared" si="392"/>
        <v>7.7475113964585951E-2</v>
      </c>
    </row>
    <row r="8325" spans="1:14" x14ac:dyDescent="0.45">
      <c r="A8325" t="s">
        <v>13822</v>
      </c>
      <c r="B8325" s="1">
        <v>44707</v>
      </c>
      <c r="C8325" t="s">
        <v>13823</v>
      </c>
      <c r="D8325" t="s">
        <v>13</v>
      </c>
      <c r="E8325" t="s">
        <v>14</v>
      </c>
      <c r="F8325" t="s">
        <v>57</v>
      </c>
      <c r="G8325">
        <v>1</v>
      </c>
      <c r="H8325">
        <v>11445.8</v>
      </c>
      <c r="I8325">
        <v>2157.2600000000002</v>
      </c>
      <c r="J8325" t="s">
        <v>28</v>
      </c>
      <c r="K8325" t="s">
        <v>29</v>
      </c>
      <c r="L8325">
        <f t="shared" si="390"/>
        <v>2022</v>
      </c>
      <c r="M8325" t="str">
        <f t="shared" si="391"/>
        <v>May</v>
      </c>
      <c r="N8325" s="2">
        <f t="shared" si="392"/>
        <v>0.18847612224571461</v>
      </c>
    </row>
    <row r="8326" spans="1:14" x14ac:dyDescent="0.45">
      <c r="A8326" t="s">
        <v>13824</v>
      </c>
      <c r="B8326" s="1">
        <v>44633</v>
      </c>
      <c r="C8326" t="s">
        <v>1086</v>
      </c>
      <c r="D8326" t="s">
        <v>26</v>
      </c>
      <c r="E8326" t="s">
        <v>14</v>
      </c>
      <c r="F8326" t="s">
        <v>40</v>
      </c>
      <c r="G8326">
        <v>3</v>
      </c>
      <c r="H8326">
        <v>6515.13</v>
      </c>
      <c r="I8326">
        <v>1147.03</v>
      </c>
      <c r="J8326" t="s">
        <v>16</v>
      </c>
      <c r="K8326" t="s">
        <v>23</v>
      </c>
      <c r="L8326">
        <f t="shared" si="390"/>
        <v>2022</v>
      </c>
      <c r="M8326" t="str">
        <f t="shared" si="391"/>
        <v>Mar</v>
      </c>
      <c r="N8326" s="2">
        <f t="shared" si="392"/>
        <v>0.176056348837245</v>
      </c>
    </row>
    <row r="8327" spans="1:14" x14ac:dyDescent="0.45">
      <c r="A8327" t="s">
        <v>13825</v>
      </c>
      <c r="B8327" s="1">
        <v>44762</v>
      </c>
      <c r="C8327" t="s">
        <v>13826</v>
      </c>
      <c r="D8327" t="s">
        <v>13</v>
      </c>
      <c r="E8327" t="s">
        <v>20</v>
      </c>
      <c r="F8327" t="s">
        <v>27</v>
      </c>
      <c r="G8327">
        <v>5</v>
      </c>
      <c r="H8327">
        <v>15476.67</v>
      </c>
      <c r="I8327">
        <v>3437.76</v>
      </c>
      <c r="J8327" t="s">
        <v>28</v>
      </c>
      <c r="K8327" t="s">
        <v>29</v>
      </c>
      <c r="L8327">
        <f t="shared" si="390"/>
        <v>2022</v>
      </c>
      <c r="M8327" t="str">
        <f t="shared" si="391"/>
        <v>Jul</v>
      </c>
      <c r="N8327" s="2">
        <f t="shared" si="392"/>
        <v>0.22212530214833037</v>
      </c>
    </row>
    <row r="8328" spans="1:14" x14ac:dyDescent="0.45">
      <c r="A8328" t="s">
        <v>13827</v>
      </c>
      <c r="B8328" s="1">
        <v>44691</v>
      </c>
      <c r="C8328" t="s">
        <v>10488</v>
      </c>
      <c r="D8328" t="s">
        <v>26</v>
      </c>
      <c r="E8328" t="s">
        <v>20</v>
      </c>
      <c r="F8328" t="s">
        <v>50</v>
      </c>
      <c r="G8328">
        <v>1</v>
      </c>
      <c r="H8328">
        <v>30830.99</v>
      </c>
      <c r="I8328">
        <v>5269.06</v>
      </c>
      <c r="J8328" t="s">
        <v>71</v>
      </c>
      <c r="K8328" t="s">
        <v>17</v>
      </c>
      <c r="L8328">
        <f t="shared" si="390"/>
        <v>2022</v>
      </c>
      <c r="M8328" t="str">
        <f t="shared" si="391"/>
        <v>May</v>
      </c>
      <c r="N8328" s="2">
        <f t="shared" si="392"/>
        <v>0.1709014209404239</v>
      </c>
    </row>
    <row r="8329" spans="1:14" x14ac:dyDescent="0.45">
      <c r="A8329" t="s">
        <v>13828</v>
      </c>
      <c r="B8329" s="1">
        <v>45249</v>
      </c>
      <c r="C8329" t="s">
        <v>13323</v>
      </c>
      <c r="D8329" t="s">
        <v>13</v>
      </c>
      <c r="E8329" t="s">
        <v>20</v>
      </c>
      <c r="F8329" t="s">
        <v>43</v>
      </c>
      <c r="G8329">
        <v>2</v>
      </c>
      <c r="H8329">
        <v>12746.29</v>
      </c>
      <c r="I8329">
        <v>2863.84</v>
      </c>
      <c r="J8329" t="s">
        <v>47</v>
      </c>
      <c r="K8329" t="s">
        <v>33</v>
      </c>
      <c r="L8329">
        <f t="shared" si="390"/>
        <v>2023</v>
      </c>
      <c r="M8329" t="str">
        <f t="shared" si="391"/>
        <v>Nov</v>
      </c>
      <c r="N8329" s="2">
        <f t="shared" si="392"/>
        <v>0.22468027951662797</v>
      </c>
    </row>
    <row r="8330" spans="1:14" x14ac:dyDescent="0.45">
      <c r="A8330" t="s">
        <v>13829</v>
      </c>
      <c r="B8330" s="1">
        <v>45643</v>
      </c>
      <c r="C8330" t="s">
        <v>4503</v>
      </c>
      <c r="D8330" t="s">
        <v>13</v>
      </c>
      <c r="E8330" t="s">
        <v>36</v>
      </c>
      <c r="F8330" t="s">
        <v>64</v>
      </c>
      <c r="G8330">
        <v>5</v>
      </c>
      <c r="H8330">
        <v>25925.68</v>
      </c>
      <c r="I8330">
        <v>5901.69</v>
      </c>
      <c r="J8330" t="s">
        <v>71</v>
      </c>
      <c r="K8330" t="s">
        <v>17</v>
      </c>
      <c r="L8330">
        <f t="shared" si="390"/>
        <v>2024</v>
      </c>
      <c r="M8330" t="str">
        <f t="shared" si="391"/>
        <v>Dec</v>
      </c>
      <c r="N8330" s="2">
        <f t="shared" si="392"/>
        <v>0.22763877360208101</v>
      </c>
    </row>
    <row r="8331" spans="1:14" x14ac:dyDescent="0.45">
      <c r="A8331" t="s">
        <v>13830</v>
      </c>
      <c r="B8331" s="1">
        <v>45296</v>
      </c>
      <c r="C8331" t="s">
        <v>13831</v>
      </c>
      <c r="D8331" t="s">
        <v>13</v>
      </c>
      <c r="E8331" t="s">
        <v>20</v>
      </c>
      <c r="F8331" t="s">
        <v>27</v>
      </c>
      <c r="G8331">
        <v>3</v>
      </c>
      <c r="H8331">
        <v>22326.31</v>
      </c>
      <c r="I8331">
        <v>1155.56</v>
      </c>
      <c r="J8331" t="s">
        <v>22</v>
      </c>
      <c r="K8331" t="s">
        <v>17</v>
      </c>
      <c r="L8331">
        <f t="shared" si="390"/>
        <v>2024</v>
      </c>
      <c r="M8331" t="str">
        <f t="shared" si="391"/>
        <v>Jan</v>
      </c>
      <c r="N8331" s="2">
        <f t="shared" si="392"/>
        <v>5.1757769196969845E-2</v>
      </c>
    </row>
    <row r="8332" spans="1:14" x14ac:dyDescent="0.45">
      <c r="A8332" t="s">
        <v>13832</v>
      </c>
      <c r="B8332" s="1">
        <v>45088</v>
      </c>
      <c r="C8332" t="s">
        <v>8392</v>
      </c>
      <c r="D8332" t="s">
        <v>13</v>
      </c>
      <c r="E8332" t="s">
        <v>14</v>
      </c>
      <c r="F8332" t="s">
        <v>32</v>
      </c>
      <c r="G8332">
        <v>3</v>
      </c>
      <c r="H8332">
        <v>33149.56</v>
      </c>
      <c r="I8332">
        <v>2506.3200000000002</v>
      </c>
      <c r="J8332" t="s">
        <v>47</v>
      </c>
      <c r="K8332" t="s">
        <v>33</v>
      </c>
      <c r="L8332">
        <f t="shared" si="390"/>
        <v>2023</v>
      </c>
      <c r="M8332" t="str">
        <f t="shared" si="391"/>
        <v>Jun</v>
      </c>
      <c r="N8332" s="2">
        <f t="shared" si="392"/>
        <v>7.5606433388557812E-2</v>
      </c>
    </row>
    <row r="8333" spans="1:14" x14ac:dyDescent="0.45">
      <c r="A8333" t="s">
        <v>13833</v>
      </c>
      <c r="B8333" s="1">
        <v>45443</v>
      </c>
      <c r="C8333" t="s">
        <v>10041</v>
      </c>
      <c r="D8333" t="s">
        <v>26</v>
      </c>
      <c r="E8333" t="s">
        <v>20</v>
      </c>
      <c r="F8333" t="s">
        <v>50</v>
      </c>
      <c r="G8333">
        <v>3</v>
      </c>
      <c r="H8333">
        <v>44231.199999999997</v>
      </c>
      <c r="I8333">
        <v>2596.84</v>
      </c>
      <c r="J8333" t="s">
        <v>16</v>
      </c>
      <c r="K8333" t="s">
        <v>29</v>
      </c>
      <c r="L8333">
        <f t="shared" si="390"/>
        <v>2024</v>
      </c>
      <c r="M8333" t="str">
        <f t="shared" si="391"/>
        <v>May</v>
      </c>
      <c r="N8333" s="2">
        <f t="shared" si="392"/>
        <v>5.8710593427264021E-2</v>
      </c>
    </row>
    <row r="8334" spans="1:14" x14ac:dyDescent="0.45">
      <c r="A8334" t="s">
        <v>13834</v>
      </c>
      <c r="B8334" s="1">
        <v>45364</v>
      </c>
      <c r="C8334" t="s">
        <v>3277</v>
      </c>
      <c r="D8334" t="s">
        <v>26</v>
      </c>
      <c r="E8334" t="s">
        <v>36</v>
      </c>
      <c r="F8334" t="s">
        <v>53</v>
      </c>
      <c r="G8334">
        <v>3</v>
      </c>
      <c r="H8334">
        <v>45942.400000000001</v>
      </c>
      <c r="I8334">
        <v>4517.55</v>
      </c>
      <c r="J8334" t="s">
        <v>47</v>
      </c>
      <c r="K8334" t="s">
        <v>23</v>
      </c>
      <c r="L8334">
        <f t="shared" si="390"/>
        <v>2024</v>
      </c>
      <c r="M8334" t="str">
        <f t="shared" si="391"/>
        <v>Mar</v>
      </c>
      <c r="N8334" s="2">
        <f t="shared" si="392"/>
        <v>9.8330735877968936E-2</v>
      </c>
    </row>
    <row r="8335" spans="1:14" x14ac:dyDescent="0.45">
      <c r="A8335" t="s">
        <v>13835</v>
      </c>
      <c r="B8335" s="1">
        <v>44697</v>
      </c>
      <c r="C8335" t="s">
        <v>13836</v>
      </c>
      <c r="D8335" t="s">
        <v>26</v>
      </c>
      <c r="E8335" t="s">
        <v>14</v>
      </c>
      <c r="F8335" t="s">
        <v>32</v>
      </c>
      <c r="G8335">
        <v>5</v>
      </c>
      <c r="H8335">
        <v>48212.54</v>
      </c>
      <c r="I8335">
        <v>4632.21</v>
      </c>
      <c r="J8335" t="s">
        <v>71</v>
      </c>
      <c r="K8335" t="s">
        <v>33</v>
      </c>
      <c r="L8335">
        <f t="shared" si="390"/>
        <v>2022</v>
      </c>
      <c r="M8335" t="str">
        <f t="shared" si="391"/>
        <v>May</v>
      </c>
      <c r="N8335" s="2">
        <f t="shared" si="392"/>
        <v>9.6078945436187349E-2</v>
      </c>
    </row>
    <row r="8336" spans="1:14" x14ac:dyDescent="0.45">
      <c r="A8336" t="s">
        <v>13837</v>
      </c>
      <c r="B8336" s="1">
        <v>45299</v>
      </c>
      <c r="C8336" t="s">
        <v>5997</v>
      </c>
      <c r="D8336" t="s">
        <v>56</v>
      </c>
      <c r="E8336" t="s">
        <v>14</v>
      </c>
      <c r="F8336" t="s">
        <v>32</v>
      </c>
      <c r="G8336">
        <v>5</v>
      </c>
      <c r="H8336">
        <v>18372.189999999999</v>
      </c>
      <c r="I8336">
        <v>4321.63</v>
      </c>
      <c r="J8336" t="s">
        <v>16</v>
      </c>
      <c r="K8336" t="s">
        <v>33</v>
      </c>
      <c r="L8336">
        <f t="shared" si="390"/>
        <v>2024</v>
      </c>
      <c r="M8336" t="str">
        <f t="shared" si="391"/>
        <v>Jan</v>
      </c>
      <c r="N8336" s="2">
        <f t="shared" si="392"/>
        <v>0.23522672038553924</v>
      </c>
    </row>
    <row r="8337" spans="1:14" x14ac:dyDescent="0.45">
      <c r="A8337" t="s">
        <v>13838</v>
      </c>
      <c r="B8337" s="1">
        <v>45418</v>
      </c>
      <c r="C8337" t="s">
        <v>7271</v>
      </c>
      <c r="D8337" t="s">
        <v>56</v>
      </c>
      <c r="E8337" t="s">
        <v>14</v>
      </c>
      <c r="F8337" t="s">
        <v>57</v>
      </c>
      <c r="G8337">
        <v>1</v>
      </c>
      <c r="H8337">
        <v>42996.39</v>
      </c>
      <c r="I8337">
        <v>5582.07</v>
      </c>
      <c r="J8337" t="s">
        <v>71</v>
      </c>
      <c r="K8337" t="s">
        <v>17</v>
      </c>
      <c r="L8337">
        <f t="shared" si="390"/>
        <v>2024</v>
      </c>
      <c r="M8337" t="str">
        <f t="shared" si="391"/>
        <v>May</v>
      </c>
      <c r="N8337" s="2">
        <f t="shared" si="392"/>
        <v>0.1298264807812935</v>
      </c>
    </row>
    <row r="8338" spans="1:14" x14ac:dyDescent="0.45">
      <c r="A8338" t="s">
        <v>13839</v>
      </c>
      <c r="B8338" s="1">
        <v>45545</v>
      </c>
      <c r="C8338" t="s">
        <v>5982</v>
      </c>
      <c r="D8338" t="s">
        <v>13</v>
      </c>
      <c r="E8338" t="s">
        <v>36</v>
      </c>
      <c r="F8338" t="s">
        <v>64</v>
      </c>
      <c r="G8338">
        <v>3</v>
      </c>
      <c r="H8338">
        <v>24919.93</v>
      </c>
      <c r="I8338">
        <v>1745.56</v>
      </c>
      <c r="J8338" t="s">
        <v>71</v>
      </c>
      <c r="K8338" t="s">
        <v>29</v>
      </c>
      <c r="L8338">
        <f t="shared" si="390"/>
        <v>2024</v>
      </c>
      <c r="M8338" t="str">
        <f t="shared" si="391"/>
        <v>Sep</v>
      </c>
      <c r="N8338" s="2">
        <f t="shared" si="392"/>
        <v>7.0046745717182987E-2</v>
      </c>
    </row>
    <row r="8339" spans="1:14" x14ac:dyDescent="0.45">
      <c r="A8339" t="s">
        <v>13840</v>
      </c>
      <c r="B8339" s="1">
        <v>44934</v>
      </c>
      <c r="C8339" t="s">
        <v>1565</v>
      </c>
      <c r="D8339" t="s">
        <v>26</v>
      </c>
      <c r="E8339" t="s">
        <v>20</v>
      </c>
      <c r="F8339" t="s">
        <v>27</v>
      </c>
      <c r="G8339">
        <v>1</v>
      </c>
      <c r="H8339">
        <v>41010.959999999999</v>
      </c>
      <c r="I8339">
        <v>4979.88</v>
      </c>
      <c r="J8339" t="s">
        <v>47</v>
      </c>
      <c r="K8339" t="s">
        <v>23</v>
      </c>
      <c r="L8339">
        <f t="shared" si="390"/>
        <v>2023</v>
      </c>
      <c r="M8339" t="str">
        <f t="shared" si="391"/>
        <v>Jan</v>
      </c>
      <c r="N8339" s="2">
        <f t="shared" si="392"/>
        <v>0.1214280280198269</v>
      </c>
    </row>
    <row r="8340" spans="1:14" x14ac:dyDescent="0.45">
      <c r="A8340" t="s">
        <v>13841</v>
      </c>
      <c r="B8340" s="1">
        <v>44666</v>
      </c>
      <c r="C8340" t="s">
        <v>988</v>
      </c>
      <c r="D8340" t="s">
        <v>56</v>
      </c>
      <c r="E8340" t="s">
        <v>14</v>
      </c>
      <c r="F8340" t="s">
        <v>32</v>
      </c>
      <c r="G8340">
        <v>3</v>
      </c>
      <c r="H8340">
        <v>43011.38</v>
      </c>
      <c r="I8340">
        <v>10742.5</v>
      </c>
      <c r="J8340" t="s">
        <v>16</v>
      </c>
      <c r="K8340" t="s">
        <v>23</v>
      </c>
      <c r="L8340">
        <f t="shared" si="390"/>
        <v>2022</v>
      </c>
      <c r="M8340" t="str">
        <f t="shared" si="391"/>
        <v>Apr</v>
      </c>
      <c r="N8340" s="2">
        <f t="shared" si="392"/>
        <v>0.24975948225795128</v>
      </c>
    </row>
    <row r="8341" spans="1:14" x14ac:dyDescent="0.45">
      <c r="A8341" t="s">
        <v>13842</v>
      </c>
      <c r="B8341" s="1">
        <v>44795</v>
      </c>
      <c r="C8341" t="s">
        <v>604</v>
      </c>
      <c r="D8341" t="s">
        <v>13</v>
      </c>
      <c r="E8341" t="s">
        <v>36</v>
      </c>
      <c r="F8341" t="s">
        <v>37</v>
      </c>
      <c r="G8341">
        <v>3</v>
      </c>
      <c r="H8341">
        <v>1831.02</v>
      </c>
      <c r="I8341">
        <v>242.74</v>
      </c>
      <c r="J8341" t="s">
        <v>22</v>
      </c>
      <c r="K8341" t="s">
        <v>33</v>
      </c>
      <c r="L8341">
        <f t="shared" si="390"/>
        <v>2022</v>
      </c>
      <c r="M8341" t="str">
        <f t="shared" si="391"/>
        <v>Aug</v>
      </c>
      <c r="N8341" s="2">
        <f t="shared" si="392"/>
        <v>0.13257091675678037</v>
      </c>
    </row>
    <row r="8342" spans="1:14" x14ac:dyDescent="0.45">
      <c r="A8342" t="s">
        <v>13843</v>
      </c>
      <c r="B8342" s="1">
        <v>45197</v>
      </c>
      <c r="C8342" t="s">
        <v>13579</v>
      </c>
      <c r="D8342" t="s">
        <v>56</v>
      </c>
      <c r="E8342" t="s">
        <v>36</v>
      </c>
      <c r="F8342" t="s">
        <v>64</v>
      </c>
      <c r="G8342">
        <v>4</v>
      </c>
      <c r="H8342">
        <v>31745.69</v>
      </c>
      <c r="I8342">
        <v>7310.11</v>
      </c>
      <c r="J8342" t="s">
        <v>28</v>
      </c>
      <c r="K8342" t="s">
        <v>23</v>
      </c>
      <c r="L8342">
        <f t="shared" si="390"/>
        <v>2023</v>
      </c>
      <c r="M8342" t="str">
        <f t="shared" si="391"/>
        <v>Sep</v>
      </c>
      <c r="N8342" s="2">
        <f t="shared" si="392"/>
        <v>0.23027094386671074</v>
      </c>
    </row>
    <row r="8343" spans="1:14" x14ac:dyDescent="0.45">
      <c r="A8343" t="s">
        <v>13844</v>
      </c>
      <c r="B8343" s="1">
        <v>44567</v>
      </c>
      <c r="C8343" t="s">
        <v>13845</v>
      </c>
      <c r="D8343" t="s">
        <v>26</v>
      </c>
      <c r="E8343" t="s">
        <v>20</v>
      </c>
      <c r="F8343" t="s">
        <v>27</v>
      </c>
      <c r="G8343">
        <v>4</v>
      </c>
      <c r="H8343">
        <v>29947.279999999999</v>
      </c>
      <c r="I8343">
        <v>2699.95</v>
      </c>
      <c r="J8343" t="s">
        <v>71</v>
      </c>
      <c r="K8343" t="s">
        <v>17</v>
      </c>
      <c r="L8343">
        <f t="shared" si="390"/>
        <v>2022</v>
      </c>
      <c r="M8343" t="str">
        <f t="shared" si="391"/>
        <v>Jan</v>
      </c>
      <c r="N8343" s="2">
        <f t="shared" si="392"/>
        <v>9.0156768828421149E-2</v>
      </c>
    </row>
    <row r="8344" spans="1:14" x14ac:dyDescent="0.45">
      <c r="A8344" t="s">
        <v>13846</v>
      </c>
      <c r="B8344" s="1">
        <v>45368</v>
      </c>
      <c r="C8344" t="s">
        <v>2412</v>
      </c>
      <c r="D8344" t="s">
        <v>56</v>
      </c>
      <c r="E8344" t="s">
        <v>20</v>
      </c>
      <c r="F8344" t="s">
        <v>43</v>
      </c>
      <c r="G8344">
        <v>2</v>
      </c>
      <c r="H8344">
        <v>9394.2800000000007</v>
      </c>
      <c r="I8344">
        <v>2239.85</v>
      </c>
      <c r="J8344" t="s">
        <v>71</v>
      </c>
      <c r="K8344" t="s">
        <v>29</v>
      </c>
      <c r="L8344">
        <f t="shared" si="390"/>
        <v>2024</v>
      </c>
      <c r="M8344" t="str">
        <f t="shared" si="391"/>
        <v>Mar</v>
      </c>
      <c r="N8344" s="2">
        <f t="shared" si="392"/>
        <v>0.23842700025973249</v>
      </c>
    </row>
    <row r="8345" spans="1:14" x14ac:dyDescent="0.45">
      <c r="A8345" t="s">
        <v>13847</v>
      </c>
      <c r="B8345" s="1">
        <v>45222</v>
      </c>
      <c r="C8345" t="s">
        <v>1484</v>
      </c>
      <c r="D8345" t="s">
        <v>13</v>
      </c>
      <c r="E8345" t="s">
        <v>14</v>
      </c>
      <c r="F8345" t="s">
        <v>57</v>
      </c>
      <c r="G8345">
        <v>1</v>
      </c>
      <c r="H8345">
        <v>2878.04</v>
      </c>
      <c r="I8345">
        <v>458.67</v>
      </c>
      <c r="J8345" t="s">
        <v>71</v>
      </c>
      <c r="K8345" t="s">
        <v>17</v>
      </c>
      <c r="L8345">
        <f t="shared" si="390"/>
        <v>2023</v>
      </c>
      <c r="M8345" t="str">
        <f t="shared" si="391"/>
        <v>Oct</v>
      </c>
      <c r="N8345" s="2">
        <f t="shared" si="392"/>
        <v>0.15936887604063876</v>
      </c>
    </row>
    <row r="8346" spans="1:14" x14ac:dyDescent="0.45">
      <c r="A8346" t="s">
        <v>13848</v>
      </c>
      <c r="B8346" s="1">
        <v>45549</v>
      </c>
      <c r="C8346" t="s">
        <v>13849</v>
      </c>
      <c r="D8346" t="s">
        <v>56</v>
      </c>
      <c r="E8346" t="s">
        <v>14</v>
      </c>
      <c r="F8346" t="s">
        <v>32</v>
      </c>
      <c r="G8346">
        <v>4</v>
      </c>
      <c r="H8346">
        <v>18934.63</v>
      </c>
      <c r="I8346">
        <v>1151.71</v>
      </c>
      <c r="J8346" t="s">
        <v>47</v>
      </c>
      <c r="K8346" t="s">
        <v>33</v>
      </c>
      <c r="L8346">
        <f t="shared" si="390"/>
        <v>2024</v>
      </c>
      <c r="M8346" t="str">
        <f t="shared" si="391"/>
        <v>Sep</v>
      </c>
      <c r="N8346" s="2">
        <f t="shared" si="392"/>
        <v>6.082558782505916E-2</v>
      </c>
    </row>
    <row r="8347" spans="1:14" x14ac:dyDescent="0.45">
      <c r="A8347" t="s">
        <v>13850</v>
      </c>
      <c r="B8347" s="1">
        <v>45298</v>
      </c>
      <c r="C8347" t="s">
        <v>13851</v>
      </c>
      <c r="D8347" t="s">
        <v>56</v>
      </c>
      <c r="E8347" t="s">
        <v>14</v>
      </c>
      <c r="F8347" t="s">
        <v>32</v>
      </c>
      <c r="G8347">
        <v>3</v>
      </c>
      <c r="H8347">
        <v>6024.99</v>
      </c>
      <c r="I8347">
        <v>481.64</v>
      </c>
      <c r="J8347" t="s">
        <v>16</v>
      </c>
      <c r="K8347" t="s">
        <v>23</v>
      </c>
      <c r="L8347">
        <f t="shared" si="390"/>
        <v>2024</v>
      </c>
      <c r="M8347" t="str">
        <f t="shared" si="391"/>
        <v>Jan</v>
      </c>
      <c r="N8347" s="2">
        <f t="shared" si="392"/>
        <v>7.9940381643786959E-2</v>
      </c>
    </row>
    <row r="8348" spans="1:14" x14ac:dyDescent="0.45">
      <c r="A8348" t="s">
        <v>13852</v>
      </c>
      <c r="B8348" s="1">
        <v>44916</v>
      </c>
      <c r="C8348" t="s">
        <v>8106</v>
      </c>
      <c r="D8348" t="s">
        <v>26</v>
      </c>
      <c r="E8348" t="s">
        <v>20</v>
      </c>
      <c r="F8348" t="s">
        <v>50</v>
      </c>
      <c r="G8348">
        <v>2</v>
      </c>
      <c r="H8348">
        <v>4888.0600000000004</v>
      </c>
      <c r="I8348">
        <v>334.33</v>
      </c>
      <c r="J8348" t="s">
        <v>71</v>
      </c>
      <c r="K8348" t="s">
        <v>29</v>
      </c>
      <c r="L8348">
        <f t="shared" si="390"/>
        <v>2022</v>
      </c>
      <c r="M8348" t="str">
        <f t="shared" si="391"/>
        <v>Dec</v>
      </c>
      <c r="N8348" s="2">
        <f t="shared" si="392"/>
        <v>6.8397278265815056E-2</v>
      </c>
    </row>
    <row r="8349" spans="1:14" x14ac:dyDescent="0.45">
      <c r="A8349" t="s">
        <v>13853</v>
      </c>
      <c r="B8349" s="1">
        <v>44708</v>
      </c>
      <c r="C8349" t="s">
        <v>10411</v>
      </c>
      <c r="D8349" t="s">
        <v>56</v>
      </c>
      <c r="E8349" t="s">
        <v>14</v>
      </c>
      <c r="F8349" t="s">
        <v>57</v>
      </c>
      <c r="G8349">
        <v>3</v>
      </c>
      <c r="H8349">
        <v>48939.519999999997</v>
      </c>
      <c r="I8349">
        <v>9387.86</v>
      </c>
      <c r="J8349" t="s">
        <v>47</v>
      </c>
      <c r="K8349" t="s">
        <v>29</v>
      </c>
      <c r="L8349">
        <f t="shared" si="390"/>
        <v>2022</v>
      </c>
      <c r="M8349" t="str">
        <f t="shared" si="391"/>
        <v>May</v>
      </c>
      <c r="N8349" s="2">
        <f t="shared" si="392"/>
        <v>0.19182574737144953</v>
      </c>
    </row>
    <row r="8350" spans="1:14" x14ac:dyDescent="0.45">
      <c r="A8350" t="s">
        <v>13854</v>
      </c>
      <c r="B8350" s="1">
        <v>45112</v>
      </c>
      <c r="C8350" t="s">
        <v>12248</v>
      </c>
      <c r="D8350" t="s">
        <v>13</v>
      </c>
      <c r="E8350" t="s">
        <v>14</v>
      </c>
      <c r="F8350" t="s">
        <v>40</v>
      </c>
      <c r="G8350">
        <v>2</v>
      </c>
      <c r="H8350">
        <v>36162.050000000003</v>
      </c>
      <c r="I8350">
        <v>7679.46</v>
      </c>
      <c r="J8350" t="s">
        <v>28</v>
      </c>
      <c r="K8350" t="s">
        <v>23</v>
      </c>
      <c r="L8350">
        <f t="shared" si="390"/>
        <v>2023</v>
      </c>
      <c r="M8350" t="str">
        <f t="shared" si="391"/>
        <v>Jul</v>
      </c>
      <c r="N8350" s="2">
        <f t="shared" si="392"/>
        <v>0.21236240755156302</v>
      </c>
    </row>
    <row r="8351" spans="1:14" x14ac:dyDescent="0.45">
      <c r="A8351" t="s">
        <v>13855</v>
      </c>
      <c r="B8351" s="1">
        <v>45128</v>
      </c>
      <c r="C8351" t="s">
        <v>4882</v>
      </c>
      <c r="D8351" t="s">
        <v>26</v>
      </c>
      <c r="E8351" t="s">
        <v>36</v>
      </c>
      <c r="F8351" t="s">
        <v>46</v>
      </c>
      <c r="G8351">
        <v>2</v>
      </c>
      <c r="H8351">
        <v>11593.33</v>
      </c>
      <c r="I8351">
        <v>2565.2199999999998</v>
      </c>
      <c r="J8351" t="s">
        <v>47</v>
      </c>
      <c r="K8351" t="s">
        <v>17</v>
      </c>
      <c r="L8351">
        <f t="shared" si="390"/>
        <v>2023</v>
      </c>
      <c r="M8351" t="str">
        <f t="shared" si="391"/>
        <v>Jul</v>
      </c>
      <c r="N8351" s="2">
        <f t="shared" si="392"/>
        <v>0.22126688363050132</v>
      </c>
    </row>
    <row r="8352" spans="1:14" x14ac:dyDescent="0.45">
      <c r="A8352" t="s">
        <v>13856</v>
      </c>
      <c r="B8352" s="1">
        <v>44763</v>
      </c>
      <c r="C8352" t="s">
        <v>1038</v>
      </c>
      <c r="D8352" t="s">
        <v>56</v>
      </c>
      <c r="E8352" t="s">
        <v>20</v>
      </c>
      <c r="F8352" t="s">
        <v>27</v>
      </c>
      <c r="G8352">
        <v>4</v>
      </c>
      <c r="H8352">
        <v>48977.21</v>
      </c>
      <c r="I8352">
        <v>11332.75</v>
      </c>
      <c r="J8352" t="s">
        <v>22</v>
      </c>
      <c r="K8352" t="s">
        <v>17</v>
      </c>
      <c r="L8352">
        <f t="shared" si="390"/>
        <v>2022</v>
      </c>
      <c r="M8352" t="str">
        <f t="shared" si="391"/>
        <v>Jul</v>
      </c>
      <c r="N8352" s="2">
        <f t="shared" si="392"/>
        <v>0.23138823138353531</v>
      </c>
    </row>
    <row r="8353" spans="1:14" x14ac:dyDescent="0.45">
      <c r="A8353" t="s">
        <v>13857</v>
      </c>
      <c r="B8353" s="1">
        <v>45323</v>
      </c>
      <c r="C8353" t="s">
        <v>4972</v>
      </c>
      <c r="D8353" t="s">
        <v>26</v>
      </c>
      <c r="E8353" t="s">
        <v>36</v>
      </c>
      <c r="F8353" t="s">
        <v>46</v>
      </c>
      <c r="G8353">
        <v>2</v>
      </c>
      <c r="H8353">
        <v>45026.42</v>
      </c>
      <c r="I8353">
        <v>7789.55</v>
      </c>
      <c r="J8353" t="s">
        <v>47</v>
      </c>
      <c r="K8353" t="s">
        <v>17</v>
      </c>
      <c r="L8353">
        <f t="shared" si="390"/>
        <v>2024</v>
      </c>
      <c r="M8353" t="str">
        <f t="shared" si="391"/>
        <v>Feb</v>
      </c>
      <c r="N8353" s="2">
        <f t="shared" si="392"/>
        <v>0.17299954115827998</v>
      </c>
    </row>
    <row r="8354" spans="1:14" x14ac:dyDescent="0.45">
      <c r="A8354" t="s">
        <v>13858</v>
      </c>
      <c r="B8354" s="1">
        <v>44909</v>
      </c>
      <c r="C8354" t="s">
        <v>1510</v>
      </c>
      <c r="D8354" t="s">
        <v>26</v>
      </c>
      <c r="E8354" t="s">
        <v>36</v>
      </c>
      <c r="F8354" t="s">
        <v>37</v>
      </c>
      <c r="G8354">
        <v>5</v>
      </c>
      <c r="H8354">
        <v>24086.99</v>
      </c>
      <c r="I8354">
        <v>2098.4</v>
      </c>
      <c r="J8354" t="s">
        <v>71</v>
      </c>
      <c r="K8354" t="s">
        <v>23</v>
      </c>
      <c r="L8354">
        <f t="shared" si="390"/>
        <v>2022</v>
      </c>
      <c r="M8354" t="str">
        <f t="shared" si="391"/>
        <v>Dec</v>
      </c>
      <c r="N8354" s="2">
        <f t="shared" si="392"/>
        <v>8.7117568446700891E-2</v>
      </c>
    </row>
    <row r="8355" spans="1:14" x14ac:dyDescent="0.45">
      <c r="A8355" t="s">
        <v>13859</v>
      </c>
      <c r="B8355" s="1">
        <v>44720</v>
      </c>
      <c r="C8355" t="s">
        <v>12898</v>
      </c>
      <c r="D8355" t="s">
        <v>13</v>
      </c>
      <c r="E8355" t="s">
        <v>36</v>
      </c>
      <c r="F8355" t="s">
        <v>53</v>
      </c>
      <c r="G8355">
        <v>4</v>
      </c>
      <c r="H8355">
        <v>12222.19</v>
      </c>
      <c r="I8355">
        <v>1077.22</v>
      </c>
      <c r="J8355" t="s">
        <v>22</v>
      </c>
      <c r="K8355" t="s">
        <v>29</v>
      </c>
      <c r="L8355">
        <f t="shared" si="390"/>
        <v>2022</v>
      </c>
      <c r="M8355" t="str">
        <f t="shared" si="391"/>
        <v>Jun</v>
      </c>
      <c r="N8355" s="2">
        <f t="shared" si="392"/>
        <v>8.81364141778192E-2</v>
      </c>
    </row>
    <row r="8356" spans="1:14" x14ac:dyDescent="0.45">
      <c r="A8356" t="s">
        <v>13860</v>
      </c>
      <c r="B8356" s="1">
        <v>44621</v>
      </c>
      <c r="C8356" t="s">
        <v>13861</v>
      </c>
      <c r="D8356" t="s">
        <v>13</v>
      </c>
      <c r="E8356" t="s">
        <v>14</v>
      </c>
      <c r="F8356" t="s">
        <v>40</v>
      </c>
      <c r="G8356">
        <v>2</v>
      </c>
      <c r="H8356">
        <v>26753.08</v>
      </c>
      <c r="I8356">
        <v>3046.53</v>
      </c>
      <c r="J8356" t="s">
        <v>16</v>
      </c>
      <c r="K8356" t="s">
        <v>23</v>
      </c>
      <c r="L8356">
        <f t="shared" si="390"/>
        <v>2022</v>
      </c>
      <c r="M8356" t="str">
        <f t="shared" si="391"/>
        <v>Mar</v>
      </c>
      <c r="N8356" s="2">
        <f t="shared" si="392"/>
        <v>0.11387586027477958</v>
      </c>
    </row>
    <row r="8357" spans="1:14" x14ac:dyDescent="0.45">
      <c r="A8357" t="s">
        <v>13862</v>
      </c>
      <c r="B8357" s="1">
        <v>44602</v>
      </c>
      <c r="C8357" t="s">
        <v>13863</v>
      </c>
      <c r="D8357" t="s">
        <v>56</v>
      </c>
      <c r="E8357" t="s">
        <v>36</v>
      </c>
      <c r="F8357" t="s">
        <v>64</v>
      </c>
      <c r="G8357">
        <v>3</v>
      </c>
      <c r="H8357">
        <v>12247.07</v>
      </c>
      <c r="I8357">
        <v>2737.24</v>
      </c>
      <c r="J8357" t="s">
        <v>47</v>
      </c>
      <c r="K8357" t="s">
        <v>23</v>
      </c>
      <c r="L8357">
        <f t="shared" si="390"/>
        <v>2022</v>
      </c>
      <c r="M8357" t="str">
        <f t="shared" si="391"/>
        <v>Feb</v>
      </c>
      <c r="N8357" s="2">
        <f t="shared" si="392"/>
        <v>0.22350162120409206</v>
      </c>
    </row>
    <row r="8358" spans="1:14" x14ac:dyDescent="0.45">
      <c r="A8358" t="s">
        <v>13864</v>
      </c>
      <c r="B8358" s="1">
        <v>44648</v>
      </c>
      <c r="C8358" t="s">
        <v>9162</v>
      </c>
      <c r="D8358" t="s">
        <v>13</v>
      </c>
      <c r="E8358" t="s">
        <v>36</v>
      </c>
      <c r="F8358" t="s">
        <v>46</v>
      </c>
      <c r="G8358">
        <v>3</v>
      </c>
      <c r="H8358">
        <v>7808.22</v>
      </c>
      <c r="I8358">
        <v>479.6</v>
      </c>
      <c r="J8358" t="s">
        <v>16</v>
      </c>
      <c r="K8358" t="s">
        <v>17</v>
      </c>
      <c r="L8358">
        <f t="shared" si="390"/>
        <v>2022</v>
      </c>
      <c r="M8358" t="str">
        <f t="shared" si="391"/>
        <v>Mar</v>
      </c>
      <c r="N8358" s="2">
        <f t="shared" si="392"/>
        <v>6.1422449674829863E-2</v>
      </c>
    </row>
    <row r="8359" spans="1:14" x14ac:dyDescent="0.45">
      <c r="A8359" t="s">
        <v>13865</v>
      </c>
      <c r="B8359" s="1">
        <v>45065</v>
      </c>
      <c r="C8359" t="s">
        <v>13866</v>
      </c>
      <c r="D8359" t="s">
        <v>26</v>
      </c>
      <c r="E8359" t="s">
        <v>20</v>
      </c>
      <c r="F8359" t="s">
        <v>43</v>
      </c>
      <c r="G8359">
        <v>2</v>
      </c>
      <c r="H8359">
        <v>16048.64</v>
      </c>
      <c r="I8359">
        <v>3824.82</v>
      </c>
      <c r="J8359" t="s">
        <v>16</v>
      </c>
      <c r="K8359" t="s">
        <v>33</v>
      </c>
      <c r="L8359">
        <f t="shared" si="390"/>
        <v>2023</v>
      </c>
      <c r="M8359" t="str">
        <f t="shared" si="391"/>
        <v>May</v>
      </c>
      <c r="N8359" s="2">
        <f t="shared" si="392"/>
        <v>0.23832673672037008</v>
      </c>
    </row>
    <row r="8360" spans="1:14" x14ac:dyDescent="0.45">
      <c r="A8360" t="s">
        <v>13867</v>
      </c>
      <c r="B8360" s="1">
        <v>44693</v>
      </c>
      <c r="C8360" t="s">
        <v>1030</v>
      </c>
      <c r="D8360" t="s">
        <v>26</v>
      </c>
      <c r="E8360" t="s">
        <v>20</v>
      </c>
      <c r="F8360" t="s">
        <v>27</v>
      </c>
      <c r="G8360">
        <v>3</v>
      </c>
      <c r="H8360">
        <v>31941.83</v>
      </c>
      <c r="I8360">
        <v>5432.03</v>
      </c>
      <c r="J8360" t="s">
        <v>47</v>
      </c>
      <c r="K8360" t="s">
        <v>17</v>
      </c>
      <c r="L8360">
        <f t="shared" si="390"/>
        <v>2022</v>
      </c>
      <c r="M8360" t="str">
        <f t="shared" si="391"/>
        <v>May</v>
      </c>
      <c r="N8360" s="2">
        <f t="shared" si="392"/>
        <v>0.17006007482977648</v>
      </c>
    </row>
    <row r="8361" spans="1:14" x14ac:dyDescent="0.45">
      <c r="A8361" t="s">
        <v>13868</v>
      </c>
      <c r="B8361" s="1">
        <v>45613</v>
      </c>
      <c r="C8361" t="s">
        <v>13869</v>
      </c>
      <c r="D8361" t="s">
        <v>26</v>
      </c>
      <c r="E8361" t="s">
        <v>14</v>
      </c>
      <c r="F8361" t="s">
        <v>32</v>
      </c>
      <c r="G8361">
        <v>3</v>
      </c>
      <c r="H8361">
        <v>25441.48</v>
      </c>
      <c r="I8361">
        <v>3464.2</v>
      </c>
      <c r="J8361" t="s">
        <v>47</v>
      </c>
      <c r="K8361" t="s">
        <v>33</v>
      </c>
      <c r="L8361">
        <f t="shared" si="390"/>
        <v>2024</v>
      </c>
      <c r="M8361" t="str">
        <f t="shared" si="391"/>
        <v>Nov</v>
      </c>
      <c r="N8361" s="2">
        <f t="shared" si="392"/>
        <v>0.13616346218852046</v>
      </c>
    </row>
    <row r="8362" spans="1:14" x14ac:dyDescent="0.45">
      <c r="A8362" t="s">
        <v>13870</v>
      </c>
      <c r="B8362" s="1">
        <v>45247</v>
      </c>
      <c r="C8362" t="s">
        <v>13871</v>
      </c>
      <c r="D8362" t="s">
        <v>26</v>
      </c>
      <c r="E8362" t="s">
        <v>20</v>
      </c>
      <c r="F8362" t="s">
        <v>43</v>
      </c>
      <c r="G8362">
        <v>2</v>
      </c>
      <c r="H8362">
        <v>32185.9</v>
      </c>
      <c r="I8362">
        <v>2999.24</v>
      </c>
      <c r="J8362" t="s">
        <v>16</v>
      </c>
      <c r="K8362" t="s">
        <v>29</v>
      </c>
      <c r="L8362">
        <f t="shared" si="390"/>
        <v>2023</v>
      </c>
      <c r="M8362" t="str">
        <f t="shared" si="391"/>
        <v>Nov</v>
      </c>
      <c r="N8362" s="2">
        <f t="shared" si="392"/>
        <v>9.3184903948623457E-2</v>
      </c>
    </row>
    <row r="8363" spans="1:14" x14ac:dyDescent="0.45">
      <c r="A8363" t="s">
        <v>13872</v>
      </c>
      <c r="B8363" s="1">
        <v>45089</v>
      </c>
      <c r="C8363" t="s">
        <v>13873</v>
      </c>
      <c r="D8363" t="s">
        <v>26</v>
      </c>
      <c r="E8363" t="s">
        <v>14</v>
      </c>
      <c r="F8363" t="s">
        <v>57</v>
      </c>
      <c r="G8363">
        <v>4</v>
      </c>
      <c r="H8363">
        <v>3661.25</v>
      </c>
      <c r="I8363">
        <v>423.11</v>
      </c>
      <c r="J8363" t="s">
        <v>47</v>
      </c>
      <c r="K8363" t="s">
        <v>23</v>
      </c>
      <c r="L8363">
        <f t="shared" si="390"/>
        <v>2023</v>
      </c>
      <c r="M8363" t="str">
        <f t="shared" si="391"/>
        <v>Jun</v>
      </c>
      <c r="N8363" s="2">
        <f t="shared" si="392"/>
        <v>0.11556435643564357</v>
      </c>
    </row>
    <row r="8364" spans="1:14" x14ac:dyDescent="0.45">
      <c r="A8364" t="s">
        <v>13874</v>
      </c>
      <c r="B8364" s="1">
        <v>44928</v>
      </c>
      <c r="C8364" t="s">
        <v>13875</v>
      </c>
      <c r="D8364" t="s">
        <v>26</v>
      </c>
      <c r="E8364" t="s">
        <v>14</v>
      </c>
      <c r="F8364" t="s">
        <v>15</v>
      </c>
      <c r="G8364">
        <v>5</v>
      </c>
      <c r="H8364">
        <v>16820.849999999999</v>
      </c>
      <c r="I8364">
        <v>3909.68</v>
      </c>
      <c r="J8364" t="s">
        <v>28</v>
      </c>
      <c r="K8364" t="s">
        <v>29</v>
      </c>
      <c r="L8364">
        <f t="shared" si="390"/>
        <v>2023</v>
      </c>
      <c r="M8364" t="str">
        <f t="shared" si="391"/>
        <v>Jan</v>
      </c>
      <c r="N8364" s="2">
        <f t="shared" si="392"/>
        <v>0.23243058466129835</v>
      </c>
    </row>
    <row r="8365" spans="1:14" x14ac:dyDescent="0.45">
      <c r="A8365" t="s">
        <v>13876</v>
      </c>
      <c r="B8365" s="1">
        <v>44883</v>
      </c>
      <c r="C8365" t="s">
        <v>4515</v>
      </c>
      <c r="D8365" t="s">
        <v>13</v>
      </c>
      <c r="E8365" t="s">
        <v>20</v>
      </c>
      <c r="F8365" t="s">
        <v>50</v>
      </c>
      <c r="G8365">
        <v>4</v>
      </c>
      <c r="H8365">
        <v>26080.959999999999</v>
      </c>
      <c r="I8365">
        <v>3636.49</v>
      </c>
      <c r="J8365" t="s">
        <v>22</v>
      </c>
      <c r="K8365" t="s">
        <v>29</v>
      </c>
      <c r="L8365">
        <f t="shared" si="390"/>
        <v>2022</v>
      </c>
      <c r="M8365" t="str">
        <f t="shared" si="391"/>
        <v>Nov</v>
      </c>
      <c r="N8365" s="2">
        <f t="shared" si="392"/>
        <v>0.13943083383433738</v>
      </c>
    </row>
    <row r="8366" spans="1:14" x14ac:dyDescent="0.45">
      <c r="A8366" t="s">
        <v>13877</v>
      </c>
      <c r="B8366" s="1">
        <v>45207</v>
      </c>
      <c r="C8366" t="s">
        <v>13687</v>
      </c>
      <c r="D8366" t="s">
        <v>13</v>
      </c>
      <c r="E8366" t="s">
        <v>20</v>
      </c>
      <c r="F8366" t="s">
        <v>27</v>
      </c>
      <c r="G8366">
        <v>2</v>
      </c>
      <c r="H8366">
        <v>43090.05</v>
      </c>
      <c r="I8366">
        <v>3749.81</v>
      </c>
      <c r="J8366" t="s">
        <v>47</v>
      </c>
      <c r="K8366" t="s">
        <v>33</v>
      </c>
      <c r="L8366">
        <f t="shared" si="390"/>
        <v>2023</v>
      </c>
      <c r="M8366" t="str">
        <f t="shared" si="391"/>
        <v>Oct</v>
      </c>
      <c r="N8366" s="2">
        <f t="shared" si="392"/>
        <v>8.7022642118075977E-2</v>
      </c>
    </row>
    <row r="8367" spans="1:14" x14ac:dyDescent="0.45">
      <c r="A8367" t="s">
        <v>13878</v>
      </c>
      <c r="B8367" s="1">
        <v>45408</v>
      </c>
      <c r="C8367" t="s">
        <v>13879</v>
      </c>
      <c r="D8367" t="s">
        <v>56</v>
      </c>
      <c r="E8367" t="s">
        <v>14</v>
      </c>
      <c r="F8367" t="s">
        <v>57</v>
      </c>
      <c r="G8367">
        <v>3</v>
      </c>
      <c r="H8367">
        <v>40005.360000000001</v>
      </c>
      <c r="I8367">
        <v>9557.09</v>
      </c>
      <c r="J8367" t="s">
        <v>47</v>
      </c>
      <c r="K8367" t="s">
        <v>29</v>
      </c>
      <c r="L8367">
        <f t="shared" si="390"/>
        <v>2024</v>
      </c>
      <c r="M8367" t="str">
        <f t="shared" si="391"/>
        <v>Apr</v>
      </c>
      <c r="N8367" s="2">
        <f t="shared" si="392"/>
        <v>0.23889523803810289</v>
      </c>
    </row>
    <row r="8368" spans="1:14" x14ac:dyDescent="0.45">
      <c r="A8368" t="s">
        <v>13880</v>
      </c>
      <c r="B8368" s="1">
        <v>45144</v>
      </c>
      <c r="C8368" t="s">
        <v>13881</v>
      </c>
      <c r="D8368" t="s">
        <v>26</v>
      </c>
      <c r="E8368" t="s">
        <v>14</v>
      </c>
      <c r="F8368" t="s">
        <v>57</v>
      </c>
      <c r="G8368">
        <v>3</v>
      </c>
      <c r="H8368">
        <v>29497.33</v>
      </c>
      <c r="I8368">
        <v>3981.72</v>
      </c>
      <c r="J8368" t="s">
        <v>28</v>
      </c>
      <c r="K8368" t="s">
        <v>17</v>
      </c>
      <c r="L8368">
        <f t="shared" si="390"/>
        <v>2023</v>
      </c>
      <c r="M8368" t="str">
        <f t="shared" si="391"/>
        <v>Aug</v>
      </c>
      <c r="N8368" s="2">
        <f t="shared" si="392"/>
        <v>0.13498577667877057</v>
      </c>
    </row>
    <row r="8369" spans="1:14" x14ac:dyDescent="0.45">
      <c r="A8369" t="s">
        <v>13882</v>
      </c>
      <c r="B8369" s="1">
        <v>44972</v>
      </c>
      <c r="C8369" t="s">
        <v>3197</v>
      </c>
      <c r="D8369" t="s">
        <v>13</v>
      </c>
      <c r="E8369" t="s">
        <v>20</v>
      </c>
      <c r="F8369" t="s">
        <v>50</v>
      </c>
      <c r="G8369">
        <v>2</v>
      </c>
      <c r="H8369">
        <v>44378.400000000001</v>
      </c>
      <c r="I8369">
        <v>5171.38</v>
      </c>
      <c r="J8369" t="s">
        <v>71</v>
      </c>
      <c r="K8369" t="s">
        <v>17</v>
      </c>
      <c r="L8369">
        <f t="shared" si="390"/>
        <v>2023</v>
      </c>
      <c r="M8369" t="str">
        <f t="shared" si="391"/>
        <v>Feb</v>
      </c>
      <c r="N8369" s="2">
        <f t="shared" si="392"/>
        <v>0.11652921240964073</v>
      </c>
    </row>
    <row r="8370" spans="1:14" x14ac:dyDescent="0.45">
      <c r="A8370" t="s">
        <v>13883</v>
      </c>
      <c r="B8370" s="1">
        <v>45044</v>
      </c>
      <c r="C8370" t="s">
        <v>13884</v>
      </c>
      <c r="D8370" t="s">
        <v>56</v>
      </c>
      <c r="E8370" t="s">
        <v>14</v>
      </c>
      <c r="F8370" t="s">
        <v>15</v>
      </c>
      <c r="G8370">
        <v>3</v>
      </c>
      <c r="H8370">
        <v>29585.46</v>
      </c>
      <c r="I8370">
        <v>2651.48</v>
      </c>
      <c r="J8370" t="s">
        <v>16</v>
      </c>
      <c r="K8370" t="s">
        <v>33</v>
      </c>
      <c r="L8370">
        <f t="shared" si="390"/>
        <v>2023</v>
      </c>
      <c r="M8370" t="str">
        <f t="shared" si="391"/>
        <v>Apr</v>
      </c>
      <c r="N8370" s="2">
        <f t="shared" si="392"/>
        <v>8.9621050340268502E-2</v>
      </c>
    </row>
    <row r="8371" spans="1:14" x14ac:dyDescent="0.45">
      <c r="A8371" t="s">
        <v>13885</v>
      </c>
      <c r="B8371" s="1">
        <v>45128</v>
      </c>
      <c r="C8371" t="s">
        <v>9140</v>
      </c>
      <c r="D8371" t="s">
        <v>13</v>
      </c>
      <c r="E8371" t="s">
        <v>36</v>
      </c>
      <c r="F8371" t="s">
        <v>53</v>
      </c>
      <c r="G8371">
        <v>2</v>
      </c>
      <c r="H8371">
        <v>46143.11</v>
      </c>
      <c r="I8371">
        <v>2902.51</v>
      </c>
      <c r="J8371" t="s">
        <v>22</v>
      </c>
      <c r="K8371" t="s">
        <v>33</v>
      </c>
      <c r="L8371">
        <f t="shared" si="390"/>
        <v>2023</v>
      </c>
      <c r="M8371" t="str">
        <f t="shared" si="391"/>
        <v>Jul</v>
      </c>
      <c r="N8371" s="2">
        <f t="shared" si="392"/>
        <v>6.2902348801370356E-2</v>
      </c>
    </row>
    <row r="8372" spans="1:14" x14ac:dyDescent="0.45">
      <c r="A8372" t="s">
        <v>13886</v>
      </c>
      <c r="B8372" s="1">
        <v>44713</v>
      </c>
      <c r="C8372" t="s">
        <v>13887</v>
      </c>
      <c r="D8372" t="s">
        <v>26</v>
      </c>
      <c r="E8372" t="s">
        <v>20</v>
      </c>
      <c r="F8372" t="s">
        <v>50</v>
      </c>
      <c r="G8372">
        <v>2</v>
      </c>
      <c r="H8372">
        <v>48960.959999999999</v>
      </c>
      <c r="I8372">
        <v>4714.84</v>
      </c>
      <c r="J8372" t="s">
        <v>28</v>
      </c>
      <c r="K8372" t="s">
        <v>17</v>
      </c>
      <c r="L8372">
        <f t="shared" si="390"/>
        <v>2022</v>
      </c>
      <c r="M8372" t="str">
        <f t="shared" si="391"/>
        <v>Jun</v>
      </c>
      <c r="N8372" s="2">
        <f t="shared" si="392"/>
        <v>9.6297948406240411E-2</v>
      </c>
    </row>
    <row r="8373" spans="1:14" x14ac:dyDescent="0.45">
      <c r="A8373" t="s">
        <v>13888</v>
      </c>
      <c r="B8373" s="1">
        <v>45124</v>
      </c>
      <c r="C8373" t="s">
        <v>10345</v>
      </c>
      <c r="D8373" t="s">
        <v>26</v>
      </c>
      <c r="E8373" t="s">
        <v>14</v>
      </c>
      <c r="F8373" t="s">
        <v>40</v>
      </c>
      <c r="G8373">
        <v>5</v>
      </c>
      <c r="H8373">
        <v>5535.08</v>
      </c>
      <c r="I8373">
        <v>356.51</v>
      </c>
      <c r="J8373" t="s">
        <v>71</v>
      </c>
      <c r="K8373" t="s">
        <v>23</v>
      </c>
      <c r="L8373">
        <f t="shared" si="390"/>
        <v>2023</v>
      </c>
      <c r="M8373" t="str">
        <f t="shared" si="391"/>
        <v>Jul</v>
      </c>
      <c r="N8373" s="2">
        <f t="shared" si="392"/>
        <v>6.4409186497756135E-2</v>
      </c>
    </row>
    <row r="8374" spans="1:14" x14ac:dyDescent="0.45">
      <c r="A8374" t="s">
        <v>13889</v>
      </c>
      <c r="B8374" s="1">
        <v>44830</v>
      </c>
      <c r="C8374" t="s">
        <v>1270</v>
      </c>
      <c r="D8374" t="s">
        <v>56</v>
      </c>
      <c r="E8374" t="s">
        <v>36</v>
      </c>
      <c r="F8374" t="s">
        <v>64</v>
      </c>
      <c r="G8374">
        <v>4</v>
      </c>
      <c r="H8374">
        <v>6841.62</v>
      </c>
      <c r="I8374">
        <v>575.15</v>
      </c>
      <c r="J8374" t="s">
        <v>71</v>
      </c>
      <c r="K8374" t="s">
        <v>33</v>
      </c>
      <c r="L8374">
        <f t="shared" si="390"/>
        <v>2022</v>
      </c>
      <c r="M8374" t="str">
        <f t="shared" si="391"/>
        <v>Sep</v>
      </c>
      <c r="N8374" s="2">
        <f t="shared" si="392"/>
        <v>8.4066346859369562E-2</v>
      </c>
    </row>
    <row r="8375" spans="1:14" x14ac:dyDescent="0.45">
      <c r="A8375" t="s">
        <v>13890</v>
      </c>
      <c r="B8375" s="1">
        <v>44796</v>
      </c>
      <c r="C8375" t="s">
        <v>8423</v>
      </c>
      <c r="D8375" t="s">
        <v>26</v>
      </c>
      <c r="E8375" t="s">
        <v>20</v>
      </c>
      <c r="F8375" t="s">
        <v>21</v>
      </c>
      <c r="G8375">
        <v>3</v>
      </c>
      <c r="H8375">
        <v>46803.01</v>
      </c>
      <c r="I8375">
        <v>4996.74</v>
      </c>
      <c r="J8375" t="s">
        <v>16</v>
      </c>
      <c r="K8375" t="s">
        <v>29</v>
      </c>
      <c r="L8375">
        <f t="shared" si="390"/>
        <v>2022</v>
      </c>
      <c r="M8375" t="str">
        <f t="shared" si="391"/>
        <v>Aug</v>
      </c>
      <c r="N8375" s="2">
        <f t="shared" si="392"/>
        <v>0.10676108224663328</v>
      </c>
    </row>
    <row r="8376" spans="1:14" x14ac:dyDescent="0.45">
      <c r="A8376" t="s">
        <v>13891</v>
      </c>
      <c r="B8376" s="1">
        <v>45539</v>
      </c>
      <c r="C8376" t="s">
        <v>5641</v>
      </c>
      <c r="D8376" t="s">
        <v>56</v>
      </c>
      <c r="E8376" t="s">
        <v>20</v>
      </c>
      <c r="F8376" t="s">
        <v>21</v>
      </c>
      <c r="G8376">
        <v>1</v>
      </c>
      <c r="H8376">
        <v>28919.88</v>
      </c>
      <c r="I8376">
        <v>1923.03</v>
      </c>
      <c r="J8376" t="s">
        <v>16</v>
      </c>
      <c r="K8376" t="s">
        <v>29</v>
      </c>
      <c r="L8376">
        <f t="shared" si="390"/>
        <v>2024</v>
      </c>
      <c r="M8376" t="str">
        <f t="shared" si="391"/>
        <v>Sep</v>
      </c>
      <c r="N8376" s="2">
        <f t="shared" si="392"/>
        <v>6.649508919124146E-2</v>
      </c>
    </row>
    <row r="8377" spans="1:14" x14ac:dyDescent="0.45">
      <c r="A8377" t="s">
        <v>13892</v>
      </c>
      <c r="B8377" s="1">
        <v>44843</v>
      </c>
      <c r="C8377" t="s">
        <v>13893</v>
      </c>
      <c r="D8377" t="s">
        <v>56</v>
      </c>
      <c r="E8377" t="s">
        <v>20</v>
      </c>
      <c r="F8377" t="s">
        <v>50</v>
      </c>
      <c r="G8377">
        <v>2</v>
      </c>
      <c r="H8377">
        <v>38608.46</v>
      </c>
      <c r="I8377">
        <v>3601.54</v>
      </c>
      <c r="J8377" t="s">
        <v>71</v>
      </c>
      <c r="K8377" t="s">
        <v>29</v>
      </c>
      <c r="L8377">
        <f t="shared" si="390"/>
        <v>2022</v>
      </c>
      <c r="M8377" t="str">
        <f t="shared" si="391"/>
        <v>Oct</v>
      </c>
      <c r="N8377" s="2">
        <f t="shared" si="392"/>
        <v>9.3283699997358097E-2</v>
      </c>
    </row>
    <row r="8378" spans="1:14" x14ac:dyDescent="0.45">
      <c r="A8378" t="s">
        <v>13894</v>
      </c>
      <c r="B8378" s="1">
        <v>44743</v>
      </c>
      <c r="C8378" t="s">
        <v>7085</v>
      </c>
      <c r="D8378" t="s">
        <v>13</v>
      </c>
      <c r="E8378" t="s">
        <v>14</v>
      </c>
      <c r="F8378" t="s">
        <v>40</v>
      </c>
      <c r="G8378">
        <v>5</v>
      </c>
      <c r="H8378">
        <v>44129.38</v>
      </c>
      <c r="I8378">
        <v>7685.7</v>
      </c>
      <c r="J8378" t="s">
        <v>28</v>
      </c>
      <c r="K8378" t="s">
        <v>23</v>
      </c>
      <c r="L8378">
        <f t="shared" si="390"/>
        <v>2022</v>
      </c>
      <c r="M8378" t="str">
        <f t="shared" si="391"/>
        <v>Jul</v>
      </c>
      <c r="N8378" s="2">
        <f t="shared" si="392"/>
        <v>0.17416288196208513</v>
      </c>
    </row>
    <row r="8379" spans="1:14" x14ac:dyDescent="0.45">
      <c r="A8379" t="s">
        <v>13895</v>
      </c>
      <c r="B8379" s="1">
        <v>45594</v>
      </c>
      <c r="C8379" t="s">
        <v>3882</v>
      </c>
      <c r="D8379" t="s">
        <v>56</v>
      </c>
      <c r="E8379" t="s">
        <v>14</v>
      </c>
      <c r="F8379" t="s">
        <v>57</v>
      </c>
      <c r="G8379">
        <v>5</v>
      </c>
      <c r="H8379">
        <v>14449.6</v>
      </c>
      <c r="I8379">
        <v>3299.11</v>
      </c>
      <c r="J8379" t="s">
        <v>28</v>
      </c>
      <c r="K8379" t="s">
        <v>17</v>
      </c>
      <c r="L8379">
        <f t="shared" si="390"/>
        <v>2024</v>
      </c>
      <c r="M8379" t="str">
        <f t="shared" si="391"/>
        <v>Oct</v>
      </c>
      <c r="N8379" s="2">
        <f t="shared" si="392"/>
        <v>0.22831843096002657</v>
      </c>
    </row>
    <row r="8380" spans="1:14" x14ac:dyDescent="0.45">
      <c r="A8380" t="s">
        <v>13896</v>
      </c>
      <c r="B8380" s="1">
        <v>45176</v>
      </c>
      <c r="C8380" t="s">
        <v>5960</v>
      </c>
      <c r="D8380" t="s">
        <v>26</v>
      </c>
      <c r="E8380" t="s">
        <v>36</v>
      </c>
      <c r="F8380" t="s">
        <v>37</v>
      </c>
      <c r="G8380">
        <v>4</v>
      </c>
      <c r="H8380">
        <v>30152.99</v>
      </c>
      <c r="I8380">
        <v>2970.8</v>
      </c>
      <c r="J8380" t="s">
        <v>71</v>
      </c>
      <c r="K8380" t="s">
        <v>33</v>
      </c>
      <c r="L8380">
        <f t="shared" si="390"/>
        <v>2023</v>
      </c>
      <c r="M8380" t="str">
        <f t="shared" si="391"/>
        <v>Sep</v>
      </c>
      <c r="N8380" s="2">
        <f t="shared" si="392"/>
        <v>9.8524225955701247E-2</v>
      </c>
    </row>
    <row r="8381" spans="1:14" x14ac:dyDescent="0.45">
      <c r="A8381" t="s">
        <v>13897</v>
      </c>
      <c r="B8381" s="1">
        <v>45114</v>
      </c>
      <c r="C8381" t="s">
        <v>4679</v>
      </c>
      <c r="D8381" t="s">
        <v>13</v>
      </c>
      <c r="E8381" t="s">
        <v>36</v>
      </c>
      <c r="F8381" t="s">
        <v>53</v>
      </c>
      <c r="G8381">
        <v>4</v>
      </c>
      <c r="H8381">
        <v>20158.04</v>
      </c>
      <c r="I8381">
        <v>2078.9499999999998</v>
      </c>
      <c r="J8381" t="s">
        <v>16</v>
      </c>
      <c r="K8381" t="s">
        <v>29</v>
      </c>
      <c r="L8381">
        <f t="shared" si="390"/>
        <v>2023</v>
      </c>
      <c r="M8381" t="str">
        <f t="shared" si="391"/>
        <v>Jul</v>
      </c>
      <c r="N8381" s="2">
        <f t="shared" si="392"/>
        <v>0.10313254661663533</v>
      </c>
    </row>
    <row r="8382" spans="1:14" x14ac:dyDescent="0.45">
      <c r="A8382" t="s">
        <v>13898</v>
      </c>
      <c r="B8382" s="1">
        <v>44801</v>
      </c>
      <c r="C8382" t="s">
        <v>13899</v>
      </c>
      <c r="D8382" t="s">
        <v>13</v>
      </c>
      <c r="E8382" t="s">
        <v>14</v>
      </c>
      <c r="F8382" t="s">
        <v>57</v>
      </c>
      <c r="G8382">
        <v>1</v>
      </c>
      <c r="H8382">
        <v>23161.61</v>
      </c>
      <c r="I8382">
        <v>4470.9799999999996</v>
      </c>
      <c r="J8382" t="s">
        <v>28</v>
      </c>
      <c r="K8382" t="s">
        <v>17</v>
      </c>
      <c r="L8382">
        <f t="shared" si="390"/>
        <v>2022</v>
      </c>
      <c r="M8382" t="str">
        <f t="shared" si="391"/>
        <v>Aug</v>
      </c>
      <c r="N8382" s="2">
        <f t="shared" si="392"/>
        <v>0.19303407664665795</v>
      </c>
    </row>
    <row r="8383" spans="1:14" x14ac:dyDescent="0.45">
      <c r="A8383" t="s">
        <v>13900</v>
      </c>
      <c r="B8383" s="1">
        <v>45293</v>
      </c>
      <c r="C8383" t="s">
        <v>4283</v>
      </c>
      <c r="D8383" t="s">
        <v>56</v>
      </c>
      <c r="E8383" t="s">
        <v>36</v>
      </c>
      <c r="F8383" t="s">
        <v>37</v>
      </c>
      <c r="G8383">
        <v>3</v>
      </c>
      <c r="H8383">
        <v>34966.04</v>
      </c>
      <c r="I8383">
        <v>5266.58</v>
      </c>
      <c r="J8383" t="s">
        <v>47</v>
      </c>
      <c r="K8383" t="s">
        <v>29</v>
      </c>
      <c r="L8383">
        <f t="shared" si="390"/>
        <v>2024</v>
      </c>
      <c r="M8383" t="str">
        <f t="shared" si="391"/>
        <v>Jan</v>
      </c>
      <c r="N8383" s="2">
        <f t="shared" si="392"/>
        <v>0.1506198585827849</v>
      </c>
    </row>
    <row r="8384" spans="1:14" x14ac:dyDescent="0.45">
      <c r="A8384" t="s">
        <v>13901</v>
      </c>
      <c r="B8384" s="1">
        <v>44852</v>
      </c>
      <c r="C8384" t="s">
        <v>9075</v>
      </c>
      <c r="D8384" t="s">
        <v>56</v>
      </c>
      <c r="E8384" t="s">
        <v>20</v>
      </c>
      <c r="F8384" t="s">
        <v>21</v>
      </c>
      <c r="G8384">
        <v>2</v>
      </c>
      <c r="H8384">
        <v>20789.060000000001</v>
      </c>
      <c r="I8384">
        <v>2951.65</v>
      </c>
      <c r="J8384" t="s">
        <v>71</v>
      </c>
      <c r="K8384" t="s">
        <v>17</v>
      </c>
      <c r="L8384">
        <f t="shared" si="390"/>
        <v>2022</v>
      </c>
      <c r="M8384" t="str">
        <f t="shared" si="391"/>
        <v>Oct</v>
      </c>
      <c r="N8384" s="2">
        <f t="shared" si="392"/>
        <v>0.14198092650653757</v>
      </c>
    </row>
    <row r="8385" spans="1:14" x14ac:dyDescent="0.45">
      <c r="A8385" t="s">
        <v>13902</v>
      </c>
      <c r="B8385" s="1">
        <v>44846</v>
      </c>
      <c r="C8385" t="s">
        <v>13903</v>
      </c>
      <c r="D8385" t="s">
        <v>13</v>
      </c>
      <c r="E8385" t="s">
        <v>36</v>
      </c>
      <c r="F8385" t="s">
        <v>64</v>
      </c>
      <c r="G8385">
        <v>4</v>
      </c>
      <c r="H8385">
        <v>34763.279999999999</v>
      </c>
      <c r="I8385">
        <v>5741.38</v>
      </c>
      <c r="J8385" t="s">
        <v>16</v>
      </c>
      <c r="K8385" t="s">
        <v>29</v>
      </c>
      <c r="L8385">
        <f t="shared" si="390"/>
        <v>2022</v>
      </c>
      <c r="M8385" t="str">
        <f t="shared" si="391"/>
        <v>Oct</v>
      </c>
      <c r="N8385" s="2">
        <f t="shared" si="392"/>
        <v>0.16515645244062127</v>
      </c>
    </row>
    <row r="8386" spans="1:14" x14ac:dyDescent="0.45">
      <c r="A8386" t="s">
        <v>13904</v>
      </c>
      <c r="B8386" s="1">
        <v>45527</v>
      </c>
      <c r="C8386" t="s">
        <v>13905</v>
      </c>
      <c r="D8386" t="s">
        <v>56</v>
      </c>
      <c r="E8386" t="s">
        <v>14</v>
      </c>
      <c r="F8386" t="s">
        <v>15</v>
      </c>
      <c r="G8386">
        <v>1</v>
      </c>
      <c r="H8386">
        <v>27122.240000000002</v>
      </c>
      <c r="I8386">
        <v>6188.77</v>
      </c>
      <c r="J8386" t="s">
        <v>22</v>
      </c>
      <c r="K8386" t="s">
        <v>23</v>
      </c>
      <c r="L8386">
        <f t="shared" si="390"/>
        <v>2024</v>
      </c>
      <c r="M8386" t="str">
        <f t="shared" si="391"/>
        <v>Aug</v>
      </c>
      <c r="N8386" s="2">
        <f t="shared" si="392"/>
        <v>0.22818063699753413</v>
      </c>
    </row>
    <row r="8387" spans="1:14" x14ac:dyDescent="0.45">
      <c r="A8387" t="s">
        <v>13906</v>
      </c>
      <c r="B8387" s="1">
        <v>45246</v>
      </c>
      <c r="C8387" t="s">
        <v>4507</v>
      </c>
      <c r="D8387" t="s">
        <v>13</v>
      </c>
      <c r="E8387" t="s">
        <v>20</v>
      </c>
      <c r="F8387" t="s">
        <v>27</v>
      </c>
      <c r="G8387">
        <v>3</v>
      </c>
      <c r="H8387">
        <v>25653.85</v>
      </c>
      <c r="I8387">
        <v>4020.5</v>
      </c>
      <c r="J8387" t="s">
        <v>47</v>
      </c>
      <c r="K8387" t="s">
        <v>17</v>
      </c>
      <c r="L8387">
        <f t="shared" ref="L8387:L8450" si="393">YEAR(B8387 )</f>
        <v>2023</v>
      </c>
      <c r="M8387" t="str">
        <f t="shared" ref="M8387:M8450" si="394">TEXT(B8387,"MMM")</f>
        <v>Nov</v>
      </c>
      <c r="N8387" s="2">
        <f t="shared" ref="N8387:N8450" si="395">I8387 / H8387</f>
        <v>0.15672111593386567</v>
      </c>
    </row>
    <row r="8388" spans="1:14" x14ac:dyDescent="0.45">
      <c r="A8388" t="s">
        <v>13907</v>
      </c>
      <c r="B8388" s="1">
        <v>45425</v>
      </c>
      <c r="C8388" t="s">
        <v>10209</v>
      </c>
      <c r="D8388" t="s">
        <v>13</v>
      </c>
      <c r="E8388" t="s">
        <v>36</v>
      </c>
      <c r="F8388" t="s">
        <v>37</v>
      </c>
      <c r="G8388">
        <v>1</v>
      </c>
      <c r="H8388">
        <v>45527.53</v>
      </c>
      <c r="I8388">
        <v>7031.59</v>
      </c>
      <c r="J8388" t="s">
        <v>71</v>
      </c>
      <c r="K8388" t="s">
        <v>33</v>
      </c>
      <c r="L8388">
        <f t="shared" si="393"/>
        <v>2024</v>
      </c>
      <c r="M8388" t="str">
        <f t="shared" si="394"/>
        <v>May</v>
      </c>
      <c r="N8388" s="2">
        <f t="shared" si="395"/>
        <v>0.15444699064500095</v>
      </c>
    </row>
    <row r="8389" spans="1:14" x14ac:dyDescent="0.45">
      <c r="A8389" t="s">
        <v>13908</v>
      </c>
      <c r="B8389" s="1">
        <v>45225</v>
      </c>
      <c r="C8389" t="s">
        <v>13909</v>
      </c>
      <c r="D8389" t="s">
        <v>26</v>
      </c>
      <c r="E8389" t="s">
        <v>20</v>
      </c>
      <c r="F8389" t="s">
        <v>50</v>
      </c>
      <c r="G8389">
        <v>1</v>
      </c>
      <c r="H8389">
        <v>41013.1</v>
      </c>
      <c r="I8389">
        <v>2708.71</v>
      </c>
      <c r="J8389" t="s">
        <v>16</v>
      </c>
      <c r="K8389" t="s">
        <v>33</v>
      </c>
      <c r="L8389">
        <f t="shared" si="393"/>
        <v>2023</v>
      </c>
      <c r="M8389" t="str">
        <f t="shared" si="394"/>
        <v>Oct</v>
      </c>
      <c r="N8389" s="2">
        <f t="shared" si="395"/>
        <v>6.6044995379525087E-2</v>
      </c>
    </row>
    <row r="8390" spans="1:14" x14ac:dyDescent="0.45">
      <c r="A8390" t="s">
        <v>13910</v>
      </c>
      <c r="B8390" s="1">
        <v>44811</v>
      </c>
      <c r="C8390" t="s">
        <v>6864</v>
      </c>
      <c r="D8390" t="s">
        <v>13</v>
      </c>
      <c r="E8390" t="s">
        <v>20</v>
      </c>
      <c r="F8390" t="s">
        <v>27</v>
      </c>
      <c r="G8390">
        <v>4</v>
      </c>
      <c r="H8390">
        <v>35748</v>
      </c>
      <c r="I8390">
        <v>2439.3000000000002</v>
      </c>
      <c r="J8390" t="s">
        <v>71</v>
      </c>
      <c r="K8390" t="s">
        <v>33</v>
      </c>
      <c r="L8390">
        <f t="shared" si="393"/>
        <v>2022</v>
      </c>
      <c r="M8390" t="str">
        <f t="shared" si="394"/>
        <v>Sep</v>
      </c>
      <c r="N8390" s="2">
        <f t="shared" si="395"/>
        <v>6.8235985229942939E-2</v>
      </c>
    </row>
    <row r="8391" spans="1:14" x14ac:dyDescent="0.45">
      <c r="A8391" t="s">
        <v>13911</v>
      </c>
      <c r="B8391" s="1">
        <v>44651</v>
      </c>
      <c r="C8391" t="s">
        <v>13912</v>
      </c>
      <c r="D8391" t="s">
        <v>56</v>
      </c>
      <c r="E8391" t="s">
        <v>20</v>
      </c>
      <c r="F8391" t="s">
        <v>27</v>
      </c>
      <c r="G8391">
        <v>3</v>
      </c>
      <c r="H8391">
        <v>48246.52</v>
      </c>
      <c r="I8391">
        <v>8976.18</v>
      </c>
      <c r="J8391" t="s">
        <v>47</v>
      </c>
      <c r="K8391" t="s">
        <v>29</v>
      </c>
      <c r="L8391">
        <f t="shared" si="393"/>
        <v>2022</v>
      </c>
      <c r="M8391" t="str">
        <f t="shared" si="394"/>
        <v>Mar</v>
      </c>
      <c r="N8391" s="2">
        <f t="shared" si="395"/>
        <v>0.18604823726146469</v>
      </c>
    </row>
    <row r="8392" spans="1:14" x14ac:dyDescent="0.45">
      <c r="A8392" t="s">
        <v>13913</v>
      </c>
      <c r="B8392" s="1">
        <v>44577</v>
      </c>
      <c r="C8392" t="s">
        <v>5546</v>
      </c>
      <c r="D8392" t="s">
        <v>26</v>
      </c>
      <c r="E8392" t="s">
        <v>36</v>
      </c>
      <c r="F8392" t="s">
        <v>53</v>
      </c>
      <c r="G8392">
        <v>1</v>
      </c>
      <c r="H8392">
        <v>32313.5</v>
      </c>
      <c r="I8392">
        <v>5437.68</v>
      </c>
      <c r="J8392" t="s">
        <v>47</v>
      </c>
      <c r="K8392" t="s">
        <v>29</v>
      </c>
      <c r="L8392">
        <f t="shared" si="393"/>
        <v>2022</v>
      </c>
      <c r="M8392" t="str">
        <f t="shared" si="394"/>
        <v>Jan</v>
      </c>
      <c r="N8392" s="2">
        <f t="shared" si="395"/>
        <v>0.16827889272285579</v>
      </c>
    </row>
    <row r="8393" spans="1:14" x14ac:dyDescent="0.45">
      <c r="A8393" t="s">
        <v>13914</v>
      </c>
      <c r="B8393" s="1">
        <v>45463</v>
      </c>
      <c r="C8393" t="s">
        <v>13915</v>
      </c>
      <c r="D8393" t="s">
        <v>26</v>
      </c>
      <c r="E8393" t="s">
        <v>20</v>
      </c>
      <c r="F8393" t="s">
        <v>50</v>
      </c>
      <c r="G8393">
        <v>4</v>
      </c>
      <c r="H8393">
        <v>34067.870000000003</v>
      </c>
      <c r="I8393">
        <v>4133.32</v>
      </c>
      <c r="J8393" t="s">
        <v>28</v>
      </c>
      <c r="K8393" t="s">
        <v>17</v>
      </c>
      <c r="L8393">
        <f t="shared" si="393"/>
        <v>2024</v>
      </c>
      <c r="M8393" t="str">
        <f t="shared" si="394"/>
        <v>Jun</v>
      </c>
      <c r="N8393" s="2">
        <f t="shared" si="395"/>
        <v>0.12132604709363982</v>
      </c>
    </row>
    <row r="8394" spans="1:14" x14ac:dyDescent="0.45">
      <c r="A8394" t="s">
        <v>13916</v>
      </c>
      <c r="B8394" s="1">
        <v>44632</v>
      </c>
      <c r="C8394" t="s">
        <v>13272</v>
      </c>
      <c r="D8394" t="s">
        <v>56</v>
      </c>
      <c r="E8394" t="s">
        <v>20</v>
      </c>
      <c r="F8394" t="s">
        <v>21</v>
      </c>
      <c r="G8394">
        <v>4</v>
      </c>
      <c r="H8394">
        <v>2970.59</v>
      </c>
      <c r="I8394">
        <v>581.29</v>
      </c>
      <c r="J8394" t="s">
        <v>28</v>
      </c>
      <c r="K8394" t="s">
        <v>29</v>
      </c>
      <c r="L8394">
        <f t="shared" si="393"/>
        <v>2022</v>
      </c>
      <c r="M8394" t="str">
        <f t="shared" si="394"/>
        <v>Mar</v>
      </c>
      <c r="N8394" s="2">
        <f t="shared" si="395"/>
        <v>0.1956816659316836</v>
      </c>
    </row>
    <row r="8395" spans="1:14" x14ac:dyDescent="0.45">
      <c r="A8395" t="s">
        <v>13917</v>
      </c>
      <c r="B8395" s="1">
        <v>44976</v>
      </c>
      <c r="C8395" t="s">
        <v>12977</v>
      </c>
      <c r="D8395" t="s">
        <v>56</v>
      </c>
      <c r="E8395" t="s">
        <v>14</v>
      </c>
      <c r="F8395" t="s">
        <v>32</v>
      </c>
      <c r="G8395">
        <v>1</v>
      </c>
      <c r="H8395">
        <v>29545.25</v>
      </c>
      <c r="I8395">
        <v>6159.44</v>
      </c>
      <c r="J8395" t="s">
        <v>22</v>
      </c>
      <c r="K8395" t="s">
        <v>29</v>
      </c>
      <c r="L8395">
        <f t="shared" si="393"/>
        <v>2023</v>
      </c>
      <c r="M8395" t="str">
        <f t="shared" si="394"/>
        <v>Feb</v>
      </c>
      <c r="N8395" s="2">
        <f t="shared" si="395"/>
        <v>0.2084747971332109</v>
      </c>
    </row>
    <row r="8396" spans="1:14" x14ac:dyDescent="0.45">
      <c r="A8396" t="s">
        <v>13918</v>
      </c>
      <c r="B8396" s="1">
        <v>44980</v>
      </c>
      <c r="C8396" t="s">
        <v>13919</v>
      </c>
      <c r="D8396" t="s">
        <v>13</v>
      </c>
      <c r="E8396" t="s">
        <v>36</v>
      </c>
      <c r="F8396" t="s">
        <v>64</v>
      </c>
      <c r="G8396">
        <v>2</v>
      </c>
      <c r="H8396">
        <v>8987.39</v>
      </c>
      <c r="I8396">
        <v>2208.56</v>
      </c>
      <c r="J8396" t="s">
        <v>28</v>
      </c>
      <c r="K8396" t="s">
        <v>33</v>
      </c>
      <c r="L8396">
        <f t="shared" si="393"/>
        <v>2023</v>
      </c>
      <c r="M8396" t="str">
        <f t="shared" si="394"/>
        <v>Feb</v>
      </c>
      <c r="N8396" s="2">
        <f t="shared" si="395"/>
        <v>0.24573986441002338</v>
      </c>
    </row>
    <row r="8397" spans="1:14" x14ac:dyDescent="0.45">
      <c r="A8397" t="s">
        <v>13920</v>
      </c>
      <c r="B8397" s="1">
        <v>44745</v>
      </c>
      <c r="C8397" t="s">
        <v>13090</v>
      </c>
      <c r="D8397" t="s">
        <v>26</v>
      </c>
      <c r="E8397" t="s">
        <v>14</v>
      </c>
      <c r="F8397" t="s">
        <v>32</v>
      </c>
      <c r="G8397">
        <v>5</v>
      </c>
      <c r="H8397">
        <v>32343.759999999998</v>
      </c>
      <c r="I8397">
        <v>1992.8</v>
      </c>
      <c r="J8397" t="s">
        <v>28</v>
      </c>
      <c r="K8397" t="s">
        <v>33</v>
      </c>
      <c r="L8397">
        <f t="shared" si="393"/>
        <v>2022</v>
      </c>
      <c r="M8397" t="str">
        <f t="shared" si="394"/>
        <v>Jul</v>
      </c>
      <c r="N8397" s="2">
        <f t="shared" si="395"/>
        <v>6.1613121047150984E-2</v>
      </c>
    </row>
    <row r="8398" spans="1:14" x14ac:dyDescent="0.45">
      <c r="A8398" t="s">
        <v>13921</v>
      </c>
      <c r="B8398" s="1">
        <v>44904</v>
      </c>
      <c r="C8398" t="s">
        <v>7102</v>
      </c>
      <c r="D8398" t="s">
        <v>26</v>
      </c>
      <c r="E8398" t="s">
        <v>20</v>
      </c>
      <c r="F8398" t="s">
        <v>21</v>
      </c>
      <c r="G8398">
        <v>1</v>
      </c>
      <c r="H8398">
        <v>40428.449999999997</v>
      </c>
      <c r="I8398">
        <v>9751.61</v>
      </c>
      <c r="J8398" t="s">
        <v>47</v>
      </c>
      <c r="K8398" t="s">
        <v>33</v>
      </c>
      <c r="L8398">
        <f t="shared" si="393"/>
        <v>2022</v>
      </c>
      <c r="M8398" t="str">
        <f t="shared" si="394"/>
        <v>Dec</v>
      </c>
      <c r="N8398" s="2">
        <f t="shared" si="395"/>
        <v>0.24120662553226754</v>
      </c>
    </row>
    <row r="8399" spans="1:14" x14ac:dyDescent="0.45">
      <c r="A8399" t="s">
        <v>13922</v>
      </c>
      <c r="B8399" s="1">
        <v>45014</v>
      </c>
      <c r="C8399" t="s">
        <v>156</v>
      </c>
      <c r="D8399" t="s">
        <v>56</v>
      </c>
      <c r="E8399" t="s">
        <v>20</v>
      </c>
      <c r="F8399" t="s">
        <v>50</v>
      </c>
      <c r="G8399">
        <v>1</v>
      </c>
      <c r="H8399">
        <v>16469.939999999999</v>
      </c>
      <c r="I8399">
        <v>1100.8499999999999</v>
      </c>
      <c r="J8399" t="s">
        <v>47</v>
      </c>
      <c r="K8399" t="s">
        <v>17</v>
      </c>
      <c r="L8399">
        <f t="shared" si="393"/>
        <v>2023</v>
      </c>
      <c r="M8399" t="str">
        <f t="shared" si="394"/>
        <v>Mar</v>
      </c>
      <c r="N8399" s="2">
        <f t="shared" si="395"/>
        <v>6.6839952058113147E-2</v>
      </c>
    </row>
    <row r="8400" spans="1:14" x14ac:dyDescent="0.45">
      <c r="A8400" t="s">
        <v>13923</v>
      </c>
      <c r="B8400" s="1">
        <v>45356</v>
      </c>
      <c r="C8400" t="s">
        <v>5914</v>
      </c>
      <c r="D8400" t="s">
        <v>56</v>
      </c>
      <c r="E8400" t="s">
        <v>36</v>
      </c>
      <c r="F8400" t="s">
        <v>37</v>
      </c>
      <c r="G8400">
        <v>2</v>
      </c>
      <c r="H8400">
        <v>1056.58</v>
      </c>
      <c r="I8400">
        <v>208.51</v>
      </c>
      <c r="J8400" t="s">
        <v>71</v>
      </c>
      <c r="K8400" t="s">
        <v>17</v>
      </c>
      <c r="L8400">
        <f t="shared" si="393"/>
        <v>2024</v>
      </c>
      <c r="M8400" t="str">
        <f t="shared" si="394"/>
        <v>Mar</v>
      </c>
      <c r="N8400" s="2">
        <f t="shared" si="395"/>
        <v>0.19734426167445912</v>
      </c>
    </row>
    <row r="8401" spans="1:14" x14ac:dyDescent="0.45">
      <c r="A8401" t="s">
        <v>13924</v>
      </c>
      <c r="B8401" s="1">
        <v>45580</v>
      </c>
      <c r="C8401" t="s">
        <v>8468</v>
      </c>
      <c r="D8401" t="s">
        <v>26</v>
      </c>
      <c r="E8401" t="s">
        <v>36</v>
      </c>
      <c r="F8401" t="s">
        <v>53</v>
      </c>
      <c r="G8401">
        <v>2</v>
      </c>
      <c r="H8401">
        <v>31903.09</v>
      </c>
      <c r="I8401">
        <v>5783.36</v>
      </c>
      <c r="J8401" t="s">
        <v>16</v>
      </c>
      <c r="K8401" t="s">
        <v>29</v>
      </c>
      <c r="L8401">
        <f t="shared" si="393"/>
        <v>2024</v>
      </c>
      <c r="M8401" t="str">
        <f t="shared" si="394"/>
        <v>Oct</v>
      </c>
      <c r="N8401" s="2">
        <f t="shared" si="395"/>
        <v>0.18127899209763065</v>
      </c>
    </row>
    <row r="8402" spans="1:14" x14ac:dyDescent="0.45">
      <c r="A8402" t="s">
        <v>13925</v>
      </c>
      <c r="B8402" s="1">
        <v>44772</v>
      </c>
      <c r="C8402" t="s">
        <v>7398</v>
      </c>
      <c r="D8402" t="s">
        <v>56</v>
      </c>
      <c r="E8402" t="s">
        <v>14</v>
      </c>
      <c r="F8402" t="s">
        <v>57</v>
      </c>
      <c r="G8402">
        <v>1</v>
      </c>
      <c r="H8402">
        <v>23531.35</v>
      </c>
      <c r="I8402">
        <v>2965.74</v>
      </c>
      <c r="J8402" t="s">
        <v>22</v>
      </c>
      <c r="K8402" t="s">
        <v>17</v>
      </c>
      <c r="L8402">
        <f t="shared" si="393"/>
        <v>2022</v>
      </c>
      <c r="M8402" t="str">
        <f t="shared" si="394"/>
        <v>Jul</v>
      </c>
      <c r="N8402" s="2">
        <f t="shared" si="395"/>
        <v>0.12603356798483725</v>
      </c>
    </row>
    <row r="8403" spans="1:14" x14ac:dyDescent="0.45">
      <c r="A8403" t="s">
        <v>13926</v>
      </c>
      <c r="B8403" s="1">
        <v>45405</v>
      </c>
      <c r="C8403" t="s">
        <v>7080</v>
      </c>
      <c r="D8403" t="s">
        <v>13</v>
      </c>
      <c r="E8403" t="s">
        <v>20</v>
      </c>
      <c r="F8403" t="s">
        <v>27</v>
      </c>
      <c r="G8403">
        <v>2</v>
      </c>
      <c r="H8403">
        <v>47799.78</v>
      </c>
      <c r="I8403">
        <v>3128.9</v>
      </c>
      <c r="J8403" t="s">
        <v>16</v>
      </c>
      <c r="K8403" t="s">
        <v>17</v>
      </c>
      <c r="L8403">
        <f t="shared" si="393"/>
        <v>2024</v>
      </c>
      <c r="M8403" t="str">
        <f t="shared" si="394"/>
        <v>Apr</v>
      </c>
      <c r="N8403" s="2">
        <f t="shared" si="395"/>
        <v>6.5458460269064003E-2</v>
      </c>
    </row>
    <row r="8404" spans="1:14" x14ac:dyDescent="0.45">
      <c r="A8404" t="s">
        <v>13927</v>
      </c>
      <c r="B8404" s="1">
        <v>45567</v>
      </c>
      <c r="C8404" t="s">
        <v>13928</v>
      </c>
      <c r="D8404" t="s">
        <v>13</v>
      </c>
      <c r="E8404" t="s">
        <v>36</v>
      </c>
      <c r="F8404" t="s">
        <v>46</v>
      </c>
      <c r="G8404">
        <v>4</v>
      </c>
      <c r="H8404">
        <v>17890.28</v>
      </c>
      <c r="I8404">
        <v>1866.82</v>
      </c>
      <c r="J8404" t="s">
        <v>16</v>
      </c>
      <c r="K8404" t="s">
        <v>29</v>
      </c>
      <c r="L8404">
        <f t="shared" si="393"/>
        <v>2024</v>
      </c>
      <c r="M8404" t="str">
        <f t="shared" si="394"/>
        <v>Oct</v>
      </c>
      <c r="N8404" s="2">
        <f t="shared" si="395"/>
        <v>0.10434828297824293</v>
      </c>
    </row>
    <row r="8405" spans="1:14" x14ac:dyDescent="0.45">
      <c r="A8405" t="s">
        <v>13929</v>
      </c>
      <c r="B8405" s="1">
        <v>45178</v>
      </c>
      <c r="C8405" t="s">
        <v>13930</v>
      </c>
      <c r="D8405" t="s">
        <v>56</v>
      </c>
      <c r="E8405" t="s">
        <v>20</v>
      </c>
      <c r="F8405" t="s">
        <v>21</v>
      </c>
      <c r="G8405">
        <v>5</v>
      </c>
      <c r="H8405">
        <v>19365.189999999999</v>
      </c>
      <c r="I8405">
        <v>4571.24</v>
      </c>
      <c r="J8405" t="s">
        <v>22</v>
      </c>
      <c r="K8405" t="s">
        <v>29</v>
      </c>
      <c r="L8405">
        <f t="shared" si="393"/>
        <v>2023</v>
      </c>
      <c r="M8405" t="str">
        <f t="shared" si="394"/>
        <v>Sep</v>
      </c>
      <c r="N8405" s="2">
        <f t="shared" si="395"/>
        <v>0.23605448745919871</v>
      </c>
    </row>
    <row r="8406" spans="1:14" x14ac:dyDescent="0.45">
      <c r="A8406" t="s">
        <v>13931</v>
      </c>
      <c r="B8406" s="1">
        <v>44833</v>
      </c>
      <c r="C8406" t="s">
        <v>13932</v>
      </c>
      <c r="D8406" t="s">
        <v>13</v>
      </c>
      <c r="E8406" t="s">
        <v>36</v>
      </c>
      <c r="F8406" t="s">
        <v>53</v>
      </c>
      <c r="G8406">
        <v>2</v>
      </c>
      <c r="H8406">
        <v>33283.49</v>
      </c>
      <c r="I8406">
        <v>3076.74</v>
      </c>
      <c r="J8406" t="s">
        <v>47</v>
      </c>
      <c r="K8406" t="s">
        <v>29</v>
      </c>
      <c r="L8406">
        <f t="shared" si="393"/>
        <v>2022</v>
      </c>
      <c r="M8406" t="str">
        <f t="shared" si="394"/>
        <v>Sep</v>
      </c>
      <c r="N8406" s="2">
        <f t="shared" si="395"/>
        <v>9.2440426169250883E-2</v>
      </c>
    </row>
    <row r="8407" spans="1:14" x14ac:dyDescent="0.45">
      <c r="A8407" t="s">
        <v>13933</v>
      </c>
      <c r="B8407" s="1">
        <v>45546</v>
      </c>
      <c r="C8407" t="s">
        <v>2361</v>
      </c>
      <c r="D8407" t="s">
        <v>26</v>
      </c>
      <c r="E8407" t="s">
        <v>20</v>
      </c>
      <c r="F8407" t="s">
        <v>21</v>
      </c>
      <c r="G8407">
        <v>3</v>
      </c>
      <c r="H8407">
        <v>1421.21</v>
      </c>
      <c r="I8407">
        <v>110.32</v>
      </c>
      <c r="J8407" t="s">
        <v>47</v>
      </c>
      <c r="K8407" t="s">
        <v>23</v>
      </c>
      <c r="L8407">
        <f t="shared" si="393"/>
        <v>2024</v>
      </c>
      <c r="M8407" t="str">
        <f t="shared" si="394"/>
        <v>Sep</v>
      </c>
      <c r="N8407" s="2">
        <f t="shared" si="395"/>
        <v>7.7623996453726044E-2</v>
      </c>
    </row>
    <row r="8408" spans="1:14" x14ac:dyDescent="0.45">
      <c r="A8408" t="s">
        <v>13934</v>
      </c>
      <c r="B8408" s="1">
        <v>45189</v>
      </c>
      <c r="C8408" t="s">
        <v>4970</v>
      </c>
      <c r="D8408" t="s">
        <v>56</v>
      </c>
      <c r="E8408" t="s">
        <v>20</v>
      </c>
      <c r="F8408" t="s">
        <v>21</v>
      </c>
      <c r="G8408">
        <v>5</v>
      </c>
      <c r="H8408">
        <v>32058.79</v>
      </c>
      <c r="I8408">
        <v>5538.3</v>
      </c>
      <c r="J8408" t="s">
        <v>22</v>
      </c>
      <c r="K8408" t="s">
        <v>23</v>
      </c>
      <c r="L8408">
        <f t="shared" si="393"/>
        <v>2023</v>
      </c>
      <c r="M8408" t="str">
        <f t="shared" si="394"/>
        <v>Sep</v>
      </c>
      <c r="N8408" s="2">
        <f t="shared" si="395"/>
        <v>0.17275449260561612</v>
      </c>
    </row>
    <row r="8409" spans="1:14" x14ac:dyDescent="0.45">
      <c r="A8409" t="s">
        <v>13935</v>
      </c>
      <c r="B8409" s="1">
        <v>45131</v>
      </c>
      <c r="C8409" t="s">
        <v>13936</v>
      </c>
      <c r="D8409" t="s">
        <v>26</v>
      </c>
      <c r="E8409" t="s">
        <v>20</v>
      </c>
      <c r="F8409" t="s">
        <v>27</v>
      </c>
      <c r="G8409">
        <v>4</v>
      </c>
      <c r="H8409">
        <v>42966.76</v>
      </c>
      <c r="I8409">
        <v>6280.19</v>
      </c>
      <c r="J8409" t="s">
        <v>16</v>
      </c>
      <c r="K8409" t="s">
        <v>33</v>
      </c>
      <c r="L8409">
        <f t="shared" si="393"/>
        <v>2023</v>
      </c>
      <c r="M8409" t="str">
        <f t="shared" si="394"/>
        <v>Jul</v>
      </c>
      <c r="N8409" s="2">
        <f t="shared" si="395"/>
        <v>0.1461639183405963</v>
      </c>
    </row>
    <row r="8410" spans="1:14" x14ac:dyDescent="0.45">
      <c r="A8410" t="s">
        <v>13937</v>
      </c>
      <c r="B8410" s="1">
        <v>45321</v>
      </c>
      <c r="C8410" t="s">
        <v>11204</v>
      </c>
      <c r="D8410" t="s">
        <v>13</v>
      </c>
      <c r="E8410" t="s">
        <v>20</v>
      </c>
      <c r="F8410" t="s">
        <v>50</v>
      </c>
      <c r="G8410">
        <v>2</v>
      </c>
      <c r="H8410">
        <v>4844.63</v>
      </c>
      <c r="I8410">
        <v>246.77</v>
      </c>
      <c r="J8410" t="s">
        <v>22</v>
      </c>
      <c r="K8410" t="s">
        <v>17</v>
      </c>
      <c r="L8410">
        <f t="shared" si="393"/>
        <v>2024</v>
      </c>
      <c r="M8410" t="str">
        <f t="shared" si="394"/>
        <v>Jan</v>
      </c>
      <c r="N8410" s="2">
        <f t="shared" si="395"/>
        <v>5.0936810447856702E-2</v>
      </c>
    </row>
    <row r="8411" spans="1:14" x14ac:dyDescent="0.45">
      <c r="A8411" t="s">
        <v>13938</v>
      </c>
      <c r="B8411" s="1">
        <v>45110</v>
      </c>
      <c r="C8411" t="s">
        <v>13939</v>
      </c>
      <c r="D8411" t="s">
        <v>56</v>
      </c>
      <c r="E8411" t="s">
        <v>20</v>
      </c>
      <c r="F8411" t="s">
        <v>50</v>
      </c>
      <c r="G8411">
        <v>2</v>
      </c>
      <c r="H8411">
        <v>40415.03</v>
      </c>
      <c r="I8411">
        <v>6106.47</v>
      </c>
      <c r="J8411" t="s">
        <v>71</v>
      </c>
      <c r="K8411" t="s">
        <v>17</v>
      </c>
      <c r="L8411">
        <f t="shared" si="393"/>
        <v>2023</v>
      </c>
      <c r="M8411" t="str">
        <f t="shared" si="394"/>
        <v>Jul</v>
      </c>
      <c r="N8411" s="2">
        <f t="shared" si="395"/>
        <v>0.1510940360553982</v>
      </c>
    </row>
    <row r="8412" spans="1:14" x14ac:dyDescent="0.45">
      <c r="A8412" t="s">
        <v>13940</v>
      </c>
      <c r="B8412" s="1">
        <v>45570</v>
      </c>
      <c r="C8412" t="s">
        <v>13941</v>
      </c>
      <c r="D8412" t="s">
        <v>56</v>
      </c>
      <c r="E8412" t="s">
        <v>20</v>
      </c>
      <c r="F8412" t="s">
        <v>43</v>
      </c>
      <c r="G8412">
        <v>4</v>
      </c>
      <c r="H8412">
        <v>34425.65</v>
      </c>
      <c r="I8412">
        <v>8596.2099999999991</v>
      </c>
      <c r="J8412" t="s">
        <v>28</v>
      </c>
      <c r="K8412" t="s">
        <v>29</v>
      </c>
      <c r="L8412">
        <f t="shared" si="393"/>
        <v>2024</v>
      </c>
      <c r="M8412" t="str">
        <f t="shared" si="394"/>
        <v>Oct</v>
      </c>
      <c r="N8412" s="2">
        <f t="shared" si="395"/>
        <v>0.24970363667788403</v>
      </c>
    </row>
    <row r="8413" spans="1:14" x14ac:dyDescent="0.45">
      <c r="A8413" t="s">
        <v>13942</v>
      </c>
      <c r="B8413" s="1">
        <v>45212</v>
      </c>
      <c r="C8413" t="s">
        <v>13943</v>
      </c>
      <c r="D8413" t="s">
        <v>13</v>
      </c>
      <c r="E8413" t="s">
        <v>20</v>
      </c>
      <c r="F8413" t="s">
        <v>50</v>
      </c>
      <c r="G8413">
        <v>1</v>
      </c>
      <c r="H8413">
        <v>2503.0500000000002</v>
      </c>
      <c r="I8413">
        <v>431.08</v>
      </c>
      <c r="J8413" t="s">
        <v>22</v>
      </c>
      <c r="K8413" t="s">
        <v>29</v>
      </c>
      <c r="L8413">
        <f t="shared" si="393"/>
        <v>2023</v>
      </c>
      <c r="M8413" t="str">
        <f t="shared" si="394"/>
        <v>Oct</v>
      </c>
      <c r="N8413" s="2">
        <f t="shared" si="395"/>
        <v>0.17222188929506002</v>
      </c>
    </row>
    <row r="8414" spans="1:14" x14ac:dyDescent="0.45">
      <c r="A8414" t="s">
        <v>13944</v>
      </c>
      <c r="B8414" s="1">
        <v>44630</v>
      </c>
      <c r="C8414" t="s">
        <v>5336</v>
      </c>
      <c r="D8414" t="s">
        <v>26</v>
      </c>
      <c r="E8414" t="s">
        <v>36</v>
      </c>
      <c r="F8414" t="s">
        <v>53</v>
      </c>
      <c r="G8414">
        <v>4</v>
      </c>
      <c r="H8414">
        <v>27865.85</v>
      </c>
      <c r="I8414">
        <v>5354.66</v>
      </c>
      <c r="J8414" t="s">
        <v>47</v>
      </c>
      <c r="K8414" t="s">
        <v>33</v>
      </c>
      <c r="L8414">
        <f t="shared" si="393"/>
        <v>2022</v>
      </c>
      <c r="M8414" t="str">
        <f t="shared" si="394"/>
        <v>Mar</v>
      </c>
      <c r="N8414" s="2">
        <f t="shared" si="395"/>
        <v>0.19215850225275741</v>
      </c>
    </row>
    <row r="8415" spans="1:14" x14ac:dyDescent="0.45">
      <c r="A8415" t="s">
        <v>13945</v>
      </c>
      <c r="B8415" s="1">
        <v>45082</v>
      </c>
      <c r="C8415" t="s">
        <v>13946</v>
      </c>
      <c r="D8415" t="s">
        <v>56</v>
      </c>
      <c r="E8415" t="s">
        <v>36</v>
      </c>
      <c r="F8415" t="s">
        <v>64</v>
      </c>
      <c r="G8415">
        <v>2</v>
      </c>
      <c r="H8415">
        <v>36589.83</v>
      </c>
      <c r="I8415">
        <v>3198.81</v>
      </c>
      <c r="J8415" t="s">
        <v>16</v>
      </c>
      <c r="K8415" t="s">
        <v>29</v>
      </c>
      <c r="L8415">
        <f t="shared" si="393"/>
        <v>2023</v>
      </c>
      <c r="M8415" t="str">
        <f t="shared" si="394"/>
        <v>Jun</v>
      </c>
      <c r="N8415" s="2">
        <f t="shared" si="395"/>
        <v>8.742347258787482E-2</v>
      </c>
    </row>
    <row r="8416" spans="1:14" x14ac:dyDescent="0.45">
      <c r="A8416" t="s">
        <v>13947</v>
      </c>
      <c r="B8416" s="1">
        <v>44756</v>
      </c>
      <c r="C8416" t="s">
        <v>13948</v>
      </c>
      <c r="D8416" t="s">
        <v>56</v>
      </c>
      <c r="E8416" t="s">
        <v>20</v>
      </c>
      <c r="F8416" t="s">
        <v>27</v>
      </c>
      <c r="G8416">
        <v>2</v>
      </c>
      <c r="H8416">
        <v>33501.96</v>
      </c>
      <c r="I8416">
        <v>2538.15</v>
      </c>
      <c r="J8416" t="s">
        <v>71</v>
      </c>
      <c r="K8416" t="s">
        <v>33</v>
      </c>
      <c r="L8416">
        <f t="shared" si="393"/>
        <v>2022</v>
      </c>
      <c r="M8416" t="str">
        <f t="shared" si="394"/>
        <v>Jul</v>
      </c>
      <c r="N8416" s="2">
        <f t="shared" si="395"/>
        <v>7.5761239043924594E-2</v>
      </c>
    </row>
    <row r="8417" spans="1:14" x14ac:dyDescent="0.45">
      <c r="A8417" t="s">
        <v>13949</v>
      </c>
      <c r="B8417" s="1">
        <v>45368</v>
      </c>
      <c r="C8417" t="s">
        <v>2047</v>
      </c>
      <c r="D8417" t="s">
        <v>26</v>
      </c>
      <c r="E8417" t="s">
        <v>14</v>
      </c>
      <c r="F8417" t="s">
        <v>40</v>
      </c>
      <c r="G8417">
        <v>2</v>
      </c>
      <c r="H8417">
        <v>18388.02</v>
      </c>
      <c r="I8417">
        <v>2879.21</v>
      </c>
      <c r="J8417" t="s">
        <v>71</v>
      </c>
      <c r="K8417" t="s">
        <v>29</v>
      </c>
      <c r="L8417">
        <f t="shared" si="393"/>
        <v>2024</v>
      </c>
      <c r="M8417" t="str">
        <f t="shared" si="394"/>
        <v>Mar</v>
      </c>
      <c r="N8417" s="2">
        <f t="shared" si="395"/>
        <v>0.15658075203311722</v>
      </c>
    </row>
    <row r="8418" spans="1:14" x14ac:dyDescent="0.45">
      <c r="A8418" t="s">
        <v>13950</v>
      </c>
      <c r="B8418" s="1">
        <v>45525</v>
      </c>
      <c r="C8418" t="s">
        <v>13951</v>
      </c>
      <c r="D8418" t="s">
        <v>56</v>
      </c>
      <c r="E8418" t="s">
        <v>20</v>
      </c>
      <c r="F8418" t="s">
        <v>50</v>
      </c>
      <c r="G8418">
        <v>3</v>
      </c>
      <c r="H8418">
        <v>43370.2</v>
      </c>
      <c r="I8418">
        <v>6244.64</v>
      </c>
      <c r="J8418" t="s">
        <v>28</v>
      </c>
      <c r="K8418" t="s">
        <v>29</v>
      </c>
      <c r="L8418">
        <f t="shared" si="393"/>
        <v>2024</v>
      </c>
      <c r="M8418" t="str">
        <f t="shared" si="394"/>
        <v>Aug</v>
      </c>
      <c r="N8418" s="2">
        <f t="shared" si="395"/>
        <v>0.14398457927332595</v>
      </c>
    </row>
    <row r="8419" spans="1:14" x14ac:dyDescent="0.45">
      <c r="A8419" t="s">
        <v>13952</v>
      </c>
      <c r="B8419" s="1">
        <v>45295</v>
      </c>
      <c r="C8419" t="s">
        <v>13953</v>
      </c>
      <c r="D8419" t="s">
        <v>26</v>
      </c>
      <c r="E8419" t="s">
        <v>20</v>
      </c>
      <c r="F8419" t="s">
        <v>21</v>
      </c>
      <c r="G8419">
        <v>4</v>
      </c>
      <c r="H8419">
        <v>19723.61</v>
      </c>
      <c r="I8419">
        <v>3921.07</v>
      </c>
      <c r="J8419" t="s">
        <v>47</v>
      </c>
      <c r="K8419" t="s">
        <v>17</v>
      </c>
      <c r="L8419">
        <f t="shared" si="393"/>
        <v>2024</v>
      </c>
      <c r="M8419" t="str">
        <f t="shared" si="394"/>
        <v>Jan</v>
      </c>
      <c r="N8419" s="2">
        <f t="shared" si="395"/>
        <v>0.1988008280431422</v>
      </c>
    </row>
    <row r="8420" spans="1:14" x14ac:dyDescent="0.45">
      <c r="A8420" t="s">
        <v>13954</v>
      </c>
      <c r="B8420" s="1">
        <v>45608</v>
      </c>
      <c r="C8420" t="s">
        <v>2475</v>
      </c>
      <c r="D8420" t="s">
        <v>56</v>
      </c>
      <c r="E8420" t="s">
        <v>20</v>
      </c>
      <c r="F8420" t="s">
        <v>50</v>
      </c>
      <c r="G8420">
        <v>5</v>
      </c>
      <c r="H8420">
        <v>37756.400000000001</v>
      </c>
      <c r="I8420">
        <v>4137.9399999999996</v>
      </c>
      <c r="J8420" t="s">
        <v>28</v>
      </c>
      <c r="K8420" t="s">
        <v>23</v>
      </c>
      <c r="L8420">
        <f t="shared" si="393"/>
        <v>2024</v>
      </c>
      <c r="M8420" t="str">
        <f t="shared" si="394"/>
        <v>Nov</v>
      </c>
      <c r="N8420" s="2">
        <f t="shared" si="395"/>
        <v>0.10959572416861775</v>
      </c>
    </row>
    <row r="8421" spans="1:14" x14ac:dyDescent="0.45">
      <c r="A8421" t="s">
        <v>13955</v>
      </c>
      <c r="B8421" s="1">
        <v>45497</v>
      </c>
      <c r="C8421" t="s">
        <v>115</v>
      </c>
      <c r="D8421" t="s">
        <v>13</v>
      </c>
      <c r="E8421" t="s">
        <v>14</v>
      </c>
      <c r="F8421" t="s">
        <v>57</v>
      </c>
      <c r="G8421">
        <v>3</v>
      </c>
      <c r="H8421">
        <v>36142.629999999997</v>
      </c>
      <c r="I8421">
        <v>3852.6</v>
      </c>
      <c r="J8421" t="s">
        <v>22</v>
      </c>
      <c r="K8421" t="s">
        <v>23</v>
      </c>
      <c r="L8421">
        <f t="shared" si="393"/>
        <v>2024</v>
      </c>
      <c r="M8421" t="str">
        <f t="shared" si="394"/>
        <v>Jul</v>
      </c>
      <c r="N8421" s="2">
        <f t="shared" si="395"/>
        <v>0.1065943457905526</v>
      </c>
    </row>
    <row r="8422" spans="1:14" x14ac:dyDescent="0.45">
      <c r="A8422" t="s">
        <v>13956</v>
      </c>
      <c r="B8422" s="1">
        <v>44574</v>
      </c>
      <c r="C8422" t="s">
        <v>13362</v>
      </c>
      <c r="D8422" t="s">
        <v>26</v>
      </c>
      <c r="E8422" t="s">
        <v>14</v>
      </c>
      <c r="F8422" t="s">
        <v>40</v>
      </c>
      <c r="G8422">
        <v>1</v>
      </c>
      <c r="H8422">
        <v>9535.9599999999991</v>
      </c>
      <c r="I8422">
        <v>1909.54</v>
      </c>
      <c r="J8422" t="s">
        <v>71</v>
      </c>
      <c r="K8422" t="s">
        <v>23</v>
      </c>
      <c r="L8422">
        <f t="shared" si="393"/>
        <v>2022</v>
      </c>
      <c r="M8422" t="str">
        <f t="shared" si="394"/>
        <v>Jan</v>
      </c>
      <c r="N8422" s="2">
        <f t="shared" si="395"/>
        <v>0.2002462258650414</v>
      </c>
    </row>
    <row r="8423" spans="1:14" x14ac:dyDescent="0.45">
      <c r="A8423" t="s">
        <v>13957</v>
      </c>
      <c r="B8423" s="1">
        <v>45232</v>
      </c>
      <c r="C8423" t="s">
        <v>13958</v>
      </c>
      <c r="D8423" t="s">
        <v>26</v>
      </c>
      <c r="E8423" t="s">
        <v>20</v>
      </c>
      <c r="F8423" t="s">
        <v>27</v>
      </c>
      <c r="G8423">
        <v>4</v>
      </c>
      <c r="H8423">
        <v>43578.14</v>
      </c>
      <c r="I8423">
        <v>10054.02</v>
      </c>
      <c r="J8423" t="s">
        <v>16</v>
      </c>
      <c r="K8423" t="s">
        <v>17</v>
      </c>
      <c r="L8423">
        <f t="shared" si="393"/>
        <v>2023</v>
      </c>
      <c r="M8423" t="str">
        <f t="shared" si="394"/>
        <v>Nov</v>
      </c>
      <c r="N8423" s="2">
        <f t="shared" si="395"/>
        <v>0.23071246271639864</v>
      </c>
    </row>
    <row r="8424" spans="1:14" x14ac:dyDescent="0.45">
      <c r="A8424" t="s">
        <v>13959</v>
      </c>
      <c r="B8424" s="1">
        <v>45441</v>
      </c>
      <c r="C8424" t="s">
        <v>13960</v>
      </c>
      <c r="D8424" t="s">
        <v>13</v>
      </c>
      <c r="E8424" t="s">
        <v>14</v>
      </c>
      <c r="F8424" t="s">
        <v>57</v>
      </c>
      <c r="G8424">
        <v>2</v>
      </c>
      <c r="H8424">
        <v>10720.38</v>
      </c>
      <c r="I8424">
        <v>2593.5100000000002</v>
      </c>
      <c r="J8424" t="s">
        <v>28</v>
      </c>
      <c r="K8424" t="s">
        <v>23</v>
      </c>
      <c r="L8424">
        <f t="shared" si="393"/>
        <v>2024</v>
      </c>
      <c r="M8424" t="str">
        <f t="shared" si="394"/>
        <v>May</v>
      </c>
      <c r="N8424" s="2">
        <f t="shared" si="395"/>
        <v>0.24192332734473967</v>
      </c>
    </row>
    <row r="8425" spans="1:14" x14ac:dyDescent="0.45">
      <c r="A8425" t="s">
        <v>13961</v>
      </c>
      <c r="B8425" s="1">
        <v>45011</v>
      </c>
      <c r="C8425" t="s">
        <v>174</v>
      </c>
      <c r="D8425" t="s">
        <v>56</v>
      </c>
      <c r="E8425" t="s">
        <v>36</v>
      </c>
      <c r="F8425" t="s">
        <v>53</v>
      </c>
      <c r="G8425">
        <v>2</v>
      </c>
      <c r="H8425">
        <v>18280.400000000001</v>
      </c>
      <c r="I8425">
        <v>1369.15</v>
      </c>
      <c r="J8425" t="s">
        <v>28</v>
      </c>
      <c r="K8425" t="s">
        <v>17</v>
      </c>
      <c r="L8425">
        <f t="shared" si="393"/>
        <v>2023</v>
      </c>
      <c r="M8425" t="str">
        <f t="shared" si="394"/>
        <v>Mar</v>
      </c>
      <c r="N8425" s="2">
        <f t="shared" si="395"/>
        <v>7.4897157611430815E-2</v>
      </c>
    </row>
    <row r="8426" spans="1:14" x14ac:dyDescent="0.45">
      <c r="A8426" t="s">
        <v>13962</v>
      </c>
      <c r="B8426" s="1">
        <v>44981</v>
      </c>
      <c r="C8426" t="s">
        <v>1990</v>
      </c>
      <c r="D8426" t="s">
        <v>56</v>
      </c>
      <c r="E8426" t="s">
        <v>36</v>
      </c>
      <c r="F8426" t="s">
        <v>53</v>
      </c>
      <c r="G8426">
        <v>4</v>
      </c>
      <c r="H8426">
        <v>3944.77</v>
      </c>
      <c r="I8426">
        <v>405.07</v>
      </c>
      <c r="J8426" t="s">
        <v>22</v>
      </c>
      <c r="K8426" t="s">
        <v>29</v>
      </c>
      <c r="L8426">
        <f t="shared" si="393"/>
        <v>2023</v>
      </c>
      <c r="M8426" t="str">
        <f t="shared" si="394"/>
        <v>Feb</v>
      </c>
      <c r="N8426" s="2">
        <f t="shared" si="395"/>
        <v>0.10268532766168877</v>
      </c>
    </row>
    <row r="8427" spans="1:14" x14ac:dyDescent="0.45">
      <c r="A8427" t="s">
        <v>13963</v>
      </c>
      <c r="B8427" s="1">
        <v>45098</v>
      </c>
      <c r="C8427" t="s">
        <v>5639</v>
      </c>
      <c r="D8427" t="s">
        <v>56</v>
      </c>
      <c r="E8427" t="s">
        <v>36</v>
      </c>
      <c r="F8427" t="s">
        <v>46</v>
      </c>
      <c r="G8427">
        <v>4</v>
      </c>
      <c r="H8427">
        <v>30815.82</v>
      </c>
      <c r="I8427">
        <v>4810.53</v>
      </c>
      <c r="J8427" t="s">
        <v>16</v>
      </c>
      <c r="K8427" t="s">
        <v>17</v>
      </c>
      <c r="L8427">
        <f t="shared" si="393"/>
        <v>2023</v>
      </c>
      <c r="M8427" t="str">
        <f t="shared" si="394"/>
        <v>Jun</v>
      </c>
      <c r="N8427" s="2">
        <f t="shared" si="395"/>
        <v>0.15610585731614476</v>
      </c>
    </row>
    <row r="8428" spans="1:14" x14ac:dyDescent="0.45">
      <c r="A8428" t="s">
        <v>13964</v>
      </c>
      <c r="B8428" s="1">
        <v>45081</v>
      </c>
      <c r="C8428" t="s">
        <v>3178</v>
      </c>
      <c r="D8428" t="s">
        <v>56</v>
      </c>
      <c r="E8428" t="s">
        <v>20</v>
      </c>
      <c r="F8428" t="s">
        <v>50</v>
      </c>
      <c r="G8428">
        <v>3</v>
      </c>
      <c r="H8428">
        <v>27616.44</v>
      </c>
      <c r="I8428">
        <v>3981.28</v>
      </c>
      <c r="J8428" t="s">
        <v>22</v>
      </c>
      <c r="K8428" t="s">
        <v>29</v>
      </c>
      <c r="L8428">
        <f t="shared" si="393"/>
        <v>2023</v>
      </c>
      <c r="M8428" t="str">
        <f t="shared" si="394"/>
        <v>Jun</v>
      </c>
      <c r="N8428" s="2">
        <f t="shared" si="395"/>
        <v>0.1441634041172577</v>
      </c>
    </row>
    <row r="8429" spans="1:14" x14ac:dyDescent="0.45">
      <c r="A8429" t="s">
        <v>13965</v>
      </c>
      <c r="B8429" s="1">
        <v>44753</v>
      </c>
      <c r="C8429" t="s">
        <v>13557</v>
      </c>
      <c r="D8429" t="s">
        <v>56</v>
      </c>
      <c r="E8429" t="s">
        <v>14</v>
      </c>
      <c r="F8429" t="s">
        <v>57</v>
      </c>
      <c r="G8429">
        <v>4</v>
      </c>
      <c r="H8429">
        <v>33213.78</v>
      </c>
      <c r="I8429">
        <v>2911.56</v>
      </c>
      <c r="J8429" t="s">
        <v>71</v>
      </c>
      <c r="K8429" t="s">
        <v>29</v>
      </c>
      <c r="L8429">
        <f t="shared" si="393"/>
        <v>2022</v>
      </c>
      <c r="M8429" t="str">
        <f t="shared" si="394"/>
        <v>Jul</v>
      </c>
      <c r="N8429" s="2">
        <f t="shared" si="395"/>
        <v>8.7661205680292939E-2</v>
      </c>
    </row>
    <row r="8430" spans="1:14" x14ac:dyDescent="0.45">
      <c r="A8430" t="s">
        <v>13966</v>
      </c>
      <c r="B8430" s="1">
        <v>44580</v>
      </c>
      <c r="C8430" t="s">
        <v>5198</v>
      </c>
      <c r="D8430" t="s">
        <v>13</v>
      </c>
      <c r="E8430" t="s">
        <v>14</v>
      </c>
      <c r="F8430" t="s">
        <v>40</v>
      </c>
      <c r="G8430">
        <v>3</v>
      </c>
      <c r="H8430">
        <v>28107.79</v>
      </c>
      <c r="I8430">
        <v>1651.64</v>
      </c>
      <c r="J8430" t="s">
        <v>47</v>
      </c>
      <c r="K8430" t="s">
        <v>17</v>
      </c>
      <c r="L8430">
        <f t="shared" si="393"/>
        <v>2022</v>
      </c>
      <c r="M8430" t="str">
        <f t="shared" si="394"/>
        <v>Jan</v>
      </c>
      <c r="N8430" s="2">
        <f t="shared" si="395"/>
        <v>5.8760934246342385E-2</v>
      </c>
    </row>
    <row r="8431" spans="1:14" x14ac:dyDescent="0.45">
      <c r="A8431" t="s">
        <v>13967</v>
      </c>
      <c r="B8431" s="1">
        <v>44761</v>
      </c>
      <c r="C8431" t="s">
        <v>13968</v>
      </c>
      <c r="D8431" t="s">
        <v>13</v>
      </c>
      <c r="E8431" t="s">
        <v>36</v>
      </c>
      <c r="F8431" t="s">
        <v>46</v>
      </c>
      <c r="G8431">
        <v>3</v>
      </c>
      <c r="H8431">
        <v>38931.550000000003</v>
      </c>
      <c r="I8431">
        <v>3799.38</v>
      </c>
      <c r="J8431" t="s">
        <v>22</v>
      </c>
      <c r="K8431" t="s">
        <v>29</v>
      </c>
      <c r="L8431">
        <f t="shared" si="393"/>
        <v>2022</v>
      </c>
      <c r="M8431" t="str">
        <f t="shared" si="394"/>
        <v>Jul</v>
      </c>
      <c r="N8431" s="2">
        <f t="shared" si="395"/>
        <v>9.7591285217259516E-2</v>
      </c>
    </row>
    <row r="8432" spans="1:14" x14ac:dyDescent="0.45">
      <c r="A8432" t="s">
        <v>13969</v>
      </c>
      <c r="B8432" s="1">
        <v>45265</v>
      </c>
      <c r="C8432" t="s">
        <v>13970</v>
      </c>
      <c r="D8432" t="s">
        <v>13</v>
      </c>
      <c r="E8432" t="s">
        <v>36</v>
      </c>
      <c r="F8432" t="s">
        <v>53</v>
      </c>
      <c r="G8432">
        <v>2</v>
      </c>
      <c r="H8432">
        <v>10115.290000000001</v>
      </c>
      <c r="I8432">
        <v>726.04</v>
      </c>
      <c r="J8432" t="s">
        <v>47</v>
      </c>
      <c r="K8432" t="s">
        <v>17</v>
      </c>
      <c r="L8432">
        <f t="shared" si="393"/>
        <v>2023</v>
      </c>
      <c r="M8432" t="str">
        <f t="shared" si="394"/>
        <v>Dec</v>
      </c>
      <c r="N8432" s="2">
        <f t="shared" si="395"/>
        <v>7.1776488859933818E-2</v>
      </c>
    </row>
    <row r="8433" spans="1:14" x14ac:dyDescent="0.45">
      <c r="A8433" t="s">
        <v>13971</v>
      </c>
      <c r="B8433" s="1">
        <v>44808</v>
      </c>
      <c r="C8433" t="s">
        <v>8589</v>
      </c>
      <c r="D8433" t="s">
        <v>56</v>
      </c>
      <c r="E8433" t="s">
        <v>36</v>
      </c>
      <c r="F8433" t="s">
        <v>53</v>
      </c>
      <c r="G8433">
        <v>3</v>
      </c>
      <c r="H8433">
        <v>48156.49</v>
      </c>
      <c r="I8433">
        <v>9748.5499999999993</v>
      </c>
      <c r="J8433" t="s">
        <v>22</v>
      </c>
      <c r="K8433" t="s">
        <v>17</v>
      </c>
      <c r="L8433">
        <f t="shared" si="393"/>
        <v>2022</v>
      </c>
      <c r="M8433" t="str">
        <f t="shared" si="394"/>
        <v>Sep</v>
      </c>
      <c r="N8433" s="2">
        <f t="shared" si="395"/>
        <v>0.2024348120056092</v>
      </c>
    </row>
    <row r="8434" spans="1:14" x14ac:dyDescent="0.45">
      <c r="A8434" t="s">
        <v>13972</v>
      </c>
      <c r="B8434" s="1">
        <v>45277</v>
      </c>
      <c r="C8434" t="s">
        <v>6758</v>
      </c>
      <c r="D8434" t="s">
        <v>56</v>
      </c>
      <c r="E8434" t="s">
        <v>20</v>
      </c>
      <c r="F8434" t="s">
        <v>43</v>
      </c>
      <c r="G8434">
        <v>1</v>
      </c>
      <c r="H8434">
        <v>45762.87</v>
      </c>
      <c r="I8434">
        <v>10375.33</v>
      </c>
      <c r="J8434" t="s">
        <v>22</v>
      </c>
      <c r="K8434" t="s">
        <v>33</v>
      </c>
      <c r="L8434">
        <f t="shared" si="393"/>
        <v>2023</v>
      </c>
      <c r="M8434" t="str">
        <f t="shared" si="394"/>
        <v>Dec</v>
      </c>
      <c r="N8434" s="2">
        <f t="shared" si="395"/>
        <v>0.2267193906326242</v>
      </c>
    </row>
    <row r="8435" spans="1:14" x14ac:dyDescent="0.45">
      <c r="A8435" t="s">
        <v>13973</v>
      </c>
      <c r="B8435" s="1">
        <v>45397</v>
      </c>
      <c r="C8435" t="s">
        <v>13974</v>
      </c>
      <c r="D8435" t="s">
        <v>56</v>
      </c>
      <c r="E8435" t="s">
        <v>14</v>
      </c>
      <c r="F8435" t="s">
        <v>40</v>
      </c>
      <c r="G8435">
        <v>5</v>
      </c>
      <c r="H8435">
        <v>8055.3</v>
      </c>
      <c r="I8435">
        <v>740.15</v>
      </c>
      <c r="J8435" t="s">
        <v>28</v>
      </c>
      <c r="K8435" t="s">
        <v>23</v>
      </c>
      <c r="L8435">
        <f t="shared" si="393"/>
        <v>2024</v>
      </c>
      <c r="M8435" t="str">
        <f t="shared" si="394"/>
        <v>Apr</v>
      </c>
      <c r="N8435" s="2">
        <f t="shared" si="395"/>
        <v>9.1883604583317804E-2</v>
      </c>
    </row>
    <row r="8436" spans="1:14" x14ac:dyDescent="0.45">
      <c r="A8436" t="s">
        <v>13975</v>
      </c>
      <c r="B8436" s="1">
        <v>44904</v>
      </c>
      <c r="C8436" t="s">
        <v>12267</v>
      </c>
      <c r="D8436" t="s">
        <v>26</v>
      </c>
      <c r="E8436" t="s">
        <v>20</v>
      </c>
      <c r="F8436" t="s">
        <v>50</v>
      </c>
      <c r="G8436">
        <v>1</v>
      </c>
      <c r="H8436">
        <v>42874.73</v>
      </c>
      <c r="I8436">
        <v>3492.17</v>
      </c>
      <c r="J8436" t="s">
        <v>47</v>
      </c>
      <c r="K8436" t="s">
        <v>23</v>
      </c>
      <c r="L8436">
        <f t="shared" si="393"/>
        <v>2022</v>
      </c>
      <c r="M8436" t="str">
        <f t="shared" si="394"/>
        <v>Dec</v>
      </c>
      <c r="N8436" s="2">
        <f t="shared" si="395"/>
        <v>8.1450542079215427E-2</v>
      </c>
    </row>
    <row r="8437" spans="1:14" x14ac:dyDescent="0.45">
      <c r="A8437" t="s">
        <v>13976</v>
      </c>
      <c r="B8437" s="1">
        <v>45633</v>
      </c>
      <c r="C8437" t="s">
        <v>4671</v>
      </c>
      <c r="D8437" t="s">
        <v>56</v>
      </c>
      <c r="E8437" t="s">
        <v>14</v>
      </c>
      <c r="F8437" t="s">
        <v>15</v>
      </c>
      <c r="G8437">
        <v>3</v>
      </c>
      <c r="H8437">
        <v>13733.93</v>
      </c>
      <c r="I8437">
        <v>1229.25</v>
      </c>
      <c r="J8437" t="s">
        <v>28</v>
      </c>
      <c r="K8437" t="s">
        <v>29</v>
      </c>
      <c r="L8437">
        <f t="shared" si="393"/>
        <v>2024</v>
      </c>
      <c r="M8437" t="str">
        <f t="shared" si="394"/>
        <v>Dec</v>
      </c>
      <c r="N8437" s="2">
        <f t="shared" si="395"/>
        <v>8.9504606474621606E-2</v>
      </c>
    </row>
    <row r="8438" spans="1:14" x14ac:dyDescent="0.45">
      <c r="A8438" t="s">
        <v>13977</v>
      </c>
      <c r="B8438" s="1">
        <v>44784</v>
      </c>
      <c r="C8438" t="s">
        <v>6031</v>
      </c>
      <c r="D8438" t="s">
        <v>56</v>
      </c>
      <c r="E8438" t="s">
        <v>14</v>
      </c>
      <c r="F8438" t="s">
        <v>15</v>
      </c>
      <c r="G8438">
        <v>3</v>
      </c>
      <c r="H8438">
        <v>46855.38</v>
      </c>
      <c r="I8438">
        <v>8424.33</v>
      </c>
      <c r="J8438" t="s">
        <v>16</v>
      </c>
      <c r="K8438" t="s">
        <v>23</v>
      </c>
      <c r="L8438">
        <f t="shared" si="393"/>
        <v>2022</v>
      </c>
      <c r="M8438" t="str">
        <f t="shared" si="394"/>
        <v>Aug</v>
      </c>
      <c r="N8438" s="2">
        <f t="shared" si="395"/>
        <v>0.17979429469998964</v>
      </c>
    </row>
    <row r="8439" spans="1:14" x14ac:dyDescent="0.45">
      <c r="A8439" t="s">
        <v>13978</v>
      </c>
      <c r="B8439" s="1">
        <v>45485</v>
      </c>
      <c r="C8439" t="s">
        <v>13979</v>
      </c>
      <c r="D8439" t="s">
        <v>26</v>
      </c>
      <c r="E8439" t="s">
        <v>20</v>
      </c>
      <c r="F8439" t="s">
        <v>21</v>
      </c>
      <c r="G8439">
        <v>1</v>
      </c>
      <c r="H8439">
        <v>12323.27</v>
      </c>
      <c r="I8439">
        <v>1976.92</v>
      </c>
      <c r="J8439" t="s">
        <v>16</v>
      </c>
      <c r="K8439" t="s">
        <v>29</v>
      </c>
      <c r="L8439">
        <f t="shared" si="393"/>
        <v>2024</v>
      </c>
      <c r="M8439" t="str">
        <f t="shared" si="394"/>
        <v>Jul</v>
      </c>
      <c r="N8439" s="2">
        <f t="shared" si="395"/>
        <v>0.1604217062516686</v>
      </c>
    </row>
    <row r="8440" spans="1:14" x14ac:dyDescent="0.45">
      <c r="A8440" t="s">
        <v>13980</v>
      </c>
      <c r="B8440" s="1">
        <v>44715</v>
      </c>
      <c r="C8440" t="s">
        <v>13981</v>
      </c>
      <c r="D8440" t="s">
        <v>26</v>
      </c>
      <c r="E8440" t="s">
        <v>14</v>
      </c>
      <c r="F8440" t="s">
        <v>32</v>
      </c>
      <c r="G8440">
        <v>4</v>
      </c>
      <c r="H8440">
        <v>43151.29</v>
      </c>
      <c r="I8440">
        <v>10683.86</v>
      </c>
      <c r="J8440" t="s">
        <v>47</v>
      </c>
      <c r="K8440" t="s">
        <v>33</v>
      </c>
      <c r="L8440">
        <f t="shared" si="393"/>
        <v>2022</v>
      </c>
      <c r="M8440" t="str">
        <f t="shared" si="394"/>
        <v>Jun</v>
      </c>
      <c r="N8440" s="2">
        <f t="shared" si="395"/>
        <v>0.24759074410058193</v>
      </c>
    </row>
    <row r="8441" spans="1:14" x14ac:dyDescent="0.45">
      <c r="A8441" t="s">
        <v>13982</v>
      </c>
      <c r="B8441" s="1">
        <v>44636</v>
      </c>
      <c r="C8441" t="s">
        <v>4779</v>
      </c>
      <c r="D8441" t="s">
        <v>13</v>
      </c>
      <c r="E8441" t="s">
        <v>36</v>
      </c>
      <c r="F8441" t="s">
        <v>46</v>
      </c>
      <c r="G8441">
        <v>2</v>
      </c>
      <c r="H8441">
        <v>8002.29</v>
      </c>
      <c r="I8441">
        <v>1159.03</v>
      </c>
      <c r="J8441" t="s">
        <v>47</v>
      </c>
      <c r="K8441" t="s">
        <v>33</v>
      </c>
      <c r="L8441">
        <f t="shared" si="393"/>
        <v>2022</v>
      </c>
      <c r="M8441" t="str">
        <f t="shared" si="394"/>
        <v>Mar</v>
      </c>
      <c r="N8441" s="2">
        <f t="shared" si="395"/>
        <v>0.14483729032564427</v>
      </c>
    </row>
    <row r="8442" spans="1:14" x14ac:dyDescent="0.45">
      <c r="A8442" t="s">
        <v>13983</v>
      </c>
      <c r="B8442" s="1">
        <v>45373</v>
      </c>
      <c r="C8442" t="s">
        <v>826</v>
      </c>
      <c r="D8442" t="s">
        <v>56</v>
      </c>
      <c r="E8442" t="s">
        <v>36</v>
      </c>
      <c r="F8442" t="s">
        <v>64</v>
      </c>
      <c r="G8442">
        <v>3</v>
      </c>
      <c r="H8442">
        <v>47991.31</v>
      </c>
      <c r="I8442">
        <v>6913.39</v>
      </c>
      <c r="J8442" t="s">
        <v>28</v>
      </c>
      <c r="K8442" t="s">
        <v>33</v>
      </c>
      <c r="L8442">
        <f t="shared" si="393"/>
        <v>2024</v>
      </c>
      <c r="M8442" t="str">
        <f t="shared" si="394"/>
        <v>Mar</v>
      </c>
      <c r="N8442" s="2">
        <f t="shared" si="395"/>
        <v>0.14405503829755847</v>
      </c>
    </row>
    <row r="8443" spans="1:14" x14ac:dyDescent="0.45">
      <c r="A8443" t="s">
        <v>13984</v>
      </c>
      <c r="B8443" s="1">
        <v>45628</v>
      </c>
      <c r="C8443" t="s">
        <v>13985</v>
      </c>
      <c r="D8443" t="s">
        <v>13</v>
      </c>
      <c r="E8443" t="s">
        <v>14</v>
      </c>
      <c r="F8443" t="s">
        <v>15</v>
      </c>
      <c r="G8443">
        <v>4</v>
      </c>
      <c r="H8443">
        <v>16176.71</v>
      </c>
      <c r="I8443">
        <v>3130.09</v>
      </c>
      <c r="J8443" t="s">
        <v>16</v>
      </c>
      <c r="K8443" t="s">
        <v>17</v>
      </c>
      <c r="L8443">
        <f t="shared" si="393"/>
        <v>2024</v>
      </c>
      <c r="M8443" t="str">
        <f t="shared" si="394"/>
        <v>Dec</v>
      </c>
      <c r="N8443" s="2">
        <f t="shared" si="395"/>
        <v>0.19349360902185922</v>
      </c>
    </row>
    <row r="8444" spans="1:14" x14ac:dyDescent="0.45">
      <c r="A8444" t="s">
        <v>13986</v>
      </c>
      <c r="B8444" s="1">
        <v>44718</v>
      </c>
      <c r="C8444" t="s">
        <v>13987</v>
      </c>
      <c r="D8444" t="s">
        <v>13</v>
      </c>
      <c r="E8444" t="s">
        <v>14</v>
      </c>
      <c r="F8444" t="s">
        <v>15</v>
      </c>
      <c r="G8444">
        <v>5</v>
      </c>
      <c r="H8444">
        <v>47005.57</v>
      </c>
      <c r="I8444">
        <v>7335.44</v>
      </c>
      <c r="J8444" t="s">
        <v>28</v>
      </c>
      <c r="K8444" t="s">
        <v>23</v>
      </c>
      <c r="L8444">
        <f t="shared" si="393"/>
        <v>2022</v>
      </c>
      <c r="M8444" t="str">
        <f t="shared" si="394"/>
        <v>Jun</v>
      </c>
      <c r="N8444" s="2">
        <f t="shared" si="395"/>
        <v>0.15605469734756966</v>
      </c>
    </row>
    <row r="8445" spans="1:14" x14ac:dyDescent="0.45">
      <c r="A8445" t="s">
        <v>13988</v>
      </c>
      <c r="B8445" s="1">
        <v>45071</v>
      </c>
      <c r="C8445" t="s">
        <v>13989</v>
      </c>
      <c r="D8445" t="s">
        <v>26</v>
      </c>
      <c r="E8445" t="s">
        <v>36</v>
      </c>
      <c r="F8445" t="s">
        <v>46</v>
      </c>
      <c r="G8445">
        <v>4</v>
      </c>
      <c r="H8445">
        <v>22252.01</v>
      </c>
      <c r="I8445">
        <v>2384.9499999999998</v>
      </c>
      <c r="J8445" t="s">
        <v>71</v>
      </c>
      <c r="K8445" t="s">
        <v>29</v>
      </c>
      <c r="L8445">
        <f t="shared" si="393"/>
        <v>2023</v>
      </c>
      <c r="M8445" t="str">
        <f t="shared" si="394"/>
        <v>May</v>
      </c>
      <c r="N8445" s="2">
        <f t="shared" si="395"/>
        <v>0.10717908179980146</v>
      </c>
    </row>
    <row r="8446" spans="1:14" x14ac:dyDescent="0.45">
      <c r="A8446" t="s">
        <v>13990</v>
      </c>
      <c r="B8446" s="1">
        <v>45609</v>
      </c>
      <c r="C8446" t="s">
        <v>1276</v>
      </c>
      <c r="D8446" t="s">
        <v>56</v>
      </c>
      <c r="E8446" t="s">
        <v>14</v>
      </c>
      <c r="F8446" t="s">
        <v>15</v>
      </c>
      <c r="G8446">
        <v>1</v>
      </c>
      <c r="H8446">
        <v>46176.63</v>
      </c>
      <c r="I8446">
        <v>6627.92</v>
      </c>
      <c r="J8446" t="s">
        <v>71</v>
      </c>
      <c r="K8446" t="s">
        <v>29</v>
      </c>
      <c r="L8446">
        <f t="shared" si="393"/>
        <v>2024</v>
      </c>
      <c r="M8446" t="str">
        <f t="shared" si="394"/>
        <v>Nov</v>
      </c>
      <c r="N8446" s="2">
        <f t="shared" si="395"/>
        <v>0.14353407773585902</v>
      </c>
    </row>
    <row r="8447" spans="1:14" x14ac:dyDescent="0.45">
      <c r="A8447" t="s">
        <v>13991</v>
      </c>
      <c r="B8447" s="1">
        <v>45251</v>
      </c>
      <c r="C8447" t="s">
        <v>2990</v>
      </c>
      <c r="D8447" t="s">
        <v>56</v>
      </c>
      <c r="E8447" t="s">
        <v>20</v>
      </c>
      <c r="F8447" t="s">
        <v>27</v>
      </c>
      <c r="G8447">
        <v>3</v>
      </c>
      <c r="H8447">
        <v>11276.46</v>
      </c>
      <c r="I8447">
        <v>1858.03</v>
      </c>
      <c r="J8447" t="s">
        <v>16</v>
      </c>
      <c r="K8447" t="s">
        <v>29</v>
      </c>
      <c r="L8447">
        <f t="shared" si="393"/>
        <v>2023</v>
      </c>
      <c r="M8447" t="str">
        <f t="shared" si="394"/>
        <v>Nov</v>
      </c>
      <c r="N8447" s="2">
        <f t="shared" si="395"/>
        <v>0.16477068157914807</v>
      </c>
    </row>
    <row r="8448" spans="1:14" x14ac:dyDescent="0.45">
      <c r="A8448" t="s">
        <v>13992</v>
      </c>
      <c r="B8448" s="1">
        <v>44698</v>
      </c>
      <c r="C8448" t="s">
        <v>1370</v>
      </c>
      <c r="D8448" t="s">
        <v>56</v>
      </c>
      <c r="E8448" t="s">
        <v>14</v>
      </c>
      <c r="F8448" t="s">
        <v>40</v>
      </c>
      <c r="G8448">
        <v>1</v>
      </c>
      <c r="H8448">
        <v>19231.099999999999</v>
      </c>
      <c r="I8448">
        <v>4065.15</v>
      </c>
      <c r="J8448" t="s">
        <v>22</v>
      </c>
      <c r="K8448" t="s">
        <v>33</v>
      </c>
      <c r="L8448">
        <f t="shared" si="393"/>
        <v>2022</v>
      </c>
      <c r="M8448" t="str">
        <f t="shared" si="394"/>
        <v>May</v>
      </c>
      <c r="N8448" s="2">
        <f t="shared" si="395"/>
        <v>0.21138416419237591</v>
      </c>
    </row>
    <row r="8449" spans="1:14" x14ac:dyDescent="0.45">
      <c r="A8449" t="s">
        <v>13993</v>
      </c>
      <c r="B8449" s="1">
        <v>45580</v>
      </c>
      <c r="C8449" t="s">
        <v>13994</v>
      </c>
      <c r="D8449" t="s">
        <v>56</v>
      </c>
      <c r="E8449" t="s">
        <v>36</v>
      </c>
      <c r="F8449" t="s">
        <v>64</v>
      </c>
      <c r="G8449">
        <v>2</v>
      </c>
      <c r="H8449">
        <v>44197.27</v>
      </c>
      <c r="I8449">
        <v>6463.31</v>
      </c>
      <c r="J8449" t="s">
        <v>16</v>
      </c>
      <c r="K8449" t="s">
        <v>29</v>
      </c>
      <c r="L8449">
        <f t="shared" si="393"/>
        <v>2024</v>
      </c>
      <c r="M8449" t="str">
        <f t="shared" si="394"/>
        <v>Oct</v>
      </c>
      <c r="N8449" s="2">
        <f t="shared" si="395"/>
        <v>0.14623776536424085</v>
      </c>
    </row>
    <row r="8450" spans="1:14" x14ac:dyDescent="0.45">
      <c r="A8450" t="s">
        <v>13995</v>
      </c>
      <c r="B8450" s="1">
        <v>45372</v>
      </c>
      <c r="C8450" t="s">
        <v>13996</v>
      </c>
      <c r="D8450" t="s">
        <v>56</v>
      </c>
      <c r="E8450" t="s">
        <v>20</v>
      </c>
      <c r="F8450" t="s">
        <v>43</v>
      </c>
      <c r="G8450">
        <v>3</v>
      </c>
      <c r="H8450">
        <v>11417.77</v>
      </c>
      <c r="I8450">
        <v>2644.88</v>
      </c>
      <c r="J8450" t="s">
        <v>16</v>
      </c>
      <c r="K8450" t="s">
        <v>23</v>
      </c>
      <c r="L8450">
        <f t="shared" si="393"/>
        <v>2024</v>
      </c>
      <c r="M8450" t="str">
        <f t="shared" si="394"/>
        <v>Mar</v>
      </c>
      <c r="N8450" s="2">
        <f t="shared" si="395"/>
        <v>0.2316459343637155</v>
      </c>
    </row>
    <row r="8451" spans="1:14" x14ac:dyDescent="0.45">
      <c r="A8451" t="s">
        <v>13997</v>
      </c>
      <c r="B8451" s="1">
        <v>45629</v>
      </c>
      <c r="C8451" t="s">
        <v>3829</v>
      </c>
      <c r="D8451" t="s">
        <v>56</v>
      </c>
      <c r="E8451" t="s">
        <v>36</v>
      </c>
      <c r="F8451" t="s">
        <v>53</v>
      </c>
      <c r="G8451">
        <v>1</v>
      </c>
      <c r="H8451">
        <v>20253.45</v>
      </c>
      <c r="I8451">
        <v>1186.98</v>
      </c>
      <c r="J8451" t="s">
        <v>47</v>
      </c>
      <c r="K8451" t="s">
        <v>17</v>
      </c>
      <c r="L8451">
        <f t="shared" ref="L8451:L8514" si="396">YEAR(B8451 )</f>
        <v>2024</v>
      </c>
      <c r="M8451" t="str">
        <f t="shared" ref="M8451:M8514" si="397">TEXT(B8451,"MMM")</f>
        <v>Dec</v>
      </c>
      <c r="N8451" s="2">
        <f t="shared" ref="N8451:N8514" si="398">I8451 / H8451</f>
        <v>5.8606311517297054E-2</v>
      </c>
    </row>
    <row r="8452" spans="1:14" x14ac:dyDescent="0.45">
      <c r="A8452" t="s">
        <v>13998</v>
      </c>
      <c r="B8452" s="1">
        <v>45082</v>
      </c>
      <c r="C8452" t="s">
        <v>13999</v>
      </c>
      <c r="D8452" t="s">
        <v>13</v>
      </c>
      <c r="E8452" t="s">
        <v>36</v>
      </c>
      <c r="F8452" t="s">
        <v>37</v>
      </c>
      <c r="G8452">
        <v>1</v>
      </c>
      <c r="H8452">
        <v>26869.54</v>
      </c>
      <c r="I8452">
        <v>5750.17</v>
      </c>
      <c r="J8452" t="s">
        <v>16</v>
      </c>
      <c r="K8452" t="s">
        <v>17</v>
      </c>
      <c r="L8452">
        <f t="shared" si="396"/>
        <v>2023</v>
      </c>
      <c r="M8452" t="str">
        <f t="shared" si="397"/>
        <v>Jun</v>
      </c>
      <c r="N8452" s="2">
        <f t="shared" si="398"/>
        <v>0.21400329145939975</v>
      </c>
    </row>
    <row r="8453" spans="1:14" x14ac:dyDescent="0.45">
      <c r="A8453" t="s">
        <v>14000</v>
      </c>
      <c r="B8453" s="1">
        <v>44797</v>
      </c>
      <c r="C8453" t="s">
        <v>5168</v>
      </c>
      <c r="D8453" t="s">
        <v>26</v>
      </c>
      <c r="E8453" t="s">
        <v>14</v>
      </c>
      <c r="F8453" t="s">
        <v>32</v>
      </c>
      <c r="G8453">
        <v>1</v>
      </c>
      <c r="H8453">
        <v>6420.01</v>
      </c>
      <c r="I8453">
        <v>1407.76</v>
      </c>
      <c r="J8453" t="s">
        <v>16</v>
      </c>
      <c r="K8453" t="s">
        <v>33</v>
      </c>
      <c r="L8453">
        <f t="shared" si="396"/>
        <v>2022</v>
      </c>
      <c r="M8453" t="str">
        <f t="shared" si="397"/>
        <v>Aug</v>
      </c>
      <c r="N8453" s="2">
        <f t="shared" si="398"/>
        <v>0.21927691701414795</v>
      </c>
    </row>
    <row r="8454" spans="1:14" x14ac:dyDescent="0.45">
      <c r="A8454" t="s">
        <v>14001</v>
      </c>
      <c r="B8454" s="1">
        <v>45092</v>
      </c>
      <c r="C8454" t="s">
        <v>10011</v>
      </c>
      <c r="D8454" t="s">
        <v>56</v>
      </c>
      <c r="E8454" t="s">
        <v>20</v>
      </c>
      <c r="F8454" t="s">
        <v>50</v>
      </c>
      <c r="G8454">
        <v>1</v>
      </c>
      <c r="H8454">
        <v>39681.910000000003</v>
      </c>
      <c r="I8454">
        <v>3568.05</v>
      </c>
      <c r="J8454" t="s">
        <v>47</v>
      </c>
      <c r="K8454" t="s">
        <v>17</v>
      </c>
      <c r="L8454">
        <f t="shared" si="396"/>
        <v>2023</v>
      </c>
      <c r="M8454" t="str">
        <f t="shared" si="397"/>
        <v>Jun</v>
      </c>
      <c r="N8454" s="2">
        <f t="shared" si="398"/>
        <v>8.9916286791638808E-2</v>
      </c>
    </row>
    <row r="8455" spans="1:14" x14ac:dyDescent="0.45">
      <c r="A8455" t="s">
        <v>14002</v>
      </c>
      <c r="B8455" s="1">
        <v>45361</v>
      </c>
      <c r="C8455" t="s">
        <v>218</v>
      </c>
      <c r="D8455" t="s">
        <v>26</v>
      </c>
      <c r="E8455" t="s">
        <v>36</v>
      </c>
      <c r="F8455" t="s">
        <v>37</v>
      </c>
      <c r="G8455">
        <v>3</v>
      </c>
      <c r="H8455">
        <v>45665.06</v>
      </c>
      <c r="I8455">
        <v>6641.83</v>
      </c>
      <c r="J8455" t="s">
        <v>47</v>
      </c>
      <c r="K8455" t="s">
        <v>17</v>
      </c>
      <c r="L8455">
        <f t="shared" si="396"/>
        <v>2024</v>
      </c>
      <c r="M8455" t="str">
        <f t="shared" si="397"/>
        <v>Mar</v>
      </c>
      <c r="N8455" s="2">
        <f t="shared" si="398"/>
        <v>0.14544665002082555</v>
      </c>
    </row>
    <row r="8456" spans="1:14" x14ac:dyDescent="0.45">
      <c r="A8456" t="s">
        <v>14003</v>
      </c>
      <c r="B8456" s="1">
        <v>45353</v>
      </c>
      <c r="C8456" t="s">
        <v>4376</v>
      </c>
      <c r="D8456" t="s">
        <v>26</v>
      </c>
      <c r="E8456" t="s">
        <v>14</v>
      </c>
      <c r="F8456" t="s">
        <v>57</v>
      </c>
      <c r="G8456">
        <v>3</v>
      </c>
      <c r="H8456">
        <v>24280.06</v>
      </c>
      <c r="I8456">
        <v>5291.38</v>
      </c>
      <c r="J8456" t="s">
        <v>16</v>
      </c>
      <c r="K8456" t="s">
        <v>33</v>
      </c>
      <c r="L8456">
        <f t="shared" si="396"/>
        <v>2024</v>
      </c>
      <c r="M8456" t="str">
        <f t="shared" si="397"/>
        <v>Mar</v>
      </c>
      <c r="N8456" s="2">
        <f t="shared" si="398"/>
        <v>0.21793109242728395</v>
      </c>
    </row>
    <row r="8457" spans="1:14" x14ac:dyDescent="0.45">
      <c r="A8457" t="s">
        <v>14004</v>
      </c>
      <c r="B8457" s="1">
        <v>44625</v>
      </c>
      <c r="C8457" t="s">
        <v>1973</v>
      </c>
      <c r="D8457" t="s">
        <v>56</v>
      </c>
      <c r="E8457" t="s">
        <v>14</v>
      </c>
      <c r="F8457" t="s">
        <v>40</v>
      </c>
      <c r="G8457">
        <v>1</v>
      </c>
      <c r="H8457">
        <v>3312.58</v>
      </c>
      <c r="I8457">
        <v>584.62</v>
      </c>
      <c r="J8457" t="s">
        <v>28</v>
      </c>
      <c r="K8457" t="s">
        <v>29</v>
      </c>
      <c r="L8457">
        <f t="shared" si="396"/>
        <v>2022</v>
      </c>
      <c r="M8457" t="str">
        <f t="shared" si="397"/>
        <v>Mar</v>
      </c>
      <c r="N8457" s="2">
        <f t="shared" si="398"/>
        <v>0.17648479432949543</v>
      </c>
    </row>
    <row r="8458" spans="1:14" x14ac:dyDescent="0.45">
      <c r="A8458" t="s">
        <v>14005</v>
      </c>
      <c r="B8458" s="1">
        <v>45453</v>
      </c>
      <c r="C8458" t="s">
        <v>14006</v>
      </c>
      <c r="D8458" t="s">
        <v>56</v>
      </c>
      <c r="E8458" t="s">
        <v>36</v>
      </c>
      <c r="F8458" t="s">
        <v>46</v>
      </c>
      <c r="G8458">
        <v>2</v>
      </c>
      <c r="H8458">
        <v>43295.01</v>
      </c>
      <c r="I8458">
        <v>7615.74</v>
      </c>
      <c r="J8458" t="s">
        <v>47</v>
      </c>
      <c r="K8458" t="s">
        <v>29</v>
      </c>
      <c r="L8458">
        <f t="shared" si="396"/>
        <v>2024</v>
      </c>
      <c r="M8458" t="str">
        <f t="shared" si="397"/>
        <v>Jun</v>
      </c>
      <c r="N8458" s="2">
        <f t="shared" si="398"/>
        <v>0.17590341242558899</v>
      </c>
    </row>
    <row r="8459" spans="1:14" x14ac:dyDescent="0.45">
      <c r="A8459" t="s">
        <v>14007</v>
      </c>
      <c r="B8459" s="1">
        <v>44605</v>
      </c>
      <c r="C8459" t="s">
        <v>10661</v>
      </c>
      <c r="D8459" t="s">
        <v>26</v>
      </c>
      <c r="E8459" t="s">
        <v>14</v>
      </c>
      <c r="F8459" t="s">
        <v>15</v>
      </c>
      <c r="G8459">
        <v>2</v>
      </c>
      <c r="H8459">
        <v>25338.57</v>
      </c>
      <c r="I8459">
        <v>5743.77</v>
      </c>
      <c r="J8459" t="s">
        <v>22</v>
      </c>
      <c r="K8459" t="s">
        <v>29</v>
      </c>
      <c r="L8459">
        <f t="shared" si="396"/>
        <v>2022</v>
      </c>
      <c r="M8459" t="str">
        <f t="shared" si="397"/>
        <v>Feb</v>
      </c>
      <c r="N8459" s="2">
        <f t="shared" si="398"/>
        <v>0.22668090582854519</v>
      </c>
    </row>
    <row r="8460" spans="1:14" x14ac:dyDescent="0.45">
      <c r="A8460" t="s">
        <v>14008</v>
      </c>
      <c r="B8460" s="1">
        <v>44581</v>
      </c>
      <c r="C8460" t="s">
        <v>5945</v>
      </c>
      <c r="D8460" t="s">
        <v>26</v>
      </c>
      <c r="E8460" t="s">
        <v>14</v>
      </c>
      <c r="F8460" t="s">
        <v>32</v>
      </c>
      <c r="G8460">
        <v>3</v>
      </c>
      <c r="H8460">
        <v>15441.01</v>
      </c>
      <c r="I8460">
        <v>3645.56</v>
      </c>
      <c r="J8460" t="s">
        <v>28</v>
      </c>
      <c r="K8460" t="s">
        <v>17</v>
      </c>
      <c r="L8460">
        <f t="shared" si="396"/>
        <v>2022</v>
      </c>
      <c r="M8460" t="str">
        <f t="shared" si="397"/>
        <v>Jan</v>
      </c>
      <c r="N8460" s="2">
        <f t="shared" si="398"/>
        <v>0.23609595486305623</v>
      </c>
    </row>
    <row r="8461" spans="1:14" x14ac:dyDescent="0.45">
      <c r="A8461" t="s">
        <v>14009</v>
      </c>
      <c r="B8461" s="1">
        <v>45618</v>
      </c>
      <c r="C8461" t="s">
        <v>798</v>
      </c>
      <c r="D8461" t="s">
        <v>56</v>
      </c>
      <c r="E8461" t="s">
        <v>20</v>
      </c>
      <c r="F8461" t="s">
        <v>27</v>
      </c>
      <c r="G8461">
        <v>3</v>
      </c>
      <c r="H8461">
        <v>48825.42</v>
      </c>
      <c r="I8461">
        <v>5301.73</v>
      </c>
      <c r="J8461" t="s">
        <v>22</v>
      </c>
      <c r="K8461" t="s">
        <v>29</v>
      </c>
      <c r="L8461">
        <f t="shared" si="396"/>
        <v>2024</v>
      </c>
      <c r="M8461" t="str">
        <f t="shared" si="397"/>
        <v>Nov</v>
      </c>
      <c r="N8461" s="2">
        <f t="shared" si="398"/>
        <v>0.10858544585996392</v>
      </c>
    </row>
    <row r="8462" spans="1:14" x14ac:dyDescent="0.45">
      <c r="A8462" t="s">
        <v>14010</v>
      </c>
      <c r="B8462" s="1">
        <v>44593</v>
      </c>
      <c r="C8462" t="s">
        <v>7433</v>
      </c>
      <c r="D8462" t="s">
        <v>56</v>
      </c>
      <c r="E8462" t="s">
        <v>14</v>
      </c>
      <c r="F8462" t="s">
        <v>40</v>
      </c>
      <c r="G8462">
        <v>5</v>
      </c>
      <c r="H8462">
        <v>790.62</v>
      </c>
      <c r="I8462">
        <v>132.25</v>
      </c>
      <c r="J8462" t="s">
        <v>71</v>
      </c>
      <c r="K8462" t="s">
        <v>17</v>
      </c>
      <c r="L8462">
        <f t="shared" si="396"/>
        <v>2022</v>
      </c>
      <c r="M8462" t="str">
        <f t="shared" si="397"/>
        <v>Feb</v>
      </c>
      <c r="N8462" s="2">
        <f t="shared" si="398"/>
        <v>0.16727378513065697</v>
      </c>
    </row>
    <row r="8463" spans="1:14" x14ac:dyDescent="0.45">
      <c r="A8463" t="s">
        <v>14011</v>
      </c>
      <c r="B8463" s="1">
        <v>44985</v>
      </c>
      <c r="C8463" t="s">
        <v>4867</v>
      </c>
      <c r="D8463" t="s">
        <v>26</v>
      </c>
      <c r="E8463" t="s">
        <v>20</v>
      </c>
      <c r="F8463" t="s">
        <v>50</v>
      </c>
      <c r="G8463">
        <v>1</v>
      </c>
      <c r="H8463">
        <v>28258.11</v>
      </c>
      <c r="I8463">
        <v>7053.93</v>
      </c>
      <c r="J8463" t="s">
        <v>16</v>
      </c>
      <c r="K8463" t="s">
        <v>17</v>
      </c>
      <c r="L8463">
        <f t="shared" si="396"/>
        <v>2023</v>
      </c>
      <c r="M8463" t="str">
        <f t="shared" si="397"/>
        <v>Feb</v>
      </c>
      <c r="N8463" s="2">
        <f t="shared" si="398"/>
        <v>0.24962497491870475</v>
      </c>
    </row>
    <row r="8464" spans="1:14" x14ac:dyDescent="0.45">
      <c r="A8464" t="s">
        <v>14012</v>
      </c>
      <c r="B8464" s="1">
        <v>44740</v>
      </c>
      <c r="C8464" t="s">
        <v>10704</v>
      </c>
      <c r="D8464" t="s">
        <v>13</v>
      </c>
      <c r="E8464" t="s">
        <v>36</v>
      </c>
      <c r="F8464" t="s">
        <v>46</v>
      </c>
      <c r="G8464">
        <v>2</v>
      </c>
      <c r="H8464">
        <v>17735.72</v>
      </c>
      <c r="I8464">
        <v>4350.46</v>
      </c>
      <c r="J8464" t="s">
        <v>71</v>
      </c>
      <c r="K8464" t="s">
        <v>23</v>
      </c>
      <c r="L8464">
        <f t="shared" si="396"/>
        <v>2022</v>
      </c>
      <c r="M8464" t="str">
        <f t="shared" si="397"/>
        <v>Jun</v>
      </c>
      <c r="N8464" s="2">
        <f t="shared" si="398"/>
        <v>0.24529367851995859</v>
      </c>
    </row>
    <row r="8465" spans="1:14" x14ac:dyDescent="0.45">
      <c r="A8465" t="s">
        <v>14013</v>
      </c>
      <c r="B8465" s="1">
        <v>45228</v>
      </c>
      <c r="C8465" t="s">
        <v>14014</v>
      </c>
      <c r="D8465" t="s">
        <v>56</v>
      </c>
      <c r="E8465" t="s">
        <v>36</v>
      </c>
      <c r="F8465" t="s">
        <v>64</v>
      </c>
      <c r="G8465">
        <v>5</v>
      </c>
      <c r="H8465">
        <v>28447.16</v>
      </c>
      <c r="I8465">
        <v>4049.53</v>
      </c>
      <c r="J8465" t="s">
        <v>47</v>
      </c>
      <c r="K8465" t="s">
        <v>23</v>
      </c>
      <c r="L8465">
        <f t="shared" si="396"/>
        <v>2023</v>
      </c>
      <c r="M8465" t="str">
        <f t="shared" si="397"/>
        <v>Oct</v>
      </c>
      <c r="N8465" s="2">
        <f t="shared" si="398"/>
        <v>0.14235269882828375</v>
      </c>
    </row>
    <row r="8466" spans="1:14" x14ac:dyDescent="0.45">
      <c r="A8466" t="s">
        <v>14015</v>
      </c>
      <c r="B8466" s="1">
        <v>45400</v>
      </c>
      <c r="C8466" t="s">
        <v>6545</v>
      </c>
      <c r="D8466" t="s">
        <v>56</v>
      </c>
      <c r="E8466" t="s">
        <v>36</v>
      </c>
      <c r="F8466" t="s">
        <v>37</v>
      </c>
      <c r="G8466">
        <v>4</v>
      </c>
      <c r="H8466">
        <v>34738.17</v>
      </c>
      <c r="I8466">
        <v>1746.31</v>
      </c>
      <c r="J8466" t="s">
        <v>71</v>
      </c>
      <c r="K8466" t="s">
        <v>23</v>
      </c>
      <c r="L8466">
        <f t="shared" si="396"/>
        <v>2024</v>
      </c>
      <c r="M8466" t="str">
        <f t="shared" si="397"/>
        <v>Apr</v>
      </c>
      <c r="N8466" s="2">
        <f t="shared" si="398"/>
        <v>5.0270638896637333E-2</v>
      </c>
    </row>
    <row r="8467" spans="1:14" x14ac:dyDescent="0.45">
      <c r="A8467" t="s">
        <v>14016</v>
      </c>
      <c r="B8467" s="1">
        <v>45599</v>
      </c>
      <c r="C8467" t="s">
        <v>14017</v>
      </c>
      <c r="D8467" t="s">
        <v>26</v>
      </c>
      <c r="E8467" t="s">
        <v>36</v>
      </c>
      <c r="F8467" t="s">
        <v>37</v>
      </c>
      <c r="G8467">
        <v>1</v>
      </c>
      <c r="H8467">
        <v>9529.3799999999992</v>
      </c>
      <c r="I8467">
        <v>803.86</v>
      </c>
      <c r="J8467" t="s">
        <v>71</v>
      </c>
      <c r="K8467" t="s">
        <v>23</v>
      </c>
      <c r="L8467">
        <f t="shared" si="396"/>
        <v>2024</v>
      </c>
      <c r="M8467" t="str">
        <f t="shared" si="397"/>
        <v>Nov</v>
      </c>
      <c r="N8467" s="2">
        <f t="shared" si="398"/>
        <v>8.4355960198879684E-2</v>
      </c>
    </row>
    <row r="8468" spans="1:14" x14ac:dyDescent="0.45">
      <c r="A8468" t="s">
        <v>14018</v>
      </c>
      <c r="B8468" s="1">
        <v>45268</v>
      </c>
      <c r="C8468" t="s">
        <v>14019</v>
      </c>
      <c r="D8468" t="s">
        <v>56</v>
      </c>
      <c r="E8468" t="s">
        <v>36</v>
      </c>
      <c r="F8468" t="s">
        <v>53</v>
      </c>
      <c r="G8468">
        <v>4</v>
      </c>
      <c r="H8468">
        <v>6178.49</v>
      </c>
      <c r="I8468">
        <v>704.67</v>
      </c>
      <c r="J8468" t="s">
        <v>16</v>
      </c>
      <c r="K8468" t="s">
        <v>17</v>
      </c>
      <c r="L8468">
        <f t="shared" si="396"/>
        <v>2023</v>
      </c>
      <c r="M8468" t="str">
        <f t="shared" si="397"/>
        <v>Dec</v>
      </c>
      <c r="N8468" s="2">
        <f t="shared" si="398"/>
        <v>0.11405213895304515</v>
      </c>
    </row>
    <row r="8469" spans="1:14" x14ac:dyDescent="0.45">
      <c r="A8469" t="s">
        <v>14020</v>
      </c>
      <c r="B8469" s="1">
        <v>44958</v>
      </c>
      <c r="C8469" t="s">
        <v>14021</v>
      </c>
      <c r="D8469" t="s">
        <v>26</v>
      </c>
      <c r="E8469" t="s">
        <v>36</v>
      </c>
      <c r="F8469" t="s">
        <v>53</v>
      </c>
      <c r="G8469">
        <v>5</v>
      </c>
      <c r="H8469">
        <v>12207.59</v>
      </c>
      <c r="I8469">
        <v>1957.77</v>
      </c>
      <c r="J8469" t="s">
        <v>47</v>
      </c>
      <c r="K8469" t="s">
        <v>29</v>
      </c>
      <c r="L8469">
        <f t="shared" si="396"/>
        <v>2023</v>
      </c>
      <c r="M8469" t="str">
        <f t="shared" si="397"/>
        <v>Feb</v>
      </c>
      <c r="N8469" s="2">
        <f t="shared" si="398"/>
        <v>0.16037317767061313</v>
      </c>
    </row>
    <row r="8470" spans="1:14" x14ac:dyDescent="0.45">
      <c r="A8470" t="s">
        <v>14022</v>
      </c>
      <c r="B8470" s="1">
        <v>45311</v>
      </c>
      <c r="C8470" t="s">
        <v>14023</v>
      </c>
      <c r="D8470" t="s">
        <v>13</v>
      </c>
      <c r="E8470" t="s">
        <v>20</v>
      </c>
      <c r="F8470" t="s">
        <v>21</v>
      </c>
      <c r="G8470">
        <v>1</v>
      </c>
      <c r="H8470">
        <v>27691.79</v>
      </c>
      <c r="I8470">
        <v>4410.58</v>
      </c>
      <c r="J8470" t="s">
        <v>16</v>
      </c>
      <c r="K8470" t="s">
        <v>23</v>
      </c>
      <c r="L8470">
        <f t="shared" si="396"/>
        <v>2024</v>
      </c>
      <c r="M8470" t="str">
        <f t="shared" si="397"/>
        <v>Jan</v>
      </c>
      <c r="N8470" s="2">
        <f t="shared" si="398"/>
        <v>0.15927392198193038</v>
      </c>
    </row>
    <row r="8471" spans="1:14" x14ac:dyDescent="0.45">
      <c r="A8471" t="s">
        <v>14024</v>
      </c>
      <c r="B8471" s="1">
        <v>45108</v>
      </c>
      <c r="C8471" t="s">
        <v>12628</v>
      </c>
      <c r="D8471" t="s">
        <v>13</v>
      </c>
      <c r="E8471" t="s">
        <v>14</v>
      </c>
      <c r="F8471" t="s">
        <v>32</v>
      </c>
      <c r="G8471">
        <v>3</v>
      </c>
      <c r="H8471">
        <v>9352.0300000000007</v>
      </c>
      <c r="I8471">
        <v>1704.37</v>
      </c>
      <c r="J8471" t="s">
        <v>22</v>
      </c>
      <c r="K8471" t="s">
        <v>33</v>
      </c>
      <c r="L8471">
        <f t="shared" si="396"/>
        <v>2023</v>
      </c>
      <c r="M8471" t="str">
        <f t="shared" si="397"/>
        <v>Jul</v>
      </c>
      <c r="N8471" s="2">
        <f t="shared" si="398"/>
        <v>0.18224599365057637</v>
      </c>
    </row>
    <row r="8472" spans="1:14" x14ac:dyDescent="0.45">
      <c r="A8472" t="s">
        <v>14025</v>
      </c>
      <c r="B8472" s="1">
        <v>45550</v>
      </c>
      <c r="C8472" t="s">
        <v>3449</v>
      </c>
      <c r="D8472" t="s">
        <v>56</v>
      </c>
      <c r="E8472" t="s">
        <v>14</v>
      </c>
      <c r="F8472" t="s">
        <v>32</v>
      </c>
      <c r="G8472">
        <v>1</v>
      </c>
      <c r="H8472">
        <v>13463.93</v>
      </c>
      <c r="I8472">
        <v>812.29</v>
      </c>
      <c r="J8472" t="s">
        <v>47</v>
      </c>
      <c r="K8472" t="s">
        <v>23</v>
      </c>
      <c r="L8472">
        <f t="shared" si="396"/>
        <v>2024</v>
      </c>
      <c r="M8472" t="str">
        <f t="shared" si="397"/>
        <v>Sep</v>
      </c>
      <c r="N8472" s="2">
        <f t="shared" si="398"/>
        <v>6.0330824655208393E-2</v>
      </c>
    </row>
    <row r="8473" spans="1:14" x14ac:dyDescent="0.45">
      <c r="A8473" t="s">
        <v>14026</v>
      </c>
      <c r="B8473" s="1">
        <v>44657</v>
      </c>
      <c r="C8473" t="s">
        <v>1000</v>
      </c>
      <c r="D8473" t="s">
        <v>26</v>
      </c>
      <c r="E8473" t="s">
        <v>20</v>
      </c>
      <c r="F8473" t="s">
        <v>50</v>
      </c>
      <c r="G8473">
        <v>5</v>
      </c>
      <c r="H8473">
        <v>41471.67</v>
      </c>
      <c r="I8473">
        <v>3298.09</v>
      </c>
      <c r="J8473" t="s">
        <v>71</v>
      </c>
      <c r="K8473" t="s">
        <v>23</v>
      </c>
      <c r="L8473">
        <f t="shared" si="396"/>
        <v>2022</v>
      </c>
      <c r="M8473" t="str">
        <f t="shared" si="397"/>
        <v>Apr</v>
      </c>
      <c r="N8473" s="2">
        <f t="shared" si="398"/>
        <v>7.9526336894559596E-2</v>
      </c>
    </row>
    <row r="8474" spans="1:14" x14ac:dyDescent="0.45">
      <c r="A8474" t="s">
        <v>14027</v>
      </c>
      <c r="B8474" s="1">
        <v>44723</v>
      </c>
      <c r="C8474" t="s">
        <v>7228</v>
      </c>
      <c r="D8474" t="s">
        <v>56</v>
      </c>
      <c r="E8474" t="s">
        <v>20</v>
      </c>
      <c r="F8474" t="s">
        <v>50</v>
      </c>
      <c r="G8474">
        <v>4</v>
      </c>
      <c r="H8474">
        <v>19861.95</v>
      </c>
      <c r="I8474">
        <v>3891.33</v>
      </c>
      <c r="J8474" t="s">
        <v>22</v>
      </c>
      <c r="K8474" t="s">
        <v>33</v>
      </c>
      <c r="L8474">
        <f t="shared" si="396"/>
        <v>2022</v>
      </c>
      <c r="M8474" t="str">
        <f t="shared" si="397"/>
        <v>Jun</v>
      </c>
      <c r="N8474" s="2">
        <f t="shared" si="398"/>
        <v>0.19591882972215718</v>
      </c>
    </row>
    <row r="8475" spans="1:14" x14ac:dyDescent="0.45">
      <c r="A8475" t="s">
        <v>14028</v>
      </c>
      <c r="B8475" s="1">
        <v>44766</v>
      </c>
      <c r="C8475" t="s">
        <v>5370</v>
      </c>
      <c r="D8475" t="s">
        <v>13</v>
      </c>
      <c r="E8475" t="s">
        <v>14</v>
      </c>
      <c r="F8475" t="s">
        <v>32</v>
      </c>
      <c r="G8475">
        <v>5</v>
      </c>
      <c r="H8475">
        <v>14060.03</v>
      </c>
      <c r="I8475">
        <v>1550.22</v>
      </c>
      <c r="J8475" t="s">
        <v>28</v>
      </c>
      <c r="K8475" t="s">
        <v>23</v>
      </c>
      <c r="L8475">
        <f t="shared" si="396"/>
        <v>2022</v>
      </c>
      <c r="M8475" t="str">
        <f t="shared" si="397"/>
        <v>Jul</v>
      </c>
      <c r="N8475" s="2">
        <f t="shared" si="398"/>
        <v>0.11025723273705675</v>
      </c>
    </row>
    <row r="8476" spans="1:14" x14ac:dyDescent="0.45">
      <c r="A8476" t="s">
        <v>14029</v>
      </c>
      <c r="B8476" s="1">
        <v>45503</v>
      </c>
      <c r="C8476" t="s">
        <v>8340</v>
      </c>
      <c r="D8476" t="s">
        <v>26</v>
      </c>
      <c r="E8476" t="s">
        <v>36</v>
      </c>
      <c r="F8476" t="s">
        <v>37</v>
      </c>
      <c r="G8476">
        <v>5</v>
      </c>
      <c r="H8476">
        <v>2753.53</v>
      </c>
      <c r="I8476">
        <v>429.87</v>
      </c>
      <c r="J8476" t="s">
        <v>71</v>
      </c>
      <c r="K8476" t="s">
        <v>33</v>
      </c>
      <c r="L8476">
        <f t="shared" si="396"/>
        <v>2024</v>
      </c>
      <c r="M8476" t="str">
        <f t="shared" si="397"/>
        <v>Jul</v>
      </c>
      <c r="N8476" s="2">
        <f t="shared" si="398"/>
        <v>0.15611596750353182</v>
      </c>
    </row>
    <row r="8477" spans="1:14" x14ac:dyDescent="0.45">
      <c r="A8477" t="s">
        <v>14030</v>
      </c>
      <c r="B8477" s="1">
        <v>44878</v>
      </c>
      <c r="C8477" t="s">
        <v>3598</v>
      </c>
      <c r="D8477" t="s">
        <v>13</v>
      </c>
      <c r="E8477" t="s">
        <v>20</v>
      </c>
      <c r="F8477" t="s">
        <v>21</v>
      </c>
      <c r="G8477">
        <v>5</v>
      </c>
      <c r="H8477">
        <v>23214.77</v>
      </c>
      <c r="I8477">
        <v>1836.47</v>
      </c>
      <c r="J8477" t="s">
        <v>28</v>
      </c>
      <c r="K8477" t="s">
        <v>29</v>
      </c>
      <c r="L8477">
        <f t="shared" si="396"/>
        <v>2022</v>
      </c>
      <c r="M8477" t="str">
        <f t="shared" si="397"/>
        <v>Nov</v>
      </c>
      <c r="N8477" s="2">
        <f t="shared" si="398"/>
        <v>7.9107826612109439E-2</v>
      </c>
    </row>
    <row r="8478" spans="1:14" x14ac:dyDescent="0.45">
      <c r="A8478" t="s">
        <v>14031</v>
      </c>
      <c r="B8478" s="1">
        <v>45178</v>
      </c>
      <c r="C8478" t="s">
        <v>14032</v>
      </c>
      <c r="D8478" t="s">
        <v>56</v>
      </c>
      <c r="E8478" t="s">
        <v>20</v>
      </c>
      <c r="F8478" t="s">
        <v>43</v>
      </c>
      <c r="G8478">
        <v>3</v>
      </c>
      <c r="H8478">
        <v>10464.61</v>
      </c>
      <c r="I8478">
        <v>929.88</v>
      </c>
      <c r="J8478" t="s">
        <v>28</v>
      </c>
      <c r="K8478" t="s">
        <v>17</v>
      </c>
      <c r="L8478">
        <f t="shared" si="396"/>
        <v>2023</v>
      </c>
      <c r="M8478" t="str">
        <f t="shared" si="397"/>
        <v>Sep</v>
      </c>
      <c r="N8478" s="2">
        <f t="shared" si="398"/>
        <v>8.8859498825087604E-2</v>
      </c>
    </row>
    <row r="8479" spans="1:14" x14ac:dyDescent="0.45">
      <c r="A8479" t="s">
        <v>14033</v>
      </c>
      <c r="B8479" s="1">
        <v>44564</v>
      </c>
      <c r="C8479" t="s">
        <v>10207</v>
      </c>
      <c r="D8479" t="s">
        <v>26</v>
      </c>
      <c r="E8479" t="s">
        <v>20</v>
      </c>
      <c r="F8479" t="s">
        <v>27</v>
      </c>
      <c r="G8479">
        <v>4</v>
      </c>
      <c r="H8479">
        <v>19198.72</v>
      </c>
      <c r="I8479">
        <v>1849.93</v>
      </c>
      <c r="J8479" t="s">
        <v>16</v>
      </c>
      <c r="K8479" t="s">
        <v>29</v>
      </c>
      <c r="L8479">
        <f t="shared" si="396"/>
        <v>2022</v>
      </c>
      <c r="M8479" t="str">
        <f t="shared" si="397"/>
        <v>Jan</v>
      </c>
      <c r="N8479" s="2">
        <f t="shared" si="398"/>
        <v>9.6356944629641977E-2</v>
      </c>
    </row>
    <row r="8480" spans="1:14" x14ac:dyDescent="0.45">
      <c r="A8480" t="s">
        <v>14034</v>
      </c>
      <c r="B8480" s="1">
        <v>45306</v>
      </c>
      <c r="C8480" t="s">
        <v>1774</v>
      </c>
      <c r="D8480" t="s">
        <v>56</v>
      </c>
      <c r="E8480" t="s">
        <v>14</v>
      </c>
      <c r="F8480" t="s">
        <v>40</v>
      </c>
      <c r="G8480">
        <v>1</v>
      </c>
      <c r="H8480">
        <v>3879.55</v>
      </c>
      <c r="I8480">
        <v>313.35000000000002</v>
      </c>
      <c r="J8480" t="s">
        <v>71</v>
      </c>
      <c r="K8480" t="s">
        <v>23</v>
      </c>
      <c r="L8480">
        <f t="shared" si="396"/>
        <v>2024</v>
      </c>
      <c r="M8480" t="str">
        <f t="shared" si="397"/>
        <v>Jan</v>
      </c>
      <c r="N8480" s="2">
        <f t="shared" si="398"/>
        <v>8.0769676895516229E-2</v>
      </c>
    </row>
    <row r="8481" spans="1:14" x14ac:dyDescent="0.45">
      <c r="A8481" t="s">
        <v>14035</v>
      </c>
      <c r="B8481" s="1">
        <v>45553</v>
      </c>
      <c r="C8481" t="s">
        <v>13932</v>
      </c>
      <c r="D8481" t="s">
        <v>26</v>
      </c>
      <c r="E8481" t="s">
        <v>14</v>
      </c>
      <c r="F8481" t="s">
        <v>40</v>
      </c>
      <c r="G8481">
        <v>2</v>
      </c>
      <c r="H8481">
        <v>36904.76</v>
      </c>
      <c r="I8481">
        <v>6417.21</v>
      </c>
      <c r="J8481" t="s">
        <v>22</v>
      </c>
      <c r="K8481" t="s">
        <v>17</v>
      </c>
      <c r="L8481">
        <f t="shared" si="396"/>
        <v>2024</v>
      </c>
      <c r="M8481" t="str">
        <f t="shared" si="397"/>
        <v>Sep</v>
      </c>
      <c r="N8481" s="2">
        <f t="shared" si="398"/>
        <v>0.17388569929732642</v>
      </c>
    </row>
    <row r="8482" spans="1:14" x14ac:dyDescent="0.45">
      <c r="A8482" t="s">
        <v>14036</v>
      </c>
      <c r="B8482" s="1">
        <v>44874</v>
      </c>
      <c r="C8482" t="s">
        <v>3292</v>
      </c>
      <c r="D8482" t="s">
        <v>56</v>
      </c>
      <c r="E8482" t="s">
        <v>36</v>
      </c>
      <c r="F8482" t="s">
        <v>64</v>
      </c>
      <c r="G8482">
        <v>4</v>
      </c>
      <c r="H8482">
        <v>42554.32</v>
      </c>
      <c r="I8482">
        <v>4551.7299999999996</v>
      </c>
      <c r="J8482" t="s">
        <v>22</v>
      </c>
      <c r="K8482" t="s">
        <v>23</v>
      </c>
      <c r="L8482">
        <f t="shared" si="396"/>
        <v>2022</v>
      </c>
      <c r="M8482" t="str">
        <f t="shared" si="397"/>
        <v>Nov</v>
      </c>
      <c r="N8482" s="2">
        <f t="shared" si="398"/>
        <v>0.10696281834605745</v>
      </c>
    </row>
    <row r="8483" spans="1:14" x14ac:dyDescent="0.45">
      <c r="A8483" t="s">
        <v>14037</v>
      </c>
      <c r="B8483" s="1">
        <v>45141</v>
      </c>
      <c r="C8483" t="s">
        <v>1585</v>
      </c>
      <c r="D8483" t="s">
        <v>13</v>
      </c>
      <c r="E8483" t="s">
        <v>14</v>
      </c>
      <c r="F8483" t="s">
        <v>15</v>
      </c>
      <c r="G8483">
        <v>2</v>
      </c>
      <c r="H8483">
        <v>20279.080000000002</v>
      </c>
      <c r="I8483">
        <v>1115.24</v>
      </c>
      <c r="J8483" t="s">
        <v>28</v>
      </c>
      <c r="K8483" t="s">
        <v>23</v>
      </c>
      <c r="L8483">
        <f t="shared" si="396"/>
        <v>2023</v>
      </c>
      <c r="M8483" t="str">
        <f t="shared" si="397"/>
        <v>Aug</v>
      </c>
      <c r="N8483" s="2">
        <f t="shared" si="398"/>
        <v>5.4994605277951462E-2</v>
      </c>
    </row>
    <row r="8484" spans="1:14" x14ac:dyDescent="0.45">
      <c r="A8484" t="s">
        <v>14038</v>
      </c>
      <c r="B8484" s="1">
        <v>45180</v>
      </c>
      <c r="C8484" t="s">
        <v>10515</v>
      </c>
      <c r="D8484" t="s">
        <v>56</v>
      </c>
      <c r="E8484" t="s">
        <v>20</v>
      </c>
      <c r="F8484" t="s">
        <v>43</v>
      </c>
      <c r="G8484">
        <v>2</v>
      </c>
      <c r="H8484">
        <v>21195.05</v>
      </c>
      <c r="I8484">
        <v>4060.22</v>
      </c>
      <c r="J8484" t="s">
        <v>22</v>
      </c>
      <c r="K8484" t="s">
        <v>29</v>
      </c>
      <c r="L8484">
        <f t="shared" si="396"/>
        <v>2023</v>
      </c>
      <c r="M8484" t="str">
        <f t="shared" si="397"/>
        <v>Sep</v>
      </c>
      <c r="N8484" s="2">
        <f t="shared" si="398"/>
        <v>0.19156453983359323</v>
      </c>
    </row>
    <row r="8485" spans="1:14" x14ac:dyDescent="0.45">
      <c r="A8485" t="s">
        <v>14039</v>
      </c>
      <c r="B8485" s="1">
        <v>44655</v>
      </c>
      <c r="C8485" t="s">
        <v>14040</v>
      </c>
      <c r="D8485" t="s">
        <v>26</v>
      </c>
      <c r="E8485" t="s">
        <v>20</v>
      </c>
      <c r="F8485" t="s">
        <v>50</v>
      </c>
      <c r="G8485">
        <v>4</v>
      </c>
      <c r="H8485">
        <v>44751.53</v>
      </c>
      <c r="I8485">
        <v>10652.33</v>
      </c>
      <c r="J8485" t="s">
        <v>71</v>
      </c>
      <c r="K8485" t="s">
        <v>29</v>
      </c>
      <c r="L8485">
        <f t="shared" si="396"/>
        <v>2022</v>
      </c>
      <c r="M8485" t="str">
        <f t="shared" si="397"/>
        <v>Apr</v>
      </c>
      <c r="N8485" s="2">
        <f t="shared" si="398"/>
        <v>0.23803275552813502</v>
      </c>
    </row>
    <row r="8486" spans="1:14" x14ac:dyDescent="0.45">
      <c r="A8486" t="s">
        <v>14041</v>
      </c>
      <c r="B8486" s="1">
        <v>45448</v>
      </c>
      <c r="C8486" t="s">
        <v>1340</v>
      </c>
      <c r="D8486" t="s">
        <v>13</v>
      </c>
      <c r="E8486" t="s">
        <v>14</v>
      </c>
      <c r="F8486" t="s">
        <v>40</v>
      </c>
      <c r="G8486">
        <v>1</v>
      </c>
      <c r="H8486">
        <v>36379.54</v>
      </c>
      <c r="I8486">
        <v>5271.28</v>
      </c>
      <c r="J8486" t="s">
        <v>47</v>
      </c>
      <c r="K8486" t="s">
        <v>23</v>
      </c>
      <c r="L8486">
        <f t="shared" si="396"/>
        <v>2024</v>
      </c>
      <c r="M8486" t="str">
        <f t="shared" si="397"/>
        <v>Jun</v>
      </c>
      <c r="N8486" s="2">
        <f t="shared" si="398"/>
        <v>0.14489682937167428</v>
      </c>
    </row>
    <row r="8487" spans="1:14" x14ac:dyDescent="0.45">
      <c r="A8487" t="s">
        <v>14042</v>
      </c>
      <c r="B8487" s="1">
        <v>45240</v>
      </c>
      <c r="C8487" t="s">
        <v>14043</v>
      </c>
      <c r="D8487" t="s">
        <v>56</v>
      </c>
      <c r="E8487" t="s">
        <v>14</v>
      </c>
      <c r="F8487" t="s">
        <v>40</v>
      </c>
      <c r="G8487">
        <v>3</v>
      </c>
      <c r="H8487">
        <v>48490.73</v>
      </c>
      <c r="I8487">
        <v>7731.68</v>
      </c>
      <c r="J8487" t="s">
        <v>71</v>
      </c>
      <c r="K8487" t="s">
        <v>29</v>
      </c>
      <c r="L8487">
        <f t="shared" si="396"/>
        <v>2023</v>
      </c>
      <c r="M8487" t="str">
        <f t="shared" si="397"/>
        <v>Nov</v>
      </c>
      <c r="N8487" s="2">
        <f t="shared" si="398"/>
        <v>0.15944655813595712</v>
      </c>
    </row>
    <row r="8488" spans="1:14" x14ac:dyDescent="0.45">
      <c r="A8488" t="s">
        <v>14044</v>
      </c>
      <c r="B8488" s="1">
        <v>45110</v>
      </c>
      <c r="C8488" t="s">
        <v>14045</v>
      </c>
      <c r="D8488" t="s">
        <v>26</v>
      </c>
      <c r="E8488" t="s">
        <v>14</v>
      </c>
      <c r="F8488" t="s">
        <v>15</v>
      </c>
      <c r="G8488">
        <v>1</v>
      </c>
      <c r="H8488">
        <v>24185.37</v>
      </c>
      <c r="I8488">
        <v>4369.63</v>
      </c>
      <c r="J8488" t="s">
        <v>22</v>
      </c>
      <c r="K8488" t="s">
        <v>29</v>
      </c>
      <c r="L8488">
        <f t="shared" si="396"/>
        <v>2023</v>
      </c>
      <c r="M8488" t="str">
        <f t="shared" si="397"/>
        <v>Jul</v>
      </c>
      <c r="N8488" s="2">
        <f t="shared" si="398"/>
        <v>0.18067244784760375</v>
      </c>
    </row>
    <row r="8489" spans="1:14" x14ac:dyDescent="0.45">
      <c r="A8489" t="s">
        <v>14046</v>
      </c>
      <c r="B8489" s="1">
        <v>45517</v>
      </c>
      <c r="C8489" t="s">
        <v>8072</v>
      </c>
      <c r="D8489" t="s">
        <v>56</v>
      </c>
      <c r="E8489" t="s">
        <v>20</v>
      </c>
      <c r="F8489" t="s">
        <v>43</v>
      </c>
      <c r="G8489">
        <v>3</v>
      </c>
      <c r="H8489">
        <v>32227.87</v>
      </c>
      <c r="I8489">
        <v>2454.7600000000002</v>
      </c>
      <c r="J8489" t="s">
        <v>22</v>
      </c>
      <c r="K8489" t="s">
        <v>17</v>
      </c>
      <c r="L8489">
        <f t="shared" si="396"/>
        <v>2024</v>
      </c>
      <c r="M8489" t="str">
        <f t="shared" si="397"/>
        <v>Aug</v>
      </c>
      <c r="N8489" s="2">
        <f t="shared" si="398"/>
        <v>7.6168856334594887E-2</v>
      </c>
    </row>
    <row r="8490" spans="1:14" x14ac:dyDescent="0.45">
      <c r="A8490" t="s">
        <v>14047</v>
      </c>
      <c r="B8490" s="1">
        <v>45258</v>
      </c>
      <c r="C8490" t="s">
        <v>7071</v>
      </c>
      <c r="D8490" t="s">
        <v>13</v>
      </c>
      <c r="E8490" t="s">
        <v>20</v>
      </c>
      <c r="F8490" t="s">
        <v>27</v>
      </c>
      <c r="G8490">
        <v>3</v>
      </c>
      <c r="H8490">
        <v>44739.27</v>
      </c>
      <c r="I8490">
        <v>8321.76</v>
      </c>
      <c r="J8490" t="s">
        <v>16</v>
      </c>
      <c r="K8490" t="s">
        <v>17</v>
      </c>
      <c r="L8490">
        <f t="shared" si="396"/>
        <v>2023</v>
      </c>
      <c r="M8490" t="str">
        <f t="shared" si="397"/>
        <v>Nov</v>
      </c>
      <c r="N8490" s="2">
        <f t="shared" si="398"/>
        <v>0.1860057171250224</v>
      </c>
    </row>
    <row r="8491" spans="1:14" x14ac:dyDescent="0.45">
      <c r="A8491" t="s">
        <v>14048</v>
      </c>
      <c r="B8491" s="1">
        <v>44574</v>
      </c>
      <c r="C8491" t="s">
        <v>11928</v>
      </c>
      <c r="D8491" t="s">
        <v>56</v>
      </c>
      <c r="E8491" t="s">
        <v>14</v>
      </c>
      <c r="F8491" t="s">
        <v>57</v>
      </c>
      <c r="G8491">
        <v>2</v>
      </c>
      <c r="H8491">
        <v>28747.919999999998</v>
      </c>
      <c r="I8491">
        <v>7165.73</v>
      </c>
      <c r="J8491" t="s">
        <v>47</v>
      </c>
      <c r="K8491" t="s">
        <v>23</v>
      </c>
      <c r="L8491">
        <f t="shared" si="396"/>
        <v>2022</v>
      </c>
      <c r="M8491" t="str">
        <f t="shared" si="397"/>
        <v>Jan</v>
      </c>
      <c r="N8491" s="2">
        <f t="shared" si="398"/>
        <v>0.2492608160868682</v>
      </c>
    </row>
    <row r="8492" spans="1:14" x14ac:dyDescent="0.45">
      <c r="A8492" t="s">
        <v>14049</v>
      </c>
      <c r="B8492" s="1">
        <v>45654</v>
      </c>
      <c r="C8492" t="s">
        <v>14050</v>
      </c>
      <c r="D8492" t="s">
        <v>56</v>
      </c>
      <c r="E8492" t="s">
        <v>14</v>
      </c>
      <c r="F8492" t="s">
        <v>40</v>
      </c>
      <c r="G8492">
        <v>1</v>
      </c>
      <c r="H8492">
        <v>3832.94</v>
      </c>
      <c r="I8492">
        <v>292.41000000000003</v>
      </c>
      <c r="J8492" t="s">
        <v>22</v>
      </c>
      <c r="K8492" t="s">
        <v>33</v>
      </c>
      <c r="L8492">
        <f t="shared" si="396"/>
        <v>2024</v>
      </c>
      <c r="M8492" t="str">
        <f t="shared" si="397"/>
        <v>Dec</v>
      </c>
      <c r="N8492" s="2">
        <f t="shared" si="398"/>
        <v>7.6288697448955639E-2</v>
      </c>
    </row>
    <row r="8493" spans="1:14" x14ac:dyDescent="0.45">
      <c r="A8493" t="s">
        <v>14051</v>
      </c>
      <c r="B8493" s="1">
        <v>45557</v>
      </c>
      <c r="C8493" t="s">
        <v>14052</v>
      </c>
      <c r="D8493" t="s">
        <v>56</v>
      </c>
      <c r="E8493" t="s">
        <v>36</v>
      </c>
      <c r="F8493" t="s">
        <v>64</v>
      </c>
      <c r="G8493">
        <v>5</v>
      </c>
      <c r="H8493">
        <v>9488.7900000000009</v>
      </c>
      <c r="I8493">
        <v>765.47</v>
      </c>
      <c r="J8493" t="s">
        <v>22</v>
      </c>
      <c r="K8493" t="s">
        <v>17</v>
      </c>
      <c r="L8493">
        <f t="shared" si="396"/>
        <v>2024</v>
      </c>
      <c r="M8493" t="str">
        <f t="shared" si="397"/>
        <v>Sep</v>
      </c>
      <c r="N8493" s="2">
        <f t="shared" si="398"/>
        <v>8.0670981231537417E-2</v>
      </c>
    </row>
    <row r="8494" spans="1:14" x14ac:dyDescent="0.45">
      <c r="A8494" t="s">
        <v>14053</v>
      </c>
      <c r="B8494" s="1">
        <v>44699</v>
      </c>
      <c r="C8494" t="s">
        <v>706</v>
      </c>
      <c r="D8494" t="s">
        <v>13</v>
      </c>
      <c r="E8494" t="s">
        <v>20</v>
      </c>
      <c r="F8494" t="s">
        <v>43</v>
      </c>
      <c r="G8494">
        <v>1</v>
      </c>
      <c r="H8494">
        <v>9984.64</v>
      </c>
      <c r="I8494">
        <v>797.67</v>
      </c>
      <c r="J8494" t="s">
        <v>71</v>
      </c>
      <c r="K8494" t="s">
        <v>33</v>
      </c>
      <c r="L8494">
        <f t="shared" si="396"/>
        <v>2022</v>
      </c>
      <c r="M8494" t="str">
        <f t="shared" si="397"/>
        <v>May</v>
      </c>
      <c r="N8494" s="2">
        <f t="shared" si="398"/>
        <v>7.9889710595474644E-2</v>
      </c>
    </row>
    <row r="8495" spans="1:14" x14ac:dyDescent="0.45">
      <c r="A8495" t="s">
        <v>14054</v>
      </c>
      <c r="B8495" s="1">
        <v>44684</v>
      </c>
      <c r="C8495" t="s">
        <v>6613</v>
      </c>
      <c r="D8495" t="s">
        <v>26</v>
      </c>
      <c r="E8495" t="s">
        <v>36</v>
      </c>
      <c r="F8495" t="s">
        <v>46</v>
      </c>
      <c r="G8495">
        <v>1</v>
      </c>
      <c r="H8495">
        <v>28651.1</v>
      </c>
      <c r="I8495">
        <v>4082.62</v>
      </c>
      <c r="J8495" t="s">
        <v>28</v>
      </c>
      <c r="K8495" t="s">
        <v>23</v>
      </c>
      <c r="L8495">
        <f t="shared" si="396"/>
        <v>2022</v>
      </c>
      <c r="M8495" t="str">
        <f t="shared" si="397"/>
        <v>May</v>
      </c>
      <c r="N8495" s="2">
        <f t="shared" si="398"/>
        <v>0.14249435449249767</v>
      </c>
    </row>
    <row r="8496" spans="1:14" x14ac:dyDescent="0.45">
      <c r="A8496" t="s">
        <v>14055</v>
      </c>
      <c r="B8496" s="1">
        <v>45253</v>
      </c>
      <c r="C8496" t="s">
        <v>10470</v>
      </c>
      <c r="D8496" t="s">
        <v>13</v>
      </c>
      <c r="E8496" t="s">
        <v>36</v>
      </c>
      <c r="F8496" t="s">
        <v>64</v>
      </c>
      <c r="G8496">
        <v>3</v>
      </c>
      <c r="H8496">
        <v>24925.82</v>
      </c>
      <c r="I8496">
        <v>1882.56</v>
      </c>
      <c r="J8496" t="s">
        <v>71</v>
      </c>
      <c r="K8496" t="s">
        <v>33</v>
      </c>
      <c r="L8496">
        <f t="shared" si="396"/>
        <v>2023</v>
      </c>
      <c r="M8496" t="str">
        <f t="shared" si="397"/>
        <v>Nov</v>
      </c>
      <c r="N8496" s="2">
        <f t="shared" si="398"/>
        <v>7.5526502237438925E-2</v>
      </c>
    </row>
    <row r="8497" spans="1:14" x14ac:dyDescent="0.45">
      <c r="A8497" t="s">
        <v>14056</v>
      </c>
      <c r="B8497" s="1">
        <v>44718</v>
      </c>
      <c r="C8497" t="s">
        <v>14057</v>
      </c>
      <c r="D8497" t="s">
        <v>56</v>
      </c>
      <c r="E8497" t="s">
        <v>36</v>
      </c>
      <c r="F8497" t="s">
        <v>53</v>
      </c>
      <c r="G8497">
        <v>1</v>
      </c>
      <c r="H8497">
        <v>39476.69</v>
      </c>
      <c r="I8497">
        <v>3759.74</v>
      </c>
      <c r="J8497" t="s">
        <v>28</v>
      </c>
      <c r="K8497" t="s">
        <v>17</v>
      </c>
      <c r="L8497">
        <f t="shared" si="396"/>
        <v>2022</v>
      </c>
      <c r="M8497" t="str">
        <f t="shared" si="397"/>
        <v>Jun</v>
      </c>
      <c r="N8497" s="2">
        <f t="shared" si="398"/>
        <v>9.5239494496625721E-2</v>
      </c>
    </row>
    <row r="8498" spans="1:14" x14ac:dyDescent="0.45">
      <c r="A8498" t="s">
        <v>14058</v>
      </c>
      <c r="B8498" s="1">
        <v>44661</v>
      </c>
      <c r="C8498" t="s">
        <v>11930</v>
      </c>
      <c r="D8498" t="s">
        <v>56</v>
      </c>
      <c r="E8498" t="s">
        <v>14</v>
      </c>
      <c r="F8498" t="s">
        <v>57</v>
      </c>
      <c r="G8498">
        <v>5</v>
      </c>
      <c r="H8498">
        <v>15158.24</v>
      </c>
      <c r="I8498">
        <v>1385.18</v>
      </c>
      <c r="J8498" t="s">
        <v>71</v>
      </c>
      <c r="K8498" t="s">
        <v>29</v>
      </c>
      <c r="L8498">
        <f t="shared" si="396"/>
        <v>2022</v>
      </c>
      <c r="M8498" t="str">
        <f t="shared" si="397"/>
        <v>Apr</v>
      </c>
      <c r="N8498" s="2">
        <f t="shared" si="398"/>
        <v>9.1381321314347841E-2</v>
      </c>
    </row>
    <row r="8499" spans="1:14" x14ac:dyDescent="0.45">
      <c r="A8499" t="s">
        <v>14059</v>
      </c>
      <c r="B8499" s="1">
        <v>45319</v>
      </c>
      <c r="C8499" t="s">
        <v>14060</v>
      </c>
      <c r="D8499" t="s">
        <v>13</v>
      </c>
      <c r="E8499" t="s">
        <v>36</v>
      </c>
      <c r="F8499" t="s">
        <v>64</v>
      </c>
      <c r="G8499">
        <v>3</v>
      </c>
      <c r="H8499">
        <v>47668.480000000003</v>
      </c>
      <c r="I8499">
        <v>9649.49</v>
      </c>
      <c r="J8499" t="s">
        <v>47</v>
      </c>
      <c r="K8499" t="s">
        <v>17</v>
      </c>
      <c r="L8499">
        <f t="shared" si="396"/>
        <v>2024</v>
      </c>
      <c r="M8499" t="str">
        <f t="shared" si="397"/>
        <v>Jan</v>
      </c>
      <c r="N8499" s="2">
        <f t="shared" si="398"/>
        <v>0.20242915234553313</v>
      </c>
    </row>
    <row r="8500" spans="1:14" x14ac:dyDescent="0.45">
      <c r="A8500" t="s">
        <v>14061</v>
      </c>
      <c r="B8500" s="1">
        <v>45566</v>
      </c>
      <c r="C8500" t="s">
        <v>2397</v>
      </c>
      <c r="D8500" t="s">
        <v>26</v>
      </c>
      <c r="E8500" t="s">
        <v>14</v>
      </c>
      <c r="F8500" t="s">
        <v>40</v>
      </c>
      <c r="G8500">
        <v>5</v>
      </c>
      <c r="H8500">
        <v>19270.189999999999</v>
      </c>
      <c r="I8500">
        <v>2710.69</v>
      </c>
      <c r="J8500" t="s">
        <v>22</v>
      </c>
      <c r="K8500" t="s">
        <v>33</v>
      </c>
      <c r="L8500">
        <f t="shared" si="396"/>
        <v>2024</v>
      </c>
      <c r="M8500" t="str">
        <f t="shared" si="397"/>
        <v>Oct</v>
      </c>
      <c r="N8500" s="2">
        <f t="shared" si="398"/>
        <v>0.14066752844678751</v>
      </c>
    </row>
    <row r="8501" spans="1:14" x14ac:dyDescent="0.45">
      <c r="A8501" t="s">
        <v>14062</v>
      </c>
      <c r="B8501" s="1">
        <v>44808</v>
      </c>
      <c r="C8501" t="s">
        <v>14063</v>
      </c>
      <c r="D8501" t="s">
        <v>26</v>
      </c>
      <c r="E8501" t="s">
        <v>36</v>
      </c>
      <c r="F8501" t="s">
        <v>53</v>
      </c>
      <c r="G8501">
        <v>2</v>
      </c>
      <c r="H8501">
        <v>28191.47</v>
      </c>
      <c r="I8501">
        <v>2620.0500000000002</v>
      </c>
      <c r="J8501" t="s">
        <v>16</v>
      </c>
      <c r="K8501" t="s">
        <v>23</v>
      </c>
      <c r="L8501">
        <f t="shared" si="396"/>
        <v>2022</v>
      </c>
      <c r="M8501" t="str">
        <f t="shared" si="397"/>
        <v>Sep</v>
      </c>
      <c r="N8501" s="2">
        <f t="shared" si="398"/>
        <v>9.2937686470411091E-2</v>
      </c>
    </row>
    <row r="8502" spans="1:14" x14ac:dyDescent="0.45">
      <c r="A8502" t="s">
        <v>14064</v>
      </c>
      <c r="B8502" s="1">
        <v>45535</v>
      </c>
      <c r="C8502" t="s">
        <v>10291</v>
      </c>
      <c r="D8502" t="s">
        <v>26</v>
      </c>
      <c r="E8502" t="s">
        <v>20</v>
      </c>
      <c r="F8502" t="s">
        <v>27</v>
      </c>
      <c r="G8502">
        <v>1</v>
      </c>
      <c r="H8502">
        <v>46045.64</v>
      </c>
      <c r="I8502">
        <v>3979.4</v>
      </c>
      <c r="J8502" t="s">
        <v>71</v>
      </c>
      <c r="K8502" t="s">
        <v>17</v>
      </c>
      <c r="L8502">
        <f t="shared" si="396"/>
        <v>2024</v>
      </c>
      <c r="M8502" t="str">
        <f t="shared" si="397"/>
        <v>Aug</v>
      </c>
      <c r="N8502" s="2">
        <f t="shared" si="398"/>
        <v>8.6422949056631643E-2</v>
      </c>
    </row>
    <row r="8503" spans="1:14" x14ac:dyDescent="0.45">
      <c r="A8503" t="s">
        <v>14065</v>
      </c>
      <c r="B8503" s="1">
        <v>44938</v>
      </c>
      <c r="C8503" t="s">
        <v>14066</v>
      </c>
      <c r="D8503" t="s">
        <v>13</v>
      </c>
      <c r="E8503" t="s">
        <v>20</v>
      </c>
      <c r="F8503" t="s">
        <v>50</v>
      </c>
      <c r="G8503">
        <v>4</v>
      </c>
      <c r="H8503">
        <v>21061.03</v>
      </c>
      <c r="I8503">
        <v>3212.63</v>
      </c>
      <c r="J8503" t="s">
        <v>16</v>
      </c>
      <c r="K8503" t="s">
        <v>29</v>
      </c>
      <c r="L8503">
        <f t="shared" si="396"/>
        <v>2023</v>
      </c>
      <c r="M8503" t="str">
        <f t="shared" si="397"/>
        <v>Jan</v>
      </c>
      <c r="N8503" s="2">
        <f t="shared" si="398"/>
        <v>0.15253907335016381</v>
      </c>
    </row>
    <row r="8504" spans="1:14" x14ac:dyDescent="0.45">
      <c r="A8504" t="s">
        <v>14067</v>
      </c>
      <c r="B8504" s="1">
        <v>45548</v>
      </c>
      <c r="C8504" t="s">
        <v>14068</v>
      </c>
      <c r="D8504" t="s">
        <v>56</v>
      </c>
      <c r="E8504" t="s">
        <v>20</v>
      </c>
      <c r="F8504" t="s">
        <v>21</v>
      </c>
      <c r="G8504">
        <v>1</v>
      </c>
      <c r="H8504">
        <v>24275.07</v>
      </c>
      <c r="I8504">
        <v>2131.33</v>
      </c>
      <c r="J8504" t="s">
        <v>71</v>
      </c>
      <c r="K8504" t="s">
        <v>23</v>
      </c>
      <c r="L8504">
        <f t="shared" si="396"/>
        <v>2024</v>
      </c>
      <c r="M8504" t="str">
        <f t="shared" si="397"/>
        <v>Sep</v>
      </c>
      <c r="N8504" s="2">
        <f t="shared" si="398"/>
        <v>8.7799128900555176E-2</v>
      </c>
    </row>
    <row r="8505" spans="1:14" x14ac:dyDescent="0.45">
      <c r="A8505" t="s">
        <v>14069</v>
      </c>
      <c r="B8505" s="1">
        <v>45212</v>
      </c>
      <c r="C8505" t="s">
        <v>4974</v>
      </c>
      <c r="D8505" t="s">
        <v>13</v>
      </c>
      <c r="E8505" t="s">
        <v>36</v>
      </c>
      <c r="F8505" t="s">
        <v>46</v>
      </c>
      <c r="G8505">
        <v>5</v>
      </c>
      <c r="H8505">
        <v>40104.230000000003</v>
      </c>
      <c r="I8505">
        <v>3657.07</v>
      </c>
      <c r="J8505" t="s">
        <v>28</v>
      </c>
      <c r="K8505" t="s">
        <v>29</v>
      </c>
      <c r="L8505">
        <f t="shared" si="396"/>
        <v>2023</v>
      </c>
      <c r="M8505" t="str">
        <f t="shared" si="397"/>
        <v>Oct</v>
      </c>
      <c r="N8505" s="2">
        <f t="shared" si="398"/>
        <v>9.1189133914302806E-2</v>
      </c>
    </row>
    <row r="8506" spans="1:14" x14ac:dyDescent="0.45">
      <c r="A8506" t="s">
        <v>14070</v>
      </c>
      <c r="B8506" s="1">
        <v>45040</v>
      </c>
      <c r="C8506" t="s">
        <v>12985</v>
      </c>
      <c r="D8506" t="s">
        <v>56</v>
      </c>
      <c r="E8506" t="s">
        <v>20</v>
      </c>
      <c r="F8506" t="s">
        <v>43</v>
      </c>
      <c r="G8506">
        <v>2</v>
      </c>
      <c r="H8506">
        <v>43584.17</v>
      </c>
      <c r="I8506">
        <v>2997.71</v>
      </c>
      <c r="J8506" t="s">
        <v>28</v>
      </c>
      <c r="K8506" t="s">
        <v>33</v>
      </c>
      <c r="L8506">
        <f t="shared" si="396"/>
        <v>2023</v>
      </c>
      <c r="M8506" t="str">
        <f t="shared" si="397"/>
        <v>Apr</v>
      </c>
      <c r="N8506" s="2">
        <f t="shared" si="398"/>
        <v>6.8779788625090266E-2</v>
      </c>
    </row>
    <row r="8507" spans="1:14" x14ac:dyDescent="0.45">
      <c r="A8507" t="s">
        <v>14071</v>
      </c>
      <c r="B8507" s="1">
        <v>45267</v>
      </c>
      <c r="C8507" t="s">
        <v>421</v>
      </c>
      <c r="D8507" t="s">
        <v>13</v>
      </c>
      <c r="E8507" t="s">
        <v>14</v>
      </c>
      <c r="F8507" t="s">
        <v>32</v>
      </c>
      <c r="G8507">
        <v>3</v>
      </c>
      <c r="H8507">
        <v>6009.85</v>
      </c>
      <c r="I8507">
        <v>752.02</v>
      </c>
      <c r="J8507" t="s">
        <v>16</v>
      </c>
      <c r="K8507" t="s">
        <v>23</v>
      </c>
      <c r="L8507">
        <f t="shared" si="396"/>
        <v>2023</v>
      </c>
      <c r="M8507" t="str">
        <f t="shared" si="397"/>
        <v>Dec</v>
      </c>
      <c r="N8507" s="2">
        <f t="shared" si="398"/>
        <v>0.12513124287627811</v>
      </c>
    </row>
    <row r="8508" spans="1:14" x14ac:dyDescent="0.45">
      <c r="A8508" t="s">
        <v>14072</v>
      </c>
      <c r="B8508" s="1">
        <v>45527</v>
      </c>
      <c r="C8508" t="s">
        <v>14073</v>
      </c>
      <c r="D8508" t="s">
        <v>26</v>
      </c>
      <c r="E8508" t="s">
        <v>14</v>
      </c>
      <c r="F8508" t="s">
        <v>40</v>
      </c>
      <c r="G8508">
        <v>1</v>
      </c>
      <c r="H8508">
        <v>12980.43</v>
      </c>
      <c r="I8508">
        <v>855.73</v>
      </c>
      <c r="J8508" t="s">
        <v>71</v>
      </c>
      <c r="K8508" t="s">
        <v>33</v>
      </c>
      <c r="L8508">
        <f t="shared" si="396"/>
        <v>2024</v>
      </c>
      <c r="M8508" t="str">
        <f t="shared" si="397"/>
        <v>Aug</v>
      </c>
      <c r="N8508" s="2">
        <f t="shared" si="398"/>
        <v>6.5924626533943792E-2</v>
      </c>
    </row>
    <row r="8509" spans="1:14" x14ac:dyDescent="0.45">
      <c r="A8509" t="s">
        <v>14074</v>
      </c>
      <c r="B8509" s="1">
        <v>45597</v>
      </c>
      <c r="C8509" t="s">
        <v>644</v>
      </c>
      <c r="D8509" t="s">
        <v>13</v>
      </c>
      <c r="E8509" t="s">
        <v>14</v>
      </c>
      <c r="F8509" t="s">
        <v>32</v>
      </c>
      <c r="G8509">
        <v>3</v>
      </c>
      <c r="H8509">
        <v>3965.8</v>
      </c>
      <c r="I8509">
        <v>559.36</v>
      </c>
      <c r="J8509" t="s">
        <v>22</v>
      </c>
      <c r="K8509" t="s">
        <v>23</v>
      </c>
      <c r="L8509">
        <f t="shared" si="396"/>
        <v>2024</v>
      </c>
      <c r="M8509" t="str">
        <f t="shared" si="397"/>
        <v>Nov</v>
      </c>
      <c r="N8509" s="2">
        <f t="shared" si="398"/>
        <v>0.14104594281103433</v>
      </c>
    </row>
    <row r="8510" spans="1:14" x14ac:dyDescent="0.45">
      <c r="A8510" t="s">
        <v>14075</v>
      </c>
      <c r="B8510" s="1">
        <v>44955</v>
      </c>
      <c r="C8510" t="s">
        <v>6888</v>
      </c>
      <c r="D8510" t="s">
        <v>56</v>
      </c>
      <c r="E8510" t="s">
        <v>20</v>
      </c>
      <c r="F8510" t="s">
        <v>43</v>
      </c>
      <c r="G8510">
        <v>5</v>
      </c>
      <c r="H8510">
        <v>25182.79</v>
      </c>
      <c r="I8510">
        <v>3407.38</v>
      </c>
      <c r="J8510" t="s">
        <v>71</v>
      </c>
      <c r="K8510" t="s">
        <v>29</v>
      </c>
      <c r="L8510">
        <f t="shared" si="396"/>
        <v>2023</v>
      </c>
      <c r="M8510" t="str">
        <f t="shared" si="397"/>
        <v>Jan</v>
      </c>
      <c r="N8510" s="2">
        <f t="shared" si="398"/>
        <v>0.13530589740056603</v>
      </c>
    </row>
    <row r="8511" spans="1:14" x14ac:dyDescent="0.45">
      <c r="A8511" t="s">
        <v>14076</v>
      </c>
      <c r="B8511" s="1">
        <v>45541</v>
      </c>
      <c r="C8511" t="s">
        <v>14077</v>
      </c>
      <c r="D8511" t="s">
        <v>26</v>
      </c>
      <c r="E8511" t="s">
        <v>36</v>
      </c>
      <c r="F8511" t="s">
        <v>37</v>
      </c>
      <c r="G8511">
        <v>1</v>
      </c>
      <c r="H8511">
        <v>44442.89</v>
      </c>
      <c r="I8511">
        <v>8261.91</v>
      </c>
      <c r="J8511" t="s">
        <v>47</v>
      </c>
      <c r="K8511" t="s">
        <v>17</v>
      </c>
      <c r="L8511">
        <f t="shared" si="396"/>
        <v>2024</v>
      </c>
      <c r="M8511" t="str">
        <f t="shared" si="397"/>
        <v>Sep</v>
      </c>
      <c r="N8511" s="2">
        <f t="shared" si="398"/>
        <v>0.18589947683420227</v>
      </c>
    </row>
    <row r="8512" spans="1:14" x14ac:dyDescent="0.45">
      <c r="A8512" t="s">
        <v>14078</v>
      </c>
      <c r="B8512" s="1">
        <v>44636</v>
      </c>
      <c r="C8512" t="s">
        <v>14079</v>
      </c>
      <c r="D8512" t="s">
        <v>26</v>
      </c>
      <c r="E8512" t="s">
        <v>36</v>
      </c>
      <c r="F8512" t="s">
        <v>53</v>
      </c>
      <c r="G8512">
        <v>2</v>
      </c>
      <c r="H8512">
        <v>44237.96</v>
      </c>
      <c r="I8512">
        <v>4626.13</v>
      </c>
      <c r="J8512" t="s">
        <v>28</v>
      </c>
      <c r="K8512" t="s">
        <v>17</v>
      </c>
      <c r="L8512">
        <f t="shared" si="396"/>
        <v>2022</v>
      </c>
      <c r="M8512" t="str">
        <f t="shared" si="397"/>
        <v>Mar</v>
      </c>
      <c r="N8512" s="2">
        <f t="shared" si="398"/>
        <v>0.10457376425133529</v>
      </c>
    </row>
    <row r="8513" spans="1:14" x14ac:dyDescent="0.45">
      <c r="A8513" t="s">
        <v>14080</v>
      </c>
      <c r="B8513" s="1">
        <v>44972</v>
      </c>
      <c r="C8513" t="s">
        <v>14081</v>
      </c>
      <c r="D8513" t="s">
        <v>56</v>
      </c>
      <c r="E8513" t="s">
        <v>20</v>
      </c>
      <c r="F8513" t="s">
        <v>21</v>
      </c>
      <c r="G8513">
        <v>1</v>
      </c>
      <c r="H8513">
        <v>4013.5</v>
      </c>
      <c r="I8513">
        <v>907.23</v>
      </c>
      <c r="J8513" t="s">
        <v>71</v>
      </c>
      <c r="K8513" t="s">
        <v>33</v>
      </c>
      <c r="L8513">
        <f t="shared" si="396"/>
        <v>2023</v>
      </c>
      <c r="M8513" t="str">
        <f t="shared" si="397"/>
        <v>Feb</v>
      </c>
      <c r="N8513" s="2">
        <f t="shared" si="398"/>
        <v>0.22604459947676592</v>
      </c>
    </row>
    <row r="8514" spans="1:14" x14ac:dyDescent="0.45">
      <c r="A8514" t="s">
        <v>14082</v>
      </c>
      <c r="B8514" s="1">
        <v>44648</v>
      </c>
      <c r="C8514" t="s">
        <v>14083</v>
      </c>
      <c r="D8514" t="s">
        <v>13</v>
      </c>
      <c r="E8514" t="s">
        <v>20</v>
      </c>
      <c r="F8514" t="s">
        <v>50</v>
      </c>
      <c r="G8514">
        <v>4</v>
      </c>
      <c r="H8514">
        <v>1334.35</v>
      </c>
      <c r="I8514">
        <v>116.06</v>
      </c>
      <c r="J8514" t="s">
        <v>47</v>
      </c>
      <c r="K8514" t="s">
        <v>29</v>
      </c>
      <c r="L8514">
        <f t="shared" si="396"/>
        <v>2022</v>
      </c>
      <c r="M8514" t="str">
        <f t="shared" si="397"/>
        <v>Mar</v>
      </c>
      <c r="N8514" s="2">
        <f t="shared" si="398"/>
        <v>8.6978678757447456E-2</v>
      </c>
    </row>
    <row r="8515" spans="1:14" x14ac:dyDescent="0.45">
      <c r="A8515" t="s">
        <v>14084</v>
      </c>
      <c r="B8515" s="1">
        <v>45154</v>
      </c>
      <c r="C8515" t="s">
        <v>14085</v>
      </c>
      <c r="D8515" t="s">
        <v>26</v>
      </c>
      <c r="E8515" t="s">
        <v>14</v>
      </c>
      <c r="F8515" t="s">
        <v>15</v>
      </c>
      <c r="G8515">
        <v>2</v>
      </c>
      <c r="H8515">
        <v>32751.33</v>
      </c>
      <c r="I8515">
        <v>4625.6099999999997</v>
      </c>
      <c r="J8515" t="s">
        <v>16</v>
      </c>
      <c r="K8515" t="s">
        <v>29</v>
      </c>
      <c r="L8515">
        <f t="shared" ref="L8515:L8578" si="399">YEAR(B8515 )</f>
        <v>2023</v>
      </c>
      <c r="M8515" t="str">
        <f t="shared" ref="M8515:M8578" si="400">TEXT(B8515,"MMM")</f>
        <v>Aug</v>
      </c>
      <c r="N8515" s="2">
        <f t="shared" ref="N8515:N8578" si="401">I8515 / H8515</f>
        <v>0.14123426437949235</v>
      </c>
    </row>
    <row r="8516" spans="1:14" x14ac:dyDescent="0.45">
      <c r="A8516" t="s">
        <v>14086</v>
      </c>
      <c r="B8516" s="1">
        <v>45049</v>
      </c>
      <c r="C8516" t="s">
        <v>2459</v>
      </c>
      <c r="D8516" t="s">
        <v>56</v>
      </c>
      <c r="E8516" t="s">
        <v>36</v>
      </c>
      <c r="F8516" t="s">
        <v>46</v>
      </c>
      <c r="G8516">
        <v>1</v>
      </c>
      <c r="H8516">
        <v>31435.26</v>
      </c>
      <c r="I8516">
        <v>2562.46</v>
      </c>
      <c r="J8516" t="s">
        <v>16</v>
      </c>
      <c r="K8516" t="s">
        <v>23</v>
      </c>
      <c r="L8516">
        <f t="shared" si="399"/>
        <v>2023</v>
      </c>
      <c r="M8516" t="str">
        <f t="shared" si="400"/>
        <v>May</v>
      </c>
      <c r="N8516" s="2">
        <f t="shared" si="401"/>
        <v>8.1515470207658536E-2</v>
      </c>
    </row>
    <row r="8517" spans="1:14" x14ac:dyDescent="0.45">
      <c r="A8517" t="s">
        <v>14087</v>
      </c>
      <c r="B8517" s="1">
        <v>45398</v>
      </c>
      <c r="C8517" t="s">
        <v>14088</v>
      </c>
      <c r="D8517" t="s">
        <v>56</v>
      </c>
      <c r="E8517" t="s">
        <v>20</v>
      </c>
      <c r="F8517" t="s">
        <v>27</v>
      </c>
      <c r="G8517">
        <v>2</v>
      </c>
      <c r="H8517">
        <v>2715.75</v>
      </c>
      <c r="I8517">
        <v>363.21</v>
      </c>
      <c r="J8517" t="s">
        <v>16</v>
      </c>
      <c r="K8517" t="s">
        <v>17</v>
      </c>
      <c r="L8517">
        <f t="shared" si="399"/>
        <v>2024</v>
      </c>
      <c r="M8517" t="str">
        <f t="shared" si="400"/>
        <v>Apr</v>
      </c>
      <c r="N8517" s="2">
        <f t="shared" si="401"/>
        <v>0.13374206020436344</v>
      </c>
    </row>
    <row r="8518" spans="1:14" x14ac:dyDescent="0.45">
      <c r="A8518" t="s">
        <v>14089</v>
      </c>
      <c r="B8518" s="1">
        <v>45292</v>
      </c>
      <c r="C8518" t="s">
        <v>14090</v>
      </c>
      <c r="D8518" t="s">
        <v>56</v>
      </c>
      <c r="E8518" t="s">
        <v>14</v>
      </c>
      <c r="F8518" t="s">
        <v>32</v>
      </c>
      <c r="G8518">
        <v>2</v>
      </c>
      <c r="H8518">
        <v>2547.06</v>
      </c>
      <c r="I8518">
        <v>223.06</v>
      </c>
      <c r="J8518" t="s">
        <v>22</v>
      </c>
      <c r="K8518" t="s">
        <v>29</v>
      </c>
      <c r="L8518">
        <f t="shared" si="399"/>
        <v>2024</v>
      </c>
      <c r="M8518" t="str">
        <f t="shared" si="400"/>
        <v>Jan</v>
      </c>
      <c r="N8518" s="2">
        <f t="shared" si="401"/>
        <v>8.7575479179917246E-2</v>
      </c>
    </row>
    <row r="8519" spans="1:14" x14ac:dyDescent="0.45">
      <c r="A8519" t="s">
        <v>14091</v>
      </c>
      <c r="B8519" s="1">
        <v>44996</v>
      </c>
      <c r="C8519" t="s">
        <v>14092</v>
      </c>
      <c r="D8519" t="s">
        <v>56</v>
      </c>
      <c r="E8519" t="s">
        <v>14</v>
      </c>
      <c r="F8519" t="s">
        <v>15</v>
      </c>
      <c r="G8519">
        <v>4</v>
      </c>
      <c r="H8519">
        <v>1810.64</v>
      </c>
      <c r="I8519">
        <v>414.9</v>
      </c>
      <c r="J8519" t="s">
        <v>16</v>
      </c>
      <c r="K8519" t="s">
        <v>29</v>
      </c>
      <c r="L8519">
        <f t="shared" si="399"/>
        <v>2023</v>
      </c>
      <c r="M8519" t="str">
        <f t="shared" si="400"/>
        <v>Mar</v>
      </c>
      <c r="N8519" s="2">
        <f t="shared" si="401"/>
        <v>0.22914549551539784</v>
      </c>
    </row>
    <row r="8520" spans="1:14" x14ac:dyDescent="0.45">
      <c r="A8520" t="s">
        <v>14093</v>
      </c>
      <c r="B8520" s="1">
        <v>44862</v>
      </c>
      <c r="C8520" t="s">
        <v>6383</v>
      </c>
      <c r="D8520" t="s">
        <v>56</v>
      </c>
      <c r="E8520" t="s">
        <v>36</v>
      </c>
      <c r="F8520" t="s">
        <v>46</v>
      </c>
      <c r="G8520">
        <v>3</v>
      </c>
      <c r="H8520">
        <v>34029.980000000003</v>
      </c>
      <c r="I8520">
        <v>2017.65</v>
      </c>
      <c r="J8520" t="s">
        <v>22</v>
      </c>
      <c r="K8520" t="s">
        <v>33</v>
      </c>
      <c r="L8520">
        <f t="shared" si="399"/>
        <v>2022</v>
      </c>
      <c r="M8520" t="str">
        <f t="shared" si="400"/>
        <v>Oct</v>
      </c>
      <c r="N8520" s="2">
        <f t="shared" si="401"/>
        <v>5.9290366905887099E-2</v>
      </c>
    </row>
    <row r="8521" spans="1:14" x14ac:dyDescent="0.45">
      <c r="A8521" t="s">
        <v>14094</v>
      </c>
      <c r="B8521" s="1">
        <v>45562</v>
      </c>
      <c r="C8521" t="s">
        <v>8858</v>
      </c>
      <c r="D8521" t="s">
        <v>13</v>
      </c>
      <c r="E8521" t="s">
        <v>36</v>
      </c>
      <c r="F8521" t="s">
        <v>64</v>
      </c>
      <c r="G8521">
        <v>5</v>
      </c>
      <c r="H8521">
        <v>5349.4</v>
      </c>
      <c r="I8521">
        <v>1070.21</v>
      </c>
      <c r="J8521" t="s">
        <v>28</v>
      </c>
      <c r="K8521" t="s">
        <v>17</v>
      </c>
      <c r="L8521">
        <f t="shared" si="399"/>
        <v>2024</v>
      </c>
      <c r="M8521" t="str">
        <f t="shared" si="400"/>
        <v>Sep</v>
      </c>
      <c r="N8521" s="2">
        <f t="shared" si="401"/>
        <v>0.2000616891614013</v>
      </c>
    </row>
    <row r="8522" spans="1:14" x14ac:dyDescent="0.45">
      <c r="A8522" t="s">
        <v>14095</v>
      </c>
      <c r="B8522" s="1">
        <v>44757</v>
      </c>
      <c r="C8522" t="s">
        <v>14096</v>
      </c>
      <c r="D8522" t="s">
        <v>56</v>
      </c>
      <c r="E8522" t="s">
        <v>14</v>
      </c>
      <c r="F8522" t="s">
        <v>32</v>
      </c>
      <c r="G8522">
        <v>4</v>
      </c>
      <c r="H8522">
        <v>43224.59</v>
      </c>
      <c r="I8522">
        <v>10787.75</v>
      </c>
      <c r="J8522" t="s">
        <v>47</v>
      </c>
      <c r="K8522" t="s">
        <v>33</v>
      </c>
      <c r="L8522">
        <f t="shared" si="399"/>
        <v>2022</v>
      </c>
      <c r="M8522" t="str">
        <f t="shared" si="400"/>
        <v>Jul</v>
      </c>
      <c r="N8522" s="2">
        <f t="shared" si="401"/>
        <v>0.249574374216158</v>
      </c>
    </row>
    <row r="8523" spans="1:14" x14ac:dyDescent="0.45">
      <c r="A8523" t="s">
        <v>14097</v>
      </c>
      <c r="B8523" s="1">
        <v>45273</v>
      </c>
      <c r="C8523" t="s">
        <v>1149</v>
      </c>
      <c r="D8523" t="s">
        <v>13</v>
      </c>
      <c r="E8523" t="s">
        <v>20</v>
      </c>
      <c r="F8523" t="s">
        <v>21</v>
      </c>
      <c r="G8523">
        <v>3</v>
      </c>
      <c r="H8523">
        <v>36089.449999999997</v>
      </c>
      <c r="I8523">
        <v>6336.89</v>
      </c>
      <c r="J8523" t="s">
        <v>47</v>
      </c>
      <c r="K8523" t="s">
        <v>17</v>
      </c>
      <c r="L8523">
        <f t="shared" si="399"/>
        <v>2023</v>
      </c>
      <c r="M8523" t="str">
        <f t="shared" si="400"/>
        <v>Dec</v>
      </c>
      <c r="N8523" s="2">
        <f t="shared" si="401"/>
        <v>0.17558843373894589</v>
      </c>
    </row>
    <row r="8524" spans="1:14" x14ac:dyDescent="0.45">
      <c r="A8524" t="s">
        <v>14098</v>
      </c>
      <c r="B8524" s="1">
        <v>45109</v>
      </c>
      <c r="C8524" t="s">
        <v>4082</v>
      </c>
      <c r="D8524" t="s">
        <v>56</v>
      </c>
      <c r="E8524" t="s">
        <v>14</v>
      </c>
      <c r="F8524" t="s">
        <v>32</v>
      </c>
      <c r="G8524">
        <v>5</v>
      </c>
      <c r="H8524">
        <v>36564.67</v>
      </c>
      <c r="I8524">
        <v>7874.46</v>
      </c>
      <c r="J8524" t="s">
        <v>22</v>
      </c>
      <c r="K8524" t="s">
        <v>23</v>
      </c>
      <c r="L8524">
        <f t="shared" si="399"/>
        <v>2023</v>
      </c>
      <c r="M8524" t="str">
        <f t="shared" si="400"/>
        <v>Jul</v>
      </c>
      <c r="N8524" s="2">
        <f t="shared" si="401"/>
        <v>0.21535706462002804</v>
      </c>
    </row>
    <row r="8525" spans="1:14" x14ac:dyDescent="0.45">
      <c r="A8525" t="s">
        <v>14099</v>
      </c>
      <c r="B8525" s="1">
        <v>45497</v>
      </c>
      <c r="C8525" t="s">
        <v>3037</v>
      </c>
      <c r="D8525" t="s">
        <v>56</v>
      </c>
      <c r="E8525" t="s">
        <v>36</v>
      </c>
      <c r="F8525" t="s">
        <v>53</v>
      </c>
      <c r="G8525">
        <v>4</v>
      </c>
      <c r="H8525">
        <v>13221.62</v>
      </c>
      <c r="I8525">
        <v>2317.23</v>
      </c>
      <c r="J8525" t="s">
        <v>28</v>
      </c>
      <c r="K8525" t="s">
        <v>29</v>
      </c>
      <c r="L8525">
        <f t="shared" si="399"/>
        <v>2024</v>
      </c>
      <c r="M8525" t="str">
        <f t="shared" si="400"/>
        <v>Jul</v>
      </c>
      <c r="N8525" s="2">
        <f t="shared" si="401"/>
        <v>0.17526067153646829</v>
      </c>
    </row>
    <row r="8526" spans="1:14" x14ac:dyDescent="0.45">
      <c r="A8526" t="s">
        <v>14100</v>
      </c>
      <c r="B8526" s="1">
        <v>44834</v>
      </c>
      <c r="C8526" t="s">
        <v>6107</v>
      </c>
      <c r="D8526" t="s">
        <v>26</v>
      </c>
      <c r="E8526" t="s">
        <v>14</v>
      </c>
      <c r="F8526" t="s">
        <v>57</v>
      </c>
      <c r="G8526">
        <v>1</v>
      </c>
      <c r="H8526">
        <v>15427.3</v>
      </c>
      <c r="I8526">
        <v>2320</v>
      </c>
      <c r="J8526" t="s">
        <v>28</v>
      </c>
      <c r="K8526" t="s">
        <v>23</v>
      </c>
      <c r="L8526">
        <f t="shared" si="399"/>
        <v>2022</v>
      </c>
      <c r="M8526" t="str">
        <f t="shared" si="400"/>
        <v>Sep</v>
      </c>
      <c r="N8526" s="2">
        <f t="shared" si="401"/>
        <v>0.15038276302398995</v>
      </c>
    </row>
    <row r="8527" spans="1:14" x14ac:dyDescent="0.45">
      <c r="A8527" t="s">
        <v>14101</v>
      </c>
      <c r="B8527" s="1">
        <v>44783</v>
      </c>
      <c r="C8527" t="s">
        <v>9546</v>
      </c>
      <c r="D8527" t="s">
        <v>13</v>
      </c>
      <c r="E8527" t="s">
        <v>14</v>
      </c>
      <c r="F8527" t="s">
        <v>32</v>
      </c>
      <c r="G8527">
        <v>5</v>
      </c>
      <c r="H8527">
        <v>23270.53</v>
      </c>
      <c r="I8527">
        <v>2208.4899999999998</v>
      </c>
      <c r="J8527" t="s">
        <v>16</v>
      </c>
      <c r="K8527" t="s">
        <v>33</v>
      </c>
      <c r="L8527">
        <f t="shared" si="399"/>
        <v>2022</v>
      </c>
      <c r="M8527" t="str">
        <f t="shared" si="400"/>
        <v>Aug</v>
      </c>
      <c r="N8527" s="2">
        <f t="shared" si="401"/>
        <v>9.4905015055523012E-2</v>
      </c>
    </row>
    <row r="8528" spans="1:14" x14ac:dyDescent="0.45">
      <c r="A8528" t="s">
        <v>14102</v>
      </c>
      <c r="B8528" s="1">
        <v>45425</v>
      </c>
      <c r="C8528" t="s">
        <v>7250</v>
      </c>
      <c r="D8528" t="s">
        <v>56</v>
      </c>
      <c r="E8528" t="s">
        <v>14</v>
      </c>
      <c r="F8528" t="s">
        <v>40</v>
      </c>
      <c r="G8528">
        <v>5</v>
      </c>
      <c r="H8528">
        <v>38685.230000000003</v>
      </c>
      <c r="I8528">
        <v>6880.04</v>
      </c>
      <c r="J8528" t="s">
        <v>16</v>
      </c>
      <c r="K8528" t="s">
        <v>33</v>
      </c>
      <c r="L8528">
        <f t="shared" si="399"/>
        <v>2024</v>
      </c>
      <c r="M8528" t="str">
        <f t="shared" si="400"/>
        <v>May</v>
      </c>
      <c r="N8528" s="2">
        <f t="shared" si="401"/>
        <v>0.17784668722403871</v>
      </c>
    </row>
    <row r="8529" spans="1:14" x14ac:dyDescent="0.45">
      <c r="A8529" t="s">
        <v>14103</v>
      </c>
      <c r="B8529" s="1">
        <v>44960</v>
      </c>
      <c r="C8529" t="s">
        <v>11836</v>
      </c>
      <c r="D8529" t="s">
        <v>56</v>
      </c>
      <c r="E8529" t="s">
        <v>20</v>
      </c>
      <c r="F8529" t="s">
        <v>50</v>
      </c>
      <c r="G8529">
        <v>5</v>
      </c>
      <c r="H8529">
        <v>36251.980000000003</v>
      </c>
      <c r="I8529">
        <v>2537.7600000000002</v>
      </c>
      <c r="J8529" t="s">
        <v>16</v>
      </c>
      <c r="K8529" t="s">
        <v>33</v>
      </c>
      <c r="L8529">
        <f t="shared" si="399"/>
        <v>2023</v>
      </c>
      <c r="M8529" t="str">
        <f t="shared" si="400"/>
        <v>Feb</v>
      </c>
      <c r="N8529" s="2">
        <f t="shared" si="401"/>
        <v>7.0003348782604433E-2</v>
      </c>
    </row>
    <row r="8530" spans="1:14" x14ac:dyDescent="0.45">
      <c r="A8530" t="s">
        <v>14104</v>
      </c>
      <c r="B8530" s="1">
        <v>45469</v>
      </c>
      <c r="C8530" t="s">
        <v>14105</v>
      </c>
      <c r="D8530" t="s">
        <v>26</v>
      </c>
      <c r="E8530" t="s">
        <v>20</v>
      </c>
      <c r="F8530" t="s">
        <v>21</v>
      </c>
      <c r="G8530">
        <v>2</v>
      </c>
      <c r="H8530">
        <v>37549.67</v>
      </c>
      <c r="I8530">
        <v>7593.69</v>
      </c>
      <c r="J8530" t="s">
        <v>28</v>
      </c>
      <c r="K8530" t="s">
        <v>23</v>
      </c>
      <c r="L8530">
        <f t="shared" si="399"/>
        <v>2024</v>
      </c>
      <c r="M8530" t="str">
        <f t="shared" si="400"/>
        <v>Jun</v>
      </c>
      <c r="N8530" s="2">
        <f t="shared" si="401"/>
        <v>0.20223053891019549</v>
      </c>
    </row>
    <row r="8531" spans="1:14" x14ac:dyDescent="0.45">
      <c r="A8531" t="s">
        <v>14106</v>
      </c>
      <c r="B8531" s="1">
        <v>44611</v>
      </c>
      <c r="C8531" t="s">
        <v>2163</v>
      </c>
      <c r="D8531" t="s">
        <v>13</v>
      </c>
      <c r="E8531" t="s">
        <v>36</v>
      </c>
      <c r="F8531" t="s">
        <v>53</v>
      </c>
      <c r="G8531">
        <v>4</v>
      </c>
      <c r="H8531">
        <v>8135.62</v>
      </c>
      <c r="I8531">
        <v>793.19</v>
      </c>
      <c r="J8531" t="s">
        <v>16</v>
      </c>
      <c r="K8531" t="s">
        <v>29</v>
      </c>
      <c r="L8531">
        <f t="shared" si="399"/>
        <v>2022</v>
      </c>
      <c r="M8531" t="str">
        <f t="shared" si="400"/>
        <v>Feb</v>
      </c>
      <c r="N8531" s="2">
        <f t="shared" si="401"/>
        <v>9.7495949909164895E-2</v>
      </c>
    </row>
    <row r="8532" spans="1:14" x14ac:dyDescent="0.45">
      <c r="A8532" t="s">
        <v>14107</v>
      </c>
      <c r="B8532" s="1">
        <v>44996</v>
      </c>
      <c r="C8532" t="s">
        <v>14108</v>
      </c>
      <c r="D8532" t="s">
        <v>56</v>
      </c>
      <c r="E8532" t="s">
        <v>14</v>
      </c>
      <c r="F8532" t="s">
        <v>32</v>
      </c>
      <c r="G8532">
        <v>1</v>
      </c>
      <c r="H8532">
        <v>27514.11</v>
      </c>
      <c r="I8532">
        <v>6286.5</v>
      </c>
      <c r="J8532" t="s">
        <v>47</v>
      </c>
      <c r="K8532" t="s">
        <v>33</v>
      </c>
      <c r="L8532">
        <f t="shared" si="399"/>
        <v>2023</v>
      </c>
      <c r="M8532" t="str">
        <f t="shared" si="400"/>
        <v>Mar</v>
      </c>
      <c r="N8532" s="2">
        <f t="shared" si="401"/>
        <v>0.22848276756907637</v>
      </c>
    </row>
    <row r="8533" spans="1:14" x14ac:dyDescent="0.45">
      <c r="A8533" t="s">
        <v>14109</v>
      </c>
      <c r="B8533" s="1">
        <v>44590</v>
      </c>
      <c r="C8533" t="s">
        <v>14110</v>
      </c>
      <c r="D8533" t="s">
        <v>56</v>
      </c>
      <c r="E8533" t="s">
        <v>36</v>
      </c>
      <c r="F8533" t="s">
        <v>37</v>
      </c>
      <c r="G8533">
        <v>1</v>
      </c>
      <c r="H8533">
        <v>44921.41</v>
      </c>
      <c r="I8533">
        <v>3337.9</v>
      </c>
      <c r="J8533" t="s">
        <v>28</v>
      </c>
      <c r="K8533" t="s">
        <v>29</v>
      </c>
      <c r="L8533">
        <f t="shared" si="399"/>
        <v>2022</v>
      </c>
      <c r="M8533" t="str">
        <f t="shared" si="400"/>
        <v>Jan</v>
      </c>
      <c r="N8533" s="2">
        <f t="shared" si="401"/>
        <v>7.4305325678779899E-2</v>
      </c>
    </row>
    <row r="8534" spans="1:14" x14ac:dyDescent="0.45">
      <c r="A8534" t="s">
        <v>14111</v>
      </c>
      <c r="B8534" s="1">
        <v>45369</v>
      </c>
      <c r="C8534" t="s">
        <v>7814</v>
      </c>
      <c r="D8534" t="s">
        <v>26</v>
      </c>
      <c r="E8534" t="s">
        <v>14</v>
      </c>
      <c r="F8534" t="s">
        <v>40</v>
      </c>
      <c r="G8534">
        <v>4</v>
      </c>
      <c r="H8534">
        <v>1766.66</v>
      </c>
      <c r="I8534">
        <v>404.64</v>
      </c>
      <c r="J8534" t="s">
        <v>16</v>
      </c>
      <c r="K8534" t="s">
        <v>17</v>
      </c>
      <c r="L8534">
        <f t="shared" si="399"/>
        <v>2024</v>
      </c>
      <c r="M8534" t="str">
        <f t="shared" si="400"/>
        <v>Mar</v>
      </c>
      <c r="N8534" s="2">
        <f t="shared" si="401"/>
        <v>0.22904237374480657</v>
      </c>
    </row>
    <row r="8535" spans="1:14" x14ac:dyDescent="0.45">
      <c r="A8535" t="s">
        <v>14112</v>
      </c>
      <c r="B8535" s="1">
        <v>44778</v>
      </c>
      <c r="C8535" t="s">
        <v>14113</v>
      </c>
      <c r="D8535" t="s">
        <v>26</v>
      </c>
      <c r="E8535" t="s">
        <v>36</v>
      </c>
      <c r="F8535" t="s">
        <v>46</v>
      </c>
      <c r="G8535">
        <v>3</v>
      </c>
      <c r="H8535">
        <v>4486.8599999999997</v>
      </c>
      <c r="I8535">
        <v>1010.71</v>
      </c>
      <c r="J8535" t="s">
        <v>22</v>
      </c>
      <c r="K8535" t="s">
        <v>17</v>
      </c>
      <c r="L8535">
        <f t="shared" si="399"/>
        <v>2022</v>
      </c>
      <c r="M8535" t="str">
        <f t="shared" si="400"/>
        <v>Aug</v>
      </c>
      <c r="N8535" s="2">
        <f t="shared" si="401"/>
        <v>0.22525998136781628</v>
      </c>
    </row>
    <row r="8536" spans="1:14" x14ac:dyDescent="0.45">
      <c r="A8536" t="s">
        <v>14114</v>
      </c>
      <c r="B8536" s="1">
        <v>45405</v>
      </c>
      <c r="C8536" t="s">
        <v>14115</v>
      </c>
      <c r="D8536" t="s">
        <v>13</v>
      </c>
      <c r="E8536" t="s">
        <v>36</v>
      </c>
      <c r="F8536" t="s">
        <v>53</v>
      </c>
      <c r="G8536">
        <v>2</v>
      </c>
      <c r="H8536">
        <v>47107.56</v>
      </c>
      <c r="I8536">
        <v>2398.21</v>
      </c>
      <c r="J8536" t="s">
        <v>71</v>
      </c>
      <c r="K8536" t="s">
        <v>29</v>
      </c>
      <c r="L8536">
        <f t="shared" si="399"/>
        <v>2024</v>
      </c>
      <c r="M8536" t="str">
        <f t="shared" si="400"/>
        <v>Apr</v>
      </c>
      <c r="N8536" s="2">
        <f t="shared" si="401"/>
        <v>5.0909238347305617E-2</v>
      </c>
    </row>
    <row r="8537" spans="1:14" x14ac:dyDescent="0.45">
      <c r="A8537" t="s">
        <v>14116</v>
      </c>
      <c r="B8537" s="1">
        <v>45183</v>
      </c>
      <c r="C8537" t="s">
        <v>8019</v>
      </c>
      <c r="D8537" t="s">
        <v>56</v>
      </c>
      <c r="E8537" t="s">
        <v>14</v>
      </c>
      <c r="F8537" t="s">
        <v>15</v>
      </c>
      <c r="G8537">
        <v>2</v>
      </c>
      <c r="H8537">
        <v>20584.009999999998</v>
      </c>
      <c r="I8537">
        <v>4579.7299999999996</v>
      </c>
      <c r="J8537" t="s">
        <v>47</v>
      </c>
      <c r="K8537" t="s">
        <v>17</v>
      </c>
      <c r="L8537">
        <f t="shared" si="399"/>
        <v>2023</v>
      </c>
      <c r="M8537" t="str">
        <f t="shared" si="400"/>
        <v>Sep</v>
      </c>
      <c r="N8537" s="2">
        <f t="shared" si="401"/>
        <v>0.2224896898126264</v>
      </c>
    </row>
    <row r="8538" spans="1:14" x14ac:dyDescent="0.45">
      <c r="A8538" t="s">
        <v>14117</v>
      </c>
      <c r="B8538" s="1">
        <v>45088</v>
      </c>
      <c r="C8538" t="s">
        <v>14118</v>
      </c>
      <c r="D8538" t="s">
        <v>13</v>
      </c>
      <c r="E8538" t="s">
        <v>36</v>
      </c>
      <c r="F8538" t="s">
        <v>64</v>
      </c>
      <c r="G8538">
        <v>5</v>
      </c>
      <c r="H8538">
        <v>6186.71</v>
      </c>
      <c r="I8538">
        <v>581.78</v>
      </c>
      <c r="J8538" t="s">
        <v>28</v>
      </c>
      <c r="K8538" t="s">
        <v>23</v>
      </c>
      <c r="L8538">
        <f t="shared" si="399"/>
        <v>2023</v>
      </c>
      <c r="M8538" t="str">
        <f t="shared" si="400"/>
        <v>Jun</v>
      </c>
      <c r="N8538" s="2">
        <f t="shared" si="401"/>
        <v>9.4037056852511264E-2</v>
      </c>
    </row>
    <row r="8539" spans="1:14" x14ac:dyDescent="0.45">
      <c r="A8539" t="s">
        <v>14119</v>
      </c>
      <c r="B8539" s="1">
        <v>45114</v>
      </c>
      <c r="C8539" t="s">
        <v>14120</v>
      </c>
      <c r="D8539" t="s">
        <v>26</v>
      </c>
      <c r="E8539" t="s">
        <v>20</v>
      </c>
      <c r="F8539" t="s">
        <v>21</v>
      </c>
      <c r="G8539">
        <v>5</v>
      </c>
      <c r="H8539">
        <v>41640.18</v>
      </c>
      <c r="I8539">
        <v>9462.5400000000009</v>
      </c>
      <c r="J8539" t="s">
        <v>28</v>
      </c>
      <c r="K8539" t="s">
        <v>33</v>
      </c>
      <c r="L8539">
        <f t="shared" si="399"/>
        <v>2023</v>
      </c>
      <c r="M8539" t="str">
        <f t="shared" si="400"/>
        <v>Jul</v>
      </c>
      <c r="N8539" s="2">
        <f t="shared" si="401"/>
        <v>0.22724541536563964</v>
      </c>
    </row>
    <row r="8540" spans="1:14" x14ac:dyDescent="0.45">
      <c r="A8540" t="s">
        <v>14121</v>
      </c>
      <c r="B8540" s="1">
        <v>45058</v>
      </c>
      <c r="C8540" t="s">
        <v>14122</v>
      </c>
      <c r="D8540" t="s">
        <v>26</v>
      </c>
      <c r="E8540" t="s">
        <v>20</v>
      </c>
      <c r="F8540" t="s">
        <v>21</v>
      </c>
      <c r="G8540">
        <v>1</v>
      </c>
      <c r="H8540">
        <v>35341.11</v>
      </c>
      <c r="I8540">
        <v>8743.8700000000008</v>
      </c>
      <c r="J8540" t="s">
        <v>16</v>
      </c>
      <c r="K8540" t="s">
        <v>33</v>
      </c>
      <c r="L8540">
        <f t="shared" si="399"/>
        <v>2023</v>
      </c>
      <c r="M8540" t="str">
        <f t="shared" si="400"/>
        <v>May</v>
      </c>
      <c r="N8540" s="2">
        <f t="shared" si="401"/>
        <v>0.24741356454282282</v>
      </c>
    </row>
    <row r="8541" spans="1:14" x14ac:dyDescent="0.45">
      <c r="A8541" t="s">
        <v>14123</v>
      </c>
      <c r="B8541" s="1">
        <v>45560</v>
      </c>
      <c r="C8541" t="s">
        <v>14124</v>
      </c>
      <c r="D8541" t="s">
        <v>26</v>
      </c>
      <c r="E8541" t="s">
        <v>20</v>
      </c>
      <c r="F8541" t="s">
        <v>50</v>
      </c>
      <c r="G8541">
        <v>2</v>
      </c>
      <c r="H8541">
        <v>33570.269999999997</v>
      </c>
      <c r="I8541">
        <v>7544.76</v>
      </c>
      <c r="J8541" t="s">
        <v>16</v>
      </c>
      <c r="K8541" t="s">
        <v>33</v>
      </c>
      <c r="L8541">
        <f t="shared" si="399"/>
        <v>2024</v>
      </c>
      <c r="M8541" t="str">
        <f t="shared" si="400"/>
        <v>Sep</v>
      </c>
      <c r="N8541" s="2">
        <f t="shared" si="401"/>
        <v>0.22474528801823759</v>
      </c>
    </row>
    <row r="8542" spans="1:14" x14ac:dyDescent="0.45">
      <c r="A8542" t="s">
        <v>14125</v>
      </c>
      <c r="B8542" s="1">
        <v>45172</v>
      </c>
      <c r="C8542" t="s">
        <v>14126</v>
      </c>
      <c r="D8542" t="s">
        <v>56</v>
      </c>
      <c r="E8542" t="s">
        <v>14</v>
      </c>
      <c r="F8542" t="s">
        <v>57</v>
      </c>
      <c r="G8542">
        <v>5</v>
      </c>
      <c r="H8542">
        <v>5811.52</v>
      </c>
      <c r="I8542">
        <v>593.85</v>
      </c>
      <c r="J8542" t="s">
        <v>16</v>
      </c>
      <c r="K8542" t="s">
        <v>23</v>
      </c>
      <c r="L8542">
        <f t="shared" si="399"/>
        <v>2023</v>
      </c>
      <c r="M8542" t="str">
        <f t="shared" si="400"/>
        <v>Sep</v>
      </c>
      <c r="N8542" s="2">
        <f t="shared" si="401"/>
        <v>0.10218497054126975</v>
      </c>
    </row>
    <row r="8543" spans="1:14" x14ac:dyDescent="0.45">
      <c r="A8543" t="s">
        <v>14127</v>
      </c>
      <c r="B8543" s="1">
        <v>45150</v>
      </c>
      <c r="C8543" t="s">
        <v>14128</v>
      </c>
      <c r="D8543" t="s">
        <v>56</v>
      </c>
      <c r="E8543" t="s">
        <v>14</v>
      </c>
      <c r="F8543" t="s">
        <v>40</v>
      </c>
      <c r="G8543">
        <v>2</v>
      </c>
      <c r="H8543">
        <v>19203.87</v>
      </c>
      <c r="I8543">
        <v>2400.34</v>
      </c>
      <c r="J8543" t="s">
        <v>71</v>
      </c>
      <c r="K8543" t="s">
        <v>33</v>
      </c>
      <c r="L8543">
        <f t="shared" si="399"/>
        <v>2023</v>
      </c>
      <c r="M8543" t="str">
        <f t="shared" si="400"/>
        <v>Aug</v>
      </c>
      <c r="N8543" s="2">
        <f t="shared" si="401"/>
        <v>0.12499251452962347</v>
      </c>
    </row>
    <row r="8544" spans="1:14" x14ac:dyDescent="0.45">
      <c r="A8544" t="s">
        <v>14129</v>
      </c>
      <c r="B8544" s="1">
        <v>45118</v>
      </c>
      <c r="C8544" t="s">
        <v>13703</v>
      </c>
      <c r="D8544" t="s">
        <v>13</v>
      </c>
      <c r="E8544" t="s">
        <v>36</v>
      </c>
      <c r="F8544" t="s">
        <v>46</v>
      </c>
      <c r="G8544">
        <v>3</v>
      </c>
      <c r="H8544">
        <v>20813.11</v>
      </c>
      <c r="I8544">
        <v>3809.1</v>
      </c>
      <c r="J8544" t="s">
        <v>22</v>
      </c>
      <c r="K8544" t="s">
        <v>23</v>
      </c>
      <c r="L8544">
        <f t="shared" si="399"/>
        <v>2023</v>
      </c>
      <c r="M8544" t="str">
        <f t="shared" si="400"/>
        <v>Jul</v>
      </c>
      <c r="N8544" s="2">
        <f t="shared" si="401"/>
        <v>0.18301445579252693</v>
      </c>
    </row>
    <row r="8545" spans="1:14" x14ac:dyDescent="0.45">
      <c r="A8545" t="s">
        <v>14130</v>
      </c>
      <c r="B8545" s="1">
        <v>44822</v>
      </c>
      <c r="C8545" t="s">
        <v>5652</v>
      </c>
      <c r="D8545" t="s">
        <v>26</v>
      </c>
      <c r="E8545" t="s">
        <v>20</v>
      </c>
      <c r="F8545" t="s">
        <v>43</v>
      </c>
      <c r="G8545">
        <v>1</v>
      </c>
      <c r="H8545">
        <v>32746.97</v>
      </c>
      <c r="I8545">
        <v>5516.91</v>
      </c>
      <c r="J8545" t="s">
        <v>22</v>
      </c>
      <c r="K8545" t="s">
        <v>29</v>
      </c>
      <c r="L8545">
        <f t="shared" si="399"/>
        <v>2022</v>
      </c>
      <c r="M8545" t="str">
        <f t="shared" si="400"/>
        <v>Sep</v>
      </c>
      <c r="N8545" s="2">
        <f t="shared" si="401"/>
        <v>0.16847085394465502</v>
      </c>
    </row>
    <row r="8546" spans="1:14" x14ac:dyDescent="0.45">
      <c r="A8546" t="s">
        <v>14131</v>
      </c>
      <c r="B8546" s="1">
        <v>44760</v>
      </c>
      <c r="C8546" t="s">
        <v>11975</v>
      </c>
      <c r="D8546" t="s">
        <v>56</v>
      </c>
      <c r="E8546" t="s">
        <v>14</v>
      </c>
      <c r="F8546" t="s">
        <v>57</v>
      </c>
      <c r="G8546">
        <v>3</v>
      </c>
      <c r="H8546">
        <v>27791.919999999998</v>
      </c>
      <c r="I8546">
        <v>2484.41</v>
      </c>
      <c r="J8546" t="s">
        <v>28</v>
      </c>
      <c r="K8546" t="s">
        <v>23</v>
      </c>
      <c r="L8546">
        <f t="shared" si="399"/>
        <v>2022</v>
      </c>
      <c r="M8546" t="str">
        <f t="shared" si="400"/>
        <v>Jul</v>
      </c>
      <c r="N8546" s="2">
        <f t="shared" si="401"/>
        <v>8.9393248109522483E-2</v>
      </c>
    </row>
    <row r="8547" spans="1:14" x14ac:dyDescent="0.45">
      <c r="A8547" t="s">
        <v>14132</v>
      </c>
      <c r="B8547" s="1">
        <v>45182</v>
      </c>
      <c r="C8547" t="s">
        <v>4177</v>
      </c>
      <c r="D8547" t="s">
        <v>56</v>
      </c>
      <c r="E8547" t="s">
        <v>14</v>
      </c>
      <c r="F8547" t="s">
        <v>40</v>
      </c>
      <c r="G8547">
        <v>3</v>
      </c>
      <c r="H8547">
        <v>18702.46</v>
      </c>
      <c r="I8547">
        <v>1443.49</v>
      </c>
      <c r="J8547" t="s">
        <v>22</v>
      </c>
      <c r="K8547" t="s">
        <v>29</v>
      </c>
      <c r="L8547">
        <f t="shared" si="399"/>
        <v>2023</v>
      </c>
      <c r="M8547" t="str">
        <f t="shared" si="400"/>
        <v>Sep</v>
      </c>
      <c r="N8547" s="2">
        <f t="shared" si="401"/>
        <v>7.7181825278599722E-2</v>
      </c>
    </row>
    <row r="8548" spans="1:14" x14ac:dyDescent="0.45">
      <c r="A8548" t="s">
        <v>14133</v>
      </c>
      <c r="B8548" s="1">
        <v>45258</v>
      </c>
      <c r="C8548" t="s">
        <v>14134</v>
      </c>
      <c r="D8548" t="s">
        <v>26</v>
      </c>
      <c r="E8548" t="s">
        <v>36</v>
      </c>
      <c r="F8548" t="s">
        <v>37</v>
      </c>
      <c r="G8548">
        <v>3</v>
      </c>
      <c r="H8548">
        <v>20476.66</v>
      </c>
      <c r="I8548">
        <v>3828.25</v>
      </c>
      <c r="J8548" t="s">
        <v>28</v>
      </c>
      <c r="K8548" t="s">
        <v>17</v>
      </c>
      <c r="L8548">
        <f t="shared" si="399"/>
        <v>2023</v>
      </c>
      <c r="M8548" t="str">
        <f t="shared" si="400"/>
        <v>Nov</v>
      </c>
      <c r="N8548" s="2">
        <f t="shared" si="401"/>
        <v>0.18695675954965313</v>
      </c>
    </row>
    <row r="8549" spans="1:14" x14ac:dyDescent="0.45">
      <c r="A8549" t="s">
        <v>14135</v>
      </c>
      <c r="B8549" s="1">
        <v>45083</v>
      </c>
      <c r="C8549" t="s">
        <v>14136</v>
      </c>
      <c r="D8549" t="s">
        <v>56</v>
      </c>
      <c r="E8549" t="s">
        <v>14</v>
      </c>
      <c r="F8549" t="s">
        <v>15</v>
      </c>
      <c r="G8549">
        <v>2</v>
      </c>
      <c r="H8549">
        <v>31381.32</v>
      </c>
      <c r="I8549">
        <v>3102.6</v>
      </c>
      <c r="J8549" t="s">
        <v>16</v>
      </c>
      <c r="K8549" t="s">
        <v>23</v>
      </c>
      <c r="L8549">
        <f t="shared" si="399"/>
        <v>2023</v>
      </c>
      <c r="M8549" t="str">
        <f t="shared" si="400"/>
        <v>Jun</v>
      </c>
      <c r="N8549" s="2">
        <f t="shared" si="401"/>
        <v>9.8867734053252054E-2</v>
      </c>
    </row>
    <row r="8550" spans="1:14" x14ac:dyDescent="0.45">
      <c r="A8550" t="s">
        <v>14137</v>
      </c>
      <c r="B8550" s="1">
        <v>45420</v>
      </c>
      <c r="C8550" t="s">
        <v>14138</v>
      </c>
      <c r="D8550" t="s">
        <v>13</v>
      </c>
      <c r="E8550" t="s">
        <v>36</v>
      </c>
      <c r="F8550" t="s">
        <v>53</v>
      </c>
      <c r="G8550">
        <v>3</v>
      </c>
      <c r="H8550">
        <v>36247.699999999997</v>
      </c>
      <c r="I8550">
        <v>8189.99</v>
      </c>
      <c r="J8550" t="s">
        <v>28</v>
      </c>
      <c r="K8550" t="s">
        <v>17</v>
      </c>
      <c r="L8550">
        <f t="shared" si="399"/>
        <v>2024</v>
      </c>
      <c r="M8550" t="str">
        <f t="shared" si="400"/>
        <v>May</v>
      </c>
      <c r="N8550" s="2">
        <f t="shared" si="401"/>
        <v>0.22594509444737185</v>
      </c>
    </row>
    <row r="8551" spans="1:14" x14ac:dyDescent="0.45">
      <c r="A8551" t="s">
        <v>14139</v>
      </c>
      <c r="B8551" s="1">
        <v>44932</v>
      </c>
      <c r="C8551" t="s">
        <v>14140</v>
      </c>
      <c r="D8551" t="s">
        <v>13</v>
      </c>
      <c r="E8551" t="s">
        <v>14</v>
      </c>
      <c r="F8551" t="s">
        <v>40</v>
      </c>
      <c r="G8551">
        <v>5</v>
      </c>
      <c r="H8551">
        <v>35092.949999999997</v>
      </c>
      <c r="I8551">
        <v>5123.1400000000003</v>
      </c>
      <c r="J8551" t="s">
        <v>16</v>
      </c>
      <c r="K8551" t="s">
        <v>23</v>
      </c>
      <c r="L8551">
        <f t="shared" si="399"/>
        <v>2023</v>
      </c>
      <c r="M8551" t="str">
        <f t="shared" si="400"/>
        <v>Jan</v>
      </c>
      <c r="N8551" s="2">
        <f t="shared" si="401"/>
        <v>0.14598772687961545</v>
      </c>
    </row>
    <row r="8552" spans="1:14" x14ac:dyDescent="0.45">
      <c r="A8552" t="s">
        <v>14141</v>
      </c>
      <c r="B8552" s="1">
        <v>45230</v>
      </c>
      <c r="C8552" t="s">
        <v>4066</v>
      </c>
      <c r="D8552" t="s">
        <v>26</v>
      </c>
      <c r="E8552" t="s">
        <v>36</v>
      </c>
      <c r="F8552" t="s">
        <v>53</v>
      </c>
      <c r="G8552">
        <v>4</v>
      </c>
      <c r="H8552">
        <v>25989.599999999999</v>
      </c>
      <c r="I8552">
        <v>5429.43</v>
      </c>
      <c r="J8552" t="s">
        <v>16</v>
      </c>
      <c r="K8552" t="s">
        <v>23</v>
      </c>
      <c r="L8552">
        <f t="shared" si="399"/>
        <v>2023</v>
      </c>
      <c r="M8552" t="str">
        <f t="shared" si="400"/>
        <v>Oct</v>
      </c>
      <c r="N8552" s="2">
        <f t="shared" si="401"/>
        <v>0.20890779388678551</v>
      </c>
    </row>
    <row r="8553" spans="1:14" x14ac:dyDescent="0.45">
      <c r="A8553" t="s">
        <v>14142</v>
      </c>
      <c r="B8553" s="1">
        <v>44883</v>
      </c>
      <c r="C8553" t="s">
        <v>14143</v>
      </c>
      <c r="D8553" t="s">
        <v>13</v>
      </c>
      <c r="E8553" t="s">
        <v>14</v>
      </c>
      <c r="F8553" t="s">
        <v>57</v>
      </c>
      <c r="G8553">
        <v>2</v>
      </c>
      <c r="H8553">
        <v>25806.95</v>
      </c>
      <c r="I8553">
        <v>3577.23</v>
      </c>
      <c r="J8553" t="s">
        <v>47</v>
      </c>
      <c r="K8553" t="s">
        <v>23</v>
      </c>
      <c r="L8553">
        <f t="shared" si="399"/>
        <v>2022</v>
      </c>
      <c r="M8553" t="str">
        <f t="shared" si="400"/>
        <v>Nov</v>
      </c>
      <c r="N8553" s="2">
        <f t="shared" si="401"/>
        <v>0.13861498549809256</v>
      </c>
    </row>
    <row r="8554" spans="1:14" x14ac:dyDescent="0.45">
      <c r="A8554" t="s">
        <v>14144</v>
      </c>
      <c r="B8554" s="1">
        <v>44968</v>
      </c>
      <c r="C8554" t="s">
        <v>14145</v>
      </c>
      <c r="D8554" t="s">
        <v>13</v>
      </c>
      <c r="E8554" t="s">
        <v>14</v>
      </c>
      <c r="F8554" t="s">
        <v>32</v>
      </c>
      <c r="G8554">
        <v>4</v>
      </c>
      <c r="H8554">
        <v>27220.39</v>
      </c>
      <c r="I8554">
        <v>3884.62</v>
      </c>
      <c r="J8554" t="s">
        <v>47</v>
      </c>
      <c r="K8554" t="s">
        <v>33</v>
      </c>
      <c r="L8554">
        <f t="shared" si="399"/>
        <v>2023</v>
      </c>
      <c r="M8554" t="str">
        <f t="shared" si="400"/>
        <v>Feb</v>
      </c>
      <c r="N8554" s="2">
        <f t="shared" si="401"/>
        <v>0.14270993178275551</v>
      </c>
    </row>
    <row r="8555" spans="1:14" x14ac:dyDescent="0.45">
      <c r="A8555" t="s">
        <v>14146</v>
      </c>
      <c r="B8555" s="1">
        <v>44901</v>
      </c>
      <c r="C8555" t="s">
        <v>14147</v>
      </c>
      <c r="D8555" t="s">
        <v>13</v>
      </c>
      <c r="E8555" t="s">
        <v>14</v>
      </c>
      <c r="F8555" t="s">
        <v>15</v>
      </c>
      <c r="G8555">
        <v>1</v>
      </c>
      <c r="H8555">
        <v>35795.93</v>
      </c>
      <c r="I8555">
        <v>4274.1099999999997</v>
      </c>
      <c r="J8555" t="s">
        <v>22</v>
      </c>
      <c r="K8555" t="s">
        <v>29</v>
      </c>
      <c r="L8555">
        <f t="shared" si="399"/>
        <v>2022</v>
      </c>
      <c r="M8555" t="str">
        <f t="shared" si="400"/>
        <v>Dec</v>
      </c>
      <c r="N8555" s="2">
        <f t="shared" si="401"/>
        <v>0.11940212197308464</v>
      </c>
    </row>
    <row r="8556" spans="1:14" x14ac:dyDescent="0.45">
      <c r="A8556" t="s">
        <v>14148</v>
      </c>
      <c r="B8556" s="1">
        <v>45527</v>
      </c>
      <c r="C8556" t="s">
        <v>14149</v>
      </c>
      <c r="D8556" t="s">
        <v>26</v>
      </c>
      <c r="E8556" t="s">
        <v>20</v>
      </c>
      <c r="F8556" t="s">
        <v>27</v>
      </c>
      <c r="G8556">
        <v>3</v>
      </c>
      <c r="H8556">
        <v>9749.1200000000008</v>
      </c>
      <c r="I8556">
        <v>1047</v>
      </c>
      <c r="J8556" t="s">
        <v>28</v>
      </c>
      <c r="K8556" t="s">
        <v>33</v>
      </c>
      <c r="L8556">
        <f t="shared" si="399"/>
        <v>2024</v>
      </c>
      <c r="M8556" t="str">
        <f t="shared" si="400"/>
        <v>Aug</v>
      </c>
      <c r="N8556" s="2">
        <f t="shared" si="401"/>
        <v>0.10739430840937438</v>
      </c>
    </row>
    <row r="8557" spans="1:14" x14ac:dyDescent="0.45">
      <c r="A8557" t="s">
        <v>14150</v>
      </c>
      <c r="B8557" s="1">
        <v>45162</v>
      </c>
      <c r="C8557" t="s">
        <v>2721</v>
      </c>
      <c r="D8557" t="s">
        <v>26</v>
      </c>
      <c r="E8557" t="s">
        <v>14</v>
      </c>
      <c r="F8557" t="s">
        <v>32</v>
      </c>
      <c r="G8557">
        <v>1</v>
      </c>
      <c r="H8557">
        <v>43432.4</v>
      </c>
      <c r="I8557">
        <v>9315.3799999999992</v>
      </c>
      <c r="J8557" t="s">
        <v>47</v>
      </c>
      <c r="K8557" t="s">
        <v>29</v>
      </c>
      <c r="L8557">
        <f t="shared" si="399"/>
        <v>2023</v>
      </c>
      <c r="M8557" t="str">
        <f t="shared" si="400"/>
        <v>Aug</v>
      </c>
      <c r="N8557" s="2">
        <f t="shared" si="401"/>
        <v>0.21447997347602249</v>
      </c>
    </row>
    <row r="8558" spans="1:14" x14ac:dyDescent="0.45">
      <c r="A8558" t="s">
        <v>14151</v>
      </c>
      <c r="B8558" s="1">
        <v>45048</v>
      </c>
      <c r="C8558" t="s">
        <v>14152</v>
      </c>
      <c r="D8558" t="s">
        <v>13</v>
      </c>
      <c r="E8558" t="s">
        <v>14</v>
      </c>
      <c r="F8558" t="s">
        <v>15</v>
      </c>
      <c r="G8558">
        <v>2</v>
      </c>
      <c r="H8558">
        <v>41304.06</v>
      </c>
      <c r="I8558">
        <v>3020.12</v>
      </c>
      <c r="J8558" t="s">
        <v>22</v>
      </c>
      <c r="K8558" t="s">
        <v>23</v>
      </c>
      <c r="L8558">
        <f t="shared" si="399"/>
        <v>2023</v>
      </c>
      <c r="M8558" t="str">
        <f t="shared" si="400"/>
        <v>May</v>
      </c>
      <c r="N8558" s="2">
        <f t="shared" si="401"/>
        <v>7.3119204262244442E-2</v>
      </c>
    </row>
    <row r="8559" spans="1:14" x14ac:dyDescent="0.45">
      <c r="A8559" t="s">
        <v>14153</v>
      </c>
      <c r="B8559" s="1">
        <v>44875</v>
      </c>
      <c r="C8559" t="s">
        <v>5226</v>
      </c>
      <c r="D8559" t="s">
        <v>26</v>
      </c>
      <c r="E8559" t="s">
        <v>36</v>
      </c>
      <c r="F8559" t="s">
        <v>64</v>
      </c>
      <c r="G8559">
        <v>4</v>
      </c>
      <c r="H8559">
        <v>9676.0300000000007</v>
      </c>
      <c r="I8559">
        <v>1808.69</v>
      </c>
      <c r="J8559" t="s">
        <v>28</v>
      </c>
      <c r="K8559" t="s">
        <v>33</v>
      </c>
      <c r="L8559">
        <f t="shared" si="399"/>
        <v>2022</v>
      </c>
      <c r="M8559" t="str">
        <f t="shared" si="400"/>
        <v>Nov</v>
      </c>
      <c r="N8559" s="2">
        <f t="shared" si="401"/>
        <v>0.18692480283752735</v>
      </c>
    </row>
    <row r="8560" spans="1:14" x14ac:dyDescent="0.45">
      <c r="A8560" t="s">
        <v>14154</v>
      </c>
      <c r="B8560" s="1">
        <v>45363</v>
      </c>
      <c r="C8560" t="s">
        <v>12563</v>
      </c>
      <c r="D8560" t="s">
        <v>13</v>
      </c>
      <c r="E8560" t="s">
        <v>14</v>
      </c>
      <c r="F8560" t="s">
        <v>32</v>
      </c>
      <c r="G8560">
        <v>2</v>
      </c>
      <c r="H8560">
        <v>15755.22</v>
      </c>
      <c r="I8560">
        <v>2595.12</v>
      </c>
      <c r="J8560" t="s">
        <v>28</v>
      </c>
      <c r="K8560" t="s">
        <v>29</v>
      </c>
      <c r="L8560">
        <f t="shared" si="399"/>
        <v>2024</v>
      </c>
      <c r="M8560" t="str">
        <f t="shared" si="400"/>
        <v>Mar</v>
      </c>
      <c r="N8560" s="2">
        <f t="shared" si="401"/>
        <v>0.16471493257472761</v>
      </c>
    </row>
    <row r="8561" spans="1:14" x14ac:dyDescent="0.45">
      <c r="A8561" t="s">
        <v>14155</v>
      </c>
      <c r="B8561" s="1">
        <v>45491</v>
      </c>
      <c r="C8561" t="s">
        <v>14156</v>
      </c>
      <c r="D8561" t="s">
        <v>56</v>
      </c>
      <c r="E8561" t="s">
        <v>14</v>
      </c>
      <c r="F8561" t="s">
        <v>32</v>
      </c>
      <c r="G8561">
        <v>2</v>
      </c>
      <c r="H8561">
        <v>11559.58</v>
      </c>
      <c r="I8561">
        <v>1168.57</v>
      </c>
      <c r="J8561" t="s">
        <v>71</v>
      </c>
      <c r="K8561" t="s">
        <v>23</v>
      </c>
      <c r="L8561">
        <f t="shared" si="399"/>
        <v>2024</v>
      </c>
      <c r="M8561" t="str">
        <f t="shared" si="400"/>
        <v>Jul</v>
      </c>
      <c r="N8561" s="2">
        <f t="shared" si="401"/>
        <v>0.10109104310018184</v>
      </c>
    </row>
    <row r="8562" spans="1:14" x14ac:dyDescent="0.45">
      <c r="A8562" t="s">
        <v>14157</v>
      </c>
      <c r="B8562" s="1">
        <v>45573</v>
      </c>
      <c r="C8562" t="s">
        <v>3586</v>
      </c>
      <c r="D8562" t="s">
        <v>56</v>
      </c>
      <c r="E8562" t="s">
        <v>14</v>
      </c>
      <c r="F8562" t="s">
        <v>15</v>
      </c>
      <c r="G8562">
        <v>5</v>
      </c>
      <c r="H8562">
        <v>40514.39</v>
      </c>
      <c r="I8562">
        <v>9086.26</v>
      </c>
      <c r="J8562" t="s">
        <v>71</v>
      </c>
      <c r="K8562" t="s">
        <v>29</v>
      </c>
      <c r="L8562">
        <f t="shared" si="399"/>
        <v>2024</v>
      </c>
      <c r="M8562" t="str">
        <f t="shared" si="400"/>
        <v>Oct</v>
      </c>
      <c r="N8562" s="2">
        <f t="shared" si="401"/>
        <v>0.22427241283899377</v>
      </c>
    </row>
    <row r="8563" spans="1:14" x14ac:dyDescent="0.45">
      <c r="A8563" t="s">
        <v>14158</v>
      </c>
      <c r="B8563" s="1">
        <v>44871</v>
      </c>
      <c r="C8563" t="s">
        <v>14159</v>
      </c>
      <c r="D8563" t="s">
        <v>56</v>
      </c>
      <c r="E8563" t="s">
        <v>14</v>
      </c>
      <c r="F8563" t="s">
        <v>15</v>
      </c>
      <c r="G8563">
        <v>4</v>
      </c>
      <c r="H8563">
        <v>19497.03</v>
      </c>
      <c r="I8563">
        <v>2775.32</v>
      </c>
      <c r="J8563" t="s">
        <v>71</v>
      </c>
      <c r="K8563" t="s">
        <v>29</v>
      </c>
      <c r="L8563">
        <f t="shared" si="399"/>
        <v>2022</v>
      </c>
      <c r="M8563" t="str">
        <f t="shared" si="400"/>
        <v>Nov</v>
      </c>
      <c r="N8563" s="2">
        <f t="shared" si="401"/>
        <v>0.14234578292180913</v>
      </c>
    </row>
    <row r="8564" spans="1:14" x14ac:dyDescent="0.45">
      <c r="A8564" t="s">
        <v>14160</v>
      </c>
      <c r="B8564" s="1">
        <v>44701</v>
      </c>
      <c r="C8564" t="s">
        <v>7845</v>
      </c>
      <c r="D8564" t="s">
        <v>56</v>
      </c>
      <c r="E8564" t="s">
        <v>36</v>
      </c>
      <c r="F8564" t="s">
        <v>46</v>
      </c>
      <c r="G8564">
        <v>4</v>
      </c>
      <c r="H8564">
        <v>41117.449999999997</v>
      </c>
      <c r="I8564">
        <v>6537.01</v>
      </c>
      <c r="J8564" t="s">
        <v>47</v>
      </c>
      <c r="K8564" t="s">
        <v>29</v>
      </c>
      <c r="L8564">
        <f t="shared" si="399"/>
        <v>2022</v>
      </c>
      <c r="M8564" t="str">
        <f t="shared" si="400"/>
        <v>May</v>
      </c>
      <c r="N8564" s="2">
        <f t="shared" si="401"/>
        <v>0.15898383776231262</v>
      </c>
    </row>
    <row r="8565" spans="1:14" x14ac:dyDescent="0.45">
      <c r="A8565" t="s">
        <v>14161</v>
      </c>
      <c r="B8565" s="1">
        <v>44677</v>
      </c>
      <c r="C8565" t="s">
        <v>638</v>
      </c>
      <c r="D8565" t="s">
        <v>26</v>
      </c>
      <c r="E8565" t="s">
        <v>20</v>
      </c>
      <c r="F8565" t="s">
        <v>27</v>
      </c>
      <c r="G8565">
        <v>2</v>
      </c>
      <c r="H8565">
        <v>12051.92</v>
      </c>
      <c r="I8565">
        <v>2819.4</v>
      </c>
      <c r="J8565" t="s">
        <v>47</v>
      </c>
      <c r="K8565" t="s">
        <v>23</v>
      </c>
      <c r="L8565">
        <f t="shared" si="399"/>
        <v>2022</v>
      </c>
      <c r="M8565" t="str">
        <f t="shared" si="400"/>
        <v>Apr</v>
      </c>
      <c r="N8565" s="2">
        <f t="shared" si="401"/>
        <v>0.23393782899322266</v>
      </c>
    </row>
    <row r="8566" spans="1:14" x14ac:dyDescent="0.45">
      <c r="A8566" t="s">
        <v>14162</v>
      </c>
      <c r="B8566" s="1">
        <v>44888</v>
      </c>
      <c r="C8566" t="s">
        <v>14163</v>
      </c>
      <c r="D8566" t="s">
        <v>13</v>
      </c>
      <c r="E8566" t="s">
        <v>36</v>
      </c>
      <c r="F8566" t="s">
        <v>64</v>
      </c>
      <c r="G8566">
        <v>4</v>
      </c>
      <c r="H8566">
        <v>38627.19</v>
      </c>
      <c r="I8566">
        <v>3865.37</v>
      </c>
      <c r="J8566" t="s">
        <v>28</v>
      </c>
      <c r="K8566" t="s">
        <v>33</v>
      </c>
      <c r="L8566">
        <f t="shared" si="399"/>
        <v>2022</v>
      </c>
      <c r="M8566" t="str">
        <f t="shared" si="400"/>
        <v>Nov</v>
      </c>
      <c r="N8566" s="2">
        <f t="shared" si="401"/>
        <v>0.10006863041292934</v>
      </c>
    </row>
    <row r="8567" spans="1:14" x14ac:dyDescent="0.45">
      <c r="A8567" t="s">
        <v>14164</v>
      </c>
      <c r="B8567" s="1">
        <v>45313</v>
      </c>
      <c r="C8567" t="s">
        <v>14165</v>
      </c>
      <c r="D8567" t="s">
        <v>13</v>
      </c>
      <c r="E8567" t="s">
        <v>36</v>
      </c>
      <c r="F8567" t="s">
        <v>46</v>
      </c>
      <c r="G8567">
        <v>4</v>
      </c>
      <c r="H8567">
        <v>45756.21</v>
      </c>
      <c r="I8567">
        <v>10804.95</v>
      </c>
      <c r="J8567" t="s">
        <v>16</v>
      </c>
      <c r="K8567" t="s">
        <v>29</v>
      </c>
      <c r="L8567">
        <f t="shared" si="399"/>
        <v>2024</v>
      </c>
      <c r="M8567" t="str">
        <f t="shared" si="400"/>
        <v>Jan</v>
      </c>
      <c r="N8567" s="2">
        <f t="shared" si="401"/>
        <v>0.23614171715708099</v>
      </c>
    </row>
    <row r="8568" spans="1:14" x14ac:dyDescent="0.45">
      <c r="A8568" t="s">
        <v>14166</v>
      </c>
      <c r="B8568" s="1">
        <v>45498</v>
      </c>
      <c r="C8568" t="s">
        <v>4468</v>
      </c>
      <c r="D8568" t="s">
        <v>56</v>
      </c>
      <c r="E8568" t="s">
        <v>20</v>
      </c>
      <c r="F8568" t="s">
        <v>43</v>
      </c>
      <c r="G8568">
        <v>1</v>
      </c>
      <c r="H8568">
        <v>2712.17</v>
      </c>
      <c r="I8568">
        <v>433.14</v>
      </c>
      <c r="J8568" t="s">
        <v>16</v>
      </c>
      <c r="K8568" t="s">
        <v>17</v>
      </c>
      <c r="L8568">
        <f t="shared" si="399"/>
        <v>2024</v>
      </c>
      <c r="M8568" t="str">
        <f t="shared" si="400"/>
        <v>Jul</v>
      </c>
      <c r="N8568" s="2">
        <f t="shared" si="401"/>
        <v>0.15970237853821848</v>
      </c>
    </row>
    <row r="8569" spans="1:14" x14ac:dyDescent="0.45">
      <c r="A8569" t="s">
        <v>14167</v>
      </c>
      <c r="B8569" s="1">
        <v>44726</v>
      </c>
      <c r="C8569" t="s">
        <v>8531</v>
      </c>
      <c r="D8569" t="s">
        <v>13</v>
      </c>
      <c r="E8569" t="s">
        <v>36</v>
      </c>
      <c r="F8569" t="s">
        <v>53</v>
      </c>
      <c r="G8569">
        <v>4</v>
      </c>
      <c r="H8569">
        <v>39294.949999999997</v>
      </c>
      <c r="I8569">
        <v>6099.61</v>
      </c>
      <c r="J8569" t="s">
        <v>16</v>
      </c>
      <c r="K8569" t="s">
        <v>29</v>
      </c>
      <c r="L8569">
        <f t="shared" si="399"/>
        <v>2022</v>
      </c>
      <c r="M8569" t="str">
        <f t="shared" si="400"/>
        <v>Jun</v>
      </c>
      <c r="N8569" s="2">
        <f t="shared" si="401"/>
        <v>0.15522630770620652</v>
      </c>
    </row>
    <row r="8570" spans="1:14" x14ac:dyDescent="0.45">
      <c r="A8570" t="s">
        <v>14168</v>
      </c>
      <c r="B8570" s="1">
        <v>44604</v>
      </c>
      <c r="C8570" t="s">
        <v>4587</v>
      </c>
      <c r="D8570" t="s">
        <v>13</v>
      </c>
      <c r="E8570" t="s">
        <v>20</v>
      </c>
      <c r="F8570" t="s">
        <v>21</v>
      </c>
      <c r="G8570">
        <v>4</v>
      </c>
      <c r="H8570">
        <v>8217.06</v>
      </c>
      <c r="I8570">
        <v>888.81</v>
      </c>
      <c r="J8570" t="s">
        <v>47</v>
      </c>
      <c r="K8570" t="s">
        <v>17</v>
      </c>
      <c r="L8570">
        <f t="shared" si="399"/>
        <v>2022</v>
      </c>
      <c r="M8570" t="str">
        <f t="shared" si="400"/>
        <v>Feb</v>
      </c>
      <c r="N8570" s="2">
        <f t="shared" si="401"/>
        <v>0.10816642448759045</v>
      </c>
    </row>
    <row r="8571" spans="1:14" x14ac:dyDescent="0.45">
      <c r="A8571" t="s">
        <v>14169</v>
      </c>
      <c r="B8571" s="1">
        <v>45092</v>
      </c>
      <c r="C8571" t="s">
        <v>11820</v>
      </c>
      <c r="D8571" t="s">
        <v>26</v>
      </c>
      <c r="E8571" t="s">
        <v>36</v>
      </c>
      <c r="F8571" t="s">
        <v>53</v>
      </c>
      <c r="G8571">
        <v>5</v>
      </c>
      <c r="H8571">
        <v>24452.34</v>
      </c>
      <c r="I8571">
        <v>3691.33</v>
      </c>
      <c r="J8571" t="s">
        <v>16</v>
      </c>
      <c r="K8571" t="s">
        <v>17</v>
      </c>
      <c r="L8571">
        <f t="shared" si="399"/>
        <v>2023</v>
      </c>
      <c r="M8571" t="str">
        <f t="shared" si="400"/>
        <v>Jun</v>
      </c>
      <c r="N8571" s="2">
        <f t="shared" si="401"/>
        <v>0.15096019440266248</v>
      </c>
    </row>
    <row r="8572" spans="1:14" x14ac:dyDescent="0.45">
      <c r="A8572" t="s">
        <v>14170</v>
      </c>
      <c r="B8572" s="1">
        <v>45492</v>
      </c>
      <c r="C8572" t="s">
        <v>13093</v>
      </c>
      <c r="D8572" t="s">
        <v>56</v>
      </c>
      <c r="E8572" t="s">
        <v>20</v>
      </c>
      <c r="F8572" t="s">
        <v>27</v>
      </c>
      <c r="G8572">
        <v>2</v>
      </c>
      <c r="H8572">
        <v>3108.85</v>
      </c>
      <c r="I8572">
        <v>598.11</v>
      </c>
      <c r="J8572" t="s">
        <v>47</v>
      </c>
      <c r="K8572" t="s">
        <v>17</v>
      </c>
      <c r="L8572">
        <f t="shared" si="399"/>
        <v>2024</v>
      </c>
      <c r="M8572" t="str">
        <f t="shared" si="400"/>
        <v>Jul</v>
      </c>
      <c r="N8572" s="2">
        <f t="shared" si="401"/>
        <v>0.19238946877462729</v>
      </c>
    </row>
    <row r="8573" spans="1:14" x14ac:dyDescent="0.45">
      <c r="A8573" t="s">
        <v>14171</v>
      </c>
      <c r="B8573" s="1">
        <v>45111</v>
      </c>
      <c r="C8573" t="s">
        <v>14172</v>
      </c>
      <c r="D8573" t="s">
        <v>13</v>
      </c>
      <c r="E8573" t="s">
        <v>14</v>
      </c>
      <c r="F8573" t="s">
        <v>15</v>
      </c>
      <c r="G8573">
        <v>1</v>
      </c>
      <c r="H8573">
        <v>49105.58</v>
      </c>
      <c r="I8573">
        <v>6978.19</v>
      </c>
      <c r="J8573" t="s">
        <v>16</v>
      </c>
      <c r="K8573" t="s">
        <v>29</v>
      </c>
      <c r="L8573">
        <f t="shared" si="399"/>
        <v>2023</v>
      </c>
      <c r="M8573" t="str">
        <f t="shared" si="400"/>
        <v>Jul</v>
      </c>
      <c r="N8573" s="2">
        <f t="shared" si="401"/>
        <v>0.14210584621951314</v>
      </c>
    </row>
    <row r="8574" spans="1:14" x14ac:dyDescent="0.45">
      <c r="A8574" t="s">
        <v>14173</v>
      </c>
      <c r="B8574" s="1">
        <v>45175</v>
      </c>
      <c r="C8574" t="s">
        <v>11802</v>
      </c>
      <c r="D8574" t="s">
        <v>56</v>
      </c>
      <c r="E8574" t="s">
        <v>20</v>
      </c>
      <c r="F8574" t="s">
        <v>21</v>
      </c>
      <c r="G8574">
        <v>5</v>
      </c>
      <c r="H8574">
        <v>13964.37</v>
      </c>
      <c r="I8574">
        <v>2176.3200000000002</v>
      </c>
      <c r="J8574" t="s">
        <v>22</v>
      </c>
      <c r="K8574" t="s">
        <v>23</v>
      </c>
      <c r="L8574">
        <f t="shared" si="399"/>
        <v>2023</v>
      </c>
      <c r="M8574" t="str">
        <f t="shared" si="400"/>
        <v>Sep</v>
      </c>
      <c r="N8574" s="2">
        <f t="shared" si="401"/>
        <v>0.15584806188893591</v>
      </c>
    </row>
    <row r="8575" spans="1:14" x14ac:dyDescent="0.45">
      <c r="A8575" t="s">
        <v>14174</v>
      </c>
      <c r="B8575" s="1">
        <v>45087</v>
      </c>
      <c r="C8575" t="s">
        <v>14175</v>
      </c>
      <c r="D8575" t="s">
        <v>26</v>
      </c>
      <c r="E8575" t="s">
        <v>20</v>
      </c>
      <c r="F8575" t="s">
        <v>21</v>
      </c>
      <c r="G8575">
        <v>5</v>
      </c>
      <c r="H8575">
        <v>37472.51</v>
      </c>
      <c r="I8575">
        <v>4526.97</v>
      </c>
      <c r="J8575" t="s">
        <v>28</v>
      </c>
      <c r="K8575" t="s">
        <v>29</v>
      </c>
      <c r="L8575">
        <f t="shared" si="399"/>
        <v>2023</v>
      </c>
      <c r="M8575" t="str">
        <f t="shared" si="400"/>
        <v>Jun</v>
      </c>
      <c r="N8575" s="2">
        <f t="shared" si="401"/>
        <v>0.12080776014203479</v>
      </c>
    </row>
    <row r="8576" spans="1:14" x14ac:dyDescent="0.45">
      <c r="A8576" t="s">
        <v>14176</v>
      </c>
      <c r="B8576" s="1">
        <v>45559</v>
      </c>
      <c r="C8576" t="s">
        <v>14177</v>
      </c>
      <c r="D8576" t="s">
        <v>13</v>
      </c>
      <c r="E8576" t="s">
        <v>36</v>
      </c>
      <c r="F8576" t="s">
        <v>53</v>
      </c>
      <c r="G8576">
        <v>5</v>
      </c>
      <c r="H8576">
        <v>7824.15</v>
      </c>
      <c r="I8576">
        <v>1339.74</v>
      </c>
      <c r="J8576" t="s">
        <v>28</v>
      </c>
      <c r="K8576" t="s">
        <v>33</v>
      </c>
      <c r="L8576">
        <f t="shared" si="399"/>
        <v>2024</v>
      </c>
      <c r="M8576" t="str">
        <f t="shared" si="400"/>
        <v>Sep</v>
      </c>
      <c r="N8576" s="2">
        <f t="shared" si="401"/>
        <v>0.17123137976649222</v>
      </c>
    </row>
    <row r="8577" spans="1:14" x14ac:dyDescent="0.45">
      <c r="A8577" t="s">
        <v>14178</v>
      </c>
      <c r="B8577" s="1">
        <v>45103</v>
      </c>
      <c r="C8577" t="s">
        <v>14179</v>
      </c>
      <c r="D8577" t="s">
        <v>26</v>
      </c>
      <c r="E8577" t="s">
        <v>14</v>
      </c>
      <c r="F8577" t="s">
        <v>40</v>
      </c>
      <c r="G8577">
        <v>3</v>
      </c>
      <c r="H8577">
        <v>4485.01</v>
      </c>
      <c r="I8577">
        <v>920.5</v>
      </c>
      <c r="J8577" t="s">
        <v>22</v>
      </c>
      <c r="K8577" t="s">
        <v>17</v>
      </c>
      <c r="L8577">
        <f t="shared" si="399"/>
        <v>2023</v>
      </c>
      <c r="M8577" t="str">
        <f t="shared" si="400"/>
        <v>Jun</v>
      </c>
      <c r="N8577" s="2">
        <f t="shared" si="401"/>
        <v>0.20523923023583002</v>
      </c>
    </row>
    <row r="8578" spans="1:14" x14ac:dyDescent="0.45">
      <c r="A8578" t="s">
        <v>14180</v>
      </c>
      <c r="B8578" s="1">
        <v>44940</v>
      </c>
      <c r="C8578" t="s">
        <v>14181</v>
      </c>
      <c r="D8578" t="s">
        <v>13</v>
      </c>
      <c r="E8578" t="s">
        <v>14</v>
      </c>
      <c r="F8578" t="s">
        <v>40</v>
      </c>
      <c r="G8578">
        <v>3</v>
      </c>
      <c r="H8578">
        <v>33021.72</v>
      </c>
      <c r="I8578">
        <v>6829.39</v>
      </c>
      <c r="J8578" t="s">
        <v>28</v>
      </c>
      <c r="K8578" t="s">
        <v>29</v>
      </c>
      <c r="L8578">
        <f t="shared" si="399"/>
        <v>2023</v>
      </c>
      <c r="M8578" t="str">
        <f t="shared" si="400"/>
        <v>Jan</v>
      </c>
      <c r="N8578" s="2">
        <f t="shared" si="401"/>
        <v>0.206815090189124</v>
      </c>
    </row>
    <row r="8579" spans="1:14" x14ac:dyDescent="0.45">
      <c r="A8579" t="s">
        <v>14182</v>
      </c>
      <c r="B8579" s="1">
        <v>44893</v>
      </c>
      <c r="C8579" t="s">
        <v>14183</v>
      </c>
      <c r="D8579" t="s">
        <v>26</v>
      </c>
      <c r="E8579" t="s">
        <v>36</v>
      </c>
      <c r="F8579" t="s">
        <v>37</v>
      </c>
      <c r="G8579">
        <v>3</v>
      </c>
      <c r="H8579">
        <v>25875.94</v>
      </c>
      <c r="I8579">
        <v>1955.03</v>
      </c>
      <c r="J8579" t="s">
        <v>47</v>
      </c>
      <c r="K8579" t="s">
        <v>23</v>
      </c>
      <c r="L8579">
        <f t="shared" ref="L8579:L8642" si="402">YEAR(B8579 )</f>
        <v>2022</v>
      </c>
      <c r="M8579" t="str">
        <f t="shared" ref="M8579:M8642" si="403">TEXT(B8579,"MMM")</f>
        <v>Nov</v>
      </c>
      <c r="N8579" s="2">
        <f t="shared" ref="N8579:N8642" si="404">I8579 / H8579</f>
        <v>7.5553970213256022E-2</v>
      </c>
    </row>
    <row r="8580" spans="1:14" x14ac:dyDescent="0.45">
      <c r="A8580" t="s">
        <v>14184</v>
      </c>
      <c r="B8580" s="1">
        <v>45623</v>
      </c>
      <c r="C8580" t="s">
        <v>2689</v>
      </c>
      <c r="D8580" t="s">
        <v>56</v>
      </c>
      <c r="E8580" t="s">
        <v>36</v>
      </c>
      <c r="F8580" t="s">
        <v>53</v>
      </c>
      <c r="G8580">
        <v>5</v>
      </c>
      <c r="H8580">
        <v>16274.17</v>
      </c>
      <c r="I8580">
        <v>3339.26</v>
      </c>
      <c r="J8580" t="s">
        <v>71</v>
      </c>
      <c r="K8580" t="s">
        <v>33</v>
      </c>
      <c r="L8580">
        <f t="shared" si="402"/>
        <v>2024</v>
      </c>
      <c r="M8580" t="str">
        <f t="shared" si="403"/>
        <v>Nov</v>
      </c>
      <c r="N8580" s="2">
        <f t="shared" si="404"/>
        <v>0.20518773000404938</v>
      </c>
    </row>
    <row r="8581" spans="1:14" x14ac:dyDescent="0.45">
      <c r="A8581" t="s">
        <v>14185</v>
      </c>
      <c r="B8581" s="1">
        <v>45341</v>
      </c>
      <c r="C8581" t="s">
        <v>14186</v>
      </c>
      <c r="D8581" t="s">
        <v>13</v>
      </c>
      <c r="E8581" t="s">
        <v>14</v>
      </c>
      <c r="F8581" t="s">
        <v>40</v>
      </c>
      <c r="G8581">
        <v>1</v>
      </c>
      <c r="H8581">
        <v>45077.26</v>
      </c>
      <c r="I8581">
        <v>3333.1</v>
      </c>
      <c r="J8581" t="s">
        <v>71</v>
      </c>
      <c r="K8581" t="s">
        <v>33</v>
      </c>
      <c r="L8581">
        <f t="shared" si="402"/>
        <v>2024</v>
      </c>
      <c r="M8581" t="str">
        <f t="shared" si="403"/>
        <v>Feb</v>
      </c>
      <c r="N8581" s="2">
        <f t="shared" si="404"/>
        <v>7.3941938795747564E-2</v>
      </c>
    </row>
    <row r="8582" spans="1:14" x14ac:dyDescent="0.45">
      <c r="A8582" t="s">
        <v>14187</v>
      </c>
      <c r="B8582" s="1">
        <v>45328</v>
      </c>
      <c r="C8582" t="s">
        <v>14188</v>
      </c>
      <c r="D8582" t="s">
        <v>13</v>
      </c>
      <c r="E8582" t="s">
        <v>14</v>
      </c>
      <c r="F8582" t="s">
        <v>32</v>
      </c>
      <c r="G8582">
        <v>3</v>
      </c>
      <c r="H8582">
        <v>25220.82</v>
      </c>
      <c r="I8582">
        <v>2728.38</v>
      </c>
      <c r="J8582" t="s">
        <v>71</v>
      </c>
      <c r="K8582" t="s">
        <v>29</v>
      </c>
      <c r="L8582">
        <f t="shared" si="402"/>
        <v>2024</v>
      </c>
      <c r="M8582" t="str">
        <f t="shared" si="403"/>
        <v>Feb</v>
      </c>
      <c r="N8582" s="2">
        <f t="shared" si="404"/>
        <v>0.10817967060547595</v>
      </c>
    </row>
    <row r="8583" spans="1:14" x14ac:dyDescent="0.45">
      <c r="A8583" t="s">
        <v>14189</v>
      </c>
      <c r="B8583" s="1">
        <v>45052</v>
      </c>
      <c r="C8583" t="s">
        <v>8508</v>
      </c>
      <c r="D8583" t="s">
        <v>13</v>
      </c>
      <c r="E8583" t="s">
        <v>36</v>
      </c>
      <c r="F8583" t="s">
        <v>53</v>
      </c>
      <c r="G8583">
        <v>4</v>
      </c>
      <c r="H8583">
        <v>19799.29</v>
      </c>
      <c r="I8583">
        <v>1757.7</v>
      </c>
      <c r="J8583" t="s">
        <v>16</v>
      </c>
      <c r="K8583" t="s">
        <v>17</v>
      </c>
      <c r="L8583">
        <f t="shared" si="402"/>
        <v>2023</v>
      </c>
      <c r="M8583" t="str">
        <f t="shared" si="403"/>
        <v>May</v>
      </c>
      <c r="N8583" s="2">
        <f t="shared" si="404"/>
        <v>8.8775910651341536E-2</v>
      </c>
    </row>
    <row r="8584" spans="1:14" x14ac:dyDescent="0.45">
      <c r="A8584" t="s">
        <v>14190</v>
      </c>
      <c r="B8584" s="1">
        <v>45593</v>
      </c>
      <c r="C8584" t="s">
        <v>7675</v>
      </c>
      <c r="D8584" t="s">
        <v>13</v>
      </c>
      <c r="E8584" t="s">
        <v>20</v>
      </c>
      <c r="F8584" t="s">
        <v>27</v>
      </c>
      <c r="G8584">
        <v>1</v>
      </c>
      <c r="H8584">
        <v>7984.92</v>
      </c>
      <c r="I8584">
        <v>1942.56</v>
      </c>
      <c r="J8584" t="s">
        <v>47</v>
      </c>
      <c r="K8584" t="s">
        <v>23</v>
      </c>
      <c r="L8584">
        <f t="shared" si="402"/>
        <v>2024</v>
      </c>
      <c r="M8584" t="str">
        <f t="shared" si="403"/>
        <v>Oct</v>
      </c>
      <c r="N8584" s="2">
        <f t="shared" si="404"/>
        <v>0.24327858012353284</v>
      </c>
    </row>
    <row r="8585" spans="1:14" x14ac:dyDescent="0.45">
      <c r="A8585" t="s">
        <v>14191</v>
      </c>
      <c r="B8585" s="1">
        <v>44839</v>
      </c>
      <c r="C8585" t="s">
        <v>14192</v>
      </c>
      <c r="D8585" t="s">
        <v>56</v>
      </c>
      <c r="E8585" t="s">
        <v>36</v>
      </c>
      <c r="F8585" t="s">
        <v>64</v>
      </c>
      <c r="G8585">
        <v>4</v>
      </c>
      <c r="H8585">
        <v>11472.46</v>
      </c>
      <c r="I8585">
        <v>2101.46</v>
      </c>
      <c r="J8585" t="s">
        <v>71</v>
      </c>
      <c r="K8585" t="s">
        <v>29</v>
      </c>
      <c r="L8585">
        <f t="shared" si="402"/>
        <v>2022</v>
      </c>
      <c r="M8585" t="str">
        <f t="shared" si="403"/>
        <v>Oct</v>
      </c>
      <c r="N8585" s="2">
        <f t="shared" si="404"/>
        <v>0.18317431483744551</v>
      </c>
    </row>
    <row r="8586" spans="1:14" x14ac:dyDescent="0.45">
      <c r="A8586" t="s">
        <v>14193</v>
      </c>
      <c r="B8586" s="1">
        <v>44714</v>
      </c>
      <c r="C8586" t="s">
        <v>7778</v>
      </c>
      <c r="D8586" t="s">
        <v>56</v>
      </c>
      <c r="E8586" t="s">
        <v>20</v>
      </c>
      <c r="F8586" t="s">
        <v>21</v>
      </c>
      <c r="G8586">
        <v>2</v>
      </c>
      <c r="H8586">
        <v>14146.89</v>
      </c>
      <c r="I8586">
        <v>1698.14</v>
      </c>
      <c r="J8586" t="s">
        <v>47</v>
      </c>
      <c r="K8586" t="s">
        <v>33</v>
      </c>
      <c r="L8586">
        <f t="shared" si="402"/>
        <v>2022</v>
      </c>
      <c r="M8586" t="str">
        <f t="shared" si="403"/>
        <v>Jun</v>
      </c>
      <c r="N8586" s="2">
        <f t="shared" si="404"/>
        <v>0.12003627652438099</v>
      </c>
    </row>
    <row r="8587" spans="1:14" x14ac:dyDescent="0.45">
      <c r="A8587" t="s">
        <v>14194</v>
      </c>
      <c r="B8587" s="1">
        <v>45172</v>
      </c>
      <c r="C8587" t="s">
        <v>13600</v>
      </c>
      <c r="D8587" t="s">
        <v>56</v>
      </c>
      <c r="E8587" t="s">
        <v>20</v>
      </c>
      <c r="F8587" t="s">
        <v>43</v>
      </c>
      <c r="G8587">
        <v>3</v>
      </c>
      <c r="H8587">
        <v>1688.69</v>
      </c>
      <c r="I8587">
        <v>93.02</v>
      </c>
      <c r="J8587" t="s">
        <v>16</v>
      </c>
      <c r="K8587" t="s">
        <v>23</v>
      </c>
      <c r="L8587">
        <f t="shared" si="402"/>
        <v>2023</v>
      </c>
      <c r="M8587" t="str">
        <f t="shared" si="403"/>
        <v>Sep</v>
      </c>
      <c r="N8587" s="2">
        <f t="shared" si="404"/>
        <v>5.5084118458686909E-2</v>
      </c>
    </row>
    <row r="8588" spans="1:14" x14ac:dyDescent="0.45">
      <c r="A8588" t="s">
        <v>14195</v>
      </c>
      <c r="B8588" s="1">
        <v>45613</v>
      </c>
      <c r="C8588" t="s">
        <v>8131</v>
      </c>
      <c r="D8588" t="s">
        <v>26</v>
      </c>
      <c r="E8588" t="s">
        <v>36</v>
      </c>
      <c r="F8588" t="s">
        <v>46</v>
      </c>
      <c r="G8588">
        <v>1</v>
      </c>
      <c r="H8588">
        <v>41268.31</v>
      </c>
      <c r="I8588">
        <v>8714.1299999999992</v>
      </c>
      <c r="J8588" t="s">
        <v>22</v>
      </c>
      <c r="K8588" t="s">
        <v>23</v>
      </c>
      <c r="L8588">
        <f t="shared" si="402"/>
        <v>2024</v>
      </c>
      <c r="M8588" t="str">
        <f t="shared" si="403"/>
        <v>Nov</v>
      </c>
      <c r="N8588" s="2">
        <f t="shared" si="404"/>
        <v>0.21115790784745</v>
      </c>
    </row>
    <row r="8589" spans="1:14" x14ac:dyDescent="0.45">
      <c r="A8589" t="s">
        <v>14196</v>
      </c>
      <c r="B8589" s="1">
        <v>45078</v>
      </c>
      <c r="C8589" t="s">
        <v>14197</v>
      </c>
      <c r="D8589" t="s">
        <v>26</v>
      </c>
      <c r="E8589" t="s">
        <v>36</v>
      </c>
      <c r="F8589" t="s">
        <v>53</v>
      </c>
      <c r="G8589">
        <v>5</v>
      </c>
      <c r="H8589">
        <v>17060.22</v>
      </c>
      <c r="I8589">
        <v>1693.59</v>
      </c>
      <c r="J8589" t="s">
        <v>47</v>
      </c>
      <c r="K8589" t="s">
        <v>33</v>
      </c>
      <c r="L8589">
        <f t="shared" si="402"/>
        <v>2023</v>
      </c>
      <c r="M8589" t="str">
        <f t="shared" si="403"/>
        <v>Jun</v>
      </c>
      <c r="N8589" s="2">
        <f t="shared" si="404"/>
        <v>9.9271287240141087E-2</v>
      </c>
    </row>
    <row r="8590" spans="1:14" x14ac:dyDescent="0.45">
      <c r="A8590" t="s">
        <v>14198</v>
      </c>
      <c r="B8590" s="1">
        <v>44673</v>
      </c>
      <c r="C8590" t="s">
        <v>5792</v>
      </c>
      <c r="D8590" t="s">
        <v>26</v>
      </c>
      <c r="E8590" t="s">
        <v>14</v>
      </c>
      <c r="F8590" t="s">
        <v>15</v>
      </c>
      <c r="G8590">
        <v>5</v>
      </c>
      <c r="H8590">
        <v>24436.76</v>
      </c>
      <c r="I8590">
        <v>5932.71</v>
      </c>
      <c r="J8590" t="s">
        <v>28</v>
      </c>
      <c r="K8590" t="s">
        <v>33</v>
      </c>
      <c r="L8590">
        <f t="shared" si="402"/>
        <v>2022</v>
      </c>
      <c r="M8590" t="str">
        <f t="shared" si="403"/>
        <v>Apr</v>
      </c>
      <c r="N8590" s="2">
        <f t="shared" si="404"/>
        <v>0.24277809333152187</v>
      </c>
    </row>
    <row r="8591" spans="1:14" x14ac:dyDescent="0.45">
      <c r="A8591" t="s">
        <v>14199</v>
      </c>
      <c r="B8591" s="1">
        <v>44691</v>
      </c>
      <c r="C8591" t="s">
        <v>14200</v>
      </c>
      <c r="D8591" t="s">
        <v>26</v>
      </c>
      <c r="E8591" t="s">
        <v>36</v>
      </c>
      <c r="F8591" t="s">
        <v>37</v>
      </c>
      <c r="G8591">
        <v>1</v>
      </c>
      <c r="H8591">
        <v>46023.199999999997</v>
      </c>
      <c r="I8591">
        <v>4390.29</v>
      </c>
      <c r="J8591" t="s">
        <v>16</v>
      </c>
      <c r="K8591" t="s">
        <v>17</v>
      </c>
      <c r="L8591">
        <f t="shared" si="402"/>
        <v>2022</v>
      </c>
      <c r="M8591" t="str">
        <f t="shared" si="403"/>
        <v>May</v>
      </c>
      <c r="N8591" s="2">
        <f t="shared" si="404"/>
        <v>9.5392975716595108E-2</v>
      </c>
    </row>
    <row r="8592" spans="1:14" x14ac:dyDescent="0.45">
      <c r="A8592" t="s">
        <v>14201</v>
      </c>
      <c r="B8592" s="1">
        <v>44680</v>
      </c>
      <c r="C8592" t="s">
        <v>6525</v>
      </c>
      <c r="D8592" t="s">
        <v>56</v>
      </c>
      <c r="E8592" t="s">
        <v>14</v>
      </c>
      <c r="F8592" t="s">
        <v>40</v>
      </c>
      <c r="G8592">
        <v>1</v>
      </c>
      <c r="H8592">
        <v>41329</v>
      </c>
      <c r="I8592">
        <v>3358.79</v>
      </c>
      <c r="J8592" t="s">
        <v>71</v>
      </c>
      <c r="K8592" t="s">
        <v>23</v>
      </c>
      <c r="L8592">
        <f t="shared" si="402"/>
        <v>2022</v>
      </c>
      <c r="M8592" t="str">
        <f t="shared" si="403"/>
        <v>Apr</v>
      </c>
      <c r="N8592" s="2">
        <f t="shared" si="404"/>
        <v>8.1269568583803145E-2</v>
      </c>
    </row>
    <row r="8593" spans="1:14" x14ac:dyDescent="0.45">
      <c r="A8593" t="s">
        <v>14202</v>
      </c>
      <c r="B8593" s="1">
        <v>45070</v>
      </c>
      <c r="C8593" t="s">
        <v>5297</v>
      </c>
      <c r="D8593" t="s">
        <v>26</v>
      </c>
      <c r="E8593" t="s">
        <v>20</v>
      </c>
      <c r="F8593" t="s">
        <v>43</v>
      </c>
      <c r="G8593">
        <v>5</v>
      </c>
      <c r="H8593">
        <v>8199.0400000000009</v>
      </c>
      <c r="I8593">
        <v>423.83</v>
      </c>
      <c r="J8593" t="s">
        <v>28</v>
      </c>
      <c r="K8593" t="s">
        <v>17</v>
      </c>
      <c r="L8593">
        <f t="shared" si="402"/>
        <v>2023</v>
      </c>
      <c r="M8593" t="str">
        <f t="shared" si="403"/>
        <v>May</v>
      </c>
      <c r="N8593" s="2">
        <f t="shared" si="404"/>
        <v>5.1692637186792595E-2</v>
      </c>
    </row>
    <row r="8594" spans="1:14" x14ac:dyDescent="0.45">
      <c r="A8594" t="s">
        <v>14203</v>
      </c>
      <c r="B8594" s="1">
        <v>45474</v>
      </c>
      <c r="C8594" t="s">
        <v>2412</v>
      </c>
      <c r="D8594" t="s">
        <v>13</v>
      </c>
      <c r="E8594" t="s">
        <v>36</v>
      </c>
      <c r="F8594" t="s">
        <v>37</v>
      </c>
      <c r="G8594">
        <v>3</v>
      </c>
      <c r="H8594">
        <v>35584.44</v>
      </c>
      <c r="I8594">
        <v>3533.6</v>
      </c>
      <c r="J8594" t="s">
        <v>22</v>
      </c>
      <c r="K8594" t="s">
        <v>17</v>
      </c>
      <c r="L8594">
        <f t="shared" si="402"/>
        <v>2024</v>
      </c>
      <c r="M8594" t="str">
        <f t="shared" si="403"/>
        <v>Jul</v>
      </c>
      <c r="N8594" s="2">
        <f t="shared" si="404"/>
        <v>9.9301829676116851E-2</v>
      </c>
    </row>
    <row r="8595" spans="1:14" x14ac:dyDescent="0.45">
      <c r="A8595" t="s">
        <v>14204</v>
      </c>
      <c r="B8595" s="1">
        <v>45035</v>
      </c>
      <c r="C8595" t="s">
        <v>14205</v>
      </c>
      <c r="D8595" t="s">
        <v>56</v>
      </c>
      <c r="E8595" t="s">
        <v>20</v>
      </c>
      <c r="F8595" t="s">
        <v>27</v>
      </c>
      <c r="G8595">
        <v>3</v>
      </c>
      <c r="H8595">
        <v>34007.43</v>
      </c>
      <c r="I8595">
        <v>6600.43</v>
      </c>
      <c r="J8595" t="s">
        <v>28</v>
      </c>
      <c r="K8595" t="s">
        <v>23</v>
      </c>
      <c r="L8595">
        <f t="shared" si="402"/>
        <v>2023</v>
      </c>
      <c r="M8595" t="str">
        <f t="shared" si="403"/>
        <v>Apr</v>
      </c>
      <c r="N8595" s="2">
        <f t="shared" si="404"/>
        <v>0.19408788020735471</v>
      </c>
    </row>
    <row r="8596" spans="1:14" x14ac:dyDescent="0.45">
      <c r="A8596" t="s">
        <v>14206</v>
      </c>
      <c r="B8596" s="1">
        <v>44991</v>
      </c>
      <c r="C8596" t="s">
        <v>14207</v>
      </c>
      <c r="D8596" t="s">
        <v>56</v>
      </c>
      <c r="E8596" t="s">
        <v>14</v>
      </c>
      <c r="F8596" t="s">
        <v>40</v>
      </c>
      <c r="G8596">
        <v>2</v>
      </c>
      <c r="H8596">
        <v>22394.36</v>
      </c>
      <c r="I8596">
        <v>4447.5600000000004</v>
      </c>
      <c r="J8596" t="s">
        <v>28</v>
      </c>
      <c r="K8596" t="s">
        <v>33</v>
      </c>
      <c r="L8596">
        <f t="shared" si="402"/>
        <v>2023</v>
      </c>
      <c r="M8596" t="str">
        <f t="shared" si="403"/>
        <v>Mar</v>
      </c>
      <c r="N8596" s="2">
        <f t="shared" si="404"/>
        <v>0.19860179080804274</v>
      </c>
    </row>
    <row r="8597" spans="1:14" x14ac:dyDescent="0.45">
      <c r="A8597" t="s">
        <v>14208</v>
      </c>
      <c r="B8597" s="1">
        <v>45406</v>
      </c>
      <c r="C8597" t="s">
        <v>2539</v>
      </c>
      <c r="D8597" t="s">
        <v>26</v>
      </c>
      <c r="E8597" t="s">
        <v>14</v>
      </c>
      <c r="F8597" t="s">
        <v>40</v>
      </c>
      <c r="G8597">
        <v>4</v>
      </c>
      <c r="H8597">
        <v>22828.33</v>
      </c>
      <c r="I8597">
        <v>4547.28</v>
      </c>
      <c r="J8597" t="s">
        <v>47</v>
      </c>
      <c r="K8597" t="s">
        <v>23</v>
      </c>
      <c r="L8597">
        <f t="shared" si="402"/>
        <v>2024</v>
      </c>
      <c r="M8597" t="str">
        <f t="shared" si="403"/>
        <v>Apr</v>
      </c>
      <c r="N8597" s="2">
        <f t="shared" si="404"/>
        <v>0.19919459723948266</v>
      </c>
    </row>
    <row r="8598" spans="1:14" x14ac:dyDescent="0.45">
      <c r="A8598" t="s">
        <v>14209</v>
      </c>
      <c r="B8598" s="1">
        <v>45207</v>
      </c>
      <c r="C8598" t="s">
        <v>3121</v>
      </c>
      <c r="D8598" t="s">
        <v>56</v>
      </c>
      <c r="E8598" t="s">
        <v>14</v>
      </c>
      <c r="F8598" t="s">
        <v>32</v>
      </c>
      <c r="G8598">
        <v>3</v>
      </c>
      <c r="H8598">
        <v>47314.47</v>
      </c>
      <c r="I8598">
        <v>2408.37</v>
      </c>
      <c r="J8598" t="s">
        <v>22</v>
      </c>
      <c r="K8598" t="s">
        <v>33</v>
      </c>
      <c r="L8598">
        <f t="shared" si="402"/>
        <v>2023</v>
      </c>
      <c r="M8598" t="str">
        <f t="shared" si="403"/>
        <v>Oct</v>
      </c>
      <c r="N8598" s="2">
        <f t="shared" si="404"/>
        <v>5.0901341598035436E-2</v>
      </c>
    </row>
    <row r="8599" spans="1:14" x14ac:dyDescent="0.45">
      <c r="A8599" t="s">
        <v>14210</v>
      </c>
      <c r="B8599" s="1">
        <v>45416</v>
      </c>
      <c r="C8599" t="s">
        <v>5587</v>
      </c>
      <c r="D8599" t="s">
        <v>26</v>
      </c>
      <c r="E8599" t="s">
        <v>20</v>
      </c>
      <c r="F8599" t="s">
        <v>21</v>
      </c>
      <c r="G8599">
        <v>4</v>
      </c>
      <c r="H8599">
        <v>42592.54</v>
      </c>
      <c r="I8599">
        <v>8301.48</v>
      </c>
      <c r="J8599" t="s">
        <v>16</v>
      </c>
      <c r="K8599" t="s">
        <v>29</v>
      </c>
      <c r="L8599">
        <f t="shared" si="402"/>
        <v>2024</v>
      </c>
      <c r="M8599" t="str">
        <f t="shared" si="403"/>
        <v>May</v>
      </c>
      <c r="N8599" s="2">
        <f t="shared" si="404"/>
        <v>0.19490455370823151</v>
      </c>
    </row>
    <row r="8600" spans="1:14" x14ac:dyDescent="0.45">
      <c r="A8600" t="s">
        <v>14211</v>
      </c>
      <c r="B8600" s="1">
        <v>45401</v>
      </c>
      <c r="C8600" t="s">
        <v>688</v>
      </c>
      <c r="D8600" t="s">
        <v>26</v>
      </c>
      <c r="E8600" t="s">
        <v>20</v>
      </c>
      <c r="F8600" t="s">
        <v>50</v>
      </c>
      <c r="G8600">
        <v>1</v>
      </c>
      <c r="H8600">
        <v>19352.580000000002</v>
      </c>
      <c r="I8600">
        <v>4706.57</v>
      </c>
      <c r="J8600" t="s">
        <v>28</v>
      </c>
      <c r="K8600" t="s">
        <v>23</v>
      </c>
      <c r="L8600">
        <f t="shared" si="402"/>
        <v>2024</v>
      </c>
      <c r="M8600" t="str">
        <f t="shared" si="403"/>
        <v>Apr</v>
      </c>
      <c r="N8600" s="2">
        <f t="shared" si="404"/>
        <v>0.24320116490927821</v>
      </c>
    </row>
    <row r="8601" spans="1:14" x14ac:dyDescent="0.45">
      <c r="A8601" t="s">
        <v>14212</v>
      </c>
      <c r="B8601" s="1">
        <v>45004</v>
      </c>
      <c r="C8601" t="s">
        <v>14213</v>
      </c>
      <c r="D8601" t="s">
        <v>13</v>
      </c>
      <c r="E8601" t="s">
        <v>20</v>
      </c>
      <c r="F8601" t="s">
        <v>43</v>
      </c>
      <c r="G8601">
        <v>5</v>
      </c>
      <c r="H8601">
        <v>40678.43</v>
      </c>
      <c r="I8601">
        <v>5624.15</v>
      </c>
      <c r="J8601" t="s">
        <v>47</v>
      </c>
      <c r="K8601" t="s">
        <v>33</v>
      </c>
      <c r="L8601">
        <f t="shared" si="402"/>
        <v>2023</v>
      </c>
      <c r="M8601" t="str">
        <f t="shared" si="403"/>
        <v>Mar</v>
      </c>
      <c r="N8601" s="2">
        <f t="shared" si="404"/>
        <v>0.13825877744052559</v>
      </c>
    </row>
    <row r="8602" spans="1:14" x14ac:dyDescent="0.45">
      <c r="A8602" t="s">
        <v>14214</v>
      </c>
      <c r="B8602" s="1">
        <v>45493</v>
      </c>
      <c r="C8602" t="s">
        <v>14215</v>
      </c>
      <c r="D8602" t="s">
        <v>13</v>
      </c>
      <c r="E8602" t="s">
        <v>20</v>
      </c>
      <c r="F8602" t="s">
        <v>50</v>
      </c>
      <c r="G8602">
        <v>2</v>
      </c>
      <c r="H8602">
        <v>33766.86</v>
      </c>
      <c r="I8602">
        <v>7904.32</v>
      </c>
      <c r="J8602" t="s">
        <v>28</v>
      </c>
      <c r="K8602" t="s">
        <v>23</v>
      </c>
      <c r="L8602">
        <f t="shared" si="402"/>
        <v>2024</v>
      </c>
      <c r="M8602" t="str">
        <f t="shared" si="403"/>
        <v>Jul</v>
      </c>
      <c r="N8602" s="2">
        <f t="shared" si="404"/>
        <v>0.23408513554414001</v>
      </c>
    </row>
    <row r="8603" spans="1:14" x14ac:dyDescent="0.45">
      <c r="A8603" t="s">
        <v>14216</v>
      </c>
      <c r="B8603" s="1">
        <v>45229</v>
      </c>
      <c r="C8603" t="s">
        <v>7182</v>
      </c>
      <c r="D8603" t="s">
        <v>26</v>
      </c>
      <c r="E8603" t="s">
        <v>36</v>
      </c>
      <c r="F8603" t="s">
        <v>37</v>
      </c>
      <c r="G8603">
        <v>4</v>
      </c>
      <c r="H8603">
        <v>45248.75</v>
      </c>
      <c r="I8603">
        <v>11053.87</v>
      </c>
      <c r="J8603" t="s">
        <v>71</v>
      </c>
      <c r="K8603" t="s">
        <v>33</v>
      </c>
      <c r="L8603">
        <f t="shared" si="402"/>
        <v>2023</v>
      </c>
      <c r="M8603" t="str">
        <f t="shared" si="403"/>
        <v>Oct</v>
      </c>
      <c r="N8603" s="2">
        <f t="shared" si="404"/>
        <v>0.24429116826431671</v>
      </c>
    </row>
    <row r="8604" spans="1:14" x14ac:dyDescent="0.45">
      <c r="A8604" t="s">
        <v>14217</v>
      </c>
      <c r="B8604" s="1">
        <v>44954</v>
      </c>
      <c r="C8604" t="s">
        <v>5583</v>
      </c>
      <c r="D8604" t="s">
        <v>13</v>
      </c>
      <c r="E8604" t="s">
        <v>36</v>
      </c>
      <c r="F8604" t="s">
        <v>37</v>
      </c>
      <c r="G8604">
        <v>3</v>
      </c>
      <c r="H8604">
        <v>49172.480000000003</v>
      </c>
      <c r="I8604">
        <v>11022.65</v>
      </c>
      <c r="J8604" t="s">
        <v>22</v>
      </c>
      <c r="K8604" t="s">
        <v>33</v>
      </c>
      <c r="L8604">
        <f t="shared" si="402"/>
        <v>2023</v>
      </c>
      <c r="M8604" t="str">
        <f t="shared" si="403"/>
        <v>Jan</v>
      </c>
      <c r="N8604" s="2">
        <f t="shared" si="404"/>
        <v>0.22416298710172841</v>
      </c>
    </row>
    <row r="8605" spans="1:14" x14ac:dyDescent="0.45">
      <c r="A8605" t="s">
        <v>14218</v>
      </c>
      <c r="B8605" s="1">
        <v>44944</v>
      </c>
      <c r="C8605" t="s">
        <v>12850</v>
      </c>
      <c r="D8605" t="s">
        <v>13</v>
      </c>
      <c r="E8605" t="s">
        <v>14</v>
      </c>
      <c r="F8605" t="s">
        <v>32</v>
      </c>
      <c r="G8605">
        <v>1</v>
      </c>
      <c r="H8605">
        <v>45127.32</v>
      </c>
      <c r="I8605">
        <v>9300.15</v>
      </c>
      <c r="J8605" t="s">
        <v>22</v>
      </c>
      <c r="K8605" t="s">
        <v>29</v>
      </c>
      <c r="L8605">
        <f t="shared" si="402"/>
        <v>2023</v>
      </c>
      <c r="M8605" t="str">
        <f t="shared" si="403"/>
        <v>Jan</v>
      </c>
      <c r="N8605" s="2">
        <f t="shared" si="404"/>
        <v>0.20608691143192195</v>
      </c>
    </row>
    <row r="8606" spans="1:14" x14ac:dyDescent="0.45">
      <c r="A8606" t="s">
        <v>14219</v>
      </c>
      <c r="B8606" s="1">
        <v>45492</v>
      </c>
      <c r="C8606" t="s">
        <v>14220</v>
      </c>
      <c r="D8606" t="s">
        <v>56</v>
      </c>
      <c r="E8606" t="s">
        <v>36</v>
      </c>
      <c r="F8606" t="s">
        <v>64</v>
      </c>
      <c r="G8606">
        <v>2</v>
      </c>
      <c r="H8606">
        <v>18530.73</v>
      </c>
      <c r="I8606">
        <v>2091.7399999999998</v>
      </c>
      <c r="J8606" t="s">
        <v>22</v>
      </c>
      <c r="K8606" t="s">
        <v>29</v>
      </c>
      <c r="L8606">
        <f t="shared" si="402"/>
        <v>2024</v>
      </c>
      <c r="M8606" t="str">
        <f t="shared" si="403"/>
        <v>Jul</v>
      </c>
      <c r="N8606" s="2">
        <f t="shared" si="404"/>
        <v>0.11287952498363528</v>
      </c>
    </row>
    <row r="8607" spans="1:14" x14ac:dyDescent="0.45">
      <c r="A8607" t="s">
        <v>14221</v>
      </c>
      <c r="B8607" s="1">
        <v>44852</v>
      </c>
      <c r="C8607" t="s">
        <v>14222</v>
      </c>
      <c r="D8607" t="s">
        <v>26</v>
      </c>
      <c r="E8607" t="s">
        <v>20</v>
      </c>
      <c r="F8607" t="s">
        <v>50</v>
      </c>
      <c r="G8607">
        <v>3</v>
      </c>
      <c r="H8607">
        <v>31472.15</v>
      </c>
      <c r="I8607">
        <v>2856.51</v>
      </c>
      <c r="J8607" t="s">
        <v>71</v>
      </c>
      <c r="K8607" t="s">
        <v>33</v>
      </c>
      <c r="L8607">
        <f t="shared" si="402"/>
        <v>2022</v>
      </c>
      <c r="M8607" t="str">
        <f t="shared" si="403"/>
        <v>Oct</v>
      </c>
      <c r="N8607" s="2">
        <f t="shared" si="404"/>
        <v>9.0763103251604998E-2</v>
      </c>
    </row>
    <row r="8608" spans="1:14" x14ac:dyDescent="0.45">
      <c r="A8608" t="s">
        <v>14223</v>
      </c>
      <c r="B8608" s="1">
        <v>45322</v>
      </c>
      <c r="C8608" t="s">
        <v>14224</v>
      </c>
      <c r="D8608" t="s">
        <v>13</v>
      </c>
      <c r="E8608" t="s">
        <v>36</v>
      </c>
      <c r="F8608" t="s">
        <v>46</v>
      </c>
      <c r="G8608">
        <v>2</v>
      </c>
      <c r="H8608">
        <v>38851.06</v>
      </c>
      <c r="I8608">
        <v>4724.28</v>
      </c>
      <c r="J8608" t="s">
        <v>71</v>
      </c>
      <c r="K8608" t="s">
        <v>33</v>
      </c>
      <c r="L8608">
        <f t="shared" si="402"/>
        <v>2024</v>
      </c>
      <c r="M8608" t="str">
        <f t="shared" si="403"/>
        <v>Jan</v>
      </c>
      <c r="N8608" s="2">
        <f t="shared" si="404"/>
        <v>0.12159977102297853</v>
      </c>
    </row>
    <row r="8609" spans="1:14" x14ac:dyDescent="0.45">
      <c r="A8609" t="s">
        <v>14225</v>
      </c>
      <c r="B8609" s="1">
        <v>44925</v>
      </c>
      <c r="C8609" t="s">
        <v>14226</v>
      </c>
      <c r="D8609" t="s">
        <v>56</v>
      </c>
      <c r="E8609" t="s">
        <v>20</v>
      </c>
      <c r="F8609" t="s">
        <v>50</v>
      </c>
      <c r="G8609">
        <v>2</v>
      </c>
      <c r="H8609">
        <v>44890.559999999998</v>
      </c>
      <c r="I8609">
        <v>3994.09</v>
      </c>
      <c r="J8609" t="s">
        <v>16</v>
      </c>
      <c r="K8609" t="s">
        <v>23</v>
      </c>
      <c r="L8609">
        <f t="shared" si="402"/>
        <v>2022</v>
      </c>
      <c r="M8609" t="str">
        <f t="shared" si="403"/>
        <v>Dec</v>
      </c>
      <c r="N8609" s="2">
        <f t="shared" si="404"/>
        <v>8.8973940178068631E-2</v>
      </c>
    </row>
    <row r="8610" spans="1:14" x14ac:dyDescent="0.45">
      <c r="A8610" t="s">
        <v>14227</v>
      </c>
      <c r="B8610" s="1">
        <v>44934</v>
      </c>
      <c r="C8610" t="s">
        <v>14228</v>
      </c>
      <c r="D8610" t="s">
        <v>13</v>
      </c>
      <c r="E8610" t="s">
        <v>14</v>
      </c>
      <c r="F8610" t="s">
        <v>32</v>
      </c>
      <c r="G8610">
        <v>2</v>
      </c>
      <c r="H8610">
        <v>15786.1</v>
      </c>
      <c r="I8610">
        <v>1372.01</v>
      </c>
      <c r="J8610" t="s">
        <v>22</v>
      </c>
      <c r="K8610" t="s">
        <v>17</v>
      </c>
      <c r="L8610">
        <f t="shared" si="402"/>
        <v>2023</v>
      </c>
      <c r="M8610" t="str">
        <f t="shared" si="403"/>
        <v>Jan</v>
      </c>
      <c r="N8610" s="2">
        <f t="shared" si="404"/>
        <v>8.6912536978734453E-2</v>
      </c>
    </row>
    <row r="8611" spans="1:14" x14ac:dyDescent="0.45">
      <c r="A8611" t="s">
        <v>14229</v>
      </c>
      <c r="B8611" s="1">
        <v>45409</v>
      </c>
      <c r="C8611" t="s">
        <v>14230</v>
      </c>
      <c r="D8611" t="s">
        <v>56</v>
      </c>
      <c r="E8611" t="s">
        <v>20</v>
      </c>
      <c r="F8611" t="s">
        <v>27</v>
      </c>
      <c r="G8611">
        <v>4</v>
      </c>
      <c r="H8611">
        <v>12360.4</v>
      </c>
      <c r="I8611">
        <v>1176.7</v>
      </c>
      <c r="J8611" t="s">
        <v>47</v>
      </c>
      <c r="K8611" t="s">
        <v>33</v>
      </c>
      <c r="L8611">
        <f t="shared" si="402"/>
        <v>2024</v>
      </c>
      <c r="M8611" t="str">
        <f t="shared" si="403"/>
        <v>Apr</v>
      </c>
      <c r="N8611" s="2">
        <f t="shared" si="404"/>
        <v>9.5199184492411257E-2</v>
      </c>
    </row>
    <row r="8612" spans="1:14" x14ac:dyDescent="0.45">
      <c r="A8612" t="s">
        <v>14231</v>
      </c>
      <c r="B8612" s="1">
        <v>44737</v>
      </c>
      <c r="C8612" t="s">
        <v>6572</v>
      </c>
      <c r="D8612" t="s">
        <v>26</v>
      </c>
      <c r="E8612" t="s">
        <v>20</v>
      </c>
      <c r="F8612" t="s">
        <v>50</v>
      </c>
      <c r="G8612">
        <v>5</v>
      </c>
      <c r="H8612">
        <v>1046.58</v>
      </c>
      <c r="I8612">
        <v>86.44</v>
      </c>
      <c r="J8612" t="s">
        <v>47</v>
      </c>
      <c r="K8612" t="s">
        <v>17</v>
      </c>
      <c r="L8612">
        <f t="shared" si="402"/>
        <v>2022</v>
      </c>
      <c r="M8612" t="str">
        <f t="shared" si="403"/>
        <v>Jun</v>
      </c>
      <c r="N8612" s="2">
        <f t="shared" si="404"/>
        <v>8.2592826157579929E-2</v>
      </c>
    </row>
    <row r="8613" spans="1:14" x14ac:dyDescent="0.45">
      <c r="A8613" t="s">
        <v>14232</v>
      </c>
      <c r="B8613" s="1">
        <v>45058</v>
      </c>
      <c r="C8613" t="s">
        <v>6561</v>
      </c>
      <c r="D8613" t="s">
        <v>13</v>
      </c>
      <c r="E8613" t="s">
        <v>36</v>
      </c>
      <c r="F8613" t="s">
        <v>53</v>
      </c>
      <c r="G8613">
        <v>3</v>
      </c>
      <c r="H8613">
        <v>21623.09</v>
      </c>
      <c r="I8613">
        <v>1352.95</v>
      </c>
      <c r="J8613" t="s">
        <v>71</v>
      </c>
      <c r="K8613" t="s">
        <v>29</v>
      </c>
      <c r="L8613">
        <f t="shared" si="402"/>
        <v>2023</v>
      </c>
      <c r="M8613" t="str">
        <f t="shared" si="403"/>
        <v>May</v>
      </c>
      <c r="N8613" s="2">
        <f t="shared" si="404"/>
        <v>6.2569688236047666E-2</v>
      </c>
    </row>
    <row r="8614" spans="1:14" x14ac:dyDescent="0.45">
      <c r="A8614" t="s">
        <v>14233</v>
      </c>
      <c r="B8614" s="1">
        <v>45639</v>
      </c>
      <c r="C8614" t="s">
        <v>14234</v>
      </c>
      <c r="D8614" t="s">
        <v>26</v>
      </c>
      <c r="E8614" t="s">
        <v>14</v>
      </c>
      <c r="F8614" t="s">
        <v>40</v>
      </c>
      <c r="G8614">
        <v>2</v>
      </c>
      <c r="H8614">
        <v>26982.59</v>
      </c>
      <c r="I8614">
        <v>3202.8</v>
      </c>
      <c r="J8614" t="s">
        <v>71</v>
      </c>
      <c r="K8614" t="s">
        <v>23</v>
      </c>
      <c r="L8614">
        <f t="shared" si="402"/>
        <v>2024</v>
      </c>
      <c r="M8614" t="str">
        <f t="shared" si="403"/>
        <v>Dec</v>
      </c>
      <c r="N8614" s="2">
        <f t="shared" si="404"/>
        <v>0.11869876094177764</v>
      </c>
    </row>
    <row r="8615" spans="1:14" x14ac:dyDescent="0.45">
      <c r="A8615" t="s">
        <v>14235</v>
      </c>
      <c r="B8615" s="1">
        <v>44813</v>
      </c>
      <c r="C8615" t="s">
        <v>14236</v>
      </c>
      <c r="D8615" t="s">
        <v>13</v>
      </c>
      <c r="E8615" t="s">
        <v>14</v>
      </c>
      <c r="F8615" t="s">
        <v>32</v>
      </c>
      <c r="G8615">
        <v>3</v>
      </c>
      <c r="H8615">
        <v>4057.39</v>
      </c>
      <c r="I8615">
        <v>759.35</v>
      </c>
      <c r="J8615" t="s">
        <v>47</v>
      </c>
      <c r="K8615" t="s">
        <v>29</v>
      </c>
      <c r="L8615">
        <f t="shared" si="402"/>
        <v>2022</v>
      </c>
      <c r="M8615" t="str">
        <f t="shared" si="403"/>
        <v>Sep</v>
      </c>
      <c r="N8615" s="2">
        <f t="shared" si="404"/>
        <v>0.18715233191780925</v>
      </c>
    </row>
    <row r="8616" spans="1:14" x14ac:dyDescent="0.45">
      <c r="A8616" t="s">
        <v>14237</v>
      </c>
      <c r="B8616" s="1">
        <v>44849</v>
      </c>
      <c r="C8616" t="s">
        <v>2382</v>
      </c>
      <c r="D8616" t="s">
        <v>13</v>
      </c>
      <c r="E8616" t="s">
        <v>36</v>
      </c>
      <c r="F8616" t="s">
        <v>37</v>
      </c>
      <c r="G8616">
        <v>4</v>
      </c>
      <c r="H8616">
        <v>20213.97</v>
      </c>
      <c r="I8616">
        <v>2258.04</v>
      </c>
      <c r="J8616" t="s">
        <v>47</v>
      </c>
      <c r="K8616" t="s">
        <v>33</v>
      </c>
      <c r="L8616">
        <f t="shared" si="402"/>
        <v>2022</v>
      </c>
      <c r="M8616" t="str">
        <f t="shared" si="403"/>
        <v>Oct</v>
      </c>
      <c r="N8616" s="2">
        <f t="shared" si="404"/>
        <v>0.11170690369086329</v>
      </c>
    </row>
    <row r="8617" spans="1:14" x14ac:dyDescent="0.45">
      <c r="A8617" t="s">
        <v>14238</v>
      </c>
      <c r="B8617" s="1">
        <v>45127</v>
      </c>
      <c r="C8617" t="s">
        <v>14239</v>
      </c>
      <c r="D8617" t="s">
        <v>56</v>
      </c>
      <c r="E8617" t="s">
        <v>20</v>
      </c>
      <c r="F8617" t="s">
        <v>27</v>
      </c>
      <c r="G8617">
        <v>2</v>
      </c>
      <c r="H8617">
        <v>28051.82</v>
      </c>
      <c r="I8617">
        <v>3083.63</v>
      </c>
      <c r="J8617" t="s">
        <v>22</v>
      </c>
      <c r="K8617" t="s">
        <v>17</v>
      </c>
      <c r="L8617">
        <f t="shared" si="402"/>
        <v>2023</v>
      </c>
      <c r="M8617" t="str">
        <f t="shared" si="403"/>
        <v>Jul</v>
      </c>
      <c r="N8617" s="2">
        <f t="shared" si="404"/>
        <v>0.10992620086682434</v>
      </c>
    </row>
    <row r="8618" spans="1:14" x14ac:dyDescent="0.45">
      <c r="A8618" t="s">
        <v>14240</v>
      </c>
      <c r="B8618" s="1">
        <v>44680</v>
      </c>
      <c r="C8618" t="s">
        <v>6964</v>
      </c>
      <c r="D8618" t="s">
        <v>56</v>
      </c>
      <c r="E8618" t="s">
        <v>36</v>
      </c>
      <c r="F8618" t="s">
        <v>46</v>
      </c>
      <c r="G8618">
        <v>4</v>
      </c>
      <c r="H8618">
        <v>42423.13</v>
      </c>
      <c r="I8618">
        <v>9946.9</v>
      </c>
      <c r="J8618" t="s">
        <v>22</v>
      </c>
      <c r="K8618" t="s">
        <v>17</v>
      </c>
      <c r="L8618">
        <f t="shared" si="402"/>
        <v>2022</v>
      </c>
      <c r="M8618" t="str">
        <f t="shared" si="403"/>
        <v>Apr</v>
      </c>
      <c r="N8618" s="2">
        <f t="shared" si="404"/>
        <v>0.23446879096379736</v>
      </c>
    </row>
    <row r="8619" spans="1:14" x14ac:dyDescent="0.45">
      <c r="A8619" t="s">
        <v>14241</v>
      </c>
      <c r="B8619" s="1">
        <v>45214</v>
      </c>
      <c r="C8619" t="s">
        <v>5652</v>
      </c>
      <c r="D8619" t="s">
        <v>26</v>
      </c>
      <c r="E8619" t="s">
        <v>36</v>
      </c>
      <c r="F8619" t="s">
        <v>46</v>
      </c>
      <c r="G8619">
        <v>3</v>
      </c>
      <c r="H8619">
        <v>4889.2299999999996</v>
      </c>
      <c r="I8619">
        <v>978.04</v>
      </c>
      <c r="J8619" t="s">
        <v>71</v>
      </c>
      <c r="K8619" t="s">
        <v>17</v>
      </c>
      <c r="L8619">
        <f t="shared" si="402"/>
        <v>2023</v>
      </c>
      <c r="M8619" t="str">
        <f t="shared" si="403"/>
        <v>Oct</v>
      </c>
      <c r="N8619" s="2">
        <f t="shared" si="404"/>
        <v>0.20003967904966632</v>
      </c>
    </row>
    <row r="8620" spans="1:14" x14ac:dyDescent="0.45">
      <c r="A8620" t="s">
        <v>14242</v>
      </c>
      <c r="B8620" s="1">
        <v>44880</v>
      </c>
      <c r="C8620" t="s">
        <v>5170</v>
      </c>
      <c r="D8620" t="s">
        <v>13</v>
      </c>
      <c r="E8620" t="s">
        <v>14</v>
      </c>
      <c r="F8620" t="s">
        <v>32</v>
      </c>
      <c r="G8620">
        <v>1</v>
      </c>
      <c r="H8620">
        <v>2087.19</v>
      </c>
      <c r="I8620">
        <v>520.05999999999995</v>
      </c>
      <c r="J8620" t="s">
        <v>47</v>
      </c>
      <c r="K8620" t="s">
        <v>33</v>
      </c>
      <c r="L8620">
        <f t="shared" si="402"/>
        <v>2022</v>
      </c>
      <c r="M8620" t="str">
        <f t="shared" si="403"/>
        <v>Nov</v>
      </c>
      <c r="N8620" s="2">
        <f t="shared" si="404"/>
        <v>0.24916754104801189</v>
      </c>
    </row>
    <row r="8621" spans="1:14" x14ac:dyDescent="0.45">
      <c r="A8621" t="s">
        <v>14243</v>
      </c>
      <c r="B8621" s="1">
        <v>45522</v>
      </c>
      <c r="C8621" t="s">
        <v>948</v>
      </c>
      <c r="D8621" t="s">
        <v>26</v>
      </c>
      <c r="E8621" t="s">
        <v>20</v>
      </c>
      <c r="F8621" t="s">
        <v>50</v>
      </c>
      <c r="G8621">
        <v>2</v>
      </c>
      <c r="H8621">
        <v>37200.550000000003</v>
      </c>
      <c r="I8621">
        <v>6586.49</v>
      </c>
      <c r="J8621" t="s">
        <v>22</v>
      </c>
      <c r="K8621" t="s">
        <v>23</v>
      </c>
      <c r="L8621">
        <f t="shared" si="402"/>
        <v>2024</v>
      </c>
      <c r="M8621" t="str">
        <f t="shared" si="403"/>
        <v>Aug</v>
      </c>
      <c r="N8621" s="2">
        <f t="shared" si="404"/>
        <v>0.17705356506825837</v>
      </c>
    </row>
    <row r="8622" spans="1:14" x14ac:dyDescent="0.45">
      <c r="A8622" t="s">
        <v>14244</v>
      </c>
      <c r="B8622" s="1">
        <v>45436</v>
      </c>
      <c r="C8622" t="s">
        <v>14245</v>
      </c>
      <c r="D8622" t="s">
        <v>56</v>
      </c>
      <c r="E8622" t="s">
        <v>14</v>
      </c>
      <c r="F8622" t="s">
        <v>57</v>
      </c>
      <c r="G8622">
        <v>3</v>
      </c>
      <c r="H8622">
        <v>26373.94</v>
      </c>
      <c r="I8622">
        <v>3110.8</v>
      </c>
      <c r="J8622" t="s">
        <v>71</v>
      </c>
      <c r="K8622" t="s">
        <v>23</v>
      </c>
      <c r="L8622">
        <f t="shared" si="402"/>
        <v>2024</v>
      </c>
      <c r="M8622" t="str">
        <f t="shared" si="403"/>
        <v>May</v>
      </c>
      <c r="N8622" s="2">
        <f t="shared" si="404"/>
        <v>0.11794976404738922</v>
      </c>
    </row>
    <row r="8623" spans="1:14" x14ac:dyDescent="0.45">
      <c r="A8623" t="s">
        <v>14246</v>
      </c>
      <c r="B8623" s="1">
        <v>45123</v>
      </c>
      <c r="C8623" t="s">
        <v>7607</v>
      </c>
      <c r="D8623" t="s">
        <v>56</v>
      </c>
      <c r="E8623" t="s">
        <v>20</v>
      </c>
      <c r="F8623" t="s">
        <v>43</v>
      </c>
      <c r="G8623">
        <v>4</v>
      </c>
      <c r="H8623">
        <v>24805.42</v>
      </c>
      <c r="I8623">
        <v>1333.93</v>
      </c>
      <c r="J8623" t="s">
        <v>16</v>
      </c>
      <c r="K8623" t="s">
        <v>23</v>
      </c>
      <c r="L8623">
        <f t="shared" si="402"/>
        <v>2023</v>
      </c>
      <c r="M8623" t="str">
        <f t="shared" si="403"/>
        <v>Jul</v>
      </c>
      <c r="N8623" s="2">
        <f t="shared" si="404"/>
        <v>5.3775747397141437E-2</v>
      </c>
    </row>
    <row r="8624" spans="1:14" x14ac:dyDescent="0.45">
      <c r="A8624" t="s">
        <v>14247</v>
      </c>
      <c r="B8624" s="1">
        <v>45250</v>
      </c>
      <c r="C8624" t="s">
        <v>2934</v>
      </c>
      <c r="D8624" t="s">
        <v>56</v>
      </c>
      <c r="E8624" t="s">
        <v>14</v>
      </c>
      <c r="F8624" t="s">
        <v>57</v>
      </c>
      <c r="G8624">
        <v>4</v>
      </c>
      <c r="H8624">
        <v>23422.51</v>
      </c>
      <c r="I8624">
        <v>3813.9</v>
      </c>
      <c r="J8624" t="s">
        <v>22</v>
      </c>
      <c r="K8624" t="s">
        <v>33</v>
      </c>
      <c r="L8624">
        <f t="shared" si="402"/>
        <v>2023</v>
      </c>
      <c r="M8624" t="str">
        <f t="shared" si="403"/>
        <v>Nov</v>
      </c>
      <c r="N8624" s="2">
        <f t="shared" si="404"/>
        <v>0.16283054207256184</v>
      </c>
    </row>
    <row r="8625" spans="1:14" x14ac:dyDescent="0.45">
      <c r="A8625" t="s">
        <v>14248</v>
      </c>
      <c r="B8625" s="1">
        <v>45000</v>
      </c>
      <c r="C8625" t="s">
        <v>11167</v>
      </c>
      <c r="D8625" t="s">
        <v>13</v>
      </c>
      <c r="E8625" t="s">
        <v>36</v>
      </c>
      <c r="F8625" t="s">
        <v>53</v>
      </c>
      <c r="G8625">
        <v>5</v>
      </c>
      <c r="H8625">
        <v>24435.03</v>
      </c>
      <c r="I8625">
        <v>3498.15</v>
      </c>
      <c r="J8625" t="s">
        <v>22</v>
      </c>
      <c r="K8625" t="s">
        <v>33</v>
      </c>
      <c r="L8625">
        <f t="shared" si="402"/>
        <v>2023</v>
      </c>
      <c r="M8625" t="str">
        <f t="shared" si="403"/>
        <v>Mar</v>
      </c>
      <c r="N8625" s="2">
        <f t="shared" si="404"/>
        <v>0.14316127297572379</v>
      </c>
    </row>
    <row r="8626" spans="1:14" x14ac:dyDescent="0.45">
      <c r="A8626" t="s">
        <v>14249</v>
      </c>
      <c r="B8626" s="1">
        <v>44980</v>
      </c>
      <c r="C8626" t="s">
        <v>14250</v>
      </c>
      <c r="D8626" t="s">
        <v>13</v>
      </c>
      <c r="E8626" t="s">
        <v>36</v>
      </c>
      <c r="F8626" t="s">
        <v>64</v>
      </c>
      <c r="G8626">
        <v>4</v>
      </c>
      <c r="H8626">
        <v>49185.23</v>
      </c>
      <c r="I8626">
        <v>7762.3</v>
      </c>
      <c r="J8626" t="s">
        <v>47</v>
      </c>
      <c r="K8626" t="s">
        <v>33</v>
      </c>
      <c r="L8626">
        <f t="shared" si="402"/>
        <v>2023</v>
      </c>
      <c r="M8626" t="str">
        <f t="shared" si="403"/>
        <v>Feb</v>
      </c>
      <c r="N8626" s="2">
        <f t="shared" si="404"/>
        <v>0.15781770259079808</v>
      </c>
    </row>
    <row r="8627" spans="1:14" x14ac:dyDescent="0.45">
      <c r="A8627" t="s">
        <v>14251</v>
      </c>
      <c r="B8627" s="1">
        <v>45295</v>
      </c>
      <c r="C8627" t="s">
        <v>14252</v>
      </c>
      <c r="D8627" t="s">
        <v>13</v>
      </c>
      <c r="E8627" t="s">
        <v>36</v>
      </c>
      <c r="F8627" t="s">
        <v>64</v>
      </c>
      <c r="G8627">
        <v>3</v>
      </c>
      <c r="H8627">
        <v>29040.46</v>
      </c>
      <c r="I8627">
        <v>6158.61</v>
      </c>
      <c r="J8627" t="s">
        <v>28</v>
      </c>
      <c r="K8627" t="s">
        <v>17</v>
      </c>
      <c r="L8627">
        <f t="shared" si="402"/>
        <v>2024</v>
      </c>
      <c r="M8627" t="str">
        <f t="shared" si="403"/>
        <v>Jan</v>
      </c>
      <c r="N8627" s="2">
        <f t="shared" si="404"/>
        <v>0.21206998787209294</v>
      </c>
    </row>
    <row r="8628" spans="1:14" x14ac:dyDescent="0.45">
      <c r="A8628" t="s">
        <v>14253</v>
      </c>
      <c r="B8628" s="1">
        <v>44818</v>
      </c>
      <c r="C8628" t="s">
        <v>12343</v>
      </c>
      <c r="D8628" t="s">
        <v>26</v>
      </c>
      <c r="E8628" t="s">
        <v>14</v>
      </c>
      <c r="F8628" t="s">
        <v>57</v>
      </c>
      <c r="G8628">
        <v>1</v>
      </c>
      <c r="H8628">
        <v>12733.94</v>
      </c>
      <c r="I8628">
        <v>1376.57</v>
      </c>
      <c r="J8628" t="s">
        <v>16</v>
      </c>
      <c r="K8628" t="s">
        <v>17</v>
      </c>
      <c r="L8628">
        <f t="shared" si="402"/>
        <v>2022</v>
      </c>
      <c r="M8628" t="str">
        <f t="shared" si="403"/>
        <v>Sep</v>
      </c>
      <c r="N8628" s="2">
        <f t="shared" si="404"/>
        <v>0.10810244119259238</v>
      </c>
    </row>
    <row r="8629" spans="1:14" x14ac:dyDescent="0.45">
      <c r="A8629" t="s">
        <v>14254</v>
      </c>
      <c r="B8629" s="1">
        <v>45159</v>
      </c>
      <c r="C8629" t="s">
        <v>14255</v>
      </c>
      <c r="D8629" t="s">
        <v>56</v>
      </c>
      <c r="E8629" t="s">
        <v>36</v>
      </c>
      <c r="F8629" t="s">
        <v>37</v>
      </c>
      <c r="G8629">
        <v>4</v>
      </c>
      <c r="H8629">
        <v>39032</v>
      </c>
      <c r="I8629">
        <v>6512.44</v>
      </c>
      <c r="J8629" t="s">
        <v>16</v>
      </c>
      <c r="K8629" t="s">
        <v>29</v>
      </c>
      <c r="L8629">
        <f t="shared" si="402"/>
        <v>2023</v>
      </c>
      <c r="M8629" t="str">
        <f t="shared" si="403"/>
        <v>Aug</v>
      </c>
      <c r="N8629" s="2">
        <f t="shared" si="404"/>
        <v>0.16684873949579831</v>
      </c>
    </row>
    <row r="8630" spans="1:14" x14ac:dyDescent="0.45">
      <c r="A8630" t="s">
        <v>14256</v>
      </c>
      <c r="B8630" s="1">
        <v>45516</v>
      </c>
      <c r="C8630" t="s">
        <v>14257</v>
      </c>
      <c r="D8630" t="s">
        <v>56</v>
      </c>
      <c r="E8630" t="s">
        <v>20</v>
      </c>
      <c r="F8630" t="s">
        <v>50</v>
      </c>
      <c r="G8630">
        <v>5</v>
      </c>
      <c r="H8630">
        <v>20074.98</v>
      </c>
      <c r="I8630">
        <v>1804.57</v>
      </c>
      <c r="J8630" t="s">
        <v>47</v>
      </c>
      <c r="K8630" t="s">
        <v>23</v>
      </c>
      <c r="L8630">
        <f t="shared" si="402"/>
        <v>2024</v>
      </c>
      <c r="M8630" t="str">
        <f t="shared" si="403"/>
        <v>Aug</v>
      </c>
      <c r="N8630" s="2">
        <f t="shared" si="404"/>
        <v>8.9891496778577107E-2</v>
      </c>
    </row>
    <row r="8631" spans="1:14" x14ac:dyDescent="0.45">
      <c r="A8631" t="s">
        <v>14258</v>
      </c>
      <c r="B8631" s="1">
        <v>44948</v>
      </c>
      <c r="C8631" t="s">
        <v>14259</v>
      </c>
      <c r="D8631" t="s">
        <v>26</v>
      </c>
      <c r="E8631" t="s">
        <v>20</v>
      </c>
      <c r="F8631" t="s">
        <v>50</v>
      </c>
      <c r="G8631">
        <v>4</v>
      </c>
      <c r="H8631">
        <v>27202.32</v>
      </c>
      <c r="I8631">
        <v>5560.15</v>
      </c>
      <c r="J8631" t="s">
        <v>71</v>
      </c>
      <c r="K8631" t="s">
        <v>17</v>
      </c>
      <c r="L8631">
        <f t="shared" si="402"/>
        <v>2023</v>
      </c>
      <c r="M8631" t="str">
        <f t="shared" si="403"/>
        <v>Jan</v>
      </c>
      <c r="N8631" s="2">
        <f t="shared" si="404"/>
        <v>0.20439984530731201</v>
      </c>
    </row>
    <row r="8632" spans="1:14" x14ac:dyDescent="0.45">
      <c r="A8632" t="s">
        <v>14260</v>
      </c>
      <c r="B8632" s="1">
        <v>45578</v>
      </c>
      <c r="C8632" t="s">
        <v>14261</v>
      </c>
      <c r="D8632" t="s">
        <v>26</v>
      </c>
      <c r="E8632" t="s">
        <v>20</v>
      </c>
      <c r="F8632" t="s">
        <v>27</v>
      </c>
      <c r="G8632">
        <v>1</v>
      </c>
      <c r="H8632">
        <v>25362.09</v>
      </c>
      <c r="I8632">
        <v>5826.83</v>
      </c>
      <c r="J8632" t="s">
        <v>47</v>
      </c>
      <c r="K8632" t="s">
        <v>33</v>
      </c>
      <c r="L8632">
        <f t="shared" si="402"/>
        <v>2024</v>
      </c>
      <c r="M8632" t="str">
        <f t="shared" si="403"/>
        <v>Oct</v>
      </c>
      <c r="N8632" s="2">
        <f t="shared" si="404"/>
        <v>0.22974565581937451</v>
      </c>
    </row>
    <row r="8633" spans="1:14" x14ac:dyDescent="0.45">
      <c r="A8633" t="s">
        <v>14262</v>
      </c>
      <c r="B8633" s="1">
        <v>45372</v>
      </c>
      <c r="C8633" t="s">
        <v>11760</v>
      </c>
      <c r="D8633" t="s">
        <v>13</v>
      </c>
      <c r="E8633" t="s">
        <v>36</v>
      </c>
      <c r="F8633" t="s">
        <v>37</v>
      </c>
      <c r="G8633">
        <v>2</v>
      </c>
      <c r="H8633">
        <v>10213.459999999999</v>
      </c>
      <c r="I8633">
        <v>2458.62</v>
      </c>
      <c r="J8633" t="s">
        <v>16</v>
      </c>
      <c r="K8633" t="s">
        <v>23</v>
      </c>
      <c r="L8633">
        <f t="shared" si="402"/>
        <v>2024</v>
      </c>
      <c r="M8633" t="str">
        <f t="shared" si="403"/>
        <v>Mar</v>
      </c>
      <c r="N8633" s="2">
        <f t="shared" si="404"/>
        <v>0.24072351583106999</v>
      </c>
    </row>
    <row r="8634" spans="1:14" x14ac:dyDescent="0.45">
      <c r="A8634" t="s">
        <v>14263</v>
      </c>
      <c r="B8634" s="1">
        <v>44688</v>
      </c>
      <c r="C8634" t="s">
        <v>3682</v>
      </c>
      <c r="D8634" t="s">
        <v>26</v>
      </c>
      <c r="E8634" t="s">
        <v>14</v>
      </c>
      <c r="F8634" t="s">
        <v>15</v>
      </c>
      <c r="G8634">
        <v>5</v>
      </c>
      <c r="H8634">
        <v>30313.23</v>
      </c>
      <c r="I8634">
        <v>4322.2700000000004</v>
      </c>
      <c r="J8634" t="s">
        <v>16</v>
      </c>
      <c r="K8634" t="s">
        <v>29</v>
      </c>
      <c r="L8634">
        <f t="shared" si="402"/>
        <v>2022</v>
      </c>
      <c r="M8634" t="str">
        <f t="shared" si="403"/>
        <v>May</v>
      </c>
      <c r="N8634" s="2">
        <f t="shared" si="404"/>
        <v>0.14258691666971815</v>
      </c>
    </row>
    <row r="8635" spans="1:14" x14ac:dyDescent="0.45">
      <c r="A8635" t="s">
        <v>14264</v>
      </c>
      <c r="B8635" s="1">
        <v>45345</v>
      </c>
      <c r="C8635" t="s">
        <v>14265</v>
      </c>
      <c r="D8635" t="s">
        <v>13</v>
      </c>
      <c r="E8635" t="s">
        <v>36</v>
      </c>
      <c r="F8635" t="s">
        <v>37</v>
      </c>
      <c r="G8635">
        <v>4</v>
      </c>
      <c r="H8635">
        <v>41250.769999999997</v>
      </c>
      <c r="I8635">
        <v>8507.82</v>
      </c>
      <c r="J8635" t="s">
        <v>28</v>
      </c>
      <c r="K8635" t="s">
        <v>17</v>
      </c>
      <c r="L8635">
        <f t="shared" si="402"/>
        <v>2024</v>
      </c>
      <c r="M8635" t="str">
        <f t="shared" si="403"/>
        <v>Feb</v>
      </c>
      <c r="N8635" s="2">
        <f t="shared" si="404"/>
        <v>0.20624633188665328</v>
      </c>
    </row>
    <row r="8636" spans="1:14" x14ac:dyDescent="0.45">
      <c r="A8636" t="s">
        <v>14266</v>
      </c>
      <c r="B8636" s="1">
        <v>45536</v>
      </c>
      <c r="C8636" t="s">
        <v>1573</v>
      </c>
      <c r="D8636" t="s">
        <v>26</v>
      </c>
      <c r="E8636" t="s">
        <v>36</v>
      </c>
      <c r="F8636" t="s">
        <v>37</v>
      </c>
      <c r="G8636">
        <v>3</v>
      </c>
      <c r="H8636">
        <v>18372.02</v>
      </c>
      <c r="I8636">
        <v>2054.54</v>
      </c>
      <c r="J8636" t="s">
        <v>22</v>
      </c>
      <c r="K8636" t="s">
        <v>29</v>
      </c>
      <c r="L8636">
        <f t="shared" si="402"/>
        <v>2024</v>
      </c>
      <c r="M8636" t="str">
        <f t="shared" si="403"/>
        <v>Sep</v>
      </c>
      <c r="N8636" s="2">
        <f t="shared" si="404"/>
        <v>0.11182983689327575</v>
      </c>
    </row>
    <row r="8637" spans="1:14" x14ac:dyDescent="0.45">
      <c r="A8637" t="s">
        <v>14267</v>
      </c>
      <c r="B8637" s="1">
        <v>45462</v>
      </c>
      <c r="C8637" t="s">
        <v>14268</v>
      </c>
      <c r="D8637" t="s">
        <v>56</v>
      </c>
      <c r="E8637" t="s">
        <v>36</v>
      </c>
      <c r="F8637" t="s">
        <v>53</v>
      </c>
      <c r="G8637">
        <v>5</v>
      </c>
      <c r="H8637">
        <v>42070.04</v>
      </c>
      <c r="I8637">
        <v>5358.48</v>
      </c>
      <c r="J8637" t="s">
        <v>28</v>
      </c>
      <c r="K8637" t="s">
        <v>23</v>
      </c>
      <c r="L8637">
        <f t="shared" si="402"/>
        <v>2024</v>
      </c>
      <c r="M8637" t="str">
        <f t="shared" si="403"/>
        <v>Jun</v>
      </c>
      <c r="N8637" s="2">
        <f t="shared" si="404"/>
        <v>0.12737045175141262</v>
      </c>
    </row>
    <row r="8638" spans="1:14" x14ac:dyDescent="0.45">
      <c r="A8638" t="s">
        <v>14269</v>
      </c>
      <c r="B8638" s="1">
        <v>44980</v>
      </c>
      <c r="C8638" t="s">
        <v>556</v>
      </c>
      <c r="D8638" t="s">
        <v>13</v>
      </c>
      <c r="E8638" t="s">
        <v>36</v>
      </c>
      <c r="F8638" t="s">
        <v>46</v>
      </c>
      <c r="G8638">
        <v>2</v>
      </c>
      <c r="H8638">
        <v>44093.21</v>
      </c>
      <c r="I8638">
        <v>7459.18</v>
      </c>
      <c r="J8638" t="s">
        <v>16</v>
      </c>
      <c r="K8638" t="s">
        <v>33</v>
      </c>
      <c r="L8638">
        <f t="shared" si="402"/>
        <v>2023</v>
      </c>
      <c r="M8638" t="str">
        <f t="shared" si="403"/>
        <v>Feb</v>
      </c>
      <c r="N8638" s="2">
        <f t="shared" si="404"/>
        <v>0.16916845019902157</v>
      </c>
    </row>
    <row r="8639" spans="1:14" x14ac:dyDescent="0.45">
      <c r="A8639" t="s">
        <v>14270</v>
      </c>
      <c r="B8639" s="1">
        <v>45390</v>
      </c>
      <c r="C8639" t="s">
        <v>14271</v>
      </c>
      <c r="D8639" t="s">
        <v>56</v>
      </c>
      <c r="E8639" t="s">
        <v>36</v>
      </c>
      <c r="F8639" t="s">
        <v>46</v>
      </c>
      <c r="G8639">
        <v>4</v>
      </c>
      <c r="H8639">
        <v>40126.959999999999</v>
      </c>
      <c r="I8639">
        <v>5990.29</v>
      </c>
      <c r="J8639" t="s">
        <v>22</v>
      </c>
      <c r="K8639" t="s">
        <v>33</v>
      </c>
      <c r="L8639">
        <f t="shared" si="402"/>
        <v>2024</v>
      </c>
      <c r="M8639" t="str">
        <f t="shared" si="403"/>
        <v>Apr</v>
      </c>
      <c r="N8639" s="2">
        <f t="shared" si="404"/>
        <v>0.14928342441091974</v>
      </c>
    </row>
    <row r="8640" spans="1:14" x14ac:dyDescent="0.45">
      <c r="A8640" t="s">
        <v>14272</v>
      </c>
      <c r="B8640" s="1">
        <v>44775</v>
      </c>
      <c r="C8640" t="s">
        <v>14273</v>
      </c>
      <c r="D8640" t="s">
        <v>56</v>
      </c>
      <c r="E8640" t="s">
        <v>20</v>
      </c>
      <c r="F8640" t="s">
        <v>50</v>
      </c>
      <c r="G8640">
        <v>2</v>
      </c>
      <c r="H8640">
        <v>31242.73</v>
      </c>
      <c r="I8640">
        <v>1825.47</v>
      </c>
      <c r="J8640" t="s">
        <v>71</v>
      </c>
      <c r="K8640" t="s">
        <v>29</v>
      </c>
      <c r="L8640">
        <f t="shared" si="402"/>
        <v>2022</v>
      </c>
      <c r="M8640" t="str">
        <f t="shared" si="403"/>
        <v>Aug</v>
      </c>
      <c r="N8640" s="2">
        <f t="shared" si="404"/>
        <v>5.8428632837143238E-2</v>
      </c>
    </row>
    <row r="8641" spans="1:14" x14ac:dyDescent="0.45">
      <c r="A8641" t="s">
        <v>14274</v>
      </c>
      <c r="B8641" s="1">
        <v>45184</v>
      </c>
      <c r="C8641" t="s">
        <v>6421</v>
      </c>
      <c r="D8641" t="s">
        <v>13</v>
      </c>
      <c r="E8641" t="s">
        <v>14</v>
      </c>
      <c r="F8641" t="s">
        <v>40</v>
      </c>
      <c r="G8641">
        <v>3</v>
      </c>
      <c r="H8641">
        <v>34670.14</v>
      </c>
      <c r="I8641">
        <v>3120.8</v>
      </c>
      <c r="J8641" t="s">
        <v>16</v>
      </c>
      <c r="K8641" t="s">
        <v>17</v>
      </c>
      <c r="L8641">
        <f t="shared" si="402"/>
        <v>2023</v>
      </c>
      <c r="M8641" t="str">
        <f t="shared" si="403"/>
        <v>Sep</v>
      </c>
      <c r="N8641" s="2">
        <f t="shared" si="404"/>
        <v>9.0014058206860439E-2</v>
      </c>
    </row>
    <row r="8642" spans="1:14" x14ac:dyDescent="0.45">
      <c r="A8642" t="s">
        <v>14275</v>
      </c>
      <c r="B8642" s="1">
        <v>44786</v>
      </c>
      <c r="C8642" t="s">
        <v>14276</v>
      </c>
      <c r="D8642" t="s">
        <v>13</v>
      </c>
      <c r="E8642" t="s">
        <v>20</v>
      </c>
      <c r="F8642" t="s">
        <v>27</v>
      </c>
      <c r="G8642">
        <v>3</v>
      </c>
      <c r="H8642">
        <v>29109.99</v>
      </c>
      <c r="I8642">
        <v>2793.93</v>
      </c>
      <c r="J8642" t="s">
        <v>71</v>
      </c>
      <c r="K8642" t="s">
        <v>17</v>
      </c>
      <c r="L8642">
        <f t="shared" si="402"/>
        <v>2022</v>
      </c>
      <c r="M8642" t="str">
        <f t="shared" si="403"/>
        <v>Aug</v>
      </c>
      <c r="N8642" s="2">
        <f t="shared" si="404"/>
        <v>9.5978390923528306E-2</v>
      </c>
    </row>
    <row r="8643" spans="1:14" x14ac:dyDescent="0.45">
      <c r="A8643" t="s">
        <v>14277</v>
      </c>
      <c r="B8643" s="1">
        <v>44596</v>
      </c>
      <c r="C8643" t="s">
        <v>11696</v>
      </c>
      <c r="D8643" t="s">
        <v>26</v>
      </c>
      <c r="E8643" t="s">
        <v>20</v>
      </c>
      <c r="F8643" t="s">
        <v>50</v>
      </c>
      <c r="G8643">
        <v>4</v>
      </c>
      <c r="H8643">
        <v>11594.94</v>
      </c>
      <c r="I8643">
        <v>1248.3499999999999</v>
      </c>
      <c r="J8643" t="s">
        <v>22</v>
      </c>
      <c r="K8643" t="s">
        <v>33</v>
      </c>
      <c r="L8643">
        <f t="shared" ref="L8643:L8706" si="405">YEAR(B8643 )</f>
        <v>2022</v>
      </c>
      <c r="M8643" t="str">
        <f t="shared" ref="M8643:M8706" si="406">TEXT(B8643,"MMM")</f>
        <v>Feb</v>
      </c>
      <c r="N8643" s="2">
        <f t="shared" ref="N8643:N8706" si="407">I8643 / H8643</f>
        <v>0.10766334280298129</v>
      </c>
    </row>
    <row r="8644" spans="1:14" x14ac:dyDescent="0.45">
      <c r="A8644" t="s">
        <v>14278</v>
      </c>
      <c r="B8644" s="1">
        <v>45500</v>
      </c>
      <c r="C8644" t="s">
        <v>14279</v>
      </c>
      <c r="D8644" t="s">
        <v>56</v>
      </c>
      <c r="E8644" t="s">
        <v>14</v>
      </c>
      <c r="F8644" t="s">
        <v>57</v>
      </c>
      <c r="G8644">
        <v>5</v>
      </c>
      <c r="H8644">
        <v>35092.720000000001</v>
      </c>
      <c r="I8644">
        <v>2409.44</v>
      </c>
      <c r="J8644" t="s">
        <v>47</v>
      </c>
      <c r="K8644" t="s">
        <v>17</v>
      </c>
      <c r="L8644">
        <f t="shared" si="405"/>
        <v>2024</v>
      </c>
      <c r="M8644" t="str">
        <f t="shared" si="406"/>
        <v>Jul</v>
      </c>
      <c r="N8644" s="2">
        <f t="shared" si="407"/>
        <v>6.8659254683022572E-2</v>
      </c>
    </row>
    <row r="8645" spans="1:14" x14ac:dyDescent="0.45">
      <c r="A8645" t="s">
        <v>14280</v>
      </c>
      <c r="B8645" s="1">
        <v>44986</v>
      </c>
      <c r="C8645" t="s">
        <v>14281</v>
      </c>
      <c r="D8645" t="s">
        <v>13</v>
      </c>
      <c r="E8645" t="s">
        <v>14</v>
      </c>
      <c r="F8645" t="s">
        <v>32</v>
      </c>
      <c r="G8645">
        <v>3</v>
      </c>
      <c r="H8645">
        <v>32391.33</v>
      </c>
      <c r="I8645">
        <v>8071.26</v>
      </c>
      <c r="J8645" t="s">
        <v>47</v>
      </c>
      <c r="K8645" t="s">
        <v>29</v>
      </c>
      <c r="L8645">
        <f t="shared" si="405"/>
        <v>2023</v>
      </c>
      <c r="M8645" t="str">
        <f t="shared" si="406"/>
        <v>Mar</v>
      </c>
      <c r="N8645" s="2">
        <f t="shared" si="407"/>
        <v>0.24917964158927713</v>
      </c>
    </row>
    <row r="8646" spans="1:14" x14ac:dyDescent="0.45">
      <c r="A8646" t="s">
        <v>14282</v>
      </c>
      <c r="B8646" s="1">
        <v>44682</v>
      </c>
      <c r="C8646" t="s">
        <v>14283</v>
      </c>
      <c r="D8646" t="s">
        <v>56</v>
      </c>
      <c r="E8646" t="s">
        <v>36</v>
      </c>
      <c r="F8646" t="s">
        <v>37</v>
      </c>
      <c r="G8646">
        <v>1</v>
      </c>
      <c r="H8646">
        <v>6060.73</v>
      </c>
      <c r="I8646">
        <v>1102.3399999999999</v>
      </c>
      <c r="J8646" t="s">
        <v>28</v>
      </c>
      <c r="K8646" t="s">
        <v>29</v>
      </c>
      <c r="L8646">
        <f t="shared" si="405"/>
        <v>2022</v>
      </c>
      <c r="M8646" t="str">
        <f t="shared" si="406"/>
        <v>May</v>
      </c>
      <c r="N8646" s="2">
        <f t="shared" si="407"/>
        <v>0.18188238050531866</v>
      </c>
    </row>
    <row r="8647" spans="1:14" x14ac:dyDescent="0.45">
      <c r="A8647" t="s">
        <v>14284</v>
      </c>
      <c r="B8647" s="1">
        <v>45300</v>
      </c>
      <c r="C8647" t="s">
        <v>8645</v>
      </c>
      <c r="D8647" t="s">
        <v>26</v>
      </c>
      <c r="E8647" t="s">
        <v>14</v>
      </c>
      <c r="F8647" t="s">
        <v>15</v>
      </c>
      <c r="G8647">
        <v>4</v>
      </c>
      <c r="H8647">
        <v>22668.37</v>
      </c>
      <c r="I8647">
        <v>3654.57</v>
      </c>
      <c r="J8647" t="s">
        <v>71</v>
      </c>
      <c r="K8647" t="s">
        <v>17</v>
      </c>
      <c r="L8647">
        <f t="shared" si="405"/>
        <v>2024</v>
      </c>
      <c r="M8647" t="str">
        <f t="shared" si="406"/>
        <v>Jan</v>
      </c>
      <c r="N8647" s="2">
        <f t="shared" si="407"/>
        <v>0.1612189142845295</v>
      </c>
    </row>
    <row r="8648" spans="1:14" x14ac:dyDescent="0.45">
      <c r="A8648" t="s">
        <v>14285</v>
      </c>
      <c r="B8648" s="1">
        <v>44741</v>
      </c>
      <c r="C8648" t="s">
        <v>4372</v>
      </c>
      <c r="D8648" t="s">
        <v>26</v>
      </c>
      <c r="E8648" t="s">
        <v>20</v>
      </c>
      <c r="F8648" t="s">
        <v>50</v>
      </c>
      <c r="G8648">
        <v>4</v>
      </c>
      <c r="H8648">
        <v>43522.13</v>
      </c>
      <c r="I8648">
        <v>2355.87</v>
      </c>
      <c r="J8648" t="s">
        <v>47</v>
      </c>
      <c r="K8648" t="s">
        <v>29</v>
      </c>
      <c r="L8648">
        <f t="shared" si="405"/>
        <v>2022</v>
      </c>
      <c r="M8648" t="str">
        <f t="shared" si="406"/>
        <v>Jun</v>
      </c>
      <c r="N8648" s="2">
        <f t="shared" si="407"/>
        <v>5.4130392974792364E-2</v>
      </c>
    </row>
    <row r="8649" spans="1:14" x14ac:dyDescent="0.45">
      <c r="A8649" t="s">
        <v>14286</v>
      </c>
      <c r="B8649" s="1">
        <v>44691</v>
      </c>
      <c r="C8649" t="s">
        <v>3557</v>
      </c>
      <c r="D8649" t="s">
        <v>26</v>
      </c>
      <c r="E8649" t="s">
        <v>20</v>
      </c>
      <c r="F8649" t="s">
        <v>43</v>
      </c>
      <c r="G8649">
        <v>5</v>
      </c>
      <c r="H8649">
        <v>47289.35</v>
      </c>
      <c r="I8649">
        <v>8729.91</v>
      </c>
      <c r="J8649" t="s">
        <v>71</v>
      </c>
      <c r="K8649" t="s">
        <v>33</v>
      </c>
      <c r="L8649">
        <f t="shared" si="405"/>
        <v>2022</v>
      </c>
      <c r="M8649" t="str">
        <f t="shared" si="406"/>
        <v>May</v>
      </c>
      <c r="N8649" s="2">
        <f t="shared" si="407"/>
        <v>0.18460625912599771</v>
      </c>
    </row>
    <row r="8650" spans="1:14" x14ac:dyDescent="0.45">
      <c r="A8650" t="s">
        <v>14287</v>
      </c>
      <c r="B8650" s="1">
        <v>45366</v>
      </c>
      <c r="C8650" t="s">
        <v>14288</v>
      </c>
      <c r="D8650" t="s">
        <v>26</v>
      </c>
      <c r="E8650" t="s">
        <v>20</v>
      </c>
      <c r="F8650" t="s">
        <v>27</v>
      </c>
      <c r="G8650">
        <v>3</v>
      </c>
      <c r="H8650">
        <v>5702.64</v>
      </c>
      <c r="I8650">
        <v>807.76</v>
      </c>
      <c r="J8650" t="s">
        <v>16</v>
      </c>
      <c r="K8650" t="s">
        <v>33</v>
      </c>
      <c r="L8650">
        <f t="shared" si="405"/>
        <v>2024</v>
      </c>
      <c r="M8650" t="str">
        <f t="shared" si="406"/>
        <v>Mar</v>
      </c>
      <c r="N8650" s="2">
        <f t="shared" si="407"/>
        <v>0.14164667592553623</v>
      </c>
    </row>
    <row r="8651" spans="1:14" x14ac:dyDescent="0.45">
      <c r="A8651" t="s">
        <v>14289</v>
      </c>
      <c r="B8651" s="1">
        <v>45193</v>
      </c>
      <c r="C8651" t="s">
        <v>8491</v>
      </c>
      <c r="D8651" t="s">
        <v>26</v>
      </c>
      <c r="E8651" t="s">
        <v>20</v>
      </c>
      <c r="F8651" t="s">
        <v>21</v>
      </c>
      <c r="G8651">
        <v>3</v>
      </c>
      <c r="H8651">
        <v>3309.08</v>
      </c>
      <c r="I8651">
        <v>479.7</v>
      </c>
      <c r="J8651" t="s">
        <v>47</v>
      </c>
      <c r="K8651" t="s">
        <v>33</v>
      </c>
      <c r="L8651">
        <f t="shared" si="405"/>
        <v>2023</v>
      </c>
      <c r="M8651" t="str">
        <f t="shared" si="406"/>
        <v>Sep</v>
      </c>
      <c r="N8651" s="2">
        <f t="shared" si="407"/>
        <v>0.14496476362009986</v>
      </c>
    </row>
    <row r="8652" spans="1:14" x14ac:dyDescent="0.45">
      <c r="A8652" t="s">
        <v>14290</v>
      </c>
      <c r="B8652" s="1">
        <v>45597</v>
      </c>
      <c r="C8652" t="s">
        <v>8193</v>
      </c>
      <c r="D8652" t="s">
        <v>26</v>
      </c>
      <c r="E8652" t="s">
        <v>36</v>
      </c>
      <c r="F8652" t="s">
        <v>53</v>
      </c>
      <c r="G8652">
        <v>2</v>
      </c>
      <c r="H8652">
        <v>36071.22</v>
      </c>
      <c r="I8652">
        <v>8964.9599999999991</v>
      </c>
      <c r="J8652" t="s">
        <v>71</v>
      </c>
      <c r="K8652" t="s">
        <v>17</v>
      </c>
      <c r="L8652">
        <f t="shared" si="405"/>
        <v>2024</v>
      </c>
      <c r="M8652" t="str">
        <f t="shared" si="406"/>
        <v>Nov</v>
      </c>
      <c r="N8652" s="2">
        <f t="shared" si="407"/>
        <v>0.24853498162801255</v>
      </c>
    </row>
    <row r="8653" spans="1:14" x14ac:dyDescent="0.45">
      <c r="A8653" t="s">
        <v>14291</v>
      </c>
      <c r="B8653" s="1">
        <v>45326</v>
      </c>
      <c r="C8653" t="s">
        <v>3495</v>
      </c>
      <c r="D8653" t="s">
        <v>13</v>
      </c>
      <c r="E8653" t="s">
        <v>14</v>
      </c>
      <c r="F8653" t="s">
        <v>32</v>
      </c>
      <c r="G8653">
        <v>4</v>
      </c>
      <c r="H8653">
        <v>8014.26</v>
      </c>
      <c r="I8653">
        <v>700.6</v>
      </c>
      <c r="J8653" t="s">
        <v>16</v>
      </c>
      <c r="K8653" t="s">
        <v>17</v>
      </c>
      <c r="L8653">
        <f t="shared" si="405"/>
        <v>2024</v>
      </c>
      <c r="M8653" t="str">
        <f t="shared" si="406"/>
        <v>Feb</v>
      </c>
      <c r="N8653" s="2">
        <f t="shared" si="407"/>
        <v>8.7419175319992118E-2</v>
      </c>
    </row>
    <row r="8654" spans="1:14" x14ac:dyDescent="0.45">
      <c r="A8654" t="s">
        <v>14292</v>
      </c>
      <c r="B8654" s="1">
        <v>45106</v>
      </c>
      <c r="C8654" t="s">
        <v>14293</v>
      </c>
      <c r="D8654" t="s">
        <v>56</v>
      </c>
      <c r="E8654" t="s">
        <v>14</v>
      </c>
      <c r="F8654" t="s">
        <v>57</v>
      </c>
      <c r="G8654">
        <v>4</v>
      </c>
      <c r="H8654">
        <v>6425.86</v>
      </c>
      <c r="I8654">
        <v>1452.02</v>
      </c>
      <c r="J8654" t="s">
        <v>71</v>
      </c>
      <c r="K8654" t="s">
        <v>33</v>
      </c>
      <c r="L8654">
        <f t="shared" si="405"/>
        <v>2023</v>
      </c>
      <c r="M8654" t="str">
        <f t="shared" si="406"/>
        <v>Jun</v>
      </c>
      <c r="N8654" s="2">
        <f t="shared" si="407"/>
        <v>0.22596508482911237</v>
      </c>
    </row>
    <row r="8655" spans="1:14" x14ac:dyDescent="0.45">
      <c r="A8655" t="s">
        <v>14294</v>
      </c>
      <c r="B8655" s="1">
        <v>44874</v>
      </c>
      <c r="C8655" t="s">
        <v>2641</v>
      </c>
      <c r="D8655" t="s">
        <v>56</v>
      </c>
      <c r="E8655" t="s">
        <v>36</v>
      </c>
      <c r="F8655" t="s">
        <v>37</v>
      </c>
      <c r="G8655">
        <v>1</v>
      </c>
      <c r="H8655">
        <v>38090.339999999997</v>
      </c>
      <c r="I8655">
        <v>2159.0500000000002</v>
      </c>
      <c r="J8655" t="s">
        <v>28</v>
      </c>
      <c r="K8655" t="s">
        <v>17</v>
      </c>
      <c r="L8655">
        <f t="shared" si="405"/>
        <v>2022</v>
      </c>
      <c r="M8655" t="str">
        <f t="shared" si="406"/>
        <v>Nov</v>
      </c>
      <c r="N8655" s="2">
        <f t="shared" si="407"/>
        <v>5.6682350433206963E-2</v>
      </c>
    </row>
    <row r="8656" spans="1:14" x14ac:dyDescent="0.45">
      <c r="A8656" t="s">
        <v>14295</v>
      </c>
      <c r="B8656" s="1">
        <v>45153</v>
      </c>
      <c r="C8656" t="s">
        <v>14296</v>
      </c>
      <c r="D8656" t="s">
        <v>13</v>
      </c>
      <c r="E8656" t="s">
        <v>14</v>
      </c>
      <c r="F8656" t="s">
        <v>40</v>
      </c>
      <c r="G8656">
        <v>3</v>
      </c>
      <c r="H8656">
        <v>47754.71</v>
      </c>
      <c r="I8656">
        <v>3850.84</v>
      </c>
      <c r="J8656" t="s">
        <v>16</v>
      </c>
      <c r="K8656" t="s">
        <v>17</v>
      </c>
      <c r="L8656">
        <f t="shared" si="405"/>
        <v>2023</v>
      </c>
      <c r="M8656" t="str">
        <f t="shared" si="406"/>
        <v>Aug</v>
      </c>
      <c r="N8656" s="2">
        <f t="shared" si="407"/>
        <v>8.0637909852242853E-2</v>
      </c>
    </row>
    <row r="8657" spans="1:14" x14ac:dyDescent="0.45">
      <c r="A8657" t="s">
        <v>14297</v>
      </c>
      <c r="B8657" s="1">
        <v>44866</v>
      </c>
      <c r="C8657" t="s">
        <v>11496</v>
      </c>
      <c r="D8657" t="s">
        <v>56</v>
      </c>
      <c r="E8657" t="s">
        <v>20</v>
      </c>
      <c r="F8657" t="s">
        <v>21</v>
      </c>
      <c r="G8657">
        <v>3</v>
      </c>
      <c r="H8657">
        <v>38147.040000000001</v>
      </c>
      <c r="I8657">
        <v>2521.33</v>
      </c>
      <c r="J8657" t="s">
        <v>16</v>
      </c>
      <c r="K8657" t="s">
        <v>17</v>
      </c>
      <c r="L8657">
        <f t="shared" si="405"/>
        <v>2022</v>
      </c>
      <c r="M8657" t="str">
        <f t="shared" si="406"/>
        <v>Nov</v>
      </c>
      <c r="N8657" s="2">
        <f t="shared" si="407"/>
        <v>6.6095036469408897E-2</v>
      </c>
    </row>
    <row r="8658" spans="1:14" x14ac:dyDescent="0.45">
      <c r="A8658" t="s">
        <v>14298</v>
      </c>
      <c r="B8658" s="1">
        <v>44980</v>
      </c>
      <c r="C8658" t="s">
        <v>10473</v>
      </c>
      <c r="D8658" t="s">
        <v>13</v>
      </c>
      <c r="E8658" t="s">
        <v>20</v>
      </c>
      <c r="F8658" t="s">
        <v>27</v>
      </c>
      <c r="G8658">
        <v>4</v>
      </c>
      <c r="H8658">
        <v>21173.37</v>
      </c>
      <c r="I8658">
        <v>4247.75</v>
      </c>
      <c r="J8658" t="s">
        <v>71</v>
      </c>
      <c r="K8658" t="s">
        <v>33</v>
      </c>
      <c r="L8658">
        <f t="shared" si="405"/>
        <v>2023</v>
      </c>
      <c r="M8658" t="str">
        <f t="shared" si="406"/>
        <v>Feb</v>
      </c>
      <c r="N8658" s="2">
        <f t="shared" si="407"/>
        <v>0.20061756820005508</v>
      </c>
    </row>
    <row r="8659" spans="1:14" x14ac:dyDescent="0.45">
      <c r="A8659" t="s">
        <v>14299</v>
      </c>
      <c r="B8659" s="1">
        <v>45244</v>
      </c>
      <c r="C8659" t="s">
        <v>11736</v>
      </c>
      <c r="D8659" t="s">
        <v>56</v>
      </c>
      <c r="E8659" t="s">
        <v>20</v>
      </c>
      <c r="F8659" t="s">
        <v>43</v>
      </c>
      <c r="G8659">
        <v>2</v>
      </c>
      <c r="H8659">
        <v>46192.37</v>
      </c>
      <c r="I8659">
        <v>2801.79</v>
      </c>
      <c r="J8659" t="s">
        <v>71</v>
      </c>
      <c r="K8659" t="s">
        <v>17</v>
      </c>
      <c r="L8659">
        <f t="shared" si="405"/>
        <v>2023</v>
      </c>
      <c r="M8659" t="str">
        <f t="shared" si="406"/>
        <v>Nov</v>
      </c>
      <c r="N8659" s="2">
        <f t="shared" si="407"/>
        <v>6.0654822430630854E-2</v>
      </c>
    </row>
    <row r="8660" spans="1:14" x14ac:dyDescent="0.45">
      <c r="A8660" t="s">
        <v>14300</v>
      </c>
      <c r="B8660" s="1">
        <v>45017</v>
      </c>
      <c r="C8660" t="s">
        <v>2661</v>
      </c>
      <c r="D8660" t="s">
        <v>56</v>
      </c>
      <c r="E8660" t="s">
        <v>14</v>
      </c>
      <c r="F8660" t="s">
        <v>40</v>
      </c>
      <c r="G8660">
        <v>2</v>
      </c>
      <c r="H8660">
        <v>25982.63</v>
      </c>
      <c r="I8660">
        <v>3367.91</v>
      </c>
      <c r="J8660" t="s">
        <v>28</v>
      </c>
      <c r="K8660" t="s">
        <v>23</v>
      </c>
      <c r="L8660">
        <f t="shared" si="405"/>
        <v>2023</v>
      </c>
      <c r="M8660" t="str">
        <f t="shared" si="406"/>
        <v>Apr</v>
      </c>
      <c r="N8660" s="2">
        <f t="shared" si="407"/>
        <v>0.12962159719782024</v>
      </c>
    </row>
    <row r="8661" spans="1:14" x14ac:dyDescent="0.45">
      <c r="A8661" t="s">
        <v>14301</v>
      </c>
      <c r="B8661" s="1">
        <v>44972</v>
      </c>
      <c r="C8661" t="s">
        <v>13151</v>
      </c>
      <c r="D8661" t="s">
        <v>13</v>
      </c>
      <c r="E8661" t="s">
        <v>36</v>
      </c>
      <c r="F8661" t="s">
        <v>64</v>
      </c>
      <c r="G8661">
        <v>2</v>
      </c>
      <c r="H8661">
        <v>23748.12</v>
      </c>
      <c r="I8661">
        <v>4492.37</v>
      </c>
      <c r="J8661" t="s">
        <v>22</v>
      </c>
      <c r="K8661" t="s">
        <v>33</v>
      </c>
      <c r="L8661">
        <f t="shared" si="405"/>
        <v>2023</v>
      </c>
      <c r="M8661" t="str">
        <f t="shared" si="406"/>
        <v>Feb</v>
      </c>
      <c r="N8661" s="2">
        <f t="shared" si="407"/>
        <v>0.18916739514538414</v>
      </c>
    </row>
    <row r="8662" spans="1:14" x14ac:dyDescent="0.45">
      <c r="A8662" t="s">
        <v>14302</v>
      </c>
      <c r="B8662" s="1">
        <v>45521</v>
      </c>
      <c r="C8662" t="s">
        <v>1930</v>
      </c>
      <c r="D8662" t="s">
        <v>13</v>
      </c>
      <c r="E8662" t="s">
        <v>36</v>
      </c>
      <c r="F8662" t="s">
        <v>64</v>
      </c>
      <c r="G8662">
        <v>5</v>
      </c>
      <c r="H8662">
        <v>9168.25</v>
      </c>
      <c r="I8662">
        <v>1577.16</v>
      </c>
      <c r="J8662" t="s">
        <v>71</v>
      </c>
      <c r="K8662" t="s">
        <v>23</v>
      </c>
      <c r="L8662">
        <f t="shared" si="405"/>
        <v>2024</v>
      </c>
      <c r="M8662" t="str">
        <f t="shared" si="406"/>
        <v>Aug</v>
      </c>
      <c r="N8662" s="2">
        <f t="shared" si="407"/>
        <v>0.17202410492733075</v>
      </c>
    </row>
    <row r="8663" spans="1:14" x14ac:dyDescent="0.45">
      <c r="A8663" t="s">
        <v>14303</v>
      </c>
      <c r="B8663" s="1">
        <v>44851</v>
      </c>
      <c r="C8663" t="s">
        <v>14304</v>
      </c>
      <c r="D8663" t="s">
        <v>13</v>
      </c>
      <c r="E8663" t="s">
        <v>14</v>
      </c>
      <c r="F8663" t="s">
        <v>32</v>
      </c>
      <c r="G8663">
        <v>1</v>
      </c>
      <c r="H8663">
        <v>30892.13</v>
      </c>
      <c r="I8663">
        <v>2362.84</v>
      </c>
      <c r="J8663" t="s">
        <v>47</v>
      </c>
      <c r="K8663" t="s">
        <v>23</v>
      </c>
      <c r="L8663">
        <f t="shared" si="405"/>
        <v>2022</v>
      </c>
      <c r="M8663" t="str">
        <f t="shared" si="406"/>
        <v>Oct</v>
      </c>
      <c r="N8663" s="2">
        <f t="shared" si="407"/>
        <v>7.6486794533106001E-2</v>
      </c>
    </row>
    <row r="8664" spans="1:14" x14ac:dyDescent="0.45">
      <c r="A8664" t="s">
        <v>14305</v>
      </c>
      <c r="B8664" s="1">
        <v>44633</v>
      </c>
      <c r="C8664" t="s">
        <v>6535</v>
      </c>
      <c r="D8664" t="s">
        <v>26</v>
      </c>
      <c r="E8664" t="s">
        <v>20</v>
      </c>
      <c r="F8664" t="s">
        <v>27</v>
      </c>
      <c r="G8664">
        <v>3</v>
      </c>
      <c r="H8664">
        <v>18144.48</v>
      </c>
      <c r="I8664">
        <v>1940.53</v>
      </c>
      <c r="J8664" t="s">
        <v>16</v>
      </c>
      <c r="K8664" t="s">
        <v>23</v>
      </c>
      <c r="L8664">
        <f t="shared" si="405"/>
        <v>2022</v>
      </c>
      <c r="M8664" t="str">
        <f t="shared" si="406"/>
        <v>Mar</v>
      </c>
      <c r="N8664" s="2">
        <f t="shared" si="407"/>
        <v>0.10694878001463806</v>
      </c>
    </row>
    <row r="8665" spans="1:14" x14ac:dyDescent="0.45">
      <c r="A8665" t="s">
        <v>14306</v>
      </c>
      <c r="B8665" s="1">
        <v>45236</v>
      </c>
      <c r="C8665" t="s">
        <v>14307</v>
      </c>
      <c r="D8665" t="s">
        <v>13</v>
      </c>
      <c r="E8665" t="s">
        <v>14</v>
      </c>
      <c r="F8665" t="s">
        <v>40</v>
      </c>
      <c r="G8665">
        <v>5</v>
      </c>
      <c r="H8665">
        <v>27633.51</v>
      </c>
      <c r="I8665">
        <v>3438.73</v>
      </c>
      <c r="J8665" t="s">
        <v>16</v>
      </c>
      <c r="K8665" t="s">
        <v>33</v>
      </c>
      <c r="L8665">
        <f t="shared" si="405"/>
        <v>2023</v>
      </c>
      <c r="M8665" t="str">
        <f t="shared" si="406"/>
        <v>Nov</v>
      </c>
      <c r="N8665" s="2">
        <f t="shared" si="407"/>
        <v>0.12444057957168671</v>
      </c>
    </row>
    <row r="8666" spans="1:14" x14ac:dyDescent="0.45">
      <c r="A8666" t="s">
        <v>14308</v>
      </c>
      <c r="B8666" s="1">
        <v>45030</v>
      </c>
      <c r="C8666" t="s">
        <v>3568</v>
      </c>
      <c r="D8666" t="s">
        <v>13</v>
      </c>
      <c r="E8666" t="s">
        <v>20</v>
      </c>
      <c r="F8666" t="s">
        <v>21</v>
      </c>
      <c r="G8666">
        <v>4</v>
      </c>
      <c r="H8666">
        <v>25069.29</v>
      </c>
      <c r="I8666">
        <v>4882.32</v>
      </c>
      <c r="J8666" t="s">
        <v>47</v>
      </c>
      <c r="K8666" t="s">
        <v>29</v>
      </c>
      <c r="L8666">
        <f t="shared" si="405"/>
        <v>2023</v>
      </c>
      <c r="M8666" t="str">
        <f t="shared" si="406"/>
        <v>Apr</v>
      </c>
      <c r="N8666" s="2">
        <f t="shared" si="407"/>
        <v>0.19475302252277585</v>
      </c>
    </row>
    <row r="8667" spans="1:14" x14ac:dyDescent="0.45">
      <c r="A8667" t="s">
        <v>14309</v>
      </c>
      <c r="B8667" s="1">
        <v>44789</v>
      </c>
      <c r="C8667" t="s">
        <v>14310</v>
      </c>
      <c r="D8667" t="s">
        <v>56</v>
      </c>
      <c r="E8667" t="s">
        <v>36</v>
      </c>
      <c r="F8667" t="s">
        <v>46</v>
      </c>
      <c r="G8667">
        <v>3</v>
      </c>
      <c r="H8667">
        <v>1525.04</v>
      </c>
      <c r="I8667">
        <v>207.32</v>
      </c>
      <c r="J8667" t="s">
        <v>22</v>
      </c>
      <c r="K8667" t="s">
        <v>23</v>
      </c>
      <c r="L8667">
        <f t="shared" si="405"/>
        <v>2022</v>
      </c>
      <c r="M8667" t="str">
        <f t="shared" si="406"/>
        <v>Aug</v>
      </c>
      <c r="N8667" s="2">
        <f t="shared" si="407"/>
        <v>0.13594397523999371</v>
      </c>
    </row>
    <row r="8668" spans="1:14" x14ac:dyDescent="0.45">
      <c r="A8668" t="s">
        <v>14311</v>
      </c>
      <c r="B8668" s="1">
        <v>44941</v>
      </c>
      <c r="C8668" t="s">
        <v>12415</v>
      </c>
      <c r="D8668" t="s">
        <v>56</v>
      </c>
      <c r="E8668" t="s">
        <v>20</v>
      </c>
      <c r="F8668" t="s">
        <v>43</v>
      </c>
      <c r="G8668">
        <v>4</v>
      </c>
      <c r="H8668">
        <v>24478.83</v>
      </c>
      <c r="I8668">
        <v>2486.66</v>
      </c>
      <c r="J8668" t="s">
        <v>28</v>
      </c>
      <c r="K8668" t="s">
        <v>23</v>
      </c>
      <c r="L8668">
        <f t="shared" si="405"/>
        <v>2023</v>
      </c>
      <c r="M8668" t="str">
        <f t="shared" si="406"/>
        <v>Jan</v>
      </c>
      <c r="N8668" s="2">
        <f t="shared" si="407"/>
        <v>0.10158410348860626</v>
      </c>
    </row>
    <row r="8669" spans="1:14" x14ac:dyDescent="0.45">
      <c r="A8669" t="s">
        <v>14312</v>
      </c>
      <c r="B8669" s="1">
        <v>45617</v>
      </c>
      <c r="C8669" t="s">
        <v>4990</v>
      </c>
      <c r="D8669" t="s">
        <v>26</v>
      </c>
      <c r="E8669" t="s">
        <v>20</v>
      </c>
      <c r="F8669" t="s">
        <v>43</v>
      </c>
      <c r="G8669">
        <v>5</v>
      </c>
      <c r="H8669">
        <v>11082.59</v>
      </c>
      <c r="I8669">
        <v>1954.26</v>
      </c>
      <c r="J8669" t="s">
        <v>47</v>
      </c>
      <c r="K8669" t="s">
        <v>29</v>
      </c>
      <c r="L8669">
        <f t="shared" si="405"/>
        <v>2024</v>
      </c>
      <c r="M8669" t="str">
        <f t="shared" si="406"/>
        <v>Nov</v>
      </c>
      <c r="N8669" s="2">
        <f t="shared" si="407"/>
        <v>0.17633603697330677</v>
      </c>
    </row>
    <row r="8670" spans="1:14" x14ac:dyDescent="0.45">
      <c r="A8670" t="s">
        <v>14313</v>
      </c>
      <c r="B8670" s="1">
        <v>45293</v>
      </c>
      <c r="C8670" t="s">
        <v>2288</v>
      </c>
      <c r="D8670" t="s">
        <v>13</v>
      </c>
      <c r="E8670" t="s">
        <v>20</v>
      </c>
      <c r="F8670" t="s">
        <v>50</v>
      </c>
      <c r="G8670">
        <v>3</v>
      </c>
      <c r="H8670">
        <v>11683.04</v>
      </c>
      <c r="I8670">
        <v>2578.2600000000002</v>
      </c>
      <c r="J8670" t="s">
        <v>16</v>
      </c>
      <c r="K8670" t="s">
        <v>17</v>
      </c>
      <c r="L8670">
        <f t="shared" si="405"/>
        <v>2024</v>
      </c>
      <c r="M8670" t="str">
        <f t="shared" si="406"/>
        <v>Jan</v>
      </c>
      <c r="N8670" s="2">
        <f t="shared" si="407"/>
        <v>0.22068400005478025</v>
      </c>
    </row>
    <row r="8671" spans="1:14" x14ac:dyDescent="0.45">
      <c r="A8671" t="s">
        <v>14314</v>
      </c>
      <c r="B8671" s="1">
        <v>44801</v>
      </c>
      <c r="C8671" t="s">
        <v>14315</v>
      </c>
      <c r="D8671" t="s">
        <v>56</v>
      </c>
      <c r="E8671" t="s">
        <v>14</v>
      </c>
      <c r="F8671" t="s">
        <v>15</v>
      </c>
      <c r="G8671">
        <v>3</v>
      </c>
      <c r="H8671">
        <v>39940.379999999997</v>
      </c>
      <c r="I8671">
        <v>2144.87</v>
      </c>
      <c r="J8671" t="s">
        <v>16</v>
      </c>
      <c r="K8671" t="s">
        <v>29</v>
      </c>
      <c r="L8671">
        <f t="shared" si="405"/>
        <v>2022</v>
      </c>
      <c r="M8671" t="str">
        <f t="shared" si="406"/>
        <v>Aug</v>
      </c>
      <c r="N8671" s="2">
        <f t="shared" si="407"/>
        <v>5.3701792521753673E-2</v>
      </c>
    </row>
    <row r="8672" spans="1:14" x14ac:dyDescent="0.45">
      <c r="A8672" t="s">
        <v>14316</v>
      </c>
      <c r="B8672" s="1">
        <v>45121</v>
      </c>
      <c r="C8672" t="s">
        <v>7085</v>
      </c>
      <c r="D8672" t="s">
        <v>13</v>
      </c>
      <c r="E8672" t="s">
        <v>36</v>
      </c>
      <c r="F8672" t="s">
        <v>37</v>
      </c>
      <c r="G8672">
        <v>3</v>
      </c>
      <c r="H8672">
        <v>9092.2000000000007</v>
      </c>
      <c r="I8672">
        <v>2105.92</v>
      </c>
      <c r="J8672" t="s">
        <v>28</v>
      </c>
      <c r="K8672" t="s">
        <v>33</v>
      </c>
      <c r="L8672">
        <f t="shared" si="405"/>
        <v>2023</v>
      </c>
      <c r="M8672" t="str">
        <f t="shared" si="406"/>
        <v>Jul</v>
      </c>
      <c r="N8672" s="2">
        <f t="shared" si="407"/>
        <v>0.2316183101999516</v>
      </c>
    </row>
    <row r="8673" spans="1:14" x14ac:dyDescent="0.45">
      <c r="A8673" t="s">
        <v>14317</v>
      </c>
      <c r="B8673" s="1">
        <v>44835</v>
      </c>
      <c r="C8673" t="s">
        <v>14318</v>
      </c>
      <c r="D8673" t="s">
        <v>13</v>
      </c>
      <c r="E8673" t="s">
        <v>36</v>
      </c>
      <c r="F8673" t="s">
        <v>46</v>
      </c>
      <c r="G8673">
        <v>3</v>
      </c>
      <c r="H8673">
        <v>26694.06</v>
      </c>
      <c r="I8673">
        <v>4349.51</v>
      </c>
      <c r="J8673" t="s">
        <v>71</v>
      </c>
      <c r="K8673" t="s">
        <v>29</v>
      </c>
      <c r="L8673">
        <f t="shared" si="405"/>
        <v>2022</v>
      </c>
      <c r="M8673" t="str">
        <f t="shared" si="406"/>
        <v>Oct</v>
      </c>
      <c r="N8673" s="2">
        <f t="shared" si="407"/>
        <v>0.16293924565989587</v>
      </c>
    </row>
    <row r="8674" spans="1:14" x14ac:dyDescent="0.45">
      <c r="A8674" t="s">
        <v>14319</v>
      </c>
      <c r="B8674" s="1">
        <v>45574</v>
      </c>
      <c r="C8674" t="s">
        <v>1466</v>
      </c>
      <c r="D8674" t="s">
        <v>56</v>
      </c>
      <c r="E8674" t="s">
        <v>14</v>
      </c>
      <c r="F8674" t="s">
        <v>57</v>
      </c>
      <c r="G8674">
        <v>1</v>
      </c>
      <c r="H8674">
        <v>42871.97</v>
      </c>
      <c r="I8674">
        <v>7325.93</v>
      </c>
      <c r="J8674" t="s">
        <v>47</v>
      </c>
      <c r="K8674" t="s">
        <v>33</v>
      </c>
      <c r="L8674">
        <f t="shared" si="405"/>
        <v>2024</v>
      </c>
      <c r="M8674" t="str">
        <f t="shared" si="406"/>
        <v>Oct</v>
      </c>
      <c r="N8674" s="2">
        <f t="shared" si="407"/>
        <v>0.17087924814278421</v>
      </c>
    </row>
    <row r="8675" spans="1:14" x14ac:dyDescent="0.45">
      <c r="A8675" t="s">
        <v>14320</v>
      </c>
      <c r="B8675" s="1">
        <v>45263</v>
      </c>
      <c r="C8675" t="s">
        <v>14321</v>
      </c>
      <c r="D8675" t="s">
        <v>26</v>
      </c>
      <c r="E8675" t="s">
        <v>20</v>
      </c>
      <c r="F8675" t="s">
        <v>50</v>
      </c>
      <c r="G8675">
        <v>3</v>
      </c>
      <c r="H8675">
        <v>48953.85</v>
      </c>
      <c r="I8675">
        <v>4055.43</v>
      </c>
      <c r="J8675" t="s">
        <v>16</v>
      </c>
      <c r="K8675" t="s">
        <v>33</v>
      </c>
      <c r="L8675">
        <f t="shared" si="405"/>
        <v>2023</v>
      </c>
      <c r="M8675" t="str">
        <f t="shared" si="406"/>
        <v>Dec</v>
      </c>
      <c r="N8675" s="2">
        <f t="shared" si="407"/>
        <v>8.2841901096645104E-2</v>
      </c>
    </row>
    <row r="8676" spans="1:14" x14ac:dyDescent="0.45">
      <c r="A8676" t="s">
        <v>14322</v>
      </c>
      <c r="B8676" s="1">
        <v>44909</v>
      </c>
      <c r="C8676" t="s">
        <v>14323</v>
      </c>
      <c r="D8676" t="s">
        <v>56</v>
      </c>
      <c r="E8676" t="s">
        <v>36</v>
      </c>
      <c r="F8676" t="s">
        <v>46</v>
      </c>
      <c r="G8676">
        <v>4</v>
      </c>
      <c r="H8676">
        <v>29551.98</v>
      </c>
      <c r="I8676">
        <v>4307.6099999999997</v>
      </c>
      <c r="J8676" t="s">
        <v>16</v>
      </c>
      <c r="K8676" t="s">
        <v>29</v>
      </c>
      <c r="L8676">
        <f t="shared" si="405"/>
        <v>2022</v>
      </c>
      <c r="M8676" t="str">
        <f t="shared" si="406"/>
        <v>Dec</v>
      </c>
      <c r="N8676" s="2">
        <f t="shared" si="407"/>
        <v>0.14576383714390709</v>
      </c>
    </row>
    <row r="8677" spans="1:14" x14ac:dyDescent="0.45">
      <c r="A8677" t="s">
        <v>14324</v>
      </c>
      <c r="B8677" s="1">
        <v>45331</v>
      </c>
      <c r="C8677" t="s">
        <v>2248</v>
      </c>
      <c r="D8677" t="s">
        <v>26</v>
      </c>
      <c r="E8677" t="s">
        <v>14</v>
      </c>
      <c r="F8677" t="s">
        <v>32</v>
      </c>
      <c r="G8677">
        <v>4</v>
      </c>
      <c r="H8677">
        <v>36656.86</v>
      </c>
      <c r="I8677">
        <v>2292.98</v>
      </c>
      <c r="J8677" t="s">
        <v>71</v>
      </c>
      <c r="K8677" t="s">
        <v>23</v>
      </c>
      <c r="L8677">
        <f t="shared" si="405"/>
        <v>2024</v>
      </c>
      <c r="M8677" t="str">
        <f t="shared" si="406"/>
        <v>Feb</v>
      </c>
      <c r="N8677" s="2">
        <f t="shared" si="407"/>
        <v>6.2552548145149364E-2</v>
      </c>
    </row>
    <row r="8678" spans="1:14" x14ac:dyDescent="0.45">
      <c r="A8678" t="s">
        <v>14325</v>
      </c>
      <c r="B8678" s="1">
        <v>45044</v>
      </c>
      <c r="C8678" t="s">
        <v>14326</v>
      </c>
      <c r="D8678" t="s">
        <v>56</v>
      </c>
      <c r="E8678" t="s">
        <v>20</v>
      </c>
      <c r="F8678" t="s">
        <v>27</v>
      </c>
      <c r="G8678">
        <v>4</v>
      </c>
      <c r="H8678">
        <v>18505.14</v>
      </c>
      <c r="I8678">
        <v>3974.77</v>
      </c>
      <c r="J8678" t="s">
        <v>71</v>
      </c>
      <c r="K8678" t="s">
        <v>33</v>
      </c>
      <c r="L8678">
        <f t="shared" si="405"/>
        <v>2023</v>
      </c>
      <c r="M8678" t="str">
        <f t="shared" si="406"/>
        <v>Apr</v>
      </c>
      <c r="N8678" s="2">
        <f t="shared" si="407"/>
        <v>0.21479275487783395</v>
      </c>
    </row>
    <row r="8679" spans="1:14" x14ac:dyDescent="0.45">
      <c r="A8679" t="s">
        <v>14327</v>
      </c>
      <c r="B8679" s="1">
        <v>45311</v>
      </c>
      <c r="C8679" t="s">
        <v>2075</v>
      </c>
      <c r="D8679" t="s">
        <v>26</v>
      </c>
      <c r="E8679" t="s">
        <v>36</v>
      </c>
      <c r="F8679" t="s">
        <v>46</v>
      </c>
      <c r="G8679">
        <v>4</v>
      </c>
      <c r="H8679">
        <v>16810.88</v>
      </c>
      <c r="I8679">
        <v>2122.31</v>
      </c>
      <c r="J8679" t="s">
        <v>22</v>
      </c>
      <c r="K8679" t="s">
        <v>23</v>
      </c>
      <c r="L8679">
        <f t="shared" si="405"/>
        <v>2024</v>
      </c>
      <c r="M8679" t="str">
        <f t="shared" si="406"/>
        <v>Jan</v>
      </c>
      <c r="N8679" s="2">
        <f t="shared" si="407"/>
        <v>0.12624621673582823</v>
      </c>
    </row>
    <row r="8680" spans="1:14" x14ac:dyDescent="0.45">
      <c r="A8680" t="s">
        <v>14328</v>
      </c>
      <c r="B8680" s="1">
        <v>45567</v>
      </c>
      <c r="C8680" t="s">
        <v>14329</v>
      </c>
      <c r="D8680" t="s">
        <v>56</v>
      </c>
      <c r="E8680" t="s">
        <v>20</v>
      </c>
      <c r="F8680" t="s">
        <v>43</v>
      </c>
      <c r="G8680">
        <v>4</v>
      </c>
      <c r="H8680">
        <v>2762.21</v>
      </c>
      <c r="I8680">
        <v>403.31</v>
      </c>
      <c r="J8680" t="s">
        <v>47</v>
      </c>
      <c r="K8680" t="s">
        <v>33</v>
      </c>
      <c r="L8680">
        <f t="shared" si="405"/>
        <v>2024</v>
      </c>
      <c r="M8680" t="str">
        <f t="shared" si="406"/>
        <v>Oct</v>
      </c>
      <c r="N8680" s="2">
        <f t="shared" si="407"/>
        <v>0.14600989787163177</v>
      </c>
    </row>
    <row r="8681" spans="1:14" x14ac:dyDescent="0.45">
      <c r="A8681" t="s">
        <v>14330</v>
      </c>
      <c r="B8681" s="1">
        <v>44688</v>
      </c>
      <c r="C8681" t="s">
        <v>5583</v>
      </c>
      <c r="D8681" t="s">
        <v>26</v>
      </c>
      <c r="E8681" t="s">
        <v>14</v>
      </c>
      <c r="F8681" t="s">
        <v>15</v>
      </c>
      <c r="G8681">
        <v>2</v>
      </c>
      <c r="H8681">
        <v>27550.04</v>
      </c>
      <c r="I8681">
        <v>3314.95</v>
      </c>
      <c r="J8681" t="s">
        <v>28</v>
      </c>
      <c r="K8681" t="s">
        <v>33</v>
      </c>
      <c r="L8681">
        <f t="shared" si="405"/>
        <v>2022</v>
      </c>
      <c r="M8681" t="str">
        <f t="shared" si="406"/>
        <v>May</v>
      </c>
      <c r="N8681" s="2">
        <f t="shared" si="407"/>
        <v>0.12032468918375436</v>
      </c>
    </row>
    <row r="8682" spans="1:14" x14ac:dyDescent="0.45">
      <c r="A8682" t="s">
        <v>14331</v>
      </c>
      <c r="B8682" s="1">
        <v>44789</v>
      </c>
      <c r="C8682" t="s">
        <v>867</v>
      </c>
      <c r="D8682" t="s">
        <v>26</v>
      </c>
      <c r="E8682" t="s">
        <v>14</v>
      </c>
      <c r="F8682" t="s">
        <v>40</v>
      </c>
      <c r="G8682">
        <v>1</v>
      </c>
      <c r="H8682">
        <v>30040.16</v>
      </c>
      <c r="I8682">
        <v>6043.11</v>
      </c>
      <c r="J8682" t="s">
        <v>28</v>
      </c>
      <c r="K8682" t="s">
        <v>17</v>
      </c>
      <c r="L8682">
        <f t="shared" si="405"/>
        <v>2022</v>
      </c>
      <c r="M8682" t="str">
        <f t="shared" si="406"/>
        <v>Aug</v>
      </c>
      <c r="N8682" s="2">
        <f t="shared" si="407"/>
        <v>0.20116770350091343</v>
      </c>
    </row>
    <row r="8683" spans="1:14" x14ac:dyDescent="0.45">
      <c r="A8683" t="s">
        <v>14332</v>
      </c>
      <c r="B8683" s="1">
        <v>45491</v>
      </c>
      <c r="C8683" t="s">
        <v>12828</v>
      </c>
      <c r="D8683" t="s">
        <v>13</v>
      </c>
      <c r="E8683" t="s">
        <v>36</v>
      </c>
      <c r="F8683" t="s">
        <v>64</v>
      </c>
      <c r="G8683">
        <v>2</v>
      </c>
      <c r="H8683">
        <v>5941.6</v>
      </c>
      <c r="I8683">
        <v>927.85</v>
      </c>
      <c r="J8683" t="s">
        <v>28</v>
      </c>
      <c r="K8683" t="s">
        <v>33</v>
      </c>
      <c r="L8683">
        <f t="shared" si="405"/>
        <v>2024</v>
      </c>
      <c r="M8683" t="str">
        <f t="shared" si="406"/>
        <v>Jul</v>
      </c>
      <c r="N8683" s="2">
        <f t="shared" si="407"/>
        <v>0.1561616399622997</v>
      </c>
    </row>
    <row r="8684" spans="1:14" x14ac:dyDescent="0.45">
      <c r="A8684" t="s">
        <v>14333</v>
      </c>
      <c r="B8684" s="1">
        <v>44892</v>
      </c>
      <c r="C8684" t="s">
        <v>11119</v>
      </c>
      <c r="D8684" t="s">
        <v>56</v>
      </c>
      <c r="E8684" t="s">
        <v>20</v>
      </c>
      <c r="F8684" t="s">
        <v>21</v>
      </c>
      <c r="G8684">
        <v>4</v>
      </c>
      <c r="H8684">
        <v>15049.33</v>
      </c>
      <c r="I8684">
        <v>3117.48</v>
      </c>
      <c r="J8684" t="s">
        <v>71</v>
      </c>
      <c r="K8684" t="s">
        <v>17</v>
      </c>
      <c r="L8684">
        <f t="shared" si="405"/>
        <v>2022</v>
      </c>
      <c r="M8684" t="str">
        <f t="shared" si="406"/>
        <v>Nov</v>
      </c>
      <c r="N8684" s="2">
        <f t="shared" si="407"/>
        <v>0.2071507502327346</v>
      </c>
    </row>
    <row r="8685" spans="1:14" x14ac:dyDescent="0.45">
      <c r="A8685" t="s">
        <v>14334</v>
      </c>
      <c r="B8685" s="1">
        <v>44605</v>
      </c>
      <c r="C8685" t="s">
        <v>7145</v>
      </c>
      <c r="D8685" t="s">
        <v>56</v>
      </c>
      <c r="E8685" t="s">
        <v>20</v>
      </c>
      <c r="F8685" t="s">
        <v>50</v>
      </c>
      <c r="G8685">
        <v>4</v>
      </c>
      <c r="H8685">
        <v>12741.97</v>
      </c>
      <c r="I8685">
        <v>1171.99</v>
      </c>
      <c r="J8685" t="s">
        <v>22</v>
      </c>
      <c r="K8685" t="s">
        <v>33</v>
      </c>
      <c r="L8685">
        <f t="shared" si="405"/>
        <v>2022</v>
      </c>
      <c r="M8685" t="str">
        <f t="shared" si="406"/>
        <v>Feb</v>
      </c>
      <c r="N8685" s="2">
        <f t="shared" si="407"/>
        <v>9.1978712867790469E-2</v>
      </c>
    </row>
    <row r="8686" spans="1:14" x14ac:dyDescent="0.45">
      <c r="A8686" t="s">
        <v>14335</v>
      </c>
      <c r="B8686" s="1">
        <v>44941</v>
      </c>
      <c r="C8686" t="s">
        <v>12473</v>
      </c>
      <c r="D8686" t="s">
        <v>56</v>
      </c>
      <c r="E8686" t="s">
        <v>14</v>
      </c>
      <c r="F8686" t="s">
        <v>15</v>
      </c>
      <c r="G8686">
        <v>1</v>
      </c>
      <c r="H8686">
        <v>48188.97</v>
      </c>
      <c r="I8686">
        <v>4064.89</v>
      </c>
      <c r="J8686" t="s">
        <v>16</v>
      </c>
      <c r="K8686" t="s">
        <v>33</v>
      </c>
      <c r="L8686">
        <f t="shared" si="405"/>
        <v>2023</v>
      </c>
      <c r="M8686" t="str">
        <f t="shared" si="406"/>
        <v>Jan</v>
      </c>
      <c r="N8686" s="2">
        <f t="shared" si="407"/>
        <v>8.4353120641507795E-2</v>
      </c>
    </row>
    <row r="8687" spans="1:14" x14ac:dyDescent="0.45">
      <c r="A8687" t="s">
        <v>14336</v>
      </c>
      <c r="B8687" s="1">
        <v>45004</v>
      </c>
      <c r="C8687" t="s">
        <v>14337</v>
      </c>
      <c r="D8687" t="s">
        <v>26</v>
      </c>
      <c r="E8687" t="s">
        <v>36</v>
      </c>
      <c r="F8687" t="s">
        <v>46</v>
      </c>
      <c r="G8687">
        <v>4</v>
      </c>
      <c r="H8687">
        <v>36139.35</v>
      </c>
      <c r="I8687">
        <v>3359.13</v>
      </c>
      <c r="J8687" t="s">
        <v>28</v>
      </c>
      <c r="K8687" t="s">
        <v>29</v>
      </c>
      <c r="L8687">
        <f t="shared" si="405"/>
        <v>2023</v>
      </c>
      <c r="M8687" t="str">
        <f t="shared" si="406"/>
        <v>Mar</v>
      </c>
      <c r="N8687" s="2">
        <f t="shared" si="407"/>
        <v>9.2949375127112141E-2</v>
      </c>
    </row>
    <row r="8688" spans="1:14" x14ac:dyDescent="0.45">
      <c r="A8688" t="s">
        <v>14338</v>
      </c>
      <c r="B8688" s="1">
        <v>45376</v>
      </c>
      <c r="C8688" t="s">
        <v>11061</v>
      </c>
      <c r="D8688" t="s">
        <v>13</v>
      </c>
      <c r="E8688" t="s">
        <v>20</v>
      </c>
      <c r="F8688" t="s">
        <v>50</v>
      </c>
      <c r="G8688">
        <v>2</v>
      </c>
      <c r="H8688">
        <v>41346.22</v>
      </c>
      <c r="I8688">
        <v>4424.59</v>
      </c>
      <c r="J8688" t="s">
        <v>16</v>
      </c>
      <c r="K8688" t="s">
        <v>23</v>
      </c>
      <c r="L8688">
        <f t="shared" si="405"/>
        <v>2024</v>
      </c>
      <c r="M8688" t="str">
        <f t="shared" si="406"/>
        <v>Mar</v>
      </c>
      <c r="N8688" s="2">
        <f t="shared" si="407"/>
        <v>0.10701316831381442</v>
      </c>
    </row>
    <row r="8689" spans="1:14" x14ac:dyDescent="0.45">
      <c r="A8689" t="s">
        <v>14339</v>
      </c>
      <c r="B8689" s="1">
        <v>45090</v>
      </c>
      <c r="C8689" t="s">
        <v>13750</v>
      </c>
      <c r="D8689" t="s">
        <v>13</v>
      </c>
      <c r="E8689" t="s">
        <v>36</v>
      </c>
      <c r="F8689" t="s">
        <v>46</v>
      </c>
      <c r="G8689">
        <v>3</v>
      </c>
      <c r="H8689">
        <v>6360.47</v>
      </c>
      <c r="I8689">
        <v>1283.44</v>
      </c>
      <c r="J8689" t="s">
        <v>16</v>
      </c>
      <c r="K8689" t="s">
        <v>23</v>
      </c>
      <c r="L8689">
        <f t="shared" si="405"/>
        <v>2023</v>
      </c>
      <c r="M8689" t="str">
        <f t="shared" si="406"/>
        <v>Jun</v>
      </c>
      <c r="N8689" s="2">
        <f t="shared" si="407"/>
        <v>0.20178383044020332</v>
      </c>
    </row>
    <row r="8690" spans="1:14" x14ac:dyDescent="0.45">
      <c r="A8690" t="s">
        <v>14340</v>
      </c>
      <c r="B8690" s="1">
        <v>45434</v>
      </c>
      <c r="C8690" t="s">
        <v>14341</v>
      </c>
      <c r="D8690" t="s">
        <v>26</v>
      </c>
      <c r="E8690" t="s">
        <v>14</v>
      </c>
      <c r="F8690" t="s">
        <v>15</v>
      </c>
      <c r="G8690">
        <v>5</v>
      </c>
      <c r="H8690">
        <v>16546.66</v>
      </c>
      <c r="I8690">
        <v>950.59</v>
      </c>
      <c r="J8690" t="s">
        <v>22</v>
      </c>
      <c r="K8690" t="s">
        <v>33</v>
      </c>
      <c r="L8690">
        <f t="shared" si="405"/>
        <v>2024</v>
      </c>
      <c r="M8690" t="str">
        <f t="shared" si="406"/>
        <v>May</v>
      </c>
      <c r="N8690" s="2">
        <f t="shared" si="407"/>
        <v>5.7449056184148341E-2</v>
      </c>
    </row>
    <row r="8691" spans="1:14" x14ac:dyDescent="0.45">
      <c r="A8691" t="s">
        <v>14342</v>
      </c>
      <c r="B8691" s="1">
        <v>44752</v>
      </c>
      <c r="C8691" t="s">
        <v>7746</v>
      </c>
      <c r="D8691" t="s">
        <v>56</v>
      </c>
      <c r="E8691" t="s">
        <v>20</v>
      </c>
      <c r="F8691" t="s">
        <v>21</v>
      </c>
      <c r="G8691">
        <v>4</v>
      </c>
      <c r="H8691">
        <v>19107.54</v>
      </c>
      <c r="I8691">
        <v>1445.2</v>
      </c>
      <c r="J8691" t="s">
        <v>22</v>
      </c>
      <c r="K8691" t="s">
        <v>17</v>
      </c>
      <c r="L8691">
        <f t="shared" si="405"/>
        <v>2022</v>
      </c>
      <c r="M8691" t="str">
        <f t="shared" si="406"/>
        <v>Jul</v>
      </c>
      <c r="N8691" s="2">
        <f t="shared" si="407"/>
        <v>7.5635063435690833E-2</v>
      </c>
    </row>
    <row r="8692" spans="1:14" x14ac:dyDescent="0.45">
      <c r="A8692" t="s">
        <v>14343</v>
      </c>
      <c r="B8692" s="1">
        <v>44567</v>
      </c>
      <c r="C8692" t="s">
        <v>152</v>
      </c>
      <c r="D8692" t="s">
        <v>56</v>
      </c>
      <c r="E8692" t="s">
        <v>20</v>
      </c>
      <c r="F8692" t="s">
        <v>43</v>
      </c>
      <c r="G8692">
        <v>5</v>
      </c>
      <c r="H8692">
        <v>9792.19</v>
      </c>
      <c r="I8692">
        <v>2004.18</v>
      </c>
      <c r="J8692" t="s">
        <v>16</v>
      </c>
      <c r="K8692" t="s">
        <v>17</v>
      </c>
      <c r="L8692">
        <f t="shared" si="405"/>
        <v>2022</v>
      </c>
      <c r="M8692" t="str">
        <f t="shared" si="406"/>
        <v>Jan</v>
      </c>
      <c r="N8692" s="2">
        <f t="shared" si="407"/>
        <v>0.20467127373958224</v>
      </c>
    </row>
    <row r="8693" spans="1:14" x14ac:dyDescent="0.45">
      <c r="A8693" t="s">
        <v>14344</v>
      </c>
      <c r="B8693" s="1">
        <v>45416</v>
      </c>
      <c r="C8693" t="s">
        <v>11528</v>
      </c>
      <c r="D8693" t="s">
        <v>13</v>
      </c>
      <c r="E8693" t="s">
        <v>14</v>
      </c>
      <c r="F8693" t="s">
        <v>32</v>
      </c>
      <c r="G8693">
        <v>2</v>
      </c>
      <c r="H8693">
        <v>33027.33</v>
      </c>
      <c r="I8693">
        <v>7470.41</v>
      </c>
      <c r="J8693" t="s">
        <v>71</v>
      </c>
      <c r="K8693" t="s">
        <v>33</v>
      </c>
      <c r="L8693">
        <f t="shared" si="405"/>
        <v>2024</v>
      </c>
      <c r="M8693" t="str">
        <f t="shared" si="406"/>
        <v>May</v>
      </c>
      <c r="N8693" s="2">
        <f t="shared" si="407"/>
        <v>0.22618873520808372</v>
      </c>
    </row>
    <row r="8694" spans="1:14" x14ac:dyDescent="0.45">
      <c r="A8694" t="s">
        <v>14345</v>
      </c>
      <c r="B8694" s="1">
        <v>45012</v>
      </c>
      <c r="C8694" t="s">
        <v>2049</v>
      </c>
      <c r="D8694" t="s">
        <v>26</v>
      </c>
      <c r="E8694" t="s">
        <v>20</v>
      </c>
      <c r="F8694" t="s">
        <v>43</v>
      </c>
      <c r="G8694">
        <v>3</v>
      </c>
      <c r="H8694">
        <v>24521.119999999999</v>
      </c>
      <c r="I8694">
        <v>1981.07</v>
      </c>
      <c r="J8694" t="s">
        <v>47</v>
      </c>
      <c r="K8694" t="s">
        <v>29</v>
      </c>
      <c r="L8694">
        <f t="shared" si="405"/>
        <v>2023</v>
      </c>
      <c r="M8694" t="str">
        <f t="shared" si="406"/>
        <v>Mar</v>
      </c>
      <c r="N8694" s="2">
        <f t="shared" si="407"/>
        <v>8.0790355416065829E-2</v>
      </c>
    </row>
    <row r="8695" spans="1:14" x14ac:dyDescent="0.45">
      <c r="A8695" t="s">
        <v>14346</v>
      </c>
      <c r="B8695" s="1">
        <v>45098</v>
      </c>
      <c r="C8695" t="s">
        <v>2646</v>
      </c>
      <c r="D8695" t="s">
        <v>26</v>
      </c>
      <c r="E8695" t="s">
        <v>14</v>
      </c>
      <c r="F8695" t="s">
        <v>57</v>
      </c>
      <c r="G8695">
        <v>1</v>
      </c>
      <c r="H8695">
        <v>47856.73</v>
      </c>
      <c r="I8695">
        <v>2626.96</v>
      </c>
      <c r="J8695" t="s">
        <v>16</v>
      </c>
      <c r="K8695" t="s">
        <v>23</v>
      </c>
      <c r="L8695">
        <f t="shared" si="405"/>
        <v>2023</v>
      </c>
      <c r="M8695" t="str">
        <f t="shared" si="406"/>
        <v>Jun</v>
      </c>
      <c r="N8695" s="2">
        <f t="shared" si="407"/>
        <v>5.4892175039957802E-2</v>
      </c>
    </row>
    <row r="8696" spans="1:14" x14ac:dyDescent="0.45">
      <c r="A8696" t="s">
        <v>14347</v>
      </c>
      <c r="B8696" s="1">
        <v>44903</v>
      </c>
      <c r="C8696" t="s">
        <v>9525</v>
      </c>
      <c r="D8696" t="s">
        <v>13</v>
      </c>
      <c r="E8696" t="s">
        <v>20</v>
      </c>
      <c r="F8696" t="s">
        <v>27</v>
      </c>
      <c r="G8696">
        <v>3</v>
      </c>
      <c r="H8696">
        <v>33755.279999999999</v>
      </c>
      <c r="I8696">
        <v>7694.4</v>
      </c>
      <c r="J8696" t="s">
        <v>22</v>
      </c>
      <c r="K8696" t="s">
        <v>23</v>
      </c>
      <c r="L8696">
        <f t="shared" si="405"/>
        <v>2022</v>
      </c>
      <c r="M8696" t="str">
        <f t="shared" si="406"/>
        <v>Dec</v>
      </c>
      <c r="N8696" s="2">
        <f t="shared" si="407"/>
        <v>0.22794656124908458</v>
      </c>
    </row>
    <row r="8697" spans="1:14" x14ac:dyDescent="0.45">
      <c r="A8697" t="s">
        <v>14348</v>
      </c>
      <c r="B8697" s="1">
        <v>45422</v>
      </c>
      <c r="C8697" t="s">
        <v>14349</v>
      </c>
      <c r="D8697" t="s">
        <v>13</v>
      </c>
      <c r="E8697" t="s">
        <v>20</v>
      </c>
      <c r="F8697" t="s">
        <v>50</v>
      </c>
      <c r="G8697">
        <v>2</v>
      </c>
      <c r="H8697">
        <v>7732.09</v>
      </c>
      <c r="I8697">
        <v>1826.41</v>
      </c>
      <c r="J8697" t="s">
        <v>16</v>
      </c>
      <c r="K8697" t="s">
        <v>23</v>
      </c>
      <c r="L8697">
        <f t="shared" si="405"/>
        <v>2024</v>
      </c>
      <c r="M8697" t="str">
        <f t="shared" si="406"/>
        <v>May</v>
      </c>
      <c r="N8697" s="2">
        <f t="shared" si="407"/>
        <v>0.23621168403368301</v>
      </c>
    </row>
    <row r="8698" spans="1:14" x14ac:dyDescent="0.45">
      <c r="A8698" t="s">
        <v>14350</v>
      </c>
      <c r="B8698" s="1">
        <v>44887</v>
      </c>
      <c r="C8698" t="s">
        <v>14351</v>
      </c>
      <c r="D8698" t="s">
        <v>56</v>
      </c>
      <c r="E8698" t="s">
        <v>36</v>
      </c>
      <c r="F8698" t="s">
        <v>46</v>
      </c>
      <c r="G8698">
        <v>2</v>
      </c>
      <c r="H8698">
        <v>25241.040000000001</v>
      </c>
      <c r="I8698">
        <v>3985.38</v>
      </c>
      <c r="J8698" t="s">
        <v>47</v>
      </c>
      <c r="K8698" t="s">
        <v>29</v>
      </c>
      <c r="L8698">
        <f t="shared" si="405"/>
        <v>2022</v>
      </c>
      <c r="M8698" t="str">
        <f t="shared" si="406"/>
        <v>Nov</v>
      </c>
      <c r="N8698" s="2">
        <f t="shared" si="407"/>
        <v>0.15789286019910431</v>
      </c>
    </row>
    <row r="8699" spans="1:14" x14ac:dyDescent="0.45">
      <c r="A8699" t="s">
        <v>14352</v>
      </c>
      <c r="B8699" s="1">
        <v>45436</v>
      </c>
      <c r="C8699" t="s">
        <v>14353</v>
      </c>
      <c r="D8699" t="s">
        <v>26</v>
      </c>
      <c r="E8699" t="s">
        <v>14</v>
      </c>
      <c r="F8699" t="s">
        <v>32</v>
      </c>
      <c r="G8699">
        <v>3</v>
      </c>
      <c r="H8699">
        <v>34935.4</v>
      </c>
      <c r="I8699">
        <v>6444.09</v>
      </c>
      <c r="J8699" t="s">
        <v>47</v>
      </c>
      <c r="K8699" t="s">
        <v>23</v>
      </c>
      <c r="L8699">
        <f t="shared" si="405"/>
        <v>2024</v>
      </c>
      <c r="M8699" t="str">
        <f t="shared" si="406"/>
        <v>May</v>
      </c>
      <c r="N8699" s="2">
        <f t="shared" si="407"/>
        <v>0.18445731263990106</v>
      </c>
    </row>
    <row r="8700" spans="1:14" x14ac:dyDescent="0.45">
      <c r="A8700" t="s">
        <v>14354</v>
      </c>
      <c r="B8700" s="1">
        <v>44879</v>
      </c>
      <c r="C8700" t="s">
        <v>3281</v>
      </c>
      <c r="D8700" t="s">
        <v>13</v>
      </c>
      <c r="E8700" t="s">
        <v>20</v>
      </c>
      <c r="F8700" t="s">
        <v>27</v>
      </c>
      <c r="G8700">
        <v>1</v>
      </c>
      <c r="H8700">
        <v>9480.19</v>
      </c>
      <c r="I8700">
        <v>505.04</v>
      </c>
      <c r="J8700" t="s">
        <v>16</v>
      </c>
      <c r="K8700" t="s">
        <v>29</v>
      </c>
      <c r="L8700">
        <f t="shared" si="405"/>
        <v>2022</v>
      </c>
      <c r="M8700" t="str">
        <f t="shared" si="406"/>
        <v>Nov</v>
      </c>
      <c r="N8700" s="2">
        <f t="shared" si="407"/>
        <v>5.3273193891683605E-2</v>
      </c>
    </row>
    <row r="8701" spans="1:14" x14ac:dyDescent="0.45">
      <c r="A8701" t="s">
        <v>14355</v>
      </c>
      <c r="B8701" s="1">
        <v>45241</v>
      </c>
      <c r="C8701" t="s">
        <v>14356</v>
      </c>
      <c r="D8701" t="s">
        <v>13</v>
      </c>
      <c r="E8701" t="s">
        <v>14</v>
      </c>
      <c r="F8701" t="s">
        <v>57</v>
      </c>
      <c r="G8701">
        <v>5</v>
      </c>
      <c r="H8701">
        <v>49802.05</v>
      </c>
      <c r="I8701">
        <v>5489.55</v>
      </c>
      <c r="J8701" t="s">
        <v>47</v>
      </c>
      <c r="K8701" t="s">
        <v>17</v>
      </c>
      <c r="L8701">
        <f t="shared" si="405"/>
        <v>2023</v>
      </c>
      <c r="M8701" t="str">
        <f t="shared" si="406"/>
        <v>Nov</v>
      </c>
      <c r="N8701" s="2">
        <f t="shared" si="407"/>
        <v>0.11022739023795206</v>
      </c>
    </row>
    <row r="8702" spans="1:14" x14ac:dyDescent="0.45">
      <c r="A8702" t="s">
        <v>14357</v>
      </c>
      <c r="B8702" s="1">
        <v>44774</v>
      </c>
      <c r="C8702" t="s">
        <v>6092</v>
      </c>
      <c r="D8702" t="s">
        <v>26</v>
      </c>
      <c r="E8702" t="s">
        <v>14</v>
      </c>
      <c r="F8702" t="s">
        <v>57</v>
      </c>
      <c r="G8702">
        <v>1</v>
      </c>
      <c r="H8702">
        <v>24332.080000000002</v>
      </c>
      <c r="I8702">
        <v>2582.8000000000002</v>
      </c>
      <c r="J8702" t="s">
        <v>22</v>
      </c>
      <c r="K8702" t="s">
        <v>29</v>
      </c>
      <c r="L8702">
        <f t="shared" si="405"/>
        <v>2022</v>
      </c>
      <c r="M8702" t="str">
        <f t="shared" si="406"/>
        <v>Aug</v>
      </c>
      <c r="N8702" s="2">
        <f t="shared" si="407"/>
        <v>0.10614793309901989</v>
      </c>
    </row>
    <row r="8703" spans="1:14" x14ac:dyDescent="0.45">
      <c r="A8703" t="s">
        <v>14358</v>
      </c>
      <c r="B8703" s="1">
        <v>45034</v>
      </c>
      <c r="C8703" t="s">
        <v>4256</v>
      </c>
      <c r="D8703" t="s">
        <v>56</v>
      </c>
      <c r="E8703" t="s">
        <v>36</v>
      </c>
      <c r="F8703" t="s">
        <v>37</v>
      </c>
      <c r="G8703">
        <v>2</v>
      </c>
      <c r="H8703">
        <v>33072.61</v>
      </c>
      <c r="I8703">
        <v>7518.38</v>
      </c>
      <c r="J8703" t="s">
        <v>71</v>
      </c>
      <c r="K8703" t="s">
        <v>23</v>
      </c>
      <c r="L8703">
        <f t="shared" si="405"/>
        <v>2023</v>
      </c>
      <c r="M8703" t="str">
        <f t="shared" si="406"/>
        <v>Apr</v>
      </c>
      <c r="N8703" s="2">
        <f t="shared" si="407"/>
        <v>0.22732950317498377</v>
      </c>
    </row>
    <row r="8704" spans="1:14" x14ac:dyDescent="0.45">
      <c r="A8704" t="s">
        <v>14359</v>
      </c>
      <c r="B8704" s="1">
        <v>45371</v>
      </c>
      <c r="C8704" t="s">
        <v>14360</v>
      </c>
      <c r="D8704" t="s">
        <v>26</v>
      </c>
      <c r="E8704" t="s">
        <v>14</v>
      </c>
      <c r="F8704" t="s">
        <v>15</v>
      </c>
      <c r="G8704">
        <v>3</v>
      </c>
      <c r="H8704">
        <v>6115.42</v>
      </c>
      <c r="I8704">
        <v>1140.3399999999999</v>
      </c>
      <c r="J8704" t="s">
        <v>16</v>
      </c>
      <c r="K8704" t="s">
        <v>29</v>
      </c>
      <c r="L8704">
        <f t="shared" si="405"/>
        <v>2024</v>
      </c>
      <c r="M8704" t="str">
        <f t="shared" si="406"/>
        <v>Mar</v>
      </c>
      <c r="N8704" s="2">
        <f t="shared" si="407"/>
        <v>0.18646961288022734</v>
      </c>
    </row>
    <row r="8705" spans="1:14" x14ac:dyDescent="0.45">
      <c r="A8705" t="s">
        <v>14361</v>
      </c>
      <c r="B8705" s="1">
        <v>44941</v>
      </c>
      <c r="C8705" t="s">
        <v>14362</v>
      </c>
      <c r="D8705" t="s">
        <v>26</v>
      </c>
      <c r="E8705" t="s">
        <v>20</v>
      </c>
      <c r="F8705" t="s">
        <v>50</v>
      </c>
      <c r="G8705">
        <v>4</v>
      </c>
      <c r="H8705">
        <v>3338.63</v>
      </c>
      <c r="I8705">
        <v>168.36</v>
      </c>
      <c r="J8705" t="s">
        <v>28</v>
      </c>
      <c r="K8705" t="s">
        <v>17</v>
      </c>
      <c r="L8705">
        <f t="shared" si="405"/>
        <v>2023</v>
      </c>
      <c r="M8705" t="str">
        <f t="shared" si="406"/>
        <v>Jan</v>
      </c>
      <c r="N8705" s="2">
        <f t="shared" si="407"/>
        <v>5.0427870114388242E-2</v>
      </c>
    </row>
    <row r="8706" spans="1:14" x14ac:dyDescent="0.45">
      <c r="A8706" t="s">
        <v>14363</v>
      </c>
      <c r="B8706" s="1">
        <v>45253</v>
      </c>
      <c r="C8706" t="s">
        <v>14364</v>
      </c>
      <c r="D8706" t="s">
        <v>13</v>
      </c>
      <c r="E8706" t="s">
        <v>36</v>
      </c>
      <c r="F8706" t="s">
        <v>64</v>
      </c>
      <c r="G8706">
        <v>2</v>
      </c>
      <c r="H8706">
        <v>2351.89</v>
      </c>
      <c r="I8706">
        <v>320.68</v>
      </c>
      <c r="J8706" t="s">
        <v>16</v>
      </c>
      <c r="K8706" t="s">
        <v>17</v>
      </c>
      <c r="L8706">
        <f t="shared" si="405"/>
        <v>2023</v>
      </c>
      <c r="M8706" t="str">
        <f t="shared" si="406"/>
        <v>Nov</v>
      </c>
      <c r="N8706" s="2">
        <f t="shared" si="407"/>
        <v>0.13634991432422436</v>
      </c>
    </row>
    <row r="8707" spans="1:14" x14ac:dyDescent="0.45">
      <c r="A8707" t="s">
        <v>14365</v>
      </c>
      <c r="B8707" s="1">
        <v>45433</v>
      </c>
      <c r="C8707" t="s">
        <v>10467</v>
      </c>
      <c r="D8707" t="s">
        <v>56</v>
      </c>
      <c r="E8707" t="s">
        <v>36</v>
      </c>
      <c r="F8707" t="s">
        <v>53</v>
      </c>
      <c r="G8707">
        <v>3</v>
      </c>
      <c r="H8707">
        <v>24676.45</v>
      </c>
      <c r="I8707">
        <v>5391.82</v>
      </c>
      <c r="J8707" t="s">
        <v>71</v>
      </c>
      <c r="K8707" t="s">
        <v>23</v>
      </c>
      <c r="L8707">
        <f t="shared" ref="L8707:L8770" si="408">YEAR(B8707 )</f>
        <v>2024</v>
      </c>
      <c r="M8707" t="str">
        <f t="shared" ref="M8707:M8770" si="409">TEXT(B8707,"MMM")</f>
        <v>May</v>
      </c>
      <c r="N8707" s="2">
        <f t="shared" ref="N8707:N8770" si="410">I8707 / H8707</f>
        <v>0.21850063522103055</v>
      </c>
    </row>
    <row r="8708" spans="1:14" x14ac:dyDescent="0.45">
      <c r="A8708" t="s">
        <v>14366</v>
      </c>
      <c r="B8708" s="1">
        <v>45470</v>
      </c>
      <c r="C8708" t="s">
        <v>1356</v>
      </c>
      <c r="D8708" t="s">
        <v>56</v>
      </c>
      <c r="E8708" t="s">
        <v>14</v>
      </c>
      <c r="F8708" t="s">
        <v>40</v>
      </c>
      <c r="G8708">
        <v>2</v>
      </c>
      <c r="H8708">
        <v>40569.29</v>
      </c>
      <c r="I8708">
        <v>6148.8</v>
      </c>
      <c r="J8708" t="s">
        <v>16</v>
      </c>
      <c r="K8708" t="s">
        <v>17</v>
      </c>
      <c r="L8708">
        <f t="shared" si="408"/>
        <v>2024</v>
      </c>
      <c r="M8708" t="str">
        <f t="shared" si="409"/>
        <v>Jun</v>
      </c>
      <c r="N8708" s="2">
        <f t="shared" si="410"/>
        <v>0.15156291865102889</v>
      </c>
    </row>
    <row r="8709" spans="1:14" x14ac:dyDescent="0.45">
      <c r="A8709" t="s">
        <v>14367</v>
      </c>
      <c r="B8709" s="1">
        <v>45351</v>
      </c>
      <c r="C8709" t="s">
        <v>3711</v>
      </c>
      <c r="D8709" t="s">
        <v>26</v>
      </c>
      <c r="E8709" t="s">
        <v>36</v>
      </c>
      <c r="F8709" t="s">
        <v>37</v>
      </c>
      <c r="G8709">
        <v>5</v>
      </c>
      <c r="H8709">
        <v>10929.5</v>
      </c>
      <c r="I8709">
        <v>1997.19</v>
      </c>
      <c r="J8709" t="s">
        <v>71</v>
      </c>
      <c r="K8709" t="s">
        <v>17</v>
      </c>
      <c r="L8709">
        <f t="shared" si="408"/>
        <v>2024</v>
      </c>
      <c r="M8709" t="str">
        <f t="shared" si="409"/>
        <v>Feb</v>
      </c>
      <c r="N8709" s="2">
        <f t="shared" si="410"/>
        <v>0.18273388535614621</v>
      </c>
    </row>
    <row r="8710" spans="1:14" x14ac:dyDescent="0.45">
      <c r="A8710" t="s">
        <v>14368</v>
      </c>
      <c r="B8710" s="1">
        <v>44668</v>
      </c>
      <c r="C8710" t="s">
        <v>3470</v>
      </c>
      <c r="D8710" t="s">
        <v>56</v>
      </c>
      <c r="E8710" t="s">
        <v>14</v>
      </c>
      <c r="F8710" t="s">
        <v>57</v>
      </c>
      <c r="G8710">
        <v>3</v>
      </c>
      <c r="H8710">
        <v>24562.74</v>
      </c>
      <c r="I8710">
        <v>5000.1499999999996</v>
      </c>
      <c r="J8710" t="s">
        <v>47</v>
      </c>
      <c r="K8710" t="s">
        <v>33</v>
      </c>
      <c r="L8710">
        <f t="shared" si="408"/>
        <v>2022</v>
      </c>
      <c r="M8710" t="str">
        <f t="shared" si="409"/>
        <v>Apr</v>
      </c>
      <c r="N8710" s="2">
        <f t="shared" si="410"/>
        <v>0.20356645879083521</v>
      </c>
    </row>
    <row r="8711" spans="1:14" x14ac:dyDescent="0.45">
      <c r="A8711" t="s">
        <v>14369</v>
      </c>
      <c r="B8711" s="1">
        <v>45091</v>
      </c>
      <c r="C8711" t="s">
        <v>5466</v>
      </c>
      <c r="D8711" t="s">
        <v>26</v>
      </c>
      <c r="E8711" t="s">
        <v>14</v>
      </c>
      <c r="F8711" t="s">
        <v>15</v>
      </c>
      <c r="G8711">
        <v>3</v>
      </c>
      <c r="H8711">
        <v>16727.009999999998</v>
      </c>
      <c r="I8711">
        <v>3894.88</v>
      </c>
      <c r="J8711" t="s">
        <v>16</v>
      </c>
      <c r="K8711" t="s">
        <v>29</v>
      </c>
      <c r="L8711">
        <f t="shared" si="408"/>
        <v>2023</v>
      </c>
      <c r="M8711" t="str">
        <f t="shared" si="409"/>
        <v>Jun</v>
      </c>
      <c r="N8711" s="2">
        <f t="shared" si="410"/>
        <v>0.23284974421609125</v>
      </c>
    </row>
    <row r="8712" spans="1:14" x14ac:dyDescent="0.45">
      <c r="A8712" t="s">
        <v>14370</v>
      </c>
      <c r="B8712" s="1">
        <v>45131</v>
      </c>
      <c r="C8712" t="s">
        <v>1796</v>
      </c>
      <c r="D8712" t="s">
        <v>56</v>
      </c>
      <c r="E8712" t="s">
        <v>20</v>
      </c>
      <c r="F8712" t="s">
        <v>50</v>
      </c>
      <c r="G8712">
        <v>2</v>
      </c>
      <c r="H8712">
        <v>44691.49</v>
      </c>
      <c r="I8712">
        <v>10500.05</v>
      </c>
      <c r="J8712" t="s">
        <v>47</v>
      </c>
      <c r="K8712" t="s">
        <v>29</v>
      </c>
      <c r="L8712">
        <f t="shared" si="408"/>
        <v>2023</v>
      </c>
      <c r="M8712" t="str">
        <f t="shared" si="409"/>
        <v>Jul</v>
      </c>
      <c r="N8712" s="2">
        <f t="shared" si="410"/>
        <v>0.23494517636355378</v>
      </c>
    </row>
    <row r="8713" spans="1:14" x14ac:dyDescent="0.45">
      <c r="A8713" t="s">
        <v>14371</v>
      </c>
      <c r="B8713" s="1">
        <v>45378</v>
      </c>
      <c r="C8713" t="s">
        <v>14372</v>
      </c>
      <c r="D8713" t="s">
        <v>13</v>
      </c>
      <c r="E8713" t="s">
        <v>36</v>
      </c>
      <c r="F8713" t="s">
        <v>46</v>
      </c>
      <c r="G8713">
        <v>5</v>
      </c>
      <c r="H8713">
        <v>16773.95</v>
      </c>
      <c r="I8713">
        <v>2047.26</v>
      </c>
      <c r="J8713" t="s">
        <v>16</v>
      </c>
      <c r="K8713" t="s">
        <v>23</v>
      </c>
      <c r="L8713">
        <f t="shared" si="408"/>
        <v>2024</v>
      </c>
      <c r="M8713" t="str">
        <f t="shared" si="409"/>
        <v>Mar</v>
      </c>
      <c r="N8713" s="2">
        <f t="shared" si="410"/>
        <v>0.1220499643792905</v>
      </c>
    </row>
    <row r="8714" spans="1:14" x14ac:dyDescent="0.45">
      <c r="A8714" t="s">
        <v>14373</v>
      </c>
      <c r="B8714" s="1">
        <v>45405</v>
      </c>
      <c r="C8714" t="s">
        <v>10445</v>
      </c>
      <c r="D8714" t="s">
        <v>26</v>
      </c>
      <c r="E8714" t="s">
        <v>20</v>
      </c>
      <c r="F8714" t="s">
        <v>27</v>
      </c>
      <c r="G8714">
        <v>5</v>
      </c>
      <c r="H8714">
        <v>40867.71</v>
      </c>
      <c r="I8714">
        <v>9694.94</v>
      </c>
      <c r="J8714" t="s">
        <v>47</v>
      </c>
      <c r="K8714" t="s">
        <v>23</v>
      </c>
      <c r="L8714">
        <f t="shared" si="408"/>
        <v>2024</v>
      </c>
      <c r="M8714" t="str">
        <f t="shared" si="409"/>
        <v>Apr</v>
      </c>
      <c r="N8714" s="2">
        <f t="shared" si="410"/>
        <v>0.23722738563036688</v>
      </c>
    </row>
    <row r="8715" spans="1:14" x14ac:dyDescent="0.45">
      <c r="A8715" t="s">
        <v>14374</v>
      </c>
      <c r="B8715" s="1">
        <v>44906</v>
      </c>
      <c r="C8715" t="s">
        <v>1520</v>
      </c>
      <c r="D8715" t="s">
        <v>13</v>
      </c>
      <c r="E8715" t="s">
        <v>20</v>
      </c>
      <c r="F8715" t="s">
        <v>43</v>
      </c>
      <c r="G8715">
        <v>3</v>
      </c>
      <c r="H8715">
        <v>14889.47</v>
      </c>
      <c r="I8715">
        <v>3014.08</v>
      </c>
      <c r="J8715" t="s">
        <v>71</v>
      </c>
      <c r="K8715" t="s">
        <v>17</v>
      </c>
      <c r="L8715">
        <f t="shared" si="408"/>
        <v>2022</v>
      </c>
      <c r="M8715" t="str">
        <f t="shared" si="409"/>
        <v>Dec</v>
      </c>
      <c r="N8715" s="2">
        <f t="shared" si="410"/>
        <v>0.20243030813051102</v>
      </c>
    </row>
    <row r="8716" spans="1:14" x14ac:dyDescent="0.45">
      <c r="A8716" t="s">
        <v>14375</v>
      </c>
      <c r="B8716" s="1">
        <v>45513</v>
      </c>
      <c r="C8716" t="s">
        <v>14376</v>
      </c>
      <c r="D8716" t="s">
        <v>56</v>
      </c>
      <c r="E8716" t="s">
        <v>20</v>
      </c>
      <c r="F8716" t="s">
        <v>50</v>
      </c>
      <c r="G8716">
        <v>3</v>
      </c>
      <c r="H8716">
        <v>47884.33</v>
      </c>
      <c r="I8716">
        <v>7894.56</v>
      </c>
      <c r="J8716" t="s">
        <v>47</v>
      </c>
      <c r="K8716" t="s">
        <v>29</v>
      </c>
      <c r="L8716">
        <f t="shared" si="408"/>
        <v>2024</v>
      </c>
      <c r="M8716" t="str">
        <f t="shared" si="409"/>
        <v>Aug</v>
      </c>
      <c r="N8716" s="2">
        <f t="shared" si="410"/>
        <v>0.16486729583561052</v>
      </c>
    </row>
    <row r="8717" spans="1:14" x14ac:dyDescent="0.45">
      <c r="A8717" t="s">
        <v>14377</v>
      </c>
      <c r="B8717" s="1">
        <v>44682</v>
      </c>
      <c r="C8717" t="s">
        <v>206</v>
      </c>
      <c r="D8717" t="s">
        <v>26</v>
      </c>
      <c r="E8717" t="s">
        <v>36</v>
      </c>
      <c r="F8717" t="s">
        <v>64</v>
      </c>
      <c r="G8717">
        <v>5</v>
      </c>
      <c r="H8717">
        <v>35356.71</v>
      </c>
      <c r="I8717">
        <v>3229.28</v>
      </c>
      <c r="J8717" t="s">
        <v>47</v>
      </c>
      <c r="K8717" t="s">
        <v>23</v>
      </c>
      <c r="L8717">
        <f t="shared" si="408"/>
        <v>2022</v>
      </c>
      <c r="M8717" t="str">
        <f t="shared" si="409"/>
        <v>May</v>
      </c>
      <c r="N8717" s="2">
        <f t="shared" si="410"/>
        <v>9.1334289870296195E-2</v>
      </c>
    </row>
    <row r="8718" spans="1:14" x14ac:dyDescent="0.45">
      <c r="A8718" t="s">
        <v>14378</v>
      </c>
      <c r="B8718" s="1">
        <v>45603</v>
      </c>
      <c r="C8718" t="s">
        <v>5931</v>
      </c>
      <c r="D8718" t="s">
        <v>26</v>
      </c>
      <c r="E8718" t="s">
        <v>20</v>
      </c>
      <c r="F8718" t="s">
        <v>43</v>
      </c>
      <c r="G8718">
        <v>2</v>
      </c>
      <c r="H8718">
        <v>3111.06</v>
      </c>
      <c r="I8718">
        <v>477.34</v>
      </c>
      <c r="J8718" t="s">
        <v>71</v>
      </c>
      <c r="K8718" t="s">
        <v>17</v>
      </c>
      <c r="L8718">
        <f t="shared" si="408"/>
        <v>2024</v>
      </c>
      <c r="M8718" t="str">
        <f t="shared" si="409"/>
        <v>Nov</v>
      </c>
      <c r="N8718" s="2">
        <f t="shared" si="410"/>
        <v>0.15343323497457459</v>
      </c>
    </row>
    <row r="8719" spans="1:14" x14ac:dyDescent="0.45">
      <c r="A8719" t="s">
        <v>14379</v>
      </c>
      <c r="B8719" s="1">
        <v>44697</v>
      </c>
      <c r="C8719" t="s">
        <v>14380</v>
      </c>
      <c r="D8719" t="s">
        <v>13</v>
      </c>
      <c r="E8719" t="s">
        <v>14</v>
      </c>
      <c r="F8719" t="s">
        <v>57</v>
      </c>
      <c r="G8719">
        <v>2</v>
      </c>
      <c r="H8719">
        <v>36381.949999999997</v>
      </c>
      <c r="I8719">
        <v>5442.88</v>
      </c>
      <c r="J8719" t="s">
        <v>28</v>
      </c>
      <c r="K8719" t="s">
        <v>33</v>
      </c>
      <c r="L8719">
        <f t="shared" si="408"/>
        <v>2022</v>
      </c>
      <c r="M8719" t="str">
        <f t="shared" si="409"/>
        <v>May</v>
      </c>
      <c r="N8719" s="2">
        <f t="shared" si="410"/>
        <v>0.14960385575814383</v>
      </c>
    </row>
    <row r="8720" spans="1:14" x14ac:dyDescent="0.45">
      <c r="A8720" t="s">
        <v>14381</v>
      </c>
      <c r="B8720" s="1">
        <v>45538</v>
      </c>
      <c r="C8720" t="s">
        <v>6189</v>
      </c>
      <c r="D8720" t="s">
        <v>56</v>
      </c>
      <c r="E8720" t="s">
        <v>20</v>
      </c>
      <c r="F8720" t="s">
        <v>27</v>
      </c>
      <c r="G8720">
        <v>4</v>
      </c>
      <c r="H8720">
        <v>24673.34</v>
      </c>
      <c r="I8720">
        <v>1803.49</v>
      </c>
      <c r="J8720" t="s">
        <v>16</v>
      </c>
      <c r="K8720" t="s">
        <v>33</v>
      </c>
      <c r="L8720">
        <f t="shared" si="408"/>
        <v>2024</v>
      </c>
      <c r="M8720" t="str">
        <f t="shared" si="409"/>
        <v>Sep</v>
      </c>
      <c r="N8720" s="2">
        <f t="shared" si="410"/>
        <v>7.309468438403556E-2</v>
      </c>
    </row>
    <row r="8721" spans="1:14" x14ac:dyDescent="0.45">
      <c r="A8721" t="s">
        <v>14382</v>
      </c>
      <c r="B8721" s="1">
        <v>44904</v>
      </c>
      <c r="C8721" t="s">
        <v>7278</v>
      </c>
      <c r="D8721" t="s">
        <v>13</v>
      </c>
      <c r="E8721" t="s">
        <v>14</v>
      </c>
      <c r="F8721" t="s">
        <v>57</v>
      </c>
      <c r="G8721">
        <v>3</v>
      </c>
      <c r="H8721">
        <v>47142.38</v>
      </c>
      <c r="I8721">
        <v>7561.2</v>
      </c>
      <c r="J8721" t="s">
        <v>47</v>
      </c>
      <c r="K8721" t="s">
        <v>23</v>
      </c>
      <c r="L8721">
        <f t="shared" si="408"/>
        <v>2022</v>
      </c>
      <c r="M8721" t="str">
        <f t="shared" si="409"/>
        <v>Dec</v>
      </c>
      <c r="N8721" s="2">
        <f t="shared" si="410"/>
        <v>0.16039071425753218</v>
      </c>
    </row>
    <row r="8722" spans="1:14" x14ac:dyDescent="0.45">
      <c r="A8722" t="s">
        <v>14383</v>
      </c>
      <c r="B8722" s="1">
        <v>45400</v>
      </c>
      <c r="C8722" t="s">
        <v>14384</v>
      </c>
      <c r="D8722" t="s">
        <v>13</v>
      </c>
      <c r="E8722" t="s">
        <v>20</v>
      </c>
      <c r="F8722" t="s">
        <v>50</v>
      </c>
      <c r="G8722">
        <v>4</v>
      </c>
      <c r="H8722">
        <v>4530.05</v>
      </c>
      <c r="I8722">
        <v>330.63</v>
      </c>
      <c r="J8722" t="s">
        <v>22</v>
      </c>
      <c r="K8722" t="s">
        <v>29</v>
      </c>
      <c r="L8722">
        <f t="shared" si="408"/>
        <v>2024</v>
      </c>
      <c r="M8722" t="str">
        <f t="shared" si="409"/>
        <v>Apr</v>
      </c>
      <c r="N8722" s="2">
        <f t="shared" si="410"/>
        <v>7.2985949382457144E-2</v>
      </c>
    </row>
    <row r="8723" spans="1:14" x14ac:dyDescent="0.45">
      <c r="A8723" t="s">
        <v>14385</v>
      </c>
      <c r="B8723" s="1">
        <v>44825</v>
      </c>
      <c r="C8723" t="s">
        <v>8995</v>
      </c>
      <c r="D8723" t="s">
        <v>26</v>
      </c>
      <c r="E8723" t="s">
        <v>14</v>
      </c>
      <c r="F8723" t="s">
        <v>57</v>
      </c>
      <c r="G8723">
        <v>4</v>
      </c>
      <c r="H8723">
        <v>5724.26</v>
      </c>
      <c r="I8723">
        <v>798.32</v>
      </c>
      <c r="J8723" t="s">
        <v>16</v>
      </c>
      <c r="K8723" t="s">
        <v>29</v>
      </c>
      <c r="L8723">
        <f t="shared" si="408"/>
        <v>2022</v>
      </c>
      <c r="M8723" t="str">
        <f t="shared" si="409"/>
        <v>Sep</v>
      </c>
      <c r="N8723" s="2">
        <f t="shared" si="410"/>
        <v>0.13946256808740345</v>
      </c>
    </row>
    <row r="8724" spans="1:14" x14ac:dyDescent="0.45">
      <c r="A8724" t="s">
        <v>14386</v>
      </c>
      <c r="B8724" s="1">
        <v>44957</v>
      </c>
      <c r="C8724" t="s">
        <v>4440</v>
      </c>
      <c r="D8724" t="s">
        <v>26</v>
      </c>
      <c r="E8724" t="s">
        <v>14</v>
      </c>
      <c r="F8724" t="s">
        <v>32</v>
      </c>
      <c r="G8724">
        <v>1</v>
      </c>
      <c r="H8724">
        <v>35912.04</v>
      </c>
      <c r="I8724">
        <v>8950.9599999999991</v>
      </c>
      <c r="J8724" t="s">
        <v>47</v>
      </c>
      <c r="K8724" t="s">
        <v>23</v>
      </c>
      <c r="L8724">
        <f t="shared" si="408"/>
        <v>2023</v>
      </c>
      <c r="M8724" t="str">
        <f t="shared" si="409"/>
        <v>Jan</v>
      </c>
      <c r="N8724" s="2">
        <f t="shared" si="410"/>
        <v>0.24924677072090581</v>
      </c>
    </row>
    <row r="8725" spans="1:14" x14ac:dyDescent="0.45">
      <c r="A8725" t="s">
        <v>14387</v>
      </c>
      <c r="B8725" s="1">
        <v>45040</v>
      </c>
      <c r="C8725" t="s">
        <v>4657</v>
      </c>
      <c r="D8725" t="s">
        <v>13</v>
      </c>
      <c r="E8725" t="s">
        <v>36</v>
      </c>
      <c r="F8725" t="s">
        <v>46</v>
      </c>
      <c r="G8725">
        <v>1</v>
      </c>
      <c r="H8725">
        <v>30067.4</v>
      </c>
      <c r="I8725">
        <v>6417.42</v>
      </c>
      <c r="J8725" t="s">
        <v>16</v>
      </c>
      <c r="K8725" t="s">
        <v>29</v>
      </c>
      <c r="L8725">
        <f t="shared" si="408"/>
        <v>2023</v>
      </c>
      <c r="M8725" t="str">
        <f t="shared" si="409"/>
        <v>Apr</v>
      </c>
      <c r="N8725" s="2">
        <f t="shared" si="410"/>
        <v>0.21343448385959543</v>
      </c>
    </row>
    <row r="8726" spans="1:14" x14ac:dyDescent="0.45">
      <c r="A8726" t="s">
        <v>14388</v>
      </c>
      <c r="B8726" s="1">
        <v>45202</v>
      </c>
      <c r="C8726" t="s">
        <v>7829</v>
      </c>
      <c r="D8726" t="s">
        <v>56</v>
      </c>
      <c r="E8726" t="s">
        <v>14</v>
      </c>
      <c r="F8726" t="s">
        <v>32</v>
      </c>
      <c r="G8726">
        <v>5</v>
      </c>
      <c r="H8726">
        <v>9196.99</v>
      </c>
      <c r="I8726">
        <v>1588.24</v>
      </c>
      <c r="J8726" t="s">
        <v>28</v>
      </c>
      <c r="K8726" t="s">
        <v>23</v>
      </c>
      <c r="L8726">
        <f t="shared" si="408"/>
        <v>2023</v>
      </c>
      <c r="M8726" t="str">
        <f t="shared" si="409"/>
        <v>Oct</v>
      </c>
      <c r="N8726" s="2">
        <f t="shared" si="410"/>
        <v>0.1726912826914023</v>
      </c>
    </row>
    <row r="8727" spans="1:14" x14ac:dyDescent="0.45">
      <c r="A8727" t="s">
        <v>14389</v>
      </c>
      <c r="B8727" s="1">
        <v>45163</v>
      </c>
      <c r="C8727" t="s">
        <v>9247</v>
      </c>
      <c r="D8727" t="s">
        <v>26</v>
      </c>
      <c r="E8727" t="s">
        <v>14</v>
      </c>
      <c r="F8727" t="s">
        <v>40</v>
      </c>
      <c r="G8727">
        <v>2</v>
      </c>
      <c r="H8727">
        <v>44982.55</v>
      </c>
      <c r="I8727">
        <v>2831.75</v>
      </c>
      <c r="J8727" t="s">
        <v>28</v>
      </c>
      <c r="K8727" t="s">
        <v>29</v>
      </c>
      <c r="L8727">
        <f t="shared" si="408"/>
        <v>2023</v>
      </c>
      <c r="M8727" t="str">
        <f t="shared" si="409"/>
        <v>Aug</v>
      </c>
      <c r="N8727" s="2">
        <f t="shared" si="410"/>
        <v>6.2952189237826667E-2</v>
      </c>
    </row>
    <row r="8728" spans="1:14" x14ac:dyDescent="0.45">
      <c r="A8728" t="s">
        <v>14390</v>
      </c>
      <c r="B8728" s="1">
        <v>44884</v>
      </c>
      <c r="C8728" t="s">
        <v>188</v>
      </c>
      <c r="D8728" t="s">
        <v>13</v>
      </c>
      <c r="E8728" t="s">
        <v>36</v>
      </c>
      <c r="F8728" t="s">
        <v>64</v>
      </c>
      <c r="G8728">
        <v>2</v>
      </c>
      <c r="H8728">
        <v>9238.17</v>
      </c>
      <c r="I8728">
        <v>2138.87</v>
      </c>
      <c r="J8728" t="s">
        <v>16</v>
      </c>
      <c r="K8728" t="s">
        <v>29</v>
      </c>
      <c r="L8728">
        <f t="shared" si="408"/>
        <v>2022</v>
      </c>
      <c r="M8728" t="str">
        <f t="shared" si="409"/>
        <v>Nov</v>
      </c>
      <c r="N8728" s="2">
        <f t="shared" si="410"/>
        <v>0.23152529126439542</v>
      </c>
    </row>
    <row r="8729" spans="1:14" x14ac:dyDescent="0.45">
      <c r="A8729" t="s">
        <v>14391</v>
      </c>
      <c r="B8729" s="1">
        <v>45088</v>
      </c>
      <c r="C8729" t="s">
        <v>1631</v>
      </c>
      <c r="D8729" t="s">
        <v>13</v>
      </c>
      <c r="E8729" t="s">
        <v>20</v>
      </c>
      <c r="F8729" t="s">
        <v>21</v>
      </c>
      <c r="G8729">
        <v>1</v>
      </c>
      <c r="H8729">
        <v>24920.18</v>
      </c>
      <c r="I8729">
        <v>3995.61</v>
      </c>
      <c r="J8729" t="s">
        <v>16</v>
      </c>
      <c r="K8729" t="s">
        <v>23</v>
      </c>
      <c r="L8729">
        <f t="shared" si="408"/>
        <v>2023</v>
      </c>
      <c r="M8729" t="str">
        <f t="shared" si="409"/>
        <v>Jun</v>
      </c>
      <c r="N8729" s="2">
        <f t="shared" si="410"/>
        <v>0.16033632180826946</v>
      </c>
    </row>
    <row r="8730" spans="1:14" x14ac:dyDescent="0.45">
      <c r="A8730" t="s">
        <v>14392</v>
      </c>
      <c r="B8730" s="1">
        <v>45073</v>
      </c>
      <c r="C8730" t="s">
        <v>14393</v>
      </c>
      <c r="D8730" t="s">
        <v>26</v>
      </c>
      <c r="E8730" t="s">
        <v>36</v>
      </c>
      <c r="F8730" t="s">
        <v>37</v>
      </c>
      <c r="G8730">
        <v>1</v>
      </c>
      <c r="H8730">
        <v>32833.06</v>
      </c>
      <c r="I8730">
        <v>2296.77</v>
      </c>
      <c r="J8730" t="s">
        <v>16</v>
      </c>
      <c r="K8730" t="s">
        <v>17</v>
      </c>
      <c r="L8730">
        <f t="shared" si="408"/>
        <v>2023</v>
      </c>
      <c r="M8730" t="str">
        <f t="shared" si="409"/>
        <v>May</v>
      </c>
      <c r="N8730" s="2">
        <f t="shared" si="410"/>
        <v>6.9952968136384491E-2</v>
      </c>
    </row>
    <row r="8731" spans="1:14" x14ac:dyDescent="0.45">
      <c r="A8731" t="s">
        <v>14394</v>
      </c>
      <c r="B8731" s="1">
        <v>44967</v>
      </c>
      <c r="C8731" t="s">
        <v>11521</v>
      </c>
      <c r="D8731" t="s">
        <v>13</v>
      </c>
      <c r="E8731" t="s">
        <v>36</v>
      </c>
      <c r="F8731" t="s">
        <v>46</v>
      </c>
      <c r="G8731">
        <v>3</v>
      </c>
      <c r="H8731">
        <v>47227.23</v>
      </c>
      <c r="I8731">
        <v>8698.86</v>
      </c>
      <c r="J8731" t="s">
        <v>28</v>
      </c>
      <c r="K8731" t="s">
        <v>33</v>
      </c>
      <c r="L8731">
        <f t="shared" si="408"/>
        <v>2023</v>
      </c>
      <c r="M8731" t="str">
        <f t="shared" si="409"/>
        <v>Feb</v>
      </c>
      <c r="N8731" s="2">
        <f t="shared" si="410"/>
        <v>0.18419161996161959</v>
      </c>
    </row>
    <row r="8732" spans="1:14" x14ac:dyDescent="0.45">
      <c r="A8732" t="s">
        <v>14395</v>
      </c>
      <c r="B8732" s="1">
        <v>44804</v>
      </c>
      <c r="C8732" t="s">
        <v>2003</v>
      </c>
      <c r="D8732" t="s">
        <v>56</v>
      </c>
      <c r="E8732" t="s">
        <v>14</v>
      </c>
      <c r="F8732" t="s">
        <v>40</v>
      </c>
      <c r="G8732">
        <v>3</v>
      </c>
      <c r="H8732">
        <v>12935.02</v>
      </c>
      <c r="I8732">
        <v>2982.05</v>
      </c>
      <c r="J8732" t="s">
        <v>71</v>
      </c>
      <c r="K8732" t="s">
        <v>33</v>
      </c>
      <c r="L8732">
        <f t="shared" si="408"/>
        <v>2022</v>
      </c>
      <c r="M8732" t="str">
        <f t="shared" si="409"/>
        <v>Aug</v>
      </c>
      <c r="N8732" s="2">
        <f t="shared" si="410"/>
        <v>0.23054081091486522</v>
      </c>
    </row>
    <row r="8733" spans="1:14" x14ac:dyDescent="0.45">
      <c r="A8733" t="s">
        <v>14396</v>
      </c>
      <c r="B8733" s="1">
        <v>44823</v>
      </c>
      <c r="C8733" t="s">
        <v>4830</v>
      </c>
      <c r="D8733" t="s">
        <v>13</v>
      </c>
      <c r="E8733" t="s">
        <v>20</v>
      </c>
      <c r="F8733" t="s">
        <v>50</v>
      </c>
      <c r="G8733">
        <v>2</v>
      </c>
      <c r="H8733">
        <v>25400.49</v>
      </c>
      <c r="I8733">
        <v>3778.5</v>
      </c>
      <c r="J8733" t="s">
        <v>47</v>
      </c>
      <c r="K8733" t="s">
        <v>33</v>
      </c>
      <c r="L8733">
        <f t="shared" si="408"/>
        <v>2022</v>
      </c>
      <c r="M8733" t="str">
        <f t="shared" si="409"/>
        <v>Sep</v>
      </c>
      <c r="N8733" s="2">
        <f t="shared" si="410"/>
        <v>0.14875697279855624</v>
      </c>
    </row>
    <row r="8734" spans="1:14" x14ac:dyDescent="0.45">
      <c r="A8734" t="s">
        <v>14397</v>
      </c>
      <c r="B8734" s="1">
        <v>45645</v>
      </c>
      <c r="C8734" t="s">
        <v>14398</v>
      </c>
      <c r="D8734" t="s">
        <v>56</v>
      </c>
      <c r="E8734" t="s">
        <v>36</v>
      </c>
      <c r="F8734" t="s">
        <v>37</v>
      </c>
      <c r="G8734">
        <v>4</v>
      </c>
      <c r="H8734">
        <v>27330.98</v>
      </c>
      <c r="I8734">
        <v>1827.76</v>
      </c>
      <c r="J8734" t="s">
        <v>16</v>
      </c>
      <c r="K8734" t="s">
        <v>23</v>
      </c>
      <c r="L8734">
        <f t="shared" si="408"/>
        <v>2024</v>
      </c>
      <c r="M8734" t="str">
        <f t="shared" si="409"/>
        <v>Dec</v>
      </c>
      <c r="N8734" s="2">
        <f t="shared" si="410"/>
        <v>6.6875026069317681E-2</v>
      </c>
    </row>
    <row r="8735" spans="1:14" x14ac:dyDescent="0.45">
      <c r="A8735" t="s">
        <v>14399</v>
      </c>
      <c r="B8735" s="1">
        <v>45653</v>
      </c>
      <c r="C8735" t="s">
        <v>6171</v>
      </c>
      <c r="D8735" t="s">
        <v>26</v>
      </c>
      <c r="E8735" t="s">
        <v>14</v>
      </c>
      <c r="F8735" t="s">
        <v>40</v>
      </c>
      <c r="G8735">
        <v>3</v>
      </c>
      <c r="H8735">
        <v>7922.76</v>
      </c>
      <c r="I8735">
        <v>682.47</v>
      </c>
      <c r="J8735" t="s">
        <v>22</v>
      </c>
      <c r="K8735" t="s">
        <v>17</v>
      </c>
      <c r="L8735">
        <f t="shared" si="408"/>
        <v>2024</v>
      </c>
      <c r="M8735" t="str">
        <f t="shared" si="409"/>
        <v>Dec</v>
      </c>
      <c r="N8735" s="2">
        <f t="shared" si="410"/>
        <v>8.6140435908698479E-2</v>
      </c>
    </row>
    <row r="8736" spans="1:14" x14ac:dyDescent="0.45">
      <c r="A8736" t="s">
        <v>14400</v>
      </c>
      <c r="B8736" s="1">
        <v>45076</v>
      </c>
      <c r="C8736" t="s">
        <v>14401</v>
      </c>
      <c r="D8736" t="s">
        <v>26</v>
      </c>
      <c r="E8736" t="s">
        <v>20</v>
      </c>
      <c r="F8736" t="s">
        <v>43</v>
      </c>
      <c r="G8736">
        <v>4</v>
      </c>
      <c r="H8736">
        <v>23385.37</v>
      </c>
      <c r="I8736">
        <v>3880.89</v>
      </c>
      <c r="J8736" t="s">
        <v>71</v>
      </c>
      <c r="K8736" t="s">
        <v>23</v>
      </c>
      <c r="L8736">
        <f t="shared" si="408"/>
        <v>2023</v>
      </c>
      <c r="M8736" t="str">
        <f t="shared" si="409"/>
        <v>May</v>
      </c>
      <c r="N8736" s="2">
        <f t="shared" si="410"/>
        <v>0.16595375655805317</v>
      </c>
    </row>
    <row r="8737" spans="1:14" x14ac:dyDescent="0.45">
      <c r="A8737" t="s">
        <v>14402</v>
      </c>
      <c r="B8737" s="1">
        <v>44623</v>
      </c>
      <c r="C8737" t="s">
        <v>2880</v>
      </c>
      <c r="D8737" t="s">
        <v>56</v>
      </c>
      <c r="E8737" t="s">
        <v>14</v>
      </c>
      <c r="F8737" t="s">
        <v>32</v>
      </c>
      <c r="G8737">
        <v>3</v>
      </c>
      <c r="H8737">
        <v>35870.1</v>
      </c>
      <c r="I8737">
        <v>7035.19</v>
      </c>
      <c r="J8737" t="s">
        <v>28</v>
      </c>
      <c r="K8737" t="s">
        <v>23</v>
      </c>
      <c r="L8737">
        <f t="shared" si="408"/>
        <v>2022</v>
      </c>
      <c r="M8737" t="str">
        <f t="shared" si="409"/>
        <v>Mar</v>
      </c>
      <c r="N8737" s="2">
        <f t="shared" si="410"/>
        <v>0.19612964558225374</v>
      </c>
    </row>
    <row r="8738" spans="1:14" x14ac:dyDescent="0.45">
      <c r="A8738" t="s">
        <v>14403</v>
      </c>
      <c r="B8738" s="1">
        <v>45538</v>
      </c>
      <c r="C8738" t="s">
        <v>9037</v>
      </c>
      <c r="D8738" t="s">
        <v>13</v>
      </c>
      <c r="E8738" t="s">
        <v>36</v>
      </c>
      <c r="F8738" t="s">
        <v>53</v>
      </c>
      <c r="G8738">
        <v>2</v>
      </c>
      <c r="H8738">
        <v>5751</v>
      </c>
      <c r="I8738">
        <v>610.75</v>
      </c>
      <c r="J8738" t="s">
        <v>47</v>
      </c>
      <c r="K8738" t="s">
        <v>17</v>
      </c>
      <c r="L8738">
        <f t="shared" si="408"/>
        <v>2024</v>
      </c>
      <c r="M8738" t="str">
        <f t="shared" si="409"/>
        <v>Sep</v>
      </c>
      <c r="N8738" s="2">
        <f t="shared" si="410"/>
        <v>0.10619892192662146</v>
      </c>
    </row>
    <row r="8739" spans="1:14" x14ac:dyDescent="0.45">
      <c r="A8739" t="s">
        <v>14404</v>
      </c>
      <c r="B8739" s="1">
        <v>44998</v>
      </c>
      <c r="C8739" t="s">
        <v>317</v>
      </c>
      <c r="D8739" t="s">
        <v>26</v>
      </c>
      <c r="E8739" t="s">
        <v>36</v>
      </c>
      <c r="F8739" t="s">
        <v>46</v>
      </c>
      <c r="G8739">
        <v>1</v>
      </c>
      <c r="H8739">
        <v>13045.61</v>
      </c>
      <c r="I8739">
        <v>1373.55</v>
      </c>
      <c r="J8739" t="s">
        <v>22</v>
      </c>
      <c r="K8739" t="s">
        <v>33</v>
      </c>
      <c r="L8739">
        <f t="shared" si="408"/>
        <v>2023</v>
      </c>
      <c r="M8739" t="str">
        <f t="shared" si="409"/>
        <v>Mar</v>
      </c>
      <c r="N8739" s="2">
        <f t="shared" si="410"/>
        <v>0.10528829238341479</v>
      </c>
    </row>
    <row r="8740" spans="1:14" x14ac:dyDescent="0.45">
      <c r="A8740" t="s">
        <v>14405</v>
      </c>
      <c r="B8740" s="1">
        <v>44989</v>
      </c>
      <c r="C8740" t="s">
        <v>3563</v>
      </c>
      <c r="D8740" t="s">
        <v>13</v>
      </c>
      <c r="E8740" t="s">
        <v>36</v>
      </c>
      <c r="F8740" t="s">
        <v>64</v>
      </c>
      <c r="G8740">
        <v>4</v>
      </c>
      <c r="H8740">
        <v>31223.9</v>
      </c>
      <c r="I8740">
        <v>7576.88</v>
      </c>
      <c r="J8740" t="s">
        <v>28</v>
      </c>
      <c r="K8740" t="s">
        <v>29</v>
      </c>
      <c r="L8740">
        <f t="shared" si="408"/>
        <v>2023</v>
      </c>
      <c r="M8740" t="str">
        <f t="shared" si="409"/>
        <v>Mar</v>
      </c>
      <c r="N8740" s="2">
        <f t="shared" si="410"/>
        <v>0.24266283199728411</v>
      </c>
    </row>
    <row r="8741" spans="1:14" x14ac:dyDescent="0.45">
      <c r="A8741" t="s">
        <v>14406</v>
      </c>
      <c r="B8741" s="1">
        <v>44843</v>
      </c>
      <c r="C8741" t="s">
        <v>5428</v>
      </c>
      <c r="D8741" t="s">
        <v>56</v>
      </c>
      <c r="E8741" t="s">
        <v>14</v>
      </c>
      <c r="F8741" t="s">
        <v>32</v>
      </c>
      <c r="G8741">
        <v>2</v>
      </c>
      <c r="H8741">
        <v>21425.85</v>
      </c>
      <c r="I8741">
        <v>2199.2800000000002</v>
      </c>
      <c r="J8741" t="s">
        <v>71</v>
      </c>
      <c r="K8741" t="s">
        <v>33</v>
      </c>
      <c r="L8741">
        <f t="shared" si="408"/>
        <v>2022</v>
      </c>
      <c r="M8741" t="str">
        <f t="shared" si="409"/>
        <v>Oct</v>
      </c>
      <c r="N8741" s="2">
        <f t="shared" si="410"/>
        <v>0.10264610272171235</v>
      </c>
    </row>
    <row r="8742" spans="1:14" x14ac:dyDescent="0.45">
      <c r="A8742" t="s">
        <v>14407</v>
      </c>
      <c r="B8742" s="1">
        <v>45539</v>
      </c>
      <c r="C8742" t="s">
        <v>14408</v>
      </c>
      <c r="D8742" t="s">
        <v>56</v>
      </c>
      <c r="E8742" t="s">
        <v>14</v>
      </c>
      <c r="F8742" t="s">
        <v>40</v>
      </c>
      <c r="G8742">
        <v>5</v>
      </c>
      <c r="H8742">
        <v>3839.2</v>
      </c>
      <c r="I8742">
        <v>418.13</v>
      </c>
      <c r="J8742" t="s">
        <v>28</v>
      </c>
      <c r="K8742" t="s">
        <v>17</v>
      </c>
      <c r="L8742">
        <f t="shared" si="408"/>
        <v>2024</v>
      </c>
      <c r="M8742" t="str">
        <f t="shared" si="409"/>
        <v>Sep</v>
      </c>
      <c r="N8742" s="2">
        <f t="shared" si="410"/>
        <v>0.10891071056470099</v>
      </c>
    </row>
    <row r="8743" spans="1:14" x14ac:dyDescent="0.45">
      <c r="A8743" t="s">
        <v>14409</v>
      </c>
      <c r="B8743" s="1">
        <v>45306</v>
      </c>
      <c r="C8743" t="s">
        <v>4968</v>
      </c>
      <c r="D8743" t="s">
        <v>26</v>
      </c>
      <c r="E8743" t="s">
        <v>20</v>
      </c>
      <c r="F8743" t="s">
        <v>27</v>
      </c>
      <c r="G8743">
        <v>4</v>
      </c>
      <c r="H8743">
        <v>40203.58</v>
      </c>
      <c r="I8743">
        <v>8005.53</v>
      </c>
      <c r="J8743" t="s">
        <v>28</v>
      </c>
      <c r="K8743" t="s">
        <v>29</v>
      </c>
      <c r="L8743">
        <f t="shared" si="408"/>
        <v>2024</v>
      </c>
      <c r="M8743" t="str">
        <f t="shared" si="409"/>
        <v>Jan</v>
      </c>
      <c r="N8743" s="2">
        <f t="shared" si="410"/>
        <v>0.19912480430847201</v>
      </c>
    </row>
    <row r="8744" spans="1:14" x14ac:dyDescent="0.45">
      <c r="A8744" t="s">
        <v>14410</v>
      </c>
      <c r="B8744" s="1">
        <v>45282</v>
      </c>
      <c r="C8744" t="s">
        <v>14411</v>
      </c>
      <c r="D8744" t="s">
        <v>13</v>
      </c>
      <c r="E8744" t="s">
        <v>20</v>
      </c>
      <c r="F8744" t="s">
        <v>50</v>
      </c>
      <c r="G8744">
        <v>4</v>
      </c>
      <c r="H8744">
        <v>9715.83</v>
      </c>
      <c r="I8744">
        <v>1311.18</v>
      </c>
      <c r="J8744" t="s">
        <v>71</v>
      </c>
      <c r="K8744" t="s">
        <v>23</v>
      </c>
      <c r="L8744">
        <f t="shared" si="408"/>
        <v>2023</v>
      </c>
      <c r="M8744" t="str">
        <f t="shared" si="409"/>
        <v>Dec</v>
      </c>
      <c r="N8744" s="2">
        <f t="shared" si="410"/>
        <v>0.13495295821355457</v>
      </c>
    </row>
    <row r="8745" spans="1:14" x14ac:dyDescent="0.45">
      <c r="A8745" t="s">
        <v>14412</v>
      </c>
      <c r="B8745" s="1">
        <v>44934</v>
      </c>
      <c r="C8745" t="s">
        <v>14413</v>
      </c>
      <c r="D8745" t="s">
        <v>56</v>
      </c>
      <c r="E8745" t="s">
        <v>20</v>
      </c>
      <c r="F8745" t="s">
        <v>43</v>
      </c>
      <c r="G8745">
        <v>1</v>
      </c>
      <c r="H8745">
        <v>14989.17</v>
      </c>
      <c r="I8745">
        <v>1478.69</v>
      </c>
      <c r="J8745" t="s">
        <v>47</v>
      </c>
      <c r="K8745" t="s">
        <v>29</v>
      </c>
      <c r="L8745">
        <f t="shared" si="408"/>
        <v>2023</v>
      </c>
      <c r="M8745" t="str">
        <f t="shared" si="409"/>
        <v>Jan</v>
      </c>
      <c r="N8745" s="2">
        <f t="shared" si="410"/>
        <v>9.8650559036958019E-2</v>
      </c>
    </row>
    <row r="8746" spans="1:14" x14ac:dyDescent="0.45">
      <c r="A8746" t="s">
        <v>14414</v>
      </c>
      <c r="B8746" s="1">
        <v>45337</v>
      </c>
      <c r="C8746" t="s">
        <v>14415</v>
      </c>
      <c r="D8746" t="s">
        <v>56</v>
      </c>
      <c r="E8746" t="s">
        <v>20</v>
      </c>
      <c r="F8746" t="s">
        <v>27</v>
      </c>
      <c r="G8746">
        <v>3</v>
      </c>
      <c r="H8746">
        <v>39490.120000000003</v>
      </c>
      <c r="I8746">
        <v>8994.99</v>
      </c>
      <c r="J8746" t="s">
        <v>47</v>
      </c>
      <c r="K8746" t="s">
        <v>23</v>
      </c>
      <c r="L8746">
        <f t="shared" si="408"/>
        <v>2024</v>
      </c>
      <c r="M8746" t="str">
        <f t="shared" si="409"/>
        <v>Feb</v>
      </c>
      <c r="N8746" s="2">
        <f t="shared" si="410"/>
        <v>0.22777823921527712</v>
      </c>
    </row>
    <row r="8747" spans="1:14" x14ac:dyDescent="0.45">
      <c r="A8747" t="s">
        <v>14416</v>
      </c>
      <c r="B8747" s="1">
        <v>44893</v>
      </c>
      <c r="C8747" t="s">
        <v>4294</v>
      </c>
      <c r="D8747" t="s">
        <v>13</v>
      </c>
      <c r="E8747" t="s">
        <v>14</v>
      </c>
      <c r="F8747" t="s">
        <v>15</v>
      </c>
      <c r="G8747">
        <v>2</v>
      </c>
      <c r="H8747">
        <v>33009.96</v>
      </c>
      <c r="I8747">
        <v>2207.81</v>
      </c>
      <c r="J8747" t="s">
        <v>22</v>
      </c>
      <c r="K8747" t="s">
        <v>23</v>
      </c>
      <c r="L8747">
        <f t="shared" si="408"/>
        <v>2022</v>
      </c>
      <c r="M8747" t="str">
        <f t="shared" si="409"/>
        <v>Nov</v>
      </c>
      <c r="N8747" s="2">
        <f t="shared" si="410"/>
        <v>6.6883146783576833E-2</v>
      </c>
    </row>
    <row r="8748" spans="1:14" x14ac:dyDescent="0.45">
      <c r="A8748" t="s">
        <v>14417</v>
      </c>
      <c r="B8748" s="1">
        <v>45227</v>
      </c>
      <c r="C8748" t="s">
        <v>2817</v>
      </c>
      <c r="D8748" t="s">
        <v>26</v>
      </c>
      <c r="E8748" t="s">
        <v>36</v>
      </c>
      <c r="F8748" t="s">
        <v>46</v>
      </c>
      <c r="G8748">
        <v>3</v>
      </c>
      <c r="H8748">
        <v>31078.86</v>
      </c>
      <c r="I8748">
        <v>7061.19</v>
      </c>
      <c r="J8748" t="s">
        <v>22</v>
      </c>
      <c r="K8748" t="s">
        <v>23</v>
      </c>
      <c r="L8748">
        <f t="shared" si="408"/>
        <v>2023</v>
      </c>
      <c r="M8748" t="str">
        <f t="shared" si="409"/>
        <v>Oct</v>
      </c>
      <c r="N8748" s="2">
        <f t="shared" si="410"/>
        <v>0.22720234912091369</v>
      </c>
    </row>
    <row r="8749" spans="1:14" x14ac:dyDescent="0.45">
      <c r="A8749" t="s">
        <v>14418</v>
      </c>
      <c r="B8749" s="1">
        <v>45644</v>
      </c>
      <c r="C8749" t="s">
        <v>14419</v>
      </c>
      <c r="D8749" t="s">
        <v>13</v>
      </c>
      <c r="E8749" t="s">
        <v>14</v>
      </c>
      <c r="F8749" t="s">
        <v>32</v>
      </c>
      <c r="G8749">
        <v>1</v>
      </c>
      <c r="H8749">
        <v>38984.74</v>
      </c>
      <c r="I8749">
        <v>8368.3700000000008</v>
      </c>
      <c r="J8749" t="s">
        <v>71</v>
      </c>
      <c r="K8749" t="s">
        <v>29</v>
      </c>
      <c r="L8749">
        <f t="shared" si="408"/>
        <v>2024</v>
      </c>
      <c r="M8749" t="str">
        <f t="shared" si="409"/>
        <v>Dec</v>
      </c>
      <c r="N8749" s="2">
        <f t="shared" si="410"/>
        <v>0.21465758140236413</v>
      </c>
    </row>
    <row r="8750" spans="1:14" x14ac:dyDescent="0.45">
      <c r="A8750" t="s">
        <v>14420</v>
      </c>
      <c r="B8750" s="1">
        <v>45188</v>
      </c>
      <c r="C8750" t="s">
        <v>566</v>
      </c>
      <c r="D8750" t="s">
        <v>26</v>
      </c>
      <c r="E8750" t="s">
        <v>14</v>
      </c>
      <c r="F8750" t="s">
        <v>40</v>
      </c>
      <c r="G8750">
        <v>4</v>
      </c>
      <c r="H8750">
        <v>31914.55</v>
      </c>
      <c r="I8750">
        <v>3753.43</v>
      </c>
      <c r="J8750" t="s">
        <v>71</v>
      </c>
      <c r="K8750" t="s">
        <v>33</v>
      </c>
      <c r="L8750">
        <f t="shared" si="408"/>
        <v>2023</v>
      </c>
      <c r="M8750" t="str">
        <f t="shared" si="409"/>
        <v>Sep</v>
      </c>
      <c r="N8750" s="2">
        <f t="shared" si="410"/>
        <v>0.11760873958742955</v>
      </c>
    </row>
    <row r="8751" spans="1:14" x14ac:dyDescent="0.45">
      <c r="A8751" t="s">
        <v>14421</v>
      </c>
      <c r="B8751" s="1">
        <v>45618</v>
      </c>
      <c r="C8751" t="s">
        <v>1370</v>
      </c>
      <c r="D8751" t="s">
        <v>13</v>
      </c>
      <c r="E8751" t="s">
        <v>36</v>
      </c>
      <c r="F8751" t="s">
        <v>46</v>
      </c>
      <c r="G8751">
        <v>2</v>
      </c>
      <c r="H8751">
        <v>36722.36</v>
      </c>
      <c r="I8751">
        <v>2802.8</v>
      </c>
      <c r="J8751" t="s">
        <v>22</v>
      </c>
      <c r="K8751" t="s">
        <v>23</v>
      </c>
      <c r="L8751">
        <f t="shared" si="408"/>
        <v>2024</v>
      </c>
      <c r="M8751" t="str">
        <f t="shared" si="409"/>
        <v>Nov</v>
      </c>
      <c r="N8751" s="2">
        <f t="shared" si="410"/>
        <v>7.6324070675196254E-2</v>
      </c>
    </row>
    <row r="8752" spans="1:14" x14ac:dyDescent="0.45">
      <c r="A8752" t="s">
        <v>14422</v>
      </c>
      <c r="B8752" s="1">
        <v>44848</v>
      </c>
      <c r="C8752" t="s">
        <v>2435</v>
      </c>
      <c r="D8752" t="s">
        <v>56</v>
      </c>
      <c r="E8752" t="s">
        <v>36</v>
      </c>
      <c r="F8752" t="s">
        <v>37</v>
      </c>
      <c r="G8752">
        <v>3</v>
      </c>
      <c r="H8752">
        <v>36178.79</v>
      </c>
      <c r="I8752">
        <v>6983.92</v>
      </c>
      <c r="J8752" t="s">
        <v>28</v>
      </c>
      <c r="K8752" t="s">
        <v>33</v>
      </c>
      <c r="L8752">
        <f t="shared" si="408"/>
        <v>2022</v>
      </c>
      <c r="M8752" t="str">
        <f t="shared" si="409"/>
        <v>Oct</v>
      </c>
      <c r="N8752" s="2">
        <f t="shared" si="410"/>
        <v>0.19303907068202114</v>
      </c>
    </row>
    <row r="8753" spans="1:14" x14ac:dyDescent="0.45">
      <c r="A8753" t="s">
        <v>14423</v>
      </c>
      <c r="B8753" s="1">
        <v>45416</v>
      </c>
      <c r="C8753" t="s">
        <v>14424</v>
      </c>
      <c r="D8753" t="s">
        <v>13</v>
      </c>
      <c r="E8753" t="s">
        <v>36</v>
      </c>
      <c r="F8753" t="s">
        <v>46</v>
      </c>
      <c r="G8753">
        <v>3</v>
      </c>
      <c r="H8753">
        <v>30358.57</v>
      </c>
      <c r="I8753">
        <v>1743.71</v>
      </c>
      <c r="J8753" t="s">
        <v>28</v>
      </c>
      <c r="K8753" t="s">
        <v>29</v>
      </c>
      <c r="L8753">
        <f t="shared" si="408"/>
        <v>2024</v>
      </c>
      <c r="M8753" t="str">
        <f t="shared" si="409"/>
        <v>May</v>
      </c>
      <c r="N8753" s="2">
        <f t="shared" si="410"/>
        <v>5.7437158601343873E-2</v>
      </c>
    </row>
    <row r="8754" spans="1:14" x14ac:dyDescent="0.45">
      <c r="A8754" t="s">
        <v>14425</v>
      </c>
      <c r="B8754" s="1">
        <v>45510</v>
      </c>
      <c r="C8754" t="s">
        <v>8718</v>
      </c>
      <c r="D8754" t="s">
        <v>26</v>
      </c>
      <c r="E8754" t="s">
        <v>20</v>
      </c>
      <c r="F8754" t="s">
        <v>50</v>
      </c>
      <c r="G8754">
        <v>1</v>
      </c>
      <c r="H8754">
        <v>1613.32</v>
      </c>
      <c r="I8754">
        <v>292.66000000000003</v>
      </c>
      <c r="J8754" t="s">
        <v>16</v>
      </c>
      <c r="K8754" t="s">
        <v>33</v>
      </c>
      <c r="L8754">
        <f t="shared" si="408"/>
        <v>2024</v>
      </c>
      <c r="M8754" t="str">
        <f t="shared" si="409"/>
        <v>Aug</v>
      </c>
      <c r="N8754" s="2">
        <f t="shared" si="410"/>
        <v>0.1814023256390549</v>
      </c>
    </row>
    <row r="8755" spans="1:14" x14ac:dyDescent="0.45">
      <c r="A8755" t="s">
        <v>14426</v>
      </c>
      <c r="B8755" s="1">
        <v>44937</v>
      </c>
      <c r="C8755" t="s">
        <v>7866</v>
      </c>
      <c r="D8755" t="s">
        <v>13</v>
      </c>
      <c r="E8755" t="s">
        <v>14</v>
      </c>
      <c r="F8755" t="s">
        <v>32</v>
      </c>
      <c r="G8755">
        <v>3</v>
      </c>
      <c r="H8755">
        <v>19426.78</v>
      </c>
      <c r="I8755">
        <v>1809.12</v>
      </c>
      <c r="J8755" t="s">
        <v>71</v>
      </c>
      <c r="K8755" t="s">
        <v>17</v>
      </c>
      <c r="L8755">
        <f t="shared" si="408"/>
        <v>2023</v>
      </c>
      <c r="M8755" t="str">
        <f t="shared" si="409"/>
        <v>Jan</v>
      </c>
      <c r="N8755" s="2">
        <f t="shared" si="410"/>
        <v>9.3125057266309708E-2</v>
      </c>
    </row>
    <row r="8756" spans="1:14" x14ac:dyDescent="0.45">
      <c r="A8756" t="s">
        <v>14427</v>
      </c>
      <c r="B8756" s="1">
        <v>45628</v>
      </c>
      <c r="C8756" t="s">
        <v>1139</v>
      </c>
      <c r="D8756" t="s">
        <v>13</v>
      </c>
      <c r="E8756" t="s">
        <v>14</v>
      </c>
      <c r="F8756" t="s">
        <v>40</v>
      </c>
      <c r="G8756">
        <v>1</v>
      </c>
      <c r="H8756">
        <v>35461.97</v>
      </c>
      <c r="I8756">
        <v>6247.94</v>
      </c>
      <c r="J8756" t="s">
        <v>16</v>
      </c>
      <c r="K8756" t="s">
        <v>33</v>
      </c>
      <c r="L8756">
        <f t="shared" si="408"/>
        <v>2024</v>
      </c>
      <c r="M8756" t="str">
        <f t="shared" si="409"/>
        <v>Dec</v>
      </c>
      <c r="N8756" s="2">
        <f t="shared" si="410"/>
        <v>0.17618705334193219</v>
      </c>
    </row>
    <row r="8757" spans="1:14" x14ac:dyDescent="0.45">
      <c r="A8757" t="s">
        <v>14428</v>
      </c>
      <c r="B8757" s="1">
        <v>45031</v>
      </c>
      <c r="C8757" t="s">
        <v>14356</v>
      </c>
      <c r="D8757" t="s">
        <v>13</v>
      </c>
      <c r="E8757" t="s">
        <v>20</v>
      </c>
      <c r="F8757" t="s">
        <v>50</v>
      </c>
      <c r="G8757">
        <v>1</v>
      </c>
      <c r="H8757">
        <v>25506.98</v>
      </c>
      <c r="I8757">
        <v>4749.1099999999997</v>
      </c>
      <c r="J8757" t="s">
        <v>28</v>
      </c>
      <c r="K8757" t="s">
        <v>23</v>
      </c>
      <c r="L8757">
        <f t="shared" si="408"/>
        <v>2023</v>
      </c>
      <c r="M8757" t="str">
        <f t="shared" si="409"/>
        <v>Apr</v>
      </c>
      <c r="N8757" s="2">
        <f t="shared" si="410"/>
        <v>0.18618864326549045</v>
      </c>
    </row>
    <row r="8758" spans="1:14" x14ac:dyDescent="0.45">
      <c r="A8758" t="s">
        <v>14429</v>
      </c>
      <c r="B8758" s="1">
        <v>44935</v>
      </c>
      <c r="C8758" t="s">
        <v>14430</v>
      </c>
      <c r="D8758" t="s">
        <v>56</v>
      </c>
      <c r="E8758" t="s">
        <v>14</v>
      </c>
      <c r="F8758" t="s">
        <v>40</v>
      </c>
      <c r="G8758">
        <v>5</v>
      </c>
      <c r="H8758">
        <v>41979.87</v>
      </c>
      <c r="I8758">
        <v>8132.14</v>
      </c>
      <c r="J8758" t="s">
        <v>28</v>
      </c>
      <c r="K8758" t="s">
        <v>17</v>
      </c>
      <c r="L8758">
        <f t="shared" si="408"/>
        <v>2023</v>
      </c>
      <c r="M8758" t="str">
        <f t="shared" si="409"/>
        <v>Jan</v>
      </c>
      <c r="N8758" s="2">
        <f t="shared" si="410"/>
        <v>0.193715225892791</v>
      </c>
    </row>
    <row r="8759" spans="1:14" x14ac:dyDescent="0.45">
      <c r="A8759" t="s">
        <v>14431</v>
      </c>
      <c r="B8759" s="1">
        <v>44633</v>
      </c>
      <c r="C8759" t="s">
        <v>14250</v>
      </c>
      <c r="D8759" t="s">
        <v>13</v>
      </c>
      <c r="E8759" t="s">
        <v>36</v>
      </c>
      <c r="F8759" t="s">
        <v>37</v>
      </c>
      <c r="G8759">
        <v>3</v>
      </c>
      <c r="H8759">
        <v>29511.14</v>
      </c>
      <c r="I8759">
        <v>2289.41</v>
      </c>
      <c r="J8759" t="s">
        <v>28</v>
      </c>
      <c r="K8759" t="s">
        <v>23</v>
      </c>
      <c r="L8759">
        <f t="shared" si="408"/>
        <v>2022</v>
      </c>
      <c r="M8759" t="str">
        <f t="shared" si="409"/>
        <v>Mar</v>
      </c>
      <c r="N8759" s="2">
        <f t="shared" si="410"/>
        <v>7.7577823154239375E-2</v>
      </c>
    </row>
    <row r="8760" spans="1:14" x14ac:dyDescent="0.45">
      <c r="A8760" t="s">
        <v>14432</v>
      </c>
      <c r="B8760" s="1">
        <v>44779</v>
      </c>
      <c r="C8760" t="s">
        <v>806</v>
      </c>
      <c r="D8760" t="s">
        <v>56</v>
      </c>
      <c r="E8760" t="s">
        <v>14</v>
      </c>
      <c r="F8760" t="s">
        <v>15</v>
      </c>
      <c r="G8760">
        <v>4</v>
      </c>
      <c r="H8760">
        <v>43144.61</v>
      </c>
      <c r="I8760">
        <v>9422.59</v>
      </c>
      <c r="J8760" t="s">
        <v>71</v>
      </c>
      <c r="K8760" t="s">
        <v>29</v>
      </c>
      <c r="L8760">
        <f t="shared" si="408"/>
        <v>2022</v>
      </c>
      <c r="M8760" t="str">
        <f t="shared" si="409"/>
        <v>Aug</v>
      </c>
      <c r="N8760" s="2">
        <f t="shared" si="410"/>
        <v>0.21839553075111817</v>
      </c>
    </row>
    <row r="8761" spans="1:14" x14ac:dyDescent="0.45">
      <c r="A8761" t="s">
        <v>14433</v>
      </c>
      <c r="B8761" s="1">
        <v>45505</v>
      </c>
      <c r="C8761" t="s">
        <v>4704</v>
      </c>
      <c r="D8761" t="s">
        <v>13</v>
      </c>
      <c r="E8761" t="s">
        <v>14</v>
      </c>
      <c r="F8761" t="s">
        <v>57</v>
      </c>
      <c r="G8761">
        <v>4</v>
      </c>
      <c r="H8761">
        <v>42347.33</v>
      </c>
      <c r="I8761">
        <v>8744.16</v>
      </c>
      <c r="J8761" t="s">
        <v>22</v>
      </c>
      <c r="K8761" t="s">
        <v>29</v>
      </c>
      <c r="L8761">
        <f t="shared" si="408"/>
        <v>2024</v>
      </c>
      <c r="M8761" t="str">
        <f t="shared" si="409"/>
        <v>Aug</v>
      </c>
      <c r="N8761" s="2">
        <f t="shared" si="410"/>
        <v>0.20648668995188124</v>
      </c>
    </row>
    <row r="8762" spans="1:14" x14ac:dyDescent="0.45">
      <c r="A8762" t="s">
        <v>14434</v>
      </c>
      <c r="B8762" s="1">
        <v>44999</v>
      </c>
      <c r="C8762" t="s">
        <v>14435</v>
      </c>
      <c r="D8762" t="s">
        <v>56</v>
      </c>
      <c r="E8762" t="s">
        <v>20</v>
      </c>
      <c r="F8762" t="s">
        <v>50</v>
      </c>
      <c r="G8762">
        <v>2</v>
      </c>
      <c r="H8762">
        <v>8514.5400000000009</v>
      </c>
      <c r="I8762">
        <v>1127.81</v>
      </c>
      <c r="J8762" t="s">
        <v>71</v>
      </c>
      <c r="K8762" t="s">
        <v>33</v>
      </c>
      <c r="L8762">
        <f t="shared" si="408"/>
        <v>2023</v>
      </c>
      <c r="M8762" t="str">
        <f t="shared" si="409"/>
        <v>Mar</v>
      </c>
      <c r="N8762" s="2">
        <f t="shared" si="410"/>
        <v>0.13245695011122149</v>
      </c>
    </row>
    <row r="8763" spans="1:14" x14ac:dyDescent="0.45">
      <c r="A8763" t="s">
        <v>14436</v>
      </c>
      <c r="B8763" s="1">
        <v>45647</v>
      </c>
      <c r="C8763" t="s">
        <v>14437</v>
      </c>
      <c r="D8763" t="s">
        <v>26</v>
      </c>
      <c r="E8763" t="s">
        <v>36</v>
      </c>
      <c r="F8763" t="s">
        <v>64</v>
      </c>
      <c r="G8763">
        <v>5</v>
      </c>
      <c r="H8763">
        <v>673.89</v>
      </c>
      <c r="I8763">
        <v>71.23</v>
      </c>
      <c r="J8763" t="s">
        <v>28</v>
      </c>
      <c r="K8763" t="s">
        <v>17</v>
      </c>
      <c r="L8763">
        <f t="shared" si="408"/>
        <v>2024</v>
      </c>
      <c r="M8763" t="str">
        <f t="shared" si="409"/>
        <v>Dec</v>
      </c>
      <c r="N8763" s="2">
        <f t="shared" si="410"/>
        <v>0.10569974328154447</v>
      </c>
    </row>
    <row r="8764" spans="1:14" x14ac:dyDescent="0.45">
      <c r="A8764" t="s">
        <v>14438</v>
      </c>
      <c r="B8764" s="1">
        <v>45097</v>
      </c>
      <c r="C8764" t="s">
        <v>5473</v>
      </c>
      <c r="D8764" t="s">
        <v>26</v>
      </c>
      <c r="E8764" t="s">
        <v>20</v>
      </c>
      <c r="F8764" t="s">
        <v>21</v>
      </c>
      <c r="G8764">
        <v>1</v>
      </c>
      <c r="H8764">
        <v>10843.35</v>
      </c>
      <c r="I8764">
        <v>1722.9</v>
      </c>
      <c r="J8764" t="s">
        <v>22</v>
      </c>
      <c r="K8764" t="s">
        <v>33</v>
      </c>
      <c r="L8764">
        <f t="shared" si="408"/>
        <v>2023</v>
      </c>
      <c r="M8764" t="str">
        <f t="shared" si="409"/>
        <v>Jun</v>
      </c>
      <c r="N8764" s="2">
        <f t="shared" si="410"/>
        <v>0.15889001092835703</v>
      </c>
    </row>
    <row r="8765" spans="1:14" x14ac:dyDescent="0.45">
      <c r="A8765" t="s">
        <v>14439</v>
      </c>
      <c r="B8765" s="1">
        <v>45153</v>
      </c>
      <c r="C8765" t="s">
        <v>1648</v>
      </c>
      <c r="D8765" t="s">
        <v>13</v>
      </c>
      <c r="E8765" t="s">
        <v>20</v>
      </c>
      <c r="F8765" t="s">
        <v>27</v>
      </c>
      <c r="G8765">
        <v>5</v>
      </c>
      <c r="H8765">
        <v>2648.04</v>
      </c>
      <c r="I8765">
        <v>406.4</v>
      </c>
      <c r="J8765" t="s">
        <v>22</v>
      </c>
      <c r="K8765" t="s">
        <v>33</v>
      </c>
      <c r="L8765">
        <f t="shared" si="408"/>
        <v>2023</v>
      </c>
      <c r="M8765" t="str">
        <f t="shared" si="409"/>
        <v>Aug</v>
      </c>
      <c r="N8765" s="2">
        <f t="shared" si="410"/>
        <v>0.15347200193350552</v>
      </c>
    </row>
    <row r="8766" spans="1:14" x14ac:dyDescent="0.45">
      <c r="A8766" t="s">
        <v>14440</v>
      </c>
      <c r="B8766" s="1">
        <v>44891</v>
      </c>
      <c r="C8766" t="s">
        <v>301</v>
      </c>
      <c r="D8766" t="s">
        <v>26</v>
      </c>
      <c r="E8766" t="s">
        <v>36</v>
      </c>
      <c r="F8766" t="s">
        <v>46</v>
      </c>
      <c r="G8766">
        <v>5</v>
      </c>
      <c r="H8766">
        <v>27608.7</v>
      </c>
      <c r="I8766">
        <v>3074.12</v>
      </c>
      <c r="J8766" t="s">
        <v>28</v>
      </c>
      <c r="K8766" t="s">
        <v>29</v>
      </c>
      <c r="L8766">
        <f t="shared" si="408"/>
        <v>2022</v>
      </c>
      <c r="M8766" t="str">
        <f t="shared" si="409"/>
        <v>Nov</v>
      </c>
      <c r="N8766" s="2">
        <f t="shared" si="410"/>
        <v>0.11134606120534468</v>
      </c>
    </row>
    <row r="8767" spans="1:14" x14ac:dyDescent="0.45">
      <c r="A8767" t="s">
        <v>14441</v>
      </c>
      <c r="B8767" s="1">
        <v>44782</v>
      </c>
      <c r="C8767" t="s">
        <v>1534</v>
      </c>
      <c r="D8767" t="s">
        <v>26</v>
      </c>
      <c r="E8767" t="s">
        <v>14</v>
      </c>
      <c r="F8767" t="s">
        <v>15</v>
      </c>
      <c r="G8767">
        <v>4</v>
      </c>
      <c r="H8767">
        <v>25431.06</v>
      </c>
      <c r="I8767">
        <v>2173.11</v>
      </c>
      <c r="J8767" t="s">
        <v>47</v>
      </c>
      <c r="K8767" t="s">
        <v>29</v>
      </c>
      <c r="L8767">
        <f t="shared" si="408"/>
        <v>2022</v>
      </c>
      <c r="M8767" t="str">
        <f t="shared" si="409"/>
        <v>Aug</v>
      </c>
      <c r="N8767" s="2">
        <f t="shared" si="410"/>
        <v>8.5451019344061949E-2</v>
      </c>
    </row>
    <row r="8768" spans="1:14" x14ac:dyDescent="0.45">
      <c r="A8768" t="s">
        <v>14442</v>
      </c>
      <c r="B8768" s="1">
        <v>44980</v>
      </c>
      <c r="C8768" t="s">
        <v>14443</v>
      </c>
      <c r="D8768" t="s">
        <v>13</v>
      </c>
      <c r="E8768" t="s">
        <v>20</v>
      </c>
      <c r="F8768" t="s">
        <v>43</v>
      </c>
      <c r="G8768">
        <v>1</v>
      </c>
      <c r="H8768">
        <v>21807.22</v>
      </c>
      <c r="I8768">
        <v>2274</v>
      </c>
      <c r="J8768" t="s">
        <v>28</v>
      </c>
      <c r="K8768" t="s">
        <v>23</v>
      </c>
      <c r="L8768">
        <f t="shared" si="408"/>
        <v>2023</v>
      </c>
      <c r="M8768" t="str">
        <f t="shared" si="409"/>
        <v>Feb</v>
      </c>
      <c r="N8768" s="2">
        <f t="shared" si="410"/>
        <v>0.10427739069904371</v>
      </c>
    </row>
    <row r="8769" spans="1:14" x14ac:dyDescent="0.45">
      <c r="A8769" t="s">
        <v>14444</v>
      </c>
      <c r="B8769" s="1">
        <v>45638</v>
      </c>
      <c r="C8769" t="s">
        <v>14445</v>
      </c>
      <c r="D8769" t="s">
        <v>13</v>
      </c>
      <c r="E8769" t="s">
        <v>20</v>
      </c>
      <c r="F8769" t="s">
        <v>21</v>
      </c>
      <c r="G8769">
        <v>2</v>
      </c>
      <c r="H8769">
        <v>16399.88</v>
      </c>
      <c r="I8769">
        <v>2355.6999999999998</v>
      </c>
      <c r="J8769" t="s">
        <v>71</v>
      </c>
      <c r="K8769" t="s">
        <v>23</v>
      </c>
      <c r="L8769">
        <f t="shared" si="408"/>
        <v>2024</v>
      </c>
      <c r="M8769" t="str">
        <f t="shared" si="409"/>
        <v>Dec</v>
      </c>
      <c r="N8769" s="2">
        <f t="shared" si="410"/>
        <v>0.1436412949363044</v>
      </c>
    </row>
    <row r="8770" spans="1:14" x14ac:dyDescent="0.45">
      <c r="A8770" t="s">
        <v>14446</v>
      </c>
      <c r="B8770" s="1">
        <v>45201</v>
      </c>
      <c r="C8770" t="s">
        <v>6814</v>
      </c>
      <c r="D8770" t="s">
        <v>26</v>
      </c>
      <c r="E8770" t="s">
        <v>20</v>
      </c>
      <c r="F8770" t="s">
        <v>43</v>
      </c>
      <c r="G8770">
        <v>2</v>
      </c>
      <c r="H8770">
        <v>39958.959999999999</v>
      </c>
      <c r="I8770">
        <v>4779.92</v>
      </c>
      <c r="J8770" t="s">
        <v>28</v>
      </c>
      <c r="K8770" t="s">
        <v>33</v>
      </c>
      <c r="L8770">
        <f t="shared" si="408"/>
        <v>2023</v>
      </c>
      <c r="M8770" t="str">
        <f t="shared" si="409"/>
        <v>Oct</v>
      </c>
      <c r="N8770" s="2">
        <f t="shared" si="410"/>
        <v>0.11962073086987249</v>
      </c>
    </row>
    <row r="8771" spans="1:14" x14ac:dyDescent="0.45">
      <c r="A8771" t="s">
        <v>14447</v>
      </c>
      <c r="B8771" s="1">
        <v>45324</v>
      </c>
      <c r="C8771" t="s">
        <v>14215</v>
      </c>
      <c r="D8771" t="s">
        <v>56</v>
      </c>
      <c r="E8771" t="s">
        <v>20</v>
      </c>
      <c r="F8771" t="s">
        <v>27</v>
      </c>
      <c r="G8771">
        <v>1</v>
      </c>
      <c r="H8771">
        <v>27192.9</v>
      </c>
      <c r="I8771">
        <v>6583.15</v>
      </c>
      <c r="J8771" t="s">
        <v>28</v>
      </c>
      <c r="K8771" t="s">
        <v>29</v>
      </c>
      <c r="L8771">
        <f t="shared" ref="L8771:L8834" si="411">YEAR(B8771 )</f>
        <v>2024</v>
      </c>
      <c r="M8771" t="str">
        <f t="shared" ref="M8771:M8834" si="412">TEXT(B8771,"MMM")</f>
        <v>Feb</v>
      </c>
      <c r="N8771" s="2">
        <f t="shared" ref="N8771:N8834" si="413">I8771 / H8771</f>
        <v>0.24209076633974308</v>
      </c>
    </row>
    <row r="8772" spans="1:14" x14ac:dyDescent="0.45">
      <c r="A8772" t="s">
        <v>14448</v>
      </c>
      <c r="B8772" s="1">
        <v>45239</v>
      </c>
      <c r="C8772" t="s">
        <v>14449</v>
      </c>
      <c r="D8772" t="s">
        <v>26</v>
      </c>
      <c r="E8772" t="s">
        <v>14</v>
      </c>
      <c r="F8772" t="s">
        <v>15</v>
      </c>
      <c r="G8772">
        <v>5</v>
      </c>
      <c r="H8772">
        <v>48065.5</v>
      </c>
      <c r="I8772">
        <v>5318.57</v>
      </c>
      <c r="J8772" t="s">
        <v>71</v>
      </c>
      <c r="K8772" t="s">
        <v>17</v>
      </c>
      <c r="L8772">
        <f t="shared" si="411"/>
        <v>2023</v>
      </c>
      <c r="M8772" t="str">
        <f t="shared" si="412"/>
        <v>Nov</v>
      </c>
      <c r="N8772" s="2">
        <f t="shared" si="413"/>
        <v>0.11065254704517793</v>
      </c>
    </row>
    <row r="8773" spans="1:14" x14ac:dyDescent="0.45">
      <c r="A8773" t="s">
        <v>14450</v>
      </c>
      <c r="B8773" s="1">
        <v>44756</v>
      </c>
      <c r="C8773" t="s">
        <v>7568</v>
      </c>
      <c r="D8773" t="s">
        <v>56</v>
      </c>
      <c r="E8773" t="s">
        <v>36</v>
      </c>
      <c r="F8773" t="s">
        <v>64</v>
      </c>
      <c r="G8773">
        <v>4</v>
      </c>
      <c r="H8773">
        <v>24507.69</v>
      </c>
      <c r="I8773">
        <v>2206.1799999999998</v>
      </c>
      <c r="J8773" t="s">
        <v>28</v>
      </c>
      <c r="K8773" t="s">
        <v>33</v>
      </c>
      <c r="L8773">
        <f t="shared" si="411"/>
        <v>2022</v>
      </c>
      <c r="M8773" t="str">
        <f t="shared" si="412"/>
        <v>Jul</v>
      </c>
      <c r="N8773" s="2">
        <f t="shared" si="413"/>
        <v>9.0019908037028376E-2</v>
      </c>
    </row>
    <row r="8774" spans="1:14" x14ac:dyDescent="0.45">
      <c r="A8774" t="s">
        <v>14451</v>
      </c>
      <c r="B8774" s="1">
        <v>44602</v>
      </c>
      <c r="C8774" t="s">
        <v>2830</v>
      </c>
      <c r="D8774" t="s">
        <v>26</v>
      </c>
      <c r="E8774" t="s">
        <v>36</v>
      </c>
      <c r="F8774" t="s">
        <v>53</v>
      </c>
      <c r="G8774">
        <v>2</v>
      </c>
      <c r="H8774">
        <v>1442.34</v>
      </c>
      <c r="I8774">
        <v>346.15</v>
      </c>
      <c r="J8774" t="s">
        <v>47</v>
      </c>
      <c r="K8774" t="s">
        <v>33</v>
      </c>
      <c r="L8774">
        <f t="shared" si="411"/>
        <v>2022</v>
      </c>
      <c r="M8774" t="str">
        <f t="shared" si="412"/>
        <v>Feb</v>
      </c>
      <c r="N8774" s="2">
        <f t="shared" si="413"/>
        <v>0.23999195751348504</v>
      </c>
    </row>
    <row r="8775" spans="1:14" x14ac:dyDescent="0.45">
      <c r="A8775" t="s">
        <v>14452</v>
      </c>
      <c r="B8775" s="1">
        <v>44951</v>
      </c>
      <c r="C8775" t="s">
        <v>14453</v>
      </c>
      <c r="D8775" t="s">
        <v>56</v>
      </c>
      <c r="E8775" t="s">
        <v>14</v>
      </c>
      <c r="F8775" t="s">
        <v>57</v>
      </c>
      <c r="G8775">
        <v>2</v>
      </c>
      <c r="H8775">
        <v>40371.949999999997</v>
      </c>
      <c r="I8775">
        <v>3353.98</v>
      </c>
      <c r="J8775" t="s">
        <v>28</v>
      </c>
      <c r="K8775" t="s">
        <v>17</v>
      </c>
      <c r="L8775">
        <f t="shared" si="411"/>
        <v>2023</v>
      </c>
      <c r="M8775" t="str">
        <f t="shared" si="412"/>
        <v>Jan</v>
      </c>
      <c r="N8775" s="2">
        <f t="shared" si="413"/>
        <v>8.3076987859144788E-2</v>
      </c>
    </row>
    <row r="8776" spans="1:14" x14ac:dyDescent="0.45">
      <c r="A8776" t="s">
        <v>14454</v>
      </c>
      <c r="B8776" s="1">
        <v>45613</v>
      </c>
      <c r="C8776" t="s">
        <v>9075</v>
      </c>
      <c r="D8776" t="s">
        <v>26</v>
      </c>
      <c r="E8776" t="s">
        <v>36</v>
      </c>
      <c r="F8776" t="s">
        <v>37</v>
      </c>
      <c r="G8776">
        <v>5</v>
      </c>
      <c r="H8776">
        <v>17213.84</v>
      </c>
      <c r="I8776">
        <v>2947.46</v>
      </c>
      <c r="J8776" t="s">
        <v>16</v>
      </c>
      <c r="K8776" t="s">
        <v>33</v>
      </c>
      <c r="L8776">
        <f t="shared" si="411"/>
        <v>2024</v>
      </c>
      <c r="M8776" t="str">
        <f t="shared" si="412"/>
        <v>Nov</v>
      </c>
      <c r="N8776" s="2">
        <f t="shared" si="413"/>
        <v>0.17122617614663549</v>
      </c>
    </row>
    <row r="8777" spans="1:14" x14ac:dyDescent="0.45">
      <c r="A8777" t="s">
        <v>14455</v>
      </c>
      <c r="B8777" s="1">
        <v>44769</v>
      </c>
      <c r="C8777" t="s">
        <v>7671</v>
      </c>
      <c r="D8777" t="s">
        <v>13</v>
      </c>
      <c r="E8777" t="s">
        <v>14</v>
      </c>
      <c r="F8777" t="s">
        <v>57</v>
      </c>
      <c r="G8777">
        <v>3</v>
      </c>
      <c r="H8777">
        <v>49273.5</v>
      </c>
      <c r="I8777">
        <v>6472</v>
      </c>
      <c r="J8777" t="s">
        <v>71</v>
      </c>
      <c r="K8777" t="s">
        <v>17</v>
      </c>
      <c r="L8777">
        <f t="shared" si="411"/>
        <v>2022</v>
      </c>
      <c r="M8777" t="str">
        <f t="shared" si="412"/>
        <v>Jul</v>
      </c>
      <c r="N8777" s="2">
        <f t="shared" si="413"/>
        <v>0.13134849361218504</v>
      </c>
    </row>
    <row r="8778" spans="1:14" x14ac:dyDescent="0.45">
      <c r="A8778" t="s">
        <v>14456</v>
      </c>
      <c r="B8778" s="1">
        <v>44574</v>
      </c>
      <c r="C8778" t="s">
        <v>5789</v>
      </c>
      <c r="D8778" t="s">
        <v>56</v>
      </c>
      <c r="E8778" t="s">
        <v>36</v>
      </c>
      <c r="F8778" t="s">
        <v>64</v>
      </c>
      <c r="G8778">
        <v>3</v>
      </c>
      <c r="H8778">
        <v>14750.25</v>
      </c>
      <c r="I8778">
        <v>1484.77</v>
      </c>
      <c r="J8778" t="s">
        <v>47</v>
      </c>
      <c r="K8778" t="s">
        <v>17</v>
      </c>
      <c r="L8778">
        <f t="shared" si="411"/>
        <v>2022</v>
      </c>
      <c r="M8778" t="str">
        <f t="shared" si="412"/>
        <v>Jan</v>
      </c>
      <c r="N8778" s="2">
        <f t="shared" si="413"/>
        <v>0.10066066676835986</v>
      </c>
    </row>
    <row r="8779" spans="1:14" x14ac:dyDescent="0.45">
      <c r="A8779" t="s">
        <v>14457</v>
      </c>
      <c r="B8779" s="1">
        <v>45155</v>
      </c>
      <c r="C8779" t="s">
        <v>3922</v>
      </c>
      <c r="D8779" t="s">
        <v>26</v>
      </c>
      <c r="E8779" t="s">
        <v>20</v>
      </c>
      <c r="F8779" t="s">
        <v>27</v>
      </c>
      <c r="G8779">
        <v>1</v>
      </c>
      <c r="H8779">
        <v>2036.91</v>
      </c>
      <c r="I8779">
        <v>498.24</v>
      </c>
      <c r="J8779" t="s">
        <v>71</v>
      </c>
      <c r="K8779" t="s">
        <v>29</v>
      </c>
      <c r="L8779">
        <f t="shared" si="411"/>
        <v>2023</v>
      </c>
      <c r="M8779" t="str">
        <f t="shared" si="412"/>
        <v>Aug</v>
      </c>
      <c r="N8779" s="2">
        <f t="shared" si="413"/>
        <v>0.2446057999617067</v>
      </c>
    </row>
    <row r="8780" spans="1:14" x14ac:dyDescent="0.45">
      <c r="A8780" t="s">
        <v>14458</v>
      </c>
      <c r="B8780" s="1">
        <v>45571</v>
      </c>
      <c r="C8780" t="s">
        <v>14459</v>
      </c>
      <c r="D8780" t="s">
        <v>56</v>
      </c>
      <c r="E8780" t="s">
        <v>36</v>
      </c>
      <c r="F8780" t="s">
        <v>46</v>
      </c>
      <c r="G8780">
        <v>2</v>
      </c>
      <c r="H8780">
        <v>965.9</v>
      </c>
      <c r="I8780">
        <v>55.73</v>
      </c>
      <c r="J8780" t="s">
        <v>71</v>
      </c>
      <c r="K8780" t="s">
        <v>17</v>
      </c>
      <c r="L8780">
        <f t="shared" si="411"/>
        <v>2024</v>
      </c>
      <c r="M8780" t="str">
        <f t="shared" si="412"/>
        <v>Oct</v>
      </c>
      <c r="N8780" s="2">
        <f t="shared" si="413"/>
        <v>5.7697484211616107E-2</v>
      </c>
    </row>
    <row r="8781" spans="1:14" x14ac:dyDescent="0.45">
      <c r="A8781" t="s">
        <v>14460</v>
      </c>
      <c r="B8781" s="1">
        <v>45340</v>
      </c>
      <c r="C8781" t="s">
        <v>3383</v>
      </c>
      <c r="D8781" t="s">
        <v>26</v>
      </c>
      <c r="E8781" t="s">
        <v>20</v>
      </c>
      <c r="F8781" t="s">
        <v>43</v>
      </c>
      <c r="G8781">
        <v>2</v>
      </c>
      <c r="H8781">
        <v>48586.36</v>
      </c>
      <c r="I8781">
        <v>4357.07</v>
      </c>
      <c r="J8781" t="s">
        <v>28</v>
      </c>
      <c r="K8781" t="s">
        <v>17</v>
      </c>
      <c r="L8781">
        <f t="shared" si="411"/>
        <v>2024</v>
      </c>
      <c r="M8781" t="str">
        <f t="shared" si="412"/>
        <v>Feb</v>
      </c>
      <c r="N8781" s="2">
        <f t="shared" si="413"/>
        <v>8.9676814645097913E-2</v>
      </c>
    </row>
    <row r="8782" spans="1:14" x14ac:dyDescent="0.45">
      <c r="A8782" t="s">
        <v>14461</v>
      </c>
      <c r="B8782" s="1">
        <v>45597</v>
      </c>
      <c r="C8782" t="s">
        <v>14462</v>
      </c>
      <c r="D8782" t="s">
        <v>26</v>
      </c>
      <c r="E8782" t="s">
        <v>36</v>
      </c>
      <c r="F8782" t="s">
        <v>53</v>
      </c>
      <c r="G8782">
        <v>1</v>
      </c>
      <c r="H8782">
        <v>33383.629999999997</v>
      </c>
      <c r="I8782">
        <v>3403.41</v>
      </c>
      <c r="J8782" t="s">
        <v>16</v>
      </c>
      <c r="K8782" t="s">
        <v>17</v>
      </c>
      <c r="L8782">
        <f t="shared" si="411"/>
        <v>2024</v>
      </c>
      <c r="M8782" t="str">
        <f t="shared" si="412"/>
        <v>Nov</v>
      </c>
      <c r="N8782" s="2">
        <f t="shared" si="413"/>
        <v>0.10194846995368688</v>
      </c>
    </row>
    <row r="8783" spans="1:14" x14ac:dyDescent="0.45">
      <c r="A8783" t="s">
        <v>14463</v>
      </c>
      <c r="B8783" s="1">
        <v>45555</v>
      </c>
      <c r="C8783" t="s">
        <v>14464</v>
      </c>
      <c r="D8783" t="s">
        <v>26</v>
      </c>
      <c r="E8783" t="s">
        <v>14</v>
      </c>
      <c r="F8783" t="s">
        <v>15</v>
      </c>
      <c r="G8783">
        <v>5</v>
      </c>
      <c r="H8783">
        <v>25257.99</v>
      </c>
      <c r="I8783">
        <v>3802.47</v>
      </c>
      <c r="J8783" t="s">
        <v>22</v>
      </c>
      <c r="K8783" t="s">
        <v>23</v>
      </c>
      <c r="L8783">
        <f t="shared" si="411"/>
        <v>2024</v>
      </c>
      <c r="M8783" t="str">
        <f t="shared" si="412"/>
        <v>Sep</v>
      </c>
      <c r="N8783" s="2">
        <f t="shared" si="413"/>
        <v>0.15054523340930928</v>
      </c>
    </row>
    <row r="8784" spans="1:14" x14ac:dyDescent="0.45">
      <c r="A8784" t="s">
        <v>14465</v>
      </c>
      <c r="B8784" s="1">
        <v>44963</v>
      </c>
      <c r="C8784" t="s">
        <v>3133</v>
      </c>
      <c r="D8784" t="s">
        <v>13</v>
      </c>
      <c r="E8784" t="s">
        <v>36</v>
      </c>
      <c r="F8784" t="s">
        <v>64</v>
      </c>
      <c r="G8784">
        <v>3</v>
      </c>
      <c r="H8784">
        <v>31932.99</v>
      </c>
      <c r="I8784">
        <v>3552.22</v>
      </c>
      <c r="J8784" t="s">
        <v>22</v>
      </c>
      <c r="K8784" t="s">
        <v>33</v>
      </c>
      <c r="L8784">
        <f t="shared" si="411"/>
        <v>2023</v>
      </c>
      <c r="M8784" t="str">
        <f t="shared" si="412"/>
        <v>Feb</v>
      </c>
      <c r="N8784" s="2">
        <f t="shared" si="413"/>
        <v>0.11123981813165632</v>
      </c>
    </row>
    <row r="8785" spans="1:14" x14ac:dyDescent="0.45">
      <c r="A8785" t="s">
        <v>14466</v>
      </c>
      <c r="B8785" s="1">
        <v>44693</v>
      </c>
      <c r="C8785" t="s">
        <v>2465</v>
      </c>
      <c r="D8785" t="s">
        <v>56</v>
      </c>
      <c r="E8785" t="s">
        <v>36</v>
      </c>
      <c r="F8785" t="s">
        <v>37</v>
      </c>
      <c r="G8785">
        <v>1</v>
      </c>
      <c r="H8785">
        <v>10387.129999999999</v>
      </c>
      <c r="I8785">
        <v>1268.04</v>
      </c>
      <c r="J8785" t="s">
        <v>28</v>
      </c>
      <c r="K8785" t="s">
        <v>33</v>
      </c>
      <c r="L8785">
        <f t="shared" si="411"/>
        <v>2022</v>
      </c>
      <c r="M8785" t="str">
        <f t="shared" si="412"/>
        <v>May</v>
      </c>
      <c r="N8785" s="2">
        <f t="shared" si="413"/>
        <v>0.12207799459523469</v>
      </c>
    </row>
    <row r="8786" spans="1:14" x14ac:dyDescent="0.45">
      <c r="A8786" t="s">
        <v>14467</v>
      </c>
      <c r="B8786" s="1">
        <v>45241</v>
      </c>
      <c r="C8786" t="s">
        <v>11950</v>
      </c>
      <c r="D8786" t="s">
        <v>26</v>
      </c>
      <c r="E8786" t="s">
        <v>36</v>
      </c>
      <c r="F8786" t="s">
        <v>37</v>
      </c>
      <c r="G8786">
        <v>2</v>
      </c>
      <c r="H8786">
        <v>26585.06</v>
      </c>
      <c r="I8786">
        <v>3409.11</v>
      </c>
      <c r="J8786" t="s">
        <v>28</v>
      </c>
      <c r="K8786" t="s">
        <v>17</v>
      </c>
      <c r="L8786">
        <f t="shared" si="411"/>
        <v>2023</v>
      </c>
      <c r="M8786" t="str">
        <f t="shared" si="412"/>
        <v>Nov</v>
      </c>
      <c r="N8786" s="2">
        <f t="shared" si="413"/>
        <v>0.12823405326149348</v>
      </c>
    </row>
    <row r="8787" spans="1:14" x14ac:dyDescent="0.45">
      <c r="A8787" t="s">
        <v>14468</v>
      </c>
      <c r="B8787" s="1">
        <v>45486</v>
      </c>
      <c r="C8787" t="s">
        <v>13320</v>
      </c>
      <c r="D8787" t="s">
        <v>26</v>
      </c>
      <c r="E8787" t="s">
        <v>36</v>
      </c>
      <c r="F8787" t="s">
        <v>37</v>
      </c>
      <c r="G8787">
        <v>3</v>
      </c>
      <c r="H8787">
        <v>43625.54</v>
      </c>
      <c r="I8787">
        <v>8443.58</v>
      </c>
      <c r="J8787" t="s">
        <v>16</v>
      </c>
      <c r="K8787" t="s">
        <v>17</v>
      </c>
      <c r="L8787">
        <f t="shared" si="411"/>
        <v>2024</v>
      </c>
      <c r="M8787" t="str">
        <f t="shared" si="412"/>
        <v>Jul</v>
      </c>
      <c r="N8787" s="2">
        <f t="shared" si="413"/>
        <v>0.19354671598334369</v>
      </c>
    </row>
    <row r="8788" spans="1:14" x14ac:dyDescent="0.45">
      <c r="A8788" t="s">
        <v>14469</v>
      </c>
      <c r="B8788" s="1">
        <v>44971</v>
      </c>
      <c r="C8788" t="s">
        <v>3582</v>
      </c>
      <c r="D8788" t="s">
        <v>56</v>
      </c>
      <c r="E8788" t="s">
        <v>20</v>
      </c>
      <c r="F8788" t="s">
        <v>21</v>
      </c>
      <c r="G8788">
        <v>1</v>
      </c>
      <c r="H8788">
        <v>25154.35</v>
      </c>
      <c r="I8788">
        <v>5462.82</v>
      </c>
      <c r="J8788" t="s">
        <v>47</v>
      </c>
      <c r="K8788" t="s">
        <v>33</v>
      </c>
      <c r="L8788">
        <f t="shared" si="411"/>
        <v>2023</v>
      </c>
      <c r="M8788" t="str">
        <f t="shared" si="412"/>
        <v>Feb</v>
      </c>
      <c r="N8788" s="2">
        <f t="shared" si="413"/>
        <v>0.21717198019428052</v>
      </c>
    </row>
    <row r="8789" spans="1:14" x14ac:dyDescent="0.45">
      <c r="A8789" t="s">
        <v>14470</v>
      </c>
      <c r="B8789" s="1">
        <v>44750</v>
      </c>
      <c r="C8789" t="s">
        <v>10750</v>
      </c>
      <c r="D8789" t="s">
        <v>13</v>
      </c>
      <c r="E8789" t="s">
        <v>14</v>
      </c>
      <c r="F8789" t="s">
        <v>15</v>
      </c>
      <c r="G8789">
        <v>1</v>
      </c>
      <c r="H8789">
        <v>35882.76</v>
      </c>
      <c r="I8789">
        <v>4252.96</v>
      </c>
      <c r="J8789" t="s">
        <v>47</v>
      </c>
      <c r="K8789" t="s">
        <v>23</v>
      </c>
      <c r="L8789">
        <f t="shared" si="411"/>
        <v>2022</v>
      </c>
      <c r="M8789" t="str">
        <f t="shared" si="412"/>
        <v>Jul</v>
      </c>
      <c r="N8789" s="2">
        <f t="shared" si="413"/>
        <v>0.11852377018936112</v>
      </c>
    </row>
    <row r="8790" spans="1:14" x14ac:dyDescent="0.45">
      <c r="A8790" t="s">
        <v>14471</v>
      </c>
      <c r="B8790" s="1">
        <v>45653</v>
      </c>
      <c r="C8790" t="s">
        <v>14472</v>
      </c>
      <c r="D8790" t="s">
        <v>56</v>
      </c>
      <c r="E8790" t="s">
        <v>14</v>
      </c>
      <c r="F8790" t="s">
        <v>15</v>
      </c>
      <c r="G8790">
        <v>3</v>
      </c>
      <c r="H8790">
        <v>43427.47</v>
      </c>
      <c r="I8790">
        <v>4928.9399999999996</v>
      </c>
      <c r="J8790" t="s">
        <v>28</v>
      </c>
      <c r="K8790" t="s">
        <v>17</v>
      </c>
      <c r="L8790">
        <f t="shared" si="411"/>
        <v>2024</v>
      </c>
      <c r="M8790" t="str">
        <f t="shared" si="412"/>
        <v>Dec</v>
      </c>
      <c r="N8790" s="2">
        <f t="shared" si="413"/>
        <v>0.11349820747098552</v>
      </c>
    </row>
    <row r="8791" spans="1:14" x14ac:dyDescent="0.45">
      <c r="A8791" t="s">
        <v>14473</v>
      </c>
      <c r="B8791" s="1">
        <v>45560</v>
      </c>
      <c r="C8791" t="s">
        <v>2808</v>
      </c>
      <c r="D8791" t="s">
        <v>26</v>
      </c>
      <c r="E8791" t="s">
        <v>36</v>
      </c>
      <c r="F8791" t="s">
        <v>37</v>
      </c>
      <c r="G8791">
        <v>4</v>
      </c>
      <c r="H8791">
        <v>23260.02</v>
      </c>
      <c r="I8791">
        <v>2652.3</v>
      </c>
      <c r="J8791" t="s">
        <v>71</v>
      </c>
      <c r="K8791" t="s">
        <v>29</v>
      </c>
      <c r="L8791">
        <f t="shared" si="411"/>
        <v>2024</v>
      </c>
      <c r="M8791" t="str">
        <f t="shared" si="412"/>
        <v>Sep</v>
      </c>
      <c r="N8791" s="2">
        <f t="shared" si="413"/>
        <v>0.11402827684584967</v>
      </c>
    </row>
    <row r="8792" spans="1:14" x14ac:dyDescent="0.45">
      <c r="A8792" t="s">
        <v>14474</v>
      </c>
      <c r="B8792" s="1">
        <v>44840</v>
      </c>
      <c r="C8792" t="s">
        <v>1956</v>
      </c>
      <c r="D8792" t="s">
        <v>56</v>
      </c>
      <c r="E8792" t="s">
        <v>36</v>
      </c>
      <c r="F8792" t="s">
        <v>64</v>
      </c>
      <c r="G8792">
        <v>2</v>
      </c>
      <c r="H8792">
        <v>49415.11</v>
      </c>
      <c r="I8792">
        <v>7563.07</v>
      </c>
      <c r="J8792" t="s">
        <v>71</v>
      </c>
      <c r="K8792" t="s">
        <v>33</v>
      </c>
      <c r="L8792">
        <f t="shared" si="411"/>
        <v>2022</v>
      </c>
      <c r="M8792" t="str">
        <f t="shared" si="412"/>
        <v>Oct</v>
      </c>
      <c r="N8792" s="2">
        <f t="shared" si="413"/>
        <v>0.15305176898321179</v>
      </c>
    </row>
    <row r="8793" spans="1:14" x14ac:dyDescent="0.45">
      <c r="A8793" t="s">
        <v>14475</v>
      </c>
      <c r="B8793" s="1">
        <v>44598</v>
      </c>
      <c r="C8793" t="s">
        <v>1063</v>
      </c>
      <c r="D8793" t="s">
        <v>56</v>
      </c>
      <c r="E8793" t="s">
        <v>20</v>
      </c>
      <c r="F8793" t="s">
        <v>50</v>
      </c>
      <c r="G8793">
        <v>2</v>
      </c>
      <c r="H8793">
        <v>49631.839999999997</v>
      </c>
      <c r="I8793">
        <v>4375.75</v>
      </c>
      <c r="J8793" t="s">
        <v>71</v>
      </c>
      <c r="K8793" t="s">
        <v>29</v>
      </c>
      <c r="L8793">
        <f t="shared" si="411"/>
        <v>2022</v>
      </c>
      <c r="M8793" t="str">
        <f t="shared" si="412"/>
        <v>Feb</v>
      </c>
      <c r="N8793" s="2">
        <f t="shared" si="413"/>
        <v>8.8164170419633855E-2</v>
      </c>
    </row>
    <row r="8794" spans="1:14" x14ac:dyDescent="0.45">
      <c r="A8794" t="s">
        <v>14476</v>
      </c>
      <c r="B8794" s="1">
        <v>45012</v>
      </c>
      <c r="C8794" t="s">
        <v>10765</v>
      </c>
      <c r="D8794" t="s">
        <v>26</v>
      </c>
      <c r="E8794" t="s">
        <v>20</v>
      </c>
      <c r="F8794" t="s">
        <v>21</v>
      </c>
      <c r="G8794">
        <v>1</v>
      </c>
      <c r="H8794">
        <v>43886.37</v>
      </c>
      <c r="I8794">
        <v>3480.62</v>
      </c>
      <c r="J8794" t="s">
        <v>71</v>
      </c>
      <c r="K8794" t="s">
        <v>23</v>
      </c>
      <c r="L8794">
        <f t="shared" si="411"/>
        <v>2023</v>
      </c>
      <c r="M8794" t="str">
        <f t="shared" si="412"/>
        <v>Mar</v>
      </c>
      <c r="N8794" s="2">
        <f t="shared" si="413"/>
        <v>7.9309817603962232E-2</v>
      </c>
    </row>
    <row r="8795" spans="1:14" x14ac:dyDescent="0.45">
      <c r="A8795" t="s">
        <v>14477</v>
      </c>
      <c r="B8795" s="1">
        <v>44953</v>
      </c>
      <c r="C8795" t="s">
        <v>11435</v>
      </c>
      <c r="D8795" t="s">
        <v>13</v>
      </c>
      <c r="E8795" t="s">
        <v>20</v>
      </c>
      <c r="F8795" t="s">
        <v>43</v>
      </c>
      <c r="G8795">
        <v>3</v>
      </c>
      <c r="H8795">
        <v>15296.89</v>
      </c>
      <c r="I8795">
        <v>2914.49</v>
      </c>
      <c r="J8795" t="s">
        <v>28</v>
      </c>
      <c r="K8795" t="s">
        <v>33</v>
      </c>
      <c r="L8795">
        <f t="shared" si="411"/>
        <v>2023</v>
      </c>
      <c r="M8795" t="str">
        <f t="shared" si="412"/>
        <v>Jan</v>
      </c>
      <c r="N8795" s="2">
        <f t="shared" si="413"/>
        <v>0.19052827077922374</v>
      </c>
    </row>
    <row r="8796" spans="1:14" x14ac:dyDescent="0.45">
      <c r="A8796" t="s">
        <v>14478</v>
      </c>
      <c r="B8796" s="1">
        <v>45568</v>
      </c>
      <c r="C8796" t="s">
        <v>676</v>
      </c>
      <c r="D8796" t="s">
        <v>26</v>
      </c>
      <c r="E8796" t="s">
        <v>36</v>
      </c>
      <c r="F8796" t="s">
        <v>53</v>
      </c>
      <c r="G8796">
        <v>5</v>
      </c>
      <c r="H8796">
        <v>7508.41</v>
      </c>
      <c r="I8796">
        <v>459.43</v>
      </c>
      <c r="J8796" t="s">
        <v>71</v>
      </c>
      <c r="K8796" t="s">
        <v>29</v>
      </c>
      <c r="L8796">
        <f t="shared" si="411"/>
        <v>2024</v>
      </c>
      <c r="M8796" t="str">
        <f t="shared" si="412"/>
        <v>Oct</v>
      </c>
      <c r="N8796" s="2">
        <f t="shared" si="413"/>
        <v>6.1188720381545499E-2</v>
      </c>
    </row>
    <row r="8797" spans="1:14" x14ac:dyDescent="0.45">
      <c r="A8797" t="s">
        <v>14479</v>
      </c>
      <c r="B8797" s="1">
        <v>45286</v>
      </c>
      <c r="C8797" t="s">
        <v>3182</v>
      </c>
      <c r="D8797" t="s">
        <v>26</v>
      </c>
      <c r="E8797" t="s">
        <v>36</v>
      </c>
      <c r="F8797" t="s">
        <v>53</v>
      </c>
      <c r="G8797">
        <v>4</v>
      </c>
      <c r="H8797">
        <v>37715.040000000001</v>
      </c>
      <c r="I8797">
        <v>3939.69</v>
      </c>
      <c r="J8797" t="s">
        <v>22</v>
      </c>
      <c r="K8797" t="s">
        <v>23</v>
      </c>
      <c r="L8797">
        <f t="shared" si="411"/>
        <v>2023</v>
      </c>
      <c r="M8797" t="str">
        <f t="shared" si="412"/>
        <v>Dec</v>
      </c>
      <c r="N8797" s="2">
        <f t="shared" si="413"/>
        <v>0.10445938808496558</v>
      </c>
    </row>
    <row r="8798" spans="1:14" x14ac:dyDescent="0.45">
      <c r="A8798" t="s">
        <v>14480</v>
      </c>
      <c r="B8798" s="1">
        <v>45295</v>
      </c>
      <c r="C8798" t="s">
        <v>14481</v>
      </c>
      <c r="D8798" t="s">
        <v>13</v>
      </c>
      <c r="E8798" t="s">
        <v>20</v>
      </c>
      <c r="F8798" t="s">
        <v>50</v>
      </c>
      <c r="G8798">
        <v>3</v>
      </c>
      <c r="H8798">
        <v>37169</v>
      </c>
      <c r="I8798">
        <v>2814.2</v>
      </c>
      <c r="J8798" t="s">
        <v>71</v>
      </c>
      <c r="K8798" t="s">
        <v>17</v>
      </c>
      <c r="L8798">
        <f t="shared" si="411"/>
        <v>2024</v>
      </c>
      <c r="M8798" t="str">
        <f t="shared" si="412"/>
        <v>Jan</v>
      </c>
      <c r="N8798" s="2">
        <f t="shared" si="413"/>
        <v>7.5713632328015271E-2</v>
      </c>
    </row>
    <row r="8799" spans="1:14" x14ac:dyDescent="0.45">
      <c r="A8799" t="s">
        <v>14482</v>
      </c>
      <c r="B8799" s="1">
        <v>45183</v>
      </c>
      <c r="C8799" t="s">
        <v>14483</v>
      </c>
      <c r="D8799" t="s">
        <v>56</v>
      </c>
      <c r="E8799" t="s">
        <v>36</v>
      </c>
      <c r="F8799" t="s">
        <v>37</v>
      </c>
      <c r="G8799">
        <v>5</v>
      </c>
      <c r="H8799">
        <v>37637.86</v>
      </c>
      <c r="I8799">
        <v>3855.47</v>
      </c>
      <c r="J8799" t="s">
        <v>22</v>
      </c>
      <c r="K8799" t="s">
        <v>33</v>
      </c>
      <c r="L8799">
        <f t="shared" si="411"/>
        <v>2023</v>
      </c>
      <c r="M8799" t="str">
        <f t="shared" si="412"/>
        <v>Sep</v>
      </c>
      <c r="N8799" s="2">
        <f t="shared" si="413"/>
        <v>0.10243595145951442</v>
      </c>
    </row>
    <row r="8800" spans="1:14" x14ac:dyDescent="0.45">
      <c r="A8800" t="s">
        <v>14484</v>
      </c>
      <c r="B8800" s="1">
        <v>44939</v>
      </c>
      <c r="C8800" t="s">
        <v>12406</v>
      </c>
      <c r="D8800" t="s">
        <v>26</v>
      </c>
      <c r="E8800" t="s">
        <v>14</v>
      </c>
      <c r="F8800" t="s">
        <v>32</v>
      </c>
      <c r="G8800">
        <v>4</v>
      </c>
      <c r="H8800">
        <v>34516.639999999999</v>
      </c>
      <c r="I8800">
        <v>4226.8900000000003</v>
      </c>
      <c r="J8800" t="s">
        <v>28</v>
      </c>
      <c r="K8800" t="s">
        <v>33</v>
      </c>
      <c r="L8800">
        <f t="shared" si="411"/>
        <v>2023</v>
      </c>
      <c r="M8800" t="str">
        <f t="shared" si="412"/>
        <v>Jan</v>
      </c>
      <c r="N8800" s="2">
        <f t="shared" si="413"/>
        <v>0.12245948620723224</v>
      </c>
    </row>
    <row r="8801" spans="1:14" x14ac:dyDescent="0.45">
      <c r="A8801" t="s">
        <v>14485</v>
      </c>
      <c r="B8801" s="1">
        <v>45360</v>
      </c>
      <c r="C8801" t="s">
        <v>14486</v>
      </c>
      <c r="D8801" t="s">
        <v>13</v>
      </c>
      <c r="E8801" t="s">
        <v>36</v>
      </c>
      <c r="F8801" t="s">
        <v>53</v>
      </c>
      <c r="G8801">
        <v>5</v>
      </c>
      <c r="H8801">
        <v>28487.13</v>
      </c>
      <c r="I8801">
        <v>3749.25</v>
      </c>
      <c r="J8801" t="s">
        <v>22</v>
      </c>
      <c r="K8801" t="s">
        <v>23</v>
      </c>
      <c r="L8801">
        <f t="shared" si="411"/>
        <v>2024</v>
      </c>
      <c r="M8801" t="str">
        <f t="shared" si="412"/>
        <v>Mar</v>
      </c>
      <c r="N8801" s="2">
        <f t="shared" si="413"/>
        <v>0.13161206481663826</v>
      </c>
    </row>
    <row r="8802" spans="1:14" x14ac:dyDescent="0.45">
      <c r="A8802" t="s">
        <v>14487</v>
      </c>
      <c r="B8802" s="1">
        <v>44800</v>
      </c>
      <c r="C8802" t="s">
        <v>7128</v>
      </c>
      <c r="D8802" t="s">
        <v>26</v>
      </c>
      <c r="E8802" t="s">
        <v>14</v>
      </c>
      <c r="F8802" t="s">
        <v>40</v>
      </c>
      <c r="G8802">
        <v>3</v>
      </c>
      <c r="H8802">
        <v>23872.21</v>
      </c>
      <c r="I8802">
        <v>4822.08</v>
      </c>
      <c r="J8802" t="s">
        <v>47</v>
      </c>
      <c r="K8802" t="s">
        <v>17</v>
      </c>
      <c r="L8802">
        <f t="shared" si="411"/>
        <v>2022</v>
      </c>
      <c r="M8802" t="str">
        <f t="shared" si="412"/>
        <v>Aug</v>
      </c>
      <c r="N8802" s="2">
        <f t="shared" si="413"/>
        <v>0.20199554209685655</v>
      </c>
    </row>
    <row r="8803" spans="1:14" x14ac:dyDescent="0.45">
      <c r="A8803" t="s">
        <v>14488</v>
      </c>
      <c r="B8803" s="1">
        <v>45253</v>
      </c>
      <c r="C8803" t="s">
        <v>5239</v>
      </c>
      <c r="D8803" t="s">
        <v>13</v>
      </c>
      <c r="E8803" t="s">
        <v>20</v>
      </c>
      <c r="F8803" t="s">
        <v>43</v>
      </c>
      <c r="G8803">
        <v>4</v>
      </c>
      <c r="H8803">
        <v>36255.4</v>
      </c>
      <c r="I8803">
        <v>3170.09</v>
      </c>
      <c r="J8803" t="s">
        <v>47</v>
      </c>
      <c r="K8803" t="s">
        <v>17</v>
      </c>
      <c r="L8803">
        <f t="shared" si="411"/>
        <v>2023</v>
      </c>
      <c r="M8803" t="str">
        <f t="shared" si="412"/>
        <v>Nov</v>
      </c>
      <c r="N8803" s="2">
        <f t="shared" si="413"/>
        <v>8.7437733413505303E-2</v>
      </c>
    </row>
    <row r="8804" spans="1:14" x14ac:dyDescent="0.45">
      <c r="A8804" t="s">
        <v>14489</v>
      </c>
      <c r="B8804" s="1">
        <v>44665</v>
      </c>
      <c r="C8804" t="s">
        <v>4726</v>
      </c>
      <c r="D8804" t="s">
        <v>13</v>
      </c>
      <c r="E8804" t="s">
        <v>36</v>
      </c>
      <c r="F8804" t="s">
        <v>37</v>
      </c>
      <c r="G8804">
        <v>1</v>
      </c>
      <c r="H8804">
        <v>4010.05</v>
      </c>
      <c r="I8804">
        <v>377.42</v>
      </c>
      <c r="J8804" t="s">
        <v>47</v>
      </c>
      <c r="K8804" t="s">
        <v>17</v>
      </c>
      <c r="L8804">
        <f t="shared" si="411"/>
        <v>2022</v>
      </c>
      <c r="M8804" t="str">
        <f t="shared" si="412"/>
        <v>Apr</v>
      </c>
      <c r="N8804" s="2">
        <f t="shared" si="413"/>
        <v>9.4118527200408975E-2</v>
      </c>
    </row>
    <row r="8805" spans="1:14" x14ac:dyDescent="0.45">
      <c r="A8805" t="s">
        <v>14490</v>
      </c>
      <c r="B8805" s="1">
        <v>45191</v>
      </c>
      <c r="C8805" t="s">
        <v>958</v>
      </c>
      <c r="D8805" t="s">
        <v>26</v>
      </c>
      <c r="E8805" t="s">
        <v>36</v>
      </c>
      <c r="F8805" t="s">
        <v>64</v>
      </c>
      <c r="G8805">
        <v>4</v>
      </c>
      <c r="H8805">
        <v>5094.75</v>
      </c>
      <c r="I8805">
        <v>922.12</v>
      </c>
      <c r="J8805" t="s">
        <v>22</v>
      </c>
      <c r="K8805" t="s">
        <v>23</v>
      </c>
      <c r="L8805">
        <f t="shared" si="411"/>
        <v>2023</v>
      </c>
      <c r="M8805" t="str">
        <f t="shared" si="412"/>
        <v>Sep</v>
      </c>
      <c r="N8805" s="2">
        <f t="shared" si="413"/>
        <v>0.18099416065557683</v>
      </c>
    </row>
    <row r="8806" spans="1:14" x14ac:dyDescent="0.45">
      <c r="A8806" t="s">
        <v>14491</v>
      </c>
      <c r="B8806" s="1">
        <v>45108</v>
      </c>
      <c r="C8806" t="s">
        <v>14492</v>
      </c>
      <c r="D8806" t="s">
        <v>56</v>
      </c>
      <c r="E8806" t="s">
        <v>20</v>
      </c>
      <c r="F8806" t="s">
        <v>50</v>
      </c>
      <c r="G8806">
        <v>5</v>
      </c>
      <c r="H8806">
        <v>5204.7</v>
      </c>
      <c r="I8806">
        <v>567.05999999999995</v>
      </c>
      <c r="J8806" t="s">
        <v>22</v>
      </c>
      <c r="K8806" t="s">
        <v>23</v>
      </c>
      <c r="L8806">
        <f t="shared" si="411"/>
        <v>2023</v>
      </c>
      <c r="M8806" t="str">
        <f t="shared" si="412"/>
        <v>Jul</v>
      </c>
      <c r="N8806" s="2">
        <f t="shared" si="413"/>
        <v>0.10895152458354948</v>
      </c>
    </row>
    <row r="8807" spans="1:14" x14ac:dyDescent="0.45">
      <c r="A8807" t="s">
        <v>14493</v>
      </c>
      <c r="B8807" s="1">
        <v>45427</v>
      </c>
      <c r="C8807" t="s">
        <v>2224</v>
      </c>
      <c r="D8807" t="s">
        <v>13</v>
      </c>
      <c r="E8807" t="s">
        <v>14</v>
      </c>
      <c r="F8807" t="s">
        <v>57</v>
      </c>
      <c r="G8807">
        <v>1</v>
      </c>
      <c r="H8807">
        <v>38786.57</v>
      </c>
      <c r="I8807">
        <v>6073.08</v>
      </c>
      <c r="J8807" t="s">
        <v>22</v>
      </c>
      <c r="K8807" t="s">
        <v>17</v>
      </c>
      <c r="L8807">
        <f t="shared" si="411"/>
        <v>2024</v>
      </c>
      <c r="M8807" t="str">
        <f t="shared" si="412"/>
        <v>May</v>
      </c>
      <c r="N8807" s="2">
        <f t="shared" si="413"/>
        <v>0.15657687699634176</v>
      </c>
    </row>
    <row r="8808" spans="1:14" x14ac:dyDescent="0.45">
      <c r="A8808" t="s">
        <v>14494</v>
      </c>
      <c r="B8808" s="1">
        <v>45601</v>
      </c>
      <c r="C8808" t="s">
        <v>14495</v>
      </c>
      <c r="D8808" t="s">
        <v>56</v>
      </c>
      <c r="E8808" t="s">
        <v>36</v>
      </c>
      <c r="F8808" t="s">
        <v>53</v>
      </c>
      <c r="G8808">
        <v>3</v>
      </c>
      <c r="H8808">
        <v>15592.7</v>
      </c>
      <c r="I8808">
        <v>2262.0700000000002</v>
      </c>
      <c r="J8808" t="s">
        <v>22</v>
      </c>
      <c r="K8808" t="s">
        <v>33</v>
      </c>
      <c r="L8808">
        <f t="shared" si="411"/>
        <v>2024</v>
      </c>
      <c r="M8808" t="str">
        <f t="shared" si="412"/>
        <v>Nov</v>
      </c>
      <c r="N8808" s="2">
        <f t="shared" si="413"/>
        <v>0.14507237361072811</v>
      </c>
    </row>
    <row r="8809" spans="1:14" x14ac:dyDescent="0.45">
      <c r="A8809" t="s">
        <v>14496</v>
      </c>
      <c r="B8809" s="1">
        <v>44950</v>
      </c>
      <c r="C8809" t="s">
        <v>11604</v>
      </c>
      <c r="D8809" t="s">
        <v>56</v>
      </c>
      <c r="E8809" t="s">
        <v>14</v>
      </c>
      <c r="F8809" t="s">
        <v>15</v>
      </c>
      <c r="G8809">
        <v>2</v>
      </c>
      <c r="H8809">
        <v>2946.22</v>
      </c>
      <c r="I8809">
        <v>291.33999999999997</v>
      </c>
      <c r="J8809" t="s">
        <v>71</v>
      </c>
      <c r="K8809" t="s">
        <v>33</v>
      </c>
      <c r="L8809">
        <f t="shared" si="411"/>
        <v>2023</v>
      </c>
      <c r="M8809" t="str">
        <f t="shared" si="412"/>
        <v>Jan</v>
      </c>
      <c r="N8809" s="2">
        <f t="shared" si="413"/>
        <v>9.8886030235352418E-2</v>
      </c>
    </row>
    <row r="8810" spans="1:14" x14ac:dyDescent="0.45">
      <c r="A8810" t="s">
        <v>14497</v>
      </c>
      <c r="B8810" s="1">
        <v>44585</v>
      </c>
      <c r="C8810" t="s">
        <v>3402</v>
      </c>
      <c r="D8810" t="s">
        <v>13</v>
      </c>
      <c r="E8810" t="s">
        <v>36</v>
      </c>
      <c r="F8810" t="s">
        <v>53</v>
      </c>
      <c r="G8810">
        <v>4</v>
      </c>
      <c r="H8810">
        <v>13410.39</v>
      </c>
      <c r="I8810">
        <v>3059.92</v>
      </c>
      <c r="J8810" t="s">
        <v>71</v>
      </c>
      <c r="K8810" t="s">
        <v>29</v>
      </c>
      <c r="L8810">
        <f t="shared" si="411"/>
        <v>2022</v>
      </c>
      <c r="M8810" t="str">
        <f t="shared" si="412"/>
        <v>Jan</v>
      </c>
      <c r="N8810" s="2">
        <f t="shared" si="413"/>
        <v>0.22817531779463537</v>
      </c>
    </row>
    <row r="8811" spans="1:14" x14ac:dyDescent="0.45">
      <c r="A8811" t="s">
        <v>14498</v>
      </c>
      <c r="B8811" s="1">
        <v>45387</v>
      </c>
      <c r="C8811" t="s">
        <v>6545</v>
      </c>
      <c r="D8811" t="s">
        <v>26</v>
      </c>
      <c r="E8811" t="s">
        <v>36</v>
      </c>
      <c r="F8811" t="s">
        <v>53</v>
      </c>
      <c r="G8811">
        <v>5</v>
      </c>
      <c r="H8811">
        <v>12218.48</v>
      </c>
      <c r="I8811">
        <v>1062.02</v>
      </c>
      <c r="J8811" t="s">
        <v>71</v>
      </c>
      <c r="K8811" t="s">
        <v>23</v>
      </c>
      <c r="L8811">
        <f t="shared" si="411"/>
        <v>2024</v>
      </c>
      <c r="M8811" t="str">
        <f t="shared" si="412"/>
        <v>Apr</v>
      </c>
      <c r="N8811" s="2">
        <f t="shared" si="413"/>
        <v>8.6919158520536111E-2</v>
      </c>
    </row>
    <row r="8812" spans="1:14" x14ac:dyDescent="0.45">
      <c r="A8812" t="s">
        <v>14499</v>
      </c>
      <c r="B8812" s="1">
        <v>45536</v>
      </c>
      <c r="C8812" t="s">
        <v>14500</v>
      </c>
      <c r="D8812" t="s">
        <v>56</v>
      </c>
      <c r="E8812" t="s">
        <v>36</v>
      </c>
      <c r="F8812" t="s">
        <v>46</v>
      </c>
      <c r="G8812">
        <v>3</v>
      </c>
      <c r="H8812">
        <v>6797.57</v>
      </c>
      <c r="I8812">
        <v>1307.18</v>
      </c>
      <c r="J8812" t="s">
        <v>28</v>
      </c>
      <c r="K8812" t="s">
        <v>17</v>
      </c>
      <c r="L8812">
        <f t="shared" si="411"/>
        <v>2024</v>
      </c>
      <c r="M8812" t="str">
        <f t="shared" si="412"/>
        <v>Sep</v>
      </c>
      <c r="N8812" s="2">
        <f t="shared" si="413"/>
        <v>0.19230107229495247</v>
      </c>
    </row>
    <row r="8813" spans="1:14" x14ac:dyDescent="0.45">
      <c r="A8813" t="s">
        <v>14501</v>
      </c>
      <c r="B8813" s="1">
        <v>45348</v>
      </c>
      <c r="C8813" t="s">
        <v>7892</v>
      </c>
      <c r="D8813" t="s">
        <v>26</v>
      </c>
      <c r="E8813" t="s">
        <v>36</v>
      </c>
      <c r="F8813" t="s">
        <v>64</v>
      </c>
      <c r="G8813">
        <v>4</v>
      </c>
      <c r="H8813">
        <v>5776.26</v>
      </c>
      <c r="I8813">
        <v>1249.3699999999999</v>
      </c>
      <c r="J8813" t="s">
        <v>16</v>
      </c>
      <c r="K8813" t="s">
        <v>23</v>
      </c>
      <c r="L8813">
        <f t="shared" si="411"/>
        <v>2024</v>
      </c>
      <c r="M8813" t="str">
        <f t="shared" si="412"/>
        <v>Feb</v>
      </c>
      <c r="N8813" s="2">
        <f t="shared" si="413"/>
        <v>0.21629393413731374</v>
      </c>
    </row>
    <row r="8814" spans="1:14" x14ac:dyDescent="0.45">
      <c r="A8814" t="s">
        <v>14502</v>
      </c>
      <c r="B8814" s="1">
        <v>45184</v>
      </c>
      <c r="C8814" t="s">
        <v>14503</v>
      </c>
      <c r="D8814" t="s">
        <v>26</v>
      </c>
      <c r="E8814" t="s">
        <v>14</v>
      </c>
      <c r="F8814" t="s">
        <v>32</v>
      </c>
      <c r="G8814">
        <v>3</v>
      </c>
      <c r="H8814">
        <v>9700.6299999999992</v>
      </c>
      <c r="I8814">
        <v>1258.08</v>
      </c>
      <c r="J8814" t="s">
        <v>22</v>
      </c>
      <c r="K8814" t="s">
        <v>29</v>
      </c>
      <c r="L8814">
        <f t="shared" si="411"/>
        <v>2023</v>
      </c>
      <c r="M8814" t="str">
        <f t="shared" si="412"/>
        <v>Sep</v>
      </c>
      <c r="N8814" s="2">
        <f t="shared" si="413"/>
        <v>0.12969054587176296</v>
      </c>
    </row>
    <row r="8815" spans="1:14" x14ac:dyDescent="0.45">
      <c r="A8815" t="s">
        <v>14504</v>
      </c>
      <c r="B8815" s="1">
        <v>45378</v>
      </c>
      <c r="C8815" t="s">
        <v>14505</v>
      </c>
      <c r="D8815" t="s">
        <v>13</v>
      </c>
      <c r="E8815" t="s">
        <v>20</v>
      </c>
      <c r="F8815" t="s">
        <v>27</v>
      </c>
      <c r="G8815">
        <v>2</v>
      </c>
      <c r="H8815">
        <v>27991.75</v>
      </c>
      <c r="I8815">
        <v>1733.09</v>
      </c>
      <c r="J8815" t="s">
        <v>16</v>
      </c>
      <c r="K8815" t="s">
        <v>23</v>
      </c>
      <c r="L8815">
        <f t="shared" si="411"/>
        <v>2024</v>
      </c>
      <c r="M8815" t="str">
        <f t="shared" si="412"/>
        <v>Mar</v>
      </c>
      <c r="N8815" s="2">
        <f t="shared" si="413"/>
        <v>6.1914314038957904E-2</v>
      </c>
    </row>
    <row r="8816" spans="1:14" x14ac:dyDescent="0.45">
      <c r="A8816" t="s">
        <v>14506</v>
      </c>
      <c r="B8816" s="1">
        <v>44662</v>
      </c>
      <c r="C8816" t="s">
        <v>12169</v>
      </c>
      <c r="D8816" t="s">
        <v>13</v>
      </c>
      <c r="E8816" t="s">
        <v>14</v>
      </c>
      <c r="F8816" t="s">
        <v>32</v>
      </c>
      <c r="G8816">
        <v>2</v>
      </c>
      <c r="H8816">
        <v>11140.68</v>
      </c>
      <c r="I8816">
        <v>1104.6400000000001</v>
      </c>
      <c r="J8816" t="s">
        <v>28</v>
      </c>
      <c r="K8816" t="s">
        <v>33</v>
      </c>
      <c r="L8816">
        <f t="shared" si="411"/>
        <v>2022</v>
      </c>
      <c r="M8816" t="str">
        <f t="shared" si="412"/>
        <v>Apr</v>
      </c>
      <c r="N8816" s="2">
        <f t="shared" si="413"/>
        <v>9.9153732088166982E-2</v>
      </c>
    </row>
    <row r="8817" spans="1:14" x14ac:dyDescent="0.45">
      <c r="A8817" t="s">
        <v>14507</v>
      </c>
      <c r="B8817" s="1">
        <v>44738</v>
      </c>
      <c r="C8817" t="s">
        <v>14508</v>
      </c>
      <c r="D8817" t="s">
        <v>26</v>
      </c>
      <c r="E8817" t="s">
        <v>36</v>
      </c>
      <c r="F8817" t="s">
        <v>53</v>
      </c>
      <c r="G8817">
        <v>5</v>
      </c>
      <c r="H8817">
        <v>48387.99</v>
      </c>
      <c r="I8817">
        <v>5195.09</v>
      </c>
      <c r="J8817" t="s">
        <v>47</v>
      </c>
      <c r="K8817" t="s">
        <v>23</v>
      </c>
      <c r="L8817">
        <f t="shared" si="411"/>
        <v>2022</v>
      </c>
      <c r="M8817" t="str">
        <f t="shared" si="412"/>
        <v>Jun</v>
      </c>
      <c r="N8817" s="2">
        <f t="shared" si="413"/>
        <v>0.10736321140845075</v>
      </c>
    </row>
    <row r="8818" spans="1:14" x14ac:dyDescent="0.45">
      <c r="A8818" t="s">
        <v>14509</v>
      </c>
      <c r="B8818" s="1">
        <v>45195</v>
      </c>
      <c r="C8818" t="s">
        <v>1754</v>
      </c>
      <c r="D8818" t="s">
        <v>56</v>
      </c>
      <c r="E8818" t="s">
        <v>14</v>
      </c>
      <c r="F8818" t="s">
        <v>32</v>
      </c>
      <c r="G8818">
        <v>3</v>
      </c>
      <c r="H8818">
        <v>14692.43</v>
      </c>
      <c r="I8818">
        <v>1664.1</v>
      </c>
      <c r="J8818" t="s">
        <v>22</v>
      </c>
      <c r="K8818" t="s">
        <v>29</v>
      </c>
      <c r="L8818">
        <f t="shared" si="411"/>
        <v>2023</v>
      </c>
      <c r="M8818" t="str">
        <f t="shared" si="412"/>
        <v>Sep</v>
      </c>
      <c r="N8818" s="2">
        <f t="shared" si="413"/>
        <v>0.11326240792026913</v>
      </c>
    </row>
    <row r="8819" spans="1:14" x14ac:dyDescent="0.45">
      <c r="A8819" t="s">
        <v>14510</v>
      </c>
      <c r="B8819" s="1">
        <v>45123</v>
      </c>
      <c r="C8819" t="s">
        <v>14511</v>
      </c>
      <c r="D8819" t="s">
        <v>56</v>
      </c>
      <c r="E8819" t="s">
        <v>20</v>
      </c>
      <c r="F8819" t="s">
        <v>43</v>
      </c>
      <c r="G8819">
        <v>5</v>
      </c>
      <c r="H8819">
        <v>22240.47</v>
      </c>
      <c r="I8819">
        <v>4720.24</v>
      </c>
      <c r="J8819" t="s">
        <v>47</v>
      </c>
      <c r="K8819" t="s">
        <v>23</v>
      </c>
      <c r="L8819">
        <f t="shared" si="411"/>
        <v>2023</v>
      </c>
      <c r="M8819" t="str">
        <f t="shared" si="412"/>
        <v>Jul</v>
      </c>
      <c r="N8819" s="2">
        <f t="shared" si="413"/>
        <v>0.21223652197997611</v>
      </c>
    </row>
    <row r="8820" spans="1:14" x14ac:dyDescent="0.45">
      <c r="A8820" t="s">
        <v>14512</v>
      </c>
      <c r="B8820" s="1">
        <v>45460</v>
      </c>
      <c r="C8820" t="s">
        <v>869</v>
      </c>
      <c r="D8820" t="s">
        <v>26</v>
      </c>
      <c r="E8820" t="s">
        <v>20</v>
      </c>
      <c r="F8820" t="s">
        <v>27</v>
      </c>
      <c r="G8820">
        <v>4</v>
      </c>
      <c r="H8820">
        <v>15730.15</v>
      </c>
      <c r="I8820">
        <v>859.72</v>
      </c>
      <c r="J8820" t="s">
        <v>71</v>
      </c>
      <c r="K8820" t="s">
        <v>17</v>
      </c>
      <c r="L8820">
        <f t="shared" si="411"/>
        <v>2024</v>
      </c>
      <c r="M8820" t="str">
        <f t="shared" si="412"/>
        <v>Jun</v>
      </c>
      <c r="N8820" s="2">
        <f t="shared" si="413"/>
        <v>5.4654278566955816E-2</v>
      </c>
    </row>
    <row r="8821" spans="1:14" x14ac:dyDescent="0.45">
      <c r="A8821" t="s">
        <v>14513</v>
      </c>
      <c r="B8821" s="1">
        <v>45163</v>
      </c>
      <c r="C8821" t="s">
        <v>14514</v>
      </c>
      <c r="D8821" t="s">
        <v>13</v>
      </c>
      <c r="E8821" t="s">
        <v>14</v>
      </c>
      <c r="F8821" t="s">
        <v>15</v>
      </c>
      <c r="G8821">
        <v>4</v>
      </c>
      <c r="H8821">
        <v>10687.24</v>
      </c>
      <c r="I8821">
        <v>2094.09</v>
      </c>
      <c r="J8821" t="s">
        <v>47</v>
      </c>
      <c r="K8821" t="s">
        <v>23</v>
      </c>
      <c r="L8821">
        <f t="shared" si="411"/>
        <v>2023</v>
      </c>
      <c r="M8821" t="str">
        <f t="shared" si="412"/>
        <v>Aug</v>
      </c>
      <c r="N8821" s="2">
        <f t="shared" si="413"/>
        <v>0.19594301241480497</v>
      </c>
    </row>
    <row r="8822" spans="1:14" x14ac:dyDescent="0.45">
      <c r="A8822" t="s">
        <v>14515</v>
      </c>
      <c r="B8822" s="1">
        <v>45558</v>
      </c>
      <c r="C8822" t="s">
        <v>14516</v>
      </c>
      <c r="D8822" t="s">
        <v>56</v>
      </c>
      <c r="E8822" t="s">
        <v>14</v>
      </c>
      <c r="F8822" t="s">
        <v>57</v>
      </c>
      <c r="G8822">
        <v>2</v>
      </c>
      <c r="H8822">
        <v>601.59</v>
      </c>
      <c r="I8822">
        <v>121.18</v>
      </c>
      <c r="J8822" t="s">
        <v>28</v>
      </c>
      <c r="K8822" t="s">
        <v>23</v>
      </c>
      <c r="L8822">
        <f t="shared" si="411"/>
        <v>2024</v>
      </c>
      <c r="M8822" t="str">
        <f t="shared" si="412"/>
        <v>Sep</v>
      </c>
      <c r="N8822" s="2">
        <f t="shared" si="413"/>
        <v>0.20143286956232651</v>
      </c>
    </row>
    <row r="8823" spans="1:14" x14ac:dyDescent="0.45">
      <c r="A8823" t="s">
        <v>14517</v>
      </c>
      <c r="B8823" s="1">
        <v>45181</v>
      </c>
      <c r="C8823" t="s">
        <v>7526</v>
      </c>
      <c r="D8823" t="s">
        <v>56</v>
      </c>
      <c r="E8823" t="s">
        <v>14</v>
      </c>
      <c r="F8823" t="s">
        <v>57</v>
      </c>
      <c r="G8823">
        <v>3</v>
      </c>
      <c r="H8823">
        <v>3777.11</v>
      </c>
      <c r="I8823">
        <v>507.89</v>
      </c>
      <c r="J8823" t="s">
        <v>71</v>
      </c>
      <c r="K8823" t="s">
        <v>29</v>
      </c>
      <c r="L8823">
        <f t="shared" si="411"/>
        <v>2023</v>
      </c>
      <c r="M8823" t="str">
        <f t="shared" si="412"/>
        <v>Sep</v>
      </c>
      <c r="N8823" s="2">
        <f t="shared" si="413"/>
        <v>0.13446523929671098</v>
      </c>
    </row>
    <row r="8824" spans="1:14" x14ac:dyDescent="0.45">
      <c r="A8824" t="s">
        <v>14518</v>
      </c>
      <c r="B8824" s="1">
        <v>44580</v>
      </c>
      <c r="C8824" t="s">
        <v>14019</v>
      </c>
      <c r="D8824" t="s">
        <v>13</v>
      </c>
      <c r="E8824" t="s">
        <v>14</v>
      </c>
      <c r="F8824" t="s">
        <v>15</v>
      </c>
      <c r="G8824">
        <v>3</v>
      </c>
      <c r="H8824">
        <v>7542.74</v>
      </c>
      <c r="I8824">
        <v>1290.99</v>
      </c>
      <c r="J8824" t="s">
        <v>47</v>
      </c>
      <c r="K8824" t="s">
        <v>23</v>
      </c>
      <c r="L8824">
        <f t="shared" si="411"/>
        <v>2022</v>
      </c>
      <c r="M8824" t="str">
        <f t="shared" si="412"/>
        <v>Jan</v>
      </c>
      <c r="N8824" s="2">
        <f t="shared" si="413"/>
        <v>0.17115663538714049</v>
      </c>
    </row>
    <row r="8825" spans="1:14" x14ac:dyDescent="0.45">
      <c r="A8825" t="s">
        <v>14519</v>
      </c>
      <c r="B8825" s="1">
        <v>45207</v>
      </c>
      <c r="C8825" t="s">
        <v>7041</v>
      </c>
      <c r="D8825" t="s">
        <v>26</v>
      </c>
      <c r="E8825" t="s">
        <v>36</v>
      </c>
      <c r="F8825" t="s">
        <v>46</v>
      </c>
      <c r="G8825">
        <v>5</v>
      </c>
      <c r="H8825">
        <v>31426.63</v>
      </c>
      <c r="I8825">
        <v>3009.5</v>
      </c>
      <c r="J8825" t="s">
        <v>22</v>
      </c>
      <c r="K8825" t="s">
        <v>23</v>
      </c>
      <c r="L8825">
        <f t="shared" si="411"/>
        <v>2023</v>
      </c>
      <c r="M8825" t="str">
        <f t="shared" si="412"/>
        <v>Oct</v>
      </c>
      <c r="N8825" s="2">
        <f t="shared" si="413"/>
        <v>9.5762733707050351E-2</v>
      </c>
    </row>
    <row r="8826" spans="1:14" x14ac:dyDescent="0.45">
      <c r="A8826" t="s">
        <v>14520</v>
      </c>
      <c r="B8826" s="1">
        <v>45490</v>
      </c>
      <c r="C8826" t="s">
        <v>5949</v>
      </c>
      <c r="D8826" t="s">
        <v>26</v>
      </c>
      <c r="E8826" t="s">
        <v>36</v>
      </c>
      <c r="F8826" t="s">
        <v>37</v>
      </c>
      <c r="G8826">
        <v>4</v>
      </c>
      <c r="H8826">
        <v>7972.86</v>
      </c>
      <c r="I8826">
        <v>1898.16</v>
      </c>
      <c r="J8826" t="s">
        <v>16</v>
      </c>
      <c r="K8826" t="s">
        <v>29</v>
      </c>
      <c r="L8826">
        <f t="shared" si="411"/>
        <v>2024</v>
      </c>
      <c r="M8826" t="str">
        <f t="shared" si="412"/>
        <v>Jul</v>
      </c>
      <c r="N8826" s="2">
        <f t="shared" si="413"/>
        <v>0.23807767852439402</v>
      </c>
    </row>
    <row r="8827" spans="1:14" x14ac:dyDescent="0.45">
      <c r="A8827" t="s">
        <v>14521</v>
      </c>
      <c r="B8827" s="1">
        <v>44754</v>
      </c>
      <c r="C8827" t="s">
        <v>14522</v>
      </c>
      <c r="D8827" t="s">
        <v>26</v>
      </c>
      <c r="E8827" t="s">
        <v>20</v>
      </c>
      <c r="F8827" t="s">
        <v>43</v>
      </c>
      <c r="G8827">
        <v>5</v>
      </c>
      <c r="H8827">
        <v>33157.519999999997</v>
      </c>
      <c r="I8827">
        <v>3845.27</v>
      </c>
      <c r="J8827" t="s">
        <v>16</v>
      </c>
      <c r="K8827" t="s">
        <v>33</v>
      </c>
      <c r="L8827">
        <f t="shared" si="411"/>
        <v>2022</v>
      </c>
      <c r="M8827" t="str">
        <f t="shared" si="412"/>
        <v>Jul</v>
      </c>
      <c r="N8827" s="2">
        <f t="shared" si="413"/>
        <v>0.11596977095995117</v>
      </c>
    </row>
    <row r="8828" spans="1:14" x14ac:dyDescent="0.45">
      <c r="A8828" t="s">
        <v>14523</v>
      </c>
      <c r="B8828" s="1">
        <v>45234</v>
      </c>
      <c r="C8828" t="s">
        <v>14524</v>
      </c>
      <c r="D8828" t="s">
        <v>56</v>
      </c>
      <c r="E8828" t="s">
        <v>20</v>
      </c>
      <c r="F8828" t="s">
        <v>27</v>
      </c>
      <c r="G8828">
        <v>5</v>
      </c>
      <c r="H8828">
        <v>48712.89</v>
      </c>
      <c r="I8828">
        <v>9825.5300000000007</v>
      </c>
      <c r="J8828" t="s">
        <v>16</v>
      </c>
      <c r="K8828" t="s">
        <v>23</v>
      </c>
      <c r="L8828">
        <f t="shared" si="411"/>
        <v>2023</v>
      </c>
      <c r="M8828" t="str">
        <f t="shared" si="412"/>
        <v>Nov</v>
      </c>
      <c r="N8828" s="2">
        <f t="shared" si="413"/>
        <v>0.20170287576861073</v>
      </c>
    </row>
    <row r="8829" spans="1:14" x14ac:dyDescent="0.45">
      <c r="A8829" t="s">
        <v>14525</v>
      </c>
      <c r="B8829" s="1">
        <v>45009</v>
      </c>
      <c r="C8829" t="s">
        <v>14526</v>
      </c>
      <c r="D8829" t="s">
        <v>56</v>
      </c>
      <c r="E8829" t="s">
        <v>14</v>
      </c>
      <c r="F8829" t="s">
        <v>32</v>
      </c>
      <c r="G8829">
        <v>2</v>
      </c>
      <c r="H8829">
        <v>2033.43</v>
      </c>
      <c r="I8829">
        <v>189.23</v>
      </c>
      <c r="J8829" t="s">
        <v>28</v>
      </c>
      <c r="K8829" t="s">
        <v>23</v>
      </c>
      <c r="L8829">
        <f t="shared" si="411"/>
        <v>2023</v>
      </c>
      <c r="M8829" t="str">
        <f t="shared" si="412"/>
        <v>Mar</v>
      </c>
      <c r="N8829" s="2">
        <f t="shared" si="413"/>
        <v>9.3059510285576574E-2</v>
      </c>
    </row>
    <row r="8830" spans="1:14" x14ac:dyDescent="0.45">
      <c r="A8830" t="s">
        <v>14527</v>
      </c>
      <c r="B8830" s="1">
        <v>45297</v>
      </c>
      <c r="C8830" t="s">
        <v>14528</v>
      </c>
      <c r="D8830" t="s">
        <v>13</v>
      </c>
      <c r="E8830" t="s">
        <v>20</v>
      </c>
      <c r="F8830" t="s">
        <v>43</v>
      </c>
      <c r="G8830">
        <v>3</v>
      </c>
      <c r="H8830">
        <v>13115.81</v>
      </c>
      <c r="I8830">
        <v>2152.19</v>
      </c>
      <c r="J8830" t="s">
        <v>71</v>
      </c>
      <c r="K8830" t="s">
        <v>33</v>
      </c>
      <c r="L8830">
        <f t="shared" si="411"/>
        <v>2024</v>
      </c>
      <c r="M8830" t="str">
        <f t="shared" si="412"/>
        <v>Jan</v>
      </c>
      <c r="N8830" s="2">
        <f t="shared" si="413"/>
        <v>0.16409127610113292</v>
      </c>
    </row>
    <row r="8831" spans="1:14" x14ac:dyDescent="0.45">
      <c r="A8831" t="s">
        <v>14529</v>
      </c>
      <c r="B8831" s="1">
        <v>45620</v>
      </c>
      <c r="C8831" t="s">
        <v>14530</v>
      </c>
      <c r="D8831" t="s">
        <v>26</v>
      </c>
      <c r="E8831" t="s">
        <v>36</v>
      </c>
      <c r="F8831" t="s">
        <v>53</v>
      </c>
      <c r="G8831">
        <v>3</v>
      </c>
      <c r="H8831">
        <v>32324.31</v>
      </c>
      <c r="I8831">
        <v>5679.08</v>
      </c>
      <c r="J8831" t="s">
        <v>71</v>
      </c>
      <c r="K8831" t="s">
        <v>17</v>
      </c>
      <c r="L8831">
        <f t="shared" si="411"/>
        <v>2024</v>
      </c>
      <c r="M8831" t="str">
        <f t="shared" si="412"/>
        <v>Nov</v>
      </c>
      <c r="N8831" s="2">
        <f t="shared" si="413"/>
        <v>0.17569067986292669</v>
      </c>
    </row>
    <row r="8832" spans="1:14" x14ac:dyDescent="0.45">
      <c r="A8832" t="s">
        <v>14531</v>
      </c>
      <c r="B8832" s="1">
        <v>45080</v>
      </c>
      <c r="C8832" t="s">
        <v>12337</v>
      </c>
      <c r="D8832" t="s">
        <v>56</v>
      </c>
      <c r="E8832" t="s">
        <v>14</v>
      </c>
      <c r="F8832" t="s">
        <v>32</v>
      </c>
      <c r="G8832">
        <v>3</v>
      </c>
      <c r="H8832">
        <v>41340.35</v>
      </c>
      <c r="I8832">
        <v>4222.7</v>
      </c>
      <c r="J8832" t="s">
        <v>22</v>
      </c>
      <c r="K8832" t="s">
        <v>29</v>
      </c>
      <c r="L8832">
        <f t="shared" si="411"/>
        <v>2023</v>
      </c>
      <c r="M8832" t="str">
        <f t="shared" si="412"/>
        <v>Jun</v>
      </c>
      <c r="N8832" s="2">
        <f t="shared" si="413"/>
        <v>0.10214475687796547</v>
      </c>
    </row>
    <row r="8833" spans="1:14" x14ac:dyDescent="0.45">
      <c r="A8833" t="s">
        <v>14532</v>
      </c>
      <c r="B8833" s="1">
        <v>44901</v>
      </c>
      <c r="C8833" t="s">
        <v>2907</v>
      </c>
      <c r="D8833" t="s">
        <v>13</v>
      </c>
      <c r="E8833" t="s">
        <v>20</v>
      </c>
      <c r="F8833" t="s">
        <v>50</v>
      </c>
      <c r="G8833">
        <v>3</v>
      </c>
      <c r="H8833">
        <v>15183.48</v>
      </c>
      <c r="I8833">
        <v>2256.56</v>
      </c>
      <c r="J8833" t="s">
        <v>47</v>
      </c>
      <c r="K8833" t="s">
        <v>33</v>
      </c>
      <c r="L8833">
        <f t="shared" si="411"/>
        <v>2022</v>
      </c>
      <c r="M8833" t="str">
        <f t="shared" si="412"/>
        <v>Dec</v>
      </c>
      <c r="N8833" s="2">
        <f t="shared" si="413"/>
        <v>0.14861942058078911</v>
      </c>
    </row>
    <row r="8834" spans="1:14" x14ac:dyDescent="0.45">
      <c r="A8834" t="s">
        <v>14533</v>
      </c>
      <c r="B8834" s="1">
        <v>44953</v>
      </c>
      <c r="C8834" t="s">
        <v>7053</v>
      </c>
      <c r="D8834" t="s">
        <v>13</v>
      </c>
      <c r="E8834" t="s">
        <v>36</v>
      </c>
      <c r="F8834" t="s">
        <v>46</v>
      </c>
      <c r="G8834">
        <v>2</v>
      </c>
      <c r="H8834">
        <v>6382.55</v>
      </c>
      <c r="I8834">
        <v>1368.97</v>
      </c>
      <c r="J8834" t="s">
        <v>16</v>
      </c>
      <c r="K8834" t="s">
        <v>33</v>
      </c>
      <c r="L8834">
        <f t="shared" si="411"/>
        <v>2023</v>
      </c>
      <c r="M8834" t="str">
        <f t="shared" si="412"/>
        <v>Jan</v>
      </c>
      <c r="N8834" s="2">
        <f t="shared" si="413"/>
        <v>0.21448637300138659</v>
      </c>
    </row>
    <row r="8835" spans="1:14" x14ac:dyDescent="0.45">
      <c r="A8835" t="s">
        <v>14534</v>
      </c>
      <c r="B8835" s="1">
        <v>45507</v>
      </c>
      <c r="C8835" t="s">
        <v>14535</v>
      </c>
      <c r="D8835" t="s">
        <v>56</v>
      </c>
      <c r="E8835" t="s">
        <v>36</v>
      </c>
      <c r="F8835" t="s">
        <v>53</v>
      </c>
      <c r="G8835">
        <v>2</v>
      </c>
      <c r="H8835">
        <v>29847.18</v>
      </c>
      <c r="I8835">
        <v>5211.9799999999996</v>
      </c>
      <c r="J8835" t="s">
        <v>22</v>
      </c>
      <c r="K8835" t="s">
        <v>29</v>
      </c>
      <c r="L8835">
        <f t="shared" ref="L8835:L8898" si="414">YEAR(B8835 )</f>
        <v>2024</v>
      </c>
      <c r="M8835" t="str">
        <f t="shared" ref="M8835:M8898" si="415">TEXT(B8835,"MMM")</f>
        <v>Aug</v>
      </c>
      <c r="N8835" s="2">
        <f t="shared" ref="N8835:N8898" si="416">I8835 / H8835</f>
        <v>0.17462219211329175</v>
      </c>
    </row>
    <row r="8836" spans="1:14" x14ac:dyDescent="0.45">
      <c r="A8836" t="s">
        <v>14536</v>
      </c>
      <c r="B8836" s="1">
        <v>44760</v>
      </c>
      <c r="C8836" t="s">
        <v>14537</v>
      </c>
      <c r="D8836" t="s">
        <v>13</v>
      </c>
      <c r="E8836" t="s">
        <v>14</v>
      </c>
      <c r="F8836" t="s">
        <v>57</v>
      </c>
      <c r="G8836">
        <v>1</v>
      </c>
      <c r="H8836">
        <v>23474.11</v>
      </c>
      <c r="I8836">
        <v>1969.01</v>
      </c>
      <c r="J8836" t="s">
        <v>16</v>
      </c>
      <c r="K8836" t="s">
        <v>33</v>
      </c>
      <c r="L8836">
        <f t="shared" si="414"/>
        <v>2022</v>
      </c>
      <c r="M8836" t="str">
        <f t="shared" si="415"/>
        <v>Jul</v>
      </c>
      <c r="N8836" s="2">
        <f t="shared" si="416"/>
        <v>8.3880070426525219E-2</v>
      </c>
    </row>
    <row r="8837" spans="1:14" x14ac:dyDescent="0.45">
      <c r="A8837" t="s">
        <v>14538</v>
      </c>
      <c r="B8837" s="1">
        <v>45657</v>
      </c>
      <c r="C8837" t="s">
        <v>14539</v>
      </c>
      <c r="D8837" t="s">
        <v>56</v>
      </c>
      <c r="E8837" t="s">
        <v>36</v>
      </c>
      <c r="F8837" t="s">
        <v>64</v>
      </c>
      <c r="G8837">
        <v>2</v>
      </c>
      <c r="H8837">
        <v>38692.449999999997</v>
      </c>
      <c r="I8837">
        <v>8254.58</v>
      </c>
      <c r="J8837" t="s">
        <v>22</v>
      </c>
      <c r="K8837" t="s">
        <v>29</v>
      </c>
      <c r="L8837">
        <f t="shared" si="414"/>
        <v>2024</v>
      </c>
      <c r="M8837" t="str">
        <f t="shared" si="415"/>
        <v>Dec</v>
      </c>
      <c r="N8837" s="2">
        <f t="shared" si="416"/>
        <v>0.21333826108194234</v>
      </c>
    </row>
    <row r="8838" spans="1:14" x14ac:dyDescent="0.45">
      <c r="A8838" t="s">
        <v>14540</v>
      </c>
      <c r="B8838" s="1">
        <v>45304</v>
      </c>
      <c r="C8838" t="s">
        <v>10013</v>
      </c>
      <c r="D8838" t="s">
        <v>56</v>
      </c>
      <c r="E8838" t="s">
        <v>20</v>
      </c>
      <c r="F8838" t="s">
        <v>21</v>
      </c>
      <c r="G8838">
        <v>5</v>
      </c>
      <c r="H8838">
        <v>10743.93</v>
      </c>
      <c r="I8838">
        <v>566.92999999999995</v>
      </c>
      <c r="J8838" t="s">
        <v>22</v>
      </c>
      <c r="K8838" t="s">
        <v>23</v>
      </c>
      <c r="L8838">
        <f t="shared" si="414"/>
        <v>2024</v>
      </c>
      <c r="M8838" t="str">
        <f t="shared" si="415"/>
        <v>Jan</v>
      </c>
      <c r="N8838" s="2">
        <f t="shared" si="416"/>
        <v>5.2767469631689705E-2</v>
      </c>
    </row>
    <row r="8839" spans="1:14" x14ac:dyDescent="0.45">
      <c r="A8839" t="s">
        <v>14541</v>
      </c>
      <c r="B8839" s="1">
        <v>44977</v>
      </c>
      <c r="C8839" t="s">
        <v>2507</v>
      </c>
      <c r="D8839" t="s">
        <v>56</v>
      </c>
      <c r="E8839" t="s">
        <v>36</v>
      </c>
      <c r="F8839" t="s">
        <v>46</v>
      </c>
      <c r="G8839">
        <v>2</v>
      </c>
      <c r="H8839">
        <v>11892.25</v>
      </c>
      <c r="I8839">
        <v>2329.92</v>
      </c>
      <c r="J8839" t="s">
        <v>71</v>
      </c>
      <c r="K8839" t="s">
        <v>17</v>
      </c>
      <c r="L8839">
        <f t="shared" si="414"/>
        <v>2023</v>
      </c>
      <c r="M8839" t="str">
        <f t="shared" si="415"/>
        <v>Feb</v>
      </c>
      <c r="N8839" s="2">
        <f t="shared" si="416"/>
        <v>0.19591919106981437</v>
      </c>
    </row>
    <row r="8840" spans="1:14" x14ac:dyDescent="0.45">
      <c r="A8840" t="s">
        <v>14542</v>
      </c>
      <c r="B8840" s="1">
        <v>45366</v>
      </c>
      <c r="C8840" t="s">
        <v>14543</v>
      </c>
      <c r="D8840" t="s">
        <v>13</v>
      </c>
      <c r="E8840" t="s">
        <v>20</v>
      </c>
      <c r="F8840" t="s">
        <v>21</v>
      </c>
      <c r="G8840">
        <v>3</v>
      </c>
      <c r="H8840">
        <v>21743.63</v>
      </c>
      <c r="I8840">
        <v>4226.26</v>
      </c>
      <c r="J8840" t="s">
        <v>22</v>
      </c>
      <c r="K8840" t="s">
        <v>29</v>
      </c>
      <c r="L8840">
        <f t="shared" si="414"/>
        <v>2024</v>
      </c>
      <c r="M8840" t="str">
        <f t="shared" si="415"/>
        <v>Mar</v>
      </c>
      <c r="N8840" s="2">
        <f t="shared" si="416"/>
        <v>0.19436772976729277</v>
      </c>
    </row>
    <row r="8841" spans="1:14" x14ac:dyDescent="0.45">
      <c r="A8841" t="s">
        <v>14544</v>
      </c>
      <c r="B8841" s="1">
        <v>45515</v>
      </c>
      <c r="C8841" t="s">
        <v>14545</v>
      </c>
      <c r="D8841" t="s">
        <v>56</v>
      </c>
      <c r="E8841" t="s">
        <v>14</v>
      </c>
      <c r="F8841" t="s">
        <v>32</v>
      </c>
      <c r="G8841">
        <v>5</v>
      </c>
      <c r="H8841">
        <v>12416.37</v>
      </c>
      <c r="I8841">
        <v>1080.8499999999999</v>
      </c>
      <c r="J8841" t="s">
        <v>71</v>
      </c>
      <c r="K8841" t="s">
        <v>29</v>
      </c>
      <c r="L8841">
        <f t="shared" si="414"/>
        <v>2024</v>
      </c>
      <c r="M8841" t="str">
        <f t="shared" si="415"/>
        <v>Aug</v>
      </c>
      <c r="N8841" s="2">
        <f t="shared" si="416"/>
        <v>8.7050402009605052E-2</v>
      </c>
    </row>
    <row r="8842" spans="1:14" x14ac:dyDescent="0.45">
      <c r="A8842" t="s">
        <v>14546</v>
      </c>
      <c r="B8842" s="1">
        <v>45085</v>
      </c>
      <c r="C8842" t="s">
        <v>14547</v>
      </c>
      <c r="D8842" t="s">
        <v>56</v>
      </c>
      <c r="E8842" t="s">
        <v>20</v>
      </c>
      <c r="F8842" t="s">
        <v>50</v>
      </c>
      <c r="G8842">
        <v>1</v>
      </c>
      <c r="H8842">
        <v>48868.39</v>
      </c>
      <c r="I8842">
        <v>6873.88</v>
      </c>
      <c r="J8842" t="s">
        <v>16</v>
      </c>
      <c r="K8842" t="s">
        <v>33</v>
      </c>
      <c r="L8842">
        <f t="shared" si="414"/>
        <v>2023</v>
      </c>
      <c r="M8842" t="str">
        <f t="shared" si="415"/>
        <v>Jun</v>
      </c>
      <c r="N8842" s="2">
        <f t="shared" si="416"/>
        <v>0.14066106945614537</v>
      </c>
    </row>
    <row r="8843" spans="1:14" x14ac:dyDescent="0.45">
      <c r="A8843" t="s">
        <v>14548</v>
      </c>
      <c r="B8843" s="1">
        <v>45048</v>
      </c>
      <c r="C8843" t="s">
        <v>14549</v>
      </c>
      <c r="D8843" t="s">
        <v>26</v>
      </c>
      <c r="E8843" t="s">
        <v>14</v>
      </c>
      <c r="F8843" t="s">
        <v>15</v>
      </c>
      <c r="G8843">
        <v>2</v>
      </c>
      <c r="H8843">
        <v>1371.57</v>
      </c>
      <c r="I8843">
        <v>95.74</v>
      </c>
      <c r="J8843" t="s">
        <v>71</v>
      </c>
      <c r="K8843" t="s">
        <v>33</v>
      </c>
      <c r="L8843">
        <f t="shared" si="414"/>
        <v>2023</v>
      </c>
      <c r="M8843" t="str">
        <f t="shared" si="415"/>
        <v>May</v>
      </c>
      <c r="N8843" s="2">
        <f t="shared" si="416"/>
        <v>6.9803218209788784E-2</v>
      </c>
    </row>
    <row r="8844" spans="1:14" x14ac:dyDescent="0.45">
      <c r="A8844" t="s">
        <v>14550</v>
      </c>
      <c r="B8844" s="1">
        <v>44865</v>
      </c>
      <c r="C8844" t="s">
        <v>1190</v>
      </c>
      <c r="D8844" t="s">
        <v>13</v>
      </c>
      <c r="E8844" t="s">
        <v>20</v>
      </c>
      <c r="F8844" t="s">
        <v>50</v>
      </c>
      <c r="G8844">
        <v>4</v>
      </c>
      <c r="H8844">
        <v>44217.57</v>
      </c>
      <c r="I8844">
        <v>3763.31</v>
      </c>
      <c r="J8844" t="s">
        <v>71</v>
      </c>
      <c r="K8844" t="s">
        <v>23</v>
      </c>
      <c r="L8844">
        <f t="shared" si="414"/>
        <v>2022</v>
      </c>
      <c r="M8844" t="str">
        <f t="shared" si="415"/>
        <v>Oct</v>
      </c>
      <c r="N8844" s="2">
        <f t="shared" si="416"/>
        <v>8.5108928419178165E-2</v>
      </c>
    </row>
    <row r="8845" spans="1:14" x14ac:dyDescent="0.45">
      <c r="A8845" t="s">
        <v>14551</v>
      </c>
      <c r="B8845" s="1">
        <v>45086</v>
      </c>
      <c r="C8845" t="s">
        <v>9320</v>
      </c>
      <c r="D8845" t="s">
        <v>56</v>
      </c>
      <c r="E8845" t="s">
        <v>20</v>
      </c>
      <c r="F8845" t="s">
        <v>43</v>
      </c>
      <c r="G8845">
        <v>3</v>
      </c>
      <c r="H8845">
        <v>22887.03</v>
      </c>
      <c r="I8845">
        <v>2130.79</v>
      </c>
      <c r="J8845" t="s">
        <v>47</v>
      </c>
      <c r="K8845" t="s">
        <v>17</v>
      </c>
      <c r="L8845">
        <f t="shared" si="414"/>
        <v>2023</v>
      </c>
      <c r="M8845" t="str">
        <f t="shared" si="415"/>
        <v>Jun</v>
      </c>
      <c r="N8845" s="2">
        <f t="shared" si="416"/>
        <v>9.3100328002366409E-2</v>
      </c>
    </row>
    <row r="8846" spans="1:14" x14ac:dyDescent="0.45">
      <c r="A8846" t="s">
        <v>14552</v>
      </c>
      <c r="B8846" s="1">
        <v>45539</v>
      </c>
      <c r="C8846" t="s">
        <v>14553</v>
      </c>
      <c r="D8846" t="s">
        <v>26</v>
      </c>
      <c r="E8846" t="s">
        <v>14</v>
      </c>
      <c r="F8846" t="s">
        <v>40</v>
      </c>
      <c r="G8846">
        <v>1</v>
      </c>
      <c r="H8846">
        <v>27487.119999999999</v>
      </c>
      <c r="I8846">
        <v>2549.19</v>
      </c>
      <c r="J8846" t="s">
        <v>47</v>
      </c>
      <c r="K8846" t="s">
        <v>29</v>
      </c>
      <c r="L8846">
        <f t="shared" si="414"/>
        <v>2024</v>
      </c>
      <c r="M8846" t="str">
        <f t="shared" si="415"/>
        <v>Sep</v>
      </c>
      <c r="N8846" s="2">
        <f t="shared" si="416"/>
        <v>9.2741254813163407E-2</v>
      </c>
    </row>
    <row r="8847" spans="1:14" x14ac:dyDescent="0.45">
      <c r="A8847" t="s">
        <v>14554</v>
      </c>
      <c r="B8847" s="1">
        <v>45640</v>
      </c>
      <c r="C8847" t="s">
        <v>14555</v>
      </c>
      <c r="D8847" t="s">
        <v>13</v>
      </c>
      <c r="E8847" t="s">
        <v>20</v>
      </c>
      <c r="F8847" t="s">
        <v>50</v>
      </c>
      <c r="G8847">
        <v>1</v>
      </c>
      <c r="H8847">
        <v>15133.65</v>
      </c>
      <c r="I8847">
        <v>2913.22</v>
      </c>
      <c r="J8847" t="s">
        <v>28</v>
      </c>
      <c r="K8847" t="s">
        <v>29</v>
      </c>
      <c r="L8847">
        <f t="shared" si="414"/>
        <v>2024</v>
      </c>
      <c r="M8847" t="str">
        <f t="shared" si="415"/>
        <v>Dec</v>
      </c>
      <c r="N8847" s="2">
        <f t="shared" si="416"/>
        <v>0.19249949615591744</v>
      </c>
    </row>
    <row r="8848" spans="1:14" x14ac:dyDescent="0.45">
      <c r="A8848" t="s">
        <v>14556</v>
      </c>
      <c r="B8848" s="1">
        <v>45303</v>
      </c>
      <c r="C8848" t="s">
        <v>992</v>
      </c>
      <c r="D8848" t="s">
        <v>13</v>
      </c>
      <c r="E8848" t="s">
        <v>14</v>
      </c>
      <c r="F8848" t="s">
        <v>32</v>
      </c>
      <c r="G8848">
        <v>5</v>
      </c>
      <c r="H8848">
        <v>38387.19</v>
      </c>
      <c r="I8848">
        <v>3858.69</v>
      </c>
      <c r="J8848" t="s">
        <v>22</v>
      </c>
      <c r="K8848" t="s">
        <v>29</v>
      </c>
      <c r="L8848">
        <f t="shared" si="414"/>
        <v>2024</v>
      </c>
      <c r="M8848" t="str">
        <f t="shared" si="415"/>
        <v>Jan</v>
      </c>
      <c r="N8848" s="2">
        <f t="shared" si="416"/>
        <v>0.1005202516777081</v>
      </c>
    </row>
    <row r="8849" spans="1:14" x14ac:dyDescent="0.45">
      <c r="A8849" t="s">
        <v>14557</v>
      </c>
      <c r="B8849" s="1">
        <v>44881</v>
      </c>
      <c r="C8849" t="s">
        <v>105</v>
      </c>
      <c r="D8849" t="s">
        <v>13</v>
      </c>
      <c r="E8849" t="s">
        <v>36</v>
      </c>
      <c r="F8849" t="s">
        <v>37</v>
      </c>
      <c r="G8849">
        <v>1</v>
      </c>
      <c r="H8849">
        <v>11963.68</v>
      </c>
      <c r="I8849">
        <v>1331.07</v>
      </c>
      <c r="J8849" t="s">
        <v>71</v>
      </c>
      <c r="K8849" t="s">
        <v>33</v>
      </c>
      <c r="L8849">
        <f t="shared" si="414"/>
        <v>2022</v>
      </c>
      <c r="M8849" t="str">
        <f t="shared" si="415"/>
        <v>Nov</v>
      </c>
      <c r="N8849" s="2">
        <f t="shared" si="416"/>
        <v>0.11125924464713198</v>
      </c>
    </row>
    <row r="8850" spans="1:14" x14ac:dyDescent="0.45">
      <c r="A8850" t="s">
        <v>14558</v>
      </c>
      <c r="B8850" s="1">
        <v>44987</v>
      </c>
      <c r="C8850" t="s">
        <v>480</v>
      </c>
      <c r="D8850" t="s">
        <v>26</v>
      </c>
      <c r="E8850" t="s">
        <v>20</v>
      </c>
      <c r="F8850" t="s">
        <v>50</v>
      </c>
      <c r="G8850">
        <v>1</v>
      </c>
      <c r="H8850">
        <v>9427.9699999999993</v>
      </c>
      <c r="I8850">
        <v>750.19</v>
      </c>
      <c r="J8850" t="s">
        <v>47</v>
      </c>
      <c r="K8850" t="s">
        <v>29</v>
      </c>
      <c r="L8850">
        <f t="shared" si="414"/>
        <v>2023</v>
      </c>
      <c r="M8850" t="str">
        <f t="shared" si="415"/>
        <v>Mar</v>
      </c>
      <c r="N8850" s="2">
        <f t="shared" si="416"/>
        <v>7.9570681705605772E-2</v>
      </c>
    </row>
    <row r="8851" spans="1:14" x14ac:dyDescent="0.45">
      <c r="A8851" t="s">
        <v>14559</v>
      </c>
      <c r="B8851" s="1">
        <v>44639</v>
      </c>
      <c r="C8851" t="s">
        <v>9014</v>
      </c>
      <c r="D8851" t="s">
        <v>56</v>
      </c>
      <c r="E8851" t="s">
        <v>36</v>
      </c>
      <c r="F8851" t="s">
        <v>46</v>
      </c>
      <c r="G8851">
        <v>5</v>
      </c>
      <c r="H8851">
        <v>35283.47</v>
      </c>
      <c r="I8851">
        <v>2045.58</v>
      </c>
      <c r="J8851" t="s">
        <v>16</v>
      </c>
      <c r="K8851" t="s">
        <v>17</v>
      </c>
      <c r="L8851">
        <f t="shared" si="414"/>
        <v>2022</v>
      </c>
      <c r="M8851" t="str">
        <f t="shared" si="415"/>
        <v>Mar</v>
      </c>
      <c r="N8851" s="2">
        <f t="shared" si="416"/>
        <v>5.797559026932441E-2</v>
      </c>
    </row>
    <row r="8852" spans="1:14" x14ac:dyDescent="0.45">
      <c r="A8852" t="s">
        <v>14560</v>
      </c>
      <c r="B8852" s="1">
        <v>44718</v>
      </c>
      <c r="C8852" t="s">
        <v>14561</v>
      </c>
      <c r="D8852" t="s">
        <v>13</v>
      </c>
      <c r="E8852" t="s">
        <v>36</v>
      </c>
      <c r="F8852" t="s">
        <v>64</v>
      </c>
      <c r="G8852">
        <v>2</v>
      </c>
      <c r="H8852">
        <v>16663.169999999998</v>
      </c>
      <c r="I8852">
        <v>2212.5300000000002</v>
      </c>
      <c r="J8852" t="s">
        <v>28</v>
      </c>
      <c r="K8852" t="s">
        <v>17</v>
      </c>
      <c r="L8852">
        <f t="shared" si="414"/>
        <v>2022</v>
      </c>
      <c r="M8852" t="str">
        <f t="shared" si="415"/>
        <v>Jun</v>
      </c>
      <c r="N8852" s="2">
        <f t="shared" si="416"/>
        <v>0.13277965717207474</v>
      </c>
    </row>
    <row r="8853" spans="1:14" x14ac:dyDescent="0.45">
      <c r="A8853" t="s">
        <v>14562</v>
      </c>
      <c r="B8853" s="1">
        <v>45579</v>
      </c>
      <c r="C8853" t="s">
        <v>9341</v>
      </c>
      <c r="D8853" t="s">
        <v>56</v>
      </c>
      <c r="E8853" t="s">
        <v>20</v>
      </c>
      <c r="F8853" t="s">
        <v>50</v>
      </c>
      <c r="G8853">
        <v>5</v>
      </c>
      <c r="H8853">
        <v>3357.16</v>
      </c>
      <c r="I8853">
        <v>651.55999999999995</v>
      </c>
      <c r="J8853" t="s">
        <v>47</v>
      </c>
      <c r="K8853" t="s">
        <v>17</v>
      </c>
      <c r="L8853">
        <f t="shared" si="414"/>
        <v>2024</v>
      </c>
      <c r="M8853" t="str">
        <f t="shared" si="415"/>
        <v>Oct</v>
      </c>
      <c r="N8853" s="2">
        <f t="shared" si="416"/>
        <v>0.19408071107722003</v>
      </c>
    </row>
    <row r="8854" spans="1:14" x14ac:dyDescent="0.45">
      <c r="A8854" t="s">
        <v>14563</v>
      </c>
      <c r="B8854" s="1">
        <v>45555</v>
      </c>
      <c r="C8854" t="s">
        <v>10791</v>
      </c>
      <c r="D8854" t="s">
        <v>13</v>
      </c>
      <c r="E8854" t="s">
        <v>36</v>
      </c>
      <c r="F8854" t="s">
        <v>37</v>
      </c>
      <c r="G8854">
        <v>2</v>
      </c>
      <c r="H8854">
        <v>47921.99</v>
      </c>
      <c r="I8854">
        <v>9092.91</v>
      </c>
      <c r="J8854" t="s">
        <v>28</v>
      </c>
      <c r="K8854" t="s">
        <v>33</v>
      </c>
      <c r="L8854">
        <f t="shared" si="414"/>
        <v>2024</v>
      </c>
      <c r="M8854" t="str">
        <f t="shared" si="415"/>
        <v>Sep</v>
      </c>
      <c r="N8854" s="2">
        <f t="shared" si="416"/>
        <v>0.18974399852760707</v>
      </c>
    </row>
    <row r="8855" spans="1:14" x14ac:dyDescent="0.45">
      <c r="A8855" t="s">
        <v>14564</v>
      </c>
      <c r="B8855" s="1">
        <v>45138</v>
      </c>
      <c r="C8855" t="s">
        <v>1571</v>
      </c>
      <c r="D8855" t="s">
        <v>56</v>
      </c>
      <c r="E8855" t="s">
        <v>20</v>
      </c>
      <c r="F8855" t="s">
        <v>50</v>
      </c>
      <c r="G8855">
        <v>2</v>
      </c>
      <c r="H8855">
        <v>13771.19</v>
      </c>
      <c r="I8855">
        <v>3319</v>
      </c>
      <c r="J8855" t="s">
        <v>16</v>
      </c>
      <c r="K8855" t="s">
        <v>33</v>
      </c>
      <c r="L8855">
        <f t="shared" si="414"/>
        <v>2023</v>
      </c>
      <c r="M8855" t="str">
        <f t="shared" si="415"/>
        <v>Jul</v>
      </c>
      <c r="N8855" s="2">
        <f t="shared" si="416"/>
        <v>0.24101039924654297</v>
      </c>
    </row>
    <row r="8856" spans="1:14" x14ac:dyDescent="0.45">
      <c r="A8856" t="s">
        <v>14565</v>
      </c>
      <c r="B8856" s="1">
        <v>45096</v>
      </c>
      <c r="C8856" t="s">
        <v>8831</v>
      </c>
      <c r="D8856" t="s">
        <v>56</v>
      </c>
      <c r="E8856" t="s">
        <v>14</v>
      </c>
      <c r="F8856" t="s">
        <v>15</v>
      </c>
      <c r="G8856">
        <v>5</v>
      </c>
      <c r="H8856">
        <v>44816.62</v>
      </c>
      <c r="I8856">
        <v>5161.49</v>
      </c>
      <c r="J8856" t="s">
        <v>16</v>
      </c>
      <c r="K8856" t="s">
        <v>17</v>
      </c>
      <c r="L8856">
        <f t="shared" si="414"/>
        <v>2023</v>
      </c>
      <c r="M8856" t="str">
        <f t="shared" si="415"/>
        <v>Jun</v>
      </c>
      <c r="N8856" s="2">
        <f t="shared" si="416"/>
        <v>0.11516910467589925</v>
      </c>
    </row>
    <row r="8857" spans="1:14" x14ac:dyDescent="0.45">
      <c r="A8857" t="s">
        <v>14566</v>
      </c>
      <c r="B8857" s="1">
        <v>44566</v>
      </c>
      <c r="C8857" t="s">
        <v>10088</v>
      </c>
      <c r="D8857" t="s">
        <v>26</v>
      </c>
      <c r="E8857" t="s">
        <v>36</v>
      </c>
      <c r="F8857" t="s">
        <v>64</v>
      </c>
      <c r="G8857">
        <v>4</v>
      </c>
      <c r="H8857">
        <v>23357.68</v>
      </c>
      <c r="I8857">
        <v>3297.77</v>
      </c>
      <c r="J8857" t="s">
        <v>47</v>
      </c>
      <c r="K8857" t="s">
        <v>29</v>
      </c>
      <c r="L8857">
        <f t="shared" si="414"/>
        <v>2022</v>
      </c>
      <c r="M8857" t="str">
        <f t="shared" si="415"/>
        <v>Jan</v>
      </c>
      <c r="N8857" s="2">
        <f t="shared" si="416"/>
        <v>0.14118568282466409</v>
      </c>
    </row>
    <row r="8858" spans="1:14" x14ac:dyDescent="0.45">
      <c r="A8858" t="s">
        <v>14567</v>
      </c>
      <c r="B8858" s="1">
        <v>45235</v>
      </c>
      <c r="C8858" t="s">
        <v>13383</v>
      </c>
      <c r="D8858" t="s">
        <v>56</v>
      </c>
      <c r="E8858" t="s">
        <v>14</v>
      </c>
      <c r="F8858" t="s">
        <v>40</v>
      </c>
      <c r="G8858">
        <v>4</v>
      </c>
      <c r="H8858">
        <v>8482.65</v>
      </c>
      <c r="I8858">
        <v>1605.6</v>
      </c>
      <c r="J8858" t="s">
        <v>71</v>
      </c>
      <c r="K8858" t="s">
        <v>33</v>
      </c>
      <c r="L8858">
        <f t="shared" si="414"/>
        <v>2023</v>
      </c>
      <c r="M8858" t="str">
        <f t="shared" si="415"/>
        <v>Nov</v>
      </c>
      <c r="N8858" s="2">
        <f t="shared" si="416"/>
        <v>0.1892804724938551</v>
      </c>
    </row>
    <row r="8859" spans="1:14" x14ac:dyDescent="0.45">
      <c r="A8859" t="s">
        <v>14568</v>
      </c>
      <c r="B8859" s="1">
        <v>45302</v>
      </c>
      <c r="C8859" t="s">
        <v>6074</v>
      </c>
      <c r="D8859" t="s">
        <v>26</v>
      </c>
      <c r="E8859" t="s">
        <v>36</v>
      </c>
      <c r="F8859" t="s">
        <v>37</v>
      </c>
      <c r="G8859">
        <v>5</v>
      </c>
      <c r="H8859">
        <v>45309.06</v>
      </c>
      <c r="I8859">
        <v>9616.1</v>
      </c>
      <c r="J8859" t="s">
        <v>47</v>
      </c>
      <c r="K8859" t="s">
        <v>23</v>
      </c>
      <c r="L8859">
        <f t="shared" si="414"/>
        <v>2024</v>
      </c>
      <c r="M8859" t="str">
        <f t="shared" si="415"/>
        <v>Jan</v>
      </c>
      <c r="N8859" s="2">
        <f t="shared" si="416"/>
        <v>0.21223349149154719</v>
      </c>
    </row>
    <row r="8860" spans="1:14" x14ac:dyDescent="0.45">
      <c r="A8860" t="s">
        <v>14569</v>
      </c>
      <c r="B8860" s="1">
        <v>45440</v>
      </c>
      <c r="C8860" t="s">
        <v>6842</v>
      </c>
      <c r="D8860" t="s">
        <v>13</v>
      </c>
      <c r="E8860" t="s">
        <v>20</v>
      </c>
      <c r="F8860" t="s">
        <v>50</v>
      </c>
      <c r="G8860">
        <v>4</v>
      </c>
      <c r="H8860">
        <v>25104.1</v>
      </c>
      <c r="I8860">
        <v>3932.01</v>
      </c>
      <c r="J8860" t="s">
        <v>22</v>
      </c>
      <c r="K8860" t="s">
        <v>33</v>
      </c>
      <c r="L8860">
        <f t="shared" si="414"/>
        <v>2024</v>
      </c>
      <c r="M8860" t="str">
        <f t="shared" si="415"/>
        <v>May</v>
      </c>
      <c r="N8860" s="2">
        <f t="shared" si="416"/>
        <v>0.15662820017447351</v>
      </c>
    </row>
    <row r="8861" spans="1:14" x14ac:dyDescent="0.45">
      <c r="A8861" t="s">
        <v>14570</v>
      </c>
      <c r="B8861" s="1">
        <v>45646</v>
      </c>
      <c r="C8861" t="s">
        <v>12383</v>
      </c>
      <c r="D8861" t="s">
        <v>26</v>
      </c>
      <c r="E8861" t="s">
        <v>20</v>
      </c>
      <c r="F8861" t="s">
        <v>43</v>
      </c>
      <c r="G8861">
        <v>3</v>
      </c>
      <c r="H8861">
        <v>1069.4000000000001</v>
      </c>
      <c r="I8861">
        <v>128.59</v>
      </c>
      <c r="J8861" t="s">
        <v>22</v>
      </c>
      <c r="K8861" t="s">
        <v>17</v>
      </c>
      <c r="L8861">
        <f t="shared" si="414"/>
        <v>2024</v>
      </c>
      <c r="M8861" t="str">
        <f t="shared" si="415"/>
        <v>Dec</v>
      </c>
      <c r="N8861" s="2">
        <f t="shared" si="416"/>
        <v>0.1202449971946886</v>
      </c>
    </row>
    <row r="8862" spans="1:14" x14ac:dyDescent="0.45">
      <c r="A8862" t="s">
        <v>14571</v>
      </c>
      <c r="B8862" s="1">
        <v>44934</v>
      </c>
      <c r="C8862" t="s">
        <v>2860</v>
      </c>
      <c r="D8862" t="s">
        <v>56</v>
      </c>
      <c r="E8862" t="s">
        <v>14</v>
      </c>
      <c r="F8862" t="s">
        <v>32</v>
      </c>
      <c r="G8862">
        <v>1</v>
      </c>
      <c r="H8862">
        <v>36242.050000000003</v>
      </c>
      <c r="I8862">
        <v>2461.1799999999998</v>
      </c>
      <c r="J8862" t="s">
        <v>28</v>
      </c>
      <c r="K8862" t="s">
        <v>33</v>
      </c>
      <c r="L8862">
        <f t="shared" si="414"/>
        <v>2023</v>
      </c>
      <c r="M8862" t="str">
        <f t="shared" si="415"/>
        <v>Jan</v>
      </c>
      <c r="N8862" s="2">
        <f t="shared" si="416"/>
        <v>6.7909513948576292E-2</v>
      </c>
    </row>
    <row r="8863" spans="1:14" x14ac:dyDescent="0.45">
      <c r="A8863" t="s">
        <v>14572</v>
      </c>
      <c r="B8863" s="1">
        <v>44734</v>
      </c>
      <c r="C8863" t="s">
        <v>7717</v>
      </c>
      <c r="D8863" t="s">
        <v>56</v>
      </c>
      <c r="E8863" t="s">
        <v>36</v>
      </c>
      <c r="F8863" t="s">
        <v>37</v>
      </c>
      <c r="G8863">
        <v>2</v>
      </c>
      <c r="H8863">
        <v>23312.04</v>
      </c>
      <c r="I8863">
        <v>3995.61</v>
      </c>
      <c r="J8863" t="s">
        <v>22</v>
      </c>
      <c r="K8863" t="s">
        <v>23</v>
      </c>
      <c r="L8863">
        <f t="shared" si="414"/>
        <v>2022</v>
      </c>
      <c r="M8863" t="str">
        <f t="shared" si="415"/>
        <v>Jun</v>
      </c>
      <c r="N8863" s="2">
        <f t="shared" si="416"/>
        <v>0.17139684043095327</v>
      </c>
    </row>
    <row r="8864" spans="1:14" x14ac:dyDescent="0.45">
      <c r="A8864" t="s">
        <v>14573</v>
      </c>
      <c r="B8864" s="1">
        <v>44651</v>
      </c>
      <c r="C8864" t="s">
        <v>5136</v>
      </c>
      <c r="D8864" t="s">
        <v>13</v>
      </c>
      <c r="E8864" t="s">
        <v>36</v>
      </c>
      <c r="F8864" t="s">
        <v>46</v>
      </c>
      <c r="G8864">
        <v>4</v>
      </c>
      <c r="H8864">
        <v>48500.24</v>
      </c>
      <c r="I8864">
        <v>8710.81</v>
      </c>
      <c r="J8864" t="s">
        <v>22</v>
      </c>
      <c r="K8864" t="s">
        <v>23</v>
      </c>
      <c r="L8864">
        <f t="shared" si="414"/>
        <v>2022</v>
      </c>
      <c r="M8864" t="str">
        <f t="shared" si="415"/>
        <v>Mar</v>
      </c>
      <c r="N8864" s="2">
        <f t="shared" si="416"/>
        <v>0.17960344113761087</v>
      </c>
    </row>
    <row r="8865" spans="1:14" x14ac:dyDescent="0.45">
      <c r="A8865" t="s">
        <v>14574</v>
      </c>
      <c r="B8865" s="1">
        <v>45357</v>
      </c>
      <c r="C8865" t="s">
        <v>5604</v>
      </c>
      <c r="D8865" t="s">
        <v>13</v>
      </c>
      <c r="E8865" t="s">
        <v>14</v>
      </c>
      <c r="F8865" t="s">
        <v>57</v>
      </c>
      <c r="G8865">
        <v>4</v>
      </c>
      <c r="H8865">
        <v>25205.03</v>
      </c>
      <c r="I8865">
        <v>4057.19</v>
      </c>
      <c r="J8865" t="s">
        <v>47</v>
      </c>
      <c r="K8865" t="s">
        <v>23</v>
      </c>
      <c r="L8865">
        <f t="shared" si="414"/>
        <v>2024</v>
      </c>
      <c r="M8865" t="str">
        <f t="shared" si="415"/>
        <v>Mar</v>
      </c>
      <c r="N8865" s="2">
        <f t="shared" si="416"/>
        <v>0.16096747355587357</v>
      </c>
    </row>
    <row r="8866" spans="1:14" x14ac:dyDescent="0.45">
      <c r="A8866" t="s">
        <v>14575</v>
      </c>
      <c r="B8866" s="1">
        <v>45386</v>
      </c>
      <c r="C8866" t="s">
        <v>3924</v>
      </c>
      <c r="D8866" t="s">
        <v>26</v>
      </c>
      <c r="E8866" t="s">
        <v>20</v>
      </c>
      <c r="F8866" t="s">
        <v>50</v>
      </c>
      <c r="G8866">
        <v>1</v>
      </c>
      <c r="H8866">
        <v>37878.81</v>
      </c>
      <c r="I8866">
        <v>5662.1</v>
      </c>
      <c r="J8866" t="s">
        <v>16</v>
      </c>
      <c r="K8866" t="s">
        <v>29</v>
      </c>
      <c r="L8866">
        <f t="shared" si="414"/>
        <v>2024</v>
      </c>
      <c r="M8866" t="str">
        <f t="shared" si="415"/>
        <v>Apr</v>
      </c>
      <c r="N8866" s="2">
        <f t="shared" si="416"/>
        <v>0.14947935270405804</v>
      </c>
    </row>
    <row r="8867" spans="1:14" x14ac:dyDescent="0.45">
      <c r="A8867" t="s">
        <v>14576</v>
      </c>
      <c r="B8867" s="1">
        <v>44761</v>
      </c>
      <c r="C8867" t="s">
        <v>11500</v>
      </c>
      <c r="D8867" t="s">
        <v>13</v>
      </c>
      <c r="E8867" t="s">
        <v>14</v>
      </c>
      <c r="F8867" t="s">
        <v>40</v>
      </c>
      <c r="G8867">
        <v>1</v>
      </c>
      <c r="H8867">
        <v>46509.62</v>
      </c>
      <c r="I8867">
        <v>2573.46</v>
      </c>
      <c r="J8867" t="s">
        <v>28</v>
      </c>
      <c r="K8867" t="s">
        <v>23</v>
      </c>
      <c r="L8867">
        <f t="shared" si="414"/>
        <v>2022</v>
      </c>
      <c r="M8867" t="str">
        <f t="shared" si="415"/>
        <v>Jul</v>
      </c>
      <c r="N8867" s="2">
        <f t="shared" si="416"/>
        <v>5.5331778672885308E-2</v>
      </c>
    </row>
    <row r="8868" spans="1:14" x14ac:dyDescent="0.45">
      <c r="A8868" t="s">
        <v>14577</v>
      </c>
      <c r="B8868" s="1">
        <v>44652</v>
      </c>
      <c r="C8868" t="s">
        <v>14578</v>
      </c>
      <c r="D8868" t="s">
        <v>13</v>
      </c>
      <c r="E8868" t="s">
        <v>36</v>
      </c>
      <c r="F8868" t="s">
        <v>64</v>
      </c>
      <c r="G8868">
        <v>1</v>
      </c>
      <c r="H8868">
        <v>8219.6299999999992</v>
      </c>
      <c r="I8868">
        <v>1348.44</v>
      </c>
      <c r="J8868" t="s">
        <v>22</v>
      </c>
      <c r="K8868" t="s">
        <v>33</v>
      </c>
      <c r="L8868">
        <f t="shared" si="414"/>
        <v>2022</v>
      </c>
      <c r="M8868" t="str">
        <f t="shared" si="415"/>
        <v>Apr</v>
      </c>
      <c r="N8868" s="2">
        <f t="shared" si="416"/>
        <v>0.1640511799192908</v>
      </c>
    </row>
    <row r="8869" spans="1:14" x14ac:dyDescent="0.45">
      <c r="A8869" t="s">
        <v>14579</v>
      </c>
      <c r="B8869" s="1">
        <v>44562</v>
      </c>
      <c r="C8869" t="s">
        <v>5310</v>
      </c>
      <c r="D8869" t="s">
        <v>56</v>
      </c>
      <c r="E8869" t="s">
        <v>14</v>
      </c>
      <c r="F8869" t="s">
        <v>15</v>
      </c>
      <c r="G8869">
        <v>4</v>
      </c>
      <c r="H8869">
        <v>15411.1</v>
      </c>
      <c r="I8869">
        <v>3020.23</v>
      </c>
      <c r="J8869" t="s">
        <v>22</v>
      </c>
      <c r="K8869" t="s">
        <v>23</v>
      </c>
      <c r="L8869">
        <f t="shared" si="414"/>
        <v>2022</v>
      </c>
      <c r="M8869" t="str">
        <f t="shared" si="415"/>
        <v>Jan</v>
      </c>
      <c r="N8869" s="2">
        <f t="shared" si="416"/>
        <v>0.19597757460531695</v>
      </c>
    </row>
    <row r="8870" spans="1:14" x14ac:dyDescent="0.45">
      <c r="A8870" t="s">
        <v>14580</v>
      </c>
      <c r="B8870" s="1">
        <v>44903</v>
      </c>
      <c r="C8870" t="s">
        <v>3836</v>
      </c>
      <c r="D8870" t="s">
        <v>26</v>
      </c>
      <c r="E8870" t="s">
        <v>36</v>
      </c>
      <c r="F8870" t="s">
        <v>37</v>
      </c>
      <c r="G8870">
        <v>4</v>
      </c>
      <c r="H8870">
        <v>29311.38</v>
      </c>
      <c r="I8870">
        <v>2418.64</v>
      </c>
      <c r="J8870" t="s">
        <v>47</v>
      </c>
      <c r="K8870" t="s">
        <v>33</v>
      </c>
      <c r="L8870">
        <f t="shared" si="414"/>
        <v>2022</v>
      </c>
      <c r="M8870" t="str">
        <f t="shared" si="415"/>
        <v>Dec</v>
      </c>
      <c r="N8870" s="2">
        <f t="shared" si="416"/>
        <v>8.251539163287433E-2</v>
      </c>
    </row>
    <row r="8871" spans="1:14" x14ac:dyDescent="0.45">
      <c r="A8871" t="s">
        <v>14581</v>
      </c>
      <c r="B8871" s="1">
        <v>45423</v>
      </c>
      <c r="C8871" t="s">
        <v>6048</v>
      </c>
      <c r="D8871" t="s">
        <v>13</v>
      </c>
      <c r="E8871" t="s">
        <v>14</v>
      </c>
      <c r="F8871" t="s">
        <v>40</v>
      </c>
      <c r="G8871">
        <v>5</v>
      </c>
      <c r="H8871">
        <v>22431.74</v>
      </c>
      <c r="I8871">
        <v>4254.3500000000004</v>
      </c>
      <c r="J8871" t="s">
        <v>28</v>
      </c>
      <c r="K8871" t="s">
        <v>33</v>
      </c>
      <c r="L8871">
        <f t="shared" si="414"/>
        <v>2024</v>
      </c>
      <c r="M8871" t="str">
        <f t="shared" si="415"/>
        <v>May</v>
      </c>
      <c r="N8871" s="2">
        <f t="shared" si="416"/>
        <v>0.18965760123824546</v>
      </c>
    </row>
    <row r="8872" spans="1:14" x14ac:dyDescent="0.45">
      <c r="A8872" t="s">
        <v>14582</v>
      </c>
      <c r="B8872" s="1">
        <v>44986</v>
      </c>
      <c r="C8872" t="s">
        <v>14583</v>
      </c>
      <c r="D8872" t="s">
        <v>26</v>
      </c>
      <c r="E8872" t="s">
        <v>36</v>
      </c>
      <c r="F8872" t="s">
        <v>53</v>
      </c>
      <c r="G8872">
        <v>4</v>
      </c>
      <c r="H8872">
        <v>40314.94</v>
      </c>
      <c r="I8872">
        <v>8235.16</v>
      </c>
      <c r="J8872" t="s">
        <v>71</v>
      </c>
      <c r="K8872" t="s">
        <v>17</v>
      </c>
      <c r="L8872">
        <f t="shared" si="414"/>
        <v>2023</v>
      </c>
      <c r="M8872" t="str">
        <f t="shared" si="415"/>
        <v>Mar</v>
      </c>
      <c r="N8872" s="2">
        <f t="shared" si="416"/>
        <v>0.20427067484163439</v>
      </c>
    </row>
    <row r="8873" spans="1:14" x14ac:dyDescent="0.45">
      <c r="A8873" t="s">
        <v>14584</v>
      </c>
      <c r="B8873" s="1">
        <v>44780</v>
      </c>
      <c r="C8873" t="s">
        <v>12884</v>
      </c>
      <c r="D8873" t="s">
        <v>13</v>
      </c>
      <c r="E8873" t="s">
        <v>14</v>
      </c>
      <c r="F8873" t="s">
        <v>15</v>
      </c>
      <c r="G8873">
        <v>4</v>
      </c>
      <c r="H8873">
        <v>10464.870000000001</v>
      </c>
      <c r="I8873">
        <v>1198.2</v>
      </c>
      <c r="J8873" t="s">
        <v>47</v>
      </c>
      <c r="K8873" t="s">
        <v>33</v>
      </c>
      <c r="L8873">
        <f t="shared" si="414"/>
        <v>2022</v>
      </c>
      <c r="M8873" t="str">
        <f t="shared" si="415"/>
        <v>Aug</v>
      </c>
      <c r="N8873" s="2">
        <f t="shared" si="416"/>
        <v>0.11449736117123289</v>
      </c>
    </row>
    <row r="8874" spans="1:14" x14ac:dyDescent="0.45">
      <c r="A8874" t="s">
        <v>14585</v>
      </c>
      <c r="B8874" s="1">
        <v>45335</v>
      </c>
      <c r="C8874" t="s">
        <v>7187</v>
      </c>
      <c r="D8874" t="s">
        <v>26</v>
      </c>
      <c r="E8874" t="s">
        <v>14</v>
      </c>
      <c r="F8874" t="s">
        <v>15</v>
      </c>
      <c r="G8874">
        <v>4</v>
      </c>
      <c r="H8874">
        <v>28061.56</v>
      </c>
      <c r="I8874">
        <v>5264.32</v>
      </c>
      <c r="J8874" t="s">
        <v>47</v>
      </c>
      <c r="K8874" t="s">
        <v>17</v>
      </c>
      <c r="L8874">
        <f t="shared" si="414"/>
        <v>2024</v>
      </c>
      <c r="M8874" t="str">
        <f t="shared" si="415"/>
        <v>Feb</v>
      </c>
      <c r="N8874" s="2">
        <f t="shared" si="416"/>
        <v>0.18759897881657325</v>
      </c>
    </row>
    <row r="8875" spans="1:14" x14ac:dyDescent="0.45">
      <c r="A8875" t="s">
        <v>14586</v>
      </c>
      <c r="B8875" s="1">
        <v>44718</v>
      </c>
      <c r="C8875" t="s">
        <v>3037</v>
      </c>
      <c r="D8875" t="s">
        <v>56</v>
      </c>
      <c r="E8875" t="s">
        <v>14</v>
      </c>
      <c r="F8875" t="s">
        <v>57</v>
      </c>
      <c r="G8875">
        <v>4</v>
      </c>
      <c r="H8875">
        <v>2917.47</v>
      </c>
      <c r="I8875">
        <v>312.42</v>
      </c>
      <c r="J8875" t="s">
        <v>71</v>
      </c>
      <c r="K8875" t="s">
        <v>23</v>
      </c>
      <c r="L8875">
        <f t="shared" si="414"/>
        <v>2022</v>
      </c>
      <c r="M8875" t="str">
        <f t="shared" si="415"/>
        <v>Jun</v>
      </c>
      <c r="N8875" s="2">
        <f t="shared" si="416"/>
        <v>0.10708593404559431</v>
      </c>
    </row>
    <row r="8876" spans="1:14" x14ac:dyDescent="0.45">
      <c r="A8876" t="s">
        <v>14587</v>
      </c>
      <c r="B8876" s="1">
        <v>45087</v>
      </c>
      <c r="C8876" t="s">
        <v>14588</v>
      </c>
      <c r="D8876" t="s">
        <v>13</v>
      </c>
      <c r="E8876" t="s">
        <v>36</v>
      </c>
      <c r="F8876" t="s">
        <v>46</v>
      </c>
      <c r="G8876">
        <v>1</v>
      </c>
      <c r="H8876">
        <v>38899.230000000003</v>
      </c>
      <c r="I8876">
        <v>5108.96</v>
      </c>
      <c r="J8876" t="s">
        <v>71</v>
      </c>
      <c r="K8876" t="s">
        <v>33</v>
      </c>
      <c r="L8876">
        <f t="shared" si="414"/>
        <v>2023</v>
      </c>
      <c r="M8876" t="str">
        <f t="shared" si="415"/>
        <v>Jun</v>
      </c>
      <c r="N8876" s="2">
        <f t="shared" si="416"/>
        <v>0.13133833240400902</v>
      </c>
    </row>
    <row r="8877" spans="1:14" x14ac:dyDescent="0.45">
      <c r="A8877" t="s">
        <v>14589</v>
      </c>
      <c r="B8877" s="1">
        <v>44981</v>
      </c>
      <c r="C8877" t="s">
        <v>1540</v>
      </c>
      <c r="D8877" t="s">
        <v>26</v>
      </c>
      <c r="E8877" t="s">
        <v>14</v>
      </c>
      <c r="F8877" t="s">
        <v>57</v>
      </c>
      <c r="G8877">
        <v>5</v>
      </c>
      <c r="H8877">
        <v>10669.66</v>
      </c>
      <c r="I8877">
        <v>1884.53</v>
      </c>
      <c r="J8877" t="s">
        <v>28</v>
      </c>
      <c r="K8877" t="s">
        <v>23</v>
      </c>
      <c r="L8877">
        <f t="shared" si="414"/>
        <v>2023</v>
      </c>
      <c r="M8877" t="str">
        <f t="shared" si="415"/>
        <v>Feb</v>
      </c>
      <c r="N8877" s="2">
        <f t="shared" si="416"/>
        <v>0.17662512207511766</v>
      </c>
    </row>
    <row r="8878" spans="1:14" x14ac:dyDescent="0.45">
      <c r="A8878" t="s">
        <v>14590</v>
      </c>
      <c r="B8878" s="1">
        <v>44965</v>
      </c>
      <c r="C8878" t="s">
        <v>14591</v>
      </c>
      <c r="D8878" t="s">
        <v>26</v>
      </c>
      <c r="E8878" t="s">
        <v>14</v>
      </c>
      <c r="F8878" t="s">
        <v>32</v>
      </c>
      <c r="G8878">
        <v>5</v>
      </c>
      <c r="H8878">
        <v>20085.48</v>
      </c>
      <c r="I8878">
        <v>1864.79</v>
      </c>
      <c r="J8878" t="s">
        <v>71</v>
      </c>
      <c r="K8878" t="s">
        <v>29</v>
      </c>
      <c r="L8878">
        <f t="shared" si="414"/>
        <v>2023</v>
      </c>
      <c r="M8878" t="str">
        <f t="shared" si="415"/>
        <v>Feb</v>
      </c>
      <c r="N8878" s="2">
        <f t="shared" si="416"/>
        <v>9.2842690341480516E-2</v>
      </c>
    </row>
    <row r="8879" spans="1:14" x14ac:dyDescent="0.45">
      <c r="A8879" t="s">
        <v>14592</v>
      </c>
      <c r="B8879" s="1">
        <v>45253</v>
      </c>
      <c r="C8879" t="s">
        <v>3381</v>
      </c>
      <c r="D8879" t="s">
        <v>13</v>
      </c>
      <c r="E8879" t="s">
        <v>36</v>
      </c>
      <c r="F8879" t="s">
        <v>53</v>
      </c>
      <c r="G8879">
        <v>2</v>
      </c>
      <c r="H8879">
        <v>18986.669999999998</v>
      </c>
      <c r="I8879">
        <v>2145.42</v>
      </c>
      <c r="J8879" t="s">
        <v>16</v>
      </c>
      <c r="K8879" t="s">
        <v>29</v>
      </c>
      <c r="L8879">
        <f t="shared" si="414"/>
        <v>2023</v>
      </c>
      <c r="M8879" t="str">
        <f t="shared" si="415"/>
        <v>Nov</v>
      </c>
      <c r="N8879" s="2">
        <f t="shared" si="416"/>
        <v>0.11299611780264787</v>
      </c>
    </row>
    <row r="8880" spans="1:14" x14ac:dyDescent="0.45">
      <c r="A8880" t="s">
        <v>14593</v>
      </c>
      <c r="B8880" s="1">
        <v>44886</v>
      </c>
      <c r="C8880" t="s">
        <v>7547</v>
      </c>
      <c r="D8880" t="s">
        <v>13</v>
      </c>
      <c r="E8880" t="s">
        <v>20</v>
      </c>
      <c r="F8880" t="s">
        <v>43</v>
      </c>
      <c r="G8880">
        <v>4</v>
      </c>
      <c r="H8880">
        <v>49607.07</v>
      </c>
      <c r="I8880">
        <v>11068.99</v>
      </c>
      <c r="J8880" t="s">
        <v>22</v>
      </c>
      <c r="K8880" t="s">
        <v>17</v>
      </c>
      <c r="L8880">
        <f t="shared" si="414"/>
        <v>2022</v>
      </c>
      <c r="M8880" t="str">
        <f t="shared" si="415"/>
        <v>Nov</v>
      </c>
      <c r="N8880" s="2">
        <f t="shared" si="416"/>
        <v>0.22313331547297593</v>
      </c>
    </row>
    <row r="8881" spans="1:14" x14ac:dyDescent="0.45">
      <c r="A8881" t="s">
        <v>14594</v>
      </c>
      <c r="B8881" s="1">
        <v>45024</v>
      </c>
      <c r="C8881" t="s">
        <v>12343</v>
      </c>
      <c r="D8881" t="s">
        <v>56</v>
      </c>
      <c r="E8881" t="s">
        <v>36</v>
      </c>
      <c r="F8881" t="s">
        <v>37</v>
      </c>
      <c r="G8881">
        <v>1</v>
      </c>
      <c r="H8881">
        <v>34586.69</v>
      </c>
      <c r="I8881">
        <v>3038.16</v>
      </c>
      <c r="J8881" t="s">
        <v>16</v>
      </c>
      <c r="K8881" t="s">
        <v>29</v>
      </c>
      <c r="L8881">
        <f t="shared" si="414"/>
        <v>2023</v>
      </c>
      <c r="M8881" t="str">
        <f t="shared" si="415"/>
        <v>Apr</v>
      </c>
      <c r="N8881" s="2">
        <f t="shared" si="416"/>
        <v>8.7841883684157102E-2</v>
      </c>
    </row>
    <row r="8882" spans="1:14" x14ac:dyDescent="0.45">
      <c r="A8882" t="s">
        <v>14595</v>
      </c>
      <c r="B8882" s="1">
        <v>45520</v>
      </c>
      <c r="C8882" t="s">
        <v>798</v>
      </c>
      <c r="D8882" t="s">
        <v>13</v>
      </c>
      <c r="E8882" t="s">
        <v>14</v>
      </c>
      <c r="F8882" t="s">
        <v>32</v>
      </c>
      <c r="G8882">
        <v>5</v>
      </c>
      <c r="H8882">
        <v>49185.49</v>
      </c>
      <c r="I8882">
        <v>7147.18</v>
      </c>
      <c r="J8882" t="s">
        <v>28</v>
      </c>
      <c r="K8882" t="s">
        <v>23</v>
      </c>
      <c r="L8882">
        <f t="shared" si="414"/>
        <v>2024</v>
      </c>
      <c r="M8882" t="str">
        <f t="shared" si="415"/>
        <v>Aug</v>
      </c>
      <c r="N8882" s="2">
        <f t="shared" si="416"/>
        <v>0.14531074103358532</v>
      </c>
    </row>
    <row r="8883" spans="1:14" x14ac:dyDescent="0.45">
      <c r="A8883" t="s">
        <v>14596</v>
      </c>
      <c r="B8883" s="1">
        <v>45643</v>
      </c>
      <c r="C8883" t="s">
        <v>14597</v>
      </c>
      <c r="D8883" t="s">
        <v>13</v>
      </c>
      <c r="E8883" t="s">
        <v>20</v>
      </c>
      <c r="F8883" t="s">
        <v>50</v>
      </c>
      <c r="G8883">
        <v>3</v>
      </c>
      <c r="H8883">
        <v>22312.1</v>
      </c>
      <c r="I8883">
        <v>1510.3</v>
      </c>
      <c r="J8883" t="s">
        <v>22</v>
      </c>
      <c r="K8883" t="s">
        <v>29</v>
      </c>
      <c r="L8883">
        <f t="shared" si="414"/>
        <v>2024</v>
      </c>
      <c r="M8883" t="str">
        <f t="shared" si="415"/>
        <v>Dec</v>
      </c>
      <c r="N8883" s="2">
        <f t="shared" si="416"/>
        <v>6.7689728891498338E-2</v>
      </c>
    </row>
    <row r="8884" spans="1:14" x14ac:dyDescent="0.45">
      <c r="A8884" t="s">
        <v>14598</v>
      </c>
      <c r="B8884" s="1">
        <v>45104</v>
      </c>
      <c r="C8884" t="s">
        <v>8972</v>
      </c>
      <c r="D8884" t="s">
        <v>26</v>
      </c>
      <c r="E8884" t="s">
        <v>14</v>
      </c>
      <c r="F8884" t="s">
        <v>15</v>
      </c>
      <c r="G8884">
        <v>3</v>
      </c>
      <c r="H8884">
        <v>7765.04</v>
      </c>
      <c r="I8884">
        <v>914.22</v>
      </c>
      <c r="J8884" t="s">
        <v>28</v>
      </c>
      <c r="K8884" t="s">
        <v>29</v>
      </c>
      <c r="L8884">
        <f t="shared" si="414"/>
        <v>2023</v>
      </c>
      <c r="M8884" t="str">
        <f t="shared" si="415"/>
        <v>Jun</v>
      </c>
      <c r="N8884" s="2">
        <f t="shared" si="416"/>
        <v>0.1177353883560162</v>
      </c>
    </row>
    <row r="8885" spans="1:14" x14ac:dyDescent="0.45">
      <c r="A8885" t="s">
        <v>14599</v>
      </c>
      <c r="B8885" s="1">
        <v>44896</v>
      </c>
      <c r="C8885" t="s">
        <v>6467</v>
      </c>
      <c r="D8885" t="s">
        <v>13</v>
      </c>
      <c r="E8885" t="s">
        <v>14</v>
      </c>
      <c r="F8885" t="s">
        <v>57</v>
      </c>
      <c r="G8885">
        <v>2</v>
      </c>
      <c r="H8885">
        <v>19589.98</v>
      </c>
      <c r="I8885">
        <v>3543.43</v>
      </c>
      <c r="J8885" t="s">
        <v>28</v>
      </c>
      <c r="K8885" t="s">
        <v>17</v>
      </c>
      <c r="L8885">
        <f t="shared" si="414"/>
        <v>2022</v>
      </c>
      <c r="M8885" t="str">
        <f t="shared" si="415"/>
        <v>Dec</v>
      </c>
      <c r="N8885" s="2">
        <f t="shared" si="416"/>
        <v>0.18087971503799391</v>
      </c>
    </row>
    <row r="8886" spans="1:14" x14ac:dyDescent="0.45">
      <c r="A8886" t="s">
        <v>14600</v>
      </c>
      <c r="B8886" s="1">
        <v>45587</v>
      </c>
      <c r="C8886" t="s">
        <v>13336</v>
      </c>
      <c r="D8886" t="s">
        <v>56</v>
      </c>
      <c r="E8886" t="s">
        <v>20</v>
      </c>
      <c r="F8886" t="s">
        <v>21</v>
      </c>
      <c r="G8886">
        <v>5</v>
      </c>
      <c r="H8886">
        <v>49096.46</v>
      </c>
      <c r="I8886">
        <v>9969.6299999999992</v>
      </c>
      <c r="J8886" t="s">
        <v>47</v>
      </c>
      <c r="K8886" t="s">
        <v>17</v>
      </c>
      <c r="L8886">
        <f t="shared" si="414"/>
        <v>2024</v>
      </c>
      <c r="M8886" t="str">
        <f t="shared" si="415"/>
        <v>Oct</v>
      </c>
      <c r="N8886" s="2">
        <f t="shared" si="416"/>
        <v>0.20306209449724072</v>
      </c>
    </row>
    <row r="8887" spans="1:14" x14ac:dyDescent="0.45">
      <c r="A8887" t="s">
        <v>14601</v>
      </c>
      <c r="B8887" s="1">
        <v>44567</v>
      </c>
      <c r="C8887" t="s">
        <v>14602</v>
      </c>
      <c r="D8887" t="s">
        <v>26</v>
      </c>
      <c r="E8887" t="s">
        <v>14</v>
      </c>
      <c r="F8887" t="s">
        <v>40</v>
      </c>
      <c r="G8887">
        <v>2</v>
      </c>
      <c r="H8887">
        <v>3553.18</v>
      </c>
      <c r="I8887">
        <v>538.5</v>
      </c>
      <c r="J8887" t="s">
        <v>28</v>
      </c>
      <c r="K8887" t="s">
        <v>33</v>
      </c>
      <c r="L8887">
        <f t="shared" si="414"/>
        <v>2022</v>
      </c>
      <c r="M8887" t="str">
        <f t="shared" si="415"/>
        <v>Jan</v>
      </c>
      <c r="N8887" s="2">
        <f t="shared" si="416"/>
        <v>0.15155438227165527</v>
      </c>
    </row>
    <row r="8888" spans="1:14" x14ac:dyDescent="0.45">
      <c r="A8888" t="s">
        <v>14603</v>
      </c>
      <c r="B8888" s="1">
        <v>44821</v>
      </c>
      <c r="C8888" t="s">
        <v>14604</v>
      </c>
      <c r="D8888" t="s">
        <v>26</v>
      </c>
      <c r="E8888" t="s">
        <v>36</v>
      </c>
      <c r="F8888" t="s">
        <v>46</v>
      </c>
      <c r="G8888">
        <v>1</v>
      </c>
      <c r="H8888">
        <v>15322.46</v>
      </c>
      <c r="I8888">
        <v>1234.3499999999999</v>
      </c>
      <c r="J8888" t="s">
        <v>47</v>
      </c>
      <c r="K8888" t="s">
        <v>29</v>
      </c>
      <c r="L8888">
        <f t="shared" si="414"/>
        <v>2022</v>
      </c>
      <c r="M8888" t="str">
        <f t="shared" si="415"/>
        <v>Sep</v>
      </c>
      <c r="N8888" s="2">
        <f t="shared" si="416"/>
        <v>8.0558213237300016E-2</v>
      </c>
    </row>
    <row r="8889" spans="1:14" x14ac:dyDescent="0.45">
      <c r="A8889" t="s">
        <v>14605</v>
      </c>
      <c r="B8889" s="1">
        <v>44717</v>
      </c>
      <c r="C8889" t="s">
        <v>2683</v>
      </c>
      <c r="D8889" t="s">
        <v>13</v>
      </c>
      <c r="E8889" t="s">
        <v>14</v>
      </c>
      <c r="F8889" t="s">
        <v>32</v>
      </c>
      <c r="G8889">
        <v>4</v>
      </c>
      <c r="H8889">
        <v>23575.51</v>
      </c>
      <c r="I8889">
        <v>4462.25</v>
      </c>
      <c r="J8889" t="s">
        <v>47</v>
      </c>
      <c r="K8889" t="s">
        <v>29</v>
      </c>
      <c r="L8889">
        <f t="shared" si="414"/>
        <v>2022</v>
      </c>
      <c r="M8889" t="str">
        <f t="shared" si="415"/>
        <v>Jun</v>
      </c>
      <c r="N8889" s="2">
        <f t="shared" si="416"/>
        <v>0.18927480253873619</v>
      </c>
    </row>
    <row r="8890" spans="1:14" x14ac:dyDescent="0.45">
      <c r="A8890" t="s">
        <v>14606</v>
      </c>
      <c r="B8890" s="1">
        <v>45210</v>
      </c>
      <c r="C8890" t="s">
        <v>14607</v>
      </c>
      <c r="D8890" t="s">
        <v>13</v>
      </c>
      <c r="E8890" t="s">
        <v>36</v>
      </c>
      <c r="F8890" t="s">
        <v>53</v>
      </c>
      <c r="G8890">
        <v>5</v>
      </c>
      <c r="H8890">
        <v>18041.84</v>
      </c>
      <c r="I8890">
        <v>1374.24</v>
      </c>
      <c r="J8890" t="s">
        <v>22</v>
      </c>
      <c r="K8890" t="s">
        <v>29</v>
      </c>
      <c r="L8890">
        <f t="shared" si="414"/>
        <v>2023</v>
      </c>
      <c r="M8890" t="str">
        <f t="shared" si="415"/>
        <v>Oct</v>
      </c>
      <c r="N8890" s="2">
        <f t="shared" si="416"/>
        <v>7.6169614629106569E-2</v>
      </c>
    </row>
    <row r="8891" spans="1:14" x14ac:dyDescent="0.45">
      <c r="A8891" t="s">
        <v>14608</v>
      </c>
      <c r="B8891" s="1">
        <v>44902</v>
      </c>
      <c r="C8891" t="s">
        <v>570</v>
      </c>
      <c r="D8891" t="s">
        <v>13</v>
      </c>
      <c r="E8891" t="s">
        <v>36</v>
      </c>
      <c r="F8891" t="s">
        <v>46</v>
      </c>
      <c r="G8891">
        <v>1</v>
      </c>
      <c r="H8891">
        <v>44434.07</v>
      </c>
      <c r="I8891">
        <v>5044.37</v>
      </c>
      <c r="J8891" t="s">
        <v>71</v>
      </c>
      <c r="K8891" t="s">
        <v>33</v>
      </c>
      <c r="L8891">
        <f t="shared" si="414"/>
        <v>2022</v>
      </c>
      <c r="M8891" t="str">
        <f t="shared" si="415"/>
        <v>Dec</v>
      </c>
      <c r="N8891" s="2">
        <f t="shared" si="416"/>
        <v>0.11352482453216642</v>
      </c>
    </row>
    <row r="8892" spans="1:14" x14ac:dyDescent="0.45">
      <c r="A8892" t="s">
        <v>14609</v>
      </c>
      <c r="B8892" s="1">
        <v>45119</v>
      </c>
      <c r="C8892" t="s">
        <v>14610</v>
      </c>
      <c r="D8892" t="s">
        <v>26</v>
      </c>
      <c r="E8892" t="s">
        <v>14</v>
      </c>
      <c r="F8892" t="s">
        <v>40</v>
      </c>
      <c r="G8892">
        <v>5</v>
      </c>
      <c r="H8892">
        <v>28601.66</v>
      </c>
      <c r="I8892">
        <v>4606.87</v>
      </c>
      <c r="J8892" t="s">
        <v>16</v>
      </c>
      <c r="K8892" t="s">
        <v>33</v>
      </c>
      <c r="L8892">
        <f t="shared" si="414"/>
        <v>2023</v>
      </c>
      <c r="M8892" t="str">
        <f t="shared" si="415"/>
        <v>Jul</v>
      </c>
      <c r="N8892" s="2">
        <f t="shared" si="416"/>
        <v>0.16107002180992291</v>
      </c>
    </row>
    <row r="8893" spans="1:14" x14ac:dyDescent="0.45">
      <c r="A8893" t="s">
        <v>14611</v>
      </c>
      <c r="B8893" s="1">
        <v>45156</v>
      </c>
      <c r="C8893" t="s">
        <v>14612</v>
      </c>
      <c r="D8893" t="s">
        <v>13</v>
      </c>
      <c r="E8893" t="s">
        <v>20</v>
      </c>
      <c r="F8893" t="s">
        <v>27</v>
      </c>
      <c r="G8893">
        <v>3</v>
      </c>
      <c r="H8893">
        <v>46124.06</v>
      </c>
      <c r="I8893">
        <v>8062.13</v>
      </c>
      <c r="J8893" t="s">
        <v>16</v>
      </c>
      <c r="K8893" t="s">
        <v>29</v>
      </c>
      <c r="L8893">
        <f t="shared" si="414"/>
        <v>2023</v>
      </c>
      <c r="M8893" t="str">
        <f t="shared" si="415"/>
        <v>Aug</v>
      </c>
      <c r="N8893" s="2">
        <f t="shared" si="416"/>
        <v>0.17479228844988928</v>
      </c>
    </row>
    <row r="8894" spans="1:14" x14ac:dyDescent="0.45">
      <c r="A8894" t="s">
        <v>14613</v>
      </c>
      <c r="B8894" s="1">
        <v>45363</v>
      </c>
      <c r="C8894" t="s">
        <v>2477</v>
      </c>
      <c r="D8894" t="s">
        <v>13</v>
      </c>
      <c r="E8894" t="s">
        <v>36</v>
      </c>
      <c r="F8894" t="s">
        <v>64</v>
      </c>
      <c r="G8894">
        <v>4</v>
      </c>
      <c r="H8894">
        <v>38460.400000000001</v>
      </c>
      <c r="I8894">
        <v>8045.26</v>
      </c>
      <c r="J8894" t="s">
        <v>28</v>
      </c>
      <c r="K8894" t="s">
        <v>33</v>
      </c>
      <c r="L8894">
        <f t="shared" si="414"/>
        <v>2024</v>
      </c>
      <c r="M8894" t="str">
        <f t="shared" si="415"/>
        <v>Mar</v>
      </c>
      <c r="N8894" s="2">
        <f t="shared" si="416"/>
        <v>0.20918295181537375</v>
      </c>
    </row>
    <row r="8895" spans="1:14" x14ac:dyDescent="0.45">
      <c r="A8895" t="s">
        <v>14614</v>
      </c>
      <c r="B8895" s="1">
        <v>45517</v>
      </c>
      <c r="C8895" t="s">
        <v>3100</v>
      </c>
      <c r="D8895" t="s">
        <v>56</v>
      </c>
      <c r="E8895" t="s">
        <v>20</v>
      </c>
      <c r="F8895" t="s">
        <v>43</v>
      </c>
      <c r="G8895">
        <v>3</v>
      </c>
      <c r="H8895">
        <v>46321.75</v>
      </c>
      <c r="I8895">
        <v>9248.57</v>
      </c>
      <c r="J8895" t="s">
        <v>28</v>
      </c>
      <c r="K8895" t="s">
        <v>23</v>
      </c>
      <c r="L8895">
        <f t="shared" si="414"/>
        <v>2024</v>
      </c>
      <c r="M8895" t="str">
        <f t="shared" si="415"/>
        <v>Aug</v>
      </c>
      <c r="N8895" s="2">
        <f t="shared" si="416"/>
        <v>0.19965933929525545</v>
      </c>
    </row>
    <row r="8896" spans="1:14" x14ac:dyDescent="0.45">
      <c r="A8896" t="s">
        <v>14615</v>
      </c>
      <c r="B8896" s="1">
        <v>44689</v>
      </c>
      <c r="C8896" t="s">
        <v>14616</v>
      </c>
      <c r="D8896" t="s">
        <v>26</v>
      </c>
      <c r="E8896" t="s">
        <v>36</v>
      </c>
      <c r="F8896" t="s">
        <v>46</v>
      </c>
      <c r="G8896">
        <v>3</v>
      </c>
      <c r="H8896">
        <v>36230.660000000003</v>
      </c>
      <c r="I8896">
        <v>5359.53</v>
      </c>
      <c r="J8896" t="s">
        <v>47</v>
      </c>
      <c r="K8896" t="s">
        <v>33</v>
      </c>
      <c r="L8896">
        <f t="shared" si="414"/>
        <v>2022</v>
      </c>
      <c r="M8896" t="str">
        <f t="shared" si="415"/>
        <v>May</v>
      </c>
      <c r="N8896" s="2">
        <f t="shared" si="416"/>
        <v>0.14792802560041687</v>
      </c>
    </row>
    <row r="8897" spans="1:14" x14ac:dyDescent="0.45">
      <c r="A8897" t="s">
        <v>14617</v>
      </c>
      <c r="B8897" s="1">
        <v>44677</v>
      </c>
      <c r="C8897" t="s">
        <v>14618</v>
      </c>
      <c r="D8897" t="s">
        <v>13</v>
      </c>
      <c r="E8897" t="s">
        <v>36</v>
      </c>
      <c r="F8897" t="s">
        <v>53</v>
      </c>
      <c r="G8897">
        <v>5</v>
      </c>
      <c r="H8897">
        <v>4542.09</v>
      </c>
      <c r="I8897">
        <v>1072.19</v>
      </c>
      <c r="J8897" t="s">
        <v>16</v>
      </c>
      <c r="K8897" t="s">
        <v>23</v>
      </c>
      <c r="L8897">
        <f t="shared" si="414"/>
        <v>2022</v>
      </c>
      <c r="M8897" t="str">
        <f t="shared" si="415"/>
        <v>Apr</v>
      </c>
      <c r="N8897" s="2">
        <f t="shared" si="416"/>
        <v>0.23605652904279747</v>
      </c>
    </row>
    <row r="8898" spans="1:14" x14ac:dyDescent="0.45">
      <c r="A8898" t="s">
        <v>14619</v>
      </c>
      <c r="B8898" s="1">
        <v>45063</v>
      </c>
      <c r="C8898" t="s">
        <v>14620</v>
      </c>
      <c r="D8898" t="s">
        <v>26</v>
      </c>
      <c r="E8898" t="s">
        <v>20</v>
      </c>
      <c r="F8898" t="s">
        <v>21</v>
      </c>
      <c r="G8898">
        <v>1</v>
      </c>
      <c r="H8898">
        <v>6187.73</v>
      </c>
      <c r="I8898">
        <v>317.2</v>
      </c>
      <c r="J8898" t="s">
        <v>22</v>
      </c>
      <c r="K8898" t="s">
        <v>23</v>
      </c>
      <c r="L8898">
        <f t="shared" si="414"/>
        <v>2023</v>
      </c>
      <c r="M8898" t="str">
        <f t="shared" si="415"/>
        <v>May</v>
      </c>
      <c r="N8898" s="2">
        <f t="shared" si="416"/>
        <v>5.126274094053878E-2</v>
      </c>
    </row>
    <row r="8899" spans="1:14" x14ac:dyDescent="0.45">
      <c r="A8899" t="s">
        <v>14621</v>
      </c>
      <c r="B8899" s="1">
        <v>45124</v>
      </c>
      <c r="C8899" t="s">
        <v>10488</v>
      </c>
      <c r="D8899" t="s">
        <v>26</v>
      </c>
      <c r="E8899" t="s">
        <v>20</v>
      </c>
      <c r="F8899" t="s">
        <v>21</v>
      </c>
      <c r="G8899">
        <v>3</v>
      </c>
      <c r="H8899">
        <v>23700.33</v>
      </c>
      <c r="I8899">
        <v>4462.47</v>
      </c>
      <c r="J8899" t="s">
        <v>28</v>
      </c>
      <c r="K8899" t="s">
        <v>17</v>
      </c>
      <c r="L8899">
        <f t="shared" ref="L8899:L8962" si="417">YEAR(B8899 )</f>
        <v>2023</v>
      </c>
      <c r="M8899" t="str">
        <f t="shared" ref="M8899:M8962" si="418">TEXT(B8899,"MMM")</f>
        <v>Jul</v>
      </c>
      <c r="N8899" s="2">
        <f t="shared" ref="N8899:N8962" si="419">I8899 / H8899</f>
        <v>0.18828725169649535</v>
      </c>
    </row>
    <row r="8900" spans="1:14" x14ac:dyDescent="0.45">
      <c r="A8900" t="s">
        <v>14622</v>
      </c>
      <c r="B8900" s="1">
        <v>44650</v>
      </c>
      <c r="C8900" t="s">
        <v>4962</v>
      </c>
      <c r="D8900" t="s">
        <v>26</v>
      </c>
      <c r="E8900" t="s">
        <v>36</v>
      </c>
      <c r="F8900" t="s">
        <v>64</v>
      </c>
      <c r="G8900">
        <v>3</v>
      </c>
      <c r="H8900">
        <v>9854.99</v>
      </c>
      <c r="I8900">
        <v>2400.2199999999998</v>
      </c>
      <c r="J8900" t="s">
        <v>47</v>
      </c>
      <c r="K8900" t="s">
        <v>33</v>
      </c>
      <c r="L8900">
        <f t="shared" si="417"/>
        <v>2022</v>
      </c>
      <c r="M8900" t="str">
        <f t="shared" si="418"/>
        <v>Mar</v>
      </c>
      <c r="N8900" s="2">
        <f t="shared" si="419"/>
        <v>0.24355377326613217</v>
      </c>
    </row>
    <row r="8901" spans="1:14" x14ac:dyDescent="0.45">
      <c r="A8901" t="s">
        <v>14623</v>
      </c>
      <c r="B8901" s="1">
        <v>44981</v>
      </c>
      <c r="C8901" t="s">
        <v>14624</v>
      </c>
      <c r="D8901" t="s">
        <v>26</v>
      </c>
      <c r="E8901" t="s">
        <v>36</v>
      </c>
      <c r="F8901" t="s">
        <v>46</v>
      </c>
      <c r="G8901">
        <v>2</v>
      </c>
      <c r="H8901">
        <v>18765.29</v>
      </c>
      <c r="I8901">
        <v>1376.68</v>
      </c>
      <c r="J8901" t="s">
        <v>71</v>
      </c>
      <c r="K8901" t="s">
        <v>23</v>
      </c>
      <c r="L8901">
        <f t="shared" si="417"/>
        <v>2023</v>
      </c>
      <c r="M8901" t="str">
        <f t="shared" si="418"/>
        <v>Feb</v>
      </c>
      <c r="N8901" s="2">
        <f t="shared" si="419"/>
        <v>7.3363108164062482E-2</v>
      </c>
    </row>
    <row r="8902" spans="1:14" x14ac:dyDescent="0.45">
      <c r="A8902" t="s">
        <v>14625</v>
      </c>
      <c r="B8902" s="1">
        <v>45184</v>
      </c>
      <c r="C8902" t="s">
        <v>14626</v>
      </c>
      <c r="D8902" t="s">
        <v>13</v>
      </c>
      <c r="E8902" t="s">
        <v>20</v>
      </c>
      <c r="F8902" t="s">
        <v>27</v>
      </c>
      <c r="G8902">
        <v>5</v>
      </c>
      <c r="H8902">
        <v>3835.48</v>
      </c>
      <c r="I8902">
        <v>733.58</v>
      </c>
      <c r="J8902" t="s">
        <v>16</v>
      </c>
      <c r="K8902" t="s">
        <v>29</v>
      </c>
      <c r="L8902">
        <f t="shared" si="417"/>
        <v>2023</v>
      </c>
      <c r="M8902" t="str">
        <f t="shared" si="418"/>
        <v>Sep</v>
      </c>
      <c r="N8902" s="2">
        <f t="shared" si="419"/>
        <v>0.19126158916224306</v>
      </c>
    </row>
    <row r="8903" spans="1:14" x14ac:dyDescent="0.45">
      <c r="A8903" t="s">
        <v>14627</v>
      </c>
      <c r="B8903" s="1">
        <v>44652</v>
      </c>
      <c r="C8903" t="s">
        <v>14628</v>
      </c>
      <c r="D8903" t="s">
        <v>26</v>
      </c>
      <c r="E8903" t="s">
        <v>20</v>
      </c>
      <c r="F8903" t="s">
        <v>43</v>
      </c>
      <c r="G8903">
        <v>4</v>
      </c>
      <c r="H8903">
        <v>39784.870000000003</v>
      </c>
      <c r="I8903">
        <v>7241.97</v>
      </c>
      <c r="J8903" t="s">
        <v>22</v>
      </c>
      <c r="K8903" t="s">
        <v>33</v>
      </c>
      <c r="L8903">
        <f t="shared" si="417"/>
        <v>2022</v>
      </c>
      <c r="M8903" t="str">
        <f t="shared" si="418"/>
        <v>Apr</v>
      </c>
      <c r="N8903" s="2">
        <f t="shared" si="419"/>
        <v>0.1820282434000664</v>
      </c>
    </row>
    <row r="8904" spans="1:14" x14ac:dyDescent="0.45">
      <c r="A8904" t="s">
        <v>14629</v>
      </c>
      <c r="B8904" s="1">
        <v>45107</v>
      </c>
      <c r="C8904" t="s">
        <v>7149</v>
      </c>
      <c r="D8904" t="s">
        <v>13</v>
      </c>
      <c r="E8904" t="s">
        <v>20</v>
      </c>
      <c r="F8904" t="s">
        <v>43</v>
      </c>
      <c r="G8904">
        <v>2</v>
      </c>
      <c r="H8904">
        <v>32702.240000000002</v>
      </c>
      <c r="I8904">
        <v>7955.34</v>
      </c>
      <c r="J8904" t="s">
        <v>16</v>
      </c>
      <c r="K8904" t="s">
        <v>29</v>
      </c>
      <c r="L8904">
        <f t="shared" si="417"/>
        <v>2023</v>
      </c>
      <c r="M8904" t="str">
        <f t="shared" si="418"/>
        <v>Jun</v>
      </c>
      <c r="N8904" s="2">
        <f t="shared" si="419"/>
        <v>0.24326590472089984</v>
      </c>
    </row>
    <row r="8905" spans="1:14" x14ac:dyDescent="0.45">
      <c r="A8905" t="s">
        <v>14630</v>
      </c>
      <c r="B8905" s="1">
        <v>44931</v>
      </c>
      <c r="C8905" t="s">
        <v>14631</v>
      </c>
      <c r="D8905" t="s">
        <v>13</v>
      </c>
      <c r="E8905" t="s">
        <v>20</v>
      </c>
      <c r="F8905" t="s">
        <v>21</v>
      </c>
      <c r="G8905">
        <v>2</v>
      </c>
      <c r="H8905">
        <v>33521.11</v>
      </c>
      <c r="I8905">
        <v>6353.03</v>
      </c>
      <c r="J8905" t="s">
        <v>16</v>
      </c>
      <c r="K8905" t="s">
        <v>23</v>
      </c>
      <c r="L8905">
        <f t="shared" si="417"/>
        <v>2023</v>
      </c>
      <c r="M8905" t="str">
        <f t="shared" si="418"/>
        <v>Jan</v>
      </c>
      <c r="N8905" s="2">
        <f t="shared" si="419"/>
        <v>0.18952325862717553</v>
      </c>
    </row>
    <row r="8906" spans="1:14" x14ac:dyDescent="0.45">
      <c r="A8906" t="s">
        <v>14632</v>
      </c>
      <c r="B8906" s="1">
        <v>44596</v>
      </c>
      <c r="C8906" t="s">
        <v>4491</v>
      </c>
      <c r="D8906" t="s">
        <v>56</v>
      </c>
      <c r="E8906" t="s">
        <v>14</v>
      </c>
      <c r="F8906" t="s">
        <v>57</v>
      </c>
      <c r="G8906">
        <v>2</v>
      </c>
      <c r="H8906">
        <v>37663.300000000003</v>
      </c>
      <c r="I8906">
        <v>1900.42</v>
      </c>
      <c r="J8906" t="s">
        <v>71</v>
      </c>
      <c r="K8906" t="s">
        <v>33</v>
      </c>
      <c r="L8906">
        <f t="shared" si="417"/>
        <v>2022</v>
      </c>
      <c r="M8906" t="str">
        <f t="shared" si="418"/>
        <v>Feb</v>
      </c>
      <c r="N8906" s="2">
        <f t="shared" si="419"/>
        <v>5.0458138293776697E-2</v>
      </c>
    </row>
    <row r="8907" spans="1:14" x14ac:dyDescent="0.45">
      <c r="A8907" t="s">
        <v>14633</v>
      </c>
      <c r="B8907" s="1">
        <v>45457</v>
      </c>
      <c r="C8907" t="s">
        <v>14634</v>
      </c>
      <c r="D8907" t="s">
        <v>56</v>
      </c>
      <c r="E8907" t="s">
        <v>36</v>
      </c>
      <c r="F8907" t="s">
        <v>53</v>
      </c>
      <c r="G8907">
        <v>2</v>
      </c>
      <c r="H8907">
        <v>8850.83</v>
      </c>
      <c r="I8907">
        <v>1405.43</v>
      </c>
      <c r="J8907" t="s">
        <v>47</v>
      </c>
      <c r="K8907" t="s">
        <v>17</v>
      </c>
      <c r="L8907">
        <f t="shared" si="417"/>
        <v>2024</v>
      </c>
      <c r="M8907" t="str">
        <f t="shared" si="418"/>
        <v>Jun</v>
      </c>
      <c r="N8907" s="2">
        <f t="shared" si="419"/>
        <v>0.1587907574769824</v>
      </c>
    </row>
    <row r="8908" spans="1:14" x14ac:dyDescent="0.45">
      <c r="A8908" t="s">
        <v>14635</v>
      </c>
      <c r="B8908" s="1">
        <v>44887</v>
      </c>
      <c r="C8908" t="s">
        <v>14636</v>
      </c>
      <c r="D8908" t="s">
        <v>56</v>
      </c>
      <c r="E8908" t="s">
        <v>14</v>
      </c>
      <c r="F8908" t="s">
        <v>32</v>
      </c>
      <c r="G8908">
        <v>1</v>
      </c>
      <c r="H8908">
        <v>8349.52</v>
      </c>
      <c r="I8908">
        <v>1543.49</v>
      </c>
      <c r="J8908" t="s">
        <v>71</v>
      </c>
      <c r="K8908" t="s">
        <v>33</v>
      </c>
      <c r="L8908">
        <f t="shared" si="417"/>
        <v>2022</v>
      </c>
      <c r="M8908" t="str">
        <f t="shared" si="418"/>
        <v>Nov</v>
      </c>
      <c r="N8908" s="2">
        <f t="shared" si="419"/>
        <v>0.18485972846343263</v>
      </c>
    </row>
    <row r="8909" spans="1:14" x14ac:dyDescent="0.45">
      <c r="A8909" t="s">
        <v>14637</v>
      </c>
      <c r="B8909" s="1">
        <v>44811</v>
      </c>
      <c r="C8909" t="s">
        <v>14638</v>
      </c>
      <c r="D8909" t="s">
        <v>26</v>
      </c>
      <c r="E8909" t="s">
        <v>14</v>
      </c>
      <c r="F8909" t="s">
        <v>32</v>
      </c>
      <c r="G8909">
        <v>1</v>
      </c>
      <c r="H8909">
        <v>28798.25</v>
      </c>
      <c r="I8909">
        <v>2427.36</v>
      </c>
      <c r="J8909" t="s">
        <v>71</v>
      </c>
      <c r="K8909" t="s">
        <v>23</v>
      </c>
      <c r="L8909">
        <f t="shared" si="417"/>
        <v>2022</v>
      </c>
      <c r="M8909" t="str">
        <f t="shared" si="418"/>
        <v>Sep</v>
      </c>
      <c r="N8909" s="2">
        <f t="shared" si="419"/>
        <v>8.4288455027649256E-2</v>
      </c>
    </row>
    <row r="8910" spans="1:14" x14ac:dyDescent="0.45">
      <c r="A8910" t="s">
        <v>14639</v>
      </c>
      <c r="B8910" s="1">
        <v>45038</v>
      </c>
      <c r="C8910" t="s">
        <v>14640</v>
      </c>
      <c r="D8910" t="s">
        <v>56</v>
      </c>
      <c r="E8910" t="s">
        <v>14</v>
      </c>
      <c r="F8910" t="s">
        <v>32</v>
      </c>
      <c r="G8910">
        <v>4</v>
      </c>
      <c r="H8910">
        <v>16425.87</v>
      </c>
      <c r="I8910">
        <v>2069.12</v>
      </c>
      <c r="J8910" t="s">
        <v>28</v>
      </c>
      <c r="K8910" t="s">
        <v>17</v>
      </c>
      <c r="L8910">
        <f t="shared" si="417"/>
        <v>2023</v>
      </c>
      <c r="M8910" t="str">
        <f t="shared" si="418"/>
        <v>Apr</v>
      </c>
      <c r="N8910" s="2">
        <f t="shared" si="419"/>
        <v>0.12596714816323276</v>
      </c>
    </row>
    <row r="8911" spans="1:14" x14ac:dyDescent="0.45">
      <c r="A8911" t="s">
        <v>14641</v>
      </c>
      <c r="B8911" s="1">
        <v>45272</v>
      </c>
      <c r="C8911" t="s">
        <v>14642</v>
      </c>
      <c r="D8911" t="s">
        <v>56</v>
      </c>
      <c r="E8911" t="s">
        <v>36</v>
      </c>
      <c r="F8911" t="s">
        <v>64</v>
      </c>
      <c r="G8911">
        <v>4</v>
      </c>
      <c r="H8911">
        <v>25859.95</v>
      </c>
      <c r="I8911">
        <v>5709.95</v>
      </c>
      <c r="J8911" t="s">
        <v>71</v>
      </c>
      <c r="K8911" t="s">
        <v>23</v>
      </c>
      <c r="L8911">
        <f t="shared" si="417"/>
        <v>2023</v>
      </c>
      <c r="M8911" t="str">
        <f t="shared" si="418"/>
        <v>Dec</v>
      </c>
      <c r="N8911" s="2">
        <f t="shared" si="419"/>
        <v>0.2208028244447495</v>
      </c>
    </row>
    <row r="8912" spans="1:14" x14ac:dyDescent="0.45">
      <c r="A8912" t="s">
        <v>14643</v>
      </c>
      <c r="B8912" s="1">
        <v>44952</v>
      </c>
      <c r="C8912" t="s">
        <v>9131</v>
      </c>
      <c r="D8912" t="s">
        <v>56</v>
      </c>
      <c r="E8912" t="s">
        <v>20</v>
      </c>
      <c r="F8912" t="s">
        <v>27</v>
      </c>
      <c r="G8912">
        <v>4</v>
      </c>
      <c r="H8912">
        <v>21554.49</v>
      </c>
      <c r="I8912">
        <v>2116.8200000000002</v>
      </c>
      <c r="J8912" t="s">
        <v>28</v>
      </c>
      <c r="K8912" t="s">
        <v>33</v>
      </c>
      <c r="L8912">
        <f t="shared" si="417"/>
        <v>2023</v>
      </c>
      <c r="M8912" t="str">
        <f t="shared" si="418"/>
        <v>Jan</v>
      </c>
      <c r="N8912" s="2">
        <f t="shared" si="419"/>
        <v>9.8207844398081334E-2</v>
      </c>
    </row>
    <row r="8913" spans="1:14" x14ac:dyDescent="0.45">
      <c r="A8913" t="s">
        <v>14644</v>
      </c>
      <c r="B8913" s="1">
        <v>45544</v>
      </c>
      <c r="C8913" t="s">
        <v>14645</v>
      </c>
      <c r="D8913" t="s">
        <v>26</v>
      </c>
      <c r="E8913" t="s">
        <v>36</v>
      </c>
      <c r="F8913" t="s">
        <v>64</v>
      </c>
      <c r="G8913">
        <v>4</v>
      </c>
      <c r="H8913">
        <v>36051.69</v>
      </c>
      <c r="I8913">
        <v>5194.49</v>
      </c>
      <c r="J8913" t="s">
        <v>71</v>
      </c>
      <c r="K8913" t="s">
        <v>17</v>
      </c>
      <c r="L8913">
        <f t="shared" si="417"/>
        <v>2024</v>
      </c>
      <c r="M8913" t="str">
        <f t="shared" si="418"/>
        <v>Sep</v>
      </c>
      <c r="N8913" s="2">
        <f t="shared" si="419"/>
        <v>0.14408450755013147</v>
      </c>
    </row>
    <row r="8914" spans="1:14" x14ac:dyDescent="0.45">
      <c r="A8914" t="s">
        <v>14646</v>
      </c>
      <c r="B8914" s="1">
        <v>45021</v>
      </c>
      <c r="C8914" t="s">
        <v>5302</v>
      </c>
      <c r="D8914" t="s">
        <v>56</v>
      </c>
      <c r="E8914" t="s">
        <v>36</v>
      </c>
      <c r="F8914" t="s">
        <v>64</v>
      </c>
      <c r="G8914">
        <v>5</v>
      </c>
      <c r="H8914">
        <v>28723.74</v>
      </c>
      <c r="I8914">
        <v>5692.5</v>
      </c>
      <c r="J8914" t="s">
        <v>47</v>
      </c>
      <c r="K8914" t="s">
        <v>23</v>
      </c>
      <c r="L8914">
        <f t="shared" si="417"/>
        <v>2023</v>
      </c>
      <c r="M8914" t="str">
        <f t="shared" si="418"/>
        <v>Apr</v>
      </c>
      <c r="N8914" s="2">
        <f t="shared" si="419"/>
        <v>0.19818101681744785</v>
      </c>
    </row>
    <row r="8915" spans="1:14" x14ac:dyDescent="0.45">
      <c r="A8915" t="s">
        <v>14647</v>
      </c>
      <c r="B8915" s="1">
        <v>45277</v>
      </c>
      <c r="C8915" t="s">
        <v>913</v>
      </c>
      <c r="D8915" t="s">
        <v>26</v>
      </c>
      <c r="E8915" t="s">
        <v>36</v>
      </c>
      <c r="F8915" t="s">
        <v>37</v>
      </c>
      <c r="G8915">
        <v>2</v>
      </c>
      <c r="H8915">
        <v>25439.83</v>
      </c>
      <c r="I8915">
        <v>4258.34</v>
      </c>
      <c r="J8915" t="s">
        <v>47</v>
      </c>
      <c r="K8915" t="s">
        <v>29</v>
      </c>
      <c r="L8915">
        <f t="shared" si="417"/>
        <v>2023</v>
      </c>
      <c r="M8915" t="str">
        <f t="shared" si="418"/>
        <v>Dec</v>
      </c>
      <c r="N8915" s="2">
        <f t="shared" si="419"/>
        <v>0.16738869717289778</v>
      </c>
    </row>
    <row r="8916" spans="1:14" x14ac:dyDescent="0.45">
      <c r="A8916" t="s">
        <v>14648</v>
      </c>
      <c r="B8916" s="1">
        <v>45528</v>
      </c>
      <c r="C8916" t="s">
        <v>4409</v>
      </c>
      <c r="D8916" t="s">
        <v>26</v>
      </c>
      <c r="E8916" t="s">
        <v>14</v>
      </c>
      <c r="F8916" t="s">
        <v>57</v>
      </c>
      <c r="G8916">
        <v>5</v>
      </c>
      <c r="H8916">
        <v>4093.94</v>
      </c>
      <c r="I8916">
        <v>228.2</v>
      </c>
      <c r="J8916" t="s">
        <v>71</v>
      </c>
      <c r="K8916" t="s">
        <v>23</v>
      </c>
      <c r="L8916">
        <f t="shared" si="417"/>
        <v>2024</v>
      </c>
      <c r="M8916" t="str">
        <f t="shared" si="418"/>
        <v>Aug</v>
      </c>
      <c r="N8916" s="2">
        <f t="shared" si="419"/>
        <v>5.5740924390684767E-2</v>
      </c>
    </row>
    <row r="8917" spans="1:14" x14ac:dyDescent="0.45">
      <c r="A8917" t="s">
        <v>14649</v>
      </c>
      <c r="B8917" s="1">
        <v>45211</v>
      </c>
      <c r="C8917" t="s">
        <v>2159</v>
      </c>
      <c r="D8917" t="s">
        <v>13</v>
      </c>
      <c r="E8917" t="s">
        <v>20</v>
      </c>
      <c r="F8917" t="s">
        <v>43</v>
      </c>
      <c r="G8917">
        <v>4</v>
      </c>
      <c r="H8917">
        <v>6341.79</v>
      </c>
      <c r="I8917">
        <v>1360.02</v>
      </c>
      <c r="J8917" t="s">
        <v>28</v>
      </c>
      <c r="K8917" t="s">
        <v>23</v>
      </c>
      <c r="L8917">
        <f t="shared" si="417"/>
        <v>2023</v>
      </c>
      <c r="M8917" t="str">
        <f t="shared" si="418"/>
        <v>Oct</v>
      </c>
      <c r="N8917" s="2">
        <f t="shared" si="419"/>
        <v>0.21445364794482316</v>
      </c>
    </row>
    <row r="8918" spans="1:14" x14ac:dyDescent="0.45">
      <c r="A8918" t="s">
        <v>14650</v>
      </c>
      <c r="B8918" s="1">
        <v>45484</v>
      </c>
      <c r="C8918" t="s">
        <v>3784</v>
      </c>
      <c r="D8918" t="s">
        <v>26</v>
      </c>
      <c r="E8918" t="s">
        <v>36</v>
      </c>
      <c r="F8918" t="s">
        <v>37</v>
      </c>
      <c r="G8918">
        <v>5</v>
      </c>
      <c r="H8918">
        <v>10570.66</v>
      </c>
      <c r="I8918">
        <v>2286.21</v>
      </c>
      <c r="J8918" t="s">
        <v>47</v>
      </c>
      <c r="K8918" t="s">
        <v>17</v>
      </c>
      <c r="L8918">
        <f t="shared" si="417"/>
        <v>2024</v>
      </c>
      <c r="M8918" t="str">
        <f t="shared" si="418"/>
        <v>Jul</v>
      </c>
      <c r="N8918" s="2">
        <f t="shared" si="419"/>
        <v>0.2162788321637438</v>
      </c>
    </row>
    <row r="8919" spans="1:14" x14ac:dyDescent="0.45">
      <c r="A8919" t="s">
        <v>14651</v>
      </c>
      <c r="B8919" s="1">
        <v>45323</v>
      </c>
      <c r="C8919" t="s">
        <v>558</v>
      </c>
      <c r="D8919" t="s">
        <v>13</v>
      </c>
      <c r="E8919" t="s">
        <v>14</v>
      </c>
      <c r="F8919" t="s">
        <v>32</v>
      </c>
      <c r="G8919">
        <v>2</v>
      </c>
      <c r="H8919">
        <v>14725.01</v>
      </c>
      <c r="I8919">
        <v>2012.85</v>
      </c>
      <c r="J8919" t="s">
        <v>71</v>
      </c>
      <c r="K8919" t="s">
        <v>17</v>
      </c>
      <c r="L8919">
        <f t="shared" si="417"/>
        <v>2024</v>
      </c>
      <c r="M8919" t="str">
        <f t="shared" si="418"/>
        <v>Feb</v>
      </c>
      <c r="N8919" s="2">
        <f t="shared" si="419"/>
        <v>0.13669600224380152</v>
      </c>
    </row>
    <row r="8920" spans="1:14" x14ac:dyDescent="0.45">
      <c r="A8920" t="s">
        <v>14652</v>
      </c>
      <c r="B8920" s="1">
        <v>45636</v>
      </c>
      <c r="C8920" t="s">
        <v>10422</v>
      </c>
      <c r="D8920" t="s">
        <v>13</v>
      </c>
      <c r="E8920" t="s">
        <v>14</v>
      </c>
      <c r="F8920" t="s">
        <v>32</v>
      </c>
      <c r="G8920">
        <v>3</v>
      </c>
      <c r="H8920">
        <v>39147.46</v>
      </c>
      <c r="I8920">
        <v>6249.65</v>
      </c>
      <c r="J8920" t="s">
        <v>47</v>
      </c>
      <c r="K8920" t="s">
        <v>29</v>
      </c>
      <c r="L8920">
        <f t="shared" si="417"/>
        <v>2024</v>
      </c>
      <c r="M8920" t="str">
        <f t="shared" si="418"/>
        <v>Dec</v>
      </c>
      <c r="N8920" s="2">
        <f t="shared" si="419"/>
        <v>0.15964381852615725</v>
      </c>
    </row>
    <row r="8921" spans="1:14" x14ac:dyDescent="0.45">
      <c r="A8921" t="s">
        <v>14653</v>
      </c>
      <c r="B8921" s="1">
        <v>45609</v>
      </c>
      <c r="C8921" t="s">
        <v>14654</v>
      </c>
      <c r="D8921" t="s">
        <v>26</v>
      </c>
      <c r="E8921" t="s">
        <v>36</v>
      </c>
      <c r="F8921" t="s">
        <v>53</v>
      </c>
      <c r="G8921">
        <v>1</v>
      </c>
      <c r="H8921">
        <v>36150.43</v>
      </c>
      <c r="I8921">
        <v>4767.79</v>
      </c>
      <c r="J8921" t="s">
        <v>16</v>
      </c>
      <c r="K8921" t="s">
        <v>33</v>
      </c>
      <c r="L8921">
        <f t="shared" si="417"/>
        <v>2024</v>
      </c>
      <c r="M8921" t="str">
        <f t="shared" si="418"/>
        <v>Nov</v>
      </c>
      <c r="N8921" s="2">
        <f t="shared" si="419"/>
        <v>0.13188750451931</v>
      </c>
    </row>
    <row r="8922" spans="1:14" x14ac:dyDescent="0.45">
      <c r="A8922" t="s">
        <v>14655</v>
      </c>
      <c r="B8922" s="1">
        <v>44690</v>
      </c>
      <c r="C8922" t="s">
        <v>6041</v>
      </c>
      <c r="D8922" t="s">
        <v>26</v>
      </c>
      <c r="E8922" t="s">
        <v>20</v>
      </c>
      <c r="F8922" t="s">
        <v>21</v>
      </c>
      <c r="G8922">
        <v>2</v>
      </c>
      <c r="H8922">
        <v>45761.120000000003</v>
      </c>
      <c r="I8922">
        <v>8828.99</v>
      </c>
      <c r="J8922" t="s">
        <v>22</v>
      </c>
      <c r="K8922" t="s">
        <v>33</v>
      </c>
      <c r="L8922">
        <f t="shared" si="417"/>
        <v>2022</v>
      </c>
      <c r="M8922" t="str">
        <f t="shared" si="418"/>
        <v>May</v>
      </c>
      <c r="N8922" s="2">
        <f t="shared" si="419"/>
        <v>0.19293649281311295</v>
      </c>
    </row>
    <row r="8923" spans="1:14" x14ac:dyDescent="0.45">
      <c r="A8923" t="s">
        <v>14656</v>
      </c>
      <c r="B8923" s="1">
        <v>45507</v>
      </c>
      <c r="C8923" t="s">
        <v>11564</v>
      </c>
      <c r="D8923" t="s">
        <v>13</v>
      </c>
      <c r="E8923" t="s">
        <v>14</v>
      </c>
      <c r="F8923" t="s">
        <v>40</v>
      </c>
      <c r="G8923">
        <v>1</v>
      </c>
      <c r="H8923">
        <v>30167.72</v>
      </c>
      <c r="I8923">
        <v>3576.65</v>
      </c>
      <c r="J8923" t="s">
        <v>16</v>
      </c>
      <c r="K8923" t="s">
        <v>17</v>
      </c>
      <c r="L8923">
        <f t="shared" si="417"/>
        <v>2024</v>
      </c>
      <c r="M8923" t="str">
        <f t="shared" si="418"/>
        <v>Aug</v>
      </c>
      <c r="N8923" s="2">
        <f t="shared" si="419"/>
        <v>0.1185588436912037</v>
      </c>
    </row>
    <row r="8924" spans="1:14" x14ac:dyDescent="0.45">
      <c r="A8924" t="s">
        <v>14657</v>
      </c>
      <c r="B8924" s="1">
        <v>45517</v>
      </c>
      <c r="C8924" t="s">
        <v>14658</v>
      </c>
      <c r="D8924" t="s">
        <v>56</v>
      </c>
      <c r="E8924" t="s">
        <v>20</v>
      </c>
      <c r="F8924" t="s">
        <v>27</v>
      </c>
      <c r="G8924">
        <v>1</v>
      </c>
      <c r="H8924">
        <v>6146.86</v>
      </c>
      <c r="I8924">
        <v>974.61</v>
      </c>
      <c r="J8924" t="s">
        <v>71</v>
      </c>
      <c r="K8924" t="s">
        <v>29</v>
      </c>
      <c r="L8924">
        <f t="shared" si="417"/>
        <v>2024</v>
      </c>
      <c r="M8924" t="str">
        <f t="shared" si="418"/>
        <v>Aug</v>
      </c>
      <c r="N8924" s="2">
        <f t="shared" si="419"/>
        <v>0.15855412356878146</v>
      </c>
    </row>
    <row r="8925" spans="1:14" x14ac:dyDescent="0.45">
      <c r="A8925" t="s">
        <v>14659</v>
      </c>
      <c r="B8925" s="1">
        <v>45082</v>
      </c>
      <c r="C8925" t="s">
        <v>578</v>
      </c>
      <c r="D8925" t="s">
        <v>26</v>
      </c>
      <c r="E8925" t="s">
        <v>14</v>
      </c>
      <c r="F8925" t="s">
        <v>40</v>
      </c>
      <c r="G8925">
        <v>4</v>
      </c>
      <c r="H8925">
        <v>41590.410000000003</v>
      </c>
      <c r="I8925">
        <v>6342.49</v>
      </c>
      <c r="J8925" t="s">
        <v>22</v>
      </c>
      <c r="K8925" t="s">
        <v>29</v>
      </c>
      <c r="L8925">
        <f t="shared" si="417"/>
        <v>2023</v>
      </c>
      <c r="M8925" t="str">
        <f t="shared" si="418"/>
        <v>Jun</v>
      </c>
      <c r="N8925" s="2">
        <f t="shared" si="419"/>
        <v>0.15249885730869206</v>
      </c>
    </row>
    <row r="8926" spans="1:14" x14ac:dyDescent="0.45">
      <c r="A8926" t="s">
        <v>14660</v>
      </c>
      <c r="B8926" s="1">
        <v>45619</v>
      </c>
      <c r="C8926" t="s">
        <v>14495</v>
      </c>
      <c r="D8926" t="s">
        <v>26</v>
      </c>
      <c r="E8926" t="s">
        <v>36</v>
      </c>
      <c r="F8926" t="s">
        <v>37</v>
      </c>
      <c r="G8926">
        <v>4</v>
      </c>
      <c r="H8926">
        <v>22128</v>
      </c>
      <c r="I8926">
        <v>1174.19</v>
      </c>
      <c r="J8926" t="s">
        <v>71</v>
      </c>
      <c r="K8926" t="s">
        <v>17</v>
      </c>
      <c r="L8926">
        <f t="shared" si="417"/>
        <v>2024</v>
      </c>
      <c r="M8926" t="str">
        <f t="shared" si="418"/>
        <v>Nov</v>
      </c>
      <c r="N8926" s="2">
        <f t="shared" si="419"/>
        <v>5.3063539407086045E-2</v>
      </c>
    </row>
    <row r="8927" spans="1:14" x14ac:dyDescent="0.45">
      <c r="A8927" t="s">
        <v>14661</v>
      </c>
      <c r="B8927" s="1">
        <v>44874</v>
      </c>
      <c r="C8927" t="s">
        <v>2934</v>
      </c>
      <c r="D8927" t="s">
        <v>56</v>
      </c>
      <c r="E8927" t="s">
        <v>36</v>
      </c>
      <c r="F8927" t="s">
        <v>53</v>
      </c>
      <c r="G8927">
        <v>4</v>
      </c>
      <c r="H8927">
        <v>28229.68</v>
      </c>
      <c r="I8927">
        <v>5742.75</v>
      </c>
      <c r="J8927" t="s">
        <v>47</v>
      </c>
      <c r="K8927" t="s">
        <v>23</v>
      </c>
      <c r="L8927">
        <f t="shared" si="417"/>
        <v>2022</v>
      </c>
      <c r="M8927" t="str">
        <f t="shared" si="418"/>
        <v>Nov</v>
      </c>
      <c r="N8927" s="2">
        <f t="shared" si="419"/>
        <v>0.20342951106778398</v>
      </c>
    </row>
    <row r="8928" spans="1:14" x14ac:dyDescent="0.45">
      <c r="A8928" t="s">
        <v>14662</v>
      </c>
      <c r="B8928" s="1">
        <v>44648</v>
      </c>
      <c r="C8928" t="s">
        <v>14663</v>
      </c>
      <c r="D8928" t="s">
        <v>13</v>
      </c>
      <c r="E8928" t="s">
        <v>14</v>
      </c>
      <c r="F8928" t="s">
        <v>57</v>
      </c>
      <c r="G8928">
        <v>1</v>
      </c>
      <c r="H8928">
        <v>1643.98</v>
      </c>
      <c r="I8928">
        <v>257.08</v>
      </c>
      <c r="J8928" t="s">
        <v>47</v>
      </c>
      <c r="K8928" t="s">
        <v>33</v>
      </c>
      <c r="L8928">
        <f t="shared" si="417"/>
        <v>2022</v>
      </c>
      <c r="M8928" t="str">
        <f t="shared" si="418"/>
        <v>Mar</v>
      </c>
      <c r="N8928" s="2">
        <f t="shared" si="419"/>
        <v>0.15637659825545322</v>
      </c>
    </row>
    <row r="8929" spans="1:14" x14ac:dyDescent="0.45">
      <c r="A8929" t="s">
        <v>14664</v>
      </c>
      <c r="B8929" s="1">
        <v>45459</v>
      </c>
      <c r="C8929" t="s">
        <v>9475</v>
      </c>
      <c r="D8929" t="s">
        <v>13</v>
      </c>
      <c r="E8929" t="s">
        <v>14</v>
      </c>
      <c r="F8929" t="s">
        <v>32</v>
      </c>
      <c r="G8929">
        <v>4</v>
      </c>
      <c r="H8929">
        <v>47897.06</v>
      </c>
      <c r="I8929">
        <v>5111.1099999999997</v>
      </c>
      <c r="J8929" t="s">
        <v>47</v>
      </c>
      <c r="K8929" t="s">
        <v>33</v>
      </c>
      <c r="L8929">
        <f t="shared" si="417"/>
        <v>2024</v>
      </c>
      <c r="M8929" t="str">
        <f t="shared" si="418"/>
        <v>Jun</v>
      </c>
      <c r="N8929" s="2">
        <f t="shared" si="419"/>
        <v>0.10671030748025036</v>
      </c>
    </row>
    <row r="8930" spans="1:14" x14ac:dyDescent="0.45">
      <c r="A8930" t="s">
        <v>14665</v>
      </c>
      <c r="B8930" s="1">
        <v>44739</v>
      </c>
      <c r="C8930" t="s">
        <v>3210</v>
      </c>
      <c r="D8930" t="s">
        <v>56</v>
      </c>
      <c r="E8930" t="s">
        <v>14</v>
      </c>
      <c r="F8930" t="s">
        <v>15</v>
      </c>
      <c r="G8930">
        <v>5</v>
      </c>
      <c r="H8930">
        <v>14797.99</v>
      </c>
      <c r="I8930">
        <v>2450.1799999999998</v>
      </c>
      <c r="J8930" t="s">
        <v>22</v>
      </c>
      <c r="K8930" t="s">
        <v>29</v>
      </c>
      <c r="L8930">
        <f t="shared" si="417"/>
        <v>2022</v>
      </c>
      <c r="M8930" t="str">
        <f t="shared" si="418"/>
        <v>Jun</v>
      </c>
      <c r="N8930" s="2">
        <f t="shared" si="419"/>
        <v>0.16557518960345288</v>
      </c>
    </row>
    <row r="8931" spans="1:14" x14ac:dyDescent="0.45">
      <c r="A8931" t="s">
        <v>14666</v>
      </c>
      <c r="B8931" s="1">
        <v>45330</v>
      </c>
      <c r="C8931" t="s">
        <v>10846</v>
      </c>
      <c r="D8931" t="s">
        <v>26</v>
      </c>
      <c r="E8931" t="s">
        <v>20</v>
      </c>
      <c r="F8931" t="s">
        <v>43</v>
      </c>
      <c r="G8931">
        <v>3</v>
      </c>
      <c r="H8931">
        <v>10847.99</v>
      </c>
      <c r="I8931">
        <v>2079.83</v>
      </c>
      <c r="J8931" t="s">
        <v>16</v>
      </c>
      <c r="K8931" t="s">
        <v>23</v>
      </c>
      <c r="L8931">
        <f t="shared" si="417"/>
        <v>2024</v>
      </c>
      <c r="M8931" t="str">
        <f t="shared" si="418"/>
        <v>Feb</v>
      </c>
      <c r="N8931" s="2">
        <f t="shared" si="419"/>
        <v>0.19172491862547808</v>
      </c>
    </row>
    <row r="8932" spans="1:14" x14ac:dyDescent="0.45">
      <c r="A8932" t="s">
        <v>14667</v>
      </c>
      <c r="B8932" s="1">
        <v>45215</v>
      </c>
      <c r="C8932" t="s">
        <v>12736</v>
      </c>
      <c r="D8932" t="s">
        <v>56</v>
      </c>
      <c r="E8932" t="s">
        <v>20</v>
      </c>
      <c r="F8932" t="s">
        <v>27</v>
      </c>
      <c r="G8932">
        <v>4</v>
      </c>
      <c r="H8932">
        <v>17908.38</v>
      </c>
      <c r="I8932">
        <v>3626.59</v>
      </c>
      <c r="J8932" t="s">
        <v>28</v>
      </c>
      <c r="K8932" t="s">
        <v>23</v>
      </c>
      <c r="L8932">
        <f t="shared" si="417"/>
        <v>2023</v>
      </c>
      <c r="M8932" t="str">
        <f t="shared" si="418"/>
        <v>Oct</v>
      </c>
      <c r="N8932" s="2">
        <f t="shared" si="419"/>
        <v>0.20250798788053415</v>
      </c>
    </row>
    <row r="8933" spans="1:14" x14ac:dyDescent="0.45">
      <c r="A8933" t="s">
        <v>14668</v>
      </c>
      <c r="B8933" s="1">
        <v>44799</v>
      </c>
      <c r="C8933" t="s">
        <v>180</v>
      </c>
      <c r="D8933" t="s">
        <v>13</v>
      </c>
      <c r="E8933" t="s">
        <v>14</v>
      </c>
      <c r="F8933" t="s">
        <v>15</v>
      </c>
      <c r="G8933">
        <v>5</v>
      </c>
      <c r="H8933">
        <v>5720.31</v>
      </c>
      <c r="I8933">
        <v>849.54</v>
      </c>
      <c r="J8933" t="s">
        <v>16</v>
      </c>
      <c r="K8933" t="s">
        <v>23</v>
      </c>
      <c r="L8933">
        <f t="shared" si="417"/>
        <v>2022</v>
      </c>
      <c r="M8933" t="str">
        <f t="shared" si="418"/>
        <v>Aug</v>
      </c>
      <c r="N8933" s="2">
        <f t="shared" si="419"/>
        <v>0.14851293024329099</v>
      </c>
    </row>
    <row r="8934" spans="1:14" x14ac:dyDescent="0.45">
      <c r="A8934" t="s">
        <v>14669</v>
      </c>
      <c r="B8934" s="1">
        <v>44754</v>
      </c>
      <c r="C8934" t="s">
        <v>5220</v>
      </c>
      <c r="D8934" t="s">
        <v>56</v>
      </c>
      <c r="E8934" t="s">
        <v>20</v>
      </c>
      <c r="F8934" t="s">
        <v>43</v>
      </c>
      <c r="G8934">
        <v>5</v>
      </c>
      <c r="H8934">
        <v>42971.34</v>
      </c>
      <c r="I8934">
        <v>6657.27</v>
      </c>
      <c r="J8934" t="s">
        <v>16</v>
      </c>
      <c r="K8934" t="s">
        <v>33</v>
      </c>
      <c r="L8934">
        <f t="shared" si="417"/>
        <v>2022</v>
      </c>
      <c r="M8934" t="str">
        <f t="shared" si="418"/>
        <v>Jul</v>
      </c>
      <c r="N8934" s="2">
        <f t="shared" si="419"/>
        <v>0.15492349086623786</v>
      </c>
    </row>
    <row r="8935" spans="1:14" x14ac:dyDescent="0.45">
      <c r="A8935" t="s">
        <v>14670</v>
      </c>
      <c r="B8935" s="1">
        <v>44900</v>
      </c>
      <c r="C8935" t="s">
        <v>14671</v>
      </c>
      <c r="D8935" t="s">
        <v>26</v>
      </c>
      <c r="E8935" t="s">
        <v>14</v>
      </c>
      <c r="F8935" t="s">
        <v>32</v>
      </c>
      <c r="G8935">
        <v>3</v>
      </c>
      <c r="H8935">
        <v>23605.94</v>
      </c>
      <c r="I8935">
        <v>3840.38</v>
      </c>
      <c r="J8935" t="s">
        <v>47</v>
      </c>
      <c r="K8935" t="s">
        <v>17</v>
      </c>
      <c r="L8935">
        <f t="shared" si="417"/>
        <v>2022</v>
      </c>
      <c r="M8935" t="str">
        <f t="shared" si="418"/>
        <v>Dec</v>
      </c>
      <c r="N8935" s="2">
        <f t="shared" si="419"/>
        <v>0.16268701860633383</v>
      </c>
    </row>
    <row r="8936" spans="1:14" x14ac:dyDescent="0.45">
      <c r="A8936" t="s">
        <v>14672</v>
      </c>
      <c r="B8936" s="1">
        <v>44729</v>
      </c>
      <c r="C8936" t="s">
        <v>14673</v>
      </c>
      <c r="D8936" t="s">
        <v>13</v>
      </c>
      <c r="E8936" t="s">
        <v>20</v>
      </c>
      <c r="F8936" t="s">
        <v>21</v>
      </c>
      <c r="G8936">
        <v>5</v>
      </c>
      <c r="H8936">
        <v>48822.64</v>
      </c>
      <c r="I8936">
        <v>6074.71</v>
      </c>
      <c r="J8936" t="s">
        <v>47</v>
      </c>
      <c r="K8936" t="s">
        <v>33</v>
      </c>
      <c r="L8936">
        <f t="shared" si="417"/>
        <v>2022</v>
      </c>
      <c r="M8936" t="str">
        <f t="shared" si="418"/>
        <v>Jun</v>
      </c>
      <c r="N8936" s="2">
        <f t="shared" si="419"/>
        <v>0.12442403770054221</v>
      </c>
    </row>
    <row r="8937" spans="1:14" x14ac:dyDescent="0.45">
      <c r="A8937" t="s">
        <v>14674</v>
      </c>
      <c r="B8937" s="1">
        <v>45098</v>
      </c>
      <c r="C8937" t="s">
        <v>2258</v>
      </c>
      <c r="D8937" t="s">
        <v>56</v>
      </c>
      <c r="E8937" t="s">
        <v>36</v>
      </c>
      <c r="F8937" t="s">
        <v>64</v>
      </c>
      <c r="G8937">
        <v>1</v>
      </c>
      <c r="H8937">
        <v>25323.61</v>
      </c>
      <c r="I8937">
        <v>2177.5700000000002</v>
      </c>
      <c r="J8937" t="s">
        <v>22</v>
      </c>
      <c r="K8937" t="s">
        <v>17</v>
      </c>
      <c r="L8937">
        <f t="shared" si="417"/>
        <v>2023</v>
      </c>
      <c r="M8937" t="str">
        <f t="shared" si="418"/>
        <v>Jun</v>
      </c>
      <c r="N8937" s="2">
        <f t="shared" si="419"/>
        <v>8.5989714736564027E-2</v>
      </c>
    </row>
    <row r="8938" spans="1:14" x14ac:dyDescent="0.45">
      <c r="A8938" t="s">
        <v>14675</v>
      </c>
      <c r="B8938" s="1">
        <v>44898</v>
      </c>
      <c r="C8938" t="s">
        <v>14676</v>
      </c>
      <c r="D8938" t="s">
        <v>13</v>
      </c>
      <c r="E8938" t="s">
        <v>20</v>
      </c>
      <c r="F8938" t="s">
        <v>21</v>
      </c>
      <c r="G8938">
        <v>5</v>
      </c>
      <c r="H8938">
        <v>15237.62</v>
      </c>
      <c r="I8938">
        <v>2935.14</v>
      </c>
      <c r="J8938" t="s">
        <v>16</v>
      </c>
      <c r="K8938" t="s">
        <v>33</v>
      </c>
      <c r="L8938">
        <f t="shared" si="417"/>
        <v>2022</v>
      </c>
      <c r="M8938" t="str">
        <f t="shared" si="418"/>
        <v>Dec</v>
      </c>
      <c r="N8938" s="2">
        <f t="shared" si="419"/>
        <v>0.19262456997877619</v>
      </c>
    </row>
    <row r="8939" spans="1:14" x14ac:dyDescent="0.45">
      <c r="A8939" t="s">
        <v>14677</v>
      </c>
      <c r="B8939" s="1">
        <v>44606</v>
      </c>
      <c r="C8939" t="s">
        <v>10748</v>
      </c>
      <c r="D8939" t="s">
        <v>26</v>
      </c>
      <c r="E8939" t="s">
        <v>20</v>
      </c>
      <c r="F8939" t="s">
        <v>27</v>
      </c>
      <c r="G8939">
        <v>5</v>
      </c>
      <c r="H8939">
        <v>7556.5</v>
      </c>
      <c r="I8939">
        <v>1827.31</v>
      </c>
      <c r="J8939" t="s">
        <v>28</v>
      </c>
      <c r="K8939" t="s">
        <v>33</v>
      </c>
      <c r="L8939">
        <f t="shared" si="417"/>
        <v>2022</v>
      </c>
      <c r="M8939" t="str">
        <f t="shared" si="418"/>
        <v>Feb</v>
      </c>
      <c r="N8939" s="2">
        <f t="shared" si="419"/>
        <v>0.24181962548799046</v>
      </c>
    </row>
    <row r="8940" spans="1:14" x14ac:dyDescent="0.45">
      <c r="A8940" t="s">
        <v>14678</v>
      </c>
      <c r="B8940" s="1">
        <v>44701</v>
      </c>
      <c r="C8940" t="s">
        <v>14679</v>
      </c>
      <c r="D8940" t="s">
        <v>13</v>
      </c>
      <c r="E8940" t="s">
        <v>20</v>
      </c>
      <c r="F8940" t="s">
        <v>27</v>
      </c>
      <c r="G8940">
        <v>4</v>
      </c>
      <c r="H8940">
        <v>36937.51</v>
      </c>
      <c r="I8940">
        <v>8100.36</v>
      </c>
      <c r="J8940" t="s">
        <v>71</v>
      </c>
      <c r="K8940" t="s">
        <v>29</v>
      </c>
      <c r="L8940">
        <f t="shared" si="417"/>
        <v>2022</v>
      </c>
      <c r="M8940" t="str">
        <f t="shared" si="418"/>
        <v>May</v>
      </c>
      <c r="N8940" s="2">
        <f t="shared" si="419"/>
        <v>0.21929902692412129</v>
      </c>
    </row>
    <row r="8941" spans="1:14" x14ac:dyDescent="0.45">
      <c r="A8941" t="s">
        <v>14680</v>
      </c>
      <c r="B8941" s="1">
        <v>44684</v>
      </c>
      <c r="C8941" t="s">
        <v>11388</v>
      </c>
      <c r="D8941" t="s">
        <v>26</v>
      </c>
      <c r="E8941" t="s">
        <v>14</v>
      </c>
      <c r="F8941" t="s">
        <v>15</v>
      </c>
      <c r="G8941">
        <v>5</v>
      </c>
      <c r="H8941">
        <v>11679.56</v>
      </c>
      <c r="I8941">
        <v>1761.38</v>
      </c>
      <c r="J8941" t="s">
        <v>71</v>
      </c>
      <c r="K8941" t="s">
        <v>23</v>
      </c>
      <c r="L8941">
        <f t="shared" si="417"/>
        <v>2022</v>
      </c>
      <c r="M8941" t="str">
        <f t="shared" si="418"/>
        <v>May</v>
      </c>
      <c r="N8941" s="2">
        <f t="shared" si="419"/>
        <v>0.15080876334382462</v>
      </c>
    </row>
    <row r="8942" spans="1:14" x14ac:dyDescent="0.45">
      <c r="A8942" t="s">
        <v>14681</v>
      </c>
      <c r="B8942" s="1">
        <v>44660</v>
      </c>
      <c r="C8942" t="s">
        <v>14682</v>
      </c>
      <c r="D8942" t="s">
        <v>56</v>
      </c>
      <c r="E8942" t="s">
        <v>36</v>
      </c>
      <c r="F8942" t="s">
        <v>46</v>
      </c>
      <c r="G8942">
        <v>5</v>
      </c>
      <c r="H8942">
        <v>35913.58</v>
      </c>
      <c r="I8942">
        <v>4540.71</v>
      </c>
      <c r="J8942" t="s">
        <v>71</v>
      </c>
      <c r="K8942" t="s">
        <v>33</v>
      </c>
      <c r="L8942">
        <f t="shared" si="417"/>
        <v>2022</v>
      </c>
      <c r="M8942" t="str">
        <f t="shared" si="418"/>
        <v>Apr</v>
      </c>
      <c r="N8942" s="2">
        <f t="shared" si="419"/>
        <v>0.12643434600504877</v>
      </c>
    </row>
    <row r="8943" spans="1:14" x14ac:dyDescent="0.45">
      <c r="A8943" t="s">
        <v>14683</v>
      </c>
      <c r="B8943" s="1">
        <v>44587</v>
      </c>
      <c r="C8943" t="s">
        <v>2721</v>
      </c>
      <c r="D8943" t="s">
        <v>56</v>
      </c>
      <c r="E8943" t="s">
        <v>20</v>
      </c>
      <c r="F8943" t="s">
        <v>43</v>
      </c>
      <c r="G8943">
        <v>1</v>
      </c>
      <c r="H8943">
        <v>1131.75</v>
      </c>
      <c r="I8943">
        <v>216.36</v>
      </c>
      <c r="J8943" t="s">
        <v>16</v>
      </c>
      <c r="K8943" t="s">
        <v>17</v>
      </c>
      <c r="L8943">
        <f t="shared" si="417"/>
        <v>2022</v>
      </c>
      <c r="M8943" t="str">
        <f t="shared" si="418"/>
        <v>Jan</v>
      </c>
      <c r="N8943" s="2">
        <f t="shared" si="419"/>
        <v>0.19117296222664018</v>
      </c>
    </row>
    <row r="8944" spans="1:14" x14ac:dyDescent="0.45">
      <c r="A8944" t="s">
        <v>14684</v>
      </c>
      <c r="B8944" s="1">
        <v>44577</v>
      </c>
      <c r="C8944" t="s">
        <v>14685</v>
      </c>
      <c r="D8944" t="s">
        <v>13</v>
      </c>
      <c r="E8944" t="s">
        <v>14</v>
      </c>
      <c r="F8944" t="s">
        <v>15</v>
      </c>
      <c r="G8944">
        <v>1</v>
      </c>
      <c r="H8944">
        <v>16155.11</v>
      </c>
      <c r="I8944">
        <v>2952.55</v>
      </c>
      <c r="J8944" t="s">
        <v>16</v>
      </c>
      <c r="K8944" t="s">
        <v>29</v>
      </c>
      <c r="L8944">
        <f t="shared" si="417"/>
        <v>2022</v>
      </c>
      <c r="M8944" t="str">
        <f t="shared" si="418"/>
        <v>Jan</v>
      </c>
      <c r="N8944" s="2">
        <f t="shared" si="419"/>
        <v>0.18276260576374906</v>
      </c>
    </row>
    <row r="8945" spans="1:14" x14ac:dyDescent="0.45">
      <c r="A8945" t="s">
        <v>14686</v>
      </c>
      <c r="B8945" s="1">
        <v>44974</v>
      </c>
      <c r="C8945" t="s">
        <v>3187</v>
      </c>
      <c r="D8945" t="s">
        <v>26</v>
      </c>
      <c r="E8945" t="s">
        <v>36</v>
      </c>
      <c r="F8945" t="s">
        <v>37</v>
      </c>
      <c r="G8945">
        <v>3</v>
      </c>
      <c r="H8945">
        <v>37815.4</v>
      </c>
      <c r="I8945">
        <v>7651.07</v>
      </c>
      <c r="J8945" t="s">
        <v>28</v>
      </c>
      <c r="K8945" t="s">
        <v>17</v>
      </c>
      <c r="L8945">
        <f t="shared" si="417"/>
        <v>2023</v>
      </c>
      <c r="M8945" t="str">
        <f t="shared" si="418"/>
        <v>Feb</v>
      </c>
      <c r="N8945" s="2">
        <f t="shared" si="419"/>
        <v>0.20232682981007735</v>
      </c>
    </row>
    <row r="8946" spans="1:14" x14ac:dyDescent="0.45">
      <c r="A8946" t="s">
        <v>14687</v>
      </c>
      <c r="B8946" s="1">
        <v>45624</v>
      </c>
      <c r="C8946" t="s">
        <v>14688</v>
      </c>
      <c r="D8946" t="s">
        <v>26</v>
      </c>
      <c r="E8946" t="s">
        <v>36</v>
      </c>
      <c r="F8946" t="s">
        <v>46</v>
      </c>
      <c r="G8946">
        <v>2</v>
      </c>
      <c r="H8946">
        <v>21907.759999999998</v>
      </c>
      <c r="I8946">
        <v>5322.9</v>
      </c>
      <c r="J8946" t="s">
        <v>16</v>
      </c>
      <c r="K8946" t="s">
        <v>23</v>
      </c>
      <c r="L8946">
        <f t="shared" si="417"/>
        <v>2024</v>
      </c>
      <c r="M8946" t="str">
        <f t="shared" si="418"/>
        <v>Nov</v>
      </c>
      <c r="N8946" s="2">
        <f t="shared" si="419"/>
        <v>0.24296870150120323</v>
      </c>
    </row>
    <row r="8947" spans="1:14" x14ac:dyDescent="0.45">
      <c r="A8947" t="s">
        <v>14689</v>
      </c>
      <c r="B8947" s="1">
        <v>44590</v>
      </c>
      <c r="C8947" t="s">
        <v>10213</v>
      </c>
      <c r="D8947" t="s">
        <v>26</v>
      </c>
      <c r="E8947" t="s">
        <v>36</v>
      </c>
      <c r="F8947" t="s">
        <v>64</v>
      </c>
      <c r="G8947">
        <v>1</v>
      </c>
      <c r="H8947">
        <v>40205.75</v>
      </c>
      <c r="I8947">
        <v>4777.22</v>
      </c>
      <c r="J8947" t="s">
        <v>71</v>
      </c>
      <c r="K8947" t="s">
        <v>23</v>
      </c>
      <c r="L8947">
        <f t="shared" si="417"/>
        <v>2022</v>
      </c>
      <c r="M8947" t="str">
        <f t="shared" si="418"/>
        <v>Jan</v>
      </c>
      <c r="N8947" s="2">
        <f t="shared" si="419"/>
        <v>0.11881932310676956</v>
      </c>
    </row>
    <row r="8948" spans="1:14" x14ac:dyDescent="0.45">
      <c r="A8948" t="s">
        <v>14690</v>
      </c>
      <c r="B8948" s="1">
        <v>45521</v>
      </c>
      <c r="C8948" t="s">
        <v>14691</v>
      </c>
      <c r="D8948" t="s">
        <v>26</v>
      </c>
      <c r="E8948" t="s">
        <v>14</v>
      </c>
      <c r="F8948" t="s">
        <v>15</v>
      </c>
      <c r="G8948">
        <v>4</v>
      </c>
      <c r="H8948">
        <v>38533.089999999997</v>
      </c>
      <c r="I8948">
        <v>7924.12</v>
      </c>
      <c r="J8948" t="s">
        <v>28</v>
      </c>
      <c r="K8948" t="s">
        <v>17</v>
      </c>
      <c r="L8948">
        <f t="shared" si="417"/>
        <v>2024</v>
      </c>
      <c r="M8948" t="str">
        <f t="shared" si="418"/>
        <v>Aug</v>
      </c>
      <c r="N8948" s="2">
        <f t="shared" si="419"/>
        <v>0.20564455121559161</v>
      </c>
    </row>
    <row r="8949" spans="1:14" x14ac:dyDescent="0.45">
      <c r="A8949" t="s">
        <v>14692</v>
      </c>
      <c r="B8949" s="1">
        <v>44699</v>
      </c>
      <c r="C8949" t="s">
        <v>14693</v>
      </c>
      <c r="D8949" t="s">
        <v>26</v>
      </c>
      <c r="E8949" t="s">
        <v>36</v>
      </c>
      <c r="F8949" t="s">
        <v>37</v>
      </c>
      <c r="G8949">
        <v>1</v>
      </c>
      <c r="H8949">
        <v>40649.620000000003</v>
      </c>
      <c r="I8949">
        <v>7624.78</v>
      </c>
      <c r="J8949" t="s">
        <v>71</v>
      </c>
      <c r="K8949" t="s">
        <v>23</v>
      </c>
      <c r="L8949">
        <f t="shared" si="417"/>
        <v>2022</v>
      </c>
      <c r="M8949" t="str">
        <f t="shared" si="418"/>
        <v>May</v>
      </c>
      <c r="N8949" s="2">
        <f t="shared" si="419"/>
        <v>0.18757321716660572</v>
      </c>
    </row>
    <row r="8950" spans="1:14" x14ac:dyDescent="0.45">
      <c r="A8950" t="s">
        <v>14694</v>
      </c>
      <c r="B8950" s="1">
        <v>44744</v>
      </c>
      <c r="C8950" t="s">
        <v>14695</v>
      </c>
      <c r="D8950" t="s">
        <v>13</v>
      </c>
      <c r="E8950" t="s">
        <v>14</v>
      </c>
      <c r="F8950" t="s">
        <v>40</v>
      </c>
      <c r="G8950">
        <v>3</v>
      </c>
      <c r="H8950">
        <v>9583.23</v>
      </c>
      <c r="I8950">
        <v>1808.08</v>
      </c>
      <c r="J8950" t="s">
        <v>22</v>
      </c>
      <c r="K8950" t="s">
        <v>17</v>
      </c>
      <c r="L8950">
        <f t="shared" si="417"/>
        <v>2022</v>
      </c>
      <c r="M8950" t="str">
        <f t="shared" si="418"/>
        <v>Jul</v>
      </c>
      <c r="N8950" s="2">
        <f t="shared" si="419"/>
        <v>0.18867125175958419</v>
      </c>
    </row>
    <row r="8951" spans="1:14" x14ac:dyDescent="0.45">
      <c r="A8951" t="s">
        <v>14696</v>
      </c>
      <c r="B8951" s="1">
        <v>45211</v>
      </c>
      <c r="C8951" t="s">
        <v>5620</v>
      </c>
      <c r="D8951" t="s">
        <v>26</v>
      </c>
      <c r="E8951" t="s">
        <v>20</v>
      </c>
      <c r="F8951" t="s">
        <v>43</v>
      </c>
      <c r="G8951">
        <v>4</v>
      </c>
      <c r="H8951">
        <v>26376.77</v>
      </c>
      <c r="I8951">
        <v>6536.66</v>
      </c>
      <c r="J8951" t="s">
        <v>16</v>
      </c>
      <c r="K8951" t="s">
        <v>29</v>
      </c>
      <c r="L8951">
        <f t="shared" si="417"/>
        <v>2023</v>
      </c>
      <c r="M8951" t="str">
        <f t="shared" si="418"/>
        <v>Oct</v>
      </c>
      <c r="N8951" s="2">
        <f t="shared" si="419"/>
        <v>0.24781881936264372</v>
      </c>
    </row>
    <row r="8952" spans="1:14" x14ac:dyDescent="0.45">
      <c r="A8952" t="s">
        <v>14697</v>
      </c>
      <c r="B8952" s="1">
        <v>45259</v>
      </c>
      <c r="C8952" t="s">
        <v>5610</v>
      </c>
      <c r="D8952" t="s">
        <v>26</v>
      </c>
      <c r="E8952" t="s">
        <v>14</v>
      </c>
      <c r="F8952" t="s">
        <v>40</v>
      </c>
      <c r="G8952">
        <v>1</v>
      </c>
      <c r="H8952">
        <v>11187.55</v>
      </c>
      <c r="I8952">
        <v>570.05999999999995</v>
      </c>
      <c r="J8952" t="s">
        <v>22</v>
      </c>
      <c r="K8952" t="s">
        <v>29</v>
      </c>
      <c r="L8952">
        <f t="shared" si="417"/>
        <v>2023</v>
      </c>
      <c r="M8952" t="str">
        <f t="shared" si="418"/>
        <v>Nov</v>
      </c>
      <c r="N8952" s="2">
        <f t="shared" si="419"/>
        <v>5.095485606768238E-2</v>
      </c>
    </row>
    <row r="8953" spans="1:14" x14ac:dyDescent="0.45">
      <c r="A8953" t="s">
        <v>14698</v>
      </c>
      <c r="B8953" s="1">
        <v>45328</v>
      </c>
      <c r="C8953" t="s">
        <v>1822</v>
      </c>
      <c r="D8953" t="s">
        <v>26</v>
      </c>
      <c r="E8953" t="s">
        <v>20</v>
      </c>
      <c r="F8953" t="s">
        <v>50</v>
      </c>
      <c r="G8953">
        <v>1</v>
      </c>
      <c r="H8953">
        <v>48502.71</v>
      </c>
      <c r="I8953">
        <v>7817.2</v>
      </c>
      <c r="J8953" t="s">
        <v>71</v>
      </c>
      <c r="K8953" t="s">
        <v>29</v>
      </c>
      <c r="L8953">
        <f t="shared" si="417"/>
        <v>2024</v>
      </c>
      <c r="M8953" t="str">
        <f t="shared" si="418"/>
        <v>Feb</v>
      </c>
      <c r="N8953" s="2">
        <f t="shared" si="419"/>
        <v>0.16117037584085508</v>
      </c>
    </row>
    <row r="8954" spans="1:14" x14ac:dyDescent="0.45">
      <c r="A8954" t="s">
        <v>14699</v>
      </c>
      <c r="B8954" s="1">
        <v>45493</v>
      </c>
      <c r="C8954" t="s">
        <v>14700</v>
      </c>
      <c r="D8954" t="s">
        <v>26</v>
      </c>
      <c r="E8954" t="s">
        <v>36</v>
      </c>
      <c r="F8954" t="s">
        <v>64</v>
      </c>
      <c r="G8954">
        <v>1</v>
      </c>
      <c r="H8954">
        <v>32029.02</v>
      </c>
      <c r="I8954">
        <v>2244.0500000000002</v>
      </c>
      <c r="J8954" t="s">
        <v>16</v>
      </c>
      <c r="K8954" t="s">
        <v>17</v>
      </c>
      <c r="L8954">
        <f t="shared" si="417"/>
        <v>2024</v>
      </c>
      <c r="M8954" t="str">
        <f t="shared" si="418"/>
        <v>Jul</v>
      </c>
      <c r="N8954" s="2">
        <f t="shared" si="419"/>
        <v>7.0063024095023824E-2</v>
      </c>
    </row>
    <row r="8955" spans="1:14" x14ac:dyDescent="0.45">
      <c r="A8955" t="s">
        <v>14701</v>
      </c>
      <c r="B8955" s="1">
        <v>45334</v>
      </c>
      <c r="C8955" t="s">
        <v>14702</v>
      </c>
      <c r="D8955" t="s">
        <v>13</v>
      </c>
      <c r="E8955" t="s">
        <v>14</v>
      </c>
      <c r="F8955" t="s">
        <v>57</v>
      </c>
      <c r="G8955">
        <v>2</v>
      </c>
      <c r="H8955">
        <v>31815.3</v>
      </c>
      <c r="I8955">
        <v>6106.3</v>
      </c>
      <c r="J8955" t="s">
        <v>16</v>
      </c>
      <c r="K8955" t="s">
        <v>17</v>
      </c>
      <c r="L8955">
        <f t="shared" si="417"/>
        <v>2024</v>
      </c>
      <c r="M8955" t="str">
        <f t="shared" si="418"/>
        <v>Feb</v>
      </c>
      <c r="N8955" s="2">
        <f t="shared" si="419"/>
        <v>0.1919296690585976</v>
      </c>
    </row>
    <row r="8956" spans="1:14" x14ac:dyDescent="0.45">
      <c r="A8956" t="s">
        <v>14703</v>
      </c>
      <c r="B8956" s="1">
        <v>45448</v>
      </c>
      <c r="C8956" t="s">
        <v>11534</v>
      </c>
      <c r="D8956" t="s">
        <v>13</v>
      </c>
      <c r="E8956" t="s">
        <v>36</v>
      </c>
      <c r="F8956" t="s">
        <v>37</v>
      </c>
      <c r="G8956">
        <v>5</v>
      </c>
      <c r="H8956">
        <v>2093.0700000000002</v>
      </c>
      <c r="I8956">
        <v>175.2</v>
      </c>
      <c r="J8956" t="s">
        <v>28</v>
      </c>
      <c r="K8956" t="s">
        <v>17</v>
      </c>
      <c r="L8956">
        <f t="shared" si="417"/>
        <v>2024</v>
      </c>
      <c r="M8956" t="str">
        <f t="shared" si="418"/>
        <v>Jun</v>
      </c>
      <c r="N8956" s="2">
        <f t="shared" si="419"/>
        <v>8.3704797259527855E-2</v>
      </c>
    </row>
    <row r="8957" spans="1:14" x14ac:dyDescent="0.45">
      <c r="A8957" t="s">
        <v>14704</v>
      </c>
      <c r="B8957" s="1">
        <v>45608</v>
      </c>
      <c r="C8957" t="s">
        <v>14705</v>
      </c>
      <c r="D8957" t="s">
        <v>56</v>
      </c>
      <c r="E8957" t="s">
        <v>36</v>
      </c>
      <c r="F8957" t="s">
        <v>37</v>
      </c>
      <c r="G8957">
        <v>5</v>
      </c>
      <c r="H8957">
        <v>27912.55</v>
      </c>
      <c r="I8957">
        <v>4038.78</v>
      </c>
      <c r="J8957" t="s">
        <v>22</v>
      </c>
      <c r="K8957" t="s">
        <v>23</v>
      </c>
      <c r="L8957">
        <f t="shared" si="417"/>
        <v>2024</v>
      </c>
      <c r="M8957" t="str">
        <f t="shared" si="418"/>
        <v>Nov</v>
      </c>
      <c r="N8957" s="2">
        <f t="shared" si="419"/>
        <v>0.1446940533917539</v>
      </c>
    </row>
    <row r="8958" spans="1:14" x14ac:dyDescent="0.45">
      <c r="A8958" t="s">
        <v>14706</v>
      </c>
      <c r="B8958" s="1">
        <v>45213</v>
      </c>
      <c r="C8958" t="s">
        <v>9162</v>
      </c>
      <c r="D8958" t="s">
        <v>13</v>
      </c>
      <c r="E8958" t="s">
        <v>14</v>
      </c>
      <c r="F8958" t="s">
        <v>40</v>
      </c>
      <c r="G8958">
        <v>2</v>
      </c>
      <c r="H8958">
        <v>36919.86</v>
      </c>
      <c r="I8958">
        <v>8823.89</v>
      </c>
      <c r="J8958" t="s">
        <v>16</v>
      </c>
      <c r="K8958" t="s">
        <v>33</v>
      </c>
      <c r="L8958">
        <f t="shared" si="417"/>
        <v>2023</v>
      </c>
      <c r="M8958" t="str">
        <f t="shared" si="418"/>
        <v>Oct</v>
      </c>
      <c r="N8958" s="2">
        <f t="shared" si="419"/>
        <v>0.23900117714422534</v>
      </c>
    </row>
    <row r="8959" spans="1:14" x14ac:dyDescent="0.45">
      <c r="A8959" t="s">
        <v>14707</v>
      </c>
      <c r="B8959" s="1">
        <v>45532</v>
      </c>
      <c r="C8959" t="s">
        <v>14708</v>
      </c>
      <c r="D8959" t="s">
        <v>56</v>
      </c>
      <c r="E8959" t="s">
        <v>20</v>
      </c>
      <c r="F8959" t="s">
        <v>21</v>
      </c>
      <c r="G8959">
        <v>5</v>
      </c>
      <c r="H8959">
        <v>27489.38</v>
      </c>
      <c r="I8959">
        <v>4310.24</v>
      </c>
      <c r="J8959" t="s">
        <v>16</v>
      </c>
      <c r="K8959" t="s">
        <v>17</v>
      </c>
      <c r="L8959">
        <f t="shared" si="417"/>
        <v>2024</v>
      </c>
      <c r="M8959" t="str">
        <f t="shared" si="418"/>
        <v>Aug</v>
      </c>
      <c r="N8959" s="2">
        <f t="shared" si="419"/>
        <v>0.15679655197752732</v>
      </c>
    </row>
    <row r="8960" spans="1:14" x14ac:dyDescent="0.45">
      <c r="A8960" t="s">
        <v>14709</v>
      </c>
      <c r="B8960" s="1">
        <v>44926</v>
      </c>
      <c r="C8960" t="s">
        <v>14710</v>
      </c>
      <c r="D8960" t="s">
        <v>56</v>
      </c>
      <c r="E8960" t="s">
        <v>36</v>
      </c>
      <c r="F8960" t="s">
        <v>37</v>
      </c>
      <c r="G8960">
        <v>3</v>
      </c>
      <c r="H8960">
        <v>28369.91</v>
      </c>
      <c r="I8960">
        <v>6303.78</v>
      </c>
      <c r="J8960" t="s">
        <v>47</v>
      </c>
      <c r="K8960" t="s">
        <v>33</v>
      </c>
      <c r="L8960">
        <f t="shared" si="417"/>
        <v>2022</v>
      </c>
      <c r="M8960" t="str">
        <f t="shared" si="418"/>
        <v>Dec</v>
      </c>
      <c r="N8960" s="2">
        <f t="shared" si="419"/>
        <v>0.22219950644891012</v>
      </c>
    </row>
    <row r="8961" spans="1:14" x14ac:dyDescent="0.45">
      <c r="A8961" t="s">
        <v>14711</v>
      </c>
      <c r="B8961" s="1">
        <v>44716</v>
      </c>
      <c r="C8961" t="s">
        <v>722</v>
      </c>
      <c r="D8961" t="s">
        <v>56</v>
      </c>
      <c r="E8961" t="s">
        <v>20</v>
      </c>
      <c r="F8961" t="s">
        <v>27</v>
      </c>
      <c r="G8961">
        <v>3</v>
      </c>
      <c r="H8961">
        <v>36934.660000000003</v>
      </c>
      <c r="I8961">
        <v>4591.37</v>
      </c>
      <c r="J8961" t="s">
        <v>71</v>
      </c>
      <c r="K8961" t="s">
        <v>17</v>
      </c>
      <c r="L8961">
        <f t="shared" si="417"/>
        <v>2022</v>
      </c>
      <c r="M8961" t="str">
        <f t="shared" si="418"/>
        <v>Jun</v>
      </c>
      <c r="N8961" s="2">
        <f t="shared" si="419"/>
        <v>0.12431060689336249</v>
      </c>
    </row>
    <row r="8962" spans="1:14" x14ac:dyDescent="0.45">
      <c r="A8962" t="s">
        <v>14712</v>
      </c>
      <c r="B8962" s="1">
        <v>45199</v>
      </c>
      <c r="C8962" t="s">
        <v>10356</v>
      </c>
      <c r="D8962" t="s">
        <v>13</v>
      </c>
      <c r="E8962" t="s">
        <v>36</v>
      </c>
      <c r="F8962" t="s">
        <v>37</v>
      </c>
      <c r="G8962">
        <v>3</v>
      </c>
      <c r="H8962">
        <v>37665.15</v>
      </c>
      <c r="I8962">
        <v>4787.45</v>
      </c>
      <c r="J8962" t="s">
        <v>22</v>
      </c>
      <c r="K8962" t="s">
        <v>17</v>
      </c>
      <c r="L8962">
        <f t="shared" si="417"/>
        <v>2023</v>
      </c>
      <c r="M8962" t="str">
        <f t="shared" si="418"/>
        <v>Sep</v>
      </c>
      <c r="N8962" s="2">
        <f t="shared" si="419"/>
        <v>0.12710556044513296</v>
      </c>
    </row>
    <row r="8963" spans="1:14" x14ac:dyDescent="0.45">
      <c r="A8963" t="s">
        <v>14713</v>
      </c>
      <c r="B8963" s="1">
        <v>45301</v>
      </c>
      <c r="C8963" t="s">
        <v>14714</v>
      </c>
      <c r="D8963" t="s">
        <v>26</v>
      </c>
      <c r="E8963" t="s">
        <v>20</v>
      </c>
      <c r="F8963" t="s">
        <v>50</v>
      </c>
      <c r="G8963">
        <v>1</v>
      </c>
      <c r="H8963">
        <v>24166.47</v>
      </c>
      <c r="I8963">
        <v>5035.7700000000004</v>
      </c>
      <c r="J8963" t="s">
        <v>28</v>
      </c>
      <c r="K8963" t="s">
        <v>23</v>
      </c>
      <c r="L8963">
        <f t="shared" ref="L8963:L9001" si="420">YEAR(B8963 )</f>
        <v>2024</v>
      </c>
      <c r="M8963" t="str">
        <f t="shared" ref="M8963:M9001" si="421">TEXT(B8963,"MMM")</f>
        <v>Jan</v>
      </c>
      <c r="N8963" s="2">
        <f t="shared" ref="N8963:N9001" si="422">I8963 / H8963</f>
        <v>0.20837838542410209</v>
      </c>
    </row>
    <row r="8964" spans="1:14" x14ac:dyDescent="0.45">
      <c r="A8964" t="s">
        <v>14715</v>
      </c>
      <c r="B8964" s="1">
        <v>45407</v>
      </c>
      <c r="C8964" t="s">
        <v>437</v>
      </c>
      <c r="D8964" t="s">
        <v>56</v>
      </c>
      <c r="E8964" t="s">
        <v>36</v>
      </c>
      <c r="F8964" t="s">
        <v>53</v>
      </c>
      <c r="G8964">
        <v>2</v>
      </c>
      <c r="H8964">
        <v>14803.88</v>
      </c>
      <c r="I8964">
        <v>1000.42</v>
      </c>
      <c r="J8964" t="s">
        <v>47</v>
      </c>
      <c r="K8964" t="s">
        <v>23</v>
      </c>
      <c r="L8964">
        <f t="shared" si="420"/>
        <v>2024</v>
      </c>
      <c r="M8964" t="str">
        <f t="shared" si="421"/>
        <v>Apr</v>
      </c>
      <c r="N8964" s="2">
        <f t="shared" si="422"/>
        <v>6.7578229491187441E-2</v>
      </c>
    </row>
    <row r="8965" spans="1:14" x14ac:dyDescent="0.45">
      <c r="A8965" t="s">
        <v>14716</v>
      </c>
      <c r="B8965" s="1">
        <v>44757</v>
      </c>
      <c r="C8965" t="s">
        <v>14631</v>
      </c>
      <c r="D8965" t="s">
        <v>13</v>
      </c>
      <c r="E8965" t="s">
        <v>20</v>
      </c>
      <c r="F8965" t="s">
        <v>50</v>
      </c>
      <c r="G8965">
        <v>5</v>
      </c>
      <c r="H8965">
        <v>13147.73</v>
      </c>
      <c r="I8965">
        <v>901.62</v>
      </c>
      <c r="J8965" t="s">
        <v>71</v>
      </c>
      <c r="K8965" t="s">
        <v>33</v>
      </c>
      <c r="L8965">
        <f t="shared" si="420"/>
        <v>2022</v>
      </c>
      <c r="M8965" t="str">
        <f t="shared" si="421"/>
        <v>Jul</v>
      </c>
      <c r="N8965" s="2">
        <f t="shared" si="422"/>
        <v>6.857609640599556E-2</v>
      </c>
    </row>
    <row r="8966" spans="1:14" x14ac:dyDescent="0.45">
      <c r="A8966" t="s">
        <v>14717</v>
      </c>
      <c r="B8966" s="1">
        <v>45451</v>
      </c>
      <c r="C8966" t="s">
        <v>2068</v>
      </c>
      <c r="D8966" t="s">
        <v>56</v>
      </c>
      <c r="E8966" t="s">
        <v>20</v>
      </c>
      <c r="F8966" t="s">
        <v>50</v>
      </c>
      <c r="G8966">
        <v>5</v>
      </c>
      <c r="H8966">
        <v>47306.85</v>
      </c>
      <c r="I8966">
        <v>9111.36</v>
      </c>
      <c r="J8966" t="s">
        <v>71</v>
      </c>
      <c r="K8966" t="s">
        <v>23</v>
      </c>
      <c r="L8966">
        <f t="shared" si="420"/>
        <v>2024</v>
      </c>
      <c r="M8966" t="str">
        <f t="shared" si="421"/>
        <v>Jun</v>
      </c>
      <c r="N8966" s="2">
        <f t="shared" si="422"/>
        <v>0.19260128290089068</v>
      </c>
    </row>
    <row r="8967" spans="1:14" x14ac:dyDescent="0.45">
      <c r="A8967" t="s">
        <v>14718</v>
      </c>
      <c r="B8967" s="1">
        <v>45238</v>
      </c>
      <c r="C8967" t="s">
        <v>10987</v>
      </c>
      <c r="D8967" t="s">
        <v>56</v>
      </c>
      <c r="E8967" t="s">
        <v>20</v>
      </c>
      <c r="F8967" t="s">
        <v>21</v>
      </c>
      <c r="G8967">
        <v>1</v>
      </c>
      <c r="H8967">
        <v>48423.54</v>
      </c>
      <c r="I8967">
        <v>11762.77</v>
      </c>
      <c r="J8967" t="s">
        <v>16</v>
      </c>
      <c r="K8967" t="s">
        <v>29</v>
      </c>
      <c r="L8967">
        <f t="shared" si="420"/>
        <v>2023</v>
      </c>
      <c r="M8967" t="str">
        <f t="shared" si="421"/>
        <v>Nov</v>
      </c>
      <c r="N8967" s="2">
        <f t="shared" si="422"/>
        <v>0.24291429333749659</v>
      </c>
    </row>
    <row r="8968" spans="1:14" x14ac:dyDescent="0.45">
      <c r="A8968" t="s">
        <v>14719</v>
      </c>
      <c r="B8968" s="1">
        <v>45251</v>
      </c>
      <c r="C8968" t="s">
        <v>14720</v>
      </c>
      <c r="D8968" t="s">
        <v>13</v>
      </c>
      <c r="E8968" t="s">
        <v>20</v>
      </c>
      <c r="F8968" t="s">
        <v>27</v>
      </c>
      <c r="G8968">
        <v>5</v>
      </c>
      <c r="H8968">
        <v>41641.14</v>
      </c>
      <c r="I8968">
        <v>2622.84</v>
      </c>
      <c r="J8968" t="s">
        <v>71</v>
      </c>
      <c r="K8968" t="s">
        <v>23</v>
      </c>
      <c r="L8968">
        <f t="shared" si="420"/>
        <v>2023</v>
      </c>
      <c r="M8968" t="str">
        <f t="shared" si="421"/>
        <v>Nov</v>
      </c>
      <c r="N8968" s="2">
        <f t="shared" si="422"/>
        <v>6.2986748201418127E-2</v>
      </c>
    </row>
    <row r="8969" spans="1:14" x14ac:dyDescent="0.45">
      <c r="A8969" t="s">
        <v>14721</v>
      </c>
      <c r="B8969" s="1">
        <v>45444</v>
      </c>
      <c r="C8969" t="s">
        <v>14722</v>
      </c>
      <c r="D8969" t="s">
        <v>13</v>
      </c>
      <c r="E8969" t="s">
        <v>20</v>
      </c>
      <c r="F8969" t="s">
        <v>21</v>
      </c>
      <c r="G8969">
        <v>3</v>
      </c>
      <c r="H8969">
        <v>46014.96</v>
      </c>
      <c r="I8969">
        <v>10918.37</v>
      </c>
      <c r="J8969" t="s">
        <v>71</v>
      </c>
      <c r="K8969" t="s">
        <v>33</v>
      </c>
      <c r="L8969">
        <f t="shared" si="420"/>
        <v>2024</v>
      </c>
      <c r="M8969" t="str">
        <f t="shared" si="421"/>
        <v>Jun</v>
      </c>
      <c r="N8969" s="2">
        <f t="shared" si="422"/>
        <v>0.2372787024046093</v>
      </c>
    </row>
    <row r="8970" spans="1:14" x14ac:dyDescent="0.45">
      <c r="A8970" t="s">
        <v>14723</v>
      </c>
      <c r="B8970" s="1">
        <v>45021</v>
      </c>
      <c r="C8970" t="s">
        <v>9192</v>
      </c>
      <c r="D8970" t="s">
        <v>26</v>
      </c>
      <c r="E8970" t="s">
        <v>20</v>
      </c>
      <c r="F8970" t="s">
        <v>50</v>
      </c>
      <c r="G8970">
        <v>2</v>
      </c>
      <c r="H8970">
        <v>25912.84</v>
      </c>
      <c r="I8970">
        <v>4070.14</v>
      </c>
      <c r="J8970" t="s">
        <v>47</v>
      </c>
      <c r="K8970" t="s">
        <v>33</v>
      </c>
      <c r="L8970">
        <f t="shared" si="420"/>
        <v>2023</v>
      </c>
      <c r="M8970" t="str">
        <f t="shared" si="421"/>
        <v>Apr</v>
      </c>
      <c r="N8970" s="2">
        <f t="shared" si="422"/>
        <v>0.15707039444537921</v>
      </c>
    </row>
    <row r="8971" spans="1:14" x14ac:dyDescent="0.45">
      <c r="A8971" t="s">
        <v>14724</v>
      </c>
      <c r="B8971" s="1">
        <v>45373</v>
      </c>
      <c r="C8971" t="s">
        <v>14725</v>
      </c>
      <c r="D8971" t="s">
        <v>26</v>
      </c>
      <c r="E8971" t="s">
        <v>20</v>
      </c>
      <c r="F8971" t="s">
        <v>27</v>
      </c>
      <c r="G8971">
        <v>5</v>
      </c>
      <c r="H8971">
        <v>24802.45</v>
      </c>
      <c r="I8971">
        <v>4510.0600000000004</v>
      </c>
      <c r="J8971" t="s">
        <v>71</v>
      </c>
      <c r="K8971" t="s">
        <v>29</v>
      </c>
      <c r="L8971">
        <f t="shared" si="420"/>
        <v>2024</v>
      </c>
      <c r="M8971" t="str">
        <f t="shared" si="421"/>
        <v>Mar</v>
      </c>
      <c r="N8971" s="2">
        <f t="shared" si="422"/>
        <v>0.18183929410199395</v>
      </c>
    </row>
    <row r="8972" spans="1:14" x14ac:dyDescent="0.45">
      <c r="A8972" t="s">
        <v>14726</v>
      </c>
      <c r="B8972" s="1">
        <v>45134</v>
      </c>
      <c r="C8972" t="s">
        <v>7986</v>
      </c>
      <c r="D8972" t="s">
        <v>26</v>
      </c>
      <c r="E8972" t="s">
        <v>20</v>
      </c>
      <c r="F8972" t="s">
        <v>27</v>
      </c>
      <c r="G8972">
        <v>2</v>
      </c>
      <c r="H8972">
        <v>33558.949999999997</v>
      </c>
      <c r="I8972">
        <v>5540.22</v>
      </c>
      <c r="J8972" t="s">
        <v>28</v>
      </c>
      <c r="K8972" t="s">
        <v>29</v>
      </c>
      <c r="L8972">
        <f t="shared" si="420"/>
        <v>2023</v>
      </c>
      <c r="M8972" t="str">
        <f t="shared" si="421"/>
        <v>Jul</v>
      </c>
      <c r="N8972" s="2">
        <f t="shared" si="422"/>
        <v>0.16508919379182008</v>
      </c>
    </row>
    <row r="8973" spans="1:14" x14ac:dyDescent="0.45">
      <c r="A8973" t="s">
        <v>14727</v>
      </c>
      <c r="B8973" s="1">
        <v>45235</v>
      </c>
      <c r="C8973" t="s">
        <v>14728</v>
      </c>
      <c r="D8973" t="s">
        <v>13</v>
      </c>
      <c r="E8973" t="s">
        <v>14</v>
      </c>
      <c r="F8973" t="s">
        <v>32</v>
      </c>
      <c r="G8973">
        <v>3</v>
      </c>
      <c r="H8973">
        <v>8632.83</v>
      </c>
      <c r="I8973">
        <v>697.23</v>
      </c>
      <c r="J8973" t="s">
        <v>22</v>
      </c>
      <c r="K8973" t="s">
        <v>33</v>
      </c>
      <c r="L8973">
        <f t="shared" si="420"/>
        <v>2023</v>
      </c>
      <c r="M8973" t="str">
        <f t="shared" si="421"/>
        <v>Nov</v>
      </c>
      <c r="N8973" s="2">
        <f t="shared" si="422"/>
        <v>8.0764940349804179E-2</v>
      </c>
    </row>
    <row r="8974" spans="1:14" x14ac:dyDescent="0.45">
      <c r="A8974" t="s">
        <v>14729</v>
      </c>
      <c r="B8974" s="1">
        <v>45560</v>
      </c>
      <c r="C8974" t="s">
        <v>14730</v>
      </c>
      <c r="D8974" t="s">
        <v>26</v>
      </c>
      <c r="E8974" t="s">
        <v>36</v>
      </c>
      <c r="F8974" t="s">
        <v>37</v>
      </c>
      <c r="G8974">
        <v>5</v>
      </c>
      <c r="H8974">
        <v>31523.79</v>
      </c>
      <c r="I8974">
        <v>3824.07</v>
      </c>
      <c r="J8974" t="s">
        <v>22</v>
      </c>
      <c r="K8974" t="s">
        <v>33</v>
      </c>
      <c r="L8974">
        <f t="shared" si="420"/>
        <v>2024</v>
      </c>
      <c r="M8974" t="str">
        <f t="shared" si="421"/>
        <v>Sep</v>
      </c>
      <c r="N8974" s="2">
        <f t="shared" si="422"/>
        <v>0.12130743162544859</v>
      </c>
    </row>
    <row r="8975" spans="1:14" x14ac:dyDescent="0.45">
      <c r="A8975" t="s">
        <v>14731</v>
      </c>
      <c r="B8975" s="1">
        <v>44732</v>
      </c>
      <c r="C8975" t="s">
        <v>2927</v>
      </c>
      <c r="D8975" t="s">
        <v>26</v>
      </c>
      <c r="E8975" t="s">
        <v>14</v>
      </c>
      <c r="F8975" t="s">
        <v>57</v>
      </c>
      <c r="G8975">
        <v>3</v>
      </c>
      <c r="H8975">
        <v>43572.37</v>
      </c>
      <c r="I8975">
        <v>3612.71</v>
      </c>
      <c r="J8975" t="s">
        <v>71</v>
      </c>
      <c r="K8975" t="s">
        <v>29</v>
      </c>
      <c r="L8975">
        <f t="shared" si="420"/>
        <v>2022</v>
      </c>
      <c r="M8975" t="str">
        <f t="shared" si="421"/>
        <v>Jun</v>
      </c>
      <c r="N8975" s="2">
        <f t="shared" si="422"/>
        <v>8.2912864276145637E-2</v>
      </c>
    </row>
    <row r="8976" spans="1:14" x14ac:dyDescent="0.45">
      <c r="A8976" t="s">
        <v>14732</v>
      </c>
      <c r="B8976" s="1">
        <v>44809</v>
      </c>
      <c r="C8976" t="s">
        <v>5552</v>
      </c>
      <c r="D8976" t="s">
        <v>26</v>
      </c>
      <c r="E8976" t="s">
        <v>36</v>
      </c>
      <c r="F8976" t="s">
        <v>46</v>
      </c>
      <c r="G8976">
        <v>4</v>
      </c>
      <c r="H8976">
        <v>34329.26</v>
      </c>
      <c r="I8976">
        <v>6887.88</v>
      </c>
      <c r="J8976" t="s">
        <v>47</v>
      </c>
      <c r="K8976" t="s">
        <v>23</v>
      </c>
      <c r="L8976">
        <f t="shared" si="420"/>
        <v>2022</v>
      </c>
      <c r="M8976" t="str">
        <f t="shared" si="421"/>
        <v>Sep</v>
      </c>
      <c r="N8976" s="2">
        <f t="shared" si="422"/>
        <v>0.20064166836104244</v>
      </c>
    </row>
    <row r="8977" spans="1:14" x14ac:dyDescent="0.45">
      <c r="A8977" t="s">
        <v>14733</v>
      </c>
      <c r="B8977" s="1">
        <v>45530</v>
      </c>
      <c r="C8977" t="s">
        <v>14734</v>
      </c>
      <c r="D8977" t="s">
        <v>26</v>
      </c>
      <c r="E8977" t="s">
        <v>14</v>
      </c>
      <c r="F8977" t="s">
        <v>40</v>
      </c>
      <c r="G8977">
        <v>4</v>
      </c>
      <c r="H8977">
        <v>49237.77</v>
      </c>
      <c r="I8977">
        <v>7849.8</v>
      </c>
      <c r="J8977" t="s">
        <v>47</v>
      </c>
      <c r="K8977" t="s">
        <v>29</v>
      </c>
      <c r="L8977">
        <f t="shared" si="420"/>
        <v>2024</v>
      </c>
      <c r="M8977" t="str">
        <f t="shared" si="421"/>
        <v>Aug</v>
      </c>
      <c r="N8977" s="2">
        <f t="shared" si="422"/>
        <v>0.15942639156891145</v>
      </c>
    </row>
    <row r="8978" spans="1:14" x14ac:dyDescent="0.45">
      <c r="A8978" t="s">
        <v>14735</v>
      </c>
      <c r="B8978" s="1">
        <v>45286</v>
      </c>
      <c r="C8978" t="s">
        <v>3080</v>
      </c>
      <c r="D8978" t="s">
        <v>13</v>
      </c>
      <c r="E8978" t="s">
        <v>14</v>
      </c>
      <c r="F8978" t="s">
        <v>57</v>
      </c>
      <c r="G8978">
        <v>1</v>
      </c>
      <c r="H8978">
        <v>4927.7299999999996</v>
      </c>
      <c r="I8978">
        <v>890.78</v>
      </c>
      <c r="J8978" t="s">
        <v>47</v>
      </c>
      <c r="K8978" t="s">
        <v>23</v>
      </c>
      <c r="L8978">
        <f t="shared" si="420"/>
        <v>2023</v>
      </c>
      <c r="M8978" t="str">
        <f t="shared" si="421"/>
        <v>Dec</v>
      </c>
      <c r="N8978" s="2">
        <f t="shared" si="422"/>
        <v>0.18076883270796087</v>
      </c>
    </row>
    <row r="8979" spans="1:14" x14ac:dyDescent="0.45">
      <c r="A8979" t="s">
        <v>14736</v>
      </c>
      <c r="B8979" s="1">
        <v>44847</v>
      </c>
      <c r="C8979" t="s">
        <v>5082</v>
      </c>
      <c r="D8979" t="s">
        <v>13</v>
      </c>
      <c r="E8979" t="s">
        <v>36</v>
      </c>
      <c r="F8979" t="s">
        <v>37</v>
      </c>
      <c r="G8979">
        <v>2</v>
      </c>
      <c r="H8979">
        <v>13772.99</v>
      </c>
      <c r="I8979">
        <v>2218.79</v>
      </c>
      <c r="J8979" t="s">
        <v>16</v>
      </c>
      <c r="K8979" t="s">
        <v>17</v>
      </c>
      <c r="L8979">
        <f t="shared" si="420"/>
        <v>2022</v>
      </c>
      <c r="M8979" t="str">
        <f t="shared" si="421"/>
        <v>Oct</v>
      </c>
      <c r="N8979" s="2">
        <f t="shared" si="422"/>
        <v>0.16109719095127492</v>
      </c>
    </row>
    <row r="8980" spans="1:14" x14ac:dyDescent="0.45">
      <c r="A8980" t="s">
        <v>14737</v>
      </c>
      <c r="B8980" s="1">
        <v>44836</v>
      </c>
      <c r="C8980" t="s">
        <v>5250</v>
      </c>
      <c r="D8980" t="s">
        <v>26</v>
      </c>
      <c r="E8980" t="s">
        <v>14</v>
      </c>
      <c r="F8980" t="s">
        <v>40</v>
      </c>
      <c r="G8980">
        <v>1</v>
      </c>
      <c r="H8980">
        <v>23917.05</v>
      </c>
      <c r="I8980">
        <v>2388.48</v>
      </c>
      <c r="J8980" t="s">
        <v>47</v>
      </c>
      <c r="K8980" t="s">
        <v>29</v>
      </c>
      <c r="L8980">
        <f t="shared" si="420"/>
        <v>2022</v>
      </c>
      <c r="M8980" t="str">
        <f t="shared" si="421"/>
        <v>Oct</v>
      </c>
      <c r="N8980" s="2">
        <f t="shared" si="422"/>
        <v>9.9865158955640437E-2</v>
      </c>
    </row>
    <row r="8981" spans="1:14" x14ac:dyDescent="0.45">
      <c r="A8981" t="s">
        <v>14738</v>
      </c>
      <c r="B8981" s="1">
        <v>44965</v>
      </c>
      <c r="C8981" t="s">
        <v>5201</v>
      </c>
      <c r="D8981" t="s">
        <v>56</v>
      </c>
      <c r="E8981" t="s">
        <v>14</v>
      </c>
      <c r="F8981" t="s">
        <v>32</v>
      </c>
      <c r="G8981">
        <v>1</v>
      </c>
      <c r="H8981">
        <v>24762.86</v>
      </c>
      <c r="I8981">
        <v>4327.1899999999996</v>
      </c>
      <c r="J8981" t="s">
        <v>47</v>
      </c>
      <c r="K8981" t="s">
        <v>17</v>
      </c>
      <c r="L8981">
        <f t="shared" si="420"/>
        <v>2023</v>
      </c>
      <c r="M8981" t="str">
        <f t="shared" si="421"/>
        <v>Feb</v>
      </c>
      <c r="N8981" s="2">
        <f t="shared" si="422"/>
        <v>0.17474516271545368</v>
      </c>
    </row>
    <row r="8982" spans="1:14" x14ac:dyDescent="0.45">
      <c r="A8982" t="s">
        <v>14739</v>
      </c>
      <c r="B8982" s="1">
        <v>45543</v>
      </c>
      <c r="C8982" t="s">
        <v>1086</v>
      </c>
      <c r="D8982" t="s">
        <v>56</v>
      </c>
      <c r="E8982" t="s">
        <v>36</v>
      </c>
      <c r="F8982" t="s">
        <v>64</v>
      </c>
      <c r="G8982">
        <v>2</v>
      </c>
      <c r="H8982">
        <v>1772.63</v>
      </c>
      <c r="I8982">
        <v>214.44</v>
      </c>
      <c r="J8982" t="s">
        <v>22</v>
      </c>
      <c r="K8982" t="s">
        <v>23</v>
      </c>
      <c r="L8982">
        <f t="shared" si="420"/>
        <v>2024</v>
      </c>
      <c r="M8982" t="str">
        <f t="shared" si="421"/>
        <v>Sep</v>
      </c>
      <c r="N8982" s="2">
        <f t="shared" si="422"/>
        <v>0.12097279184037277</v>
      </c>
    </row>
    <row r="8983" spans="1:14" x14ac:dyDescent="0.45">
      <c r="A8983" t="s">
        <v>14740</v>
      </c>
      <c r="B8983" s="1">
        <v>44626</v>
      </c>
      <c r="C8983" t="s">
        <v>6067</v>
      </c>
      <c r="D8983" t="s">
        <v>26</v>
      </c>
      <c r="E8983" t="s">
        <v>36</v>
      </c>
      <c r="F8983" t="s">
        <v>46</v>
      </c>
      <c r="G8983">
        <v>1</v>
      </c>
      <c r="H8983">
        <v>30293.31</v>
      </c>
      <c r="I8983">
        <v>4604.55</v>
      </c>
      <c r="J8983" t="s">
        <v>22</v>
      </c>
      <c r="K8983" t="s">
        <v>17</v>
      </c>
      <c r="L8983">
        <f t="shared" si="420"/>
        <v>2022</v>
      </c>
      <c r="M8983" t="str">
        <f t="shared" si="421"/>
        <v>Mar</v>
      </c>
      <c r="N8983" s="2">
        <f t="shared" si="422"/>
        <v>0.15199890668929872</v>
      </c>
    </row>
    <row r="8984" spans="1:14" x14ac:dyDescent="0.45">
      <c r="A8984" t="s">
        <v>14741</v>
      </c>
      <c r="B8984" s="1">
        <v>44695</v>
      </c>
      <c r="C8984" t="s">
        <v>14742</v>
      </c>
      <c r="D8984" t="s">
        <v>26</v>
      </c>
      <c r="E8984" t="s">
        <v>20</v>
      </c>
      <c r="F8984" t="s">
        <v>50</v>
      </c>
      <c r="G8984">
        <v>1</v>
      </c>
      <c r="H8984">
        <v>8785.0499999999993</v>
      </c>
      <c r="I8984">
        <v>1828.72</v>
      </c>
      <c r="J8984" t="s">
        <v>28</v>
      </c>
      <c r="K8984" t="s">
        <v>17</v>
      </c>
      <c r="L8984">
        <f t="shared" si="420"/>
        <v>2022</v>
      </c>
      <c r="M8984" t="str">
        <f t="shared" si="421"/>
        <v>May</v>
      </c>
      <c r="N8984" s="2">
        <f t="shared" si="422"/>
        <v>0.20816273100323848</v>
      </c>
    </row>
    <row r="8985" spans="1:14" x14ac:dyDescent="0.45">
      <c r="A8985" t="s">
        <v>14743</v>
      </c>
      <c r="B8985" s="1">
        <v>45367</v>
      </c>
      <c r="C8985" t="s">
        <v>1975</v>
      </c>
      <c r="D8985" t="s">
        <v>26</v>
      </c>
      <c r="E8985" t="s">
        <v>14</v>
      </c>
      <c r="F8985" t="s">
        <v>32</v>
      </c>
      <c r="G8985">
        <v>1</v>
      </c>
      <c r="H8985">
        <v>19787.009999999998</v>
      </c>
      <c r="I8985">
        <v>4162.88</v>
      </c>
      <c r="J8985" t="s">
        <v>71</v>
      </c>
      <c r="K8985" t="s">
        <v>23</v>
      </c>
      <c r="L8985">
        <f t="shared" si="420"/>
        <v>2024</v>
      </c>
      <c r="M8985" t="str">
        <f t="shared" si="421"/>
        <v>Mar</v>
      </c>
      <c r="N8985" s="2">
        <f t="shared" si="422"/>
        <v>0.21038448962223197</v>
      </c>
    </row>
    <row r="8986" spans="1:14" x14ac:dyDescent="0.45">
      <c r="A8986" t="s">
        <v>14744</v>
      </c>
      <c r="B8986" s="1">
        <v>45433</v>
      </c>
      <c r="C8986" t="s">
        <v>11253</v>
      </c>
      <c r="D8986" t="s">
        <v>26</v>
      </c>
      <c r="E8986" t="s">
        <v>20</v>
      </c>
      <c r="F8986" t="s">
        <v>27</v>
      </c>
      <c r="G8986">
        <v>2</v>
      </c>
      <c r="H8986">
        <v>6997.16</v>
      </c>
      <c r="I8986">
        <v>1029.52</v>
      </c>
      <c r="J8986" t="s">
        <v>71</v>
      </c>
      <c r="K8986" t="s">
        <v>33</v>
      </c>
      <c r="L8986">
        <f t="shared" si="420"/>
        <v>2024</v>
      </c>
      <c r="M8986" t="str">
        <f t="shared" si="421"/>
        <v>May</v>
      </c>
      <c r="N8986" s="2">
        <f t="shared" si="422"/>
        <v>0.14713398007191489</v>
      </c>
    </row>
    <row r="8987" spans="1:14" x14ac:dyDescent="0.45">
      <c r="A8987" t="s">
        <v>14745</v>
      </c>
      <c r="B8987" s="1">
        <v>44773</v>
      </c>
      <c r="C8987" t="s">
        <v>14522</v>
      </c>
      <c r="D8987" t="s">
        <v>26</v>
      </c>
      <c r="E8987" t="s">
        <v>14</v>
      </c>
      <c r="F8987" t="s">
        <v>57</v>
      </c>
      <c r="G8987">
        <v>2</v>
      </c>
      <c r="H8987">
        <v>20510.61</v>
      </c>
      <c r="I8987">
        <v>3916.89</v>
      </c>
      <c r="J8987" t="s">
        <v>47</v>
      </c>
      <c r="K8987" t="s">
        <v>17</v>
      </c>
      <c r="L8987">
        <f t="shared" si="420"/>
        <v>2022</v>
      </c>
      <c r="M8987" t="str">
        <f t="shared" si="421"/>
        <v>Jul</v>
      </c>
      <c r="N8987" s="2">
        <f t="shared" si="422"/>
        <v>0.19096896679328404</v>
      </c>
    </row>
    <row r="8988" spans="1:14" x14ac:dyDescent="0.45">
      <c r="A8988" t="s">
        <v>14746</v>
      </c>
      <c r="B8988" s="1">
        <v>44751</v>
      </c>
      <c r="C8988" t="s">
        <v>14747</v>
      </c>
      <c r="D8988" t="s">
        <v>56</v>
      </c>
      <c r="E8988" t="s">
        <v>14</v>
      </c>
      <c r="F8988" t="s">
        <v>15</v>
      </c>
      <c r="G8988">
        <v>1</v>
      </c>
      <c r="H8988">
        <v>46265.95</v>
      </c>
      <c r="I8988">
        <v>7585.96</v>
      </c>
      <c r="J8988" t="s">
        <v>22</v>
      </c>
      <c r="K8988" t="s">
        <v>23</v>
      </c>
      <c r="L8988">
        <f t="shared" si="420"/>
        <v>2022</v>
      </c>
      <c r="M8988" t="str">
        <f t="shared" si="421"/>
        <v>Jul</v>
      </c>
      <c r="N8988" s="2">
        <f t="shared" si="422"/>
        <v>0.16396421126119751</v>
      </c>
    </row>
    <row r="8989" spans="1:14" x14ac:dyDescent="0.45">
      <c r="A8989" t="s">
        <v>14748</v>
      </c>
      <c r="B8989" s="1">
        <v>44670</v>
      </c>
      <c r="C8989" t="s">
        <v>9751</v>
      </c>
      <c r="D8989" t="s">
        <v>13</v>
      </c>
      <c r="E8989" t="s">
        <v>36</v>
      </c>
      <c r="F8989" t="s">
        <v>46</v>
      </c>
      <c r="G8989">
        <v>2</v>
      </c>
      <c r="H8989">
        <v>9769.16</v>
      </c>
      <c r="I8989">
        <v>1860.53</v>
      </c>
      <c r="J8989" t="s">
        <v>47</v>
      </c>
      <c r="K8989" t="s">
        <v>17</v>
      </c>
      <c r="L8989">
        <f t="shared" si="420"/>
        <v>2022</v>
      </c>
      <c r="M8989" t="str">
        <f t="shared" si="421"/>
        <v>Apr</v>
      </c>
      <c r="N8989" s="2">
        <f t="shared" si="422"/>
        <v>0.19044933238886455</v>
      </c>
    </row>
    <row r="8990" spans="1:14" x14ac:dyDescent="0.45">
      <c r="A8990" t="s">
        <v>14749</v>
      </c>
      <c r="B8990" s="1">
        <v>45398</v>
      </c>
      <c r="C8990" t="s">
        <v>1194</v>
      </c>
      <c r="D8990" t="s">
        <v>26</v>
      </c>
      <c r="E8990" t="s">
        <v>14</v>
      </c>
      <c r="F8990" t="s">
        <v>15</v>
      </c>
      <c r="G8990">
        <v>5</v>
      </c>
      <c r="H8990">
        <v>32612.94</v>
      </c>
      <c r="I8990">
        <v>4910.57</v>
      </c>
      <c r="J8990" t="s">
        <v>47</v>
      </c>
      <c r="K8990" t="s">
        <v>23</v>
      </c>
      <c r="L8990">
        <f t="shared" si="420"/>
        <v>2024</v>
      </c>
      <c r="M8990" t="str">
        <f t="shared" si="421"/>
        <v>Apr</v>
      </c>
      <c r="N8990" s="2">
        <f t="shared" si="422"/>
        <v>0.15057121498399101</v>
      </c>
    </row>
    <row r="8991" spans="1:14" x14ac:dyDescent="0.45">
      <c r="A8991" t="s">
        <v>14750</v>
      </c>
      <c r="B8991" s="1">
        <v>45020</v>
      </c>
      <c r="C8991" t="s">
        <v>9376</v>
      </c>
      <c r="D8991" t="s">
        <v>26</v>
      </c>
      <c r="E8991" t="s">
        <v>36</v>
      </c>
      <c r="F8991" t="s">
        <v>64</v>
      </c>
      <c r="G8991">
        <v>2</v>
      </c>
      <c r="H8991">
        <v>29169.38</v>
      </c>
      <c r="I8991">
        <v>4609.97</v>
      </c>
      <c r="J8991" t="s">
        <v>16</v>
      </c>
      <c r="K8991" t="s">
        <v>17</v>
      </c>
      <c r="L8991">
        <f t="shared" si="420"/>
        <v>2023</v>
      </c>
      <c r="M8991" t="str">
        <f t="shared" si="421"/>
        <v>Apr</v>
      </c>
      <c r="N8991" s="2">
        <f t="shared" si="422"/>
        <v>0.15804141191893692</v>
      </c>
    </row>
    <row r="8992" spans="1:14" x14ac:dyDescent="0.45">
      <c r="A8992" t="s">
        <v>14751</v>
      </c>
      <c r="B8992" s="1">
        <v>45342</v>
      </c>
      <c r="C8992" t="s">
        <v>14752</v>
      </c>
      <c r="D8992" t="s">
        <v>56</v>
      </c>
      <c r="E8992" t="s">
        <v>14</v>
      </c>
      <c r="F8992" t="s">
        <v>32</v>
      </c>
      <c r="G8992">
        <v>2</v>
      </c>
      <c r="H8992">
        <v>19177.330000000002</v>
      </c>
      <c r="I8992">
        <v>1945.62</v>
      </c>
      <c r="J8992" t="s">
        <v>22</v>
      </c>
      <c r="K8992" t="s">
        <v>33</v>
      </c>
      <c r="L8992">
        <f t="shared" si="420"/>
        <v>2024</v>
      </c>
      <c r="M8992" t="str">
        <f t="shared" si="421"/>
        <v>Feb</v>
      </c>
      <c r="N8992" s="2">
        <f t="shared" si="422"/>
        <v>0.10145416489156726</v>
      </c>
    </row>
    <row r="8993" spans="1:14" x14ac:dyDescent="0.45">
      <c r="A8993" t="s">
        <v>14753</v>
      </c>
      <c r="B8993" s="1">
        <v>44698</v>
      </c>
      <c r="C8993" t="s">
        <v>3302</v>
      </c>
      <c r="D8993" t="s">
        <v>26</v>
      </c>
      <c r="E8993" t="s">
        <v>20</v>
      </c>
      <c r="F8993" t="s">
        <v>21</v>
      </c>
      <c r="G8993">
        <v>3</v>
      </c>
      <c r="H8993">
        <v>33808.06</v>
      </c>
      <c r="I8993">
        <v>3400.59</v>
      </c>
      <c r="J8993" t="s">
        <v>71</v>
      </c>
      <c r="K8993" t="s">
        <v>29</v>
      </c>
      <c r="L8993">
        <f t="shared" si="420"/>
        <v>2022</v>
      </c>
      <c r="M8993" t="str">
        <f t="shared" si="421"/>
        <v>May</v>
      </c>
      <c r="N8993" s="2">
        <f t="shared" si="422"/>
        <v>0.10058518589945713</v>
      </c>
    </row>
    <row r="8994" spans="1:14" x14ac:dyDescent="0.45">
      <c r="A8994" t="s">
        <v>14754</v>
      </c>
      <c r="B8994" s="1">
        <v>45543</v>
      </c>
      <c r="C8994" t="s">
        <v>12845</v>
      </c>
      <c r="D8994" t="s">
        <v>13</v>
      </c>
      <c r="E8994" t="s">
        <v>14</v>
      </c>
      <c r="F8994" t="s">
        <v>40</v>
      </c>
      <c r="G8994">
        <v>5</v>
      </c>
      <c r="H8994">
        <v>49356.05</v>
      </c>
      <c r="I8994">
        <v>7755.75</v>
      </c>
      <c r="J8994" t="s">
        <v>28</v>
      </c>
      <c r="K8994" t="s">
        <v>33</v>
      </c>
      <c r="L8994">
        <f t="shared" si="420"/>
        <v>2024</v>
      </c>
      <c r="M8994" t="str">
        <f t="shared" si="421"/>
        <v>Sep</v>
      </c>
      <c r="N8994" s="2">
        <f t="shared" si="422"/>
        <v>0.15713879048262572</v>
      </c>
    </row>
    <row r="8995" spans="1:14" x14ac:dyDescent="0.45">
      <c r="A8995" t="s">
        <v>14755</v>
      </c>
      <c r="B8995" s="1">
        <v>45588</v>
      </c>
      <c r="C8995" t="s">
        <v>11566</v>
      </c>
      <c r="D8995" t="s">
        <v>26</v>
      </c>
      <c r="E8995" t="s">
        <v>14</v>
      </c>
      <c r="F8995" t="s">
        <v>57</v>
      </c>
      <c r="G8995">
        <v>3</v>
      </c>
      <c r="H8995">
        <v>49853.18</v>
      </c>
      <c r="I8995">
        <v>9423.24</v>
      </c>
      <c r="J8995" t="s">
        <v>28</v>
      </c>
      <c r="K8995" t="s">
        <v>23</v>
      </c>
      <c r="L8995">
        <f t="shared" si="420"/>
        <v>2024</v>
      </c>
      <c r="M8995" t="str">
        <f t="shared" si="421"/>
        <v>Oct</v>
      </c>
      <c r="N8995" s="2">
        <f t="shared" si="422"/>
        <v>0.18901983785186821</v>
      </c>
    </row>
    <row r="8996" spans="1:14" x14ac:dyDescent="0.45">
      <c r="A8996" t="s">
        <v>14756</v>
      </c>
      <c r="B8996" s="1">
        <v>44900</v>
      </c>
      <c r="C8996" t="s">
        <v>13157</v>
      </c>
      <c r="D8996" t="s">
        <v>26</v>
      </c>
      <c r="E8996" t="s">
        <v>14</v>
      </c>
      <c r="F8996" t="s">
        <v>15</v>
      </c>
      <c r="G8996">
        <v>5</v>
      </c>
      <c r="H8996">
        <v>23015.87</v>
      </c>
      <c r="I8996">
        <v>2564.2800000000002</v>
      </c>
      <c r="J8996" t="s">
        <v>16</v>
      </c>
      <c r="K8996" t="s">
        <v>17</v>
      </c>
      <c r="L8996">
        <f t="shared" si="420"/>
        <v>2022</v>
      </c>
      <c r="M8996" t="str">
        <f t="shared" si="421"/>
        <v>Dec</v>
      </c>
      <c r="N8996" s="2">
        <f t="shared" si="422"/>
        <v>0.11141355942660436</v>
      </c>
    </row>
    <row r="8997" spans="1:14" x14ac:dyDescent="0.45">
      <c r="A8997" t="s">
        <v>14757</v>
      </c>
      <c r="B8997" s="1">
        <v>45192</v>
      </c>
      <c r="C8997" t="s">
        <v>2631</v>
      </c>
      <c r="D8997" t="s">
        <v>13</v>
      </c>
      <c r="E8997" t="s">
        <v>14</v>
      </c>
      <c r="F8997" t="s">
        <v>40</v>
      </c>
      <c r="G8997">
        <v>2</v>
      </c>
      <c r="H8997">
        <v>44008.480000000003</v>
      </c>
      <c r="I8997">
        <v>8119.14</v>
      </c>
      <c r="J8997" t="s">
        <v>28</v>
      </c>
      <c r="K8997" t="s">
        <v>33</v>
      </c>
      <c r="L8997">
        <f t="shared" si="420"/>
        <v>2023</v>
      </c>
      <c r="M8997" t="str">
        <f t="shared" si="421"/>
        <v>Sep</v>
      </c>
      <c r="N8997" s="2">
        <f t="shared" si="422"/>
        <v>0.18449035276837555</v>
      </c>
    </row>
    <row r="8998" spans="1:14" x14ac:dyDescent="0.45">
      <c r="A8998" t="s">
        <v>14758</v>
      </c>
      <c r="B8998" s="1">
        <v>45124</v>
      </c>
      <c r="C8998" t="s">
        <v>315</v>
      </c>
      <c r="D8998" t="s">
        <v>26</v>
      </c>
      <c r="E8998" t="s">
        <v>36</v>
      </c>
      <c r="F8998" t="s">
        <v>37</v>
      </c>
      <c r="G8998">
        <v>4</v>
      </c>
      <c r="H8998">
        <v>36756.400000000001</v>
      </c>
      <c r="I8998">
        <v>6185.23</v>
      </c>
      <c r="J8998" t="s">
        <v>16</v>
      </c>
      <c r="K8998" t="s">
        <v>29</v>
      </c>
      <c r="L8998">
        <f t="shared" si="420"/>
        <v>2023</v>
      </c>
      <c r="M8998" t="str">
        <f t="shared" si="421"/>
        <v>Jul</v>
      </c>
      <c r="N8998" s="2">
        <f t="shared" si="422"/>
        <v>0.16827627297559064</v>
      </c>
    </row>
    <row r="8999" spans="1:14" x14ac:dyDescent="0.45">
      <c r="A8999" t="s">
        <v>14759</v>
      </c>
      <c r="B8999" s="1">
        <v>45440</v>
      </c>
      <c r="C8999" t="s">
        <v>14760</v>
      </c>
      <c r="D8999" t="s">
        <v>13</v>
      </c>
      <c r="E8999" t="s">
        <v>20</v>
      </c>
      <c r="F8999" t="s">
        <v>43</v>
      </c>
      <c r="G8999">
        <v>1</v>
      </c>
      <c r="H8999">
        <v>42056.59</v>
      </c>
      <c r="I8999">
        <v>2132.33</v>
      </c>
      <c r="J8999" t="s">
        <v>22</v>
      </c>
      <c r="K8999" t="s">
        <v>29</v>
      </c>
      <c r="L8999">
        <f t="shared" si="420"/>
        <v>2024</v>
      </c>
      <c r="M8999" t="str">
        <f t="shared" si="421"/>
        <v>May</v>
      </c>
      <c r="N8999" s="2">
        <f t="shared" si="422"/>
        <v>5.0701447739819133E-2</v>
      </c>
    </row>
    <row r="9000" spans="1:14" x14ac:dyDescent="0.45">
      <c r="A9000" t="s">
        <v>14761</v>
      </c>
      <c r="B9000" s="1">
        <v>44609</v>
      </c>
      <c r="C9000" t="s">
        <v>2759</v>
      </c>
      <c r="D9000" t="s">
        <v>26</v>
      </c>
      <c r="E9000" t="s">
        <v>14</v>
      </c>
      <c r="F9000" t="s">
        <v>57</v>
      </c>
      <c r="G9000">
        <v>5</v>
      </c>
      <c r="H9000">
        <v>45346.12</v>
      </c>
      <c r="I9000">
        <v>3602.07</v>
      </c>
      <c r="J9000" t="s">
        <v>71</v>
      </c>
      <c r="K9000" t="s">
        <v>23</v>
      </c>
      <c r="L9000">
        <f t="shared" si="420"/>
        <v>2022</v>
      </c>
      <c r="M9000" t="str">
        <f t="shared" si="421"/>
        <v>Feb</v>
      </c>
      <c r="N9000" s="2">
        <f t="shared" si="422"/>
        <v>7.9435021121983529E-2</v>
      </c>
    </row>
    <row r="9001" spans="1:14" x14ac:dyDescent="0.45">
      <c r="A9001" t="s">
        <v>14762</v>
      </c>
      <c r="B9001" s="1">
        <v>45643</v>
      </c>
      <c r="C9001" t="s">
        <v>4735</v>
      </c>
      <c r="D9001" t="s">
        <v>56</v>
      </c>
      <c r="E9001" t="s">
        <v>20</v>
      </c>
      <c r="F9001" t="s">
        <v>43</v>
      </c>
      <c r="G9001">
        <v>5</v>
      </c>
      <c r="H9001">
        <v>22989.13</v>
      </c>
      <c r="I9001">
        <v>3576.61</v>
      </c>
      <c r="J9001" t="s">
        <v>47</v>
      </c>
      <c r="K9001" t="s">
        <v>29</v>
      </c>
      <c r="L9001">
        <f t="shared" si="420"/>
        <v>2024</v>
      </c>
      <c r="M9001" t="str">
        <f t="shared" si="421"/>
        <v>Dec</v>
      </c>
      <c r="N9001" s="2">
        <f t="shared" si="422"/>
        <v>0.15557831027098459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Ecommerce_Sales_9000_Rows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Aniket Rajput</cp:lastModifiedBy>
  <dcterms:created xsi:type="dcterms:W3CDTF">2025-12-17T13:34:06Z</dcterms:created>
  <dcterms:modified xsi:type="dcterms:W3CDTF">2025-12-18T04:15:37Z</dcterms:modified>
</cp:coreProperties>
</file>